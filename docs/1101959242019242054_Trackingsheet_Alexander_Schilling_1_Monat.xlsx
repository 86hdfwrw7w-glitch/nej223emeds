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F8B8C820-13EA-8E49-AA0A-D06FFE9DABB3}" xr6:coauthVersionLast="47" xr6:coauthVersionMax="47" xr10:uidLastSave="{00000000-0000-0000-0000-000000000000}"/>
  <bookViews>
    <workbookView xWindow="0" yWindow="0" windowWidth="35840" windowHeight="22400" firstSheet="1"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0" i="7" l="1" a="1"/>
  <c r="J10" i="7" s="1"/>
  <c r="K10" i="7" a="1"/>
  <c r="K10" i="7" s="1"/>
  <c r="J11" i="7" a="1"/>
  <c r="J11" i="7" s="1"/>
  <c r="K11" i="7" a="1"/>
  <c r="K11" i="7" s="1"/>
  <c r="J12" i="7" a="1"/>
  <c r="J12" i="7" s="1"/>
  <c r="K12" i="7" a="1"/>
  <c r="K12" i="7" s="1"/>
  <c r="J13" i="7" a="1"/>
  <c r="J13" i="7" s="1"/>
  <c r="K13" i="7" a="1"/>
  <c r="K13" i="7" s="1"/>
  <c r="J14" i="7" a="1"/>
  <c r="J14" i="7" s="1"/>
  <c r="K14" i="7" a="1"/>
  <c r="K14" i="7" s="1"/>
  <c r="J15" i="7" a="1"/>
  <c r="J15" i="7" s="1"/>
  <c r="K15" i="7" a="1"/>
  <c r="K15" i="7" s="1"/>
  <c r="J16" i="7" a="1"/>
  <c r="J16" i="7" s="1"/>
  <c r="K16" i="7" a="1"/>
  <c r="K16" i="7" s="1"/>
  <c r="I19" i="7"/>
  <c r="G47" i="7"/>
  <c r="G4" i="7"/>
  <c r="G27" i="7"/>
  <c r="G19" i="7"/>
  <c r="N19" i="7"/>
  <c r="U19" i="7"/>
  <c r="AB19" i="7"/>
  <c r="AI19" i="7"/>
  <c r="AP19" i="7"/>
  <c r="J20" i="7" a="1"/>
  <c r="J20" i="7" s="1"/>
  <c r="K20" i="7" a="1"/>
  <c r="K20" i="7" s="1"/>
  <c r="J21" i="7" a="1"/>
  <c r="J21" i="7" s="1"/>
  <c r="K21" i="7" a="1"/>
  <c r="K21" i="7" s="1"/>
  <c r="J22" i="7" a="1"/>
  <c r="J22" i="7" s="1"/>
  <c r="K22" i="7" a="1"/>
  <c r="K22" i="7" s="1"/>
  <c r="J23" i="7" a="1"/>
  <c r="J23" i="7" s="1"/>
  <c r="K23" i="7" a="1"/>
  <c r="K23" i="7" s="1"/>
  <c r="J24" i="7" a="1"/>
  <c r="J24" i="7" s="1"/>
  <c r="K24" i="7" a="1"/>
  <c r="K24" i="7" s="1"/>
  <c r="N47" i="7"/>
  <c r="N27" i="7"/>
  <c r="C11" i="10"/>
  <c r="DA4" i="7"/>
  <c r="CT4" i="7"/>
  <c r="CM4" i="7"/>
  <c r="CF4" i="7"/>
  <c r="BY4" i="7"/>
  <c r="BR4" i="7"/>
  <c r="C7" i="10"/>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BK4" i="7"/>
  <c r="C12" i="10"/>
  <c r="K25" i="7" a="1"/>
  <c r="K25" i="7" s="1"/>
  <c r="J25" i="7" a="1"/>
  <c r="J25"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0" i="7" a="1"/>
  <c r="K30" i="7" s="1"/>
  <c r="J30" i="7" a="1"/>
  <c r="J30" i="7" s="1"/>
  <c r="K29" i="7" a="1"/>
  <c r="K29" i="7" s="1"/>
  <c r="J29" i="7" a="1"/>
  <c r="J29" i="7" s="1"/>
  <c r="K28" i="7" a="1"/>
  <c r="K28" i="7" s="1"/>
  <c r="J28" i="7" a="1"/>
  <c r="J28" i="7" s="1"/>
  <c r="K17" i="7" a="1"/>
  <c r="K17" i="7" s="1"/>
  <c r="J17" i="7" a="1"/>
  <c r="J17"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U4" i="7"/>
  <c r="N4" i="7"/>
  <c r="AP27" i="7"/>
  <c r="AI27" i="7"/>
  <c r="AB27" i="7"/>
  <c r="U27" i="7"/>
  <c r="I45" i="7"/>
  <c r="I44" i="7"/>
  <c r="I43" i="7"/>
  <c r="I42" i="7"/>
  <c r="I41" i="7"/>
  <c r="I40" i="7"/>
  <c r="I39" i="7"/>
  <c r="I38" i="7"/>
  <c r="I30" i="7"/>
  <c r="I29" i="7"/>
  <c r="I17" i="7"/>
  <c r="I4" i="7" s="1"/>
  <c r="I27" i="7" l="1"/>
  <c r="AP47" i="7"/>
  <c r="J4" i="7"/>
  <c r="J19" i="7"/>
  <c r="K19" i="7"/>
  <c r="U47" i="7"/>
  <c r="AB47" i="7"/>
  <c r="AI47" i="7"/>
  <c r="J27" i="7"/>
  <c r="K27" i="7"/>
  <c r="K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<sst xmlns="http://schemas.openxmlformats.org/spreadsheetml/2006/main" count="326" uniqueCount="139">
  <si>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</si>
  <si>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</si>
  <si>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</si>
  <si>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</si>
  <si>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</si>
  <si>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</si>
  <si>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</si>
  <si>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</si>
  <si>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</si>
  <si>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</si>
  <si>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</si>
  <si>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</si>
  <si>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</si>
  <si>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</si>
  <si>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</si>
  <si>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</si>
  <si>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</si>
  <si>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</si>
  <si>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</si>
  <si>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</si>
  <si>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</si>
  <si>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</si>
  <si>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</si>
  <si>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</si>
  <si>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</si>
  <si>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</si>
  <si>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</si>
  <si>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</si>
  <si>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</si>
  <si>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</si>
  <si>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</si>
  <si>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12) Implementierung &amp; Controlling</t>
  </si>
  <si>
    <t>ECTS</t>
  </si>
  <si>
    <t>Anteil an Klausur</t>
  </si>
  <si>
    <t>Ziel</t>
  </si>
  <si>
    <t>(Übersicht-Zelle muss angepasst werden)</t>
  </si>
  <si>
    <t>KW 19</t>
  </si>
  <si>
    <t>KW 20</t>
  </si>
  <si>
    <t>KW 21</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</si>
  <si>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</si>
  <si>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</si>
  <si>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</si>
  <si>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</si>
  <si>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</si>
  <si>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</si>
  <si>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</si>
  <si>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</si>
  <si>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</si>
  <si>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</si>
  <si>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</si>
  <si>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</si>
  <si>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</si>
  <si>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</si>
  <si>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</si>
  <si>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</si>
  <si>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</si>
  <si>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</si>
  <si>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</si>
  <si>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</si>
  <si>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</si>
  <si>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</si>
  <si>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</si>
  <si>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</si>
  <si>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</si>
  <si>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</si>
  <si>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</si>
  <si>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</si>
  <si>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</si>
  <si>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</si>
  <si>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</si>
  <si>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</si>
  <si>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</si>
  <si>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</si>
  <si>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</si>
  <si>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</si>
  <si>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</si>
  <si>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</si>
  <si>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</si>
  <si>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</si>
  <si>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</si>
  <si>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</si>
  <si>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</si>
  <si>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</si>
  <si>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</si>
  <si>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</si>
  <si>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</si>
  <si>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</si>
  <si>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</si>
  <si>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</si>
  <si>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</si>
  <si>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</si>
  <si>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</si>
  <si>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</si>
  <si>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</si>
  <si>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</si>
  <si>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</si>
  <si>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KLAUSUREN!!!</t>
  </si>
  <si>
    <t>KlausurFrüh</t>
  </si>
  <si>
    <t>KW 17</t>
  </si>
  <si>
    <t>KW 18</t>
  </si>
  <si>
    <t>Vorlesungen</t>
  </si>
  <si>
    <t>Aufstehen</t>
  </si>
  <si>
    <t>Zur Uni fahren</t>
  </si>
  <si>
    <t>6) Markteffizienz und Finanzierungsentscheidungen</t>
  </si>
  <si>
    <t>3) Bewertung von Investitionsentscheidungen</t>
  </si>
  <si>
    <t>5) Einfluss der Finanzierung auf Eigenkapitalrendite</t>
  </si>
  <si>
    <t>4) Berücksichtigung des Risikos</t>
  </si>
  <si>
    <t>1) Finanzmanagement</t>
  </si>
  <si>
    <t>2) Finanzierungsformen</t>
  </si>
  <si>
    <t>Finance</t>
  </si>
  <si>
    <t>Stochastik</t>
  </si>
  <si>
    <t>Makro</t>
  </si>
  <si>
    <t>1) Makroökonomische Daten</t>
  </si>
  <si>
    <t>2) Gesamtwirtschaftliches Einkommen</t>
  </si>
  <si>
    <t>3) Geld und Inflation</t>
  </si>
  <si>
    <t>4) Der Konjunkturzyklus und das 
keynesianische Kreuz</t>
  </si>
  <si>
    <t>5) Das IS-LM Modell</t>
  </si>
  <si>
    <t>6) Die Analyse gesamtwirtschaftlicher
Schwankungen mit dem
IS-LM / AS-AD Modell</t>
  </si>
  <si>
    <t>2) Verbrauchernachfrage</t>
  </si>
  <si>
    <t>3) Angebot und Vollkommener Wettbewerb</t>
  </si>
  <si>
    <t>4) Externalitäten</t>
  </si>
  <si>
    <t>5) Monopole</t>
  </si>
  <si>
    <t>6) Spieltheorie</t>
  </si>
  <si>
    <t>7)Verhaltensökonomie</t>
  </si>
  <si>
    <t>8) Entscheidungstheorie + Lagrange Multiplikator</t>
  </si>
  <si>
    <t xml:space="preserve"> 9) Ansätze (Optimistisch, Pessimistisch)</t>
  </si>
  <si>
    <t>10) Entscheidungsbäume + Risikofreude</t>
  </si>
  <si>
    <t>Nein</t>
  </si>
  <si>
    <t>Ja</t>
  </si>
  <si>
    <t>2) -Maßnahmen zur Beschreibung statistischer Vert.</t>
  </si>
  <si>
    <t>4) Lineare Regressionsgleichung</t>
  </si>
  <si>
    <t>II. 5) Kombinatorik</t>
  </si>
  <si>
    <t>6) Grundlagen der Wahrscheinlichkeitstheorie</t>
  </si>
  <si>
    <t>7) Zufallsvariablen in einer Dimension</t>
  </si>
  <si>
    <t>8) Zufallsvariablen in zwei oder mehr Dimensionen</t>
  </si>
  <si>
    <t>9) Stochastische Modelle und spezielle Verteilungen</t>
  </si>
  <si>
    <t>10) Grenzwertsätze</t>
  </si>
  <si>
    <t>3) Zweidimensioale Verteilungen</t>
  </si>
  <si>
    <t>1) I. Statistische Merkmale &amp; Variablen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</si>
</sst>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91">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0">
  <autoFilter ref="A1:K46" xr:uid="{6E266E34-2786-2747-BCE7-51B74867A564}"/>
  <tableColumns count="11">
    <tableColumn id="1" xr3:uid="{95FD92F7-3DC8-704D-A103-A7EDDAB255AB}" name="Datum" dataDxfId="89"/>
    <tableColumn id="2" xr3:uid="{F464D510-8166-E740-A343-FB84BDEF877F}" name="Lerneinheiten durchgezogen" dataDxfId="88"/>
    <tableColumn id="3" xr3:uid="{75F52B08-1A00-0848-BBE6-1EDF7B31B1AD}" name="Tagesplan erstellt" dataDxfId="87"/>
    <tableColumn id="4" xr3:uid="{E6B18D89-E799-AD48-9DAA-37AEE1D29011}" name="Konzentrationslevel" dataDxfId="8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34" sqref="B34"/>
    </sheetView>
  </sheetViews>
  <sheetFormatPr baseColWidth="10" defaultColWidth="10.6640625" defaultRowHeight="16" x14ac:dyDescent="0.2"/>
  <cols>
    <col min="1" max="1" width="11.83203125" customWidth="1"/>
    <col min="2" max="2" width="62.6640625" customWidth="1"/>
  </cols>
  <sheetData>
    <row r="2" spans="1:4" x14ac:dyDescent="0.2">
      <c r="C2" s="18" t="s">
        <v>79</v>
      </c>
    </row>
    <row r="3" spans="1:4" x14ac:dyDescent="0.2">
      <c r="C3" s="17" t="s">
        <v>64</v>
      </c>
    </row>
    <row r="4" spans="1:4" x14ac:dyDescent="0.2">
      <c r="C4" s="16" t="s">
        <v>78</v>
      </c>
    </row>
    <row r="5" spans="1:4" x14ac:dyDescent="0.2">
      <c r="A5" s="2" t="s">
        <v>61</v>
      </c>
      <c r="B5" s="2" t="s">
        <v>62</v>
      </c>
      <c r="C5" s="2" t="s">
        <v>63</v>
      </c>
      <c r="D5" s="2" t="s">
        <v>65</v>
      </c>
    </row>
    <row r="6" spans="1:4" x14ac:dyDescent="0.2">
      <c r="A6" t="s">
        <v>57</v>
      </c>
      <c r="B6" s="18" t="s">
        <v>60</v>
      </c>
      <c r="D6" t="s">
        <v>94</v>
      </c>
    </row>
    <row r="7" spans="1:4" x14ac:dyDescent="0.2">
      <c r="A7" t="s">
        <v>68</v>
      </c>
      <c r="B7" t="s">
        <v>69</v>
      </c>
      <c r="C7" s="16">
        <f>6+8+11+7+10</f>
        <v>42</v>
      </c>
    </row>
    <row r="8" spans="1:4" x14ac:dyDescent="0.2">
      <c r="A8" t="s">
        <v>59</v>
      </c>
      <c r="B8" s="18" t="s">
        <v>58</v>
      </c>
      <c r="D8" t="s">
        <v>82</v>
      </c>
    </row>
    <row r="9" spans="1:4" x14ac:dyDescent="0.2">
      <c r="A9" t="s">
        <v>67</v>
      </c>
      <c r="B9" s="18" t="s">
        <v>80</v>
      </c>
      <c r="D9" t="s">
        <v>83</v>
      </c>
    </row>
    <row r="10" spans="1:4" x14ac:dyDescent="0.2">
      <c r="A10" t="s">
        <v>71</v>
      </c>
      <c r="B10" t="s">
        <v>70</v>
      </c>
      <c r="C10" s="16">
        <v>10.5</v>
      </c>
      <c r="D10" t="s">
        <v>66</v>
      </c>
    </row>
    <row r="11" spans="1:4" x14ac:dyDescent="0.2">
      <c r="A11" t="s">
        <v>72</v>
      </c>
      <c r="B11" t="s">
        <v>74</v>
      </c>
      <c r="C11" s="16">
        <f>42*3</f>
        <v>126</v>
      </c>
      <c r="D11" t="s">
        <v>73</v>
      </c>
    </row>
    <row r="12" spans="1:4" x14ac:dyDescent="0.2">
      <c r="A12" t="s">
        <v>76</v>
      </c>
      <c r="B12" t="s">
        <v>75</v>
      </c>
      <c r="C12" s="17">
        <f>C11/C10</f>
        <v>12</v>
      </c>
    </row>
    <row r="13" spans="1:4" x14ac:dyDescent="0.2">
      <c r="A13" t="s">
        <v>81</v>
      </c>
      <c r="B13" t="s">
        <v>77</v>
      </c>
      <c r="D13" t="s">
        <v>84</v>
      </c>
    </row>
    <row r="14" spans="1:4" x14ac:dyDescent="0.2">
      <c r="A14" t="s">
        <v>85</v>
      </c>
      <c r="B14" t="s">
        <v>86</v>
      </c>
      <c r="D14" t="s">
        <v>87</v>
      </c>
    </row>
    <row r="15" spans="1:4" x14ac:dyDescent="0.2">
      <c r="A15" t="s">
        <v>88</v>
      </c>
      <c r="B15" s="18" t="s">
        <v>89</v>
      </c>
    </row>
    <row r="16" spans="1:4" x14ac:dyDescent="0.2">
      <c r="A16" t="s">
        <v>92</v>
      </c>
      <c r="B16" s="18" t="s">
        <v>90</v>
      </c>
    </row>
    <row r="17" spans="1:2" x14ac:dyDescent="0.2">
      <c r="A17" t="s">
        <v>93</v>
      </c>
      <c r="B17" t="s">
        <v>91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57"/>
  <sheetViews>
    <sheetView showGridLines="0" tabSelected="1" zoomScale="64" zoomScaleNormal="96" workbookViewId="0">
      <pane xSplit="12" topLeftCell="BR1" activePane="topRight" state="frozen"/>
      <selection pane="topRight" activeCell="BT10" sqref="BT10"/>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4" t="s">
        <v>0</v>
      </c>
      <c r="D1" s="4"/>
      <c r="G1" s="13" t="s">
        <v>35</v>
      </c>
      <c r="I1" s="13" t="s">
        <v>35</v>
      </c>
      <c r="J1" s="13" t="s">
        <v>35</v>
      </c>
      <c r="K1" s="13" t="s">
        <v>35</v>
      </c>
    </row>
    <row r="2" spans="2:110" x14ac:dyDescent="0.2">
      <c r="I2" s="20" t="s">
        <v>27</v>
      </c>
      <c r="J2" s="20"/>
      <c r="K2" s="20"/>
      <c r="L2" s="20"/>
      <c r="N2" s="20" t="s">
        <v>98</v>
      </c>
      <c r="O2" s="20"/>
      <c r="P2" s="20"/>
      <c r="Q2" s="20"/>
      <c r="R2" s="20"/>
      <c r="S2" s="20"/>
      <c r="U2" s="20" t="s">
        <v>99</v>
      </c>
      <c r="V2" s="20"/>
      <c r="W2" s="20"/>
      <c r="X2" s="20"/>
      <c r="Y2" s="20"/>
      <c r="Z2" s="20"/>
      <c r="AB2" s="20" t="s">
        <v>36</v>
      </c>
      <c r="AC2" s="20"/>
      <c r="AD2" s="20"/>
      <c r="AE2" s="20"/>
      <c r="AF2" s="20"/>
      <c r="AG2" s="20"/>
      <c r="AI2" s="20" t="s">
        <v>37</v>
      </c>
      <c r="AJ2" s="20"/>
      <c r="AK2" s="20"/>
      <c r="AL2" s="20"/>
      <c r="AM2" s="20"/>
      <c r="AN2" s="20"/>
      <c r="AP2" s="20" t="s">
        <v>38</v>
      </c>
      <c r="AQ2" s="20"/>
      <c r="AR2" s="20"/>
      <c r="AS2" s="20"/>
      <c r="AT2" s="20"/>
      <c r="AU2" s="20"/>
      <c r="AW2" s="20" t="s">
        <v>44</v>
      </c>
      <c r="AX2" s="20"/>
      <c r="AY2" s="20"/>
      <c r="AZ2" s="20"/>
      <c r="BA2" s="20"/>
      <c r="BB2" s="20"/>
      <c r="BD2" s="20" t="s">
        <v>45</v>
      </c>
      <c r="BE2" s="20"/>
      <c r="BF2" s="20"/>
      <c r="BG2" s="20"/>
      <c r="BH2" s="20"/>
      <c r="BI2" s="20"/>
      <c r="BK2" s="20" t="s">
        <v>95</v>
      </c>
      <c r="BL2" s="20"/>
      <c r="BM2" s="20"/>
      <c r="BN2" s="20"/>
      <c r="BO2" s="20"/>
      <c r="BP2" s="20"/>
      <c r="BR2" s="20" t="s">
        <v>97</v>
      </c>
      <c r="BS2" s="20"/>
      <c r="BT2" s="20"/>
      <c r="BU2" s="20"/>
      <c r="BV2" s="20"/>
      <c r="BW2" s="20"/>
      <c r="BY2" s="20" t="s">
        <v>95</v>
      </c>
      <c r="BZ2" s="20"/>
      <c r="CA2" s="20"/>
      <c r="CB2" s="20"/>
      <c r="CC2" s="20"/>
      <c r="CD2" s="20"/>
      <c r="CF2" s="20" t="s">
        <v>95</v>
      </c>
      <c r="CG2" s="20"/>
      <c r="CH2" s="20"/>
      <c r="CI2" s="20"/>
      <c r="CJ2" s="20"/>
      <c r="CK2" s="20"/>
      <c r="CM2" s="20" t="s">
        <v>95</v>
      </c>
      <c r="CN2" s="20"/>
      <c r="CO2" s="20"/>
      <c r="CP2" s="20"/>
      <c r="CQ2" s="20"/>
      <c r="CR2" s="20"/>
      <c r="CT2" s="20" t="s">
        <v>95</v>
      </c>
      <c r="CU2" s="20"/>
      <c r="CV2" s="20"/>
      <c r="CW2" s="20"/>
      <c r="CX2" s="20"/>
      <c r="CY2" s="20"/>
      <c r="DA2" s="20" t="s">
        <v>96</v>
      </c>
      <c r="DB2" s="20"/>
      <c r="DC2" s="20"/>
      <c r="DD2" s="20"/>
      <c r="DE2" s="20"/>
      <c r="DF2" s="20"/>
    </row>
    <row r="3" spans="2:110" x14ac:dyDescent="0.2">
      <c r="B3" s="5" t="s">
        <v>26</v>
      </c>
      <c r="C3" s="5" t="s">
        <v>1</v>
      </c>
      <c r="D3" s="5" t="s">
        <v>24</v>
      </c>
      <c r="E3" s="6" t="s">
        <v>32</v>
      </c>
      <c r="F3" s="5" t="s">
        <v>29</v>
      </c>
      <c r="G3" s="5" t="s">
        <v>33</v>
      </c>
      <c r="I3" s="6" t="s">
        <v>11</v>
      </c>
      <c r="J3" s="6" t="s">
        <v>2</v>
      </c>
      <c r="K3" s="6" t="s">
        <v>3</v>
      </c>
      <c r="L3" s="6" t="s">
        <v>12</v>
      </c>
      <c r="N3" s="5" t="s">
        <v>11</v>
      </c>
      <c r="O3" s="5" t="s">
        <v>2</v>
      </c>
      <c r="P3" s="5" t="s">
        <v>34</v>
      </c>
      <c r="Q3" s="5" t="s">
        <v>3</v>
      </c>
      <c r="R3" s="5" t="s">
        <v>34</v>
      </c>
      <c r="S3" s="5" t="s">
        <v>12</v>
      </c>
      <c r="U3" s="5" t="s">
        <v>11</v>
      </c>
      <c r="V3" s="5" t="s">
        <v>2</v>
      </c>
      <c r="W3" s="5" t="s">
        <v>34</v>
      </c>
      <c r="X3" s="5" t="s">
        <v>3</v>
      </c>
      <c r="Y3" s="5" t="s">
        <v>34</v>
      </c>
      <c r="Z3" s="5" t="s">
        <v>12</v>
      </c>
      <c r="AB3" s="5" t="s">
        <v>11</v>
      </c>
      <c r="AC3" s="5" t="s">
        <v>2</v>
      </c>
      <c r="AD3" s="5" t="s">
        <v>34</v>
      </c>
      <c r="AE3" s="5" t="s">
        <v>3</v>
      </c>
      <c r="AF3" s="5" t="s">
        <v>34</v>
      </c>
      <c r="AG3" s="5" t="s">
        <v>12</v>
      </c>
      <c r="AI3" s="5" t="s">
        <v>11</v>
      </c>
      <c r="AJ3" s="5" t="s">
        <v>2</v>
      </c>
      <c r="AK3" s="5" t="s">
        <v>34</v>
      </c>
      <c r="AL3" s="5" t="s">
        <v>3</v>
      </c>
      <c r="AM3" s="5" t="s">
        <v>34</v>
      </c>
      <c r="AN3" s="5" t="s">
        <v>12</v>
      </c>
      <c r="AP3" s="5" t="s">
        <v>11</v>
      </c>
      <c r="AQ3" s="5" t="s">
        <v>2</v>
      </c>
      <c r="AR3" s="5" t="s">
        <v>34</v>
      </c>
      <c r="AS3" s="5" t="s">
        <v>3</v>
      </c>
      <c r="AT3" s="5" t="s">
        <v>34</v>
      </c>
      <c r="AU3" s="5" t="s">
        <v>12</v>
      </c>
      <c r="AW3" s="5" t="s">
        <v>11</v>
      </c>
      <c r="AX3" s="5" t="s">
        <v>2</v>
      </c>
      <c r="AY3" s="5" t="s">
        <v>34</v>
      </c>
      <c r="AZ3" s="5" t="s">
        <v>3</v>
      </c>
      <c r="BA3" s="5" t="s">
        <v>34</v>
      </c>
      <c r="BB3" s="5" t="s">
        <v>12</v>
      </c>
      <c r="BD3" s="5" t="s">
        <v>11</v>
      </c>
      <c r="BE3" s="5" t="s">
        <v>2</v>
      </c>
      <c r="BF3" s="5" t="s">
        <v>34</v>
      </c>
      <c r="BG3" s="5" t="s">
        <v>3</v>
      </c>
      <c r="BH3" s="5" t="s">
        <v>34</v>
      </c>
      <c r="BI3" s="5" t="s">
        <v>12</v>
      </c>
      <c r="BK3" s="5" t="s">
        <v>11</v>
      </c>
      <c r="BL3" s="5" t="s">
        <v>2</v>
      </c>
      <c r="BM3" s="5" t="s">
        <v>34</v>
      </c>
      <c r="BN3" s="5" t="s">
        <v>3</v>
      </c>
      <c r="BO3" s="5" t="s">
        <v>34</v>
      </c>
      <c r="BP3" s="5" t="s">
        <v>12</v>
      </c>
      <c r="BR3" s="5" t="s">
        <v>11</v>
      </c>
      <c r="BS3" s="5" t="s">
        <v>2</v>
      </c>
      <c r="BT3" s="5" t="s">
        <v>34</v>
      </c>
      <c r="BU3" s="5" t="s">
        <v>3</v>
      </c>
      <c r="BV3" s="5" t="s">
        <v>34</v>
      </c>
      <c r="BW3" s="5" t="s">
        <v>12</v>
      </c>
      <c r="BY3" s="5" t="s">
        <v>11</v>
      </c>
      <c r="BZ3" s="5" t="s">
        <v>2</v>
      </c>
      <c r="CA3" s="5" t="s">
        <v>34</v>
      </c>
      <c r="CB3" s="5" t="s">
        <v>3</v>
      </c>
      <c r="CC3" s="5" t="s">
        <v>34</v>
      </c>
      <c r="CD3" s="5" t="s">
        <v>12</v>
      </c>
      <c r="CF3" s="5" t="s">
        <v>11</v>
      </c>
      <c r="CG3" s="5" t="s">
        <v>2</v>
      </c>
      <c r="CH3" s="5" t="s">
        <v>34</v>
      </c>
      <c r="CI3" s="5" t="s">
        <v>3</v>
      </c>
      <c r="CJ3" s="5" t="s">
        <v>34</v>
      </c>
      <c r="CK3" s="5" t="s">
        <v>12</v>
      </c>
      <c r="CM3" s="5" t="s">
        <v>11</v>
      </c>
      <c r="CN3" s="5" t="s">
        <v>2</v>
      </c>
      <c r="CO3" s="5" t="s">
        <v>34</v>
      </c>
      <c r="CP3" s="5" t="s">
        <v>3</v>
      </c>
      <c r="CQ3" s="5" t="s">
        <v>34</v>
      </c>
      <c r="CR3" s="5" t="s">
        <v>12</v>
      </c>
      <c r="CT3" s="5" t="s">
        <v>11</v>
      </c>
      <c r="CU3" s="5" t="s">
        <v>2</v>
      </c>
      <c r="CV3" s="5" t="s">
        <v>34</v>
      </c>
      <c r="CW3" s="5" t="s">
        <v>3</v>
      </c>
      <c r="CX3" s="5" t="s">
        <v>34</v>
      </c>
      <c r="CY3" s="5" t="s">
        <v>12</v>
      </c>
      <c r="DA3" s="5" t="s">
        <v>11</v>
      </c>
      <c r="DB3" s="5" t="s">
        <v>2</v>
      </c>
      <c r="DC3" s="5" t="s">
        <v>34</v>
      </c>
      <c r="DD3" s="5" t="s">
        <v>3</v>
      </c>
      <c r="DE3" s="5" t="s">
        <v>34</v>
      </c>
      <c r="DF3" s="5" t="s">
        <v>12</v>
      </c>
    </row>
    <row r="4" spans="2:110" x14ac:dyDescent="0.2">
      <c r="B4" t="s">
        <v>27</v>
      </c>
      <c r="C4" t="s">
        <v>111</v>
      </c>
      <c r="D4" s="19">
        <v>45069</v>
      </c>
      <c r="E4" s="9">
        <v>6</v>
      </c>
      <c r="G4" s="10">
        <f>SUM(G5:G17)</f>
        <v>0.75</v>
      </c>
      <c r="I4" s="12">
        <f>SUM(I5:I17)</f>
        <v>2</v>
      </c>
      <c r="J4" s="11">
        <f>+SUMPRODUCT(G5:G17,J5:J17)</f>
        <v>0.25500000000000012</v>
      </c>
      <c r="K4" s="11">
        <f>+SUMPRODUCT(G5:G17,K5:K17)</f>
        <v>0.25500000000000012</v>
      </c>
      <c r="L4" s="9"/>
      <c r="N4" s="12">
        <f>+SUM(N5:N17)</f>
        <v>7</v>
      </c>
      <c r="U4" s="12">
        <f>+SUM(U5:U17)</f>
        <v>0</v>
      </c>
      <c r="AB4" s="12">
        <v>100</v>
      </c>
      <c r="AI4" s="12">
        <f>+SUM(AI5:AI17)</f>
        <v>0</v>
      </c>
      <c r="AP4" s="12">
        <f>+SUM(AP5:AP17)</f>
        <v>0</v>
      </c>
      <c r="AW4" s="12">
        <f>+SUM(AW5:AW17)</f>
        <v>0</v>
      </c>
      <c r="BD4" s="12">
        <f>+SUM(BD5:BD17)</f>
        <v>0</v>
      </c>
      <c r="BK4" s="12">
        <f>+SUM(BK5:BK17)</f>
        <v>0</v>
      </c>
      <c r="BR4" s="12">
        <f>+SUM(BR5:BR17)</f>
        <v>0</v>
      </c>
      <c r="BY4" s="12">
        <f>+SUM(BY5:BY17)</f>
        <v>0</v>
      </c>
      <c r="CF4" s="12">
        <f>+SUM(CF5:CF17)</f>
        <v>0</v>
      </c>
      <c r="CM4" s="12">
        <f>+SUM(CM5:CM17)</f>
        <v>0</v>
      </c>
      <c r="CT4" s="12">
        <f>+SUM(CT5:CT17)</f>
        <v>0</v>
      </c>
      <c r="DA4" s="12">
        <f>+SUM(DA5:DA17)</f>
        <v>0</v>
      </c>
    </row>
    <row r="5" spans="2:110" outlineLevel="1" x14ac:dyDescent="0.2">
      <c r="B5" t="s">
        <v>28</v>
      </c>
      <c r="C5" t="s">
        <v>111</v>
      </c>
      <c r="E5" s="9"/>
      <c r="F5" t="s">
        <v>112</v>
      </c>
      <c r="G5" s="10">
        <v>0.1</v>
      </c>
      <c r="I5" s="9">
        <v>1.5</v>
      </c>
      <c r="J5" s="11" cm="1">
        <f t="array" ref="J5">MAX(IF($N$3:$EH$3=$J$3,N5:EH5))</f>
        <v>0.7</v>
      </c>
      <c r="K5" s="11" cm="1">
        <f t="array" ref="K5">MAX(IF($N$3:$EH$3=$J$3,N5:EH5))</f>
        <v>0.7</v>
      </c>
      <c r="L5" s="9"/>
      <c r="N5">
        <v>2</v>
      </c>
      <c r="O5" s="10">
        <v>0.7</v>
      </c>
      <c r="P5" s="10">
        <v>0.8</v>
      </c>
      <c r="Q5" s="10"/>
      <c r="R5" s="10">
        <v>0.8</v>
      </c>
      <c r="V5" s="10"/>
      <c r="W5" s="10"/>
      <c r="X5" s="10"/>
      <c r="Y5" s="10"/>
      <c r="AC5" s="10"/>
      <c r="AD5" s="10"/>
      <c r="AE5" s="10"/>
      <c r="AF5" s="10"/>
      <c r="AJ5" s="10"/>
      <c r="AK5" s="10"/>
      <c r="AL5" s="10"/>
      <c r="AM5" s="10"/>
      <c r="AQ5" s="10"/>
      <c r="AR5" s="10">
        <v>1</v>
      </c>
      <c r="AS5" s="10"/>
      <c r="AT5" s="10">
        <v>1</v>
      </c>
      <c r="AX5" s="10"/>
      <c r="AY5" s="10"/>
      <c r="AZ5" s="10"/>
      <c r="BA5" s="10"/>
      <c r="BE5" s="10"/>
      <c r="BF5" s="10"/>
      <c r="BG5" s="10"/>
      <c r="BH5" s="10"/>
      <c r="BL5" s="10"/>
      <c r="BM5" s="10"/>
      <c r="BN5" s="10"/>
      <c r="BO5" s="10"/>
      <c r="BS5" s="10"/>
      <c r="BT5" s="10">
        <v>1</v>
      </c>
      <c r="BU5" s="10"/>
      <c r="BV5" s="10">
        <v>1</v>
      </c>
      <c r="BZ5" s="10"/>
      <c r="CA5" s="10">
        <v>1</v>
      </c>
      <c r="CB5" s="10"/>
      <c r="CC5" s="10">
        <v>1</v>
      </c>
      <c r="CG5" s="10"/>
      <c r="CH5" s="10">
        <v>1</v>
      </c>
      <c r="CI5" s="10"/>
      <c r="CJ5" s="10">
        <v>1</v>
      </c>
      <c r="CN5" s="10"/>
      <c r="CO5" s="10"/>
      <c r="CP5" s="10"/>
      <c r="CQ5" s="10"/>
      <c r="CU5" s="10"/>
      <c r="CV5" s="10"/>
      <c r="CW5" s="10"/>
      <c r="CX5" s="10"/>
      <c r="DB5" s="10"/>
      <c r="DC5" s="10"/>
      <c r="DD5" s="10"/>
      <c r="DE5" s="10"/>
    </row>
    <row r="6" spans="2:110" outlineLevel="1" x14ac:dyDescent="0.2">
      <c r="B6" t="s">
        <v>28</v>
      </c>
      <c r="C6" t="s">
        <v>111</v>
      </c>
      <c r="E6" s="9"/>
      <c r="F6" t="s">
        <v>113</v>
      </c>
      <c r="G6" s="10">
        <v>0.05</v>
      </c>
      <c r="I6" s="9">
        <v>0.5</v>
      </c>
      <c r="J6" s="11" cm="1">
        <f t="array" ref="J6">MAX(IF($N$3:$EH$3=$J$3,N6:EH6))</f>
        <v>0.5</v>
      </c>
      <c r="K6" s="11" cm="1">
        <f t="array" ref="K6">MAX(IF($N$3:$EH$3=$J$3,N6:EH6))</f>
        <v>0.5</v>
      </c>
      <c r="L6" s="9"/>
      <c r="N6">
        <v>1.5</v>
      </c>
      <c r="O6" s="10">
        <v>0.5</v>
      </c>
      <c r="P6" s="10">
        <v>0.5</v>
      </c>
      <c r="Q6" s="10"/>
      <c r="R6" s="10">
        <v>0.5</v>
      </c>
      <c r="V6" s="10"/>
      <c r="W6" s="10"/>
      <c r="X6" s="10"/>
      <c r="Y6" s="10"/>
      <c r="AC6" s="10"/>
      <c r="AD6" s="10"/>
      <c r="AE6" s="10"/>
      <c r="AF6" s="10"/>
      <c r="AJ6" s="10"/>
      <c r="AK6" s="10"/>
      <c r="AL6" s="10"/>
      <c r="AM6" s="10"/>
      <c r="AQ6" s="10"/>
      <c r="AR6" s="10">
        <v>1</v>
      </c>
      <c r="AS6" s="10"/>
      <c r="AT6" s="10">
        <v>1</v>
      </c>
      <c r="AX6" s="10"/>
      <c r="AY6" s="10"/>
      <c r="AZ6" s="10"/>
      <c r="BA6" s="10"/>
      <c r="BE6" s="10"/>
      <c r="BF6" s="10"/>
      <c r="BG6" s="10"/>
      <c r="BH6" s="10"/>
      <c r="BL6" s="10"/>
      <c r="BM6" s="10"/>
      <c r="BN6" s="10"/>
      <c r="BO6" s="10"/>
      <c r="BS6" s="10"/>
      <c r="BT6" s="10">
        <v>0.8</v>
      </c>
      <c r="BU6" s="10"/>
      <c r="BV6" s="10">
        <v>0.8</v>
      </c>
      <c r="BZ6" s="10"/>
      <c r="CA6" s="10">
        <v>1</v>
      </c>
      <c r="CB6" s="10"/>
      <c r="CC6" s="10">
        <v>1</v>
      </c>
      <c r="CG6" s="10"/>
      <c r="CH6" s="10">
        <v>1</v>
      </c>
      <c r="CI6" s="10"/>
      <c r="CJ6" s="10">
        <v>1</v>
      </c>
      <c r="CN6" s="10"/>
      <c r="CO6" s="10"/>
      <c r="CP6" s="10"/>
      <c r="CQ6" s="10"/>
      <c r="CU6" s="10"/>
      <c r="CV6" s="10"/>
      <c r="CW6" s="10"/>
      <c r="CX6" s="10"/>
      <c r="DB6" s="10"/>
      <c r="DC6" s="10"/>
      <c r="DD6" s="10"/>
      <c r="DE6" s="10"/>
    </row>
    <row r="7" spans="2:110" outlineLevel="1" x14ac:dyDescent="0.2">
      <c r="B7" t="s">
        <v>28</v>
      </c>
      <c r="C7" t="s">
        <v>111</v>
      </c>
      <c r="E7" s="9"/>
      <c r="F7" t="s">
        <v>114</v>
      </c>
      <c r="G7" s="10">
        <v>0.05</v>
      </c>
      <c r="I7" s="9">
        <v>0</v>
      </c>
      <c r="J7" s="11" cm="1">
        <f t="array" ref="J7">MAX(IF($N$3:$EH$3=$J$3,N7:EH7))</f>
        <v>0.3</v>
      </c>
      <c r="K7" s="11" cm="1">
        <f t="array" ref="K7">MAX(IF($N$3:$EH$3=$J$3,N7:EH7))</f>
        <v>0.3</v>
      </c>
      <c r="L7" s="9"/>
      <c r="N7">
        <v>1.5</v>
      </c>
      <c r="O7" s="10">
        <v>0.3</v>
      </c>
      <c r="P7" s="10">
        <v>0.3</v>
      </c>
      <c r="Q7" s="10"/>
      <c r="R7" s="10">
        <v>0.3</v>
      </c>
      <c r="V7" s="10"/>
      <c r="W7" s="10"/>
      <c r="X7" s="10"/>
      <c r="Y7" s="10"/>
      <c r="AC7" s="10"/>
      <c r="AD7" s="10"/>
      <c r="AE7" s="10"/>
      <c r="AF7" s="10"/>
      <c r="AJ7" s="10"/>
      <c r="AK7" s="10"/>
      <c r="AL7" s="10"/>
      <c r="AM7" s="10"/>
      <c r="AQ7" s="10"/>
      <c r="AR7" s="10">
        <v>1</v>
      </c>
      <c r="AS7" s="10"/>
      <c r="AT7" s="10">
        <v>1</v>
      </c>
      <c r="AX7" s="10"/>
      <c r="AY7" s="10"/>
      <c r="AZ7" s="10"/>
      <c r="BA7" s="10"/>
      <c r="BE7" s="10"/>
      <c r="BF7" s="10"/>
      <c r="BG7" s="10"/>
      <c r="BH7" s="10"/>
      <c r="BL7" s="10"/>
      <c r="BM7" s="10"/>
      <c r="BN7" s="10"/>
      <c r="BO7" s="10"/>
      <c r="BS7" s="10"/>
      <c r="BT7" s="10">
        <v>0.8</v>
      </c>
      <c r="BU7" s="10"/>
      <c r="BV7" s="10">
        <v>0.8</v>
      </c>
      <c r="BZ7" s="10"/>
      <c r="CA7" s="10">
        <v>1</v>
      </c>
      <c r="CB7" s="10"/>
      <c r="CC7" s="10">
        <v>1</v>
      </c>
      <c r="CG7" s="10"/>
      <c r="CH7" s="10">
        <v>1</v>
      </c>
      <c r="CI7" s="10"/>
      <c r="CJ7" s="10">
        <v>1</v>
      </c>
      <c r="CN7" s="10"/>
      <c r="CO7" s="10"/>
      <c r="CP7" s="10"/>
      <c r="CQ7" s="10"/>
      <c r="CU7" s="10"/>
      <c r="CV7" s="10"/>
      <c r="CW7" s="10"/>
      <c r="CX7" s="10"/>
      <c r="DB7" s="10"/>
      <c r="DC7" s="10"/>
      <c r="DD7" s="10"/>
      <c r="DE7" s="10"/>
    </row>
    <row r="8" spans="2:110" ht="34" outlineLevel="1" x14ac:dyDescent="0.2">
      <c r="B8" t="s">
        <v>28</v>
      </c>
      <c r="C8" t="s">
        <v>111</v>
      </c>
      <c r="E8" s="9"/>
      <c r="F8" s="1" t="s">
        <v>115</v>
      </c>
      <c r="G8" s="10">
        <v>0.05</v>
      </c>
      <c r="I8" s="9">
        <v>0</v>
      </c>
      <c r="J8" s="11" cm="1">
        <f t="array" ref="J8">MAX(IF($N$3:$EH$3=$J$3,N8:EH8))</f>
        <v>0.5</v>
      </c>
      <c r="K8" s="11" cm="1">
        <f t="array" ref="K8">MAX(IF($N$3:$EH$3=$J$3,N8:EH8))</f>
        <v>0.5</v>
      </c>
      <c r="L8" s="9"/>
      <c r="N8">
        <v>2</v>
      </c>
      <c r="O8" s="10">
        <v>0.5</v>
      </c>
      <c r="P8" s="10">
        <v>0.3</v>
      </c>
      <c r="Q8" s="10"/>
      <c r="R8" s="10">
        <v>0.3</v>
      </c>
      <c r="V8" s="10"/>
      <c r="W8" s="10"/>
      <c r="X8" s="10"/>
      <c r="Y8" s="10"/>
      <c r="AC8" s="10"/>
      <c r="AD8" s="10"/>
      <c r="AE8" s="10"/>
      <c r="AF8" s="10"/>
      <c r="AJ8" s="10"/>
      <c r="AK8" s="10"/>
      <c r="AL8" s="10"/>
      <c r="AM8" s="10"/>
      <c r="AQ8" s="10"/>
      <c r="AR8" s="10">
        <v>1</v>
      </c>
      <c r="AS8" s="10"/>
      <c r="AT8" s="10">
        <v>1</v>
      </c>
      <c r="AX8" s="10"/>
      <c r="AY8" s="10"/>
      <c r="AZ8" s="10"/>
      <c r="BA8" s="10"/>
      <c r="BE8" s="10"/>
      <c r="BF8" s="10"/>
      <c r="BG8" s="10"/>
      <c r="BH8" s="10"/>
      <c r="BL8" s="10"/>
      <c r="BM8" s="10"/>
      <c r="BN8" s="10"/>
      <c r="BO8" s="10"/>
      <c r="BS8" s="10"/>
      <c r="BT8" s="10">
        <v>0.8</v>
      </c>
      <c r="BU8" s="10"/>
      <c r="BV8" s="10">
        <v>0.8</v>
      </c>
      <c r="BZ8" s="10"/>
      <c r="CA8" s="10">
        <v>1</v>
      </c>
      <c r="CB8" s="10"/>
      <c r="CC8" s="10">
        <v>1</v>
      </c>
      <c r="CG8" s="10"/>
      <c r="CH8" s="10">
        <v>1</v>
      </c>
      <c r="CI8" s="10"/>
      <c r="CJ8" s="10">
        <v>1</v>
      </c>
      <c r="CN8" s="10"/>
      <c r="CO8" s="10"/>
      <c r="CP8" s="10"/>
      <c r="CQ8" s="10"/>
      <c r="CU8" s="10"/>
      <c r="CV8" s="10"/>
      <c r="CW8" s="10"/>
      <c r="CX8" s="10"/>
      <c r="DB8" s="10"/>
      <c r="DC8" s="10"/>
      <c r="DD8" s="10"/>
      <c r="DE8" s="10"/>
    </row>
    <row r="9" spans="2:110" outlineLevel="1" x14ac:dyDescent="0.2">
      <c r="B9" t="s">
        <v>28</v>
      </c>
      <c r="C9" t="s">
        <v>111</v>
      </c>
      <c r="E9" s="9"/>
      <c r="F9" t="s">
        <v>116</v>
      </c>
      <c r="G9" s="10">
        <v>0.05</v>
      </c>
      <c r="I9" s="9">
        <v>0</v>
      </c>
      <c r="J9" s="11" cm="1">
        <f t="array" ref="J9">MAX(IF($N$3:$EH$3=$J$3,N9:EH9))</f>
        <v>0.3</v>
      </c>
      <c r="K9" s="11" cm="1">
        <f t="array" ref="K9">MAX(IF($N$3:$EH$3=$J$3,N9:EH9))</f>
        <v>0.3</v>
      </c>
      <c r="L9" s="9"/>
      <c r="O9" s="10">
        <v>0.3</v>
      </c>
      <c r="P9" s="10"/>
      <c r="Q9" s="10"/>
      <c r="R9" s="10"/>
      <c r="V9" s="10"/>
      <c r="W9" s="10"/>
      <c r="X9" s="10"/>
      <c r="Y9" s="10"/>
      <c r="AC9" s="10"/>
      <c r="AD9" s="10"/>
      <c r="AE9" s="10"/>
      <c r="AF9" s="10"/>
      <c r="AJ9" s="10"/>
      <c r="AK9" s="10"/>
      <c r="AL9" s="10"/>
      <c r="AM9" s="10"/>
      <c r="AQ9" s="10"/>
      <c r="AR9" s="10">
        <v>1</v>
      </c>
      <c r="AS9" s="10"/>
      <c r="AT9" s="10">
        <v>1</v>
      </c>
      <c r="AX9" s="10"/>
      <c r="AY9" s="10"/>
      <c r="AZ9" s="10"/>
      <c r="BA9" s="10"/>
      <c r="BE9" s="10"/>
      <c r="BF9" s="10"/>
      <c r="BG9" s="10"/>
      <c r="BH9" s="10"/>
      <c r="BL9" s="10"/>
      <c r="BM9" s="10"/>
      <c r="BN9" s="10"/>
      <c r="BO9" s="10"/>
      <c r="BS9" s="10"/>
      <c r="BT9" s="10">
        <v>0.8</v>
      </c>
      <c r="BU9" s="10"/>
      <c r="BV9" s="10">
        <v>0.8</v>
      </c>
      <c r="BZ9" s="10"/>
      <c r="CA9" s="10">
        <v>0.8</v>
      </c>
      <c r="CB9" s="10"/>
      <c r="CC9" s="10">
        <v>0.8</v>
      </c>
      <c r="CG9" s="10"/>
      <c r="CH9" s="10">
        <v>1</v>
      </c>
      <c r="CI9" s="10"/>
      <c r="CJ9" s="10">
        <v>1</v>
      </c>
      <c r="CN9" s="10"/>
      <c r="CO9" s="10"/>
      <c r="CP9" s="10"/>
      <c r="CQ9" s="10"/>
      <c r="CU9" s="10"/>
      <c r="CV9" s="10"/>
      <c r="CW9" s="10"/>
      <c r="CX9" s="10"/>
      <c r="DB9" s="10"/>
      <c r="DC9" s="10"/>
      <c r="DD9" s="10"/>
      <c r="DE9" s="10"/>
    </row>
    <row r="10" spans="2:110" outlineLevel="1" x14ac:dyDescent="0.2">
      <c r="B10" t="s">
        <v>28</v>
      </c>
      <c r="C10" t="s">
        <v>111</v>
      </c>
      <c r="E10" s="9"/>
      <c r="F10" t="s">
        <v>116</v>
      </c>
      <c r="G10" s="10">
        <v>0.05</v>
      </c>
      <c r="I10" s="9">
        <v>0</v>
      </c>
      <c r="J10" s="11" cm="1">
        <f t="array" ref="J10">MAX(IF($N$3:$EH$3=$J$3,N10:EH10))</f>
        <v>0.3</v>
      </c>
      <c r="K10" s="11" cm="1">
        <f t="array" ref="K10">MAX(IF($N$3:$EH$3=$J$3,N10:EH10))</f>
        <v>0.3</v>
      </c>
      <c r="L10" s="9"/>
      <c r="O10" s="10">
        <v>0.3</v>
      </c>
      <c r="P10" s="10"/>
      <c r="Q10" s="10"/>
      <c r="R10" s="10"/>
      <c r="V10" s="10"/>
      <c r="W10" s="10"/>
      <c r="X10" s="10"/>
      <c r="Y10" s="10"/>
      <c r="AC10" s="10"/>
      <c r="AD10" s="10"/>
      <c r="AE10" s="10"/>
      <c r="AF10" s="10"/>
      <c r="AJ10" s="10"/>
      <c r="AK10" s="10"/>
      <c r="AL10" s="10"/>
      <c r="AM10" s="10"/>
      <c r="AQ10" s="10"/>
      <c r="AR10" s="10">
        <v>1</v>
      </c>
      <c r="AS10" s="10"/>
      <c r="AT10" s="10">
        <v>1</v>
      </c>
      <c r="AX10" s="10"/>
      <c r="AY10" s="10"/>
      <c r="AZ10" s="10"/>
      <c r="BA10" s="10"/>
      <c r="BE10" s="10"/>
      <c r="BF10" s="10"/>
      <c r="BG10" s="10"/>
      <c r="BH10" s="10"/>
      <c r="BL10" s="10"/>
      <c r="BM10" s="10"/>
      <c r="BN10" s="10"/>
      <c r="BO10" s="10"/>
      <c r="BS10" s="10"/>
      <c r="BT10" s="10">
        <v>0.8</v>
      </c>
      <c r="BU10" s="10"/>
      <c r="BV10" s="10">
        <v>0.8</v>
      </c>
      <c r="BZ10" s="10"/>
      <c r="CA10" s="10">
        <v>0.8</v>
      </c>
      <c r="CB10" s="10"/>
      <c r="CC10" s="10">
        <v>0.8</v>
      </c>
      <c r="CG10" s="10"/>
      <c r="CH10" s="10">
        <v>1</v>
      </c>
      <c r="CI10" s="10"/>
      <c r="CJ10" s="10">
        <v>1</v>
      </c>
      <c r="CN10" s="10"/>
      <c r="CO10" s="10"/>
      <c r="CP10" s="10"/>
      <c r="CQ10" s="10"/>
      <c r="CU10" s="10"/>
      <c r="CV10" s="10"/>
      <c r="CW10" s="10"/>
      <c r="CX10" s="10"/>
      <c r="DB10" s="10"/>
      <c r="DC10" s="10"/>
      <c r="DD10" s="10"/>
      <c r="DE10" s="10"/>
    </row>
    <row r="11" spans="2:110" outlineLevel="1" x14ac:dyDescent="0.2">
      <c r="B11" t="s">
        <v>28</v>
      </c>
      <c r="C11" t="s">
        <v>111</v>
      </c>
      <c r="E11" s="9"/>
      <c r="F11" t="s">
        <v>116</v>
      </c>
      <c r="G11" s="10">
        <v>0.05</v>
      </c>
      <c r="I11" s="9">
        <v>0</v>
      </c>
      <c r="J11" s="11" cm="1">
        <f t="array" ref="J11">MAX(IF($N$3:$EH$3=$J$3,N11:EH11))</f>
        <v>0.3</v>
      </c>
      <c r="K11" s="11" cm="1">
        <f t="array" ref="K11">MAX(IF($N$3:$EH$3=$J$3,N11:EH11))</f>
        <v>0.3</v>
      </c>
      <c r="L11" s="9"/>
      <c r="O11" s="10">
        <v>0.3</v>
      </c>
      <c r="P11" s="10"/>
      <c r="Q11" s="10"/>
      <c r="R11" s="10"/>
      <c r="V11" s="10"/>
      <c r="W11" s="10"/>
      <c r="X11" s="10"/>
      <c r="Y11" s="10"/>
      <c r="AC11" s="10"/>
      <c r="AD11" s="10"/>
      <c r="AE11" s="10"/>
      <c r="AF11" s="10"/>
      <c r="AJ11" s="10"/>
      <c r="AK11" s="10"/>
      <c r="AL11" s="10"/>
      <c r="AM11" s="10"/>
      <c r="AQ11" s="10"/>
      <c r="AR11" s="10">
        <v>1</v>
      </c>
      <c r="AS11" s="10"/>
      <c r="AT11" s="10">
        <v>1</v>
      </c>
      <c r="AX11" s="10"/>
      <c r="AY11" s="10"/>
      <c r="AZ11" s="10"/>
      <c r="BA11" s="10"/>
      <c r="BE11" s="10"/>
      <c r="BF11" s="10"/>
      <c r="BG11" s="10"/>
      <c r="BH11" s="10"/>
      <c r="BL11" s="10"/>
      <c r="BM11" s="10"/>
      <c r="BN11" s="10"/>
      <c r="BO11" s="10"/>
      <c r="BS11" s="10"/>
      <c r="BT11" s="10">
        <v>0.8</v>
      </c>
      <c r="BU11" s="10"/>
      <c r="BV11" s="10">
        <v>0.8</v>
      </c>
      <c r="BZ11" s="10"/>
      <c r="CA11" s="10">
        <v>0.8</v>
      </c>
      <c r="CB11" s="10"/>
      <c r="CC11" s="10">
        <v>0.8</v>
      </c>
      <c r="CG11" s="10"/>
      <c r="CH11" s="10">
        <v>1</v>
      </c>
      <c r="CI11" s="10"/>
      <c r="CJ11" s="10">
        <v>1</v>
      </c>
      <c r="CN11" s="10"/>
      <c r="CO11" s="10"/>
      <c r="CP11" s="10"/>
      <c r="CQ11" s="10"/>
      <c r="CU11" s="10"/>
      <c r="CV11" s="10"/>
      <c r="CW11" s="10"/>
      <c r="CX11" s="10"/>
      <c r="DB11" s="10"/>
      <c r="DC11" s="10"/>
      <c r="DD11" s="10"/>
      <c r="DE11" s="10"/>
    </row>
    <row r="12" spans="2:110" outlineLevel="1" x14ac:dyDescent="0.2">
      <c r="B12" t="s">
        <v>28</v>
      </c>
      <c r="C12" t="s">
        <v>111</v>
      </c>
      <c r="E12" s="9"/>
      <c r="F12" t="s">
        <v>116</v>
      </c>
      <c r="G12" s="10">
        <v>0.05</v>
      </c>
      <c r="I12" s="9">
        <v>0</v>
      </c>
      <c r="J12" s="11" cm="1">
        <f t="array" ref="J12">MAX(IF($N$3:$EH$3=$J$3,N12:EH12))</f>
        <v>0.3</v>
      </c>
      <c r="K12" s="11" cm="1">
        <f t="array" ref="K12">MAX(IF($N$3:$EH$3=$J$3,N12:EH12))</f>
        <v>0.3</v>
      </c>
      <c r="L12" s="9"/>
      <c r="O12" s="10">
        <v>0.3</v>
      </c>
      <c r="P12" s="10"/>
      <c r="Q12" s="10"/>
      <c r="R12" s="10"/>
      <c r="V12" s="10"/>
      <c r="W12" s="10"/>
      <c r="X12" s="10"/>
      <c r="Y12" s="10"/>
      <c r="AC12" s="10"/>
      <c r="AD12" s="10"/>
      <c r="AE12" s="10"/>
      <c r="AF12" s="10"/>
      <c r="AJ12" s="10"/>
      <c r="AK12" s="10"/>
      <c r="AL12" s="10"/>
      <c r="AM12" s="10"/>
      <c r="AQ12" s="10"/>
      <c r="AR12" s="10">
        <v>1</v>
      </c>
      <c r="AS12" s="10"/>
      <c r="AT12" s="10">
        <v>1</v>
      </c>
      <c r="AX12" s="10"/>
      <c r="AY12" s="10"/>
      <c r="AZ12" s="10"/>
      <c r="BA12" s="10"/>
      <c r="BE12" s="10"/>
      <c r="BF12" s="10"/>
      <c r="BG12" s="10"/>
      <c r="BH12" s="10"/>
      <c r="BL12" s="10"/>
      <c r="BM12" s="10"/>
      <c r="BN12" s="10"/>
      <c r="BO12" s="10"/>
      <c r="BS12" s="10"/>
      <c r="BT12" s="10">
        <v>0.8</v>
      </c>
      <c r="BU12" s="10"/>
      <c r="BV12" s="10">
        <v>0.8</v>
      </c>
      <c r="BZ12" s="10"/>
      <c r="CA12" s="10">
        <v>0.8</v>
      </c>
      <c r="CB12" s="10"/>
      <c r="CC12" s="10">
        <v>0.8</v>
      </c>
      <c r="CG12" s="10"/>
      <c r="CH12" s="10">
        <v>1</v>
      </c>
      <c r="CI12" s="10"/>
      <c r="CJ12" s="10">
        <v>1</v>
      </c>
      <c r="CN12" s="10"/>
      <c r="CO12" s="10"/>
      <c r="CP12" s="10"/>
      <c r="CQ12" s="10"/>
      <c r="CU12" s="10"/>
      <c r="CV12" s="10"/>
      <c r="CW12" s="10"/>
      <c r="CX12" s="10"/>
      <c r="DB12" s="10"/>
      <c r="DC12" s="10"/>
      <c r="DD12" s="10"/>
      <c r="DE12" s="10"/>
    </row>
    <row r="13" spans="2:110" outlineLevel="1" x14ac:dyDescent="0.2">
      <c r="B13" t="s">
        <v>28</v>
      </c>
      <c r="C13" t="s">
        <v>111</v>
      </c>
      <c r="E13" s="9"/>
      <c r="F13" t="s">
        <v>116</v>
      </c>
      <c r="G13" s="10">
        <v>0.05</v>
      </c>
      <c r="I13" s="9">
        <v>0</v>
      </c>
      <c r="J13" s="11" cm="1">
        <f t="array" ref="J13">MAX(IF($N$3:$EH$3=$J$3,N13:EH13))</f>
        <v>0.3</v>
      </c>
      <c r="K13" s="11" cm="1">
        <f t="array" ref="K13">MAX(IF($N$3:$EH$3=$J$3,N13:EH13))</f>
        <v>0.3</v>
      </c>
      <c r="L13" s="9"/>
      <c r="O13" s="10">
        <v>0.3</v>
      </c>
      <c r="P13" s="10"/>
      <c r="Q13" s="10"/>
      <c r="R13" s="10"/>
      <c r="V13" s="10"/>
      <c r="W13" s="10"/>
      <c r="X13" s="10"/>
      <c r="Y13" s="10"/>
      <c r="AC13" s="10"/>
      <c r="AD13" s="10"/>
      <c r="AE13" s="10"/>
      <c r="AF13" s="10"/>
      <c r="AJ13" s="10"/>
      <c r="AK13" s="10"/>
      <c r="AL13" s="10"/>
      <c r="AM13" s="10"/>
      <c r="AQ13" s="10"/>
      <c r="AR13" s="10">
        <v>1</v>
      </c>
      <c r="AS13" s="10"/>
      <c r="AT13" s="10">
        <v>1</v>
      </c>
      <c r="AX13" s="10"/>
      <c r="AY13" s="10"/>
      <c r="AZ13" s="10"/>
      <c r="BA13" s="10"/>
      <c r="BE13" s="10"/>
      <c r="BF13" s="10"/>
      <c r="BG13" s="10"/>
      <c r="BH13" s="10"/>
      <c r="BL13" s="10"/>
      <c r="BM13" s="10"/>
      <c r="BN13" s="10"/>
      <c r="BO13" s="10"/>
      <c r="BS13" s="10"/>
      <c r="BT13" s="10">
        <v>0.8</v>
      </c>
      <c r="BU13" s="10"/>
      <c r="BV13" s="10">
        <v>0.8</v>
      </c>
      <c r="BZ13" s="10"/>
      <c r="CA13" s="10">
        <v>0.8</v>
      </c>
      <c r="CB13" s="10"/>
      <c r="CC13" s="10">
        <v>0.8</v>
      </c>
      <c r="CG13" s="10"/>
      <c r="CH13" s="10">
        <v>1</v>
      </c>
      <c r="CI13" s="10"/>
      <c r="CJ13" s="10">
        <v>1</v>
      </c>
      <c r="CN13" s="10"/>
      <c r="CO13" s="10"/>
      <c r="CP13" s="10"/>
      <c r="CQ13" s="10"/>
      <c r="CU13" s="10"/>
      <c r="CV13" s="10"/>
      <c r="CW13" s="10"/>
      <c r="CX13" s="10"/>
      <c r="DB13" s="10"/>
      <c r="DC13" s="10"/>
      <c r="DD13" s="10"/>
      <c r="DE13" s="10"/>
    </row>
    <row r="14" spans="2:110" outlineLevel="1" x14ac:dyDescent="0.2">
      <c r="B14" t="s">
        <v>28</v>
      </c>
      <c r="C14" t="s">
        <v>111</v>
      </c>
      <c r="E14" s="9"/>
      <c r="F14" t="s">
        <v>116</v>
      </c>
      <c r="G14" s="10">
        <v>0.05</v>
      </c>
      <c r="I14" s="9">
        <v>0</v>
      </c>
      <c r="J14" s="11" cm="1">
        <f t="array" ref="J14">MAX(IF($N$3:$EH$3=$J$3,N14:EH14))</f>
        <v>0.3</v>
      </c>
      <c r="K14" s="11" cm="1">
        <f t="array" ref="K14">MAX(IF($N$3:$EH$3=$J$3,N14:EH14))</f>
        <v>0.3</v>
      </c>
      <c r="L14" s="9"/>
      <c r="O14" s="10">
        <v>0.3</v>
      </c>
      <c r="P14" s="10"/>
      <c r="Q14" s="10"/>
      <c r="R14" s="10"/>
      <c r="V14" s="10"/>
      <c r="W14" s="10"/>
      <c r="X14" s="10"/>
      <c r="Y14" s="10"/>
      <c r="AC14" s="10"/>
      <c r="AD14" s="10"/>
      <c r="AE14" s="10"/>
      <c r="AF14" s="10"/>
      <c r="AJ14" s="10"/>
      <c r="AK14" s="10"/>
      <c r="AL14" s="10"/>
      <c r="AM14" s="10"/>
      <c r="AQ14" s="10"/>
      <c r="AR14" s="10">
        <v>1</v>
      </c>
      <c r="AS14" s="10"/>
      <c r="AT14" s="10">
        <v>1</v>
      </c>
      <c r="AX14" s="10"/>
      <c r="AY14" s="10"/>
      <c r="AZ14" s="10"/>
      <c r="BA14" s="10"/>
      <c r="BE14" s="10"/>
      <c r="BF14" s="10"/>
      <c r="BG14" s="10"/>
      <c r="BH14" s="10"/>
      <c r="BL14" s="10"/>
      <c r="BM14" s="10"/>
      <c r="BN14" s="10"/>
      <c r="BO14" s="10"/>
      <c r="BS14" s="10"/>
      <c r="BT14" s="10">
        <v>0.8</v>
      </c>
      <c r="BU14" s="10"/>
      <c r="BV14" s="10">
        <v>0.8</v>
      </c>
      <c r="BZ14" s="10"/>
      <c r="CA14" s="10">
        <v>0.8</v>
      </c>
      <c r="CB14" s="10"/>
      <c r="CC14" s="10">
        <v>0.8</v>
      </c>
      <c r="CG14" s="10"/>
      <c r="CH14" s="10">
        <v>1</v>
      </c>
      <c r="CI14" s="10"/>
      <c r="CJ14" s="10">
        <v>1</v>
      </c>
      <c r="CN14" s="10"/>
      <c r="CO14" s="10"/>
      <c r="CP14" s="10"/>
      <c r="CQ14" s="10"/>
      <c r="CU14" s="10"/>
      <c r="CV14" s="10"/>
      <c r="CW14" s="10"/>
      <c r="CX14" s="10"/>
      <c r="DB14" s="10"/>
      <c r="DC14" s="10"/>
      <c r="DD14" s="10"/>
      <c r="DE14" s="10"/>
    </row>
    <row r="15" spans="2:110" outlineLevel="1" x14ac:dyDescent="0.2">
      <c r="B15" t="s">
        <v>28</v>
      </c>
      <c r="C15" t="s">
        <v>111</v>
      </c>
      <c r="E15" s="9"/>
      <c r="F15" t="s">
        <v>116</v>
      </c>
      <c r="G15" s="10">
        <v>0.05</v>
      </c>
      <c r="I15" s="9">
        <v>0</v>
      </c>
      <c r="J15" s="11" cm="1">
        <f t="array" ref="J15">MAX(IF($N$3:$EH$3=$J$3,N15:EH15))</f>
        <v>0.3</v>
      </c>
      <c r="K15" s="11" cm="1">
        <f t="array" ref="K15">MAX(IF($N$3:$EH$3=$J$3,N15:EH15))</f>
        <v>0.3</v>
      </c>
      <c r="L15" s="9"/>
      <c r="O15" s="10">
        <v>0.3</v>
      </c>
      <c r="P15" s="10"/>
      <c r="Q15" s="10"/>
      <c r="R15" s="10"/>
      <c r="V15" s="10"/>
      <c r="W15" s="10"/>
      <c r="X15" s="10"/>
      <c r="Y15" s="10"/>
      <c r="AC15" s="10"/>
      <c r="AD15" s="10"/>
      <c r="AE15" s="10"/>
      <c r="AF15" s="10"/>
      <c r="AJ15" s="10"/>
      <c r="AK15" s="10"/>
      <c r="AL15" s="10"/>
      <c r="AM15" s="10"/>
      <c r="AQ15" s="10"/>
      <c r="AR15" s="10">
        <v>1</v>
      </c>
      <c r="AS15" s="10"/>
      <c r="AT15" s="10">
        <v>1</v>
      </c>
      <c r="AX15" s="10"/>
      <c r="AY15" s="10"/>
      <c r="AZ15" s="10"/>
      <c r="BA15" s="10"/>
      <c r="BE15" s="10"/>
      <c r="BF15" s="10"/>
      <c r="BG15" s="10"/>
      <c r="BH15" s="10"/>
      <c r="BL15" s="10"/>
      <c r="BM15" s="10"/>
      <c r="BN15" s="10"/>
      <c r="BO15" s="10"/>
      <c r="BS15" s="10"/>
      <c r="BT15" s="10">
        <v>0.8</v>
      </c>
      <c r="BU15" s="10"/>
      <c r="BV15" s="10">
        <v>0.8</v>
      </c>
      <c r="BZ15" s="10"/>
      <c r="CA15" s="10">
        <v>0.8</v>
      </c>
      <c r="CB15" s="10"/>
      <c r="CC15" s="10">
        <v>0.8</v>
      </c>
      <c r="CG15" s="10"/>
      <c r="CH15" s="10">
        <v>1</v>
      </c>
      <c r="CI15" s="10"/>
      <c r="CJ15" s="10">
        <v>1</v>
      </c>
      <c r="CN15" s="10"/>
      <c r="CO15" s="10"/>
      <c r="CP15" s="10"/>
      <c r="CQ15" s="10"/>
      <c r="CU15" s="10"/>
      <c r="CV15" s="10"/>
      <c r="CW15" s="10"/>
      <c r="CX15" s="10"/>
      <c r="DB15" s="10"/>
      <c r="DC15" s="10"/>
      <c r="DD15" s="10"/>
      <c r="DE15" s="10"/>
    </row>
    <row r="16" spans="2:110" outlineLevel="1" x14ac:dyDescent="0.2">
      <c r="B16" t="s">
        <v>28</v>
      </c>
      <c r="C16" t="s">
        <v>111</v>
      </c>
      <c r="E16" s="9"/>
      <c r="F16" t="s">
        <v>116</v>
      </c>
      <c r="G16" s="10">
        <v>0.05</v>
      </c>
      <c r="I16" s="9">
        <v>0</v>
      </c>
      <c r="J16" s="11" cm="1">
        <f t="array" ref="J16">MAX(IF($N$3:$EH$3=$J$3,N16:EH16))</f>
        <v>0.3</v>
      </c>
      <c r="K16" s="11" cm="1">
        <f t="array" ref="K16">MAX(IF($N$3:$EH$3=$J$3,N16:EH16))</f>
        <v>0.3</v>
      </c>
      <c r="L16" s="9"/>
      <c r="O16" s="10">
        <v>0.3</v>
      </c>
      <c r="P16" s="10"/>
      <c r="Q16" s="10"/>
      <c r="R16" s="10"/>
      <c r="V16" s="10"/>
      <c r="W16" s="10"/>
      <c r="X16" s="10"/>
      <c r="Y16" s="10"/>
      <c r="AC16" s="10"/>
      <c r="AD16" s="10"/>
      <c r="AE16" s="10"/>
      <c r="AF16" s="10"/>
      <c r="AJ16" s="10"/>
      <c r="AK16" s="10"/>
      <c r="AL16" s="10"/>
      <c r="AM16" s="10"/>
      <c r="AQ16" s="10"/>
      <c r="AR16" s="10">
        <v>1</v>
      </c>
      <c r="AS16" s="10"/>
      <c r="AT16" s="10">
        <v>1</v>
      </c>
      <c r="AX16" s="10"/>
      <c r="AY16" s="10"/>
      <c r="AZ16" s="10"/>
      <c r="BA16" s="10"/>
      <c r="BE16" s="10"/>
      <c r="BF16" s="10"/>
      <c r="BG16" s="10"/>
      <c r="BH16" s="10"/>
      <c r="BL16" s="10"/>
      <c r="BM16" s="10"/>
      <c r="BN16" s="10"/>
      <c r="BO16" s="10"/>
      <c r="BS16" s="10"/>
      <c r="BT16" s="10">
        <v>0.8</v>
      </c>
      <c r="BU16" s="10"/>
      <c r="BV16" s="10">
        <v>0.8</v>
      </c>
      <c r="BZ16" s="10"/>
      <c r="CA16" s="10">
        <v>0.8</v>
      </c>
      <c r="CB16" s="10"/>
      <c r="CC16" s="10">
        <v>0.8</v>
      </c>
      <c r="CG16" s="10"/>
      <c r="CH16" s="10">
        <v>1</v>
      </c>
      <c r="CI16" s="10"/>
      <c r="CJ16" s="10">
        <v>1</v>
      </c>
      <c r="CN16" s="10"/>
      <c r="CO16" s="10"/>
      <c r="CP16" s="10"/>
      <c r="CQ16" s="10"/>
      <c r="CU16" s="10"/>
      <c r="CV16" s="10"/>
      <c r="CW16" s="10"/>
      <c r="CX16" s="10"/>
      <c r="DB16" s="10"/>
      <c r="DC16" s="10"/>
      <c r="DD16" s="10"/>
      <c r="DE16" s="10"/>
    </row>
    <row r="17" spans="2:109" ht="51" outlineLevel="1" x14ac:dyDescent="0.2">
      <c r="B17" t="s">
        <v>28</v>
      </c>
      <c r="C17" t="s">
        <v>111</v>
      </c>
      <c r="E17" s="9"/>
      <c r="F17" s="1" t="s">
        <v>117</v>
      </c>
      <c r="G17" s="10">
        <v>0.1</v>
      </c>
      <c r="I17" s="9">
        <f>+SUMIF($N$3:$ZZ$3,I$3,$N17:$ZZ17)</f>
        <v>0</v>
      </c>
      <c r="J17" s="11" cm="1">
        <f t="array" ref="J17">MAX(IF($N$3:$EH$3=$J$3,N17:EH17))</f>
        <v>0</v>
      </c>
      <c r="K17" s="11" cm="1">
        <f t="array" ref="K17">MAX(IF($N$3:$EH$3=$J$3,N17:EH17))</f>
        <v>0</v>
      </c>
      <c r="L17" s="9"/>
      <c r="O17" s="10"/>
      <c r="P17" s="10"/>
      <c r="Q17" s="10"/>
      <c r="R17" s="10"/>
      <c r="V17" s="10"/>
      <c r="W17" s="10"/>
      <c r="X17" s="10"/>
      <c r="Y17" s="10"/>
      <c r="AC17" s="10"/>
      <c r="AD17" s="10"/>
      <c r="AE17" s="10"/>
      <c r="AF17" s="10"/>
      <c r="AJ17" s="10"/>
      <c r="AK17" s="10"/>
      <c r="AL17" s="10"/>
      <c r="AM17" s="10"/>
      <c r="AQ17" s="10"/>
      <c r="AR17" s="10">
        <v>1</v>
      </c>
      <c r="AS17" s="10"/>
      <c r="AT17" s="10">
        <v>1</v>
      </c>
      <c r="AX17" s="10"/>
      <c r="AY17" s="10"/>
      <c r="AZ17" s="10"/>
      <c r="BA17" s="10"/>
      <c r="BE17" s="10"/>
      <c r="BF17" s="10"/>
      <c r="BG17" s="10"/>
      <c r="BH17" s="10"/>
      <c r="BL17" s="10"/>
      <c r="BM17" s="10"/>
      <c r="BN17" s="10"/>
      <c r="BO17" s="10"/>
      <c r="BS17" s="10"/>
      <c r="BT17" s="10">
        <v>0.8</v>
      </c>
      <c r="BU17" s="10"/>
      <c r="BV17" s="10">
        <v>0.8</v>
      </c>
      <c r="BZ17" s="10"/>
      <c r="CA17" s="10">
        <v>0.8</v>
      </c>
      <c r="CB17" s="10"/>
      <c r="CC17" s="10">
        <v>0.8</v>
      </c>
      <c r="CG17" s="10"/>
      <c r="CH17" s="10">
        <v>1</v>
      </c>
      <c r="CI17" s="10"/>
      <c r="CJ17" s="10">
        <v>1</v>
      </c>
      <c r="CN17" s="10"/>
      <c r="CO17" s="10"/>
      <c r="CP17" s="10"/>
      <c r="CQ17" s="10"/>
      <c r="CU17" s="10"/>
      <c r="CV17" s="10"/>
      <c r="CW17" s="10"/>
      <c r="CX17" s="10"/>
      <c r="DB17" s="10"/>
      <c r="DC17" s="10"/>
      <c r="DD17" s="10"/>
      <c r="DE17" s="10"/>
    </row>
    <row r="18" spans="2:109" ht="31.5" customHeight="1" x14ac:dyDescent="0.2">
      <c r="G18" s="10"/>
    </row>
    <row r="19" spans="2:109" x14ac:dyDescent="0.2">
      <c r="B19" t="s">
        <v>27</v>
      </c>
      <c r="C19" t="s">
        <v>109</v>
      </c>
      <c r="D19" s="19">
        <v>45072</v>
      </c>
      <c r="E19" s="9">
        <v>6</v>
      </c>
      <c r="G19" s="10">
        <f>+SUM(G20:G25)</f>
        <v>1</v>
      </c>
      <c r="I19" s="9">
        <f>SUM(I20:I25)</f>
        <v>2</v>
      </c>
      <c r="J19" s="11">
        <f>+SUMPRODUCT(G20:G25,J20:J25)</f>
        <v>0.19500000000000001</v>
      </c>
      <c r="K19" s="11">
        <f>+SUMPRODUCT(G20:G25,K20:K25)</f>
        <v>0.19500000000000001</v>
      </c>
      <c r="L19" s="9"/>
      <c r="N19" s="12">
        <f>+SUM(N20:N25)</f>
        <v>0</v>
      </c>
      <c r="U19" s="12">
        <f>+SUM(U20:U25)</f>
        <v>0</v>
      </c>
      <c r="AB19" s="12">
        <f>+SUM(AB20:AB25)</f>
        <v>0</v>
      </c>
      <c r="AI19" s="12">
        <f>+SUM(AI20:AI25)</f>
        <v>0</v>
      </c>
      <c r="AP19" s="12">
        <f>+SUM(AP20:AP25)</f>
        <v>0</v>
      </c>
    </row>
    <row r="20" spans="2:109" outlineLevel="1" x14ac:dyDescent="0.2">
      <c r="B20" t="s">
        <v>28</v>
      </c>
      <c r="C20" t="s">
        <v>109</v>
      </c>
      <c r="E20" s="9"/>
      <c r="F20" t="s">
        <v>107</v>
      </c>
      <c r="G20" s="10">
        <v>0.1</v>
      </c>
      <c r="I20" s="9">
        <v>1</v>
      </c>
      <c r="J20" s="11" cm="1">
        <f t="array" ref="J20">MAX(IF($N$3:$EH$3=$J$3,N20:EH20))</f>
        <v>0.7</v>
      </c>
      <c r="K20" s="11" cm="1">
        <f t="array" ref="K20">MAX(IF($N$3:$EH$3=$J$3,N20:EH20))</f>
        <v>0.7</v>
      </c>
      <c r="L20" s="9"/>
      <c r="O20" s="10">
        <v>0.7</v>
      </c>
      <c r="P20" s="10">
        <v>0.8</v>
      </c>
      <c r="Q20" s="10"/>
      <c r="R20" s="10">
        <v>0.7</v>
      </c>
      <c r="V20" s="10"/>
      <c r="W20" s="10"/>
      <c r="X20" s="10"/>
      <c r="Y20" s="10"/>
      <c r="AC20" s="10"/>
      <c r="AD20" s="10"/>
      <c r="AE20" s="10"/>
      <c r="AF20" s="10"/>
      <c r="AJ20" s="10"/>
      <c r="AK20" s="10"/>
      <c r="AL20" s="10"/>
      <c r="AM20" s="10"/>
      <c r="AQ20" s="10"/>
      <c r="AR20" s="10">
        <v>1</v>
      </c>
      <c r="AS20" s="10"/>
      <c r="AT20" s="10">
        <v>1</v>
      </c>
      <c r="AX20" s="10"/>
      <c r="AY20" s="10"/>
      <c r="AZ20" s="10"/>
      <c r="BA20" s="10"/>
      <c r="BE20" s="10"/>
      <c r="BF20" s="10"/>
      <c r="BG20" s="10"/>
      <c r="BH20" s="10"/>
      <c r="BL20" s="10"/>
      <c r="BM20" s="10"/>
      <c r="BN20" s="10"/>
      <c r="BO20" s="10"/>
      <c r="BS20" s="10"/>
      <c r="BT20" s="10">
        <v>1</v>
      </c>
      <c r="BU20" s="10"/>
      <c r="BV20" s="10">
        <v>1</v>
      </c>
      <c r="BZ20" s="10"/>
      <c r="CA20" s="10">
        <v>1</v>
      </c>
      <c r="CB20" s="10"/>
      <c r="CC20" s="10">
        <v>1</v>
      </c>
      <c r="CG20" s="10"/>
      <c r="CH20" s="10">
        <v>1</v>
      </c>
      <c r="CI20" s="10"/>
      <c r="CJ20" s="10">
        <v>1</v>
      </c>
      <c r="CN20" s="10"/>
      <c r="CO20" s="10"/>
      <c r="CP20" s="10"/>
      <c r="CQ20" s="10"/>
      <c r="CU20" s="10"/>
      <c r="CV20" s="10"/>
      <c r="CW20" s="10"/>
      <c r="CX20" s="10"/>
      <c r="DB20" s="10"/>
      <c r="DC20" s="10"/>
      <c r="DD20" s="10"/>
      <c r="DE20" s="10"/>
    </row>
    <row r="21" spans="2:109" outlineLevel="1" x14ac:dyDescent="0.2">
      <c r="B21" t="s">
        <v>28</v>
      </c>
      <c r="C21" t="s">
        <v>109</v>
      </c>
      <c r="E21" s="9"/>
      <c r="F21" t="s">
        <v>108</v>
      </c>
      <c r="G21" s="10">
        <v>0.15</v>
      </c>
      <c r="I21" s="9">
        <v>1</v>
      </c>
      <c r="J21" s="11" cm="1">
        <f t="array" ref="J21">MAX(IF($N$3:$EH$3=$J$3,N21:EH21))</f>
        <v>0.3</v>
      </c>
      <c r="K21" s="11" cm="1">
        <f t="array" ref="K21">MAX(IF($N$3:$EH$3=$J$3,N21:EH21))</f>
        <v>0.3</v>
      </c>
      <c r="L21" s="9"/>
      <c r="O21" s="10">
        <v>0.3</v>
      </c>
      <c r="P21" s="10">
        <v>0.5</v>
      </c>
      <c r="Q21" s="10"/>
      <c r="R21" s="10">
        <v>0.5</v>
      </c>
      <c r="V21" s="10"/>
      <c r="W21" s="10"/>
      <c r="X21" s="10"/>
      <c r="Y21" s="10"/>
      <c r="AC21" s="10"/>
      <c r="AD21" s="10"/>
      <c r="AE21" s="10"/>
      <c r="AF21" s="10"/>
      <c r="AJ21" s="10"/>
      <c r="AK21" s="10"/>
      <c r="AL21" s="10"/>
      <c r="AM21" s="10"/>
      <c r="AQ21" s="10"/>
      <c r="AR21" s="10">
        <v>1</v>
      </c>
      <c r="AS21" s="10"/>
      <c r="AT21" s="10">
        <v>1</v>
      </c>
      <c r="AX21" s="10"/>
      <c r="AY21" s="10"/>
      <c r="AZ21" s="10"/>
      <c r="BA21" s="10"/>
      <c r="BE21" s="10"/>
      <c r="BF21" s="10"/>
      <c r="BG21" s="10"/>
      <c r="BH21" s="10"/>
      <c r="BL21" s="10"/>
      <c r="BM21" s="10"/>
      <c r="BN21" s="10"/>
      <c r="BO21" s="10"/>
      <c r="BS21" s="10"/>
      <c r="BT21" s="10">
        <v>0.8</v>
      </c>
      <c r="BU21" s="10"/>
      <c r="BV21" s="10">
        <v>0.8</v>
      </c>
      <c r="BZ21" s="10"/>
      <c r="CA21" s="10">
        <v>1</v>
      </c>
      <c r="CB21" s="10"/>
      <c r="CC21" s="10">
        <v>1</v>
      </c>
      <c r="CG21" s="10"/>
      <c r="CH21" s="10">
        <v>1</v>
      </c>
      <c r="CI21" s="10"/>
      <c r="CJ21" s="10">
        <v>1</v>
      </c>
      <c r="CN21" s="10"/>
      <c r="CO21" s="10"/>
      <c r="CP21" s="10"/>
      <c r="CQ21" s="10"/>
      <c r="CU21" s="10"/>
      <c r="CV21" s="10"/>
      <c r="CW21" s="10"/>
      <c r="CX21" s="10"/>
      <c r="DB21" s="10"/>
      <c r="DC21" s="10"/>
      <c r="DD21" s="10"/>
      <c r="DE21" s="10"/>
    </row>
    <row r="22" spans="2:109" outlineLevel="1" x14ac:dyDescent="0.2">
      <c r="B22" t="s">
        <v>28</v>
      </c>
      <c r="C22" t="s">
        <v>109</v>
      </c>
      <c r="E22" s="9"/>
      <c r="F22" t="s">
        <v>104</v>
      </c>
      <c r="G22" s="10">
        <v>0.2</v>
      </c>
      <c r="I22" s="9">
        <v>0</v>
      </c>
      <c r="J22" s="11" cm="1">
        <f t="array" ref="J22">MAX(IF($N$3:$EH$3=$J$3,N22:EH22))</f>
        <v>0</v>
      </c>
      <c r="K22" s="11" cm="1">
        <f t="array" ref="K22">MAX(IF($N$3:$EH$3=$J$3,N22:EH22))</f>
        <v>0</v>
      </c>
      <c r="L22" s="9"/>
      <c r="O22" s="10"/>
      <c r="P22" s="10">
        <v>0.3</v>
      </c>
      <c r="Q22" s="10"/>
      <c r="R22" s="10">
        <v>0.5</v>
      </c>
      <c r="V22" s="10"/>
      <c r="W22" s="10"/>
      <c r="X22" s="10"/>
      <c r="Y22" s="10"/>
      <c r="AC22" s="10"/>
      <c r="AD22" s="10"/>
      <c r="AE22" s="10"/>
      <c r="AF22" s="10"/>
      <c r="AJ22" s="10"/>
      <c r="AK22" s="10"/>
      <c r="AL22" s="10"/>
      <c r="AM22" s="10"/>
      <c r="AQ22" s="10"/>
      <c r="AR22" s="10">
        <v>1</v>
      </c>
      <c r="AS22" s="10"/>
      <c r="AT22" s="10">
        <v>1</v>
      </c>
      <c r="AX22" s="10"/>
      <c r="AY22" s="10"/>
      <c r="AZ22" s="10"/>
      <c r="BA22" s="10"/>
      <c r="BE22" s="10"/>
      <c r="BF22" s="10"/>
      <c r="BG22" s="10"/>
      <c r="BH22" s="10"/>
      <c r="BL22" s="10"/>
      <c r="BM22" s="10"/>
      <c r="BN22" s="10"/>
      <c r="BO22" s="10"/>
      <c r="BS22" s="10"/>
      <c r="BT22" s="10">
        <v>0.8</v>
      </c>
      <c r="BU22" s="10"/>
      <c r="BV22" s="10">
        <v>0.8</v>
      </c>
      <c r="BZ22" s="10"/>
      <c r="CA22" s="10">
        <v>1</v>
      </c>
      <c r="CB22" s="10"/>
      <c r="CC22" s="10">
        <v>1</v>
      </c>
      <c r="CG22" s="10"/>
      <c r="CH22" s="10">
        <v>1</v>
      </c>
      <c r="CI22" s="10"/>
      <c r="CJ22" s="10">
        <v>1</v>
      </c>
      <c r="CN22" s="10"/>
      <c r="CO22" s="10"/>
      <c r="CP22" s="10"/>
      <c r="CQ22" s="10"/>
      <c r="CU22" s="10"/>
      <c r="CV22" s="10"/>
      <c r="CW22" s="10"/>
      <c r="CX22" s="10"/>
      <c r="DB22" s="10"/>
      <c r="DC22" s="10"/>
      <c r="DD22" s="10"/>
      <c r="DE22" s="10"/>
    </row>
    <row r="23" spans="2:109" outlineLevel="1" x14ac:dyDescent="0.2">
      <c r="B23" t="s">
        <v>28</v>
      </c>
      <c r="C23" t="s">
        <v>109</v>
      </c>
      <c r="E23" s="9"/>
      <c r="F23" t="s">
        <v>106</v>
      </c>
      <c r="G23" s="10">
        <v>0.2</v>
      </c>
      <c r="I23" s="9">
        <v>0</v>
      </c>
      <c r="J23" s="11" cm="1">
        <f t="array" ref="J23">MAX(IF($N$3:$EH$3=$J$3,N23:EH23))</f>
        <v>0</v>
      </c>
      <c r="K23" s="11" cm="1">
        <f t="array" ref="K23">MAX(IF($N$3:$EH$3=$J$3,N23:EH23))</f>
        <v>0</v>
      </c>
      <c r="L23" s="9"/>
      <c r="O23" s="10"/>
      <c r="P23" s="10">
        <v>0.3</v>
      </c>
      <c r="Q23" s="10"/>
      <c r="R23" s="10">
        <v>0.3</v>
      </c>
      <c r="V23" s="10"/>
      <c r="W23" s="10"/>
      <c r="X23" s="10"/>
      <c r="Y23" s="10"/>
      <c r="AC23" s="10"/>
      <c r="AD23" s="10"/>
      <c r="AE23" s="10"/>
      <c r="AF23" s="10"/>
      <c r="AJ23" s="10"/>
      <c r="AK23" s="10"/>
      <c r="AL23" s="10"/>
      <c r="AM23" s="10"/>
      <c r="AQ23" s="10"/>
      <c r="AR23" s="10">
        <v>1</v>
      </c>
      <c r="AS23" s="10"/>
      <c r="AT23" s="10">
        <v>1</v>
      </c>
      <c r="AX23" s="10"/>
      <c r="AY23" s="10"/>
      <c r="AZ23" s="10"/>
      <c r="BA23" s="10"/>
      <c r="BE23" s="10"/>
      <c r="BF23" s="10"/>
      <c r="BG23" s="10"/>
      <c r="BH23" s="10"/>
      <c r="BL23" s="10"/>
      <c r="BM23" s="10"/>
      <c r="BN23" s="10"/>
      <c r="BO23" s="10"/>
      <c r="BS23" s="10"/>
      <c r="BT23" s="10">
        <v>0.8</v>
      </c>
      <c r="BU23" s="10"/>
      <c r="BV23" s="10">
        <v>0.8</v>
      </c>
      <c r="BZ23" s="10"/>
      <c r="CA23" s="10">
        <v>1</v>
      </c>
      <c r="CB23" s="10"/>
      <c r="CC23" s="10">
        <v>1</v>
      </c>
      <c r="CG23" s="10"/>
      <c r="CH23" s="10">
        <v>1</v>
      </c>
      <c r="CI23" s="10"/>
      <c r="CJ23" s="10">
        <v>1</v>
      </c>
      <c r="CN23" s="10"/>
      <c r="CO23" s="10"/>
      <c r="CP23" s="10"/>
      <c r="CQ23" s="10"/>
      <c r="CU23" s="10"/>
      <c r="CV23" s="10"/>
      <c r="CW23" s="10"/>
      <c r="CX23" s="10"/>
      <c r="DB23" s="10"/>
      <c r="DC23" s="10"/>
      <c r="DD23" s="10"/>
      <c r="DE23" s="10"/>
    </row>
    <row r="24" spans="2:109" outlineLevel="1" x14ac:dyDescent="0.2">
      <c r="B24" t="s">
        <v>28</v>
      </c>
      <c r="C24" t="s">
        <v>109</v>
      </c>
      <c r="E24" s="9"/>
      <c r="F24" t="s">
        <v>105</v>
      </c>
      <c r="G24" s="10">
        <v>0.15</v>
      </c>
      <c r="I24" s="9">
        <v>0</v>
      </c>
      <c r="J24" s="11" cm="1">
        <f t="array" ref="J24">MAX(IF($N$3:$EH$3=$J$3,N24:EH24))</f>
        <v>0.4</v>
      </c>
      <c r="K24" s="11" cm="1">
        <f t="array" ref="K24">MAX(IF($N$3:$EH$3=$J$3,N24:EH24))</f>
        <v>0.4</v>
      </c>
      <c r="L24" s="9"/>
      <c r="O24" s="10">
        <v>0.4</v>
      </c>
      <c r="P24" s="10">
        <v>0.4</v>
      </c>
      <c r="Q24" s="10"/>
      <c r="R24" s="10">
        <v>0.3</v>
      </c>
      <c r="V24" s="10"/>
      <c r="W24" s="10"/>
      <c r="X24" s="10"/>
      <c r="Y24" s="10"/>
      <c r="AC24" s="10"/>
      <c r="AD24" s="10"/>
      <c r="AE24" s="10"/>
      <c r="AF24" s="10"/>
      <c r="AJ24" s="10"/>
      <c r="AK24" s="10"/>
      <c r="AL24" s="10"/>
      <c r="AM24" s="10"/>
      <c r="AQ24" s="10"/>
      <c r="AR24" s="10">
        <v>1</v>
      </c>
      <c r="AS24" s="10"/>
      <c r="AT24" s="10">
        <v>1</v>
      </c>
      <c r="AX24" s="10"/>
      <c r="AY24" s="10"/>
      <c r="AZ24" s="10"/>
      <c r="BA24" s="10"/>
      <c r="BE24" s="10"/>
      <c r="BF24" s="10"/>
      <c r="BG24" s="10"/>
      <c r="BH24" s="10"/>
      <c r="BL24" s="10"/>
      <c r="BM24" s="10"/>
      <c r="BN24" s="10"/>
      <c r="BO24" s="10"/>
      <c r="BS24" s="10"/>
      <c r="BT24" s="10">
        <v>0.8</v>
      </c>
      <c r="BU24" s="10"/>
      <c r="BV24" s="10">
        <v>0.8</v>
      </c>
      <c r="BZ24" s="10"/>
      <c r="CA24" s="10">
        <v>0.8</v>
      </c>
      <c r="CB24" s="10"/>
      <c r="CC24" s="10">
        <v>0.8</v>
      </c>
      <c r="CG24" s="10"/>
      <c r="CH24" s="10">
        <v>1</v>
      </c>
      <c r="CI24" s="10"/>
      <c r="CJ24" s="10">
        <v>1</v>
      </c>
      <c r="CN24" s="10"/>
      <c r="CO24" s="10"/>
      <c r="CP24" s="10"/>
      <c r="CQ24" s="10"/>
      <c r="CU24" s="10"/>
      <c r="CV24" s="10"/>
      <c r="CW24" s="10"/>
      <c r="CX24" s="10"/>
      <c r="DB24" s="10"/>
      <c r="DC24" s="10"/>
      <c r="DD24" s="10"/>
      <c r="DE24" s="10"/>
    </row>
    <row r="25" spans="2:109" outlineLevel="1" x14ac:dyDescent="0.2">
      <c r="B25" t="s">
        <v>28</v>
      </c>
      <c r="C25" t="s">
        <v>109</v>
      </c>
      <c r="E25" s="9"/>
      <c r="F25" t="s">
        <v>103</v>
      </c>
      <c r="G25" s="10">
        <v>0.2</v>
      </c>
      <c r="I25" s="9">
        <v>0</v>
      </c>
      <c r="J25" s="11" cm="1">
        <f t="array" ref="J25">MAX(IF($N$3:$EH$3=$J$3,N25:EH25))</f>
        <v>0.1</v>
      </c>
      <c r="K25" s="11" cm="1">
        <f t="array" ref="K25">MAX(IF($N$3:$EH$3=$J$3,N25:EH25))</f>
        <v>0.1</v>
      </c>
      <c r="L25" s="9"/>
      <c r="O25" s="10">
        <v>0.1</v>
      </c>
      <c r="P25" s="10">
        <v>0.3</v>
      </c>
      <c r="Q25" s="10"/>
      <c r="R25" s="10">
        <v>0.1</v>
      </c>
      <c r="V25" s="10"/>
      <c r="W25" s="10"/>
      <c r="X25" s="10"/>
      <c r="Y25" s="10"/>
      <c r="AC25" s="10"/>
      <c r="AD25" s="10"/>
      <c r="AE25" s="10"/>
      <c r="AF25" s="10"/>
      <c r="AJ25" s="10"/>
      <c r="AK25" s="10"/>
      <c r="AL25" s="10"/>
      <c r="AM25" s="10"/>
      <c r="AQ25" s="10"/>
      <c r="AR25" s="10">
        <v>1</v>
      </c>
      <c r="AS25" s="10"/>
      <c r="AT25" s="10">
        <v>1</v>
      </c>
      <c r="AX25" s="10"/>
      <c r="AY25" s="10"/>
      <c r="AZ25" s="10"/>
      <c r="BA25" s="10"/>
      <c r="BE25" s="10"/>
      <c r="BF25" s="10"/>
      <c r="BG25" s="10"/>
      <c r="BH25" s="10"/>
      <c r="BL25" s="10"/>
      <c r="BM25" s="10"/>
      <c r="BN25" s="10"/>
      <c r="BO25" s="10"/>
      <c r="BS25" s="10"/>
      <c r="BT25" s="10">
        <v>0.8</v>
      </c>
      <c r="BU25" s="10"/>
      <c r="BV25" s="10">
        <v>0.8</v>
      </c>
      <c r="BZ25" s="10"/>
      <c r="CA25" s="10">
        <v>0.8</v>
      </c>
      <c r="CB25" s="10"/>
      <c r="CC25" s="10">
        <v>0.8</v>
      </c>
      <c r="CG25" s="10"/>
      <c r="CH25" s="10">
        <v>1</v>
      </c>
      <c r="CI25" s="10"/>
      <c r="CJ25" s="10">
        <v>1</v>
      </c>
      <c r="CN25" s="10"/>
      <c r="CO25" s="10"/>
      <c r="CP25" s="10"/>
      <c r="CQ25" s="10"/>
      <c r="CU25" s="10"/>
      <c r="CV25" s="10"/>
      <c r="CW25" s="10"/>
      <c r="CX25" s="10"/>
      <c r="DB25" s="10"/>
      <c r="DC25" s="10"/>
      <c r="DD25" s="10"/>
      <c r="DE25" s="10"/>
    </row>
    <row r="26" spans="2:109" ht="31.5" customHeight="1" x14ac:dyDescent="0.2"/>
    <row r="27" spans="2:109" x14ac:dyDescent="0.2">
      <c r="B27" t="s">
        <v>27</v>
      </c>
      <c r="C27" t="s">
        <v>110</v>
      </c>
      <c r="D27" s="19">
        <v>45068</v>
      </c>
      <c r="E27" s="9">
        <v>6</v>
      </c>
      <c r="G27" s="10">
        <f>SUM(G28:G45)</f>
        <v>0.94999999999999984</v>
      </c>
      <c r="I27" s="12">
        <f>SUM(H28:I45)</f>
        <v>3</v>
      </c>
      <c r="J27" s="11">
        <f>+SUMPRODUCT(G28:G45,J28:J45)</f>
        <v>0.03</v>
      </c>
      <c r="K27" s="11">
        <f>+SUMPRODUCT(G28:G45,K28:K45)</f>
        <v>0.03</v>
      </c>
      <c r="L27" s="9"/>
      <c r="N27" s="12">
        <f>+SUM(N28:N45)</f>
        <v>0</v>
      </c>
      <c r="U27" s="12">
        <f>+SUM(U28:U45)</f>
        <v>0</v>
      </c>
      <c r="AB27" s="12">
        <f>+SUM(AB28:AB45)</f>
        <v>0</v>
      </c>
      <c r="AI27" s="12">
        <f>+SUM(AI28:AI45)</f>
        <v>0</v>
      </c>
      <c r="AP27" s="12">
        <f>+SUM(AP28:AP45)</f>
        <v>0</v>
      </c>
    </row>
    <row r="28" spans="2:109" outlineLevel="1" x14ac:dyDescent="0.2">
      <c r="B28" t="s">
        <v>28</v>
      </c>
      <c r="C28" t="s">
        <v>110</v>
      </c>
      <c r="E28" s="9"/>
      <c r="F28" t="s">
        <v>138</v>
      </c>
      <c r="G28" s="10">
        <v>0.1</v>
      </c>
      <c r="I28" s="9">
        <v>3</v>
      </c>
      <c r="J28" s="11" cm="1">
        <f t="array" ref="J28">MAX(IF($N$3:$EH$3=$J$3,N28:EH28))</f>
        <v>0.3</v>
      </c>
      <c r="K28" s="11" cm="1">
        <f t="array" ref="K28">MAX(IF($N$3:$EH$3=$J$3,N28:EH28))</f>
        <v>0.3</v>
      </c>
      <c r="L28" s="9"/>
      <c r="O28" s="10">
        <v>0.3</v>
      </c>
      <c r="P28" s="10">
        <v>0.4</v>
      </c>
      <c r="Q28" s="10"/>
      <c r="R28" s="10">
        <v>0.3</v>
      </c>
      <c r="V28" s="10"/>
      <c r="W28" s="10">
        <v>0.8</v>
      </c>
      <c r="X28" s="10"/>
      <c r="Y28" s="10">
        <v>0.8</v>
      </c>
      <c r="AC28" s="10"/>
      <c r="AD28" s="10">
        <v>1</v>
      </c>
      <c r="AE28" s="10"/>
      <c r="AF28" s="10">
        <v>1</v>
      </c>
      <c r="AJ28" s="10"/>
      <c r="AK28" s="10">
        <v>1</v>
      </c>
      <c r="AL28" s="10"/>
      <c r="AM28" s="10">
        <v>1</v>
      </c>
      <c r="AQ28" s="10"/>
      <c r="AR28" s="10">
        <v>1</v>
      </c>
      <c r="AS28" s="10"/>
      <c r="AT28" s="10">
        <v>1</v>
      </c>
      <c r="AX28" s="10"/>
      <c r="AY28" s="10"/>
      <c r="AZ28" s="10"/>
      <c r="BA28" s="10"/>
      <c r="BE28" s="10"/>
      <c r="BF28" s="10">
        <v>1</v>
      </c>
      <c r="BG28" s="10"/>
      <c r="BH28" s="10">
        <v>1</v>
      </c>
      <c r="BL28" s="10"/>
      <c r="BM28" s="10"/>
      <c r="BN28" s="10"/>
      <c r="BO28" s="10"/>
      <c r="BS28" s="10"/>
      <c r="BT28" s="10"/>
      <c r="BU28" s="10"/>
      <c r="BV28" s="10"/>
      <c r="BZ28" s="10"/>
      <c r="CA28" s="10"/>
      <c r="CB28" s="10"/>
      <c r="CC28" s="10"/>
      <c r="CG28" s="10"/>
      <c r="CH28" s="10"/>
      <c r="CI28" s="10"/>
      <c r="CJ28" s="10"/>
      <c r="CN28" s="10"/>
      <c r="CO28" s="10"/>
      <c r="CP28" s="10"/>
      <c r="CQ28" s="10"/>
      <c r="CU28" s="10"/>
      <c r="CV28" s="10"/>
      <c r="CW28" s="10"/>
      <c r="CX28" s="10"/>
      <c r="DB28" s="10"/>
      <c r="DC28" s="10"/>
      <c r="DD28" s="10"/>
      <c r="DE28" s="10"/>
    </row>
    <row r="29" spans="2:109" outlineLevel="1" x14ac:dyDescent="0.2">
      <c r="B29" t="s">
        <v>28</v>
      </c>
      <c r="C29" t="s">
        <v>110</v>
      </c>
      <c r="E29" s="9"/>
      <c r="F29" t="s">
        <v>129</v>
      </c>
      <c r="G29" s="10">
        <v>0.05</v>
      </c>
      <c r="I29" s="9">
        <f>+SUMIF($N$3:$ZZ$3,I$3,$N29:$ZZ29)</f>
        <v>0</v>
      </c>
      <c r="J29" s="11" cm="1">
        <f t="array" ref="J29">MAX(IF($N$3:$EH$3=$J$3,N29:EH29))</f>
        <v>0</v>
      </c>
      <c r="K29" s="11" cm="1">
        <f t="array" ref="K29">MAX(IF($N$3:$EH$3=$J$3,N29:EH29))</f>
        <v>0</v>
      </c>
      <c r="L29" s="9"/>
      <c r="O29" s="10"/>
      <c r="P29" s="10">
        <v>0.4</v>
      </c>
      <c r="Q29" s="10"/>
      <c r="R29" s="10">
        <v>0.3</v>
      </c>
      <c r="V29" s="10"/>
      <c r="W29" s="10">
        <v>0.8</v>
      </c>
      <c r="X29" s="10"/>
      <c r="Y29" s="10">
        <v>0.8</v>
      </c>
      <c r="AC29" s="10"/>
      <c r="AD29" s="10">
        <v>1</v>
      </c>
      <c r="AE29" s="10"/>
      <c r="AF29" s="10">
        <v>1</v>
      </c>
      <c r="AJ29" s="10"/>
      <c r="AK29" s="10">
        <v>1</v>
      </c>
      <c r="AL29" s="10"/>
      <c r="AM29" s="10">
        <v>1</v>
      </c>
      <c r="AQ29" s="10"/>
      <c r="AR29" s="10">
        <v>1</v>
      </c>
      <c r="AS29" s="10"/>
      <c r="AT29" s="10">
        <v>1</v>
      </c>
      <c r="AX29" s="10"/>
      <c r="AY29" s="10"/>
      <c r="AZ29" s="10"/>
      <c r="BA29" s="10"/>
      <c r="BE29" s="10"/>
      <c r="BF29" s="10">
        <v>1</v>
      </c>
      <c r="BG29" s="10"/>
      <c r="BH29" s="10">
        <v>1</v>
      </c>
      <c r="BL29" s="10"/>
      <c r="BM29" s="10"/>
      <c r="BN29" s="10"/>
      <c r="BO29" s="10"/>
      <c r="BS29" s="10"/>
      <c r="BT29" s="10"/>
      <c r="BU29" s="10"/>
      <c r="BV29" s="10"/>
      <c r="BZ29" s="10"/>
      <c r="CA29" s="10"/>
      <c r="CB29" s="10"/>
      <c r="CC29" s="10"/>
      <c r="CG29" s="10"/>
      <c r="CH29" s="10"/>
      <c r="CI29" s="10"/>
      <c r="CJ29" s="10"/>
      <c r="CN29" s="10"/>
      <c r="CO29" s="10"/>
      <c r="CP29" s="10"/>
      <c r="CQ29" s="10"/>
      <c r="CU29" s="10"/>
      <c r="CV29" s="10"/>
      <c r="CW29" s="10"/>
      <c r="CX29" s="10"/>
      <c r="DB29" s="10"/>
      <c r="DC29" s="10"/>
      <c r="DD29" s="10"/>
      <c r="DE29" s="10"/>
    </row>
    <row r="30" spans="2:109" outlineLevel="1" x14ac:dyDescent="0.2">
      <c r="B30" t="s">
        <v>28</v>
      </c>
      <c r="C30" t="s">
        <v>110</v>
      </c>
      <c r="E30" s="9"/>
      <c r="F30" t="s">
        <v>137</v>
      </c>
      <c r="G30" s="10">
        <v>0.05</v>
      </c>
      <c r="I30" s="9">
        <f>+SUMIF($N$3:$ZZ$3,I$3,$N30:$ZZ30)</f>
        <v>0</v>
      </c>
      <c r="J30" s="11" cm="1">
        <f t="array" ref="J30">MAX(IF($N$3:$EH$3=$J$3,N30:EH30))</f>
        <v>0</v>
      </c>
      <c r="K30" s="11" cm="1">
        <f t="array" ref="K30">MAX(IF($N$3:$EH$3=$J$3,N30:EH30))</f>
        <v>0</v>
      </c>
      <c r="L30" s="9"/>
      <c r="O30" s="10"/>
      <c r="P30" s="10">
        <v>0.4</v>
      </c>
      <c r="Q30" s="10"/>
      <c r="R30" s="10">
        <v>0.3</v>
      </c>
      <c r="V30" s="10"/>
      <c r="W30" s="10">
        <v>0.5</v>
      </c>
      <c r="X30" s="10"/>
      <c r="Y30" s="10">
        <v>0.5</v>
      </c>
      <c r="AC30" s="10"/>
      <c r="AD30" s="10">
        <v>0.8</v>
      </c>
      <c r="AE30" s="10"/>
      <c r="AF30" s="10">
        <v>0.8</v>
      </c>
      <c r="AJ30" s="10"/>
      <c r="AK30" s="10">
        <v>1</v>
      </c>
      <c r="AL30" s="10"/>
      <c r="AM30" s="10">
        <v>1</v>
      </c>
      <c r="AQ30" s="10"/>
      <c r="AR30" s="10">
        <v>1</v>
      </c>
      <c r="AS30" s="10"/>
      <c r="AT30" s="10">
        <v>1</v>
      </c>
      <c r="AX30" s="10"/>
      <c r="AY30" s="10"/>
      <c r="AZ30" s="10"/>
      <c r="BA30" s="10"/>
      <c r="BE30" s="10"/>
      <c r="BF30" s="10">
        <v>1</v>
      </c>
      <c r="BG30" s="10"/>
      <c r="BH30" s="10">
        <v>1</v>
      </c>
      <c r="BL30" s="10"/>
      <c r="BM30" s="10"/>
      <c r="BN30" s="10"/>
      <c r="BO30" s="10"/>
      <c r="BS30" s="10"/>
      <c r="BT30" s="10"/>
      <c r="BU30" s="10"/>
      <c r="BV30" s="10"/>
      <c r="BZ30" s="10"/>
      <c r="CA30" s="10"/>
      <c r="CB30" s="10"/>
      <c r="CC30" s="10"/>
      <c r="CG30" s="10"/>
      <c r="CH30" s="10"/>
      <c r="CI30" s="10"/>
      <c r="CJ30" s="10"/>
      <c r="CN30" s="10"/>
      <c r="CO30" s="10"/>
      <c r="CP30" s="10"/>
      <c r="CQ30" s="10"/>
      <c r="CU30" s="10"/>
      <c r="CV30" s="10"/>
      <c r="CW30" s="10"/>
      <c r="CX30" s="10"/>
      <c r="DB30" s="10"/>
      <c r="DC30" s="10"/>
      <c r="DD30" s="10"/>
      <c r="DE30" s="10"/>
    </row>
    <row r="31" spans="2:109" outlineLevel="1" x14ac:dyDescent="0.2">
      <c r="E31" s="9"/>
      <c r="G31" s="10"/>
      <c r="I31" s="9"/>
      <c r="J31" s="11"/>
      <c r="K31" s="11"/>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c r="BS31" s="10"/>
      <c r="BT31" s="10"/>
      <c r="BU31" s="10"/>
      <c r="BV31" s="10"/>
      <c r="BZ31" s="10"/>
      <c r="CA31" s="10"/>
      <c r="CB31" s="10"/>
      <c r="CC31" s="10"/>
      <c r="CG31" s="10"/>
      <c r="CH31" s="10"/>
      <c r="CI31" s="10"/>
      <c r="CJ31" s="10"/>
      <c r="CN31" s="10"/>
      <c r="CO31" s="10"/>
      <c r="CP31" s="10"/>
      <c r="CQ31" s="10"/>
      <c r="CU31" s="10"/>
      <c r="CV31" s="10"/>
      <c r="CW31" s="10"/>
      <c r="CX31" s="10"/>
      <c r="DB31" s="10"/>
      <c r="DC31" s="10"/>
      <c r="DD31" s="10"/>
      <c r="DE31" s="10"/>
    </row>
    <row r="32" spans="2:109" outlineLevel="1" x14ac:dyDescent="0.2">
      <c r="E32" s="9"/>
      <c r="G32" s="10"/>
      <c r="I32" s="9"/>
      <c r="J32" s="11"/>
      <c r="K32" s="11"/>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c r="BS32" s="10"/>
      <c r="BT32" s="10"/>
      <c r="BU32" s="10"/>
      <c r="BV32" s="10"/>
      <c r="BZ32" s="10"/>
      <c r="CA32" s="10"/>
      <c r="CB32" s="10"/>
      <c r="CC32" s="10"/>
      <c r="CG32" s="10"/>
      <c r="CH32" s="10"/>
      <c r="CI32" s="10"/>
      <c r="CJ32" s="10"/>
      <c r="CN32" s="10"/>
      <c r="CO32" s="10"/>
      <c r="CP32" s="10"/>
      <c r="CQ32" s="10"/>
      <c r="CU32" s="10"/>
      <c r="CV32" s="10"/>
      <c r="CW32" s="10"/>
      <c r="CX32" s="10"/>
      <c r="DB32" s="10"/>
      <c r="DC32" s="10"/>
      <c r="DD32" s="10"/>
      <c r="DE32" s="10"/>
    </row>
    <row r="33" spans="2:109" outlineLevel="1" x14ac:dyDescent="0.2">
      <c r="E33" s="9"/>
      <c r="G33" s="10"/>
      <c r="I33" s="9"/>
      <c r="J33" s="11"/>
      <c r="K33" s="11"/>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c r="BU33" s="10"/>
      <c r="BV33" s="10"/>
      <c r="BZ33" s="10"/>
      <c r="CA33" s="10"/>
      <c r="CB33" s="10"/>
      <c r="CC33" s="10"/>
      <c r="CG33" s="10"/>
      <c r="CH33" s="10"/>
      <c r="CI33" s="10"/>
      <c r="CJ33" s="10"/>
      <c r="CN33" s="10"/>
      <c r="CO33" s="10"/>
      <c r="CP33" s="10"/>
      <c r="CQ33" s="10"/>
      <c r="CU33" s="10"/>
      <c r="CV33" s="10"/>
      <c r="CW33" s="10"/>
      <c r="CX33" s="10"/>
      <c r="DB33" s="10"/>
      <c r="DC33" s="10"/>
      <c r="DD33" s="10"/>
      <c r="DE33" s="10"/>
    </row>
    <row r="34" spans="2:109" outlineLevel="1" x14ac:dyDescent="0.2">
      <c r="E34" s="9"/>
      <c r="G34" s="10"/>
      <c r="I34" s="9"/>
      <c r="J34" s="11"/>
      <c r="K34" s="11"/>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c r="BU34" s="10"/>
      <c r="BV34" s="10"/>
      <c r="BZ34" s="10"/>
      <c r="CA34" s="10"/>
      <c r="CB34" s="10"/>
      <c r="CC34" s="10"/>
      <c r="CG34" s="10"/>
      <c r="CH34" s="10"/>
      <c r="CI34" s="10"/>
      <c r="CJ34" s="10"/>
      <c r="CN34" s="10"/>
      <c r="CO34" s="10"/>
      <c r="CP34" s="10"/>
      <c r="CQ34" s="10"/>
      <c r="CU34" s="10"/>
      <c r="CV34" s="10"/>
      <c r="CW34" s="10"/>
      <c r="CX34" s="10"/>
      <c r="DB34" s="10"/>
      <c r="DC34" s="10"/>
      <c r="DD34" s="10"/>
      <c r="DE34" s="10"/>
    </row>
    <row r="35" spans="2:109" outlineLevel="1" x14ac:dyDescent="0.2">
      <c r="E35" s="9"/>
      <c r="G35" s="10"/>
      <c r="I35" s="9"/>
      <c r="J35" s="11"/>
      <c r="K35" s="11"/>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c r="BS35" s="10"/>
      <c r="BT35" s="10"/>
      <c r="BU35" s="10"/>
      <c r="BV35" s="10"/>
      <c r="BZ35" s="10"/>
      <c r="CA35" s="10"/>
      <c r="CB35" s="10"/>
      <c r="CC35" s="10"/>
      <c r="CG35" s="10"/>
      <c r="CH35" s="10"/>
      <c r="CI35" s="10"/>
      <c r="CJ35" s="10"/>
      <c r="CN35" s="10"/>
      <c r="CO35" s="10"/>
      <c r="CP35" s="10"/>
      <c r="CQ35" s="10"/>
      <c r="CU35" s="10"/>
      <c r="CV35" s="10"/>
      <c r="CW35" s="10"/>
      <c r="CX35" s="10"/>
      <c r="DB35" s="10"/>
      <c r="DC35" s="10"/>
      <c r="DD35" s="10"/>
      <c r="DE35" s="10"/>
    </row>
    <row r="36" spans="2:109" outlineLevel="1" x14ac:dyDescent="0.2">
      <c r="E36" s="9"/>
      <c r="G36" s="10"/>
      <c r="I36" s="9"/>
      <c r="J36" s="11"/>
      <c r="K36" s="11"/>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c r="BS36" s="10"/>
      <c r="BT36" s="10"/>
      <c r="BU36" s="10"/>
      <c r="BV36" s="10"/>
      <c r="BZ36" s="10"/>
      <c r="CA36" s="10"/>
      <c r="CB36" s="10"/>
      <c r="CC36" s="10"/>
      <c r="CG36" s="10"/>
      <c r="CH36" s="10"/>
      <c r="CI36" s="10"/>
      <c r="CJ36" s="10"/>
      <c r="CN36" s="10"/>
      <c r="CO36" s="10"/>
      <c r="CP36" s="10"/>
      <c r="CQ36" s="10"/>
      <c r="CU36" s="10"/>
      <c r="CV36" s="10"/>
      <c r="CW36" s="10"/>
      <c r="CX36" s="10"/>
      <c r="DB36" s="10"/>
      <c r="DC36" s="10"/>
      <c r="DD36" s="10"/>
      <c r="DE36" s="10"/>
    </row>
    <row r="37" spans="2:109" outlineLevel="1" x14ac:dyDescent="0.2">
      <c r="E37" s="9"/>
      <c r="G37" s="10"/>
      <c r="I37" s="9"/>
      <c r="J37" s="11"/>
      <c r="K37" s="11"/>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c r="BU37" s="10"/>
      <c r="BV37" s="10"/>
      <c r="BZ37" s="10"/>
      <c r="CA37" s="10"/>
      <c r="CB37" s="10"/>
      <c r="CC37" s="10"/>
      <c r="CG37" s="10"/>
      <c r="CH37" s="10"/>
      <c r="CI37" s="10"/>
      <c r="CJ37" s="10"/>
      <c r="CN37" s="10"/>
      <c r="CO37" s="10"/>
      <c r="CP37" s="10"/>
      <c r="CQ37" s="10"/>
      <c r="CU37" s="10"/>
      <c r="CV37" s="10"/>
      <c r="CW37" s="10"/>
      <c r="CX37" s="10"/>
      <c r="DB37" s="10"/>
      <c r="DC37" s="10"/>
      <c r="DD37" s="10"/>
      <c r="DE37" s="10"/>
    </row>
    <row r="38" spans="2:109" outlineLevel="1" x14ac:dyDescent="0.2">
      <c r="B38" t="s">
        <v>28</v>
      </c>
      <c r="C38" t="s">
        <v>110</v>
      </c>
      <c r="E38" s="9"/>
      <c r="F38" t="s">
        <v>130</v>
      </c>
      <c r="G38" s="10">
        <v>0.05</v>
      </c>
      <c r="I38" s="9">
        <f>+SUMIF($N$3:$ZZ$3,I$3,$N38:$ZZ38)</f>
        <v>0</v>
      </c>
      <c r="J38" s="11" cm="1">
        <f t="array" ref="J38">MAX(IF($N$3:$EH$3=$J$3,N38:EH38))</f>
        <v>0</v>
      </c>
      <c r="K38" s="11" cm="1">
        <f t="array" ref="K38">MAX(IF($N$3:$EH$3=$J$3,N38:EH38))</f>
        <v>0</v>
      </c>
      <c r="L38" s="9"/>
      <c r="O38" s="10"/>
      <c r="P38" s="10">
        <v>0.4</v>
      </c>
      <c r="Q38" s="10"/>
      <c r="R38" s="10">
        <v>0.3</v>
      </c>
      <c r="V38" s="10"/>
      <c r="W38" s="10">
        <v>0.5</v>
      </c>
      <c r="X38" s="10"/>
      <c r="Y38" s="10">
        <v>0.5</v>
      </c>
      <c r="AC38" s="10"/>
      <c r="AD38" s="10">
        <v>0.8</v>
      </c>
      <c r="AE38" s="10"/>
      <c r="AF38" s="10">
        <v>0.8</v>
      </c>
      <c r="AJ38" s="10"/>
      <c r="AK38" s="10">
        <v>1</v>
      </c>
      <c r="AL38" s="10"/>
      <c r="AM38" s="10">
        <v>1</v>
      </c>
      <c r="AQ38" s="10"/>
      <c r="AR38" s="10">
        <v>1</v>
      </c>
      <c r="AS38" s="10"/>
      <c r="AT38" s="10">
        <v>1</v>
      </c>
      <c r="AX38" s="10"/>
      <c r="AY38" s="10"/>
      <c r="AZ38" s="10"/>
      <c r="BA38" s="10"/>
      <c r="BE38" s="10"/>
      <c r="BF38" s="10">
        <v>1</v>
      </c>
      <c r="BG38" s="10"/>
      <c r="BH38" s="10">
        <v>1</v>
      </c>
      <c r="BL38" s="10"/>
      <c r="BM38" s="10"/>
      <c r="BN38" s="10"/>
      <c r="BO38" s="10"/>
      <c r="BS38" s="10"/>
      <c r="BT38" s="10"/>
      <c r="BU38" s="10"/>
      <c r="BV38" s="10"/>
      <c r="BZ38" s="10"/>
      <c r="CA38" s="10"/>
      <c r="CB38" s="10"/>
      <c r="CC38" s="10"/>
      <c r="CG38" s="10"/>
      <c r="CH38" s="10"/>
      <c r="CI38" s="10"/>
      <c r="CJ38" s="10"/>
      <c r="CN38" s="10"/>
      <c r="CO38" s="10"/>
      <c r="CP38" s="10"/>
      <c r="CQ38" s="10"/>
      <c r="CU38" s="10"/>
      <c r="CV38" s="10"/>
      <c r="CW38" s="10"/>
      <c r="CX38" s="10"/>
      <c r="DB38" s="10"/>
      <c r="DC38" s="10"/>
      <c r="DD38" s="10"/>
      <c r="DE38" s="10"/>
    </row>
    <row r="39" spans="2:109" outlineLevel="1" x14ac:dyDescent="0.2">
      <c r="B39" t="s">
        <v>28</v>
      </c>
      <c r="C39" t="s">
        <v>110</v>
      </c>
      <c r="E39" s="9"/>
      <c r="F39" t="s">
        <v>131</v>
      </c>
      <c r="G39" s="10">
        <v>0.1</v>
      </c>
      <c r="I39" s="9">
        <f>+SUMIF($N$3:$ZZ$3,I$3,$N39:$ZZ39)</f>
        <v>0</v>
      </c>
      <c r="J39" s="11" cm="1">
        <f t="array" ref="J39">MAX(IF($N$3:$EH$3=$J$3,N39:EH39))</f>
        <v>0</v>
      </c>
      <c r="K39" s="11" cm="1">
        <f t="array" ref="K39">MAX(IF($N$3:$EH$3=$J$3,N39:EH39))</f>
        <v>0</v>
      </c>
      <c r="L39" s="9"/>
      <c r="O39" s="10"/>
      <c r="P39" s="10"/>
      <c r="Q39" s="10"/>
      <c r="R39" s="10"/>
      <c r="V39" s="10"/>
      <c r="W39" s="10">
        <v>0.3</v>
      </c>
      <c r="X39" s="10"/>
      <c r="Y39" s="10">
        <v>0.3</v>
      </c>
      <c r="AC39" s="10"/>
      <c r="AD39" s="10">
        <v>0.5</v>
      </c>
      <c r="AE39" s="10"/>
      <c r="AF39" s="10">
        <v>0.5</v>
      </c>
      <c r="AJ39" s="10"/>
      <c r="AK39" s="10">
        <v>0.8</v>
      </c>
      <c r="AL39" s="10"/>
      <c r="AM39" s="10">
        <v>0.8</v>
      </c>
      <c r="AQ39" s="10"/>
      <c r="AR39" s="10">
        <v>1</v>
      </c>
      <c r="AS39" s="10"/>
      <c r="AT39" s="10">
        <v>1</v>
      </c>
      <c r="AX39" s="10"/>
      <c r="AY39" s="10"/>
      <c r="AZ39" s="10"/>
      <c r="BA39" s="10"/>
      <c r="BE39" s="10"/>
      <c r="BF39" s="10">
        <v>1</v>
      </c>
      <c r="BG39" s="10"/>
      <c r="BH39" s="10">
        <v>1</v>
      </c>
      <c r="BL39" s="10"/>
      <c r="BM39" s="10"/>
      <c r="BN39" s="10"/>
      <c r="BO39" s="10"/>
      <c r="BS39" s="10"/>
      <c r="BT39" s="10"/>
      <c r="BU39" s="10"/>
      <c r="BV39" s="10"/>
      <c r="BZ39" s="10"/>
      <c r="CA39" s="10"/>
      <c r="CB39" s="10"/>
      <c r="CC39" s="10"/>
      <c r="CG39" s="10"/>
      <c r="CH39" s="10"/>
      <c r="CI39" s="10"/>
      <c r="CJ39" s="10"/>
      <c r="CN39" s="10"/>
      <c r="CO39" s="10"/>
      <c r="CP39" s="10"/>
      <c r="CQ39" s="10"/>
      <c r="CU39" s="10"/>
      <c r="CV39" s="10"/>
      <c r="CW39" s="10"/>
      <c r="CX39" s="10"/>
      <c r="DB39" s="10"/>
      <c r="DC39" s="10"/>
      <c r="DD39" s="10"/>
      <c r="DE39" s="10"/>
    </row>
    <row r="40" spans="2:109" outlineLevel="1" x14ac:dyDescent="0.2">
      <c r="B40" t="s">
        <v>28</v>
      </c>
      <c r="C40" t="s">
        <v>110</v>
      </c>
      <c r="E40" s="9"/>
      <c r="F40" t="s">
        <v>132</v>
      </c>
      <c r="G40" s="10">
        <v>0.1</v>
      </c>
      <c r="I40" s="9">
        <f>+SUMIF($N$3:$ZZ$3,I$3,$N40:$ZZ40)</f>
        <v>0</v>
      </c>
      <c r="J40" s="11" cm="1">
        <f t="array" ref="J40">MAX(IF($N$3:$EH$3=$J$3,N40:EH40))</f>
        <v>0</v>
      </c>
      <c r="K40" s="11" cm="1">
        <f t="array" ref="K40">MAX(IF($N$3:$EH$3=$J$3,N40:EH40))</f>
        <v>0</v>
      </c>
      <c r="L40" s="9"/>
      <c r="O40" s="10"/>
      <c r="P40" s="10"/>
      <c r="Q40" s="10"/>
      <c r="R40" s="10"/>
      <c r="V40" s="10"/>
      <c r="W40" s="10">
        <v>0.3</v>
      </c>
      <c r="X40" s="10"/>
      <c r="Y40" s="10">
        <v>0.3</v>
      </c>
      <c r="AC40" s="10"/>
      <c r="AD40" s="10">
        <v>0.5</v>
      </c>
      <c r="AE40" s="10"/>
      <c r="AF40" s="10">
        <v>0.5</v>
      </c>
      <c r="AJ40" s="10"/>
      <c r="AK40" s="10">
        <v>0.8</v>
      </c>
      <c r="AL40" s="10"/>
      <c r="AM40" s="10">
        <v>0.8</v>
      </c>
      <c r="AQ40" s="10"/>
      <c r="AR40" s="10">
        <v>1</v>
      </c>
      <c r="AS40" s="10"/>
      <c r="AT40" s="10">
        <v>1</v>
      </c>
      <c r="AX40" s="10"/>
      <c r="AY40" s="10"/>
      <c r="AZ40" s="10"/>
      <c r="BA40" s="10"/>
      <c r="BE40" s="10"/>
      <c r="BF40" s="10">
        <v>1</v>
      </c>
      <c r="BG40" s="10"/>
      <c r="BH40" s="10">
        <v>1</v>
      </c>
      <c r="BL40" s="10"/>
      <c r="BM40" s="10"/>
      <c r="BN40" s="10"/>
      <c r="BO40" s="10"/>
      <c r="BS40" s="10"/>
      <c r="BT40" s="10"/>
      <c r="BU40" s="10"/>
      <c r="BV40" s="10"/>
      <c r="BZ40" s="10"/>
      <c r="CA40" s="10"/>
      <c r="CB40" s="10"/>
      <c r="CC40" s="10"/>
      <c r="CG40" s="10"/>
      <c r="CH40" s="10"/>
      <c r="CI40" s="10"/>
      <c r="CJ40" s="10"/>
      <c r="CN40" s="10"/>
      <c r="CO40" s="10"/>
      <c r="CP40" s="10"/>
      <c r="CQ40" s="10"/>
      <c r="CU40" s="10"/>
      <c r="CV40" s="10"/>
      <c r="CW40" s="10"/>
      <c r="CX40" s="10"/>
      <c r="DB40" s="10"/>
      <c r="DC40" s="10"/>
      <c r="DD40" s="10"/>
      <c r="DE40" s="10"/>
    </row>
    <row r="41" spans="2:109" outlineLevel="1" x14ac:dyDescent="0.2">
      <c r="B41" t="s">
        <v>28</v>
      </c>
      <c r="C41" t="s">
        <v>110</v>
      </c>
      <c r="E41" s="9"/>
      <c r="F41" t="s">
        <v>133</v>
      </c>
      <c r="G41" s="10">
        <v>0.1</v>
      </c>
      <c r="I41" s="9">
        <f>+SUMIF($N$3:$ZZ$3,I$3,$N41:$ZZ41)</f>
        <v>0</v>
      </c>
      <c r="J41" s="11" cm="1">
        <f t="array" ref="J41">MAX(IF($N$3:$EH$3=$J$3,N41:EH41))</f>
        <v>0</v>
      </c>
      <c r="K41" s="11" cm="1">
        <f t="array" ref="K41">MAX(IF($N$3:$EH$3=$J$3,N41:EH41))</f>
        <v>0</v>
      </c>
      <c r="L41" s="9"/>
      <c r="O41" s="10"/>
      <c r="P41" s="10"/>
      <c r="Q41" s="10"/>
      <c r="R41" s="10"/>
      <c r="V41" s="10"/>
      <c r="W41" s="10"/>
      <c r="X41" s="10"/>
      <c r="Y41" s="10"/>
      <c r="AC41" s="10"/>
      <c r="AD41" s="10">
        <v>0.5</v>
      </c>
      <c r="AE41" s="10"/>
      <c r="AF41" s="10">
        <v>0.5</v>
      </c>
      <c r="AJ41" s="10"/>
      <c r="AK41" s="10">
        <v>0.8</v>
      </c>
      <c r="AL41" s="10"/>
      <c r="AM41" s="10">
        <v>0.8</v>
      </c>
      <c r="AQ41" s="10"/>
      <c r="AR41" s="10">
        <v>1</v>
      </c>
      <c r="AS41" s="10"/>
      <c r="AT41" s="10">
        <v>1</v>
      </c>
      <c r="AX41" s="10"/>
      <c r="AY41" s="10"/>
      <c r="AZ41" s="10"/>
      <c r="BA41" s="10"/>
      <c r="BE41" s="10"/>
      <c r="BF41" s="10">
        <v>1</v>
      </c>
      <c r="BG41" s="10"/>
      <c r="BH41" s="10">
        <v>1</v>
      </c>
      <c r="BL41" s="10"/>
      <c r="BM41" s="10"/>
      <c r="BN41" s="10"/>
      <c r="BO41" s="10"/>
      <c r="BS41" s="10"/>
      <c r="BT41" s="10"/>
      <c r="BU41" s="10"/>
      <c r="BV41" s="10"/>
      <c r="BZ41" s="10"/>
      <c r="CA41" s="10"/>
      <c r="CB41" s="10"/>
      <c r="CC41" s="10"/>
      <c r="CG41" s="10"/>
      <c r="CH41" s="10"/>
      <c r="CI41" s="10"/>
      <c r="CJ41" s="10"/>
      <c r="CN41" s="10"/>
      <c r="CO41" s="10"/>
      <c r="CP41" s="10"/>
      <c r="CQ41" s="10"/>
      <c r="CU41" s="10"/>
      <c r="CV41" s="10"/>
      <c r="CW41" s="10"/>
      <c r="CX41" s="10"/>
      <c r="DB41" s="10"/>
      <c r="DC41" s="10"/>
      <c r="DD41" s="10"/>
      <c r="DE41" s="10"/>
    </row>
    <row r="42" spans="2:109" outlineLevel="1" x14ac:dyDescent="0.2">
      <c r="B42" t="s">
        <v>28</v>
      </c>
      <c r="C42" t="s">
        <v>110</v>
      </c>
      <c r="E42" s="9"/>
      <c r="F42" t="s">
        <v>134</v>
      </c>
      <c r="G42" s="10">
        <v>0.1</v>
      </c>
      <c r="I42" s="9">
        <f>+SUMIF($N$3:$ZZ$3,I$3,$N42:$ZZ42)</f>
        <v>0</v>
      </c>
      <c r="J42" s="11" cm="1">
        <f t="array" ref="J42">MAX(IF($N$3:$EH$3=$J$3,N42:EH42))</f>
        <v>0</v>
      </c>
      <c r="K42" s="11" cm="1">
        <f t="array" ref="K42">MAX(IF($N$3:$EH$3=$J$3,N42:EH42))</f>
        <v>0</v>
      </c>
      <c r="L42" s="9"/>
      <c r="O42" s="10"/>
      <c r="P42" s="10"/>
      <c r="Q42" s="10"/>
      <c r="R42" s="10"/>
      <c r="V42" s="10"/>
      <c r="W42" s="10"/>
      <c r="X42" s="10"/>
      <c r="Y42" s="10"/>
      <c r="AC42" s="10"/>
      <c r="AD42" s="10">
        <v>0.5</v>
      </c>
      <c r="AE42" s="10"/>
      <c r="AF42" s="10">
        <v>0.5</v>
      </c>
      <c r="AJ42" s="10"/>
      <c r="AK42" s="10">
        <v>0.8</v>
      </c>
      <c r="AL42" s="10"/>
      <c r="AM42" s="10">
        <v>0.8</v>
      </c>
      <c r="AQ42" s="10"/>
      <c r="AR42" s="10">
        <v>1</v>
      </c>
      <c r="AS42" s="10"/>
      <c r="AT42" s="10">
        <v>1</v>
      </c>
      <c r="AX42" s="10"/>
      <c r="AY42" s="10"/>
      <c r="AZ42" s="10"/>
      <c r="BA42" s="10"/>
      <c r="BE42" s="10"/>
      <c r="BF42" s="10">
        <v>1</v>
      </c>
      <c r="BG42" s="10"/>
      <c r="BH42" s="10">
        <v>1</v>
      </c>
      <c r="BL42" s="10"/>
      <c r="BM42" s="10"/>
      <c r="BN42" s="10"/>
      <c r="BO42" s="10"/>
      <c r="BS42" s="10"/>
      <c r="BT42" s="10"/>
      <c r="BU42" s="10"/>
      <c r="BV42" s="10"/>
      <c r="BZ42" s="10"/>
      <c r="CA42" s="10"/>
      <c r="CB42" s="10"/>
      <c r="CC42" s="10"/>
      <c r="CG42" s="10"/>
      <c r="CH42" s="10"/>
      <c r="CI42" s="10"/>
      <c r="CJ42" s="10"/>
      <c r="CN42" s="10"/>
      <c r="CO42" s="10"/>
      <c r="CP42" s="10"/>
      <c r="CQ42" s="10"/>
      <c r="CU42" s="10"/>
      <c r="CV42" s="10"/>
      <c r="CW42" s="10"/>
      <c r="CX42" s="10"/>
      <c r="DB42" s="10"/>
      <c r="DC42" s="10"/>
      <c r="DD42" s="10"/>
      <c r="DE42" s="10"/>
    </row>
    <row r="43" spans="2:109" outlineLevel="1" x14ac:dyDescent="0.2">
      <c r="B43" t="s">
        <v>28</v>
      </c>
      <c r="C43" t="s">
        <v>110</v>
      </c>
      <c r="E43" s="9"/>
      <c r="F43" t="s">
        <v>135</v>
      </c>
      <c r="G43" s="10">
        <v>0.1</v>
      </c>
      <c r="I43" s="9">
        <f>+SUMIF($N$3:$ZZ$3,I$3,$N43:$ZZ43)</f>
        <v>0</v>
      </c>
      <c r="J43" s="11" cm="1">
        <f t="array" ref="J43">MAX(IF($N$3:$EH$3=$J$3,N43:EH43))</f>
        <v>0</v>
      </c>
      <c r="K43" s="11" cm="1">
        <f t="array" ref="K43">MAX(IF($N$3:$EH$3=$J$3,N43:EH43))</f>
        <v>0</v>
      </c>
      <c r="L43" s="9"/>
      <c r="O43" s="10"/>
      <c r="P43" s="10"/>
      <c r="Q43" s="10"/>
      <c r="R43" s="10"/>
      <c r="V43" s="10"/>
      <c r="W43" s="10"/>
      <c r="X43" s="10"/>
      <c r="Y43" s="10"/>
      <c r="AC43" s="10"/>
      <c r="AD43" s="10">
        <v>0.3</v>
      </c>
      <c r="AE43" s="10"/>
      <c r="AF43" s="10">
        <v>0.3</v>
      </c>
      <c r="AJ43" s="10"/>
      <c r="AK43" s="10">
        <v>0.5</v>
      </c>
      <c r="AL43" s="10"/>
      <c r="AM43" s="10">
        <v>0.5</v>
      </c>
      <c r="AQ43" s="10"/>
      <c r="AR43" s="10">
        <v>1</v>
      </c>
      <c r="AS43" s="10"/>
      <c r="AT43" s="10">
        <v>1</v>
      </c>
      <c r="AX43" s="10"/>
      <c r="AY43" s="10"/>
      <c r="AZ43" s="10"/>
      <c r="BA43" s="10"/>
      <c r="BE43" s="10"/>
      <c r="BF43" s="10">
        <v>1</v>
      </c>
      <c r="BG43" s="10"/>
      <c r="BH43" s="10">
        <v>1</v>
      </c>
      <c r="BL43" s="10"/>
      <c r="BM43" s="10"/>
      <c r="BN43" s="10"/>
      <c r="BO43" s="10"/>
      <c r="BS43" s="10"/>
      <c r="BT43" s="10"/>
      <c r="BU43" s="10"/>
      <c r="BV43" s="10"/>
      <c r="BZ43" s="10"/>
      <c r="CA43" s="10"/>
      <c r="CB43" s="10"/>
      <c r="CC43" s="10"/>
      <c r="CG43" s="10"/>
      <c r="CH43" s="10"/>
      <c r="CI43" s="10"/>
      <c r="CJ43" s="10"/>
      <c r="CN43" s="10"/>
      <c r="CO43" s="10"/>
      <c r="CP43" s="10"/>
      <c r="CQ43" s="10"/>
      <c r="CU43" s="10"/>
      <c r="CV43" s="10"/>
      <c r="CW43" s="10"/>
      <c r="CX43" s="10"/>
      <c r="DB43" s="10"/>
      <c r="DC43" s="10"/>
      <c r="DD43" s="10"/>
      <c r="DE43" s="10"/>
    </row>
    <row r="44" spans="2:109" outlineLevel="1" x14ac:dyDescent="0.2">
      <c r="B44" t="s">
        <v>28</v>
      </c>
      <c r="C44" t="s">
        <v>110</v>
      </c>
      <c r="E44" s="9"/>
      <c r="F44" t="s">
        <v>136</v>
      </c>
      <c r="G44" s="10">
        <v>0.1</v>
      </c>
      <c r="I44" s="9">
        <f>+SUMIF($N$3:$ZZ$3,I$3,$N44:$ZZ44)</f>
        <v>0</v>
      </c>
      <c r="J44" s="11" cm="1">
        <f t="array" ref="J44">MAX(IF($N$3:$EH$3=$J$3,N44:EH44))</f>
        <v>0</v>
      </c>
      <c r="K44" s="11" cm="1">
        <f t="array" ref="K44">MAX(IF($N$3:$EH$3=$J$3,N44:EH44))</f>
        <v>0</v>
      </c>
      <c r="L44" s="9"/>
      <c r="O44" s="10"/>
      <c r="P44" s="10"/>
      <c r="Q44" s="10"/>
      <c r="R44" s="10"/>
      <c r="V44" s="10"/>
      <c r="W44" s="10"/>
      <c r="X44" s="10"/>
      <c r="Y44" s="10"/>
      <c r="AC44" s="10"/>
      <c r="AD44" s="10"/>
      <c r="AE44" s="10"/>
      <c r="AF44" s="10"/>
      <c r="AJ44" s="10"/>
      <c r="AK44" s="10">
        <v>0.5</v>
      </c>
      <c r="AL44" s="10"/>
      <c r="AM44" s="10">
        <v>0.5</v>
      </c>
      <c r="AQ44" s="10"/>
      <c r="AR44" s="10">
        <v>1</v>
      </c>
      <c r="AS44" s="10"/>
      <c r="AT44" s="10">
        <v>1</v>
      </c>
      <c r="AX44" s="10"/>
      <c r="AY44" s="10"/>
      <c r="AZ44" s="10"/>
      <c r="BA44" s="10"/>
      <c r="BE44" s="10"/>
      <c r="BF44" s="10">
        <v>1</v>
      </c>
      <c r="BG44" s="10"/>
      <c r="BH44" s="10">
        <v>1</v>
      </c>
      <c r="BL44" s="10"/>
      <c r="BM44" s="10"/>
      <c r="BN44" s="10"/>
      <c r="BO44" s="10"/>
      <c r="BS44" s="10"/>
      <c r="BT44" s="10"/>
      <c r="BU44" s="10"/>
      <c r="BV44" s="10"/>
      <c r="BZ44" s="10"/>
      <c r="CA44" s="10"/>
      <c r="CB44" s="10"/>
      <c r="CC44" s="10"/>
      <c r="CG44" s="10"/>
      <c r="CH44" s="10"/>
      <c r="CI44" s="10"/>
      <c r="CJ44" s="10"/>
      <c r="CN44" s="10"/>
      <c r="CO44" s="10"/>
      <c r="CP44" s="10"/>
      <c r="CQ44" s="10"/>
      <c r="CU44" s="10"/>
      <c r="CV44" s="10"/>
      <c r="CW44" s="10"/>
      <c r="CX44" s="10"/>
      <c r="DB44" s="10"/>
      <c r="DC44" s="10"/>
      <c r="DD44" s="10"/>
      <c r="DE44" s="10"/>
    </row>
    <row r="45" spans="2:109" outlineLevel="1" x14ac:dyDescent="0.2">
      <c r="B45" t="s">
        <v>28</v>
      </c>
      <c r="C45" t="s">
        <v>110</v>
      </c>
      <c r="E45" s="9"/>
      <c r="F45" t="s">
        <v>31</v>
      </c>
      <c r="G45" s="10">
        <v>0.1</v>
      </c>
      <c r="I45" s="9">
        <f>+SUMIF($N$3:$ZZ$3,I$3,$N45:$ZZ45)</f>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v>0.5</v>
      </c>
      <c r="AL45" s="10"/>
      <c r="AM45" s="10">
        <v>0.5</v>
      </c>
      <c r="AQ45" s="10"/>
      <c r="AR45" s="10">
        <v>1</v>
      </c>
      <c r="AS45" s="10"/>
      <c r="AT45" s="10">
        <v>1</v>
      </c>
      <c r="AX45" s="10"/>
      <c r="AY45" s="10"/>
      <c r="AZ45" s="10"/>
      <c r="BA45" s="10"/>
      <c r="BE45" s="10"/>
      <c r="BF45" s="10">
        <v>1</v>
      </c>
      <c r="BG45" s="10"/>
      <c r="BH45" s="10">
        <v>1</v>
      </c>
      <c r="BL45" s="10"/>
      <c r="BM45" s="10"/>
      <c r="BN45" s="10"/>
      <c r="BO45" s="10"/>
      <c r="BS45" s="10"/>
      <c r="BT45" s="10"/>
      <c r="BU45" s="10"/>
      <c r="BV45" s="10"/>
      <c r="BZ45" s="10"/>
      <c r="CA45" s="10"/>
      <c r="CB45" s="10"/>
      <c r="CC45" s="10"/>
      <c r="CG45" s="10"/>
      <c r="CH45" s="10"/>
      <c r="CI45" s="10"/>
      <c r="CJ45" s="10"/>
      <c r="CN45" s="10"/>
      <c r="CO45" s="10"/>
      <c r="CP45" s="10"/>
      <c r="CQ45" s="10"/>
      <c r="CU45" s="10"/>
      <c r="CV45" s="10"/>
      <c r="CW45" s="10"/>
      <c r="CX45" s="10"/>
      <c r="DB45" s="10"/>
      <c r="DC45" s="10"/>
      <c r="DD45" s="10"/>
      <c r="DE45" s="10"/>
    </row>
    <row r="46" spans="2:109" ht="30.5" customHeight="1" x14ac:dyDescent="0.2">
      <c r="G46" s="10"/>
    </row>
    <row r="47" spans="2:109" x14ac:dyDescent="0.2">
      <c r="B47" t="s">
        <v>27</v>
      </c>
      <c r="D47" s="19">
        <v>45073</v>
      </c>
      <c r="E47">
        <v>6</v>
      </c>
      <c r="G47" s="10">
        <f>SUM(G48:G57)</f>
        <v>1</v>
      </c>
      <c r="N47">
        <f>U46</f>
        <v>0</v>
      </c>
      <c r="U47">
        <f>SUM(I48:I57)</f>
        <v>0</v>
      </c>
      <c r="AB47">
        <f>SUM(I48:I57)</f>
        <v>0</v>
      </c>
      <c r="AI47">
        <f>SUM(I48:I57)</f>
        <v>0</v>
      </c>
      <c r="AP47">
        <f>SUM(I48:I57)</f>
        <v>0</v>
      </c>
    </row>
    <row r="48" spans="2:109" outlineLevel="1" x14ac:dyDescent="0.2">
      <c r="B48" t="s">
        <v>28</v>
      </c>
      <c r="C48" t="s">
        <v>43</v>
      </c>
      <c r="E48" s="9"/>
      <c r="F48" t="s">
        <v>30</v>
      </c>
      <c r="G48" s="10">
        <v>7.0000000000000007E-2</v>
      </c>
      <c r="I48" s="9">
        <f>+SUMIF($N$3:$ZZ$3,I$3,$N48:$ZZ48)</f>
        <v>0</v>
      </c>
      <c r="J48" s="11" cm="1">
        <f t="array" ref="J48">MAX(IF($N$3:$EH$3=$J$3,N48:EH48))</f>
        <v>0.5</v>
      </c>
      <c r="K48" s="11" cm="1">
        <f t="array" ref="K48">MAX(IF($N$3:$EH$3=$J$3,N48:EH48))</f>
        <v>0.5</v>
      </c>
      <c r="L48" s="9"/>
      <c r="O48" s="10"/>
      <c r="P48" s="10">
        <v>0.5</v>
      </c>
      <c r="Q48" s="10"/>
      <c r="R48" s="10">
        <v>0.5</v>
      </c>
      <c r="V48" s="10">
        <v>0.5</v>
      </c>
      <c r="W48" s="10">
        <v>0.6</v>
      </c>
      <c r="X48" s="10"/>
      <c r="Y48" s="10">
        <v>0.8</v>
      </c>
      <c r="AC48" s="10"/>
      <c r="AD48" s="10">
        <v>0.8</v>
      </c>
      <c r="AE48" s="10"/>
      <c r="AF48" s="10">
        <v>0.8</v>
      </c>
      <c r="AJ48" s="10"/>
      <c r="AK48" s="10">
        <v>1</v>
      </c>
      <c r="AL48" s="10"/>
      <c r="AM48" s="10">
        <v>1</v>
      </c>
      <c r="AQ48" s="10"/>
      <c r="AR48" s="10">
        <v>1</v>
      </c>
      <c r="AS48" s="10"/>
      <c r="AT48" s="10">
        <v>1</v>
      </c>
      <c r="AX48" s="10"/>
      <c r="AY48" s="10"/>
      <c r="AZ48" s="10"/>
      <c r="BA48" s="10"/>
      <c r="BE48" s="10"/>
      <c r="BF48" s="10"/>
      <c r="BG48" s="10"/>
      <c r="BH48" s="10"/>
      <c r="BL48" s="10"/>
      <c r="BM48" s="10"/>
      <c r="BN48" s="10"/>
      <c r="BO48" s="10">
        <v>1</v>
      </c>
      <c r="BS48" s="10"/>
      <c r="BT48" s="10">
        <v>1</v>
      </c>
      <c r="BU48" s="10"/>
      <c r="BV48" s="10">
        <v>1</v>
      </c>
      <c r="BZ48" s="10"/>
      <c r="CA48" s="10">
        <v>1</v>
      </c>
      <c r="CB48" s="10"/>
      <c r="CC48" s="10">
        <v>1</v>
      </c>
      <c r="CG48" s="10"/>
      <c r="CH48" s="10">
        <v>1</v>
      </c>
      <c r="CI48" s="10"/>
      <c r="CJ48" s="10">
        <v>1</v>
      </c>
      <c r="CN48" s="10"/>
      <c r="CO48" s="10"/>
      <c r="CP48" s="10"/>
      <c r="CQ48" s="10"/>
      <c r="CU48" s="10"/>
      <c r="CV48" s="10"/>
      <c r="CW48" s="10"/>
      <c r="CX48" s="10"/>
      <c r="DB48" s="10"/>
      <c r="DC48" s="10"/>
      <c r="DD48" s="10"/>
      <c r="DE48" s="10"/>
    </row>
    <row r="49" spans="2:109" outlineLevel="1" x14ac:dyDescent="0.2">
      <c r="B49" t="s">
        <v>28</v>
      </c>
      <c r="C49" t="s">
        <v>43</v>
      </c>
      <c r="E49" s="9"/>
      <c r="F49" t="s">
        <v>118</v>
      </c>
      <c r="G49" s="10">
        <v>0.1</v>
      </c>
      <c r="I49" s="9">
        <f>+SUMIF($N$3:$ZZ$3,I$3,$N49:$ZZ49)</f>
        <v>0</v>
      </c>
      <c r="J49" s="11" cm="1">
        <f t="array" ref="J49">MAX(IF($N$3:$EH$3=$J$3,N49:EH49))</f>
        <v>0.5</v>
      </c>
      <c r="K49" s="11" cm="1">
        <f t="array" ref="K49">MAX(IF($N$3:$EH$3=$J$3,N49:EH49))</f>
        <v>0.5</v>
      </c>
      <c r="L49" s="9"/>
      <c r="P49" s="10">
        <v>0.5</v>
      </c>
      <c r="Q49" s="10"/>
      <c r="R49" s="10">
        <v>0.5</v>
      </c>
      <c r="V49" s="10">
        <v>0.5</v>
      </c>
      <c r="W49" s="10">
        <v>0.6</v>
      </c>
      <c r="X49" s="10"/>
      <c r="Y49" s="10">
        <v>0.8</v>
      </c>
      <c r="AC49" s="10"/>
      <c r="AD49" s="10">
        <v>0.8</v>
      </c>
      <c r="AE49" s="10"/>
      <c r="AF49" s="10">
        <v>0.8</v>
      </c>
      <c r="AJ49" s="10"/>
      <c r="AK49" s="10">
        <v>1</v>
      </c>
      <c r="AL49" s="10"/>
      <c r="AM49" s="10">
        <v>1</v>
      </c>
      <c r="AQ49" s="10"/>
      <c r="AR49" s="10">
        <v>1</v>
      </c>
      <c r="AS49" s="10"/>
      <c r="AT49" s="10">
        <v>1</v>
      </c>
      <c r="AX49" s="10"/>
      <c r="AY49" s="10"/>
      <c r="AZ49" s="10"/>
      <c r="BA49" s="10"/>
      <c r="BE49" s="10"/>
      <c r="BF49" s="10"/>
      <c r="BG49" s="10"/>
      <c r="BH49" s="10"/>
      <c r="BL49" s="10"/>
      <c r="BM49" s="10"/>
      <c r="BN49" s="10"/>
      <c r="BO49" s="10">
        <v>1</v>
      </c>
      <c r="BS49" s="10"/>
      <c r="BT49" s="10">
        <v>1</v>
      </c>
      <c r="BU49" s="10"/>
      <c r="BV49" s="10">
        <v>1</v>
      </c>
      <c r="BZ49" s="10"/>
      <c r="CA49" s="10">
        <v>1</v>
      </c>
      <c r="CB49" s="10"/>
      <c r="CC49" s="10">
        <v>1</v>
      </c>
      <c r="CG49" s="10"/>
      <c r="CH49" s="10">
        <v>1</v>
      </c>
      <c r="CI49" s="10"/>
      <c r="CJ49" s="10">
        <v>1</v>
      </c>
      <c r="CN49" s="10"/>
      <c r="CO49" s="10"/>
      <c r="CP49" s="10"/>
      <c r="CQ49" s="10"/>
      <c r="CU49" s="10"/>
      <c r="CV49" s="10"/>
      <c r="CW49" s="10"/>
      <c r="CX49" s="10"/>
      <c r="DB49" s="10"/>
      <c r="DC49" s="10"/>
      <c r="DD49" s="10"/>
      <c r="DE49" s="10"/>
    </row>
    <row r="50" spans="2:109" outlineLevel="1" x14ac:dyDescent="0.2">
      <c r="B50" t="s">
        <v>28</v>
      </c>
      <c r="C50" t="s">
        <v>43</v>
      </c>
      <c r="E50" s="9"/>
      <c r="F50" t="s">
        <v>119</v>
      </c>
      <c r="G50" s="10">
        <v>0.1</v>
      </c>
      <c r="I50" s="9">
        <f>+SUMIF($N$3:$ZZ$3,I$3,$N50:$ZZ50)</f>
        <v>0</v>
      </c>
      <c r="J50" s="11" cm="1">
        <f t="array" ref="J50">MAX(IF($N$3:$EH$3=$J$3,N50:EH50))</f>
        <v>0.5</v>
      </c>
      <c r="K50" s="11" cm="1">
        <f t="array" ref="K50">MAX(IF($N$3:$EH$3=$J$3,N50:EH50))</f>
        <v>0.5</v>
      </c>
      <c r="L50" s="9"/>
      <c r="O50" s="10"/>
      <c r="P50" s="10">
        <v>0.5</v>
      </c>
      <c r="Q50" s="10"/>
      <c r="R50" s="10">
        <v>0.5</v>
      </c>
      <c r="V50" s="10">
        <v>0.5</v>
      </c>
      <c r="W50" s="10">
        <v>0.5</v>
      </c>
      <c r="X50" s="10"/>
      <c r="Y50" s="10">
        <v>0.5</v>
      </c>
      <c r="AC50" s="10"/>
      <c r="AD50" s="10">
        <v>0.8</v>
      </c>
      <c r="AE50" s="10"/>
      <c r="AF50" s="10">
        <v>0.8</v>
      </c>
      <c r="AJ50" s="10"/>
      <c r="AK50" s="10">
        <v>0.8</v>
      </c>
      <c r="AL50" s="10"/>
      <c r="AM50" s="10">
        <v>0.8</v>
      </c>
      <c r="AQ50" s="10"/>
      <c r="AR50" s="10">
        <v>1</v>
      </c>
      <c r="AS50" s="10"/>
      <c r="AT50" s="10">
        <v>1</v>
      </c>
      <c r="AX50" s="10"/>
      <c r="AY50" s="10"/>
      <c r="AZ50" s="10"/>
      <c r="BA50" s="10"/>
      <c r="BE50" s="10"/>
      <c r="BF50" s="10"/>
      <c r="BG50" s="10"/>
      <c r="BH50" s="10"/>
      <c r="BL50" s="10"/>
      <c r="BM50" s="10"/>
      <c r="BN50" s="10"/>
      <c r="BO50" s="10">
        <v>0.8</v>
      </c>
      <c r="BS50" s="10"/>
      <c r="BT50" s="10">
        <v>1</v>
      </c>
      <c r="BU50" s="10"/>
      <c r="BV50" s="10">
        <v>1</v>
      </c>
      <c r="BZ50" s="10"/>
      <c r="CA50" s="10">
        <v>1</v>
      </c>
      <c r="CB50" s="10"/>
      <c r="CC50" s="10">
        <v>1</v>
      </c>
      <c r="CG50" s="10"/>
      <c r="CH50" s="10">
        <v>1</v>
      </c>
      <c r="CI50" s="10"/>
      <c r="CJ50" s="10">
        <v>1</v>
      </c>
      <c r="CN50" s="10"/>
      <c r="CO50" s="10"/>
      <c r="CP50" s="10"/>
      <c r="CQ50" s="10"/>
      <c r="CU50" s="10"/>
      <c r="CV50" s="10"/>
      <c r="CW50" s="10"/>
      <c r="CX50" s="10"/>
      <c r="DB50" s="10"/>
      <c r="DC50" s="10"/>
      <c r="DD50" s="10"/>
      <c r="DE50" s="10"/>
    </row>
    <row r="51" spans="2:109" outlineLevel="1" x14ac:dyDescent="0.2">
      <c r="B51" t="s">
        <v>28</v>
      </c>
      <c r="C51" t="s">
        <v>43</v>
      </c>
      <c r="E51" s="9"/>
      <c r="F51" t="s">
        <v>120</v>
      </c>
      <c r="G51" s="10">
        <v>0.1</v>
      </c>
      <c r="I51" s="9">
        <f>+SUMIF($N$3:$ZZ$3,I$3,$N51:$ZZ51)</f>
        <v>0</v>
      </c>
      <c r="J51" s="11" cm="1">
        <f t="array" ref="J51">MAX(IF($N$3:$EH$3=$J$3,N51:EH51))</f>
        <v>0.5</v>
      </c>
      <c r="K51" s="11" cm="1">
        <f t="array" ref="K51">MAX(IF($N$3:$EH$3=$J$3,N51:EH51))</f>
        <v>0.5</v>
      </c>
      <c r="L51" s="9"/>
      <c r="O51" s="10"/>
      <c r="P51" s="10">
        <v>0.5</v>
      </c>
      <c r="Q51" s="10"/>
      <c r="R51" s="10">
        <v>0.5</v>
      </c>
      <c r="V51" s="10">
        <v>0.5</v>
      </c>
      <c r="W51" s="10">
        <v>0.5</v>
      </c>
      <c r="X51" s="10"/>
      <c r="Y51" s="10">
        <v>0.5</v>
      </c>
      <c r="AC51" s="10"/>
      <c r="AD51" s="10">
        <v>0.8</v>
      </c>
      <c r="AE51" s="10"/>
      <c r="AF51" s="10">
        <v>0.8</v>
      </c>
      <c r="AJ51" s="10"/>
      <c r="AK51" s="10">
        <v>0.8</v>
      </c>
      <c r="AL51" s="10"/>
      <c r="AM51" s="10">
        <v>0.8</v>
      </c>
      <c r="AQ51" s="10"/>
      <c r="AR51" s="10">
        <v>1</v>
      </c>
      <c r="AS51" s="10"/>
      <c r="AT51" s="10">
        <v>1</v>
      </c>
      <c r="AX51" s="10"/>
      <c r="AY51" s="10"/>
      <c r="AZ51" s="10"/>
      <c r="BA51" s="10"/>
      <c r="BE51" s="10"/>
      <c r="BF51" s="10"/>
      <c r="BG51" s="10"/>
      <c r="BH51" s="10"/>
      <c r="BL51" s="10"/>
      <c r="BM51" s="10"/>
      <c r="BN51" s="10"/>
      <c r="BO51" s="10">
        <v>0.8</v>
      </c>
      <c r="BS51" s="10"/>
      <c r="BT51" s="10">
        <v>0.8</v>
      </c>
      <c r="BU51" s="10"/>
      <c r="BV51" s="10">
        <v>0.8</v>
      </c>
      <c r="BZ51" s="10"/>
      <c r="CA51" s="10">
        <v>1</v>
      </c>
      <c r="CB51" s="10"/>
      <c r="CC51" s="10">
        <v>1</v>
      </c>
      <c r="CG51" s="10"/>
      <c r="CH51" s="10">
        <v>1</v>
      </c>
      <c r="CI51" s="10"/>
      <c r="CJ51" s="10">
        <v>1</v>
      </c>
      <c r="CN51" s="10"/>
      <c r="CO51" s="10"/>
      <c r="CP51" s="10"/>
      <c r="CQ51" s="10"/>
      <c r="CU51" s="10"/>
      <c r="CV51" s="10"/>
      <c r="CW51" s="10"/>
      <c r="CX51" s="10"/>
      <c r="DB51" s="10"/>
      <c r="DC51" s="10"/>
      <c r="DD51" s="10"/>
      <c r="DE51" s="10"/>
    </row>
    <row r="52" spans="2:109" outlineLevel="1" x14ac:dyDescent="0.2">
      <c r="B52" t="s">
        <v>28</v>
      </c>
      <c r="C52" t="s">
        <v>43</v>
      </c>
      <c r="E52" s="9"/>
      <c r="F52" t="s">
        <v>121</v>
      </c>
      <c r="G52" s="10">
        <v>0.1</v>
      </c>
      <c r="I52" s="9">
        <f>+SUMIF($N$3:$ZZ$3,I$3,$N52:$ZZ52)</f>
        <v>0</v>
      </c>
      <c r="J52" s="11" cm="1">
        <f t="array" ref="J52">MAX(IF($N$3:$EH$3=$J$3,N52:EH52))</f>
        <v>0.5</v>
      </c>
      <c r="K52" s="11" cm="1">
        <f t="array" ref="K52">MAX(IF($N$3:$EH$3=$J$3,N52:EH52))</f>
        <v>0.5</v>
      </c>
      <c r="L52" s="9"/>
      <c r="O52" s="10"/>
      <c r="P52" s="10"/>
      <c r="Q52" s="10"/>
      <c r="R52" s="10"/>
      <c r="V52" s="10">
        <v>0.5</v>
      </c>
      <c r="W52" s="10">
        <v>0.5</v>
      </c>
      <c r="X52" s="10"/>
      <c r="Y52" s="10">
        <v>0.5</v>
      </c>
      <c r="AC52" s="10"/>
      <c r="AD52" s="10">
        <v>0.5</v>
      </c>
      <c r="AE52" s="10"/>
      <c r="AF52" s="10">
        <v>0.5</v>
      </c>
      <c r="AJ52" s="10"/>
      <c r="AK52" s="10">
        <v>0.5</v>
      </c>
      <c r="AL52" s="10"/>
      <c r="AM52" s="10">
        <v>0.5</v>
      </c>
      <c r="AQ52" s="10"/>
      <c r="AR52" s="10">
        <v>1</v>
      </c>
      <c r="AS52" s="10"/>
      <c r="AT52" s="10">
        <v>1</v>
      </c>
      <c r="AX52" s="10"/>
      <c r="AY52" s="10"/>
      <c r="AZ52" s="10"/>
      <c r="BA52" s="10"/>
      <c r="BE52" s="10"/>
      <c r="BF52" s="10"/>
      <c r="BG52" s="10"/>
      <c r="BH52" s="10"/>
      <c r="BL52" s="10"/>
      <c r="BM52" s="10"/>
      <c r="BN52" s="10"/>
      <c r="BO52" s="10">
        <v>0.8</v>
      </c>
      <c r="BS52" s="10"/>
      <c r="BT52" s="10">
        <v>0.8</v>
      </c>
      <c r="BU52" s="10"/>
      <c r="BV52" s="10">
        <v>0.8</v>
      </c>
      <c r="BZ52" s="10"/>
      <c r="CA52" s="10">
        <v>1</v>
      </c>
      <c r="CB52" s="10"/>
      <c r="CC52" s="10">
        <v>1</v>
      </c>
      <c r="CG52" s="10"/>
      <c r="CH52" s="10">
        <v>1</v>
      </c>
      <c r="CI52" s="10"/>
      <c r="CJ52" s="10">
        <v>1</v>
      </c>
      <c r="CN52" s="10"/>
      <c r="CO52" s="10"/>
      <c r="CP52" s="10"/>
      <c r="CQ52" s="10"/>
      <c r="CU52" s="10"/>
      <c r="CV52" s="10"/>
      <c r="CW52" s="10"/>
      <c r="CX52" s="10"/>
      <c r="DB52" s="10"/>
      <c r="DC52" s="10"/>
      <c r="DD52" s="10"/>
      <c r="DE52" s="10"/>
    </row>
    <row r="53" spans="2:109" outlineLevel="1" x14ac:dyDescent="0.2">
      <c r="B53" t="s">
        <v>28</v>
      </c>
      <c r="C53" t="s">
        <v>43</v>
      </c>
      <c r="E53" s="9"/>
      <c r="F53" t="s">
        <v>122</v>
      </c>
      <c r="G53" s="10">
        <v>0.1</v>
      </c>
      <c r="I53" s="9">
        <f>+SUMIF($N$3:$ZZ$3,I$3,$N53:$ZZ53)</f>
        <v>0</v>
      </c>
      <c r="J53" s="11" cm="1">
        <f t="array" ref="J53">MAX(IF($N$3:$EH$3=$J$3,N53:EH53))</f>
        <v>0.5</v>
      </c>
      <c r="K53" s="11" cm="1">
        <f t="array" ref="K53">MAX(IF($N$3:$EH$3=$J$3,N53:EH53))</f>
        <v>0.5</v>
      </c>
      <c r="L53" s="9"/>
      <c r="O53" s="10"/>
      <c r="P53" s="10"/>
      <c r="Q53" s="10"/>
      <c r="R53" s="10"/>
      <c r="V53" s="10">
        <v>0.5</v>
      </c>
      <c r="W53" s="10">
        <v>0.5</v>
      </c>
      <c r="X53" s="10"/>
      <c r="Y53" s="10">
        <v>0.5</v>
      </c>
      <c r="AC53" s="10"/>
      <c r="AD53" s="10">
        <v>0.5</v>
      </c>
      <c r="AE53" s="10"/>
      <c r="AF53" s="10">
        <v>0.5</v>
      </c>
      <c r="AJ53" s="10"/>
      <c r="AK53" s="10">
        <v>0.5</v>
      </c>
      <c r="AL53" s="10"/>
      <c r="AM53" s="10">
        <v>0.5</v>
      </c>
      <c r="AQ53" s="10"/>
      <c r="AR53" s="10">
        <v>1</v>
      </c>
      <c r="AS53" s="10"/>
      <c r="AT53" s="10">
        <v>1</v>
      </c>
      <c r="AX53" s="10"/>
      <c r="AY53" s="10"/>
      <c r="AZ53" s="10"/>
      <c r="BA53" s="10"/>
      <c r="BE53" s="10"/>
      <c r="BF53" s="10"/>
      <c r="BG53" s="10"/>
      <c r="BH53" s="10"/>
      <c r="BL53" s="10"/>
      <c r="BM53" s="10"/>
      <c r="BN53" s="10"/>
      <c r="BO53" s="10">
        <v>0.8</v>
      </c>
      <c r="BS53" s="10"/>
      <c r="BT53" s="10">
        <v>0.8</v>
      </c>
      <c r="BU53" s="10"/>
      <c r="BV53" s="10">
        <v>0.8</v>
      </c>
      <c r="BZ53" s="10"/>
      <c r="CA53" s="10">
        <v>1</v>
      </c>
      <c r="CB53" s="10"/>
      <c r="CC53" s="10">
        <v>1</v>
      </c>
      <c r="CG53" s="10"/>
      <c r="CH53" s="10">
        <v>1</v>
      </c>
      <c r="CI53" s="10"/>
      <c r="CJ53" s="10">
        <v>1</v>
      </c>
      <c r="CN53" s="10"/>
      <c r="CO53" s="10"/>
      <c r="CP53" s="10"/>
      <c r="CQ53" s="10"/>
      <c r="CU53" s="10"/>
      <c r="CV53" s="10"/>
      <c r="CW53" s="10"/>
      <c r="CX53" s="10"/>
      <c r="DB53" s="10"/>
      <c r="DC53" s="10"/>
      <c r="DD53" s="10"/>
      <c r="DE53" s="10"/>
    </row>
    <row r="54" spans="2:109" outlineLevel="1" x14ac:dyDescent="0.2">
      <c r="B54" t="s">
        <v>28</v>
      </c>
      <c r="C54" t="s">
        <v>43</v>
      </c>
      <c r="E54" s="9"/>
      <c r="F54" t="s">
        <v>123</v>
      </c>
      <c r="G54" s="10">
        <v>0.1</v>
      </c>
      <c r="I54" s="9">
        <f>+SUMIF($N$3:$ZZ$3,I$3,$N54:$ZZ54)</f>
        <v>0</v>
      </c>
      <c r="J54" s="11" cm="1">
        <f t="array" ref="J54">MAX(IF($N$3:$EH$3=$J$3,N54:EH54))</f>
        <v>0</v>
      </c>
      <c r="K54" s="11" cm="1">
        <f t="array" ref="K54">MAX(IF($N$3:$EH$3=$J$3,N54:EH54))</f>
        <v>0</v>
      </c>
      <c r="L54" s="9"/>
      <c r="O54" s="10"/>
      <c r="P54" s="10"/>
      <c r="Q54" s="10"/>
      <c r="R54" s="10"/>
      <c r="V54" s="10"/>
      <c r="W54" s="10"/>
      <c r="X54" s="10"/>
      <c r="Y54" s="10"/>
      <c r="AC54" s="10"/>
      <c r="AD54" s="10">
        <v>0.5</v>
      </c>
      <c r="AE54" s="10"/>
      <c r="AF54" s="10">
        <v>0.5</v>
      </c>
      <c r="AJ54" s="10"/>
      <c r="AK54" s="10">
        <v>0.5</v>
      </c>
      <c r="AL54" s="10"/>
      <c r="AM54" s="10">
        <v>0.5</v>
      </c>
      <c r="AQ54" s="10"/>
      <c r="AR54" s="10">
        <v>1</v>
      </c>
      <c r="AS54" s="10"/>
      <c r="AT54" s="10">
        <v>1</v>
      </c>
      <c r="AX54" s="10"/>
      <c r="AY54" s="10"/>
      <c r="AZ54" s="10"/>
      <c r="BA54" s="10"/>
      <c r="BE54" s="10"/>
      <c r="BF54" s="10"/>
      <c r="BG54" s="10"/>
      <c r="BH54" s="10"/>
      <c r="BL54" s="10"/>
      <c r="BM54" s="10"/>
      <c r="BN54" s="10"/>
      <c r="BO54" s="10">
        <v>0.8</v>
      </c>
      <c r="BS54" s="10"/>
      <c r="BT54" s="10">
        <v>0.8</v>
      </c>
      <c r="BU54" s="10"/>
      <c r="BV54" s="10">
        <v>0.8</v>
      </c>
      <c r="BZ54" s="10"/>
      <c r="CA54" s="10">
        <v>0.8</v>
      </c>
      <c r="CB54" s="10"/>
      <c r="CC54" s="10">
        <v>0.8</v>
      </c>
      <c r="CG54" s="10"/>
      <c r="CH54" s="10">
        <v>1</v>
      </c>
      <c r="CI54" s="10"/>
      <c r="CJ54" s="10">
        <v>1</v>
      </c>
      <c r="CN54" s="10"/>
      <c r="CO54" s="10"/>
      <c r="CP54" s="10"/>
      <c r="CQ54" s="10"/>
      <c r="CU54" s="10"/>
      <c r="CV54" s="10"/>
      <c r="CW54" s="10"/>
      <c r="CX54" s="10"/>
      <c r="DB54" s="10"/>
      <c r="DC54" s="10"/>
      <c r="DD54" s="10"/>
      <c r="DE54" s="10"/>
    </row>
    <row r="55" spans="2:109" outlineLevel="1" x14ac:dyDescent="0.2">
      <c r="B55" t="s">
        <v>28</v>
      </c>
      <c r="C55" t="s">
        <v>43</v>
      </c>
      <c r="E55" s="9"/>
      <c r="F55" t="s">
        <v>124</v>
      </c>
      <c r="G55" s="10">
        <v>0.23</v>
      </c>
      <c r="I55" s="9">
        <f>+SUMIF($N$3:$ZZ$3,I$3,$N55:$ZZ55)</f>
        <v>0</v>
      </c>
      <c r="J55" s="11" cm="1">
        <f t="array" ref="J55">MAX(IF($N$3:$EH$3=$J$3,N55:EH55))</f>
        <v>0</v>
      </c>
      <c r="K55" s="11" cm="1">
        <f t="array" ref="K55">MAX(IF($N$3:$EH$3=$J$3,N55:EH55))</f>
        <v>0</v>
      </c>
      <c r="L55" s="9"/>
      <c r="O55" s="10"/>
      <c r="P55" s="10"/>
      <c r="Q55" s="10"/>
      <c r="R55" s="10"/>
      <c r="V55" s="10"/>
      <c r="W55" s="10"/>
      <c r="X55" s="10"/>
      <c r="Y55" s="10"/>
      <c r="AC55" s="10"/>
      <c r="AD55" s="10">
        <v>0.5</v>
      </c>
      <c r="AE55" s="10"/>
      <c r="AF55" s="10">
        <v>0.5</v>
      </c>
      <c r="AJ55" s="10"/>
      <c r="AK55" s="10">
        <v>0.5</v>
      </c>
      <c r="AL55" s="10"/>
      <c r="AM55" s="10">
        <v>0.5</v>
      </c>
      <c r="AQ55" s="10"/>
      <c r="AR55" s="10">
        <v>1</v>
      </c>
      <c r="AS55" s="10"/>
      <c r="AT55" s="10">
        <v>1</v>
      </c>
      <c r="AX55" s="10"/>
      <c r="AY55" s="10"/>
      <c r="AZ55" s="10"/>
      <c r="BA55" s="10"/>
      <c r="BE55" s="10"/>
      <c r="BF55" s="10"/>
      <c r="BG55" s="10"/>
      <c r="BH55" s="10"/>
      <c r="BL55" s="10"/>
      <c r="BM55" s="10"/>
      <c r="BN55" s="10"/>
      <c r="BO55" s="10">
        <v>0.8</v>
      </c>
      <c r="BS55" s="10"/>
      <c r="BT55" s="10">
        <v>0.8</v>
      </c>
      <c r="BU55" s="10"/>
      <c r="BV55" s="10">
        <v>0.8</v>
      </c>
      <c r="BZ55" s="10"/>
      <c r="CA55" s="10">
        <v>0.8</v>
      </c>
      <c r="CB55" s="10"/>
      <c r="CC55" s="10">
        <v>0.8</v>
      </c>
      <c r="CG55" s="10"/>
      <c r="CH55" s="10">
        <v>1</v>
      </c>
      <c r="CI55" s="10"/>
      <c r="CJ55" s="10">
        <v>1</v>
      </c>
      <c r="CN55" s="10"/>
      <c r="CO55" s="10"/>
      <c r="CP55" s="10"/>
      <c r="CQ55" s="10"/>
      <c r="CU55" s="10"/>
      <c r="CV55" s="10"/>
      <c r="CW55" s="10"/>
      <c r="CX55" s="10"/>
      <c r="DB55" s="10"/>
      <c r="DC55" s="10"/>
      <c r="DD55" s="10"/>
      <c r="DE55" s="10"/>
    </row>
    <row r="56" spans="2:109" outlineLevel="1" x14ac:dyDescent="0.2">
      <c r="B56" t="s">
        <v>28</v>
      </c>
      <c r="C56" t="s">
        <v>43</v>
      </c>
      <c r="E56" s="9"/>
      <c r="F56" t="s">
        <v>125</v>
      </c>
      <c r="G56" s="10">
        <v>0.05</v>
      </c>
      <c r="I56" s="9">
        <f>+SUMIF($N$3:$ZZ$3,I$3,$N56:$ZZ56)</f>
        <v>0</v>
      </c>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v>0.5</v>
      </c>
      <c r="AL56" s="10"/>
      <c r="AM56" s="10">
        <v>0.5</v>
      </c>
      <c r="AQ56" s="10"/>
      <c r="AR56" s="10">
        <v>1</v>
      </c>
      <c r="AS56" s="10"/>
      <c r="AT56" s="10">
        <v>1</v>
      </c>
      <c r="AX56" s="10"/>
      <c r="AY56" s="10"/>
      <c r="AZ56" s="10"/>
      <c r="BA56" s="10"/>
      <c r="BE56" s="10"/>
      <c r="BF56" s="10"/>
      <c r="BG56" s="10"/>
      <c r="BH56" s="10"/>
      <c r="BL56" s="10"/>
      <c r="BM56" s="10"/>
      <c r="BN56" s="10"/>
      <c r="BO56" s="10">
        <v>0.8</v>
      </c>
      <c r="BS56" s="10"/>
      <c r="BT56" s="10">
        <v>0.8</v>
      </c>
      <c r="BU56" s="10"/>
      <c r="BV56" s="10">
        <v>0.8</v>
      </c>
      <c r="BZ56" s="10"/>
      <c r="CA56" s="10">
        <v>0.8</v>
      </c>
      <c r="CB56" s="10"/>
      <c r="CC56" s="10">
        <v>0.8</v>
      </c>
      <c r="CG56" s="10"/>
      <c r="CH56" s="10">
        <v>1</v>
      </c>
      <c r="CI56" s="10"/>
      <c r="CJ56" s="10">
        <v>1</v>
      </c>
      <c r="CN56" s="10"/>
      <c r="CO56" s="10"/>
      <c r="CP56" s="10"/>
      <c r="CQ56" s="10"/>
      <c r="CU56" s="10"/>
      <c r="CV56" s="10"/>
      <c r="CW56" s="10"/>
      <c r="CX56" s="10"/>
      <c r="DB56" s="10"/>
      <c r="DC56" s="10"/>
      <c r="DD56" s="10"/>
      <c r="DE56" s="10"/>
    </row>
    <row r="57" spans="2:109" outlineLevel="1" x14ac:dyDescent="0.2">
      <c r="B57" t="s">
        <v>28</v>
      </c>
      <c r="C57" t="s">
        <v>43</v>
      </c>
      <c r="E57" s="9"/>
      <c r="F57" t="s">
        <v>126</v>
      </c>
      <c r="G57" s="10">
        <v>0.05</v>
      </c>
      <c r="I57" s="9">
        <f>+SUMIF($N$3:$ZZ$3,I$3,$N57:$ZZ57)</f>
        <v>0</v>
      </c>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v>0.5</v>
      </c>
      <c r="AL57" s="10"/>
      <c r="AM57" s="10">
        <v>0.5</v>
      </c>
      <c r="AQ57" s="10"/>
      <c r="AR57" s="10">
        <v>1</v>
      </c>
      <c r="AS57" s="10"/>
      <c r="AT57" s="10">
        <v>1</v>
      </c>
      <c r="AX57" s="10"/>
      <c r="AY57" s="10"/>
      <c r="AZ57" s="10"/>
      <c r="BA57" s="10"/>
      <c r="BE57" s="10"/>
      <c r="BF57" s="10"/>
      <c r="BG57" s="10"/>
      <c r="BH57" s="10"/>
      <c r="BL57" s="10"/>
      <c r="BM57" s="10"/>
      <c r="BN57" s="10"/>
      <c r="BO57" s="10">
        <v>0.5</v>
      </c>
      <c r="BS57" s="10"/>
      <c r="BT57" s="10">
        <v>0.8</v>
      </c>
      <c r="BU57" s="10"/>
      <c r="BV57" s="10">
        <v>0.8</v>
      </c>
      <c r="BZ57" s="10"/>
      <c r="CA57" s="10">
        <v>0.8</v>
      </c>
      <c r="CB57" s="10"/>
      <c r="CC57" s="10">
        <v>0.8</v>
      </c>
      <c r="CG57" s="10"/>
      <c r="CH57" s="10">
        <v>1</v>
      </c>
      <c r="CI57" s="10"/>
      <c r="CJ57" s="10">
        <v>1</v>
      </c>
      <c r="CN57" s="10"/>
      <c r="CO57" s="10"/>
      <c r="CP57" s="10"/>
      <c r="CQ57" s="10"/>
      <c r="CU57" s="10"/>
      <c r="CV57" s="10"/>
      <c r="CW57" s="10"/>
      <c r="CX57" s="10"/>
      <c r="DB57" s="10"/>
      <c r="DC57" s="10"/>
      <c r="DD57" s="10"/>
      <c r="DE57" s="10"/>
    </row>
  </sheetData>
  <mergeCells count="15">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phoneticPr fontId="5" type="noConversion"/>
  <conditionalFormatting sqref="J5:J17">
    <cfRule type="colorScale" priority="597">
      <colorScale>
        <cfvo type="percent" val="0"/>
        <cfvo type="percent" val="100"/>
        <color rgb="FFFF231B"/>
        <color rgb="FF10FF07"/>
      </colorScale>
    </cfRule>
  </conditionalFormatting>
  <conditionalFormatting sqref="J21">
    <cfRule type="colorScale" priority="145">
      <colorScale>
        <cfvo type="percent" val="0"/>
        <cfvo type="percent" val="100"/>
        <color rgb="FFFF231B"/>
        <color rgb="FF10FF07"/>
      </colorScale>
    </cfRule>
  </conditionalFormatting>
  <conditionalFormatting sqref="J22">
    <cfRule type="colorScale" priority="126">
      <colorScale>
        <cfvo type="percent" val="0"/>
        <cfvo type="percent" val="100"/>
        <color rgb="FFFF231B"/>
        <color rgb="FF10FF07"/>
      </colorScale>
    </cfRule>
  </conditionalFormatting>
  <conditionalFormatting sqref="J23:J25 J20">
    <cfRule type="colorScale" priority="813">
      <colorScale>
        <cfvo type="percent" val="0"/>
        <cfvo type="percent" val="100"/>
        <color rgb="FFFF231B"/>
        <color rgb="FF10FF07"/>
      </colorScale>
    </cfRule>
  </conditionalFormatting>
  <conditionalFormatting sqref="J28:J45">
    <cfRule type="colorScale" priority="657">
      <colorScale>
        <cfvo type="percent" val="0"/>
        <cfvo type="percent" val="100"/>
        <color rgb="FFFF231B"/>
        <color rgb="FF10FF07"/>
      </colorScale>
    </cfRule>
  </conditionalFormatting>
  <conditionalFormatting sqref="J48:J57">
    <cfRule type="colorScale" priority="750">
      <colorScale>
        <cfvo type="percent" val="0"/>
        <cfvo type="percent" val="100"/>
        <color rgb="FFFF231B"/>
        <color rgb="FF10FF07"/>
      </colorScale>
    </cfRule>
  </conditionalFormatting>
  <conditionalFormatting sqref="J6:K17">
    <cfRule type="colorScale" priority="568">
      <colorScale>
        <cfvo type="percent" val="0"/>
        <cfvo type="percent" val="100"/>
        <color rgb="FFFF231B"/>
        <color rgb="FF10FF07"/>
      </colorScale>
    </cfRule>
  </conditionalFormatting>
  <conditionalFormatting sqref="J21:K21">
    <cfRule type="colorScale" priority="146">
      <colorScale>
        <cfvo type="percent" val="0"/>
        <cfvo type="percent" val="100"/>
        <color rgb="FFFF231B"/>
        <color rgb="FF10FF07"/>
      </colorScale>
    </cfRule>
  </conditionalFormatting>
  <conditionalFormatting sqref="J22:K22">
    <cfRule type="colorScale" priority="127">
      <colorScale>
        <cfvo type="percent" val="0"/>
        <cfvo type="percent" val="100"/>
        <color rgb="FFFF231B"/>
        <color rgb="FF10FF07"/>
      </colorScale>
    </cfRule>
  </conditionalFormatting>
  <conditionalFormatting sqref="J23:K25">
    <cfRule type="colorScale" priority="815">
      <colorScale>
        <cfvo type="percent" val="0"/>
        <cfvo type="percent" val="100"/>
        <color rgb="FFFF231B"/>
        <color rgb="FF10FF07"/>
      </colorScale>
    </cfRule>
  </conditionalFormatting>
  <conditionalFormatting sqref="J29:K45">
    <cfRule type="colorScale" priority="655">
      <colorScale>
        <cfvo type="percent" val="0"/>
        <cfvo type="percent" val="100"/>
        <color rgb="FFFF231B"/>
        <color rgb="FF10FF07"/>
      </colorScale>
    </cfRule>
  </conditionalFormatting>
  <conditionalFormatting sqref="J49:K57">
    <cfRule type="colorScale" priority="749">
      <colorScale>
        <cfvo type="percent" val="0"/>
        <cfvo type="percent" val="100"/>
        <color rgb="FFFF231B"/>
        <color rgb="FF10FF07"/>
      </colorScale>
    </cfRule>
  </conditionalFormatting>
  <conditionalFormatting sqref="K5:K17">
    <cfRule type="colorScale" priority="598">
      <colorScale>
        <cfvo type="percent" val="0"/>
        <cfvo type="percent" val="100"/>
        <color rgb="FFFF231B"/>
        <color rgb="FF10FF07"/>
      </colorScale>
    </cfRule>
  </conditionalFormatting>
  <conditionalFormatting sqref="K21">
    <cfRule type="colorScale" priority="144">
      <colorScale>
        <cfvo type="percent" val="0"/>
        <cfvo type="percent" val="100"/>
        <color rgb="FFFF231B"/>
        <color rgb="FF10FF07"/>
      </colorScale>
    </cfRule>
  </conditionalFormatting>
  <conditionalFormatting sqref="K22">
    <cfRule type="colorScale" priority="125">
      <colorScale>
        <cfvo type="percent" val="0"/>
        <cfvo type="percent" val="100"/>
        <color rgb="FFFF231B"/>
        <color rgb="FF10FF07"/>
      </colorScale>
    </cfRule>
  </conditionalFormatting>
  <conditionalFormatting sqref="K23:K25 K20">
    <cfRule type="colorScale" priority="816">
      <colorScale>
        <cfvo type="percent" val="0"/>
        <cfvo type="percent" val="100"/>
        <color rgb="FFFF231B"/>
        <color rgb="FF10FF07"/>
      </colorScale>
    </cfRule>
  </conditionalFormatting>
  <conditionalFormatting sqref="K28:K45">
    <cfRule type="colorScale" priority="659">
      <colorScale>
        <cfvo type="percent" val="0"/>
        <cfvo type="percent" val="100"/>
        <color rgb="FFFF231B"/>
        <color rgb="FF10FF07"/>
      </colorScale>
    </cfRule>
  </conditionalFormatting>
  <conditionalFormatting sqref="K48:K57">
    <cfRule type="colorScale" priority="752">
      <colorScale>
        <cfvo type="percent" val="0"/>
        <cfvo type="percent" val="100"/>
        <color rgb="FFFF231B"/>
        <color rgb="FF10FF07"/>
      </colorScale>
    </cfRule>
  </conditionalFormatting>
  <conditionalFormatting sqref="O20:O25 Q20:Q25 V20:V25 X20:X25 AC20:AC25 AE20:AE25 AJ20:AJ25 AL20:AL25 AQ20:AQ25 AS20:AS25 AX20:AX25 AZ20:AZ25 BE20:BE25 BG20:BG25 BL20:BL25 BN20:BN25 BS20:BS25 BU20:BU25 BZ20:BZ25 CB20:CB25 CG20:CG25 CI20:CI25 CN20:CN25 CP20:CP25 CU20:CU25 CW20:CW25 DB20:DB25 DD20:DD25 Q48:Q57 V48:V57 X48:X57 AC48:AC57 AE48:AE57 AJ48:AJ57 AL48:AL57 AQ48:AQ57 AS48:AS57 AX48:AX57 AZ48:AZ57 BE48:BE57 BG48:BG57 BL48:BL57 BN48:BN57 O50:O57 O5:O17 Q5:Q17 V5:V17 X5:X17 AC5:AC17 AE5:AE17 AJ5:AJ17 AL5:AL17 AQ5:AQ17 AS5:AS17 AX5:AX17 AZ5:AZ17 BE5:BE17 BG5:BG17 BL5:BL17 BN5:BN17">
    <cfRule type="expression" dxfId="85" priority="565">
      <formula>OR(IF(O5&lt;P5,TRUE),IF(AND(P5="",O5&lt;&gt;""),TRUE))</formula>
    </cfRule>
    <cfRule type="expression" dxfId="84" priority="566">
      <formula>IF(O5&gt;=P5,IF(O5="",FALSE,TRUE))</formula>
    </cfRule>
  </conditionalFormatting>
  <conditionalFormatting sqref="O28:O45">
    <cfRule type="expression" dxfId="83" priority="506">
      <formula>OR(IF(O28&lt;P28,TRUE),IF(AND(P28="",O28&lt;&gt;""),TRUE))</formula>
    </cfRule>
    <cfRule type="expression" dxfId="82" priority="507">
      <formula>IF(O28&gt;=P28,IF(O28="",FALSE,TRUE))</formula>
    </cfRule>
  </conditionalFormatting>
  <conditionalFormatting sqref="O48">
    <cfRule type="expression" dxfId="81" priority="819">
      <formula>OR(IF(O48&lt;P49,TRUE),IF(AND(P49="",O48&lt;&gt;""),TRUE))</formula>
    </cfRule>
    <cfRule type="expression" dxfId="80" priority="820">
      <formula>IF(O48&gt;=P49,IF(O48="",FALSE,TRUE))</formula>
    </cfRule>
  </conditionalFormatting>
  <conditionalFormatting sqref="Q28:Q45">
    <cfRule type="expression" dxfId="79" priority="504">
      <formula>OR(IF(Q28&lt;R28,TRUE),IF(AND(R28="",Q28&lt;&gt;""),TRUE))</formula>
    </cfRule>
    <cfRule type="expression" dxfId="78" priority="505">
      <formula>IF(Q28&gt;=R28,IF(Q28="",FALSE,TRUE))</formula>
    </cfRule>
  </conditionalFormatting>
  <conditionalFormatting sqref="V28:V45">
    <cfRule type="expression" dxfId="77" priority="476">
      <formula>OR(IF(V28&lt;W28,TRUE),IF(AND(W28="",V28&lt;&gt;""),TRUE))</formula>
    </cfRule>
    <cfRule type="expression" dxfId="76" priority="477">
      <formula>IF(V28&gt;=W28,IF(V28="",FALSE,TRUE))</formula>
    </cfRule>
  </conditionalFormatting>
  <conditionalFormatting sqref="X28:X45">
    <cfRule type="expression" dxfId="75" priority="474">
      <formula>OR(IF(X28&lt;Y28,TRUE),IF(AND(Y28="",X28&lt;&gt;""),TRUE))</formula>
    </cfRule>
    <cfRule type="expression" dxfId="74" priority="475">
      <formula>IF(X28&gt;=Y28,IF(X28="",FALSE,TRUE))</formula>
    </cfRule>
  </conditionalFormatting>
  <conditionalFormatting sqref="AC28:AC45">
    <cfRule type="expression" dxfId="73" priority="460">
      <formula>OR(IF(AC28&lt;AD28,TRUE),IF(AND(AD28="",AC28&lt;&gt;""),TRUE))</formula>
    </cfRule>
    <cfRule type="expression" dxfId="72" priority="461">
      <formula>IF(AC28&gt;=AD28,IF(AC28="",FALSE,TRUE))</formula>
    </cfRule>
  </conditionalFormatting>
  <conditionalFormatting sqref="AE28:AE45">
    <cfRule type="expression" dxfId="71" priority="458">
      <formula>OR(IF(AE28&lt;AF28,TRUE),IF(AND(AF28="",AE28&lt;&gt;""),TRUE))</formula>
    </cfRule>
    <cfRule type="expression" dxfId="70" priority="459">
      <formula>IF(AE28&gt;=AF28,IF(AE28="",FALSE,TRUE))</formula>
    </cfRule>
  </conditionalFormatting>
  <conditionalFormatting sqref="AJ28:AJ45">
    <cfRule type="expression" dxfId="69" priority="444">
      <formula>OR(IF(AJ28&lt;AK28,TRUE),IF(AND(AK28="",AJ28&lt;&gt;""),TRUE))</formula>
    </cfRule>
    <cfRule type="expression" dxfId="68" priority="445">
      <formula>IF(AJ28&gt;=AK28,IF(AJ28="",FALSE,TRUE))</formula>
    </cfRule>
  </conditionalFormatting>
  <conditionalFormatting sqref="AL28:AL45">
    <cfRule type="expression" dxfId="67" priority="442">
      <formula>OR(IF(AL28&lt;AM28,TRUE),IF(AND(AM28="",AL28&lt;&gt;""),TRUE))</formula>
    </cfRule>
    <cfRule type="expression" dxfId="66" priority="443">
      <formula>IF(AL28&gt;=AM28,IF(AL28="",FALSE,TRUE))</formula>
    </cfRule>
  </conditionalFormatting>
  <conditionalFormatting sqref="AQ28:AQ45">
    <cfRule type="expression" dxfId="65" priority="428">
      <formula>OR(IF(AQ28&lt;AR28,TRUE),IF(AND(AR28="",AQ28&lt;&gt;""),TRUE))</formula>
    </cfRule>
    <cfRule type="expression" dxfId="64" priority="429">
      <formula>IF(AQ28&gt;=AR28,IF(AQ28="",FALSE,TRUE))</formula>
    </cfRule>
  </conditionalFormatting>
  <conditionalFormatting sqref="AS28:AS45">
    <cfRule type="expression" dxfId="63" priority="426">
      <formula>OR(IF(AS28&lt;AT28,TRUE),IF(AND(AT28="",AS28&lt;&gt;""),TRUE))</formula>
    </cfRule>
    <cfRule type="expression" dxfId="62" priority="427">
      <formula>IF(AS28&gt;=AT28,IF(AS28="",FALSE,TRUE))</formula>
    </cfRule>
  </conditionalFormatting>
  <conditionalFormatting sqref="AX28:AX45">
    <cfRule type="expression" dxfId="61" priority="412">
      <formula>OR(IF(AX28&lt;AY28,TRUE),IF(AND(AY28="",AX28&lt;&gt;""),TRUE))</formula>
    </cfRule>
    <cfRule type="expression" dxfId="60" priority="413">
      <formula>IF(AX28&gt;=AY28,IF(AX28="",FALSE,TRUE))</formula>
    </cfRule>
  </conditionalFormatting>
  <conditionalFormatting sqref="AZ28:AZ45">
    <cfRule type="expression" dxfId="59" priority="410">
      <formula>OR(IF(AZ28&lt;BA28,TRUE),IF(AND(BA28="",AZ28&lt;&gt;""),TRUE))</formula>
    </cfRule>
    <cfRule type="expression" dxfId="58" priority="411">
      <formula>IF(AZ28&gt;=BA28,IF(AZ28="",FALSE,TRUE))</formula>
    </cfRule>
  </conditionalFormatting>
  <conditionalFormatting sqref="BE28:BE45">
    <cfRule type="expression" dxfId="57" priority="396">
      <formula>OR(IF(BE28&lt;BF28,TRUE),IF(AND(BF28="",BE28&lt;&gt;""),TRUE))</formula>
    </cfRule>
    <cfRule type="expression" dxfId="56" priority="397">
      <formula>IF(BE28&gt;=BF28,IF(BE28="",FALSE,TRUE))</formula>
    </cfRule>
  </conditionalFormatting>
  <conditionalFormatting sqref="BG28:BG45">
    <cfRule type="expression" dxfId="55" priority="394">
      <formula>OR(IF(BG28&lt;BH28,TRUE),IF(AND(BH28="",BG28&lt;&gt;""),TRUE))</formula>
    </cfRule>
    <cfRule type="expression" dxfId="54" priority="395">
      <formula>IF(BG28&gt;=BH28,IF(BG28="",FALSE,TRUE))</formula>
    </cfRule>
  </conditionalFormatting>
  <conditionalFormatting sqref="BL28:BL45">
    <cfRule type="expression" dxfId="53" priority="372">
      <formula>OR(IF(BL28&lt;BM28,TRUE),IF(AND(BM28="",BL28&lt;&gt;""),TRUE))</formula>
    </cfRule>
    <cfRule type="expression" dxfId="52" priority="373">
      <formula>IF(BL28&gt;=BM28,IF(BL28="",FALSE,TRUE))</formula>
    </cfRule>
  </conditionalFormatting>
  <conditionalFormatting sqref="BN28:BN45">
    <cfRule type="expression" dxfId="51" priority="370">
      <formula>OR(IF(BN28&lt;BO28,TRUE),IF(AND(BO28="",BN28&lt;&gt;""),TRUE))</formula>
    </cfRule>
    <cfRule type="expression" dxfId="50" priority="371">
      <formula>IF(BN28&gt;=BO28,IF(BN28="",FALSE,TRUE))</formula>
    </cfRule>
  </conditionalFormatting>
  <conditionalFormatting sqref="BS48:BS57 BU48:BU57 BS5:BS17 BU5:BU17">
    <cfRule type="expression" dxfId="49" priority="121">
      <formula>OR(IF(BS5&lt;BT5,TRUE),IF(AND(BT5="",BS5&lt;&gt;""),TRUE))</formula>
    </cfRule>
    <cfRule type="expression" dxfId="48" priority="122">
      <formula>IF(BS5&gt;=BT5,IF(BS5="",FALSE,TRUE))</formula>
    </cfRule>
  </conditionalFormatting>
  <conditionalFormatting sqref="BS28:BS45">
    <cfRule type="expression" dxfId="47" priority="117">
      <formula>OR(IF(BS28&lt;BT28,TRUE),IF(AND(BT28="",BS28&lt;&gt;""),TRUE))</formula>
    </cfRule>
    <cfRule type="expression" dxfId="46" priority="118">
      <formula>IF(BS28&gt;=BT28,IF(BS28="",FALSE,TRUE))</formula>
    </cfRule>
  </conditionalFormatting>
  <conditionalFormatting sqref="BU28:BU45">
    <cfRule type="expression" dxfId="45" priority="115">
      <formula>OR(IF(BU28&lt;BV28,TRUE),IF(AND(BV28="",BU28&lt;&gt;""),TRUE))</formula>
    </cfRule>
    <cfRule type="expression" dxfId="44" priority="116">
      <formula>IF(BU28&gt;=BV28,IF(BU28="",FALSE,TRUE))</formula>
    </cfRule>
  </conditionalFormatting>
  <conditionalFormatting sqref="BZ48:BZ57 CB48:CB57 BZ5:BZ17">
    <cfRule type="expression" dxfId="43" priority="101">
      <formula>OR(IF(BZ5&lt;CA5,TRUE),IF(AND(CA5="",BZ5&lt;&gt;""),TRUE))</formula>
    </cfRule>
    <cfRule type="expression" dxfId="42" priority="102">
      <formula>IF(BZ5&gt;=CA5,IF(BZ5="",FALSE,TRUE))</formula>
    </cfRule>
  </conditionalFormatting>
  <conditionalFormatting sqref="BZ28:BZ45">
    <cfRule type="expression" dxfId="41" priority="97">
      <formula>OR(IF(BZ28&lt;CA28,TRUE),IF(AND(CA28="",BZ28&lt;&gt;""),TRUE))</formula>
    </cfRule>
    <cfRule type="expression" dxfId="40" priority="98">
      <formula>IF(BZ28&gt;=CA28,IF(BZ28="",FALSE,TRUE))</formula>
    </cfRule>
  </conditionalFormatting>
  <conditionalFormatting sqref="CB5:CB17">
    <cfRule type="expression" dxfId="39" priority="1">
      <formula>OR(IF(CB5&lt;CC5,TRUE),IF(AND(CC5="",CB5&lt;&gt;""),TRUE))</formula>
    </cfRule>
    <cfRule type="expression" dxfId="38" priority="2">
      <formula>IF(CB5&gt;=CC5,IF(CB5="",FALSE,TRUE))</formula>
    </cfRule>
  </conditionalFormatting>
  <conditionalFormatting sqref="CB28:CB45">
    <cfRule type="expression" dxfId="37" priority="95">
      <formula>OR(IF(CB28&lt;CC28,TRUE),IF(AND(CC28="",CB28&lt;&gt;""),TRUE))</formula>
    </cfRule>
    <cfRule type="expression" dxfId="36" priority="96">
      <formula>IF(CB28&gt;=CC28,IF(CB28="",FALSE,TRUE))</formula>
    </cfRule>
  </conditionalFormatting>
  <conditionalFormatting sqref="CG48:CG57 CI48:CI57 CG5:CG17 CI5:CI17">
    <cfRule type="expression" dxfId="35" priority="81">
      <formula>OR(IF(CG5&lt;CH5,TRUE),IF(AND(CH5="",CG5&lt;&gt;""),TRUE))</formula>
    </cfRule>
    <cfRule type="expression" dxfId="34" priority="82">
      <formula>IF(CG5&gt;=CH5,IF(CG5="",FALSE,TRUE))</formula>
    </cfRule>
  </conditionalFormatting>
  <conditionalFormatting sqref="CG28:CG45">
    <cfRule type="expression" dxfId="33" priority="77">
      <formula>OR(IF(CG28&lt;CH28,TRUE),IF(AND(CH28="",CG28&lt;&gt;""),TRUE))</formula>
    </cfRule>
    <cfRule type="expression" dxfId="32" priority="78">
      <formula>IF(CG28&gt;=CH28,IF(CG28="",FALSE,TRUE))</formula>
    </cfRule>
  </conditionalFormatting>
  <conditionalFormatting sqref="CI28:CI45">
    <cfRule type="expression" dxfId="31" priority="75">
      <formula>OR(IF(CI28&lt;CJ28,TRUE),IF(AND(CJ28="",CI28&lt;&gt;""),TRUE))</formula>
    </cfRule>
    <cfRule type="expression" dxfId="30" priority="76">
      <formula>IF(CI28&gt;=CJ28,IF(CI28="",FALSE,TRUE))</formula>
    </cfRule>
  </conditionalFormatting>
  <conditionalFormatting sqref="CN5:CN17 CP5:CP17 CN48:CN57 CP48:CP57">
    <cfRule type="expression" dxfId="29" priority="61">
      <formula>OR(IF(CN5&lt;CO5,TRUE),IF(AND(CO5="",CN5&lt;&gt;""),TRUE))</formula>
    </cfRule>
    <cfRule type="expression" dxfId="28" priority="62">
      <formula>IF(CN5&gt;=CO5,IF(CN5="",FALSE,TRUE))</formula>
    </cfRule>
  </conditionalFormatting>
  <conditionalFormatting sqref="CN28:CN45">
    <cfRule type="expression" dxfId="27" priority="57">
      <formula>OR(IF(CN28&lt;CO28,TRUE),IF(AND(CO28="",CN28&lt;&gt;""),TRUE))</formula>
    </cfRule>
    <cfRule type="expression" dxfId="26" priority="58">
      <formula>IF(CN28&gt;=CO28,IF(CN28="",FALSE,TRUE))</formula>
    </cfRule>
  </conditionalFormatting>
  <conditionalFormatting sqref="CP28:CP45">
    <cfRule type="expression" dxfId="25" priority="55">
      <formula>OR(IF(CP28&lt;CQ28,TRUE),IF(AND(CQ28="",CP28&lt;&gt;""),TRUE))</formula>
    </cfRule>
    <cfRule type="expression" dxfId="24" priority="56">
      <formula>IF(CP28&gt;=CQ28,IF(CP28="",FALSE,TRUE))</formula>
    </cfRule>
  </conditionalFormatting>
  <conditionalFormatting sqref="CU5:CU17 CW5:CW17 CU48:CU57 CW48:CW57">
    <cfRule type="expression" dxfId="23" priority="41">
      <formula>OR(IF(CU5&lt;CV5,TRUE),IF(AND(CV5="",CU5&lt;&gt;""),TRUE))</formula>
    </cfRule>
    <cfRule type="expression" dxfId="22" priority="42">
      <formula>IF(CU5&gt;=CV5,IF(CU5="",FALSE,TRUE))</formula>
    </cfRule>
  </conditionalFormatting>
  <conditionalFormatting sqref="CU28:CU45">
    <cfRule type="expression" dxfId="21" priority="37">
      <formula>OR(IF(CU28&lt;CV28,TRUE),IF(AND(CV28="",CU28&lt;&gt;""),TRUE))</formula>
    </cfRule>
    <cfRule type="expression" dxfId="20" priority="38">
      <formula>IF(CU28&gt;=CV28,IF(CU28="",FALSE,TRUE))</formula>
    </cfRule>
  </conditionalFormatting>
  <conditionalFormatting sqref="CW28:CW45">
    <cfRule type="expression" dxfId="19" priority="35">
      <formula>OR(IF(CW28&lt;CX28,TRUE),IF(AND(CX28="",CW28&lt;&gt;""),TRUE))</formula>
    </cfRule>
    <cfRule type="expression" dxfId="18" priority="36">
      <formula>IF(CW28&gt;=CX28,IF(CW28="",FALSE,TRUE))</formula>
    </cfRule>
  </conditionalFormatting>
  <conditionalFormatting sqref="DB5:DB17 DD5:DD17 DB48:DB57 DD48:DD57">
    <cfRule type="expression" dxfId="17" priority="21">
      <formula>OR(IF(DB5&lt;DC5,TRUE),IF(AND(DC5="",DB5&lt;&gt;""),TRUE))</formula>
    </cfRule>
    <cfRule type="expression" dxfId="16" priority="22">
      <formula>IF(DB5&gt;=DC5,IF(DB5="",FALSE,TRUE))</formula>
    </cfRule>
  </conditionalFormatting>
  <conditionalFormatting sqref="DB28:DB45">
    <cfRule type="expression" dxfId="15" priority="17">
      <formula>OR(IF(DB28&lt;DC28,TRUE),IF(AND(DC28="",DB28&lt;&gt;""),TRUE))</formula>
    </cfRule>
    <cfRule type="expression" dxfId="14" priority="18">
      <formula>IF(DB28&gt;=DC28,IF(DB28="",FALSE,TRUE))</formula>
    </cfRule>
  </conditionalFormatting>
  <conditionalFormatting sqref="DD28:DD45">
    <cfRule type="expression" dxfId="13" priority="15">
      <formula>OR(IF(DD28&lt;DE28,TRUE),IF(AND(DE28="",DD28&lt;&gt;""),TRUE))</formula>
    </cfRule>
    <cfRule type="expression" dxfId="12" priority="16">
      <formula>IF(DD28&gt;=DE28,IF(DD28="",FALSE,TRUE))</formula>
    </cfRule>
  </conditionalFormatting>
  <dataValidations count="1">
    <dataValidation type="list" allowBlank="1" showInputMessage="1" showErrorMessage="1" sqref="AJ48:AM57 V20:Y25 AC20:AF25 AJ20:AM25 AQ20:AT25 AX20:BA25 BE20:BH25 BL20:BO25 BL28:BO45 O28:R45 AX28:BA45 CG48:CJ57 AQ28:AT45 AJ28:AM45 AC28:AF45 V28:Y45 CN28:CQ45 O20:R25 CN48:CQ57 CU5:CX17 CU20:CX25 CU28:CX45 BZ20:CC25 CU48:CX57 BL48:BO57 AX48:BA57 BE48:BH57 AQ48:AT57 AC48:AF57 V48:Y57 DB5:DE17 BS28:BV45 BS48:BV57 BS20:BV25 DB20:DE25 BZ28:CC45 BZ48:CC57 BE28:BH45 DB48:DE57 P48:R49 CG28:CJ45 CG20:CJ25 DB28:DE45 CN5:CQ17 CN20:CQ25 O48 O50:R57 CG5:CJ17 BS5:BV17 BZ5:CC17 O5:R17 BL5:BO17 BE5:BH17 AX5:BA17 AQ5:AT17 AJ5:AM17 AC5:AF17 V5:Y17"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4" zoomScale="61" workbookViewId="0">
      <selection activeCell="B30" sqref="B30"/>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40</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39</v>
      </c>
    </row>
    <row r="19" spans="2:2" ht="153" x14ac:dyDescent="0.2">
      <c r="B19" s="1" t="s">
        <v>41</v>
      </c>
    </row>
    <row r="21" spans="2:2" x14ac:dyDescent="0.2">
      <c r="B21" s="2" t="s">
        <v>21</v>
      </c>
    </row>
    <row r="22" spans="2:2" ht="136" x14ac:dyDescent="0.2">
      <c r="B22" s="1" t="s">
        <v>42</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A4" sqref="A4"/>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49</v>
      </c>
      <c r="B1" s="15" t="s">
        <v>46</v>
      </c>
      <c r="C1" s="15" t="s">
        <v>47</v>
      </c>
      <c r="D1" s="15" t="s">
        <v>48</v>
      </c>
      <c r="E1" s="1" t="s">
        <v>50</v>
      </c>
      <c r="F1" s="1" t="s">
        <v>51</v>
      </c>
      <c r="G1" s="1" t="s">
        <v>52</v>
      </c>
      <c r="H1" s="1" t="s">
        <v>53</v>
      </c>
      <c r="I1" s="1" t="s">
        <v>54</v>
      </c>
      <c r="J1" s="1" t="s">
        <v>55</v>
      </c>
      <c r="K1" s="1" t="s">
        <v>56</v>
      </c>
    </row>
    <row r="2" spans="1:11" x14ac:dyDescent="0.2">
      <c r="A2" s="14">
        <v>45044</v>
      </c>
      <c r="B2" s="9" t="s">
        <v>127</v>
      </c>
      <c r="C2" s="9" t="s">
        <v>128</v>
      </c>
      <c r="D2" s="11">
        <v>0.4</v>
      </c>
      <c r="E2">
        <v>2000</v>
      </c>
      <c r="G2">
        <v>100</v>
      </c>
      <c r="I2">
        <v>66</v>
      </c>
    </row>
    <row r="3" spans="1:11" x14ac:dyDescent="0.2">
      <c r="A3" s="14">
        <v>45045</v>
      </c>
    </row>
    <row r="4" spans="1:11" x14ac:dyDescent="0.2">
      <c r="A4" s="14">
        <v>45046</v>
      </c>
    </row>
    <row r="5" spans="1:11" x14ac:dyDescent="0.2">
      <c r="A5" s="14">
        <v>45047</v>
      </c>
    </row>
    <row r="6" spans="1:11" x14ac:dyDescent="0.2">
      <c r="A6" s="14">
        <v>45048</v>
      </c>
    </row>
    <row r="7" spans="1:11" x14ac:dyDescent="0.2">
      <c r="A7" s="14">
        <v>45049</v>
      </c>
    </row>
    <row r="8" spans="1:11" x14ac:dyDescent="0.2">
      <c r="A8" s="14">
        <v>45050</v>
      </c>
    </row>
    <row r="9" spans="1:11" x14ac:dyDescent="0.2">
      <c r="A9" s="14">
        <v>45051</v>
      </c>
    </row>
    <row r="10" spans="1:11" x14ac:dyDescent="0.2">
      <c r="A10" s="14">
        <v>45052</v>
      </c>
    </row>
    <row r="11" spans="1:11" x14ac:dyDescent="0.2">
      <c r="A11" s="14">
        <v>45053</v>
      </c>
    </row>
    <row r="12" spans="1:11" x14ac:dyDescent="0.2">
      <c r="A12" s="14">
        <v>45054</v>
      </c>
    </row>
    <row r="13" spans="1:11" x14ac:dyDescent="0.2">
      <c r="A13" s="14">
        <v>45055</v>
      </c>
    </row>
    <row r="14" spans="1:11" x14ac:dyDescent="0.2">
      <c r="A14" s="14">
        <v>45056</v>
      </c>
    </row>
    <row r="15" spans="1:11" x14ac:dyDescent="0.2">
      <c r="A15" s="14">
        <v>45057</v>
      </c>
    </row>
    <row r="16" spans="1:11" x14ac:dyDescent="0.2">
      <c r="A16" s="14">
        <v>45058</v>
      </c>
    </row>
    <row r="17" spans="1:1" x14ac:dyDescent="0.2">
      <c r="A17" s="14">
        <v>45059</v>
      </c>
    </row>
    <row r="18" spans="1:1" x14ac:dyDescent="0.2">
      <c r="A18" s="14">
        <v>45060</v>
      </c>
    </row>
    <row r="19" spans="1:1" x14ac:dyDescent="0.2">
      <c r="A19" s="14">
        <v>45061</v>
      </c>
    </row>
    <row r="20" spans="1:1" x14ac:dyDescent="0.2">
      <c r="A20" s="14">
        <v>45062</v>
      </c>
    </row>
    <row r="21" spans="1:1" x14ac:dyDescent="0.2">
      <c r="A21" s="14">
        <v>45063</v>
      </c>
    </row>
    <row r="22" spans="1:1" x14ac:dyDescent="0.2">
      <c r="A22" s="14">
        <v>45064</v>
      </c>
    </row>
    <row r="23" spans="1:1" x14ac:dyDescent="0.2">
      <c r="A23" s="14">
        <v>45065</v>
      </c>
    </row>
    <row r="24" spans="1:1" x14ac:dyDescent="0.2">
      <c r="A24" s="14">
        <v>45066</v>
      </c>
    </row>
    <row r="25" spans="1:1" x14ac:dyDescent="0.2">
      <c r="A25" s="14">
        <v>45067</v>
      </c>
    </row>
    <row r="26" spans="1:1" x14ac:dyDescent="0.2">
      <c r="A26" s="14">
        <v>45068</v>
      </c>
    </row>
    <row r="27" spans="1:1" x14ac:dyDescent="0.2">
      <c r="A27" s="14">
        <v>45069</v>
      </c>
    </row>
    <row r="28" spans="1:1" x14ac:dyDescent="0.2">
      <c r="A28" s="14">
        <v>45070</v>
      </c>
    </row>
    <row r="29" spans="1:1" x14ac:dyDescent="0.2">
      <c r="A29" s="14">
        <v>45071</v>
      </c>
    </row>
    <row r="30" spans="1:1" x14ac:dyDescent="0.2">
      <c r="A30" s="14">
        <v>45072</v>
      </c>
    </row>
    <row r="31" spans="1:1" x14ac:dyDescent="0.2">
      <c r="A31" s="14">
        <v>45073</v>
      </c>
    </row>
    <row r="32" spans="1:1" x14ac:dyDescent="0.2">
      <c r="A32" s="14">
        <v>45074</v>
      </c>
    </row>
    <row r="33" spans="1:1" x14ac:dyDescent="0.2">
      <c r="A33" s="14">
        <v>45075</v>
      </c>
    </row>
    <row r="34" spans="1:1" x14ac:dyDescent="0.2">
      <c r="A34" s="14">
        <v>45076</v>
      </c>
    </row>
    <row r="35" spans="1:1" x14ac:dyDescent="0.2">
      <c r="A35" s="14">
        <v>45077</v>
      </c>
    </row>
    <row r="36" spans="1:1" x14ac:dyDescent="0.2">
      <c r="A36" s="14">
        <v>45078</v>
      </c>
    </row>
    <row r="37" spans="1:1" x14ac:dyDescent="0.2">
      <c r="A37" s="14">
        <v>45079</v>
      </c>
    </row>
    <row r="38" spans="1:1" x14ac:dyDescent="0.2">
      <c r="A38" s="14">
        <v>45080</v>
      </c>
    </row>
    <row r="39" spans="1:1" x14ac:dyDescent="0.2">
      <c r="A39" s="14">
        <v>45081</v>
      </c>
    </row>
    <row r="40" spans="1:1" x14ac:dyDescent="0.2">
      <c r="A40" s="14">
        <v>45082</v>
      </c>
    </row>
    <row r="41" spans="1:1" x14ac:dyDescent="0.2">
      <c r="A41" s="14">
        <v>45083</v>
      </c>
    </row>
    <row r="42" spans="1:1" x14ac:dyDescent="0.2">
      <c r="A42" s="14">
        <v>45084</v>
      </c>
    </row>
    <row r="43" spans="1:1" x14ac:dyDescent="0.2">
      <c r="A43" s="14">
        <v>45085</v>
      </c>
    </row>
    <row r="44" spans="1:1" x14ac:dyDescent="0.2">
      <c r="A44" s="14">
        <v>45086</v>
      </c>
    </row>
    <row r="45" spans="1:1" x14ac:dyDescent="0.2">
      <c r="A45" s="14">
        <v>45087</v>
      </c>
    </row>
    <row r="46" spans="1:1" x14ac:dyDescent="0.2">
      <c r="A46" s="14">
        <v>45088</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9" zoomScaleNormal="100" workbookViewId="0">
      <selection activeCell="F13" sqref="F13"/>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c r="E5" t="s">
        <v>100</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c r="F11" t="s">
        <v>101</v>
      </c>
    </row>
    <row r="12" spans="1:8" x14ac:dyDescent="0.2">
      <c r="A12" s="8">
        <v>0.3125</v>
      </c>
      <c r="F12" t="s">
        <v>102</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23" zoomScale="117" workbookViewId="0">
      <selection activeCell="C9" sqref="C9"/>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2023-04-29T19:52:12Z</dcterms:modified>
</cp:coreProperties>
</file>