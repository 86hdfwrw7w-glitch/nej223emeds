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01"/>
  <workbookPr defaultThemeVersion="166925"/>
  <mc:AlternateContent xmlns:mc="http://schemas.openxmlformats.org/markup-compatibility/2006">
    <mc:Choice Requires="x15">
      <x15ac:absPath xmlns:x15ac="http://schemas.microsoft.com/office/spreadsheetml/2010/11/ac" url="https://d.docs.live.net/0be62936b39dc5ec/Desktop/"/>
    </mc:Choice>
  </mc:AlternateContent>
  <xr:revisionPtr revIDLastSave="1521" documentId="8_{B1A0CB9C-3712-453A-9F20-75937EEE2AF6}" xr6:coauthVersionLast="46" xr6:coauthVersionMax="46" xr10:uidLastSave="{F5FB60A3-F1A7-496C-9A8D-87A4E2965F17}"/>
  <bookViews>
    <workbookView xWindow="-110" yWindow="-110" windowWidth="19420" windowHeight="10420" firstSheet="1" activeTab="1" xr2:uid="{50F29292-BE80-0C47-A0D2-DD086CB3D310}"/>
  </bookViews>
  <sheets>
    <sheet name="Anleitung" sheetId="2" r:id="rId1"/>
    <sheet name="Semesterplan" sheetId="7" r:id="rId2"/>
    <sheet name="COMMITTMENT" sheetId="9" r:id="rId3"/>
    <sheet name="Tagespläne" sheetId="12" r:id="rId4"/>
    <sheet name="Wochenplan KW 15" sheetId="3" r:id="rId5"/>
    <sheet name="Wochenplan KW 16" sheetId="8" r:id="rId6"/>
    <sheet name="Wochenplan KW 17"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5" i="7" l="1" a="1"/>
  <c r="K5" i="7" s="1"/>
  <c r="BD32" i="7"/>
  <c r="BK32" i="7"/>
  <c r="BR32" i="7"/>
  <c r="BY32" i="7"/>
  <c r="CF32" i="7"/>
  <c r="CM32" i="7"/>
  <c r="CT32" i="7"/>
  <c r="DA32" i="7"/>
  <c r="AW32" i="7"/>
  <c r="AP32" i="7"/>
  <c r="U32" i="7"/>
  <c r="AB32" i="7"/>
  <c r="N32" i="7"/>
  <c r="I30" i="7"/>
  <c r="DA18" i="7"/>
  <c r="CT18" i="7"/>
  <c r="CM18" i="7"/>
  <c r="CF18" i="7"/>
  <c r="BY18" i="7"/>
  <c r="BR18" i="7"/>
  <c r="BK18" i="7"/>
  <c r="AI18" i="7"/>
  <c r="AP18" i="7"/>
  <c r="AW18" i="7"/>
  <c r="BD18" i="7"/>
  <c r="AB18" i="7"/>
  <c r="U18" i="7"/>
  <c r="N18" i="7"/>
  <c r="J26" i="7" a="1"/>
  <c r="J26" i="7" s="1"/>
  <c r="J25" i="7" a="1"/>
  <c r="J25" i="7" s="1"/>
  <c r="I26" i="7"/>
  <c r="I25" i="7"/>
  <c r="I44" i="7"/>
  <c r="I43" i="7"/>
  <c r="I42" i="7"/>
  <c r="I41" i="7"/>
  <c r="I40" i="7"/>
  <c r="I39" i="7"/>
  <c r="I38" i="7"/>
  <c r="Q1" i="7"/>
  <c r="DA4" i="7"/>
  <c r="DD1" i="7" s="1"/>
  <c r="CT4" i="7"/>
  <c r="CW1" i="7" s="1"/>
  <c r="CP1" i="7"/>
  <c r="CM4" i="7"/>
  <c r="CF4" i="7"/>
  <c r="BY4" i="7"/>
  <c r="BR4" i="7"/>
  <c r="I20" i="7"/>
  <c r="G4" i="7"/>
  <c r="I19" i="7"/>
  <c r="I21" i="7"/>
  <c r="I22" i="7"/>
  <c r="I23" i="7"/>
  <c r="I24" i="7"/>
  <c r="G32" i="7"/>
  <c r="AI32" i="7"/>
  <c r="K30" i="7" a="1"/>
  <c r="K30" i="7" s="1"/>
  <c r="J30" i="7" a="1"/>
  <c r="J30" i="7" s="1"/>
  <c r="K29" i="7" a="1"/>
  <c r="K29" i="7" s="1"/>
  <c r="J29" i="7" a="1"/>
  <c r="J29" i="7" s="1"/>
  <c r="I29" i="7"/>
  <c r="K28" i="7" a="1"/>
  <c r="K28" i="7" s="1"/>
  <c r="J28" i="7" a="1"/>
  <c r="J28" i="7" s="1"/>
  <c r="I28" i="7"/>
  <c r="K27" i="7" a="1"/>
  <c r="K27" i="7" s="1"/>
  <c r="J27" i="7" a="1"/>
  <c r="J27" i="7" s="1"/>
  <c r="I27" i="7"/>
  <c r="J24" i="7" a="1"/>
  <c r="J24" i="7" s="1"/>
  <c r="K23" i="7" a="1"/>
  <c r="K23" i="7" s="1"/>
  <c r="J23" i="7" a="1"/>
  <c r="J23" i="7" s="1"/>
  <c r="K22" i="7" a="1"/>
  <c r="K22" i="7" s="1"/>
  <c r="J22" i="7" a="1"/>
  <c r="J22" i="7" s="1"/>
  <c r="K21" i="7" a="1"/>
  <c r="K21" i="7" s="1"/>
  <c r="J21" i="7" a="1"/>
  <c r="J21" i="7" s="1"/>
  <c r="K20" i="7" a="1"/>
  <c r="K20" i="7" s="1"/>
  <c r="J20" i="7" a="1"/>
  <c r="J20" i="7" s="1"/>
  <c r="K19" i="7" a="1"/>
  <c r="K19" i="7" s="1"/>
  <c r="J19" i="7" a="1"/>
  <c r="J19" i="7" s="1"/>
  <c r="BK4" i="7"/>
  <c r="K45" i="7" a="1"/>
  <c r="K45" i="7" s="1"/>
  <c r="J45" i="7" a="1"/>
  <c r="J45" i="7" s="1"/>
  <c r="I45" i="7"/>
  <c r="K37" i="7" a="1"/>
  <c r="K37" i="7" s="1"/>
  <c r="J37" i="7" a="1"/>
  <c r="J37" i="7" s="1"/>
  <c r="I37" i="7"/>
  <c r="K36" i="7" a="1"/>
  <c r="K36" i="7" s="1"/>
  <c r="J36" i="7" a="1"/>
  <c r="J36" i="7" s="1"/>
  <c r="I36" i="7"/>
  <c r="K35" i="7" a="1"/>
  <c r="K35" i="7" s="1"/>
  <c r="J35" i="7" a="1"/>
  <c r="J35" i="7" s="1"/>
  <c r="I35" i="7"/>
  <c r="K34" i="7" a="1"/>
  <c r="K34" i="7" s="1"/>
  <c r="J34" i="7" a="1"/>
  <c r="J34" i="7" s="1"/>
  <c r="I34" i="7"/>
  <c r="K33" i="7" a="1"/>
  <c r="K33" i="7" s="1"/>
  <c r="J33" i="7" a="1"/>
  <c r="J33" i="7" s="1"/>
  <c r="I33" i="7"/>
  <c r="K16" i="7" a="1"/>
  <c r="K16" i="7" s="1"/>
  <c r="J16" i="7" a="1"/>
  <c r="J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J5" i="7" a="1"/>
  <c r="J5" i="7" s="1"/>
  <c r="AL1" i="7"/>
  <c r="AE1" i="7"/>
  <c r="X1" i="7"/>
  <c r="BD4" i="7"/>
  <c r="AW4" i="7"/>
  <c r="AP4" i="7"/>
  <c r="AS1" i="7" s="1"/>
  <c r="AI4" i="7"/>
  <c r="AB4" i="7"/>
  <c r="U4" i="7"/>
  <c r="N4" i="7"/>
  <c r="I16" i="7"/>
  <c r="I6" i="7"/>
  <c r="I7" i="7"/>
  <c r="I8" i="7"/>
  <c r="I9" i="7"/>
  <c r="I10" i="7"/>
  <c r="I11" i="7"/>
  <c r="I12" i="7"/>
  <c r="I13" i="7"/>
  <c r="I14" i="7"/>
  <c r="I15" i="7"/>
  <c r="I5" i="7"/>
  <c r="I32" i="7" l="1"/>
  <c r="I18" i="7"/>
  <c r="CI1" i="7"/>
  <c r="CB1" i="7"/>
  <c r="BU1" i="7"/>
  <c r="BN1" i="7"/>
  <c r="BG1" i="7"/>
  <c r="AZ1" i="7"/>
  <c r="K32" i="7"/>
  <c r="J32" i="7"/>
  <c r="K4" i="7"/>
  <c r="I4" i="7" l="1"/>
  <c r="J4" i="7"/>
  <c r="K18" i="7"/>
  <c r="J18" i="7"/>
  <c r="G1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<sst xmlns="http://schemas.openxmlformats.org/spreadsheetml/2006/main" count="696" uniqueCount="171">
  <si>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</si>
  <si>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</si>
  <si>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</si>
  <si>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</si>
  <si>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</si>
  <si>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</si>
  <si>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</si>
  <si>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</si>
  <si>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</si>
  <si>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</si>
  <si>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</si>
  <si>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</si>
  <si>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</si>
  <si>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</si>
  <si>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</si>
  <si>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</si>
  <si>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</si>
  <si>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</si>
  <si>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</si>
  <si>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</si>
  <si>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</si>
  <si>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</si>
  <si>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</si>
  <si>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</si>
  <si>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</si>
  <si>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</si>
  <si>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</si>
  <si>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</si>
  <si>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</si>
  <si>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</si>
  <si>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</si>
  <si>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</si>
  <si>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</si>
  <si>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</si>
  <si>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</si>
  <si>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</si>
  <si>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</si>
  <si>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</si>
  <si>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</si>
  <si>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</si>
  <si>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</si>
  <si>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</si>
  <si>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</si>
  <si>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</si>
  <si>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</si>
  <si>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</si>
  <si>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</si>
  <si>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</si>
  <si>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Kohlenhydrate</t>
  </si>
  <si>
    <t>Gewicht</t>
  </si>
  <si>
    <t>Mathematik</t>
  </si>
  <si>
    <t>Statistik</t>
  </si>
  <si>
    <t>Betriebliches ReWe</t>
  </si>
  <si>
    <t>KW 15</t>
  </si>
  <si>
    <t>KW 16</t>
  </si>
  <si>
    <t>KW 17</t>
  </si>
  <si>
    <t>KW 18</t>
  </si>
  <si>
    <t>4) Wahrscheinlichkeitsrechnung</t>
  </si>
  <si>
    <t>8) Parameterschätzung</t>
  </si>
  <si>
    <t>1) Matritzen</t>
  </si>
  <si>
    <t>2) Lineare Glechungssysteme</t>
  </si>
  <si>
    <t>3) Vektoren</t>
  </si>
  <si>
    <t>4) Determinanten</t>
  </si>
  <si>
    <t>5) Inversen</t>
  </si>
  <si>
    <t>7) Eigenschaften und Ableitung von Funktionen</t>
  </si>
  <si>
    <t>8) Approximation</t>
  </si>
  <si>
    <t>9) Univariate und Bivariate Funktionen</t>
  </si>
  <si>
    <t>10) Optimierung</t>
  </si>
  <si>
    <t>2) Beschreibende Methoden univariater Datenanalyse</t>
  </si>
  <si>
    <t>3)  Weiterführende Methoden und Zusammenhangsanalysen</t>
  </si>
  <si>
    <t>5) Zufallsvariablen und Verteilungen</t>
  </si>
  <si>
    <t>6) Verteilungsmodelle</t>
  </si>
  <si>
    <t>7)  Summen und Mittel von Stichprobenvariablen</t>
  </si>
  <si>
    <t>9)  Konfidenzintervalle</t>
  </si>
  <si>
    <t>10) Statistische Tests</t>
  </si>
  <si>
    <t>11) Weitere spezielle Testprobleme</t>
  </si>
  <si>
    <t>12) Das lineare Regressionsmodell</t>
  </si>
  <si>
    <t>1) Die Bedeutung der Buchführung</t>
  </si>
  <si>
    <t>2) Gesetzliche Anforderungen an die Buchführung</t>
  </si>
  <si>
    <t>3) Grundprinzipien der doppelten Buchführung</t>
  </si>
  <si>
    <t>4) Technik der doppelten Buchführung</t>
  </si>
  <si>
    <t>6) Der handelsrechtliche Jahresabschluss</t>
  </si>
  <si>
    <t>KW 23</t>
  </si>
  <si>
    <t>KW 24</t>
  </si>
  <si>
    <t>KW 25</t>
  </si>
  <si>
    <t>KW 26</t>
  </si>
  <si>
    <t>KW 27</t>
  </si>
  <si>
    <t>KW 28</t>
  </si>
  <si>
    <t>Stunden Insgesamt</t>
  </si>
  <si>
    <t>Schlafen</t>
  </si>
  <si>
    <t>Frei</t>
  </si>
  <si>
    <t>Mathe</t>
  </si>
  <si>
    <t>Notencall</t>
  </si>
  <si>
    <t>OSTA</t>
  </si>
  <si>
    <t>OMAT</t>
  </si>
  <si>
    <t>OBRW</t>
  </si>
  <si>
    <t>Proteine</t>
  </si>
  <si>
    <t>Sport</t>
  </si>
  <si>
    <t>sonstiges Gefühl</t>
  </si>
  <si>
    <t>Optimierung</t>
  </si>
  <si>
    <t>MR</t>
  </si>
  <si>
    <t>Früstück</t>
  </si>
  <si>
    <t>5a) Buchungsfälle 1</t>
  </si>
  <si>
    <t>5b) Buchungsfälle 2</t>
  </si>
  <si>
    <t>5c) Buchungsfälle 3</t>
  </si>
  <si>
    <t>5d) Buchungsfälle 4</t>
  </si>
  <si>
    <t>5e) Buchungsfälle 5</t>
  </si>
  <si>
    <t>5f) Buchungsfälle 6</t>
  </si>
  <si>
    <t>5g) Buchungsfälle 7</t>
  </si>
  <si>
    <t>5h) Buchungsfälle 8</t>
  </si>
  <si>
    <t>6a) vollständige Induktion</t>
  </si>
  <si>
    <t>6b) Folgen</t>
  </si>
  <si>
    <t>6c) Reihen</t>
  </si>
  <si>
    <t>Englisch</t>
  </si>
  <si>
    <t>Mittag</t>
  </si>
  <si>
    <t>Meditieren</t>
  </si>
  <si>
    <t>Essen</t>
  </si>
  <si>
    <t>Live-Call</t>
  </si>
  <si>
    <t>BRW</t>
  </si>
  <si>
    <t>Orga</t>
  </si>
  <si>
    <t>Uhrzeit</t>
  </si>
  <si>
    <t>Beschreibung</t>
  </si>
  <si>
    <t>Tagesplan</t>
  </si>
  <si>
    <t>W-./T.-plan</t>
  </si>
  <si>
    <t>Freizeitnutzung</t>
  </si>
  <si>
    <t>Wichtig!</t>
  </si>
  <si>
    <t>Wdh.Block</t>
  </si>
  <si>
    <t>1) Einführung</t>
  </si>
  <si>
    <t>Pumpkin</t>
  </si>
  <si>
    <t>Enactus</t>
  </si>
  <si>
    <t>Bewerbung bis 23.04</t>
  </si>
  <si>
    <t>Ja</t>
  </si>
  <si>
    <t>Seilspringen</t>
  </si>
  <si>
    <t>30Min. HIIT + Seils.</t>
  </si>
  <si>
    <t>Friends</t>
  </si>
  <si>
    <t>Benachrichtigungen bei Discord aus</t>
  </si>
  <si>
    <t>voll vom Vortag</t>
  </si>
  <si>
    <t>Louisas Geburtstag</t>
  </si>
  <si>
    <t>Infusion 07.05</t>
  </si>
  <si>
    <t>30Min. HIIT + Handg.</t>
  </si>
  <si>
    <t>Essen vorbereitet, 20min. Friends</t>
  </si>
  <si>
    <t>überraschend fit, weniger Ablenkung</t>
  </si>
  <si>
    <t>180 Bewerbung bis 20.</t>
  </si>
  <si>
    <t>Essen gemacht</t>
  </si>
  <si>
    <t>Müde ab 16:00</t>
  </si>
  <si>
    <t>75g</t>
  </si>
  <si>
    <t>25g</t>
  </si>
  <si>
    <t>240g</t>
  </si>
  <si>
    <t xml:space="preserve">Zusammenfassung und Karteikarten erstellen </t>
  </si>
  <si>
    <t>Sonntag!</t>
  </si>
  <si>
    <t>43g</t>
  </si>
  <si>
    <t>70g</t>
  </si>
  <si>
    <t>180g</t>
  </si>
  <si>
    <t>20 Min HIIT</t>
  </si>
  <si>
    <t>Nein</t>
  </si>
  <si>
    <t>70kg</t>
  </si>
  <si>
    <t>mit Louisa star wars geschaut</t>
  </si>
  <si>
    <t>Konzentration höher durch Abwechslung</t>
  </si>
  <si>
    <t>Aufgaben, etc. schon bereit haben</t>
  </si>
  <si>
    <t>Aufgaben</t>
  </si>
  <si>
    <t>weiter im Skript</t>
  </si>
  <si>
    <t>Karteikarten zu Kap.2 + 3</t>
  </si>
  <si>
    <t>Aufgaben Tut</t>
  </si>
  <si>
    <t>Bewerbung</t>
  </si>
  <si>
    <t>84g</t>
  </si>
  <si>
    <t>28g</t>
  </si>
  <si>
    <t>229g</t>
  </si>
  <si>
    <t>30Min Ganzk. (Supersatz)</t>
  </si>
  <si>
    <t>Kochen, Zeit mit Louisa, Schalke</t>
  </si>
  <si>
    <t>es lief wie am Schnürrchen</t>
  </si>
  <si>
    <t>1.Semester-Ordner erstellen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</si>
</sst>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12"/>
      <color theme="0"/>
      <name val="Calibri"/>
      <family val="2"/>
      <scheme val="minor"/>
    </font>
    <font>
      <b/>
      <sz val="12"/>
      <color rgb="FFFF0000"/>
      <name val="Calibri"/>
      <family val="2"/>
      <scheme val="minor"/>
    </font>
    <font>
      <sz val="12"/>
      <color rgb="FFFFC000"/>
      <name val="Calibri"/>
      <family val="2"/>
      <scheme val="minor"/>
    </font>
  </fonts>
  <fills count="20">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theme="1" tint="0.499984740745262"/>
        <bgColor indexed="64"/>
      </patternFill>
    </fill>
    <fill>
      <patternFill patternType="solid">
        <fgColor theme="4" tint="-0.249977111117893"/>
        <bgColor indexed="64"/>
      </patternFill>
    </fill>
    <fill>
      <patternFill patternType="solid">
        <fgColor theme="9" tint="0.39997558519241921"/>
        <bgColor indexed="64"/>
      </patternFill>
    </fill>
    <fill>
      <patternFill patternType="solid">
        <fgColor rgb="FFC0000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0"/>
        <bgColor indexed="64"/>
      </patternFill>
    </fill>
    <fill>
      <patternFill patternType="solid">
        <fgColor theme="4"/>
        <bgColor indexed="64"/>
      </patternFill>
    </fill>
    <fill>
      <patternFill patternType="solid">
        <fgColor theme="0" tint="-0.499984740745262"/>
        <bgColor indexed="64"/>
      </patternFill>
    </fill>
    <fill>
      <patternFill patternType="solid">
        <fgColor rgb="FFFF0000"/>
        <bgColor indexed="64"/>
      </patternFill>
    </fill>
    <fill>
      <patternFill patternType="solid">
        <fgColor rgb="FFFFC000"/>
        <bgColor indexed="64"/>
      </patternFill>
    </fill>
    <fill>
      <patternFill patternType="solid">
        <fgColor theme="1" tint="4.9989318521683403E-2"/>
        <bgColor indexed="64"/>
      </patternFill>
    </fill>
    <fill>
      <patternFill patternType="solid">
        <fgColor rgb="FF00B050"/>
        <bgColor indexed="64"/>
      </patternFill>
    </fill>
    <fill>
      <patternFill patternType="solid">
        <fgColor theme="8" tint="-0.499984740745262"/>
        <bgColor indexed="64"/>
      </patternFill>
    </fill>
    <fill>
      <patternFill patternType="solid">
        <fgColor rgb="FFC4FF87"/>
        <bgColor indexed="64"/>
      </patternFill>
    </fill>
    <fill>
      <patternFill patternType="solid">
        <fgColor rgb="FF7030A0"/>
        <bgColor indexed="64"/>
      </patternFill>
    </fill>
  </fills>
  <borders count="1">
    <border>
      <left/>
      <right/>
      <top/>
      <bottom/>
      <diagonal/>
    </border>
  </borders>
  <cellStyleXfs count="1">
    <xf numFmtId="0" fontId="0" fillId="0" borderId="0"/>
  </cellStyleXfs>
  <cellXfs count="45">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1" fontId="0" fillId="0" borderId="0" xfId="0" applyNumberFormat="1"/>
    <xf numFmtId="0" fontId="0" fillId="4" borderId="0" xfId="0" applyFill="1"/>
    <xf numFmtId="0" fontId="5" fillId="5" borderId="0" xfId="0" applyFont="1" applyFill="1"/>
    <xf numFmtId="0" fontId="0" fillId="6" borderId="0" xfId="0" applyFill="1"/>
    <xf numFmtId="0" fontId="0" fillId="8" borderId="0" xfId="0" applyFill="1"/>
    <xf numFmtId="0" fontId="1" fillId="3" borderId="0" xfId="0" applyFont="1" applyFill="1"/>
    <xf numFmtId="0" fontId="0" fillId="9" borderId="0" xfId="0" applyFill="1"/>
    <xf numFmtId="0" fontId="0" fillId="10" borderId="0" xfId="0" applyFill="1"/>
    <xf numFmtId="0" fontId="5" fillId="11" borderId="0" xfId="0" applyFont="1" applyFill="1"/>
    <xf numFmtId="0" fontId="0" fillId="12" borderId="0" xfId="0" applyFill="1"/>
    <xf numFmtId="0" fontId="0" fillId="13" borderId="0" xfId="0" applyFill="1"/>
    <xf numFmtId="0" fontId="0" fillId="14" borderId="0" xfId="0" applyFill="1"/>
    <xf numFmtId="0" fontId="0" fillId="13" borderId="0" xfId="0" applyFont="1" applyFill="1"/>
    <xf numFmtId="0" fontId="5" fillId="13" borderId="0" xfId="0" applyFont="1" applyFill="1"/>
    <xf numFmtId="0" fontId="5" fillId="7" borderId="0" xfId="0" applyFont="1" applyFill="1"/>
    <xf numFmtId="0" fontId="5" fillId="15" borderId="0" xfId="0" applyFont="1" applyFill="1"/>
    <xf numFmtId="0" fontId="0" fillId="16" borderId="0" xfId="0" applyFont="1" applyFill="1"/>
    <xf numFmtId="0" fontId="5" fillId="17" borderId="0" xfId="0" applyFont="1" applyFill="1"/>
    <xf numFmtId="20" fontId="0" fillId="0" borderId="0" xfId="0" applyNumberFormat="1"/>
    <xf numFmtId="0" fontId="0" fillId="18" borderId="0" xfId="0" applyFill="1"/>
    <xf numFmtId="0" fontId="6" fillId="0" borderId="0" xfId="0" applyFont="1"/>
    <xf numFmtId="0" fontId="7" fillId="15" borderId="0" xfId="0" applyFont="1" applyFill="1"/>
    <xf numFmtId="16" fontId="0" fillId="0" borderId="0" xfId="0" applyNumberFormat="1"/>
    <xf numFmtId="3" fontId="0" fillId="0" borderId="0" xfId="0" applyNumberFormat="1"/>
    <xf numFmtId="0" fontId="5" fillId="19" borderId="0" xfId="0" applyFont="1" applyFill="1"/>
    <xf numFmtId="0" fontId="1" fillId="2" borderId="0" xfId="0" applyFont="1" applyFill="1" applyAlignment="1">
      <alignment horizontal="center"/>
    </xf>
  </cellXfs>
  <cellStyles count="1">
    <cellStyle name="Normal" xfId="0" builtinId="0"/>
  </cellStyles>
  <dxfs count="412">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C4FF87"/>
      <color rgb="FFFDFF05"/>
      <color rgb="FFFF755A"/>
      <color rgb="FF00FF29"/>
      <color rgb="FF56FF5E"/>
      <color rgb="FFFFDE7F"/>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M97" totalsRowShown="0" headerRowDxfId="4">
  <autoFilter ref="A1:M97" xr:uid="{6E266E34-2786-2747-BCE7-51B74867A564}"/>
  <tableColumns count="13">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Proteine"/>
    <tableColumn id="8" xr3:uid="{3816DA9B-3A76-FE4F-B985-3635CF939135}" name="Kohlenhydrate"/>
    <tableColumn id="9" xr3:uid="{1C987FBB-D4BA-7C4F-A887-190E64CF58FE}" name="Gewicht"/>
    <tableColumn id="10" xr3:uid="{823BE59B-AFBA-DB43-8C06-25B0D163DC42}" name="Sport"/>
    <tableColumn id="11" xr3:uid="{BB7DF43F-1783-D944-883B-7754E3407C95}" name="Freizeitnutzung"/>
    <tableColumn id="12" xr3:uid="{949927F2-41C6-4B8B-A6FE-BC3CACD6D11A}" name="sonstiges Gefühl"/>
    <tableColumn id="13" xr3:uid="{784A5193-2CFE-44E6-A506-B2F072AB4AA2}" name="Optimierung"/>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0" zoomScale="86" zoomScaleNormal="33" workbookViewId="0"/>
  </sheetViews>
  <sheetFormatPr defaultColWidth="10.58203125" defaultRowHeight="15.5"/>
  <cols>
    <col min="2" max="2" width="161" customWidth="1"/>
    <col min="3" max="3" width="10.83203125" style="2"/>
  </cols>
  <sheetData>
    <row r="4" spans="2:2" ht="21">
      <c r="B4" s="4" t="s">
        <v>16</v>
      </c>
    </row>
    <row r="6" spans="2:2">
      <c r="B6" s="3" t="s">
        <v>13</v>
      </c>
    </row>
    <row r="7" spans="2:2" ht="46.5">
      <c r="B7" s="1" t="s">
        <v>14</v>
      </c>
    </row>
    <row r="9" spans="2:2">
      <c r="B9" s="3" t="s">
        <v>15</v>
      </c>
    </row>
    <row r="10" spans="2:2" ht="62">
      <c r="B10" s="1" t="s">
        <v>39</v>
      </c>
    </row>
    <row r="12" spans="2:2">
      <c r="B12" s="3" t="s">
        <v>17</v>
      </c>
    </row>
    <row r="13" spans="2:2" ht="124">
      <c r="B13" s="1" t="s">
        <v>18</v>
      </c>
    </row>
    <row r="15" spans="2:2">
      <c r="B15" s="3" t="s">
        <v>19</v>
      </c>
    </row>
    <row r="16" spans="2:2" ht="108.5">
      <c r="B16" s="1" t="s">
        <v>20</v>
      </c>
    </row>
    <row r="17" spans="2:2">
      <c r="B17" s="1"/>
    </row>
    <row r="18" spans="2:2">
      <c r="B18" s="3" t="s">
        <v>38</v>
      </c>
    </row>
    <row r="19" spans="2:2" ht="139.5">
      <c r="B19" s="1" t="s">
        <v>40</v>
      </c>
    </row>
    <row r="21" spans="2:2">
      <c r="B21" s="3" t="s">
        <v>21</v>
      </c>
    </row>
    <row r="22" spans="2:2" ht="124">
      <c r="B22" s="1" t="s">
        <v>41</v>
      </c>
    </row>
    <row r="24" spans="2:2">
      <c r="B24" s="3" t="s">
        <v>22</v>
      </c>
    </row>
    <row r="25" spans="2:2" ht="124">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sheetPr>
    <tabColor rgb="FF00FF29"/>
  </sheetPr>
  <dimension ref="B1:DF46"/>
  <sheetViews>
    <sheetView showGridLines="0" tabSelected="1" zoomScale="42" zoomScaleNormal="72" workbookViewId="0">
      <pane xSplit="6" topLeftCell="G1" activePane="topRight" state="frozenSplit"/>
      <selection activeCell="A20" sqref="A20"/>
      <selection pane="topRight" activeCell="O11" sqref="O11"/>
    </sheetView>
  </sheetViews>
  <sheetFormatPr defaultColWidth="8.83203125" defaultRowHeight="15.5" outlineLevelRow="1"/>
  <cols>
    <col min="3" max="3" width="9.5" bestFit="1" customWidth="1"/>
    <col min="4" max="4" width="13" bestFit="1" customWidth="1"/>
    <col min="5" max="5" width="4.83203125" bestFit="1" customWidth="1"/>
    <col min="6" max="6" width="49.33203125" bestFit="1" customWidth="1"/>
    <col min="7" max="7" width="15.5" bestFit="1" customWidth="1"/>
    <col min="8" max="8" width="2.5" customWidth="1"/>
    <col min="10" max="10" width="12.5" bestFit="1" customWidth="1"/>
    <col min="11" max="11" width="14.83203125" bestFit="1" customWidth="1"/>
    <col min="12" max="12" width="12.58203125" bestFit="1" customWidth="1"/>
    <col min="13" max="13" width="2.5" customWidth="1"/>
    <col min="15" max="15" width="12.5" bestFit="1" customWidth="1"/>
    <col min="16" max="16" width="6.33203125" customWidth="1"/>
    <col min="17" max="17" width="14.83203125" bestFit="1" customWidth="1"/>
    <col min="18" max="18" width="6" customWidth="1"/>
    <col min="19" max="19" width="12.58203125" bestFit="1" customWidth="1"/>
    <col min="20" max="20" width="2.5" customWidth="1"/>
    <col min="22" max="22" width="12.5" bestFit="1" customWidth="1"/>
    <col min="23" max="23" width="6.33203125" customWidth="1"/>
    <col min="24" max="24" width="14.83203125" bestFit="1" customWidth="1"/>
    <col min="25" max="25" width="6" customWidth="1"/>
    <col min="26" max="26" width="12.58203125" bestFit="1" customWidth="1"/>
    <col min="27" max="27" width="2.5" customWidth="1"/>
    <col min="29" max="29" width="12.5" bestFit="1" customWidth="1"/>
    <col min="30" max="30" width="6.33203125" customWidth="1"/>
    <col min="31" max="31" width="14.83203125" bestFit="1" customWidth="1"/>
    <col min="32" max="32" width="6" customWidth="1"/>
    <col min="33" max="33" width="12.58203125" bestFit="1" customWidth="1"/>
    <col min="34" max="34" width="2.5" customWidth="1"/>
    <col min="36" max="36" width="12.5" bestFit="1" customWidth="1"/>
    <col min="37" max="37" width="6.33203125" customWidth="1"/>
    <col min="38" max="38" width="14.83203125" bestFit="1" customWidth="1"/>
    <col min="39" max="39" width="6" customWidth="1"/>
    <col min="40" max="40" width="12.58203125" bestFit="1" customWidth="1"/>
    <col min="41" max="41" width="2.5" customWidth="1"/>
    <col min="43" max="43" width="12.5" bestFit="1" customWidth="1"/>
    <col min="44" max="44" width="6.33203125" customWidth="1"/>
    <col min="45" max="45" width="14.83203125" bestFit="1" customWidth="1"/>
    <col min="46" max="46" width="6" customWidth="1"/>
    <col min="47" max="47" width="12.58203125" bestFit="1" customWidth="1"/>
    <col min="48" max="48" width="2.5" customWidth="1"/>
    <col min="50" max="50" width="12.5" bestFit="1" customWidth="1"/>
    <col min="51" max="51" width="6.33203125" customWidth="1"/>
    <col min="52" max="52" width="14.83203125" bestFit="1" customWidth="1"/>
    <col min="53" max="53" width="6" customWidth="1"/>
    <col min="54" max="54" width="12.58203125" bestFit="1" customWidth="1"/>
    <col min="55" max="55" width="2.5" customWidth="1"/>
    <col min="57" max="57" width="12.5" bestFit="1" customWidth="1"/>
    <col min="58" max="58" width="6.33203125" customWidth="1"/>
    <col min="59" max="59" width="14.83203125" bestFit="1" customWidth="1"/>
    <col min="60" max="60" width="6" customWidth="1"/>
    <col min="61" max="61" width="12.58203125" bestFit="1" customWidth="1"/>
    <col min="62" max="62" width="2.5" customWidth="1"/>
    <col min="64" max="64" width="12.5" bestFit="1" customWidth="1"/>
    <col min="65" max="65" width="6.33203125" customWidth="1"/>
    <col min="66" max="66" width="14.83203125" bestFit="1" customWidth="1"/>
    <col min="67" max="67" width="6" customWidth="1"/>
    <col min="68" max="68" width="12.58203125" bestFit="1" customWidth="1"/>
    <col min="69" max="69" width="2.5" customWidth="1"/>
    <col min="71" max="71" width="12.5" bestFit="1" customWidth="1"/>
    <col min="72" max="72" width="6.33203125" customWidth="1"/>
    <col min="73" max="73" width="14.83203125" bestFit="1" customWidth="1"/>
    <col min="74" max="74" width="6" customWidth="1"/>
    <col min="75" max="75" width="12.58203125" bestFit="1" customWidth="1"/>
    <col min="76" max="76" width="2.5" customWidth="1"/>
    <col min="78" max="78" width="12.5" bestFit="1" customWidth="1"/>
    <col min="79" max="79" width="6.33203125" customWidth="1"/>
    <col min="80" max="80" width="14.83203125" bestFit="1" customWidth="1"/>
    <col min="81" max="81" width="6" customWidth="1"/>
    <col min="82" max="82" width="12.58203125" bestFit="1" customWidth="1"/>
    <col min="83" max="83" width="2.5" customWidth="1"/>
    <col min="85" max="85" width="12.5" bestFit="1" customWidth="1"/>
    <col min="86" max="86" width="6.33203125" customWidth="1"/>
    <col min="87" max="87" width="14.83203125" bestFit="1" customWidth="1"/>
    <col min="88" max="88" width="6" customWidth="1"/>
    <col min="89" max="89" width="12.58203125" bestFit="1" customWidth="1"/>
    <col min="90" max="90" width="2.5" customWidth="1"/>
    <col min="92" max="92" width="12.5" bestFit="1" customWidth="1"/>
    <col min="93" max="93" width="6.33203125" customWidth="1"/>
    <col min="94" max="94" width="14.83203125" bestFit="1" customWidth="1"/>
    <col min="95" max="95" width="6" customWidth="1"/>
    <col min="96" max="96" width="12.58203125" bestFit="1" customWidth="1"/>
    <col min="97" max="97" width="2.5" customWidth="1"/>
    <col min="99" max="99" width="12.5" bestFit="1" customWidth="1"/>
    <col min="100" max="100" width="6.33203125" customWidth="1"/>
    <col min="101" max="101" width="14.83203125" bestFit="1" customWidth="1"/>
    <col min="102" max="102" width="6" customWidth="1"/>
    <col min="103" max="103" width="12.58203125" bestFit="1" customWidth="1"/>
    <col min="104" max="104" width="2.5" customWidth="1"/>
    <col min="106" max="106" width="12.5" bestFit="1" customWidth="1"/>
    <col min="107" max="107" width="6.33203125" customWidth="1"/>
    <col min="108" max="108" width="14.83203125" bestFit="1" customWidth="1"/>
    <col min="109" max="109" width="6" customWidth="1"/>
    <col min="110" max="110" width="12.58203125" bestFit="1" customWidth="1"/>
  </cols>
  <sheetData>
    <row r="1" spans="2:110" ht="33.5">
      <c r="B1" s="5" t="s">
        <v>0</v>
      </c>
      <c r="D1" s="5"/>
      <c r="G1" s="15" t="s">
        <v>33</v>
      </c>
      <c r="I1" s="15" t="s">
        <v>33</v>
      </c>
      <c r="J1" s="15" t="s">
        <v>33</v>
      </c>
      <c r="K1" s="15" t="s">
        <v>33</v>
      </c>
      <c r="O1" t="s">
        <v>88</v>
      </c>
      <c r="Q1" s="19" t="e">
        <f>SUM(N4,N18,N32,#REF!)</f>
        <v>#REF!</v>
      </c>
      <c r="V1" t="s">
        <v>88</v>
      </c>
      <c r="X1" s="19" t="e">
        <f>SUM(U4,U18,U32,#REF!)</f>
        <v>#REF!</v>
      </c>
      <c r="AC1" t="s">
        <v>88</v>
      </c>
      <c r="AE1" s="19" t="e">
        <f>SUM(AB4,AB18,AB32,#REF!)</f>
        <v>#REF!</v>
      </c>
      <c r="AJ1" t="s">
        <v>88</v>
      </c>
      <c r="AL1" s="19" t="e">
        <f>SUM(AI4,AI18,AI32,#REF!)</f>
        <v>#REF!</v>
      </c>
      <c r="AQ1" t="s">
        <v>88</v>
      </c>
      <c r="AS1" s="19" t="e">
        <f>SUM(AP4,AP18,AP32,#REF!)</f>
        <v>#REF!</v>
      </c>
      <c r="AX1" t="s">
        <v>88</v>
      </c>
      <c r="AZ1" s="19" t="e">
        <f>SUM(AW4,AW18,AW32,#REF!)</f>
        <v>#REF!</v>
      </c>
      <c r="BE1" t="s">
        <v>88</v>
      </c>
      <c r="BG1" s="19" t="e">
        <f>SUM(BD4,BD18,BD32,#REF!)</f>
        <v>#REF!</v>
      </c>
      <c r="BL1" t="s">
        <v>88</v>
      </c>
      <c r="BN1" s="19" t="e">
        <f>SUM(BK4,BK18,BK32,#REF!)</f>
        <v>#REF!</v>
      </c>
      <c r="BS1" t="s">
        <v>88</v>
      </c>
      <c r="BU1" s="19" t="e">
        <f>SUM(BR4,BR18,BR32,#REF!)</f>
        <v>#REF!</v>
      </c>
      <c r="BZ1" t="s">
        <v>88</v>
      </c>
      <c r="CB1" s="19" t="e">
        <f>SUM(BY4,BY18,BY32,#REF!)</f>
        <v>#REF!</v>
      </c>
      <c r="CG1" t="s">
        <v>88</v>
      </c>
      <c r="CI1" s="19" t="e">
        <f>SUM(CF4,CF18,CF32,#REF!)</f>
        <v>#REF!</v>
      </c>
      <c r="CN1" t="s">
        <v>88</v>
      </c>
      <c r="CP1" s="19" t="e">
        <f>SUM(CM4,CM18,CM32,#REF!)</f>
        <v>#REF!</v>
      </c>
      <c r="CU1" t="s">
        <v>88</v>
      </c>
      <c r="CW1" s="19" t="e">
        <f>SUM(CT4,CT18,CT32,#REF!)</f>
        <v>#REF!</v>
      </c>
      <c r="DB1" t="s">
        <v>88</v>
      </c>
      <c r="DD1" s="19" t="e">
        <f>SUM(DA4,DA18,DA32,#REF!)</f>
        <v>#REF!</v>
      </c>
    </row>
    <row r="2" spans="2:110">
      <c r="I2" s="44" t="s">
        <v>27</v>
      </c>
      <c r="J2" s="44"/>
      <c r="K2" s="44"/>
      <c r="L2" s="44"/>
      <c r="N2" s="44" t="s">
        <v>53</v>
      </c>
      <c r="O2" s="44"/>
      <c r="P2" s="44"/>
      <c r="Q2" s="44"/>
      <c r="R2" s="44"/>
      <c r="S2" s="44"/>
      <c r="U2" s="44" t="s">
        <v>54</v>
      </c>
      <c r="V2" s="44"/>
      <c r="W2" s="44"/>
      <c r="X2" s="44"/>
      <c r="Y2" s="44"/>
      <c r="Z2" s="44"/>
      <c r="AB2" s="44" t="s">
        <v>55</v>
      </c>
      <c r="AC2" s="44"/>
      <c r="AD2" s="44"/>
      <c r="AE2" s="44"/>
      <c r="AF2" s="44"/>
      <c r="AG2" s="44"/>
      <c r="AI2" s="44" t="s">
        <v>56</v>
      </c>
      <c r="AJ2" s="44"/>
      <c r="AK2" s="44"/>
      <c r="AL2" s="44"/>
      <c r="AM2" s="44"/>
      <c r="AN2" s="44"/>
      <c r="AP2" s="44" t="s">
        <v>34</v>
      </c>
      <c r="AQ2" s="44"/>
      <c r="AR2" s="44"/>
      <c r="AS2" s="44"/>
      <c r="AT2" s="44"/>
      <c r="AU2" s="44"/>
      <c r="AW2" s="44" t="s">
        <v>35</v>
      </c>
      <c r="AX2" s="44"/>
      <c r="AY2" s="44"/>
      <c r="AZ2" s="44"/>
      <c r="BA2" s="44"/>
      <c r="BB2" s="44"/>
      <c r="BD2" s="44" t="s">
        <v>36</v>
      </c>
      <c r="BE2" s="44"/>
      <c r="BF2" s="44"/>
      <c r="BG2" s="44"/>
      <c r="BH2" s="44"/>
      <c r="BI2" s="44"/>
      <c r="BK2" s="44" t="s">
        <v>37</v>
      </c>
      <c r="BL2" s="44"/>
      <c r="BM2" s="44"/>
      <c r="BN2" s="44"/>
      <c r="BO2" s="44"/>
      <c r="BP2" s="44"/>
      <c r="BR2" s="44" t="s">
        <v>82</v>
      </c>
      <c r="BS2" s="44"/>
      <c r="BT2" s="44"/>
      <c r="BU2" s="44"/>
      <c r="BV2" s="44"/>
      <c r="BW2" s="44"/>
      <c r="BY2" s="44" t="s">
        <v>83</v>
      </c>
      <c r="BZ2" s="44"/>
      <c r="CA2" s="44"/>
      <c r="CB2" s="44"/>
      <c r="CC2" s="44"/>
      <c r="CD2" s="44"/>
      <c r="CF2" s="44" t="s">
        <v>84</v>
      </c>
      <c r="CG2" s="44"/>
      <c r="CH2" s="44"/>
      <c r="CI2" s="44"/>
      <c r="CJ2" s="44"/>
      <c r="CK2" s="44"/>
      <c r="CM2" s="44" t="s">
        <v>85</v>
      </c>
      <c r="CN2" s="44"/>
      <c r="CO2" s="44"/>
      <c r="CP2" s="44"/>
      <c r="CQ2" s="44"/>
      <c r="CR2" s="44"/>
      <c r="CT2" s="44" t="s">
        <v>86</v>
      </c>
      <c r="CU2" s="44"/>
      <c r="CV2" s="44"/>
      <c r="CW2" s="44"/>
      <c r="CX2" s="44"/>
      <c r="CY2" s="44"/>
      <c r="DA2" s="44" t="s">
        <v>87</v>
      </c>
      <c r="DB2" s="44"/>
      <c r="DC2" s="44"/>
      <c r="DD2" s="44"/>
      <c r="DE2" s="44"/>
      <c r="DF2" s="44"/>
    </row>
    <row r="3" spans="2:110">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row>
    <row r="4" spans="2:110">
      <c r="B4" t="s">
        <v>27</v>
      </c>
      <c r="C4" t="s">
        <v>51</v>
      </c>
      <c r="E4" s="11">
        <v>15</v>
      </c>
      <c r="G4" s="12">
        <f>+SUM(G5:G16)</f>
        <v>0.99999999999999989</v>
      </c>
      <c r="I4" s="14">
        <f>+SUM(I5:I16)</f>
        <v>319.5</v>
      </c>
      <c r="J4" s="13">
        <f>+SUMPRODUCT(G5:G16,J5:J16)</f>
        <v>0</v>
      </c>
      <c r="K4" s="13">
        <f>+SUMPRODUCT(G5:G16,K5:K16)</f>
        <v>0</v>
      </c>
      <c r="L4" s="11"/>
      <c r="N4" s="14">
        <f>+SUM(N5:N16)</f>
        <v>23.5</v>
      </c>
      <c r="U4" s="14">
        <f>+SUM(U5:U16)</f>
        <v>23.5</v>
      </c>
      <c r="AB4" s="14">
        <f>+SUM(AB5:AB16)</f>
        <v>23.5</v>
      </c>
      <c r="AI4" s="14">
        <f>+SUM(AI5:AI16)</f>
        <v>24.5</v>
      </c>
      <c r="AP4" s="14">
        <f>+SUM(AP5:AP16)</f>
        <v>23.5</v>
      </c>
      <c r="AW4" s="14">
        <f>+SUM(AW5:AW16)</f>
        <v>22.5</v>
      </c>
      <c r="BD4" s="14">
        <f>+SUM(BD5:BD16)</f>
        <v>22.5</v>
      </c>
      <c r="BK4" s="14">
        <f>+SUM(BK5:BK16)</f>
        <v>22.5</v>
      </c>
      <c r="BR4" s="14">
        <f>+SUM(BR5:BR16)</f>
        <v>22.5</v>
      </c>
      <c r="BY4" s="14">
        <f>+SUM(BY5:BY16)</f>
        <v>22.5</v>
      </c>
      <c r="CF4" s="14">
        <f>+SUM(CF5:CF16)</f>
        <v>22.5</v>
      </c>
      <c r="CM4" s="14">
        <f>+SUM(CM5:CM16)</f>
        <v>24</v>
      </c>
      <c r="CT4" s="14">
        <f>+SUM(CT5:CT16)</f>
        <v>21</v>
      </c>
      <c r="DA4" s="14">
        <f>+SUM(DA5:DA16)</f>
        <v>21</v>
      </c>
    </row>
    <row r="5" spans="2:110" outlineLevel="1">
      <c r="B5" t="s">
        <v>28</v>
      </c>
      <c r="C5" t="s">
        <v>93</v>
      </c>
      <c r="E5" s="11"/>
      <c r="F5" t="s">
        <v>127</v>
      </c>
      <c r="G5" s="12">
        <v>0</v>
      </c>
      <c r="I5" s="11">
        <f>+SUMIF($N$3:$ZZ$3,I$3,$N5:$ZZ5)</f>
        <v>1</v>
      </c>
      <c r="J5" s="13" cm="1">
        <f t="array" ref="J5">MAX(IF($N$3:$EH$3=$J$3,N5:EH5))</f>
        <v>1</v>
      </c>
      <c r="K5" s="13" cm="1">
        <f t="array" ref="K5">MAX(IF($N$3:$EH$3=$J$3,N5:EH5))</f>
        <v>1</v>
      </c>
      <c r="L5" s="11"/>
      <c r="N5">
        <v>1</v>
      </c>
      <c r="O5" s="12">
        <v>1</v>
      </c>
      <c r="P5" s="12">
        <v>1</v>
      </c>
      <c r="Q5" s="12">
        <v>1</v>
      </c>
      <c r="R5" s="12">
        <v>1</v>
      </c>
      <c r="V5" s="12">
        <v>1</v>
      </c>
      <c r="W5" s="12">
        <v>1</v>
      </c>
      <c r="X5" s="12">
        <v>1</v>
      </c>
      <c r="Y5" s="12">
        <v>1</v>
      </c>
      <c r="AC5" s="12">
        <v>1</v>
      </c>
      <c r="AD5" s="12">
        <v>1</v>
      </c>
      <c r="AE5" s="12">
        <v>1</v>
      </c>
      <c r="AF5" s="12">
        <v>1</v>
      </c>
      <c r="AJ5" s="12">
        <v>1</v>
      </c>
      <c r="AK5" s="12">
        <v>1</v>
      </c>
      <c r="AL5" s="12">
        <v>1</v>
      </c>
      <c r="AM5" s="12">
        <v>1</v>
      </c>
      <c r="AQ5" s="12">
        <v>1</v>
      </c>
      <c r="AR5" s="12">
        <v>1</v>
      </c>
      <c r="AS5" s="12">
        <v>1</v>
      </c>
      <c r="AT5" s="12">
        <v>1</v>
      </c>
      <c r="AX5" s="12">
        <v>1</v>
      </c>
      <c r="AY5" s="12">
        <v>1</v>
      </c>
      <c r="AZ5" s="12">
        <v>1</v>
      </c>
      <c r="BA5" s="12">
        <v>1</v>
      </c>
      <c r="BE5" s="12">
        <v>1</v>
      </c>
      <c r="BF5" s="12">
        <v>1</v>
      </c>
      <c r="BG5" s="12">
        <v>1</v>
      </c>
      <c r="BH5" s="12">
        <v>1</v>
      </c>
      <c r="BL5" s="12">
        <v>1</v>
      </c>
      <c r="BM5" s="12">
        <v>1</v>
      </c>
      <c r="BN5" s="12">
        <v>1</v>
      </c>
      <c r="BO5" s="12">
        <v>1</v>
      </c>
      <c r="BS5" s="12">
        <v>1</v>
      </c>
      <c r="BT5" s="12">
        <v>1</v>
      </c>
      <c r="BU5" s="12">
        <v>1</v>
      </c>
      <c r="BV5" s="12">
        <v>1</v>
      </c>
      <c r="BZ5" s="12">
        <v>1</v>
      </c>
      <c r="CA5" s="12">
        <v>1</v>
      </c>
      <c r="CB5" s="12">
        <v>1</v>
      </c>
      <c r="CC5" s="12">
        <v>1</v>
      </c>
      <c r="CG5" s="12">
        <v>1</v>
      </c>
      <c r="CH5" s="12">
        <v>1</v>
      </c>
      <c r="CI5" s="12">
        <v>1</v>
      </c>
      <c r="CJ5" s="12">
        <v>1</v>
      </c>
      <c r="CN5" s="12">
        <v>1</v>
      </c>
      <c r="CO5" s="12">
        <v>1</v>
      </c>
      <c r="CP5" s="12">
        <v>1</v>
      </c>
      <c r="CQ5" s="12">
        <v>1</v>
      </c>
      <c r="CU5" s="12">
        <v>1</v>
      </c>
      <c r="CV5" s="12">
        <v>1</v>
      </c>
      <c r="CW5" s="12">
        <v>1</v>
      </c>
      <c r="CX5" s="12">
        <v>1</v>
      </c>
      <c r="DB5" s="12">
        <v>1</v>
      </c>
      <c r="DC5" s="12">
        <v>1</v>
      </c>
      <c r="DD5" s="12">
        <v>1</v>
      </c>
      <c r="DE5" s="12">
        <v>1</v>
      </c>
    </row>
    <row r="6" spans="2:110" outlineLevel="1">
      <c r="B6" t="s">
        <v>28</v>
      </c>
      <c r="C6" t="s">
        <v>93</v>
      </c>
      <c r="E6" s="11"/>
      <c r="F6" t="s">
        <v>68</v>
      </c>
      <c r="G6" s="12">
        <v>0.05</v>
      </c>
      <c r="I6" s="11">
        <f t="shared" ref="I6:I15" si="0">+SUMIF($N$3:$ZZ$3,I$3,$N6:$ZZ6)</f>
        <v>29.5</v>
      </c>
      <c r="J6" s="13" cm="1">
        <f t="array" ref="J6">MAX(IF($N$3:$EH$3=$J$3,N6:EH6))</f>
        <v>0</v>
      </c>
      <c r="K6" s="13" cm="1">
        <f t="array" ref="K6">MAX(IF($N$3:$EH$3=$J$3,N6:EH6))</f>
        <v>0</v>
      </c>
      <c r="L6" s="11"/>
      <c r="N6">
        <v>7.5</v>
      </c>
      <c r="O6" s="12"/>
      <c r="P6" s="12">
        <v>0.5</v>
      </c>
      <c r="Q6" s="12">
        <v>0.5</v>
      </c>
      <c r="R6" s="12">
        <v>0.5</v>
      </c>
      <c r="U6">
        <v>1</v>
      </c>
      <c r="V6" s="12"/>
      <c r="W6" s="12">
        <v>0.5</v>
      </c>
      <c r="X6" s="12"/>
      <c r="Y6" s="12">
        <v>0.5</v>
      </c>
      <c r="AB6">
        <v>7.5</v>
      </c>
      <c r="AC6" s="12"/>
      <c r="AD6" s="12">
        <v>0.8</v>
      </c>
      <c r="AE6" s="12"/>
      <c r="AF6" s="12">
        <v>0.8</v>
      </c>
      <c r="AJ6" s="12"/>
      <c r="AK6" s="12">
        <v>0.8</v>
      </c>
      <c r="AL6" s="12"/>
      <c r="AM6" s="12">
        <v>0.8</v>
      </c>
      <c r="AQ6" s="12"/>
      <c r="AR6" s="12">
        <v>0.8</v>
      </c>
      <c r="AS6" s="12"/>
      <c r="AT6" s="12">
        <v>0.8</v>
      </c>
      <c r="AX6" s="12"/>
      <c r="AY6" s="12">
        <v>0.8</v>
      </c>
      <c r="AZ6" s="12"/>
      <c r="BA6" s="12">
        <v>0.8</v>
      </c>
      <c r="BD6">
        <v>7.5</v>
      </c>
      <c r="BE6" s="12"/>
      <c r="BF6" s="12">
        <v>1</v>
      </c>
      <c r="BG6" s="12"/>
      <c r="BH6" s="12">
        <v>1</v>
      </c>
      <c r="BL6" s="12"/>
      <c r="BM6" s="12">
        <v>1</v>
      </c>
      <c r="BN6" s="12"/>
      <c r="BO6" s="12">
        <v>1</v>
      </c>
      <c r="BS6" s="12"/>
      <c r="BT6" s="12">
        <v>1</v>
      </c>
      <c r="BU6" s="12"/>
      <c r="BV6" s="12">
        <v>1</v>
      </c>
      <c r="BZ6" s="12"/>
      <c r="CA6" s="12">
        <v>1</v>
      </c>
      <c r="CB6" s="12"/>
      <c r="CC6" s="12">
        <v>1</v>
      </c>
      <c r="CG6" s="12"/>
      <c r="CH6" s="12">
        <v>1</v>
      </c>
      <c r="CI6" s="12"/>
      <c r="CJ6" s="12">
        <v>1</v>
      </c>
      <c r="CM6">
        <v>3</v>
      </c>
      <c r="CN6" s="12"/>
      <c r="CO6" s="12">
        <v>1</v>
      </c>
      <c r="CP6" s="12"/>
      <c r="CQ6" s="12">
        <v>1</v>
      </c>
      <c r="CU6" s="12"/>
      <c r="CV6" s="12">
        <v>1</v>
      </c>
      <c r="CW6" s="12"/>
      <c r="CX6" s="12">
        <v>1</v>
      </c>
      <c r="DA6">
        <v>3</v>
      </c>
      <c r="DB6" s="12"/>
      <c r="DC6" s="12">
        <v>1</v>
      </c>
      <c r="DD6" s="12"/>
      <c r="DE6" s="12">
        <v>1</v>
      </c>
    </row>
    <row r="7" spans="2:110" outlineLevel="1">
      <c r="B7" t="s">
        <v>28</v>
      </c>
      <c r="C7" t="s">
        <v>93</v>
      </c>
      <c r="E7" s="11"/>
      <c r="F7" t="s">
        <v>69</v>
      </c>
      <c r="G7" s="12">
        <v>0.05</v>
      </c>
      <c r="I7" s="11">
        <f t="shared" si="0"/>
        <v>29.5</v>
      </c>
      <c r="J7" s="13" cm="1">
        <f t="array" ref="J7">MAX(IF($N$3:$EH$3=$J$3,N7:EH7))</f>
        <v>0</v>
      </c>
      <c r="K7" s="13" cm="1">
        <f t="array" ref="K7">MAX(IF($N$3:$EH$3=$J$3,N7:EH7))</f>
        <v>0</v>
      </c>
      <c r="L7" s="11"/>
      <c r="N7">
        <v>7.5</v>
      </c>
      <c r="O7" s="12"/>
      <c r="P7" s="12">
        <v>0.5</v>
      </c>
      <c r="Q7" s="12"/>
      <c r="R7" s="12">
        <v>0.5</v>
      </c>
      <c r="V7" s="12"/>
      <c r="W7" s="12">
        <v>0.5</v>
      </c>
      <c r="X7" s="12"/>
      <c r="Y7" s="12">
        <v>0.5</v>
      </c>
      <c r="AB7">
        <v>1</v>
      </c>
      <c r="AC7" s="12"/>
      <c r="AD7" s="12">
        <v>0.5</v>
      </c>
      <c r="AE7" s="12"/>
      <c r="AF7" s="12">
        <v>0.5</v>
      </c>
      <c r="AI7">
        <v>7.5</v>
      </c>
      <c r="AJ7" s="12"/>
      <c r="AK7" s="12">
        <v>0.8</v>
      </c>
      <c r="AL7" s="12"/>
      <c r="AM7" s="12">
        <v>0.8</v>
      </c>
      <c r="AQ7" s="12"/>
      <c r="AR7" s="12">
        <v>0.8</v>
      </c>
      <c r="AS7" s="12"/>
      <c r="AT7" s="12">
        <v>0.8</v>
      </c>
      <c r="AX7" s="12"/>
      <c r="AY7" s="12">
        <v>0.8</v>
      </c>
      <c r="AZ7" s="12"/>
      <c r="BA7" s="12">
        <v>0.8</v>
      </c>
      <c r="BE7" s="12"/>
      <c r="BF7" s="12">
        <v>0.8</v>
      </c>
      <c r="BG7" s="12"/>
      <c r="BH7" s="12">
        <v>0.8</v>
      </c>
      <c r="BK7">
        <v>7.5</v>
      </c>
      <c r="BL7" s="12"/>
      <c r="BM7" s="12">
        <v>1</v>
      </c>
      <c r="BN7" s="12"/>
      <c r="BO7" s="12">
        <v>1</v>
      </c>
      <c r="BS7" s="12"/>
      <c r="BT7" s="12">
        <v>1</v>
      </c>
      <c r="BU7" s="12"/>
      <c r="BV7" s="12">
        <v>1</v>
      </c>
      <c r="BZ7" s="12"/>
      <c r="CA7" s="12">
        <v>1</v>
      </c>
      <c r="CB7" s="12"/>
      <c r="CC7" s="12">
        <v>1</v>
      </c>
      <c r="CG7" s="12"/>
      <c r="CH7" s="12">
        <v>1</v>
      </c>
      <c r="CI7" s="12"/>
      <c r="CJ7" s="12">
        <v>1</v>
      </c>
      <c r="CM7">
        <v>3</v>
      </c>
      <c r="CN7" s="12"/>
      <c r="CO7" s="12">
        <v>1</v>
      </c>
      <c r="CP7" s="12"/>
      <c r="CQ7" s="12">
        <v>1</v>
      </c>
      <c r="CU7" s="12"/>
      <c r="CV7" s="12">
        <v>1</v>
      </c>
      <c r="CW7" s="12"/>
      <c r="CX7" s="12">
        <v>1</v>
      </c>
      <c r="DA7">
        <v>3</v>
      </c>
      <c r="DB7" s="12"/>
      <c r="DC7" s="12">
        <v>1</v>
      </c>
      <c r="DD7" s="12"/>
      <c r="DE7" s="12">
        <v>1</v>
      </c>
    </row>
    <row r="8" spans="2:110" outlineLevel="1">
      <c r="B8" t="s">
        <v>28</v>
      </c>
      <c r="C8" t="s">
        <v>93</v>
      </c>
      <c r="E8" s="11"/>
      <c r="F8" t="s">
        <v>57</v>
      </c>
      <c r="G8" s="12">
        <v>0.1</v>
      </c>
      <c r="I8" s="11">
        <f t="shared" si="0"/>
        <v>29.5</v>
      </c>
      <c r="J8" s="13" cm="1">
        <f t="array" ref="J8">MAX(IF($N$3:$EH$3=$J$3,N8:EH8))</f>
        <v>0</v>
      </c>
      <c r="K8" s="13" cm="1">
        <f t="array" ref="K8">MAX(IF($N$3:$EH$3=$J$3,N8:EH8))</f>
        <v>0</v>
      </c>
      <c r="L8" s="11"/>
      <c r="N8">
        <v>7.5</v>
      </c>
      <c r="O8" s="12"/>
      <c r="P8" s="12">
        <v>0.5</v>
      </c>
      <c r="Q8" s="12"/>
      <c r="R8" s="12">
        <v>0.5</v>
      </c>
      <c r="V8" s="12"/>
      <c r="W8" s="12">
        <v>0.5</v>
      </c>
      <c r="X8" s="12"/>
      <c r="Y8" s="12">
        <v>0.5</v>
      </c>
      <c r="AC8" s="12"/>
      <c r="AD8" s="12">
        <v>0.5</v>
      </c>
      <c r="AE8" s="12"/>
      <c r="AF8" s="12">
        <v>0.5</v>
      </c>
      <c r="AI8">
        <v>1</v>
      </c>
      <c r="AJ8" s="12"/>
      <c r="AK8" s="12">
        <v>0.5</v>
      </c>
      <c r="AL8" s="12"/>
      <c r="AM8" s="12">
        <v>0.5</v>
      </c>
      <c r="AP8">
        <v>7.5</v>
      </c>
      <c r="AQ8" s="12"/>
      <c r="AR8" s="12">
        <v>0.8</v>
      </c>
      <c r="AS8" s="12"/>
      <c r="AT8" s="12">
        <v>0.8</v>
      </c>
      <c r="AX8" s="12"/>
      <c r="AY8" s="12">
        <v>0.8</v>
      </c>
      <c r="AZ8" s="12"/>
      <c r="BA8" s="12">
        <v>0.8</v>
      </c>
      <c r="BE8" s="12"/>
      <c r="BF8" s="12">
        <v>0.8</v>
      </c>
      <c r="BG8" s="12"/>
      <c r="BH8" s="12">
        <v>0.8</v>
      </c>
      <c r="BL8" s="12"/>
      <c r="BM8" s="12">
        <v>0.8</v>
      </c>
      <c r="BN8" s="12"/>
      <c r="BO8" s="12">
        <v>0.8</v>
      </c>
      <c r="BR8">
        <v>7.5</v>
      </c>
      <c r="BS8" s="12"/>
      <c r="BT8" s="12">
        <v>1</v>
      </c>
      <c r="BU8" s="12"/>
      <c r="BV8" s="12">
        <v>1</v>
      </c>
      <c r="BZ8" s="12"/>
      <c r="CA8" s="12">
        <v>1</v>
      </c>
      <c r="CB8" s="12"/>
      <c r="CC8" s="12">
        <v>1</v>
      </c>
      <c r="CG8" s="12"/>
      <c r="CH8" s="12">
        <v>1</v>
      </c>
      <c r="CI8" s="12"/>
      <c r="CJ8" s="12">
        <v>1</v>
      </c>
      <c r="CM8">
        <v>3</v>
      </c>
      <c r="CN8" s="12"/>
      <c r="CO8" s="12">
        <v>1</v>
      </c>
      <c r="CP8" s="12"/>
      <c r="CQ8" s="12">
        <v>1</v>
      </c>
      <c r="CU8" s="12"/>
      <c r="CV8" s="12">
        <v>1</v>
      </c>
      <c r="CW8" s="12"/>
      <c r="CX8" s="12">
        <v>1</v>
      </c>
      <c r="DA8">
        <v>3</v>
      </c>
      <c r="DB8" s="12"/>
      <c r="DC8" s="12">
        <v>1</v>
      </c>
      <c r="DD8" s="12"/>
      <c r="DE8" s="12">
        <v>1</v>
      </c>
    </row>
    <row r="9" spans="2:110" outlineLevel="1">
      <c r="B9" t="s">
        <v>28</v>
      </c>
      <c r="C9" t="s">
        <v>93</v>
      </c>
      <c r="E9" s="11"/>
      <c r="F9" t="s">
        <v>70</v>
      </c>
      <c r="G9" s="12">
        <v>0.1</v>
      </c>
      <c r="I9" s="11">
        <f t="shared" si="0"/>
        <v>29.5</v>
      </c>
      <c r="J9" s="13" cm="1">
        <f t="array" ref="J9">MAX(IF($N$3:$EH$3=$J$3,N9:EH9))</f>
        <v>0</v>
      </c>
      <c r="K9" s="13" cm="1">
        <f t="array" ref="K9">MAX(IF($N$3:$EH$3=$J$3,N9:EH9))</f>
        <v>0</v>
      </c>
      <c r="L9" s="11"/>
      <c r="O9" s="12"/>
      <c r="P9" s="12"/>
      <c r="Q9" s="12"/>
      <c r="R9" s="12"/>
      <c r="U9">
        <v>7.5</v>
      </c>
      <c r="V9" s="12"/>
      <c r="W9" s="12">
        <v>0.5</v>
      </c>
      <c r="X9" s="12"/>
      <c r="Y9" s="12">
        <v>0.5</v>
      </c>
      <c r="AC9" s="12"/>
      <c r="AD9" s="12">
        <v>0.5</v>
      </c>
      <c r="AE9" s="12"/>
      <c r="AF9" s="12">
        <v>0.5</v>
      </c>
      <c r="AI9">
        <v>1</v>
      </c>
      <c r="AJ9" s="12"/>
      <c r="AK9" s="12">
        <v>0.5</v>
      </c>
      <c r="AL9" s="12"/>
      <c r="AM9" s="12">
        <v>0.5</v>
      </c>
      <c r="AP9">
        <v>7.5</v>
      </c>
      <c r="AQ9" s="12"/>
      <c r="AR9" s="12">
        <v>0.8</v>
      </c>
      <c r="AS9" s="12"/>
      <c r="AT9" s="12">
        <v>0.8</v>
      </c>
      <c r="AX9" s="12"/>
      <c r="AY9" s="12">
        <v>0.8</v>
      </c>
      <c r="AZ9" s="12"/>
      <c r="BA9" s="12">
        <v>0.8</v>
      </c>
      <c r="BE9" s="12"/>
      <c r="BF9" s="12">
        <v>0.8</v>
      </c>
      <c r="BG9" s="12"/>
      <c r="BH9" s="12">
        <v>0.8</v>
      </c>
      <c r="BL9" s="12"/>
      <c r="BM9" s="12">
        <v>0.8</v>
      </c>
      <c r="BN9" s="12"/>
      <c r="BO9" s="12">
        <v>0.8</v>
      </c>
      <c r="BR9">
        <v>7.5</v>
      </c>
      <c r="BS9" s="12"/>
      <c r="BT9" s="12">
        <v>1</v>
      </c>
      <c r="BU9" s="12"/>
      <c r="BV9" s="12">
        <v>1</v>
      </c>
      <c r="BZ9" s="12"/>
      <c r="CA9" s="12">
        <v>1</v>
      </c>
      <c r="CB9" s="12"/>
      <c r="CC9" s="12">
        <v>1</v>
      </c>
      <c r="CG9" s="12"/>
      <c r="CH9" s="12">
        <v>1</v>
      </c>
      <c r="CI9" s="12"/>
      <c r="CJ9" s="12">
        <v>1</v>
      </c>
      <c r="CM9">
        <v>3</v>
      </c>
      <c r="CN9" s="12"/>
      <c r="CO9" s="12">
        <v>1</v>
      </c>
      <c r="CP9" s="12"/>
      <c r="CQ9" s="12">
        <v>1</v>
      </c>
      <c r="CU9" s="12"/>
      <c r="CV9" s="12">
        <v>1</v>
      </c>
      <c r="CW9" s="12"/>
      <c r="CX9" s="12">
        <v>1</v>
      </c>
      <c r="DA9">
        <v>3</v>
      </c>
      <c r="DB9" s="12"/>
      <c r="DC9" s="12">
        <v>1</v>
      </c>
      <c r="DD9" s="12"/>
      <c r="DE9" s="12">
        <v>1</v>
      </c>
    </row>
    <row r="10" spans="2:110" outlineLevel="1">
      <c r="B10" t="s">
        <v>28</v>
      </c>
      <c r="C10" t="s">
        <v>93</v>
      </c>
      <c r="E10" s="11"/>
      <c r="F10" t="s">
        <v>71</v>
      </c>
      <c r="G10" s="12">
        <v>0.1</v>
      </c>
      <c r="I10" s="11">
        <f t="shared" si="0"/>
        <v>29.5</v>
      </c>
      <c r="J10" s="13" cm="1">
        <f t="array" ref="J10">MAX(IF($N$3:$EH$3=$J$3,N10:EH10))</f>
        <v>0</v>
      </c>
      <c r="K10" s="13" cm="1">
        <f t="array" ref="K10">MAX(IF($N$3:$EH$3=$J$3,N10:EH10))</f>
        <v>0</v>
      </c>
      <c r="L10" s="11"/>
      <c r="O10" s="12"/>
      <c r="P10" s="12"/>
      <c r="Q10" s="12"/>
      <c r="R10" s="12"/>
      <c r="U10">
        <v>7.5</v>
      </c>
      <c r="V10" s="12"/>
      <c r="W10" s="12">
        <v>0.5</v>
      </c>
      <c r="X10" s="12"/>
      <c r="Y10" s="12">
        <v>0.5</v>
      </c>
      <c r="AC10" s="12"/>
      <c r="AD10" s="12">
        <v>0.5</v>
      </c>
      <c r="AE10" s="12"/>
      <c r="AF10" s="12">
        <v>0.5</v>
      </c>
      <c r="AJ10" s="12"/>
      <c r="AK10" s="12">
        <v>0.5</v>
      </c>
      <c r="AL10" s="12"/>
      <c r="AM10" s="12">
        <v>0.5</v>
      </c>
      <c r="AP10">
        <v>1</v>
      </c>
      <c r="AQ10" s="12"/>
      <c r="AR10" s="12">
        <v>0.5</v>
      </c>
      <c r="AS10" s="12"/>
      <c r="AT10" s="12">
        <v>0.5</v>
      </c>
      <c r="AW10">
        <v>7.5</v>
      </c>
      <c r="AX10" s="12"/>
      <c r="AY10" s="12">
        <v>0.8</v>
      </c>
      <c r="AZ10" s="12"/>
      <c r="BA10" s="12">
        <v>0.8</v>
      </c>
      <c r="BE10" s="12"/>
      <c r="BF10" s="12">
        <v>0.8</v>
      </c>
      <c r="BG10" s="12"/>
      <c r="BH10" s="12">
        <v>0.8</v>
      </c>
      <c r="BL10" s="12"/>
      <c r="BM10" s="12">
        <v>0.8</v>
      </c>
      <c r="BN10" s="12"/>
      <c r="BO10" s="12">
        <v>0.8</v>
      </c>
      <c r="BR10">
        <v>7.5</v>
      </c>
      <c r="BS10" s="12"/>
      <c r="BT10" s="12">
        <v>1</v>
      </c>
      <c r="BU10" s="12"/>
      <c r="BV10" s="12">
        <v>1</v>
      </c>
      <c r="BZ10" s="12"/>
      <c r="CA10" s="12">
        <v>1</v>
      </c>
      <c r="CB10" s="12"/>
      <c r="CC10" s="12">
        <v>1</v>
      </c>
      <c r="CG10" s="12"/>
      <c r="CH10" s="12">
        <v>1</v>
      </c>
      <c r="CI10" s="12"/>
      <c r="CJ10" s="12">
        <v>1</v>
      </c>
      <c r="CM10">
        <v>3</v>
      </c>
      <c r="CN10" s="12"/>
      <c r="CO10" s="12">
        <v>1</v>
      </c>
      <c r="CP10" s="12"/>
      <c r="CQ10" s="12">
        <v>1</v>
      </c>
      <c r="CT10">
        <v>3</v>
      </c>
      <c r="CU10" s="12"/>
      <c r="CV10" s="12">
        <v>1</v>
      </c>
      <c r="CW10" s="12"/>
      <c r="CX10" s="12">
        <v>1</v>
      </c>
      <c r="DB10" s="12"/>
      <c r="DC10" s="12">
        <v>1</v>
      </c>
      <c r="DD10" s="12"/>
      <c r="DE10" s="12">
        <v>1</v>
      </c>
    </row>
    <row r="11" spans="2:110" outlineLevel="1">
      <c r="B11" t="s">
        <v>28</v>
      </c>
      <c r="C11" t="s">
        <v>93</v>
      </c>
      <c r="E11" s="11"/>
      <c r="F11" t="s">
        <v>72</v>
      </c>
      <c r="G11" s="12">
        <v>0.1</v>
      </c>
      <c r="I11" s="11">
        <f t="shared" si="0"/>
        <v>28.5</v>
      </c>
      <c r="J11" s="13" cm="1">
        <f t="array" ref="J11">MAX(IF($N$3:$EH$3=$J$3,N11:EH11))</f>
        <v>0</v>
      </c>
      <c r="K11" s="13" cm="1">
        <f t="array" ref="K11">MAX(IF($N$3:$EH$3=$J$3,N11:EH11))</f>
        <v>0</v>
      </c>
      <c r="L11" s="11"/>
      <c r="O11" s="12"/>
      <c r="P11" s="12"/>
      <c r="Q11" s="12"/>
      <c r="R11" s="12"/>
      <c r="U11">
        <v>7.5</v>
      </c>
      <c r="V11" s="12"/>
      <c r="W11" s="12">
        <v>0.5</v>
      </c>
      <c r="X11" s="12"/>
      <c r="Y11" s="12">
        <v>0.5</v>
      </c>
      <c r="AC11" s="12"/>
      <c r="AD11" s="12">
        <v>0.5</v>
      </c>
      <c r="AE11" s="12"/>
      <c r="AF11" s="12">
        <v>0.5</v>
      </c>
      <c r="AJ11" s="12"/>
      <c r="AK11" s="12">
        <v>0.5</v>
      </c>
      <c r="AL11" s="12"/>
      <c r="AM11" s="12">
        <v>0.5</v>
      </c>
      <c r="AQ11" s="12"/>
      <c r="AR11" s="12">
        <v>0.5</v>
      </c>
      <c r="AS11" s="12"/>
      <c r="AT11" s="12">
        <v>0.5</v>
      </c>
      <c r="AW11">
        <v>7.5</v>
      </c>
      <c r="AX11" s="12"/>
      <c r="AY11" s="12">
        <v>0.8</v>
      </c>
      <c r="AZ11" s="12"/>
      <c r="BA11" s="12">
        <v>0.8</v>
      </c>
      <c r="BE11" s="12"/>
      <c r="BF11" s="12">
        <v>0.8</v>
      </c>
      <c r="BG11" s="12"/>
      <c r="BH11" s="12">
        <v>0.8</v>
      </c>
      <c r="BL11" s="12"/>
      <c r="BM11" s="12">
        <v>0.8</v>
      </c>
      <c r="BN11" s="12"/>
      <c r="BO11" s="12">
        <v>0.8</v>
      </c>
      <c r="BS11" s="12"/>
      <c r="BT11" s="12">
        <v>0.8</v>
      </c>
      <c r="BU11" s="12"/>
      <c r="BV11" s="12">
        <v>0.8</v>
      </c>
      <c r="BY11">
        <v>7.5</v>
      </c>
      <c r="BZ11" s="12"/>
      <c r="CA11" s="12">
        <v>1</v>
      </c>
      <c r="CB11" s="12"/>
      <c r="CC11" s="12">
        <v>1</v>
      </c>
      <c r="CG11" s="12"/>
      <c r="CH11" s="12">
        <v>1</v>
      </c>
      <c r="CI11" s="12"/>
      <c r="CJ11" s="12">
        <v>1</v>
      </c>
      <c r="CM11">
        <v>3</v>
      </c>
      <c r="CN11" s="12"/>
      <c r="CO11" s="12">
        <v>1</v>
      </c>
      <c r="CP11" s="12"/>
      <c r="CQ11" s="12">
        <v>1</v>
      </c>
      <c r="CT11">
        <v>3</v>
      </c>
      <c r="CU11" s="12"/>
      <c r="CV11" s="12">
        <v>1</v>
      </c>
      <c r="CW11" s="12"/>
      <c r="CX11" s="12">
        <v>1</v>
      </c>
      <c r="DB11" s="12"/>
      <c r="DC11" s="12">
        <v>1</v>
      </c>
      <c r="DD11" s="12"/>
      <c r="DE11" s="12">
        <v>1</v>
      </c>
    </row>
    <row r="12" spans="2:110" outlineLevel="1">
      <c r="B12" t="s">
        <v>28</v>
      </c>
      <c r="C12" t="s">
        <v>93</v>
      </c>
      <c r="E12" s="11"/>
      <c r="F12" t="s">
        <v>58</v>
      </c>
      <c r="G12" s="12">
        <v>0.1</v>
      </c>
      <c r="I12" s="11">
        <f t="shared" si="0"/>
        <v>28.5</v>
      </c>
      <c r="J12" s="13" cm="1">
        <f t="array" ref="J12">MAX(IF($N$3:$EH$3=$J$3,N12:EH12))</f>
        <v>0</v>
      </c>
      <c r="K12" s="13" cm="1">
        <f t="array" ref="K12">MAX(IF($N$3:$EH$3=$J$3,N12:EH12))</f>
        <v>0</v>
      </c>
      <c r="L12" s="11"/>
      <c r="O12" s="12"/>
      <c r="P12" s="12"/>
      <c r="Q12" s="12"/>
      <c r="R12" s="12"/>
      <c r="V12" s="12"/>
      <c r="W12" s="12"/>
      <c r="X12" s="12"/>
      <c r="Y12" s="12"/>
      <c r="AB12">
        <v>7.5</v>
      </c>
      <c r="AC12" s="12"/>
      <c r="AD12" s="12">
        <v>0.5</v>
      </c>
      <c r="AE12" s="12"/>
      <c r="AF12" s="12">
        <v>0.5</v>
      </c>
      <c r="AJ12" s="12"/>
      <c r="AK12" s="12">
        <v>0.5</v>
      </c>
      <c r="AL12" s="12"/>
      <c r="AM12" s="12">
        <v>0.5</v>
      </c>
      <c r="AQ12" s="12"/>
      <c r="AR12" s="12">
        <v>0.5</v>
      </c>
      <c r="AS12" s="12"/>
      <c r="AT12" s="12">
        <v>0.5</v>
      </c>
      <c r="AW12">
        <v>7.5</v>
      </c>
      <c r="AX12" s="12"/>
      <c r="AY12" s="12">
        <v>0.8</v>
      </c>
      <c r="AZ12" s="12"/>
      <c r="BA12" s="12">
        <v>0.8</v>
      </c>
      <c r="BE12" s="12"/>
      <c r="BF12" s="12">
        <v>0.8</v>
      </c>
      <c r="BG12" s="12"/>
      <c r="BH12" s="12">
        <v>0.8</v>
      </c>
      <c r="BL12" s="12"/>
      <c r="BM12" s="12">
        <v>0.8</v>
      </c>
      <c r="BN12" s="12"/>
      <c r="BO12" s="12">
        <v>0.8</v>
      </c>
      <c r="BS12" s="12"/>
      <c r="BT12" s="12">
        <v>0.8</v>
      </c>
      <c r="BU12" s="12"/>
      <c r="BV12" s="12">
        <v>0.8</v>
      </c>
      <c r="BY12">
        <v>7.5</v>
      </c>
      <c r="BZ12" s="12"/>
      <c r="CA12" s="12">
        <v>1</v>
      </c>
      <c r="CB12" s="12"/>
      <c r="CC12" s="12">
        <v>1</v>
      </c>
      <c r="CG12" s="12"/>
      <c r="CH12" s="12">
        <v>1</v>
      </c>
      <c r="CI12" s="12"/>
      <c r="CJ12" s="12">
        <v>1</v>
      </c>
      <c r="CM12">
        <v>3</v>
      </c>
      <c r="CN12" s="12"/>
      <c r="CO12" s="12">
        <v>1</v>
      </c>
      <c r="CP12" s="12"/>
      <c r="CQ12" s="12">
        <v>1</v>
      </c>
      <c r="CT12">
        <v>3</v>
      </c>
      <c r="CU12" s="12"/>
      <c r="CV12" s="12">
        <v>1</v>
      </c>
      <c r="CW12" s="12"/>
      <c r="CX12" s="12">
        <v>1</v>
      </c>
      <c r="DB12" s="12"/>
      <c r="DC12" s="12">
        <v>1</v>
      </c>
      <c r="DD12" s="12"/>
      <c r="DE12" s="12">
        <v>1</v>
      </c>
    </row>
    <row r="13" spans="2:110" outlineLevel="1">
      <c r="B13" t="s">
        <v>28</v>
      </c>
      <c r="C13" t="s">
        <v>93</v>
      </c>
      <c r="E13" s="11"/>
      <c r="F13" t="s">
        <v>73</v>
      </c>
      <c r="G13" s="12">
        <v>0.1</v>
      </c>
      <c r="I13" s="11">
        <f t="shared" si="0"/>
        <v>28.5</v>
      </c>
      <c r="J13" s="13" cm="1">
        <f t="array" ref="J13">MAX(IF($N$3:$EH$3=$J$3,N13:EH13))</f>
        <v>0</v>
      </c>
      <c r="K13" s="13" cm="1">
        <f t="array" ref="K13">MAX(IF($N$3:$EH$3=$J$3,N13:EH13))</f>
        <v>0</v>
      </c>
      <c r="L13" s="11"/>
      <c r="O13" s="12"/>
      <c r="P13" s="12"/>
      <c r="Q13" s="12"/>
      <c r="R13" s="12"/>
      <c r="V13" s="12"/>
      <c r="W13" s="12"/>
      <c r="X13" s="12"/>
      <c r="Y13" s="12"/>
      <c r="AB13">
        <v>7.5</v>
      </c>
      <c r="AC13" s="12"/>
      <c r="AD13" s="12">
        <v>0.5</v>
      </c>
      <c r="AE13" s="12"/>
      <c r="AF13" s="12">
        <v>0.5</v>
      </c>
      <c r="AJ13" s="12"/>
      <c r="AK13" s="12">
        <v>0.5</v>
      </c>
      <c r="AL13" s="12"/>
      <c r="AM13" s="12">
        <v>0.5</v>
      </c>
      <c r="AQ13" s="12"/>
      <c r="AR13" s="12">
        <v>0.5</v>
      </c>
      <c r="AS13" s="12"/>
      <c r="AT13" s="12">
        <v>0.5</v>
      </c>
      <c r="AX13" s="12"/>
      <c r="AY13" s="12">
        <v>0.5</v>
      </c>
      <c r="AZ13" s="12"/>
      <c r="BA13" s="12">
        <v>0.5</v>
      </c>
      <c r="BD13">
        <v>7.5</v>
      </c>
      <c r="BE13" s="12"/>
      <c r="BF13" s="12">
        <v>0.8</v>
      </c>
      <c r="BG13" s="12"/>
      <c r="BH13" s="12">
        <v>0.8</v>
      </c>
      <c r="BL13" s="12"/>
      <c r="BM13" s="12">
        <v>0.8</v>
      </c>
      <c r="BN13" s="12"/>
      <c r="BO13" s="12">
        <v>0.8</v>
      </c>
      <c r="BS13" s="12"/>
      <c r="BT13" s="12">
        <v>0.8</v>
      </c>
      <c r="BU13" s="12"/>
      <c r="BV13" s="12">
        <v>0.8</v>
      </c>
      <c r="BY13">
        <v>7.5</v>
      </c>
      <c r="BZ13" s="12"/>
      <c r="CA13" s="12">
        <v>1</v>
      </c>
      <c r="CB13" s="12"/>
      <c r="CC13" s="12">
        <v>1</v>
      </c>
      <c r="CG13" s="12"/>
      <c r="CH13" s="12">
        <v>1</v>
      </c>
      <c r="CI13" s="12"/>
      <c r="CJ13" s="12">
        <v>1</v>
      </c>
      <c r="CM13">
        <v>3</v>
      </c>
      <c r="CN13" s="12"/>
      <c r="CO13" s="12">
        <v>1</v>
      </c>
      <c r="CP13" s="12"/>
      <c r="CQ13" s="12">
        <v>1</v>
      </c>
      <c r="CT13">
        <v>3</v>
      </c>
      <c r="CU13" s="12"/>
      <c r="CV13" s="12">
        <v>1</v>
      </c>
      <c r="CW13" s="12"/>
      <c r="CX13" s="12">
        <v>1</v>
      </c>
      <c r="DB13" s="12"/>
      <c r="DC13" s="12">
        <v>1</v>
      </c>
      <c r="DD13" s="12"/>
      <c r="DE13" s="12">
        <v>1</v>
      </c>
    </row>
    <row r="14" spans="2:110" outlineLevel="1">
      <c r="B14" t="s">
        <v>28</v>
      </c>
      <c r="C14" t="s">
        <v>93</v>
      </c>
      <c r="E14" s="11"/>
      <c r="F14" t="s">
        <v>74</v>
      </c>
      <c r="G14" s="12">
        <v>0.1</v>
      </c>
      <c r="I14" s="11">
        <f t="shared" si="0"/>
        <v>28.5</v>
      </c>
      <c r="J14" s="13" cm="1">
        <f t="array" ref="J14">MAX(IF($N$3:$EH$3=$J$3,N14:EH14))</f>
        <v>0</v>
      </c>
      <c r="K14" s="13" cm="1">
        <f t="array" ref="K14">MAX(IF($N$3:$EH$3=$J$3,N14:EH14))</f>
        <v>0</v>
      </c>
      <c r="L14" s="11"/>
      <c r="O14" s="12"/>
      <c r="P14" s="12"/>
      <c r="Q14" s="12"/>
      <c r="R14" s="12"/>
      <c r="V14" s="12"/>
      <c r="W14" s="12"/>
      <c r="X14" s="12"/>
      <c r="Y14" s="12"/>
      <c r="AC14" s="12"/>
      <c r="AD14" s="12"/>
      <c r="AE14" s="12"/>
      <c r="AF14" s="12"/>
      <c r="AI14">
        <v>7.5</v>
      </c>
      <c r="AJ14" s="12"/>
      <c r="AK14" s="12">
        <v>0.5</v>
      </c>
      <c r="AL14" s="12"/>
      <c r="AM14" s="12">
        <v>0.5</v>
      </c>
      <c r="AQ14" s="12"/>
      <c r="AR14" s="12">
        <v>0.5</v>
      </c>
      <c r="AS14" s="12"/>
      <c r="AT14" s="12">
        <v>0.5</v>
      </c>
      <c r="AX14" s="12"/>
      <c r="AY14" s="12">
        <v>0.5</v>
      </c>
      <c r="AZ14" s="12"/>
      <c r="BA14" s="12">
        <v>0.5</v>
      </c>
      <c r="BD14">
        <v>7.5</v>
      </c>
      <c r="BE14" s="12"/>
      <c r="BF14" s="12">
        <v>0.8</v>
      </c>
      <c r="BG14" s="12"/>
      <c r="BH14" s="12">
        <v>0.8</v>
      </c>
      <c r="BL14" s="12"/>
      <c r="BM14" s="12">
        <v>0.8</v>
      </c>
      <c r="BN14" s="12"/>
      <c r="BO14" s="12">
        <v>0.8</v>
      </c>
      <c r="BS14" s="12"/>
      <c r="BT14" s="12">
        <v>0.8</v>
      </c>
      <c r="BU14" s="12"/>
      <c r="BV14" s="12">
        <v>0.8</v>
      </c>
      <c r="BZ14" s="12"/>
      <c r="CA14" s="12">
        <v>0.8</v>
      </c>
      <c r="CB14" s="12"/>
      <c r="CC14" s="12">
        <v>0.8</v>
      </c>
      <c r="CF14">
        <v>7.5</v>
      </c>
      <c r="CG14" s="12"/>
      <c r="CH14" s="12">
        <v>1</v>
      </c>
      <c r="CI14" s="12"/>
      <c r="CJ14" s="12">
        <v>1</v>
      </c>
      <c r="CN14" s="12"/>
      <c r="CO14" s="12">
        <v>1</v>
      </c>
      <c r="CP14" s="12"/>
      <c r="CQ14" s="12">
        <v>1</v>
      </c>
      <c r="CT14">
        <v>3</v>
      </c>
      <c r="CU14" s="12"/>
      <c r="CV14" s="12">
        <v>1</v>
      </c>
      <c r="CW14" s="12"/>
      <c r="CX14" s="12">
        <v>1</v>
      </c>
      <c r="DA14">
        <v>3</v>
      </c>
      <c r="DB14" s="12"/>
      <c r="DC14" s="12">
        <v>1</v>
      </c>
      <c r="DD14" s="12"/>
      <c r="DE14" s="12">
        <v>1</v>
      </c>
    </row>
    <row r="15" spans="2:110" outlineLevel="1">
      <c r="B15" t="s">
        <v>28</v>
      </c>
      <c r="C15" t="s">
        <v>93</v>
      </c>
      <c r="E15" s="11"/>
      <c r="F15" t="s">
        <v>75</v>
      </c>
      <c r="G15" s="12">
        <v>0.1</v>
      </c>
      <c r="I15" s="11">
        <f t="shared" si="0"/>
        <v>28.5</v>
      </c>
      <c r="J15" s="13" cm="1">
        <f t="array" ref="J15">MAX(IF($N$3:$EH$3=$J$3,N15:EH15))</f>
        <v>0</v>
      </c>
      <c r="K15" s="13" cm="1">
        <f t="array" ref="K15">MAX(IF($N$3:$EH$3=$J$3,N15:EH15))</f>
        <v>0</v>
      </c>
      <c r="L15" s="11"/>
      <c r="O15" s="12"/>
      <c r="P15" s="12"/>
      <c r="Q15" s="12"/>
      <c r="R15" s="12"/>
      <c r="V15" s="12"/>
      <c r="W15" s="12"/>
      <c r="X15" s="12"/>
      <c r="Y15" s="12"/>
      <c r="AC15" s="12"/>
      <c r="AD15" s="12"/>
      <c r="AE15" s="12"/>
      <c r="AF15" s="12"/>
      <c r="AI15">
        <v>7.5</v>
      </c>
      <c r="AJ15" s="12"/>
      <c r="AK15" s="12">
        <v>0.5</v>
      </c>
      <c r="AL15" s="12"/>
      <c r="AM15" s="12">
        <v>0.5</v>
      </c>
      <c r="AQ15" s="12"/>
      <c r="AR15" s="12">
        <v>0.5</v>
      </c>
      <c r="AS15" s="12"/>
      <c r="AT15" s="12">
        <v>0.5</v>
      </c>
      <c r="AX15" s="12"/>
      <c r="AY15" s="12">
        <v>0.5</v>
      </c>
      <c r="AZ15" s="12"/>
      <c r="BA15" s="12">
        <v>0.5</v>
      </c>
      <c r="BE15" s="12"/>
      <c r="BF15" s="12">
        <v>0.5</v>
      </c>
      <c r="BG15" s="12"/>
      <c r="BH15" s="12">
        <v>0.5</v>
      </c>
      <c r="BK15">
        <v>7.5</v>
      </c>
      <c r="BL15" s="12"/>
      <c r="BM15" s="12">
        <v>0.8</v>
      </c>
      <c r="BN15" s="12"/>
      <c r="BO15" s="12">
        <v>0.8</v>
      </c>
      <c r="BS15" s="12"/>
      <c r="BT15" s="12">
        <v>0.8</v>
      </c>
      <c r="BU15" s="12"/>
      <c r="BV15" s="12">
        <v>0.8</v>
      </c>
      <c r="BZ15" s="12"/>
      <c r="CA15" s="12">
        <v>0.8</v>
      </c>
      <c r="CB15" s="12"/>
      <c r="CC15" s="12">
        <v>0.8</v>
      </c>
      <c r="CF15">
        <v>7.5</v>
      </c>
      <c r="CG15" s="12"/>
      <c r="CH15" s="12">
        <v>1</v>
      </c>
      <c r="CI15" s="12"/>
      <c r="CJ15" s="12">
        <v>1</v>
      </c>
      <c r="CN15" s="12"/>
      <c r="CO15" s="12">
        <v>1</v>
      </c>
      <c r="CP15" s="12"/>
      <c r="CQ15" s="12">
        <v>1</v>
      </c>
      <c r="CT15">
        <v>3</v>
      </c>
      <c r="CU15" s="12"/>
      <c r="CV15" s="12">
        <v>0.9</v>
      </c>
      <c r="CW15" s="12"/>
      <c r="CX15" s="12">
        <v>0.9</v>
      </c>
      <c r="DA15">
        <v>3</v>
      </c>
      <c r="DB15" s="12"/>
      <c r="DC15" s="12">
        <v>1</v>
      </c>
      <c r="DD15" s="12"/>
      <c r="DE15" s="12">
        <v>1</v>
      </c>
    </row>
    <row r="16" spans="2:110" outlineLevel="1">
      <c r="B16" t="s">
        <v>28</v>
      </c>
      <c r="C16" t="s">
        <v>93</v>
      </c>
      <c r="E16" s="11"/>
      <c r="F16" t="s">
        <v>76</v>
      </c>
      <c r="G16" s="12">
        <v>0.1</v>
      </c>
      <c r="I16" s="11">
        <f>+SUMIF($N$3:$ZZ$3,I$3,$N16:$ZZ16)</f>
        <v>28.5</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P16">
        <v>7.5</v>
      </c>
      <c r="AQ16" s="12"/>
      <c r="AR16" s="12">
        <v>0.5</v>
      </c>
      <c r="AS16" s="12"/>
      <c r="AT16" s="12">
        <v>0.5</v>
      </c>
      <c r="AX16" s="12"/>
      <c r="AY16" s="12">
        <v>0.5</v>
      </c>
      <c r="AZ16" s="12"/>
      <c r="BA16" s="12">
        <v>0.5</v>
      </c>
      <c r="BE16" s="12"/>
      <c r="BF16" s="12">
        <v>0.5</v>
      </c>
      <c r="BG16" s="12"/>
      <c r="BH16" s="12">
        <v>0.5</v>
      </c>
      <c r="BK16">
        <v>7.5</v>
      </c>
      <c r="BL16" s="12"/>
      <c r="BM16" s="12">
        <v>0.8</v>
      </c>
      <c r="BN16" s="12"/>
      <c r="BO16" s="12">
        <v>0.8</v>
      </c>
      <c r="BS16" s="12"/>
      <c r="BT16" s="12">
        <v>0.8</v>
      </c>
      <c r="BU16" s="12"/>
      <c r="BV16" s="12">
        <v>0.8</v>
      </c>
      <c r="BZ16" s="12"/>
      <c r="CA16" s="12">
        <v>0.8</v>
      </c>
      <c r="CB16" s="12"/>
      <c r="CC16" s="12">
        <v>0.8</v>
      </c>
      <c r="CF16">
        <v>7.5</v>
      </c>
      <c r="CG16" s="12"/>
      <c r="CH16" s="12">
        <v>1</v>
      </c>
      <c r="CI16" s="12"/>
      <c r="CJ16" s="12">
        <v>1</v>
      </c>
      <c r="CN16" s="12"/>
      <c r="CO16" s="12">
        <v>1</v>
      </c>
      <c r="CP16" s="12"/>
      <c r="CQ16" s="12">
        <v>1</v>
      </c>
      <c r="CT16">
        <v>3</v>
      </c>
      <c r="CU16" s="12"/>
      <c r="CV16" s="12">
        <v>0.8</v>
      </c>
      <c r="CW16" s="12"/>
      <c r="CX16" s="12">
        <v>0.8</v>
      </c>
      <c r="DA16">
        <v>3</v>
      </c>
      <c r="DB16" s="12"/>
      <c r="DC16" s="12">
        <v>1</v>
      </c>
      <c r="DD16" s="12"/>
      <c r="DE16" s="12">
        <v>1</v>
      </c>
    </row>
    <row r="17" spans="2:109">
      <c r="O17" s="9"/>
      <c r="V17" s="9"/>
      <c r="AC17" s="9"/>
      <c r="AJ17" s="9"/>
      <c r="AQ17" s="9"/>
      <c r="AX17" s="9"/>
      <c r="BE17" s="9"/>
      <c r="BL17" s="9"/>
      <c r="BS17" s="9"/>
      <c r="BZ17" s="9"/>
      <c r="CG17" s="9"/>
      <c r="CN17" s="9"/>
      <c r="CU17" s="9"/>
      <c r="DB17" s="9"/>
    </row>
    <row r="18" spans="2:109">
      <c r="B18" t="s">
        <v>27</v>
      </c>
      <c r="C18" t="s">
        <v>50</v>
      </c>
      <c r="E18" s="11">
        <v>10</v>
      </c>
      <c r="G18" s="12">
        <f>+SUM(G19:G30)</f>
        <v>0.999</v>
      </c>
      <c r="I18" s="14">
        <f>+SUM(I19:I30)</f>
        <v>224</v>
      </c>
      <c r="J18" s="13">
        <f>+SUMPRODUCT(G19:G24,J19:J24)</f>
        <v>0.05</v>
      </c>
      <c r="K18" s="13">
        <f>+SUMPRODUCT(G19:G24,K19:K24)</f>
        <v>0.05</v>
      </c>
      <c r="L18" s="11"/>
      <c r="N18" s="14">
        <f>+SUM(N19:N30)</f>
        <v>20</v>
      </c>
      <c r="U18" s="14">
        <f>+SUM(U19:U30)</f>
        <v>15</v>
      </c>
      <c r="AB18" s="14">
        <f>+SUM(AB19:AB30)</f>
        <v>15</v>
      </c>
      <c r="AI18" s="14">
        <f>+SUM(AI19:AI30)</f>
        <v>20</v>
      </c>
      <c r="AP18" s="14">
        <f>+SUM(AP19:AP30)</f>
        <v>15</v>
      </c>
      <c r="AW18" s="14">
        <f>+SUM(AW19:AW30)</f>
        <v>15</v>
      </c>
      <c r="BD18" s="14">
        <f>+SUM(BD19:BD30)</f>
        <v>15</v>
      </c>
      <c r="BK18" s="14">
        <f>+SUM(BK19:BK30)</f>
        <v>20</v>
      </c>
      <c r="BR18" s="14">
        <f>+SUM(BR19:BR30)</f>
        <v>15</v>
      </c>
      <c r="BY18" s="14">
        <f>+SUM(BY19:BY30)</f>
        <v>15</v>
      </c>
      <c r="CF18" s="14">
        <f>+SUM(CF19:CF30)</f>
        <v>15</v>
      </c>
      <c r="CM18" s="14">
        <f>+SUM(CM19:CM30)</f>
        <v>14</v>
      </c>
      <c r="CT18" s="14">
        <f>+SUM(CT19:CT30)</f>
        <v>15</v>
      </c>
      <c r="DA18" s="14">
        <f>+SUM(DA19:DA30)</f>
        <v>15</v>
      </c>
    </row>
    <row r="19" spans="2:109" outlineLevel="1">
      <c r="B19" t="s">
        <v>28</v>
      </c>
      <c r="C19" t="s">
        <v>94</v>
      </c>
      <c r="E19" s="11"/>
      <c r="F19" t="s">
        <v>59</v>
      </c>
      <c r="G19" s="12">
        <v>0.1</v>
      </c>
      <c r="I19" s="11">
        <f t="shared" ref="I19:I26" si="1">+SUMIF($N$3:$ZZ$3,I$3,$N19:$ZZ19)</f>
        <v>18</v>
      </c>
      <c r="J19" s="13" cm="1">
        <f t="array" ref="J19">MAX(IF($N$3:$EH$3=$J$3,N19:EH19))</f>
        <v>0.5</v>
      </c>
      <c r="K19" s="13" cm="1">
        <f t="array" ref="K19">MAX(IF($N$3:$EH$3=$J$3,N19:EH19))</f>
        <v>0.5</v>
      </c>
      <c r="L19" s="11"/>
      <c r="N19">
        <v>5</v>
      </c>
      <c r="O19" s="12">
        <v>0.5</v>
      </c>
      <c r="P19" s="12">
        <v>0.5</v>
      </c>
      <c r="Q19" s="12">
        <v>0.5</v>
      </c>
      <c r="R19" s="12">
        <v>0.5</v>
      </c>
      <c r="V19" s="12"/>
      <c r="W19" s="12">
        <v>0.5</v>
      </c>
      <c r="X19" s="12"/>
      <c r="Y19" s="12">
        <v>0.5</v>
      </c>
      <c r="AB19">
        <v>5</v>
      </c>
      <c r="AC19" s="12"/>
      <c r="AD19" s="12">
        <v>0.8</v>
      </c>
      <c r="AE19" s="12"/>
      <c r="AF19" s="12">
        <v>0.8</v>
      </c>
      <c r="AJ19" s="12"/>
      <c r="AK19" s="12">
        <v>0.8</v>
      </c>
      <c r="AL19" s="12"/>
      <c r="AM19" s="12">
        <v>0.8</v>
      </c>
      <c r="AQ19" s="12"/>
      <c r="AR19" s="12">
        <v>0.8</v>
      </c>
      <c r="AS19" s="12"/>
      <c r="AT19" s="12">
        <v>0.8</v>
      </c>
      <c r="AX19" s="12"/>
      <c r="AY19" s="12">
        <v>0.8</v>
      </c>
      <c r="AZ19" s="12"/>
      <c r="BA19" s="12">
        <v>0.8</v>
      </c>
      <c r="BE19" s="12"/>
      <c r="BF19" s="12">
        <v>0.8</v>
      </c>
      <c r="BG19" s="12"/>
      <c r="BH19" s="12">
        <v>0.8</v>
      </c>
      <c r="BK19">
        <v>5</v>
      </c>
      <c r="BL19" s="12"/>
      <c r="BM19" s="12">
        <v>1</v>
      </c>
      <c r="BN19" s="12"/>
      <c r="BO19" s="12">
        <v>1</v>
      </c>
      <c r="BS19" s="12"/>
      <c r="BT19" s="12">
        <v>1</v>
      </c>
      <c r="BU19" s="12"/>
      <c r="BV19" s="12">
        <v>1</v>
      </c>
      <c r="BZ19" s="12"/>
      <c r="CA19" s="12">
        <v>1</v>
      </c>
      <c r="CB19" s="12"/>
      <c r="CC19" s="12">
        <v>1</v>
      </c>
      <c r="CG19" s="12"/>
      <c r="CH19" s="12">
        <v>1</v>
      </c>
      <c r="CI19" s="12"/>
      <c r="CJ19" s="12">
        <v>1</v>
      </c>
      <c r="CM19">
        <v>3</v>
      </c>
      <c r="CN19" s="12"/>
      <c r="CO19" s="12">
        <v>1</v>
      </c>
      <c r="CP19" s="12"/>
      <c r="CQ19" s="12">
        <v>1</v>
      </c>
      <c r="CU19" s="12"/>
      <c r="CV19" s="12">
        <v>1</v>
      </c>
      <c r="CW19" s="12"/>
      <c r="CX19" s="12">
        <v>1</v>
      </c>
      <c r="DB19" s="12"/>
      <c r="DC19" s="12">
        <v>1</v>
      </c>
      <c r="DD19" s="12"/>
      <c r="DE19" s="12">
        <v>1</v>
      </c>
    </row>
    <row r="20" spans="2:109" outlineLevel="1">
      <c r="B20" t="s">
        <v>28</v>
      </c>
      <c r="C20" t="s">
        <v>94</v>
      </c>
      <c r="E20" s="11"/>
      <c r="F20" t="s">
        <v>60</v>
      </c>
      <c r="G20" s="12">
        <v>0.1</v>
      </c>
      <c r="I20" s="11">
        <f>+SUMIF($N$3:$ZZ$3,I$3,$N20:$ZZ20)</f>
        <v>18</v>
      </c>
      <c r="J20" s="13" cm="1">
        <f t="array" ref="J20">MAX(IF($N$3:$EH$3=$J$3,N20:EH20))</f>
        <v>0</v>
      </c>
      <c r="K20" s="13" cm="1">
        <f t="array" ref="K20">MAX(IF($N$3:$EH$3=$J$3,N20:EH20))</f>
        <v>0</v>
      </c>
      <c r="L20" s="11"/>
      <c r="N20">
        <v>5</v>
      </c>
      <c r="O20" s="12"/>
      <c r="P20" s="12">
        <v>0.5</v>
      </c>
      <c r="Q20" s="12"/>
      <c r="R20" s="12">
        <v>0.5</v>
      </c>
      <c r="V20" s="12"/>
      <c r="W20" s="12">
        <v>0.5</v>
      </c>
      <c r="X20" s="12"/>
      <c r="Y20" s="12">
        <v>0.5</v>
      </c>
      <c r="AC20" s="12"/>
      <c r="AD20" s="12">
        <v>0.5</v>
      </c>
      <c r="AE20" s="12"/>
      <c r="AF20" s="12">
        <v>0.5</v>
      </c>
      <c r="AI20">
        <v>5</v>
      </c>
      <c r="AJ20" s="12"/>
      <c r="AK20" s="12">
        <v>0.8</v>
      </c>
      <c r="AL20" s="12"/>
      <c r="AM20" s="12">
        <v>0.8</v>
      </c>
      <c r="AQ20" s="12"/>
      <c r="AR20" s="12">
        <v>0.8</v>
      </c>
      <c r="AS20" s="12"/>
      <c r="AT20" s="12">
        <v>0.8</v>
      </c>
      <c r="AX20" s="12"/>
      <c r="AY20" s="12">
        <v>0.8</v>
      </c>
      <c r="AZ20" s="12"/>
      <c r="BA20" s="12">
        <v>0.8</v>
      </c>
      <c r="BE20" s="12"/>
      <c r="BF20" s="12">
        <v>0.8</v>
      </c>
      <c r="BG20" s="12"/>
      <c r="BH20" s="12">
        <v>0.8</v>
      </c>
      <c r="BK20">
        <v>5</v>
      </c>
      <c r="BL20" s="12"/>
      <c r="BM20" s="12">
        <v>1</v>
      </c>
      <c r="BN20" s="12"/>
      <c r="BO20" s="12">
        <v>1</v>
      </c>
      <c r="BS20" s="12"/>
      <c r="BT20" s="12">
        <v>1</v>
      </c>
      <c r="BU20" s="12"/>
      <c r="BV20" s="12">
        <v>1</v>
      </c>
      <c r="BZ20" s="12"/>
      <c r="CA20" s="12">
        <v>1</v>
      </c>
      <c r="CB20" s="12"/>
      <c r="CC20" s="12">
        <v>1</v>
      </c>
      <c r="CG20" s="12"/>
      <c r="CH20" s="12">
        <v>1</v>
      </c>
      <c r="CI20" s="12"/>
      <c r="CJ20" s="12">
        <v>1</v>
      </c>
      <c r="CM20">
        <v>3</v>
      </c>
      <c r="CN20" s="12"/>
      <c r="CO20" s="12">
        <v>1</v>
      </c>
      <c r="CP20" s="12"/>
      <c r="CQ20" s="12">
        <v>1</v>
      </c>
      <c r="CU20" s="12"/>
      <c r="CV20" s="12">
        <v>1</v>
      </c>
      <c r="CW20" s="12"/>
      <c r="CX20" s="12">
        <v>1</v>
      </c>
      <c r="DB20" s="12"/>
      <c r="DC20" s="12">
        <v>1</v>
      </c>
      <c r="DD20" s="12"/>
      <c r="DE20" s="12">
        <v>1</v>
      </c>
    </row>
    <row r="21" spans="2:109" outlineLevel="1">
      <c r="B21" t="s">
        <v>28</v>
      </c>
      <c r="C21" t="s">
        <v>94</v>
      </c>
      <c r="E21" s="11"/>
      <c r="F21" t="s">
        <v>61</v>
      </c>
      <c r="G21" s="12">
        <v>0.1</v>
      </c>
      <c r="I21" s="11">
        <f t="shared" si="1"/>
        <v>21</v>
      </c>
      <c r="J21" s="13" cm="1">
        <f t="array" ref="J21">MAX(IF($N$3:$EH$3=$J$3,N21:EH21))</f>
        <v>0</v>
      </c>
      <c r="K21" s="13" cm="1">
        <f t="array" ref="K21">MAX(IF($N$3:$EH$3=$J$3,N21:EH21))</f>
        <v>0</v>
      </c>
      <c r="L21" s="11"/>
      <c r="N21">
        <v>5</v>
      </c>
      <c r="O21" s="12"/>
      <c r="P21" s="12">
        <v>0.5</v>
      </c>
      <c r="Q21" s="12"/>
      <c r="R21" s="12">
        <v>0.5</v>
      </c>
      <c r="V21" s="12"/>
      <c r="W21" s="12">
        <v>0.5</v>
      </c>
      <c r="X21" s="12"/>
      <c r="Y21" s="12">
        <v>0.5</v>
      </c>
      <c r="AC21" s="12"/>
      <c r="AD21" s="12">
        <v>0.5</v>
      </c>
      <c r="AE21" s="12"/>
      <c r="AF21" s="12">
        <v>0.5</v>
      </c>
      <c r="AI21">
        <v>5</v>
      </c>
      <c r="AJ21" s="12"/>
      <c r="AK21" s="12">
        <v>0.8</v>
      </c>
      <c r="AL21" s="12"/>
      <c r="AM21" s="12">
        <v>0.8</v>
      </c>
      <c r="AQ21" s="12"/>
      <c r="AR21" s="12">
        <v>0.8</v>
      </c>
      <c r="AS21" s="12"/>
      <c r="AT21" s="12">
        <v>0.8</v>
      </c>
      <c r="AX21" s="12"/>
      <c r="AY21" s="12">
        <v>0.8</v>
      </c>
      <c r="AZ21" s="12"/>
      <c r="BA21" s="12">
        <v>0.8</v>
      </c>
      <c r="BE21" s="12"/>
      <c r="BF21" s="12">
        <v>0.8</v>
      </c>
      <c r="BG21" s="12"/>
      <c r="BH21" s="12">
        <v>0.8</v>
      </c>
      <c r="BK21">
        <v>5</v>
      </c>
      <c r="BL21" s="12"/>
      <c r="BM21" s="12">
        <v>1</v>
      </c>
      <c r="BN21" s="12"/>
      <c r="BO21" s="12">
        <v>1</v>
      </c>
      <c r="BS21" s="12"/>
      <c r="BT21" s="12">
        <v>1</v>
      </c>
      <c r="BU21" s="12"/>
      <c r="BV21" s="12">
        <v>1</v>
      </c>
      <c r="BZ21" s="12"/>
      <c r="CA21" s="12">
        <v>1</v>
      </c>
      <c r="CB21" s="12"/>
      <c r="CC21" s="12">
        <v>1</v>
      </c>
      <c r="CG21" s="12"/>
      <c r="CH21" s="12">
        <v>1</v>
      </c>
      <c r="CI21" s="12"/>
      <c r="CJ21" s="12">
        <v>1</v>
      </c>
      <c r="CM21">
        <v>3</v>
      </c>
      <c r="CN21" s="12"/>
      <c r="CO21" s="12">
        <v>1</v>
      </c>
      <c r="CP21" s="12"/>
      <c r="CQ21" s="12">
        <v>1</v>
      </c>
      <c r="CU21" s="12"/>
      <c r="CV21" s="12">
        <v>1</v>
      </c>
      <c r="CW21" s="12"/>
      <c r="CX21" s="12">
        <v>1</v>
      </c>
      <c r="DA21">
        <v>3</v>
      </c>
      <c r="DB21" s="12"/>
      <c r="DC21" s="12">
        <v>1</v>
      </c>
      <c r="DD21" s="12"/>
      <c r="DE21" s="12">
        <v>1</v>
      </c>
    </row>
    <row r="22" spans="2:109" outlineLevel="1">
      <c r="B22" t="s">
        <v>28</v>
      </c>
      <c r="C22" t="s">
        <v>94</v>
      </c>
      <c r="E22" s="11"/>
      <c r="F22" t="s">
        <v>62</v>
      </c>
      <c r="G22" s="12">
        <v>0.1</v>
      </c>
      <c r="I22" s="11">
        <f t="shared" si="1"/>
        <v>18</v>
      </c>
      <c r="J22" s="13" cm="1">
        <f t="array" ref="J22">MAX(IF($N$3:$EH$3=$J$3,N22:EH22))</f>
        <v>0</v>
      </c>
      <c r="K22" s="13" cm="1">
        <f t="array" ref="K22">MAX(IF($N$3:$EH$3=$J$3,N22:EH22))</f>
        <v>0</v>
      </c>
      <c r="L22" s="11"/>
      <c r="N22">
        <v>5</v>
      </c>
      <c r="O22" s="12"/>
      <c r="P22" s="12">
        <v>0.5</v>
      </c>
      <c r="Q22" s="12"/>
      <c r="R22" s="12">
        <v>0.5</v>
      </c>
      <c r="V22" s="12"/>
      <c r="W22" s="12">
        <v>0.5</v>
      </c>
      <c r="X22" s="12"/>
      <c r="Y22" s="12">
        <v>0.5</v>
      </c>
      <c r="AC22" s="12"/>
      <c r="AD22" s="12">
        <v>0.5</v>
      </c>
      <c r="AE22" s="12"/>
      <c r="AF22" s="12">
        <v>0.5</v>
      </c>
      <c r="AJ22" s="12"/>
      <c r="AK22" s="12">
        <v>0.5</v>
      </c>
      <c r="AL22" s="12"/>
      <c r="AM22" s="12">
        <v>0.5</v>
      </c>
      <c r="AP22">
        <v>5</v>
      </c>
      <c r="AQ22" s="12"/>
      <c r="AR22" s="12">
        <v>0.8</v>
      </c>
      <c r="AS22" s="12"/>
      <c r="AT22" s="12">
        <v>0.8</v>
      </c>
      <c r="AX22" s="12"/>
      <c r="AY22" s="12">
        <v>0.8</v>
      </c>
      <c r="AZ22" s="12"/>
      <c r="BA22" s="12">
        <v>0.8</v>
      </c>
      <c r="BE22" s="12"/>
      <c r="BF22" s="12">
        <v>0.8</v>
      </c>
      <c r="BG22" s="12"/>
      <c r="BH22" s="12">
        <v>0.8</v>
      </c>
      <c r="BL22" s="12"/>
      <c r="BM22" s="12">
        <v>0.8</v>
      </c>
      <c r="BN22" s="12"/>
      <c r="BO22" s="12">
        <v>0.8</v>
      </c>
      <c r="BR22">
        <v>5</v>
      </c>
      <c r="BS22" s="12"/>
      <c r="BT22" s="12">
        <v>1</v>
      </c>
      <c r="BU22" s="12"/>
      <c r="BV22" s="12">
        <v>1</v>
      </c>
      <c r="BZ22" s="12"/>
      <c r="CA22" s="12">
        <v>1</v>
      </c>
      <c r="CB22" s="12"/>
      <c r="CC22" s="12">
        <v>1</v>
      </c>
      <c r="CG22" s="12"/>
      <c r="CH22" s="12">
        <v>1</v>
      </c>
      <c r="CI22" s="12"/>
      <c r="CJ22" s="12">
        <v>1</v>
      </c>
      <c r="CN22" s="12"/>
      <c r="CO22" s="12">
        <v>1</v>
      </c>
      <c r="CP22" s="12"/>
      <c r="CQ22" s="12">
        <v>1</v>
      </c>
      <c r="CT22">
        <v>3</v>
      </c>
      <c r="CU22" s="12"/>
      <c r="CV22" s="12">
        <v>1</v>
      </c>
      <c r="CW22" s="12"/>
      <c r="CX22" s="12">
        <v>1</v>
      </c>
      <c r="DB22" s="12"/>
      <c r="DC22" s="12">
        <v>1</v>
      </c>
      <c r="DD22" s="12"/>
      <c r="DE22" s="12">
        <v>1</v>
      </c>
    </row>
    <row r="23" spans="2:109" outlineLevel="1">
      <c r="B23" t="s">
        <v>28</v>
      </c>
      <c r="C23" t="s">
        <v>94</v>
      </c>
      <c r="E23" s="11"/>
      <c r="F23" t="s">
        <v>63</v>
      </c>
      <c r="G23" s="12">
        <v>0.1</v>
      </c>
      <c r="I23" s="11">
        <f t="shared" si="1"/>
        <v>18</v>
      </c>
      <c r="J23" s="13" cm="1">
        <f t="array" ref="J23">MAX(IF($N$3:$EH$3=$J$3,N23:EH23))</f>
        <v>0</v>
      </c>
      <c r="K23" s="13" cm="1">
        <f t="array" ref="K23">MAX(IF($N$3:$EH$3=$J$3,N23:EH23))</f>
        <v>0</v>
      </c>
      <c r="L23" s="11"/>
      <c r="O23" s="12"/>
      <c r="P23" s="12"/>
      <c r="Q23" s="12"/>
      <c r="R23" s="12"/>
      <c r="U23">
        <v>5</v>
      </c>
      <c r="V23" s="12"/>
      <c r="W23" s="12">
        <v>0.5</v>
      </c>
      <c r="X23" s="12"/>
      <c r="Y23" s="12">
        <v>0.5</v>
      </c>
      <c r="AC23" s="12"/>
      <c r="AD23" s="12">
        <v>0.5</v>
      </c>
      <c r="AE23" s="12"/>
      <c r="AF23" s="12">
        <v>0.5</v>
      </c>
      <c r="AJ23" s="12"/>
      <c r="AK23" s="12">
        <v>0.5</v>
      </c>
      <c r="AL23" s="12"/>
      <c r="AM23" s="12">
        <v>0.5</v>
      </c>
      <c r="AP23">
        <v>5</v>
      </c>
      <c r="AQ23" s="12"/>
      <c r="AR23" s="12">
        <v>0.8</v>
      </c>
      <c r="AS23" s="12"/>
      <c r="AT23" s="12">
        <v>0.8</v>
      </c>
      <c r="AX23" s="12"/>
      <c r="AY23" s="12">
        <v>0.8</v>
      </c>
      <c r="AZ23" s="12"/>
      <c r="BA23" s="12">
        <v>0.8</v>
      </c>
      <c r="BE23" s="12"/>
      <c r="BF23" s="12">
        <v>0.8</v>
      </c>
      <c r="BG23" s="12"/>
      <c r="BH23" s="12">
        <v>0.8</v>
      </c>
      <c r="BL23" s="12"/>
      <c r="BM23" s="12">
        <v>0.8</v>
      </c>
      <c r="BN23" s="12"/>
      <c r="BO23" s="12">
        <v>0.8</v>
      </c>
      <c r="BR23">
        <v>5</v>
      </c>
      <c r="BS23" s="12"/>
      <c r="BT23" s="12">
        <v>1</v>
      </c>
      <c r="BU23" s="12"/>
      <c r="BV23" s="12">
        <v>1</v>
      </c>
      <c r="BZ23" s="12"/>
      <c r="CA23" s="12">
        <v>1</v>
      </c>
      <c r="CB23" s="12"/>
      <c r="CC23" s="12">
        <v>1</v>
      </c>
      <c r="CG23" s="12"/>
      <c r="CH23" s="12">
        <v>1</v>
      </c>
      <c r="CI23" s="12"/>
      <c r="CJ23" s="12">
        <v>1</v>
      </c>
      <c r="CN23" s="12"/>
      <c r="CO23" s="12">
        <v>1</v>
      </c>
      <c r="CP23" s="12"/>
      <c r="CQ23" s="12">
        <v>1</v>
      </c>
      <c r="CT23">
        <v>3</v>
      </c>
      <c r="CU23" s="12"/>
      <c r="CV23" s="12">
        <v>1</v>
      </c>
      <c r="CW23" s="12"/>
      <c r="CX23" s="12">
        <v>1</v>
      </c>
      <c r="DB23" s="12"/>
      <c r="DC23" s="12">
        <v>1</v>
      </c>
      <c r="DD23" s="12"/>
      <c r="DE23" s="12">
        <v>1</v>
      </c>
    </row>
    <row r="24" spans="2:109" outlineLevel="1">
      <c r="B24" t="s">
        <v>28</v>
      </c>
      <c r="C24" t="s">
        <v>94</v>
      </c>
      <c r="E24" s="11"/>
      <c r="F24" t="s">
        <v>110</v>
      </c>
      <c r="G24" s="12">
        <v>3.3000000000000002E-2</v>
      </c>
      <c r="I24" s="11">
        <f t="shared" si="1"/>
        <v>18</v>
      </c>
      <c r="J24" s="13" cm="1">
        <f t="array" ref="J24">MAX(IF($N$3:$EH$3=$J$3,N24:EH24))</f>
        <v>0</v>
      </c>
      <c r="K24" s="13">
        <v>0</v>
      </c>
      <c r="L24" s="11"/>
      <c r="O24" s="12"/>
      <c r="P24" s="12"/>
      <c r="Q24" s="12"/>
      <c r="R24" s="12"/>
      <c r="U24">
        <v>5</v>
      </c>
      <c r="V24" s="12"/>
      <c r="W24" s="12">
        <v>0.5</v>
      </c>
      <c r="X24" s="12"/>
      <c r="Y24" s="12">
        <v>0.5</v>
      </c>
      <c r="AC24" s="12"/>
      <c r="AD24" s="12">
        <v>0.5</v>
      </c>
      <c r="AE24" s="12"/>
      <c r="AF24" s="12">
        <v>0.5</v>
      </c>
      <c r="AJ24" s="12"/>
      <c r="AK24" s="12">
        <v>0.5</v>
      </c>
      <c r="AL24" s="12"/>
      <c r="AM24" s="12">
        <v>0.5</v>
      </c>
      <c r="AQ24" s="12"/>
      <c r="AR24" s="12">
        <v>0.5</v>
      </c>
      <c r="AS24" s="12"/>
      <c r="AT24" s="12">
        <v>0.5</v>
      </c>
      <c r="AW24">
        <v>5</v>
      </c>
      <c r="AX24" s="12"/>
      <c r="AY24" s="12">
        <v>0.8</v>
      </c>
      <c r="AZ24" s="12"/>
      <c r="BA24" s="12">
        <v>0.8</v>
      </c>
      <c r="BE24" s="12"/>
      <c r="BF24" s="12">
        <v>0.8</v>
      </c>
      <c r="BG24" s="12"/>
      <c r="BH24" s="12">
        <v>0.8</v>
      </c>
      <c r="BL24" s="12"/>
      <c r="BM24" s="12">
        <v>0.8</v>
      </c>
      <c r="BN24" s="12"/>
      <c r="BO24" s="12">
        <v>0.8</v>
      </c>
      <c r="BS24" s="12"/>
      <c r="BT24" s="12">
        <v>0.8</v>
      </c>
      <c r="BU24" s="12"/>
      <c r="BV24" s="12">
        <v>0.8</v>
      </c>
      <c r="BY24">
        <v>5</v>
      </c>
      <c r="BZ24" s="12"/>
      <c r="CA24" s="12">
        <v>1</v>
      </c>
      <c r="CB24" s="12"/>
      <c r="CC24" s="12">
        <v>1</v>
      </c>
      <c r="CG24" s="12"/>
      <c r="CH24" s="12">
        <v>1</v>
      </c>
      <c r="CI24" s="12"/>
      <c r="CJ24" s="12">
        <v>1</v>
      </c>
      <c r="CN24" s="12"/>
      <c r="CO24" s="12">
        <v>1</v>
      </c>
      <c r="CP24" s="12"/>
      <c r="CQ24" s="12">
        <v>1</v>
      </c>
      <c r="CT24">
        <v>3</v>
      </c>
      <c r="CU24" s="12"/>
      <c r="CV24" s="12">
        <v>1</v>
      </c>
      <c r="CW24" s="12"/>
      <c r="CX24" s="12">
        <v>1</v>
      </c>
      <c r="DB24" s="12"/>
      <c r="DC24" s="12">
        <v>1</v>
      </c>
      <c r="DD24" s="12"/>
      <c r="DE24" s="12">
        <v>1</v>
      </c>
    </row>
    <row r="25" spans="2:109" outlineLevel="1">
      <c r="B25" t="s">
        <v>28</v>
      </c>
      <c r="C25" t="s">
        <v>94</v>
      </c>
      <c r="E25" s="11"/>
      <c r="F25" t="s">
        <v>111</v>
      </c>
      <c r="G25" s="12">
        <v>3.3000000000000002E-2</v>
      </c>
      <c r="I25" s="11">
        <f t="shared" si="1"/>
        <v>18</v>
      </c>
      <c r="J25" s="13" cm="1">
        <f t="array" ref="J25">MAX(IF($N$3:$EH$3=$J$3,N25:EH25))</f>
        <v>0</v>
      </c>
      <c r="K25" s="13">
        <v>0</v>
      </c>
      <c r="L25" s="11"/>
      <c r="O25" s="12"/>
      <c r="P25" s="12"/>
      <c r="Q25" s="12"/>
      <c r="R25" s="12"/>
      <c r="U25">
        <v>5</v>
      </c>
      <c r="V25" s="12"/>
      <c r="W25" s="12">
        <v>0.5</v>
      </c>
      <c r="X25" s="12"/>
      <c r="Y25" s="12">
        <v>0.5</v>
      </c>
      <c r="AC25" s="12"/>
      <c r="AD25" s="12">
        <v>0.5</v>
      </c>
      <c r="AE25" s="12"/>
      <c r="AF25" s="12">
        <v>0.5</v>
      </c>
      <c r="AJ25" s="12"/>
      <c r="AK25" s="12">
        <v>0.5</v>
      </c>
      <c r="AL25" s="12"/>
      <c r="AM25" s="12">
        <v>0.5</v>
      </c>
      <c r="AQ25" s="12"/>
      <c r="AR25" s="12">
        <v>0.5</v>
      </c>
      <c r="AS25" s="12"/>
      <c r="AT25" s="12">
        <v>0.5</v>
      </c>
      <c r="AW25">
        <v>5</v>
      </c>
      <c r="AX25" s="12"/>
      <c r="AY25" s="12">
        <v>0.8</v>
      </c>
      <c r="AZ25" s="12"/>
      <c r="BA25" s="12">
        <v>0.8</v>
      </c>
      <c r="BE25" s="12"/>
      <c r="BF25" s="12">
        <v>0.8</v>
      </c>
      <c r="BG25" s="12"/>
      <c r="BH25" s="12">
        <v>0.8</v>
      </c>
      <c r="BL25" s="12"/>
      <c r="BM25" s="12">
        <v>0.8</v>
      </c>
      <c r="BN25" s="12"/>
      <c r="BO25" s="12">
        <v>0.8</v>
      </c>
      <c r="BS25" s="12"/>
      <c r="BT25" s="12">
        <v>0.8</v>
      </c>
      <c r="BU25" s="12"/>
      <c r="BV25" s="12">
        <v>0.8</v>
      </c>
      <c r="BY25">
        <v>5</v>
      </c>
      <c r="BZ25" s="12"/>
      <c r="CA25" s="12">
        <v>1</v>
      </c>
      <c r="CB25" s="12"/>
      <c r="CC25" s="12">
        <v>1</v>
      </c>
      <c r="CG25" s="12"/>
      <c r="CH25" s="12">
        <v>1</v>
      </c>
      <c r="CI25" s="12"/>
      <c r="CJ25" s="12">
        <v>1</v>
      </c>
      <c r="CN25" s="12"/>
      <c r="CO25" s="12">
        <v>1</v>
      </c>
      <c r="CP25" s="12"/>
      <c r="CQ25" s="12">
        <v>1</v>
      </c>
      <c r="CT25">
        <v>3</v>
      </c>
      <c r="CU25" s="12"/>
      <c r="CV25" s="12">
        <v>1</v>
      </c>
      <c r="CW25" s="12"/>
      <c r="CX25" s="12">
        <v>1</v>
      </c>
      <c r="DB25" s="12"/>
      <c r="DC25" s="12">
        <v>1</v>
      </c>
      <c r="DD25" s="12"/>
      <c r="DE25" s="12">
        <v>1</v>
      </c>
    </row>
    <row r="26" spans="2:109" outlineLevel="1">
      <c r="B26" t="s">
        <v>28</v>
      </c>
      <c r="C26" t="s">
        <v>94</v>
      </c>
      <c r="E26" s="11"/>
      <c r="F26" t="s">
        <v>112</v>
      </c>
      <c r="G26" s="12">
        <v>3.3000000000000002E-2</v>
      </c>
      <c r="I26" s="11">
        <f t="shared" si="1"/>
        <v>18</v>
      </c>
      <c r="J26" s="13" cm="1">
        <f t="array" ref="J26">MAX(IF($N$3:$EH$3=$J$3,N26:EH26))</f>
        <v>0</v>
      </c>
      <c r="K26" s="13">
        <v>0</v>
      </c>
      <c r="L26" s="11"/>
      <c r="O26" s="12"/>
      <c r="P26" s="12"/>
      <c r="Q26" s="12"/>
      <c r="R26" s="12"/>
      <c r="V26" s="12"/>
      <c r="W26" s="12"/>
      <c r="X26" s="12"/>
      <c r="Y26" s="12"/>
      <c r="AB26">
        <v>5</v>
      </c>
      <c r="AC26" s="12"/>
      <c r="AD26" s="12">
        <v>0.5</v>
      </c>
      <c r="AE26" s="12"/>
      <c r="AF26" s="12">
        <v>0.5</v>
      </c>
      <c r="AJ26" s="12"/>
      <c r="AK26" s="12">
        <v>0.5</v>
      </c>
      <c r="AL26" s="12"/>
      <c r="AM26" s="12">
        <v>0.5</v>
      </c>
      <c r="AQ26" s="12"/>
      <c r="AR26" s="12">
        <v>0.5</v>
      </c>
      <c r="AS26" s="12"/>
      <c r="AT26" s="12">
        <v>0.5</v>
      </c>
      <c r="AW26">
        <v>5</v>
      </c>
      <c r="AX26" s="12"/>
      <c r="AY26" s="12">
        <v>0.8</v>
      </c>
      <c r="AZ26" s="12"/>
      <c r="BA26" s="12">
        <v>0.8</v>
      </c>
      <c r="BE26" s="12"/>
      <c r="BF26" s="12">
        <v>0.8</v>
      </c>
      <c r="BG26" s="12"/>
      <c r="BH26" s="12">
        <v>0.8</v>
      </c>
      <c r="BL26" s="12"/>
      <c r="BM26" s="12">
        <v>0.8</v>
      </c>
      <c r="BN26" s="12"/>
      <c r="BO26" s="12">
        <v>0.8</v>
      </c>
      <c r="BS26" s="12"/>
      <c r="BT26" s="12">
        <v>0.8</v>
      </c>
      <c r="BU26" s="12"/>
      <c r="BV26" s="12">
        <v>0.8</v>
      </c>
      <c r="BY26">
        <v>5</v>
      </c>
      <c r="BZ26" s="12"/>
      <c r="CA26" s="12">
        <v>1</v>
      </c>
      <c r="CB26" s="12"/>
      <c r="CC26" s="12">
        <v>1</v>
      </c>
      <c r="CG26" s="12"/>
      <c r="CH26" s="12">
        <v>1</v>
      </c>
      <c r="CI26" s="12"/>
      <c r="CJ26" s="12">
        <v>1</v>
      </c>
      <c r="CN26" s="12"/>
      <c r="CO26" s="12">
        <v>1</v>
      </c>
      <c r="CP26" s="12"/>
      <c r="CQ26" s="12">
        <v>1</v>
      </c>
      <c r="CT26">
        <v>3</v>
      </c>
      <c r="CU26" s="12"/>
      <c r="CV26" s="12">
        <v>1</v>
      </c>
      <c r="CW26" s="12"/>
      <c r="CX26" s="12">
        <v>1</v>
      </c>
      <c r="DB26" s="12"/>
      <c r="DC26" s="12">
        <v>1</v>
      </c>
      <c r="DD26" s="12"/>
      <c r="DE26" s="12">
        <v>1</v>
      </c>
    </row>
    <row r="27" spans="2:109" outlineLevel="1">
      <c r="B27" t="s">
        <v>28</v>
      </c>
      <c r="C27" t="s">
        <v>94</v>
      </c>
      <c r="E27" s="11"/>
      <c r="F27" t="s">
        <v>64</v>
      </c>
      <c r="G27" s="12">
        <v>0.1</v>
      </c>
      <c r="I27" s="11">
        <f t="shared" ref="I27:I30" si="2">+SUMIF($N$3:$ZZ$3,I$3,$N27:$ZZ27)</f>
        <v>18</v>
      </c>
      <c r="J27" s="13" cm="1">
        <f t="array" ref="J27">MAX(IF($N$3:$EH$3=$J$3,N27:EH27))</f>
        <v>0</v>
      </c>
      <c r="K27" s="13" cm="1">
        <f t="array" ref="K27">MAX(IF($N$3:$EH$3=$J$3,N27:EH27))</f>
        <v>0</v>
      </c>
      <c r="L27" s="11"/>
      <c r="O27" s="12"/>
      <c r="P27" s="12"/>
      <c r="Q27" s="12"/>
      <c r="R27" s="12"/>
      <c r="V27" s="12"/>
      <c r="W27" s="12"/>
      <c r="X27" s="12"/>
      <c r="Y27" s="12"/>
      <c r="AB27">
        <v>5</v>
      </c>
      <c r="AC27" s="12"/>
      <c r="AD27" s="12">
        <v>0.5</v>
      </c>
      <c r="AE27" s="12"/>
      <c r="AF27" s="12">
        <v>0.5</v>
      </c>
      <c r="AJ27" s="12"/>
      <c r="AK27" s="12">
        <v>0.5</v>
      </c>
      <c r="AL27" s="12"/>
      <c r="AM27" s="12">
        <v>0.5</v>
      </c>
      <c r="AQ27" s="12"/>
      <c r="AR27" s="12">
        <v>0.5</v>
      </c>
      <c r="AS27" s="12"/>
      <c r="AT27" s="12">
        <v>0.5</v>
      </c>
      <c r="AX27" s="12"/>
      <c r="AY27" s="12">
        <v>0.5</v>
      </c>
      <c r="AZ27" s="12"/>
      <c r="BA27" s="12">
        <v>0.5</v>
      </c>
      <c r="BD27">
        <v>5</v>
      </c>
      <c r="BE27" s="12"/>
      <c r="BF27" s="12">
        <v>0.8</v>
      </c>
      <c r="BG27" s="12"/>
      <c r="BH27" s="12">
        <v>0.8</v>
      </c>
      <c r="BL27" s="12"/>
      <c r="BM27" s="12">
        <v>0.8</v>
      </c>
      <c r="BN27" s="12"/>
      <c r="BO27" s="12">
        <v>0.8</v>
      </c>
      <c r="BS27" s="12"/>
      <c r="BT27" s="12">
        <v>0.8</v>
      </c>
      <c r="BU27" s="12"/>
      <c r="BV27" s="12">
        <v>0.8</v>
      </c>
      <c r="BZ27" s="12"/>
      <c r="CA27" s="12">
        <v>0.8</v>
      </c>
      <c r="CB27" s="12"/>
      <c r="CC27" s="12">
        <v>0.8</v>
      </c>
      <c r="CF27">
        <v>5</v>
      </c>
      <c r="CG27" s="12"/>
      <c r="CH27" s="12">
        <v>1</v>
      </c>
      <c r="CI27" s="12"/>
      <c r="CJ27" s="12">
        <v>1</v>
      </c>
      <c r="CN27" s="12"/>
      <c r="CO27" s="12">
        <v>1</v>
      </c>
      <c r="CP27" s="12"/>
      <c r="CQ27" s="12">
        <v>1</v>
      </c>
      <c r="CU27" s="12"/>
      <c r="CV27" s="12">
        <v>1</v>
      </c>
      <c r="CW27" s="12"/>
      <c r="CX27" s="12">
        <v>1</v>
      </c>
      <c r="DA27">
        <v>3</v>
      </c>
      <c r="DB27" s="12"/>
      <c r="DC27" s="12">
        <v>1</v>
      </c>
      <c r="DD27" s="12"/>
      <c r="DE27" s="12">
        <v>1</v>
      </c>
    </row>
    <row r="28" spans="2:109" outlineLevel="1">
      <c r="B28" t="s">
        <v>28</v>
      </c>
      <c r="C28" t="s">
        <v>94</v>
      </c>
      <c r="E28" s="11"/>
      <c r="F28" t="s">
        <v>65</v>
      </c>
      <c r="G28" s="12">
        <v>0.1</v>
      </c>
      <c r="I28" s="11">
        <f t="shared" si="2"/>
        <v>18</v>
      </c>
      <c r="J28" s="13" cm="1">
        <f t="array" ref="J28">MAX(IF($N$3:$EH$3=$J$3,N28:EH28))</f>
        <v>0</v>
      </c>
      <c r="K28" s="13" cm="1">
        <f t="array" ref="K28">MAX(IF($N$3:$EH$3=$J$3,N28:EH28))</f>
        <v>0</v>
      </c>
      <c r="L28" s="11"/>
      <c r="O28" s="12"/>
      <c r="P28" s="12"/>
      <c r="Q28" s="12"/>
      <c r="R28" s="12"/>
      <c r="V28" s="12"/>
      <c r="W28" s="12"/>
      <c r="X28" s="12"/>
      <c r="Y28" s="12"/>
      <c r="AC28" s="12"/>
      <c r="AD28" s="12"/>
      <c r="AE28" s="12"/>
      <c r="AF28" s="12"/>
      <c r="AI28">
        <v>5</v>
      </c>
      <c r="AJ28" s="12"/>
      <c r="AK28" s="12">
        <v>0.5</v>
      </c>
      <c r="AL28" s="12"/>
      <c r="AM28" s="12">
        <v>0.5</v>
      </c>
      <c r="AQ28" s="12"/>
      <c r="AR28" s="12">
        <v>0.5</v>
      </c>
      <c r="AS28" s="12"/>
      <c r="AT28" s="12">
        <v>0.5</v>
      </c>
      <c r="AX28" s="12"/>
      <c r="AY28" s="12">
        <v>0.5</v>
      </c>
      <c r="AZ28" s="12"/>
      <c r="BA28" s="12">
        <v>0.5</v>
      </c>
      <c r="BD28">
        <v>5</v>
      </c>
      <c r="BE28" s="12"/>
      <c r="BF28" s="12">
        <v>0.8</v>
      </c>
      <c r="BG28" s="12"/>
      <c r="BH28" s="12">
        <v>0.8</v>
      </c>
      <c r="BL28" s="12"/>
      <c r="BM28" s="12">
        <v>0.8</v>
      </c>
      <c r="BN28" s="12"/>
      <c r="BO28" s="12">
        <v>0.8</v>
      </c>
      <c r="BS28" s="12"/>
      <c r="BT28" s="12">
        <v>0.8</v>
      </c>
      <c r="BU28" s="12"/>
      <c r="BV28" s="12">
        <v>0.8</v>
      </c>
      <c r="BZ28" s="12"/>
      <c r="CA28" s="12">
        <v>0.8</v>
      </c>
      <c r="CB28" s="12"/>
      <c r="CC28" s="12">
        <v>0.8</v>
      </c>
      <c r="CF28">
        <v>5</v>
      </c>
      <c r="CG28" s="12"/>
      <c r="CH28" s="12">
        <v>1</v>
      </c>
      <c r="CI28" s="12"/>
      <c r="CJ28" s="12">
        <v>1</v>
      </c>
      <c r="CN28" s="12"/>
      <c r="CO28" s="12">
        <v>1</v>
      </c>
      <c r="CP28" s="12"/>
      <c r="CQ28" s="12">
        <v>1</v>
      </c>
      <c r="CU28" s="12"/>
      <c r="CV28" s="12">
        <v>1</v>
      </c>
      <c r="CW28" s="12"/>
      <c r="CX28" s="12">
        <v>1</v>
      </c>
      <c r="DA28">
        <v>3</v>
      </c>
      <c r="DB28" s="12"/>
      <c r="DC28" s="12">
        <v>1</v>
      </c>
      <c r="DD28" s="12"/>
      <c r="DE28" s="12">
        <v>1</v>
      </c>
    </row>
    <row r="29" spans="2:109" outlineLevel="1">
      <c r="B29" t="s">
        <v>28</v>
      </c>
      <c r="C29" t="s">
        <v>94</v>
      </c>
      <c r="E29" s="11"/>
      <c r="F29" t="s">
        <v>66</v>
      </c>
      <c r="G29" s="12">
        <v>0.1</v>
      </c>
      <c r="I29" s="11">
        <f t="shared" si="2"/>
        <v>18</v>
      </c>
      <c r="J29" s="13" cm="1">
        <f t="array" ref="J29">MAX(IF($N$3:$EH$3=$J$3,N29:EH29))</f>
        <v>0</v>
      </c>
      <c r="K29" s="13" cm="1">
        <f t="array" ref="K29">MAX(IF($N$3:$EH$3=$J$3,N29:EH29))</f>
        <v>0</v>
      </c>
      <c r="L29" s="11"/>
      <c r="O29" s="12"/>
      <c r="P29" s="12"/>
      <c r="Q29" s="12"/>
      <c r="R29" s="12"/>
      <c r="V29" s="12"/>
      <c r="W29" s="12"/>
      <c r="X29" s="12"/>
      <c r="Y29" s="12"/>
      <c r="AC29" s="12"/>
      <c r="AD29" s="12"/>
      <c r="AE29" s="12"/>
      <c r="AF29" s="12"/>
      <c r="AI29">
        <v>5</v>
      </c>
      <c r="AJ29" s="12"/>
      <c r="AK29" s="12">
        <v>0.5</v>
      </c>
      <c r="AL29" s="12"/>
      <c r="AM29" s="12">
        <v>0.5</v>
      </c>
      <c r="AQ29" s="12"/>
      <c r="AR29" s="12">
        <v>0.5</v>
      </c>
      <c r="AS29" s="12"/>
      <c r="AT29" s="12">
        <v>0.5</v>
      </c>
      <c r="AX29" s="12"/>
      <c r="AY29" s="12">
        <v>0.5</v>
      </c>
      <c r="AZ29" s="12"/>
      <c r="BA29" s="12">
        <v>0.5</v>
      </c>
      <c r="BD29">
        <v>5</v>
      </c>
      <c r="BE29" s="12"/>
      <c r="BF29" s="12">
        <v>0.8</v>
      </c>
      <c r="BG29" s="12"/>
      <c r="BH29" s="12">
        <v>0.8</v>
      </c>
      <c r="BL29" s="12"/>
      <c r="BM29" s="12">
        <v>0.8</v>
      </c>
      <c r="BN29" s="12"/>
      <c r="BO29" s="12">
        <v>0.8</v>
      </c>
      <c r="BS29" s="12"/>
      <c r="BT29" s="12">
        <v>0.8</v>
      </c>
      <c r="BU29" s="12"/>
      <c r="BV29" s="12">
        <v>0.8</v>
      </c>
      <c r="BZ29" s="12"/>
      <c r="CA29" s="12">
        <v>0.8</v>
      </c>
      <c r="CB29" s="12"/>
      <c r="CC29" s="12">
        <v>0.8</v>
      </c>
      <c r="CF29">
        <v>5</v>
      </c>
      <c r="CG29" s="12"/>
      <c r="CH29" s="12">
        <v>1</v>
      </c>
      <c r="CI29" s="12"/>
      <c r="CJ29" s="12">
        <v>1</v>
      </c>
      <c r="CN29" s="12"/>
      <c r="CO29" s="12">
        <v>1</v>
      </c>
      <c r="CP29" s="12"/>
      <c r="CQ29" s="12">
        <v>1</v>
      </c>
      <c r="CU29" s="12"/>
      <c r="CV29" s="12">
        <v>1</v>
      </c>
      <c r="CW29" s="12"/>
      <c r="CX29" s="12">
        <v>1</v>
      </c>
      <c r="DA29">
        <v>3</v>
      </c>
      <c r="DB29" s="12"/>
      <c r="DC29" s="12">
        <v>1</v>
      </c>
      <c r="DD29" s="12"/>
      <c r="DE29" s="12">
        <v>1</v>
      </c>
    </row>
    <row r="30" spans="2:109" outlineLevel="1">
      <c r="B30" t="s">
        <v>28</v>
      </c>
      <c r="C30" t="s">
        <v>94</v>
      </c>
      <c r="E30" s="11"/>
      <c r="F30" t="s">
        <v>67</v>
      </c>
      <c r="G30" s="12">
        <v>0.1</v>
      </c>
      <c r="I30" s="11">
        <f t="shared" si="2"/>
        <v>23</v>
      </c>
      <c r="J30" s="13" cm="1">
        <f t="array" ref="J30">MAX(IF($N$3:$EH$3=$J$3,N30:EH30))</f>
        <v>0</v>
      </c>
      <c r="K30" s="13" cm="1">
        <f t="array" ref="K30">MAX(IF($N$3:$EH$3=$J$3,N30:EH30))</f>
        <v>0</v>
      </c>
      <c r="L30" s="11"/>
      <c r="O30" s="12"/>
      <c r="P30" s="12"/>
      <c r="Q30" s="12"/>
      <c r="R30" s="12"/>
      <c r="V30" s="12"/>
      <c r="W30" s="12"/>
      <c r="X30" s="12"/>
      <c r="Y30" s="12"/>
      <c r="AC30" s="12"/>
      <c r="AD30" s="12"/>
      <c r="AE30" s="12"/>
      <c r="AF30" s="12"/>
      <c r="AJ30" s="12"/>
      <c r="AK30" s="12"/>
      <c r="AL30" s="12"/>
      <c r="AM30" s="12"/>
      <c r="AP30">
        <v>5</v>
      </c>
      <c r="AQ30" s="12"/>
      <c r="AR30" s="12">
        <v>0.5</v>
      </c>
      <c r="AS30" s="12"/>
      <c r="AT30" s="12">
        <v>0.5</v>
      </c>
      <c r="AX30" s="12"/>
      <c r="AY30" s="12">
        <v>0.5</v>
      </c>
      <c r="AZ30" s="12"/>
      <c r="BA30" s="12">
        <v>0.5</v>
      </c>
      <c r="BE30" s="12"/>
      <c r="BF30" s="12">
        <v>0.5</v>
      </c>
      <c r="BG30" s="12"/>
      <c r="BH30" s="12">
        <v>0.5</v>
      </c>
      <c r="BK30">
        <v>5</v>
      </c>
      <c r="BL30" s="12"/>
      <c r="BM30" s="12">
        <v>0.8</v>
      </c>
      <c r="BN30" s="12"/>
      <c r="BO30" s="12">
        <v>0.8</v>
      </c>
      <c r="BR30">
        <v>5</v>
      </c>
      <c r="BS30" s="12"/>
      <c r="BT30" s="12">
        <v>0.8</v>
      </c>
      <c r="BU30" s="12"/>
      <c r="BV30" s="12">
        <v>0.8</v>
      </c>
      <c r="BZ30" s="12"/>
      <c r="CA30" s="12">
        <v>0.8</v>
      </c>
      <c r="CB30" s="12"/>
      <c r="CC30" s="12">
        <v>0.8</v>
      </c>
      <c r="CG30" s="12"/>
      <c r="CH30" s="12">
        <v>0.8</v>
      </c>
      <c r="CI30" s="12"/>
      <c r="CJ30" s="12">
        <v>0.8</v>
      </c>
      <c r="CM30">
        <v>5</v>
      </c>
      <c r="CN30" s="12"/>
      <c r="CO30" s="12">
        <v>1</v>
      </c>
      <c r="CP30" s="12"/>
      <c r="CQ30" s="12">
        <v>1</v>
      </c>
      <c r="CU30" s="12"/>
      <c r="CV30" s="12">
        <v>1</v>
      </c>
      <c r="CW30" s="12"/>
      <c r="CX30" s="12">
        <v>1</v>
      </c>
      <c r="DA30">
        <v>3</v>
      </c>
      <c r="DB30" s="12"/>
      <c r="DC30" s="12">
        <v>1</v>
      </c>
      <c r="DD30" s="12"/>
      <c r="DE30" s="12">
        <v>1</v>
      </c>
    </row>
    <row r="32" spans="2:109">
      <c r="B32" t="s">
        <v>27</v>
      </c>
      <c r="C32" t="s">
        <v>52</v>
      </c>
      <c r="E32" s="11">
        <v>5</v>
      </c>
      <c r="G32" s="12">
        <f>+SUM(G33:G45)</f>
        <v>1.0000000000000002</v>
      </c>
      <c r="I32" s="14">
        <f>+SUM(I33:I45)</f>
        <v>117</v>
      </c>
      <c r="J32" s="13">
        <f>+SUMPRODUCT(G33:G45,J33:J45)</f>
        <v>0.2</v>
      </c>
      <c r="K32" s="13">
        <f>+SUMPRODUCT(G33:G45,K33:K45)</f>
        <v>0.2</v>
      </c>
      <c r="L32" s="11"/>
      <c r="N32" s="14">
        <f>+SUM(N33:N45)</f>
        <v>8</v>
      </c>
      <c r="U32" s="14">
        <f>+SUM(U33:U45)</f>
        <v>8</v>
      </c>
      <c r="AB32" s="14">
        <f>+SUM(AB33:AB45)</f>
        <v>8</v>
      </c>
      <c r="AI32" s="14">
        <f>+SUM(AI33:AI45)</f>
        <v>8</v>
      </c>
      <c r="AP32" s="14">
        <f>+SUM(AP33:AP45)</f>
        <v>9</v>
      </c>
      <c r="AW32" s="14">
        <f>+SUM(AW33:AW45)</f>
        <v>8</v>
      </c>
      <c r="BD32" s="14">
        <f>+SUM(BD33:BD45)</f>
        <v>8</v>
      </c>
      <c r="BK32" s="14">
        <f>+SUM(BK33:BK45)</f>
        <v>8</v>
      </c>
      <c r="BR32" s="14">
        <f>+SUM(BR33:BR45)</f>
        <v>10</v>
      </c>
      <c r="BY32" s="14">
        <f>+SUM(BY33:BY45)</f>
        <v>8</v>
      </c>
      <c r="CF32" s="14">
        <f>+SUM(CF33:CF45)</f>
        <v>8</v>
      </c>
      <c r="CM32" s="14">
        <f>+SUM(CM33:CM45)</f>
        <v>8</v>
      </c>
      <c r="CT32" s="14">
        <f>+SUM(CT33:CT45)</f>
        <v>9</v>
      </c>
      <c r="DA32" s="14">
        <f>+SUM(DA33:DA45)</f>
        <v>9</v>
      </c>
    </row>
    <row r="33" spans="2:109" outlineLevel="1">
      <c r="B33" t="s">
        <v>28</v>
      </c>
      <c r="C33" t="s">
        <v>95</v>
      </c>
      <c r="E33" s="11"/>
      <c r="F33" t="s">
        <v>77</v>
      </c>
      <c r="G33" s="12">
        <v>0.1</v>
      </c>
      <c r="I33" s="11">
        <f t="shared" ref="I33:I45" si="3">+SUMIF($N$3:$ZZ$3,I$3,$N33:$ZZ33)</f>
        <v>11</v>
      </c>
      <c r="J33" s="13" cm="1">
        <f t="array" ref="J33">MAX(IF($N$3:$EH$3=$J$3,N33:EH33))</f>
        <v>0.5</v>
      </c>
      <c r="K33" s="13" cm="1">
        <f t="array" ref="K33">MAX(IF($N$3:$EH$3=$J$3,N33:EH33))</f>
        <v>0.5</v>
      </c>
      <c r="L33" s="11"/>
      <c r="N33">
        <v>2</v>
      </c>
      <c r="O33" s="12">
        <v>0.5</v>
      </c>
      <c r="P33" s="12">
        <v>0.5</v>
      </c>
      <c r="Q33" s="12">
        <v>0.5</v>
      </c>
      <c r="R33" s="12">
        <v>0.5</v>
      </c>
      <c r="V33" s="12"/>
      <c r="W33" s="12">
        <v>0.5</v>
      </c>
      <c r="X33" s="12"/>
      <c r="Y33" s="12">
        <v>0.5</v>
      </c>
      <c r="AC33" s="12"/>
      <c r="AD33" s="12">
        <v>0.5</v>
      </c>
      <c r="AE33" s="12"/>
      <c r="AF33" s="12">
        <v>0.5</v>
      </c>
      <c r="AJ33" s="12"/>
      <c r="AK33" s="12">
        <v>0.5</v>
      </c>
      <c r="AL33" s="12"/>
      <c r="AM33" s="12">
        <v>0.5</v>
      </c>
      <c r="AP33">
        <v>3</v>
      </c>
      <c r="AQ33" s="12"/>
      <c r="AR33" s="12">
        <v>0.8</v>
      </c>
      <c r="AS33" s="12"/>
      <c r="AT33" s="12">
        <v>0.8</v>
      </c>
      <c r="AX33" s="12"/>
      <c r="AY33" s="12">
        <v>0.8</v>
      </c>
      <c r="AZ33" s="12"/>
      <c r="BA33" s="12">
        <v>0.8</v>
      </c>
      <c r="BE33" s="12"/>
      <c r="BF33" s="12">
        <v>0.8</v>
      </c>
      <c r="BG33" s="12"/>
      <c r="BH33" s="12">
        <v>0.8</v>
      </c>
      <c r="BL33" s="12"/>
      <c r="BM33" s="12">
        <v>0.8</v>
      </c>
      <c r="BN33" s="12"/>
      <c r="BO33" s="12">
        <v>0.8</v>
      </c>
      <c r="BR33">
        <v>4</v>
      </c>
      <c r="BS33" s="12"/>
      <c r="BT33" s="12">
        <v>1</v>
      </c>
      <c r="BU33" s="12"/>
      <c r="BV33" s="12">
        <v>1</v>
      </c>
      <c r="BZ33" s="12"/>
      <c r="CA33" s="12">
        <v>1</v>
      </c>
      <c r="CB33" s="12"/>
      <c r="CC33" s="12">
        <v>1</v>
      </c>
      <c r="CG33" s="12"/>
      <c r="CH33" s="12">
        <v>1</v>
      </c>
      <c r="CI33" s="12"/>
      <c r="CJ33" s="12">
        <v>1</v>
      </c>
      <c r="CN33" s="12"/>
      <c r="CO33" s="12">
        <v>1</v>
      </c>
      <c r="CP33" s="12"/>
      <c r="CQ33" s="12">
        <v>1</v>
      </c>
      <c r="CT33">
        <v>2</v>
      </c>
      <c r="CU33" s="12"/>
      <c r="CV33" s="12">
        <v>1</v>
      </c>
      <c r="CW33" s="12"/>
      <c r="CX33" s="12">
        <v>1</v>
      </c>
      <c r="DB33" s="12"/>
      <c r="DC33" s="12">
        <v>1</v>
      </c>
      <c r="DD33" s="12"/>
      <c r="DE33" s="12">
        <v>1</v>
      </c>
    </row>
    <row r="34" spans="2:109" outlineLevel="1">
      <c r="B34" t="s">
        <v>28</v>
      </c>
      <c r="C34" t="s">
        <v>95</v>
      </c>
      <c r="E34" s="11"/>
      <c r="F34" t="s">
        <v>78</v>
      </c>
      <c r="G34" s="12">
        <v>0.15</v>
      </c>
      <c r="I34" s="11">
        <f t="shared" si="3"/>
        <v>11</v>
      </c>
      <c r="J34" s="13" cm="1">
        <f t="array" ref="J34">MAX(IF($N$3:$EH$3=$J$3,N34:EH34))</f>
        <v>0.5</v>
      </c>
      <c r="K34" s="13" cm="1">
        <f t="array" ref="K34">MAX(IF($N$3:$EH$3=$J$3,N34:EH34))</f>
        <v>0.5</v>
      </c>
      <c r="L34" s="11"/>
      <c r="N34">
        <v>3</v>
      </c>
      <c r="O34" s="12">
        <v>0.5</v>
      </c>
      <c r="P34" s="12">
        <v>0.5</v>
      </c>
      <c r="Q34" s="12">
        <v>0.5</v>
      </c>
      <c r="R34" s="12">
        <v>0.5</v>
      </c>
      <c r="V34" s="12"/>
      <c r="W34" s="12">
        <v>0.5</v>
      </c>
      <c r="X34" s="12"/>
      <c r="Y34" s="12">
        <v>0.5</v>
      </c>
      <c r="AC34" s="12"/>
      <c r="AD34" s="12">
        <v>0.5</v>
      </c>
      <c r="AE34" s="12"/>
      <c r="AF34" s="12">
        <v>0.5</v>
      </c>
      <c r="AJ34" s="12"/>
      <c r="AK34" s="12">
        <v>0.5</v>
      </c>
      <c r="AL34" s="12"/>
      <c r="AM34" s="12">
        <v>0.5</v>
      </c>
      <c r="AP34">
        <v>3</v>
      </c>
      <c r="AQ34" s="12"/>
      <c r="AR34" s="12">
        <v>0.8</v>
      </c>
      <c r="AS34" s="12"/>
      <c r="AT34" s="12">
        <v>0.8</v>
      </c>
      <c r="AX34" s="12"/>
      <c r="AY34" s="12">
        <v>0.8</v>
      </c>
      <c r="AZ34" s="12"/>
      <c r="BA34" s="12">
        <v>0.8</v>
      </c>
      <c r="BE34" s="12"/>
      <c r="BF34" s="12">
        <v>0.8</v>
      </c>
      <c r="BG34" s="12"/>
      <c r="BH34" s="12">
        <v>0.8</v>
      </c>
      <c r="BL34" s="12"/>
      <c r="BM34" s="12">
        <v>0.8</v>
      </c>
      <c r="BN34" s="12"/>
      <c r="BO34" s="12">
        <v>0.8</v>
      </c>
      <c r="BR34">
        <v>3</v>
      </c>
      <c r="BS34" s="12"/>
      <c r="BT34" s="12">
        <v>1</v>
      </c>
      <c r="BU34" s="12"/>
      <c r="BV34" s="12">
        <v>1</v>
      </c>
      <c r="BZ34" s="12"/>
      <c r="CA34" s="12">
        <v>1</v>
      </c>
      <c r="CB34" s="12"/>
      <c r="CC34" s="12">
        <v>1</v>
      </c>
      <c r="CG34" s="12"/>
      <c r="CH34" s="12">
        <v>1</v>
      </c>
      <c r="CI34" s="12"/>
      <c r="CJ34" s="12">
        <v>1</v>
      </c>
      <c r="CN34" s="12"/>
      <c r="CO34" s="12">
        <v>1</v>
      </c>
      <c r="CP34" s="12"/>
      <c r="CQ34" s="12">
        <v>1</v>
      </c>
      <c r="CT34">
        <v>2</v>
      </c>
      <c r="CU34" s="12"/>
      <c r="CV34" s="12">
        <v>1</v>
      </c>
      <c r="CW34" s="12"/>
      <c r="CX34" s="12">
        <v>1</v>
      </c>
      <c r="DB34" s="12"/>
      <c r="DC34" s="12">
        <v>1</v>
      </c>
      <c r="DD34" s="12"/>
      <c r="DE34" s="12">
        <v>1</v>
      </c>
    </row>
    <row r="35" spans="2:109" outlineLevel="1">
      <c r="B35" t="s">
        <v>28</v>
      </c>
      <c r="C35" t="s">
        <v>95</v>
      </c>
      <c r="E35" s="11"/>
      <c r="F35" t="s">
        <v>79</v>
      </c>
      <c r="G35" s="12">
        <v>0.15</v>
      </c>
      <c r="I35" s="11">
        <f t="shared" si="3"/>
        <v>11</v>
      </c>
      <c r="J35" s="13" cm="1">
        <f t="array" ref="J35">MAX(IF($N$3:$EH$3=$J$3,N35:EH35))</f>
        <v>0.5</v>
      </c>
      <c r="K35" s="13" cm="1">
        <f t="array" ref="K35">MAX(IF($N$3:$EH$3=$J$3,N35:EH35))</f>
        <v>0.5</v>
      </c>
      <c r="L35" s="11"/>
      <c r="N35">
        <v>3</v>
      </c>
      <c r="O35" s="12">
        <v>0.5</v>
      </c>
      <c r="P35" s="12">
        <v>0.5</v>
      </c>
      <c r="Q35" s="12">
        <v>0.5</v>
      </c>
      <c r="R35" s="12">
        <v>0.5</v>
      </c>
      <c r="V35" s="12"/>
      <c r="W35" s="12">
        <v>0.5</v>
      </c>
      <c r="X35" s="12"/>
      <c r="Y35" s="12">
        <v>0.5</v>
      </c>
      <c r="AC35" s="12"/>
      <c r="AD35" s="12">
        <v>0.5</v>
      </c>
      <c r="AE35" s="12"/>
      <c r="AF35" s="12">
        <v>0.5</v>
      </c>
      <c r="AJ35" s="12"/>
      <c r="AK35" s="12">
        <v>0.5</v>
      </c>
      <c r="AL35" s="12"/>
      <c r="AM35" s="12">
        <v>0.5</v>
      </c>
      <c r="AP35">
        <v>3</v>
      </c>
      <c r="AQ35" s="12"/>
      <c r="AR35" s="12">
        <v>0.8</v>
      </c>
      <c r="AS35" s="12"/>
      <c r="AT35" s="12">
        <v>0.8</v>
      </c>
      <c r="AX35" s="12"/>
      <c r="AY35" s="12">
        <v>0.8</v>
      </c>
      <c r="AZ35" s="12"/>
      <c r="BA35" s="12">
        <v>0.8</v>
      </c>
      <c r="BE35" s="12"/>
      <c r="BF35" s="12">
        <v>0.8</v>
      </c>
      <c r="BG35" s="12"/>
      <c r="BH35" s="12">
        <v>0.8</v>
      </c>
      <c r="BL35" s="12"/>
      <c r="BM35" s="12">
        <v>0.8</v>
      </c>
      <c r="BN35" s="12"/>
      <c r="BO35" s="12">
        <v>0.8</v>
      </c>
      <c r="BR35">
        <v>3</v>
      </c>
      <c r="BS35" s="12"/>
      <c r="BT35" s="12">
        <v>1</v>
      </c>
      <c r="BU35" s="12"/>
      <c r="BV35" s="12">
        <v>1</v>
      </c>
      <c r="BZ35" s="12"/>
      <c r="CA35" s="12">
        <v>1</v>
      </c>
      <c r="CB35" s="12"/>
      <c r="CC35" s="12">
        <v>1</v>
      </c>
      <c r="CG35" s="12"/>
      <c r="CH35" s="12">
        <v>1</v>
      </c>
      <c r="CI35" s="12"/>
      <c r="CJ35" s="12">
        <v>1</v>
      </c>
      <c r="CN35" s="12"/>
      <c r="CO35" s="12">
        <v>1</v>
      </c>
      <c r="CP35" s="12"/>
      <c r="CQ35" s="12">
        <v>1</v>
      </c>
      <c r="CT35">
        <v>2</v>
      </c>
      <c r="CU35" s="12"/>
      <c r="CV35" s="12">
        <v>1</v>
      </c>
      <c r="CW35" s="12"/>
      <c r="CX35" s="12">
        <v>1</v>
      </c>
      <c r="DB35" s="12"/>
      <c r="DC35" s="12">
        <v>1</v>
      </c>
      <c r="DD35" s="12"/>
      <c r="DE35" s="12">
        <v>1</v>
      </c>
    </row>
    <row r="36" spans="2:109" outlineLevel="1">
      <c r="B36" t="s">
        <v>28</v>
      </c>
      <c r="C36" t="s">
        <v>95</v>
      </c>
      <c r="E36" s="11"/>
      <c r="F36" t="s">
        <v>80</v>
      </c>
      <c r="G36" s="12">
        <v>0.2</v>
      </c>
      <c r="I36" s="11">
        <f t="shared" si="3"/>
        <v>14</v>
      </c>
      <c r="J36" s="13" cm="1">
        <f t="array" ref="J36">MAX(IF($N$3:$EH$3=$J$3,N36:EH36))</f>
        <v>0</v>
      </c>
      <c r="K36" s="13" cm="1">
        <f t="array" ref="K36">MAX(IF($N$3:$EH$3=$J$3,N36:EH36))</f>
        <v>0</v>
      </c>
      <c r="L36" s="11"/>
      <c r="O36" s="12"/>
      <c r="P36" s="12"/>
      <c r="Q36" s="12"/>
      <c r="R36" s="12"/>
      <c r="U36">
        <v>4</v>
      </c>
      <c r="V36" s="12"/>
      <c r="W36" s="12">
        <v>0.5</v>
      </c>
      <c r="X36" s="12"/>
      <c r="Y36" s="12">
        <v>0.5</v>
      </c>
      <c r="AC36" s="12"/>
      <c r="AD36" s="12">
        <v>0.5</v>
      </c>
      <c r="AE36" s="12"/>
      <c r="AF36" s="12">
        <v>0.5</v>
      </c>
      <c r="AJ36" s="12"/>
      <c r="AK36" s="12">
        <v>0.5</v>
      </c>
      <c r="AL36" s="12"/>
      <c r="AM36" s="12">
        <v>0.5</v>
      </c>
      <c r="AQ36" s="12"/>
      <c r="AR36" s="12">
        <v>0.5</v>
      </c>
      <c r="AS36" s="12"/>
      <c r="AT36" s="12">
        <v>0.5</v>
      </c>
      <c r="AW36">
        <v>4</v>
      </c>
      <c r="AX36" s="12"/>
      <c r="AY36" s="12">
        <v>0.8</v>
      </c>
      <c r="AZ36" s="12"/>
      <c r="BA36" s="12">
        <v>0.8</v>
      </c>
      <c r="BE36" s="12"/>
      <c r="BF36" s="12">
        <v>0.8</v>
      </c>
      <c r="BG36" s="12"/>
      <c r="BH36" s="12">
        <v>0.8</v>
      </c>
      <c r="BL36" s="12"/>
      <c r="BM36" s="12">
        <v>0.8</v>
      </c>
      <c r="BN36" s="12"/>
      <c r="BO36" s="12">
        <v>0.8</v>
      </c>
      <c r="BS36" s="12"/>
      <c r="BT36" s="12">
        <v>0.8</v>
      </c>
      <c r="BU36" s="12"/>
      <c r="BV36" s="12">
        <v>0.8</v>
      </c>
      <c r="BY36">
        <v>4</v>
      </c>
      <c r="BZ36" s="12"/>
      <c r="CA36" s="12">
        <v>1</v>
      </c>
      <c r="CB36" s="12"/>
      <c r="CC36" s="12">
        <v>1</v>
      </c>
      <c r="CG36" s="12"/>
      <c r="CH36" s="12">
        <v>1</v>
      </c>
      <c r="CI36" s="12"/>
      <c r="CJ36" s="12">
        <v>1</v>
      </c>
      <c r="CN36" s="12"/>
      <c r="CO36" s="12">
        <v>1</v>
      </c>
      <c r="CP36" s="12"/>
      <c r="CQ36" s="12">
        <v>1</v>
      </c>
      <c r="CT36">
        <v>2</v>
      </c>
      <c r="CU36" s="12"/>
      <c r="CV36" s="12">
        <v>1</v>
      </c>
      <c r="CW36" s="12"/>
      <c r="CX36" s="12">
        <v>1</v>
      </c>
      <c r="DB36" s="12"/>
      <c r="DC36" s="12">
        <v>1</v>
      </c>
      <c r="DD36" s="12"/>
      <c r="DE36" s="12">
        <v>1</v>
      </c>
    </row>
    <row r="37" spans="2:109" outlineLevel="1">
      <c r="B37" t="s">
        <v>28</v>
      </c>
      <c r="C37" t="s">
        <v>95</v>
      </c>
      <c r="E37" s="11"/>
      <c r="F37" t="s">
        <v>102</v>
      </c>
      <c r="G37" s="12">
        <v>2.5000000000000001E-2</v>
      </c>
      <c r="I37" s="11">
        <f t="shared" si="3"/>
        <v>7</v>
      </c>
      <c r="J37" s="13" cm="1">
        <f t="array" ref="J37">MAX(IF($N$3:$EH$3=$J$3,N37:EH37))</f>
        <v>0</v>
      </c>
      <c r="K37" s="13" cm="1">
        <f t="array" ref="K37">MAX(IF($N$3:$EH$3=$J$3,N37:EH37))</f>
        <v>0</v>
      </c>
      <c r="L37" s="11"/>
      <c r="O37" s="12"/>
      <c r="P37" s="12"/>
      <c r="Q37" s="12"/>
      <c r="R37" s="12"/>
      <c r="U37">
        <v>2</v>
      </c>
      <c r="V37" s="12"/>
      <c r="W37" s="12">
        <v>0.5</v>
      </c>
      <c r="X37" s="12"/>
      <c r="Y37" s="12">
        <v>0.5</v>
      </c>
      <c r="AC37" s="12"/>
      <c r="AD37" s="12">
        <v>0.5</v>
      </c>
      <c r="AE37" s="12"/>
      <c r="AF37" s="12">
        <v>0.5</v>
      </c>
      <c r="AJ37" s="12"/>
      <c r="AK37" s="12">
        <v>0.5</v>
      </c>
      <c r="AL37" s="12"/>
      <c r="AM37" s="12">
        <v>0.5</v>
      </c>
      <c r="AQ37" s="12"/>
      <c r="AR37" s="12">
        <v>0.5</v>
      </c>
      <c r="AS37" s="12"/>
      <c r="AT37" s="12">
        <v>0.5</v>
      </c>
      <c r="AW37">
        <v>2</v>
      </c>
      <c r="AX37" s="12"/>
      <c r="AY37" s="12">
        <v>0.8</v>
      </c>
      <c r="AZ37" s="12"/>
      <c r="BA37" s="12">
        <v>0.8</v>
      </c>
      <c r="BE37" s="12"/>
      <c r="BF37" s="12">
        <v>0.8</v>
      </c>
      <c r="BG37" s="12"/>
      <c r="BH37" s="12">
        <v>0.8</v>
      </c>
      <c r="BL37" s="12"/>
      <c r="BM37" s="12">
        <v>0.8</v>
      </c>
      <c r="BN37" s="12"/>
      <c r="BO37" s="12">
        <v>0.8</v>
      </c>
      <c r="BS37" s="12"/>
      <c r="BT37" s="12">
        <v>0.8</v>
      </c>
      <c r="BU37" s="12"/>
      <c r="BV37" s="12">
        <v>0.8</v>
      </c>
      <c r="BY37">
        <v>2</v>
      </c>
      <c r="BZ37" s="12"/>
      <c r="CA37" s="12">
        <v>1</v>
      </c>
      <c r="CB37" s="12"/>
      <c r="CC37" s="12">
        <v>1</v>
      </c>
      <c r="CG37" s="12"/>
      <c r="CH37" s="12">
        <v>1</v>
      </c>
      <c r="CI37" s="12"/>
      <c r="CJ37" s="12">
        <v>1</v>
      </c>
      <c r="CN37" s="12"/>
      <c r="CO37" s="12">
        <v>1</v>
      </c>
      <c r="CP37" s="12"/>
      <c r="CQ37" s="12">
        <v>1</v>
      </c>
      <c r="CT37">
        <v>1</v>
      </c>
      <c r="CU37" s="12"/>
      <c r="CV37" s="12">
        <v>1</v>
      </c>
      <c r="CW37" s="12"/>
      <c r="CX37" s="12">
        <v>1</v>
      </c>
      <c r="DB37" s="12"/>
      <c r="DC37" s="12">
        <v>1</v>
      </c>
      <c r="DD37" s="12"/>
      <c r="DE37" s="12">
        <v>1</v>
      </c>
    </row>
    <row r="38" spans="2:109" outlineLevel="1">
      <c r="B38" t="s">
        <v>28</v>
      </c>
      <c r="C38" t="s">
        <v>95</v>
      </c>
      <c r="E38" s="11"/>
      <c r="F38" t="s">
        <v>103</v>
      </c>
      <c r="G38" s="12">
        <v>2.5000000000000001E-2</v>
      </c>
      <c r="I38" s="11">
        <f t="shared" si="3"/>
        <v>7</v>
      </c>
      <c r="J38" s="13">
        <v>0</v>
      </c>
      <c r="K38" s="13">
        <v>0</v>
      </c>
      <c r="L38" s="11"/>
      <c r="O38" s="12"/>
      <c r="P38" s="12"/>
      <c r="Q38" s="12"/>
      <c r="R38" s="12"/>
      <c r="U38">
        <v>2</v>
      </c>
      <c r="V38" s="12"/>
      <c r="W38" s="12">
        <v>0.5</v>
      </c>
      <c r="X38" s="12"/>
      <c r="Y38" s="12">
        <v>0.5</v>
      </c>
      <c r="AC38" s="12"/>
      <c r="AD38" s="12">
        <v>0.5</v>
      </c>
      <c r="AE38" s="12"/>
      <c r="AF38" s="12">
        <v>0.5</v>
      </c>
      <c r="AJ38" s="12"/>
      <c r="AK38" s="12">
        <v>0.5</v>
      </c>
      <c r="AL38" s="12"/>
      <c r="AM38" s="12">
        <v>0.5</v>
      </c>
      <c r="AQ38" s="12"/>
      <c r="AR38" s="12">
        <v>0.5</v>
      </c>
      <c r="AS38" s="12"/>
      <c r="AT38" s="12">
        <v>0.5</v>
      </c>
      <c r="AW38">
        <v>2</v>
      </c>
      <c r="AX38" s="12"/>
      <c r="AY38" s="12">
        <v>0.8</v>
      </c>
      <c r="AZ38" s="12"/>
      <c r="BA38" s="12">
        <v>0.8</v>
      </c>
      <c r="BE38" s="12"/>
      <c r="BF38" s="12">
        <v>0.8</v>
      </c>
      <c r="BG38" s="12"/>
      <c r="BH38" s="12">
        <v>0.8</v>
      </c>
      <c r="BL38" s="12"/>
      <c r="BM38" s="12">
        <v>0.8</v>
      </c>
      <c r="BN38" s="12"/>
      <c r="BO38" s="12">
        <v>0.8</v>
      </c>
      <c r="BS38" s="12"/>
      <c r="BT38" s="12">
        <v>0.8</v>
      </c>
      <c r="BU38" s="12"/>
      <c r="BV38" s="12">
        <v>0.8</v>
      </c>
      <c r="BY38">
        <v>2</v>
      </c>
      <c r="BZ38" s="12"/>
      <c r="CA38" s="12">
        <v>1</v>
      </c>
      <c r="CB38" s="12"/>
      <c r="CC38" s="12">
        <v>1</v>
      </c>
      <c r="CG38" s="12"/>
      <c r="CH38" s="12">
        <v>1</v>
      </c>
      <c r="CI38" s="12"/>
      <c r="CJ38" s="12">
        <v>1</v>
      </c>
      <c r="CN38" s="12"/>
      <c r="CO38" s="12">
        <v>1</v>
      </c>
      <c r="CP38" s="12"/>
      <c r="CQ38" s="12">
        <v>1</v>
      </c>
      <c r="CU38" s="12"/>
      <c r="CV38" s="12">
        <v>1</v>
      </c>
      <c r="CW38" s="12"/>
      <c r="CX38" s="12">
        <v>1</v>
      </c>
      <c r="DA38">
        <v>1</v>
      </c>
      <c r="DB38" s="12"/>
      <c r="DC38" s="12">
        <v>1</v>
      </c>
      <c r="DD38" s="12"/>
      <c r="DE38" s="12">
        <v>1</v>
      </c>
    </row>
    <row r="39" spans="2:109" outlineLevel="1">
      <c r="B39" t="s">
        <v>28</v>
      </c>
      <c r="C39" t="s">
        <v>95</v>
      </c>
      <c r="E39" s="11"/>
      <c r="F39" t="s">
        <v>104</v>
      </c>
      <c r="G39" s="12">
        <v>2.5000000000000001E-2</v>
      </c>
      <c r="I39" s="11">
        <f t="shared" si="3"/>
        <v>7</v>
      </c>
      <c r="J39" s="13">
        <v>0</v>
      </c>
      <c r="K39" s="13">
        <v>0</v>
      </c>
      <c r="L39" s="11"/>
      <c r="O39" s="12"/>
      <c r="P39" s="12"/>
      <c r="Q39" s="12"/>
      <c r="R39" s="12"/>
      <c r="V39" s="12"/>
      <c r="W39" s="12"/>
      <c r="X39" s="12"/>
      <c r="Y39" s="12"/>
      <c r="AB39">
        <v>2</v>
      </c>
      <c r="AC39" s="12"/>
      <c r="AD39" s="12">
        <v>0.5</v>
      </c>
      <c r="AE39" s="12"/>
      <c r="AF39" s="12">
        <v>0.5</v>
      </c>
      <c r="AJ39" s="12"/>
      <c r="AK39" s="12">
        <v>0.5</v>
      </c>
      <c r="AL39" s="12"/>
      <c r="AM39" s="12">
        <v>0.5</v>
      </c>
      <c r="AQ39" s="12"/>
      <c r="AR39" s="12">
        <v>0.5</v>
      </c>
      <c r="AS39" s="12"/>
      <c r="AT39" s="12">
        <v>0.5</v>
      </c>
      <c r="AX39" s="12"/>
      <c r="AY39" s="12">
        <v>0.5</v>
      </c>
      <c r="AZ39" s="12"/>
      <c r="BA39" s="12">
        <v>0.5</v>
      </c>
      <c r="BD39">
        <v>2</v>
      </c>
      <c r="BE39" s="12"/>
      <c r="BF39" s="12">
        <v>0.8</v>
      </c>
      <c r="BG39" s="12"/>
      <c r="BH39" s="12">
        <v>0.8</v>
      </c>
      <c r="BL39" s="12"/>
      <c r="BM39" s="12">
        <v>0.8</v>
      </c>
      <c r="BN39" s="12"/>
      <c r="BO39" s="12">
        <v>0.8</v>
      </c>
      <c r="BS39" s="12"/>
      <c r="BT39" s="12">
        <v>0.8</v>
      </c>
      <c r="BU39" s="12"/>
      <c r="BV39" s="12">
        <v>0.8</v>
      </c>
      <c r="BZ39" s="12"/>
      <c r="CA39" s="12">
        <v>0.8</v>
      </c>
      <c r="CB39" s="12"/>
      <c r="CC39" s="12">
        <v>0.8</v>
      </c>
      <c r="CF39">
        <v>2</v>
      </c>
      <c r="CG39" s="12"/>
      <c r="CH39" s="12">
        <v>1</v>
      </c>
      <c r="CI39" s="12"/>
      <c r="CJ39" s="12">
        <v>1</v>
      </c>
      <c r="CN39" s="12"/>
      <c r="CO39" s="12">
        <v>1</v>
      </c>
      <c r="CP39" s="12"/>
      <c r="CQ39" s="12">
        <v>1</v>
      </c>
      <c r="CU39" s="12"/>
      <c r="CV39" s="12">
        <v>1</v>
      </c>
      <c r="CW39" s="12"/>
      <c r="CX39" s="12">
        <v>1</v>
      </c>
      <c r="DA39">
        <v>1</v>
      </c>
      <c r="DB39" s="12"/>
      <c r="DC39" s="12">
        <v>1</v>
      </c>
      <c r="DD39" s="12"/>
      <c r="DE39" s="12">
        <v>1</v>
      </c>
    </row>
    <row r="40" spans="2:109" outlineLevel="1">
      <c r="B40" t="s">
        <v>28</v>
      </c>
      <c r="C40" t="s">
        <v>95</v>
      </c>
      <c r="E40" s="11"/>
      <c r="F40" t="s">
        <v>105</v>
      </c>
      <c r="G40" s="12">
        <v>2.5000000000000001E-2</v>
      </c>
      <c r="I40" s="11">
        <f t="shared" si="3"/>
        <v>7</v>
      </c>
      <c r="J40" s="13">
        <v>0</v>
      </c>
      <c r="K40" s="13">
        <v>0</v>
      </c>
      <c r="L40" s="11"/>
      <c r="O40" s="12"/>
      <c r="P40" s="12"/>
      <c r="Q40" s="12"/>
      <c r="R40" s="12"/>
      <c r="V40" s="12"/>
      <c r="W40" s="12"/>
      <c r="X40" s="12"/>
      <c r="Y40" s="12"/>
      <c r="AB40">
        <v>2</v>
      </c>
      <c r="AC40" s="12"/>
      <c r="AD40" s="12">
        <v>0.5</v>
      </c>
      <c r="AE40" s="12"/>
      <c r="AF40" s="12">
        <v>0.5</v>
      </c>
      <c r="AJ40" s="12"/>
      <c r="AK40" s="12">
        <v>0.5</v>
      </c>
      <c r="AL40" s="12"/>
      <c r="AM40" s="12">
        <v>0.5</v>
      </c>
      <c r="AQ40" s="12"/>
      <c r="AR40" s="12">
        <v>0.5</v>
      </c>
      <c r="AS40" s="12"/>
      <c r="AT40" s="12">
        <v>0.5</v>
      </c>
      <c r="AX40" s="12"/>
      <c r="AY40" s="12">
        <v>0.5</v>
      </c>
      <c r="AZ40" s="12"/>
      <c r="BA40" s="12">
        <v>0.5</v>
      </c>
      <c r="BD40">
        <v>2</v>
      </c>
      <c r="BE40" s="12"/>
      <c r="BF40" s="12">
        <v>0.8</v>
      </c>
      <c r="BG40" s="12"/>
      <c r="BH40" s="12">
        <v>0.8</v>
      </c>
      <c r="BL40" s="12"/>
      <c r="BM40" s="12">
        <v>0.8</v>
      </c>
      <c r="BN40" s="12"/>
      <c r="BO40" s="12">
        <v>0.8</v>
      </c>
      <c r="BS40" s="12"/>
      <c r="BT40" s="12">
        <v>0.8</v>
      </c>
      <c r="BU40" s="12"/>
      <c r="BV40" s="12">
        <v>0.8</v>
      </c>
      <c r="BZ40" s="12"/>
      <c r="CA40" s="12">
        <v>0.8</v>
      </c>
      <c r="CB40" s="12"/>
      <c r="CC40" s="12">
        <v>0.8</v>
      </c>
      <c r="CF40">
        <v>2</v>
      </c>
      <c r="CG40" s="12"/>
      <c r="CH40" s="12">
        <v>1</v>
      </c>
      <c r="CI40" s="12"/>
      <c r="CJ40" s="12">
        <v>1</v>
      </c>
      <c r="CN40" s="12"/>
      <c r="CO40" s="12">
        <v>1</v>
      </c>
      <c r="CP40" s="12"/>
      <c r="CQ40" s="12">
        <v>1</v>
      </c>
      <c r="CU40" s="12"/>
      <c r="CV40" s="12">
        <v>1</v>
      </c>
      <c r="CW40" s="12"/>
      <c r="CX40" s="12">
        <v>1</v>
      </c>
      <c r="DA40">
        <v>1</v>
      </c>
      <c r="DB40" s="12"/>
      <c r="DC40" s="12">
        <v>1</v>
      </c>
      <c r="DD40" s="12"/>
      <c r="DE40" s="12">
        <v>1</v>
      </c>
    </row>
    <row r="41" spans="2:109" outlineLevel="1">
      <c r="B41" t="s">
        <v>28</v>
      </c>
      <c r="C41" t="s">
        <v>95</v>
      </c>
      <c r="E41" s="11"/>
      <c r="F41" t="s">
        <v>106</v>
      </c>
      <c r="G41" s="12">
        <v>2.5000000000000001E-2</v>
      </c>
      <c r="I41" s="11">
        <f t="shared" si="3"/>
        <v>7</v>
      </c>
      <c r="J41" s="13">
        <v>0</v>
      </c>
      <c r="K41" s="13">
        <v>0</v>
      </c>
      <c r="L41" s="11"/>
      <c r="O41" s="12"/>
      <c r="P41" s="12"/>
      <c r="Q41" s="12"/>
      <c r="R41" s="12"/>
      <c r="V41" s="12"/>
      <c r="W41" s="12"/>
      <c r="X41" s="12"/>
      <c r="Y41" s="12"/>
      <c r="AB41">
        <v>2</v>
      </c>
      <c r="AC41" s="12"/>
      <c r="AD41" s="12">
        <v>0.5</v>
      </c>
      <c r="AE41" s="12"/>
      <c r="AF41" s="12">
        <v>0.5</v>
      </c>
      <c r="AJ41" s="12"/>
      <c r="AK41" s="12">
        <v>0.5</v>
      </c>
      <c r="AL41" s="12"/>
      <c r="AM41" s="12">
        <v>0.5</v>
      </c>
      <c r="AQ41" s="12"/>
      <c r="AR41" s="12">
        <v>0.5</v>
      </c>
      <c r="AS41" s="12"/>
      <c r="AT41" s="12">
        <v>0.5</v>
      </c>
      <c r="AX41" s="12"/>
      <c r="AY41" s="12">
        <v>0.5</v>
      </c>
      <c r="AZ41" s="12"/>
      <c r="BA41" s="12">
        <v>0.5</v>
      </c>
      <c r="BD41">
        <v>2</v>
      </c>
      <c r="BE41" s="12"/>
      <c r="BF41" s="12">
        <v>0.8</v>
      </c>
      <c r="BG41" s="12"/>
      <c r="BH41" s="12">
        <v>0.8</v>
      </c>
      <c r="BL41" s="12"/>
      <c r="BM41" s="12">
        <v>0.8</v>
      </c>
      <c r="BN41" s="12"/>
      <c r="BO41" s="12">
        <v>0.8</v>
      </c>
      <c r="BS41" s="12"/>
      <c r="BT41" s="12">
        <v>0.8</v>
      </c>
      <c r="BU41" s="12"/>
      <c r="BV41" s="12">
        <v>0.8</v>
      </c>
      <c r="BZ41" s="12"/>
      <c r="CA41" s="12">
        <v>0.8</v>
      </c>
      <c r="CB41" s="12"/>
      <c r="CC41" s="12">
        <v>0.8</v>
      </c>
      <c r="CF41">
        <v>2</v>
      </c>
      <c r="CG41" s="12"/>
      <c r="CH41" s="12">
        <v>1</v>
      </c>
      <c r="CI41" s="12"/>
      <c r="CJ41" s="12">
        <v>1</v>
      </c>
      <c r="CN41" s="12"/>
      <c r="CO41" s="12">
        <v>1</v>
      </c>
      <c r="CP41" s="12"/>
      <c r="CQ41" s="12">
        <v>1</v>
      </c>
      <c r="CU41" s="12"/>
      <c r="CV41" s="12">
        <v>1</v>
      </c>
      <c r="CW41" s="12"/>
      <c r="CX41" s="12">
        <v>1</v>
      </c>
      <c r="DA41">
        <v>1</v>
      </c>
      <c r="DB41" s="12"/>
      <c r="DC41" s="12">
        <v>1</v>
      </c>
      <c r="DD41" s="12"/>
      <c r="DE41" s="12">
        <v>1</v>
      </c>
    </row>
    <row r="42" spans="2:109" outlineLevel="1">
      <c r="B42" t="s">
        <v>28</v>
      </c>
      <c r="C42" t="s">
        <v>95</v>
      </c>
      <c r="E42" s="11"/>
      <c r="F42" t="s">
        <v>107</v>
      </c>
      <c r="G42" s="12">
        <v>2.5000000000000001E-2</v>
      </c>
      <c r="I42" s="11">
        <f t="shared" si="3"/>
        <v>7</v>
      </c>
      <c r="J42" s="13">
        <v>0</v>
      </c>
      <c r="K42" s="13">
        <v>0</v>
      </c>
      <c r="L42" s="11"/>
      <c r="O42" s="12"/>
      <c r="P42" s="12"/>
      <c r="Q42" s="12"/>
      <c r="R42" s="12"/>
      <c r="V42" s="12"/>
      <c r="W42" s="12"/>
      <c r="X42" s="12"/>
      <c r="Y42" s="12"/>
      <c r="AB42">
        <v>2</v>
      </c>
      <c r="AC42" s="12"/>
      <c r="AD42" s="12">
        <v>0.5</v>
      </c>
      <c r="AE42" s="12"/>
      <c r="AF42" s="12">
        <v>0.5</v>
      </c>
      <c r="AJ42" s="12"/>
      <c r="AK42" s="12">
        <v>0.5</v>
      </c>
      <c r="AL42" s="12"/>
      <c r="AM42" s="12">
        <v>0.5</v>
      </c>
      <c r="AQ42" s="12"/>
      <c r="AR42" s="12">
        <v>0.5</v>
      </c>
      <c r="AS42" s="12"/>
      <c r="AT42" s="12">
        <v>0.5</v>
      </c>
      <c r="AX42" s="12"/>
      <c r="AY42" s="12">
        <v>0.5</v>
      </c>
      <c r="AZ42" s="12"/>
      <c r="BA42" s="12">
        <v>0.5</v>
      </c>
      <c r="BD42">
        <v>2</v>
      </c>
      <c r="BE42" s="12"/>
      <c r="BF42" s="12">
        <v>0.8</v>
      </c>
      <c r="BG42" s="12"/>
      <c r="BH42" s="12">
        <v>0.8</v>
      </c>
      <c r="BL42" s="12"/>
      <c r="BM42" s="12">
        <v>0.8</v>
      </c>
      <c r="BN42" s="12"/>
      <c r="BO42" s="12">
        <v>0.8</v>
      </c>
      <c r="BS42" s="12"/>
      <c r="BT42" s="12">
        <v>0.8</v>
      </c>
      <c r="BU42" s="12"/>
      <c r="BV42" s="12">
        <v>0.8</v>
      </c>
      <c r="BZ42" s="12"/>
      <c r="CA42" s="12">
        <v>0.8</v>
      </c>
      <c r="CB42" s="12"/>
      <c r="CC42" s="12">
        <v>0.8</v>
      </c>
      <c r="CF42">
        <v>2</v>
      </c>
      <c r="CG42" s="12"/>
      <c r="CH42" s="12">
        <v>1</v>
      </c>
      <c r="CI42" s="12"/>
      <c r="CJ42" s="12">
        <v>1</v>
      </c>
      <c r="CN42" s="12"/>
      <c r="CO42" s="12">
        <v>1</v>
      </c>
      <c r="CP42" s="12"/>
      <c r="CQ42" s="12">
        <v>1</v>
      </c>
      <c r="CU42" s="12"/>
      <c r="CV42" s="12">
        <v>1</v>
      </c>
      <c r="CW42" s="12"/>
      <c r="CX42" s="12">
        <v>1</v>
      </c>
      <c r="DA42">
        <v>1</v>
      </c>
      <c r="DB42" s="12"/>
      <c r="DC42" s="12">
        <v>1</v>
      </c>
      <c r="DD42" s="12"/>
      <c r="DE42" s="12">
        <v>1</v>
      </c>
    </row>
    <row r="43" spans="2:109" outlineLevel="1">
      <c r="B43" t="s">
        <v>28</v>
      </c>
      <c r="C43" t="s">
        <v>95</v>
      </c>
      <c r="E43" s="11"/>
      <c r="F43" t="s">
        <v>108</v>
      </c>
      <c r="G43" s="12">
        <v>2.5000000000000001E-2</v>
      </c>
      <c r="I43" s="11">
        <f t="shared" si="3"/>
        <v>7</v>
      </c>
      <c r="J43" s="13">
        <v>0</v>
      </c>
      <c r="K43" s="13">
        <v>0</v>
      </c>
      <c r="L43" s="11"/>
      <c r="O43" s="12"/>
      <c r="P43" s="12"/>
      <c r="Q43" s="12"/>
      <c r="R43" s="12"/>
      <c r="V43" s="12"/>
      <c r="W43" s="12"/>
      <c r="X43" s="12"/>
      <c r="Y43" s="12"/>
      <c r="AC43" s="12"/>
      <c r="AD43" s="12"/>
      <c r="AE43" s="12"/>
      <c r="AF43" s="12"/>
      <c r="AI43">
        <v>2</v>
      </c>
      <c r="AJ43" s="12"/>
      <c r="AK43" s="12">
        <v>0.5</v>
      </c>
      <c r="AL43" s="12"/>
      <c r="AM43" s="12">
        <v>0.5</v>
      </c>
      <c r="AQ43" s="12"/>
      <c r="AR43" s="12">
        <v>0.5</v>
      </c>
      <c r="AS43" s="12"/>
      <c r="AT43" s="12">
        <v>0.5</v>
      </c>
      <c r="AX43" s="12"/>
      <c r="AY43" s="12">
        <v>0.5</v>
      </c>
      <c r="AZ43" s="12"/>
      <c r="BA43" s="12">
        <v>0.5</v>
      </c>
      <c r="BE43" s="12"/>
      <c r="BF43" s="12">
        <v>0.5</v>
      </c>
      <c r="BG43" s="12"/>
      <c r="BH43" s="12">
        <v>0.5</v>
      </c>
      <c r="BK43">
        <v>2</v>
      </c>
      <c r="BL43" s="12"/>
      <c r="BM43" s="12">
        <v>0.8</v>
      </c>
      <c r="BN43" s="12"/>
      <c r="BO43" s="12">
        <v>0.8</v>
      </c>
      <c r="BS43" s="12"/>
      <c r="BT43" s="12">
        <v>0.8</v>
      </c>
      <c r="BU43" s="12"/>
      <c r="BV43" s="12">
        <v>0.8</v>
      </c>
      <c r="BZ43" s="12"/>
      <c r="CA43" s="12">
        <v>0.8</v>
      </c>
      <c r="CB43" s="12"/>
      <c r="CC43" s="12">
        <v>0.8</v>
      </c>
      <c r="CG43" s="12"/>
      <c r="CH43" s="12">
        <v>0.8</v>
      </c>
      <c r="CI43" s="12"/>
      <c r="CJ43" s="12">
        <v>0.8</v>
      </c>
      <c r="CM43">
        <v>2</v>
      </c>
      <c r="CN43" s="12"/>
      <c r="CO43" s="12">
        <v>1</v>
      </c>
      <c r="CP43" s="12"/>
      <c r="CQ43" s="12">
        <v>0.8</v>
      </c>
      <c r="CU43" s="12"/>
      <c r="CV43" s="12">
        <v>1</v>
      </c>
      <c r="CW43" s="12"/>
      <c r="CX43" s="12">
        <v>1</v>
      </c>
      <c r="DA43">
        <v>1</v>
      </c>
      <c r="DB43" s="12"/>
      <c r="DC43" s="12">
        <v>1</v>
      </c>
      <c r="DD43" s="12"/>
      <c r="DE43" s="12">
        <v>1</v>
      </c>
    </row>
    <row r="44" spans="2:109" outlineLevel="1">
      <c r="B44" t="s">
        <v>28</v>
      </c>
      <c r="C44" t="s">
        <v>95</v>
      </c>
      <c r="E44" s="11"/>
      <c r="F44" t="s">
        <v>109</v>
      </c>
      <c r="G44" s="12">
        <v>2.5000000000000001E-2</v>
      </c>
      <c r="I44" s="11">
        <f t="shared" si="3"/>
        <v>7</v>
      </c>
      <c r="J44" s="13">
        <v>0</v>
      </c>
      <c r="K44" s="13">
        <v>0</v>
      </c>
      <c r="L44" s="11"/>
      <c r="O44" s="12"/>
      <c r="P44" s="12"/>
      <c r="Q44" s="12"/>
      <c r="R44" s="12"/>
      <c r="V44" s="12"/>
      <c r="W44" s="12"/>
      <c r="X44" s="12"/>
      <c r="Y44" s="12"/>
      <c r="AC44" s="12"/>
      <c r="AD44" s="12"/>
      <c r="AE44" s="12"/>
      <c r="AF44" s="12"/>
      <c r="AI44">
        <v>2</v>
      </c>
      <c r="AJ44" s="12"/>
      <c r="AK44" s="12">
        <v>0.5</v>
      </c>
      <c r="AL44" s="12"/>
      <c r="AM44" s="12">
        <v>0.5</v>
      </c>
      <c r="AQ44" s="12"/>
      <c r="AR44" s="12">
        <v>0.5</v>
      </c>
      <c r="AS44" s="12"/>
      <c r="AT44" s="12">
        <v>0.5</v>
      </c>
      <c r="AX44" s="12"/>
      <c r="AY44" s="12">
        <v>0.5</v>
      </c>
      <c r="AZ44" s="12"/>
      <c r="BA44" s="12">
        <v>0.5</v>
      </c>
      <c r="BE44" s="12"/>
      <c r="BF44" s="12">
        <v>0.5</v>
      </c>
      <c r="BG44" s="12"/>
      <c r="BH44" s="12">
        <v>0.5</v>
      </c>
      <c r="BK44">
        <v>2</v>
      </c>
      <c r="BL44" s="12"/>
      <c r="BM44" s="12">
        <v>0.8</v>
      </c>
      <c r="BN44" s="12"/>
      <c r="BO44" s="12">
        <v>0.5</v>
      </c>
      <c r="BS44" s="12"/>
      <c r="BT44" s="12">
        <v>0.8</v>
      </c>
      <c r="BU44" s="12"/>
      <c r="BV44" s="12">
        <v>0.8</v>
      </c>
      <c r="BZ44" s="12"/>
      <c r="CA44" s="12">
        <v>0.8</v>
      </c>
      <c r="CB44" s="12"/>
      <c r="CC44" s="12">
        <v>0.8</v>
      </c>
      <c r="CG44" s="12"/>
      <c r="CH44" s="12">
        <v>0.8</v>
      </c>
      <c r="CI44" s="12"/>
      <c r="CJ44" s="12">
        <v>0.8</v>
      </c>
      <c r="CM44">
        <v>2</v>
      </c>
      <c r="CN44" s="12"/>
      <c r="CO44" s="12">
        <v>1</v>
      </c>
      <c r="CP44" s="12"/>
      <c r="CQ44" s="12">
        <v>0.8</v>
      </c>
      <c r="CU44" s="12"/>
      <c r="CV44" s="12">
        <v>1</v>
      </c>
      <c r="CW44" s="12"/>
      <c r="CX44" s="12">
        <v>1</v>
      </c>
      <c r="DA44">
        <v>1</v>
      </c>
      <c r="DB44" s="12"/>
      <c r="DC44" s="12">
        <v>1</v>
      </c>
      <c r="DD44" s="12"/>
      <c r="DE44" s="12">
        <v>1</v>
      </c>
    </row>
    <row r="45" spans="2:109" outlineLevel="1">
      <c r="B45" t="s">
        <v>28</v>
      </c>
      <c r="C45" t="s">
        <v>95</v>
      </c>
      <c r="E45" s="11"/>
      <c r="F45" t="s">
        <v>81</v>
      </c>
      <c r="G45" s="12">
        <v>0.2</v>
      </c>
      <c r="I45" s="11">
        <f t="shared" si="3"/>
        <v>14</v>
      </c>
      <c r="J45" s="13" cm="1">
        <f t="array" ref="J45">MAX(IF($N$3:$EH$3=$J$3,N45:EH45))</f>
        <v>0</v>
      </c>
      <c r="K45" s="13" cm="1">
        <f t="array" ref="K45">MAX(IF($N$3:$EH$3=$J$3,N45:EH45))</f>
        <v>0</v>
      </c>
      <c r="L45" s="11"/>
      <c r="O45" s="12"/>
      <c r="P45" s="12"/>
      <c r="Q45" s="12"/>
      <c r="R45" s="12"/>
      <c r="V45" s="12"/>
      <c r="W45" s="12"/>
      <c r="X45" s="12"/>
      <c r="Y45" s="12"/>
      <c r="AC45" s="12"/>
      <c r="AD45" s="12"/>
      <c r="AE45" s="12"/>
      <c r="AF45" s="12"/>
      <c r="AI45">
        <v>4</v>
      </c>
      <c r="AJ45" s="12"/>
      <c r="AK45" s="12">
        <v>0.5</v>
      </c>
      <c r="AL45" s="12"/>
      <c r="AM45" s="12">
        <v>0.5</v>
      </c>
      <c r="AQ45" s="12"/>
      <c r="AR45" s="12">
        <v>0.5</v>
      </c>
      <c r="AS45" s="12"/>
      <c r="AT45" s="12">
        <v>0.5</v>
      </c>
      <c r="AX45" s="12"/>
      <c r="AY45" s="12">
        <v>0.5</v>
      </c>
      <c r="AZ45" s="12"/>
      <c r="BA45" s="12">
        <v>0.5</v>
      </c>
      <c r="BE45" s="12"/>
      <c r="BF45" s="12">
        <v>0.5</v>
      </c>
      <c r="BG45" s="12"/>
      <c r="BH45" s="12">
        <v>0.5</v>
      </c>
      <c r="BK45">
        <v>4</v>
      </c>
      <c r="BL45" s="12"/>
      <c r="BM45" s="12">
        <v>0.8</v>
      </c>
      <c r="BN45" s="12"/>
      <c r="BO45" s="12">
        <v>0.5</v>
      </c>
      <c r="BS45" s="12"/>
      <c r="BT45" s="12">
        <v>0.8</v>
      </c>
      <c r="BU45" s="12"/>
      <c r="BV45" s="12">
        <v>0.8</v>
      </c>
      <c r="BZ45" s="12"/>
      <c r="CA45" s="12">
        <v>0.8</v>
      </c>
      <c r="CB45" s="12"/>
      <c r="CC45" s="12">
        <v>0.8</v>
      </c>
      <c r="CG45" s="12"/>
      <c r="CH45" s="12">
        <v>0.8</v>
      </c>
      <c r="CI45" s="12"/>
      <c r="CJ45" s="12">
        <v>0.8</v>
      </c>
      <c r="CM45">
        <v>4</v>
      </c>
      <c r="CN45" s="12"/>
      <c r="CO45" s="12">
        <v>1</v>
      </c>
      <c r="CP45" s="12"/>
      <c r="CQ45" s="12">
        <v>0.8</v>
      </c>
      <c r="CU45" s="12"/>
      <c r="CV45" s="12">
        <v>1</v>
      </c>
      <c r="CW45" s="12"/>
      <c r="CX45" s="12">
        <v>1</v>
      </c>
      <c r="DA45">
        <v>2</v>
      </c>
      <c r="DB45" s="12"/>
      <c r="DC45" s="12">
        <v>1</v>
      </c>
      <c r="DD45" s="12"/>
      <c r="DE45" s="12">
        <v>1</v>
      </c>
    </row>
    <row r="46" spans="2:109">
      <c r="AR46" s="12"/>
      <c r="AT46" s="12"/>
    </row>
  </sheetData>
  <mergeCells count="15">
    <mergeCell ref="BK2:BP2"/>
    <mergeCell ref="I2:L2"/>
    <mergeCell ref="N2:S2"/>
    <mergeCell ref="BD2:BI2"/>
    <mergeCell ref="U2:Z2"/>
    <mergeCell ref="AB2:AG2"/>
    <mergeCell ref="AI2:AN2"/>
    <mergeCell ref="AP2:AU2"/>
    <mergeCell ref="AW2:BB2"/>
    <mergeCell ref="DA2:DF2"/>
    <mergeCell ref="BR2:BW2"/>
    <mergeCell ref="BY2:CD2"/>
    <mergeCell ref="CF2:CK2"/>
    <mergeCell ref="CM2:CR2"/>
    <mergeCell ref="CT2:CY2"/>
  </mergeCells>
  <conditionalFormatting sqref="J6:K16">
    <cfRule type="colorScale" priority="944">
      <colorScale>
        <cfvo type="percent" val="0"/>
        <cfvo type="percent" val="100"/>
        <color rgb="FFFF231B"/>
        <color rgb="FF10FF07"/>
      </colorScale>
    </cfRule>
  </conditionalFormatting>
  <conditionalFormatting sqref="AC21:AC30 AE21:AE30 AJ21:AJ30 AL21:AL30 AQ21:AQ30 AS21:AS30 BL27:BL30 BN27:BN30 BE21:BE30 BG21:BG30 AX21:AX30 AZ21:AZ30 V21:V30 X21:X30 O21:O30 Q21:Q30 BS28:BS30 BU28:BU30 BZ28:BZ30 CB28:CB30 DB21:DB30 DD21:DD30 CG28:CG30 CI28:CI30 CN28:CN30 CP28:CP30 CU28:CU30 CW28:CW30 AJ35:AJ45 AL35:AL45 Q35:Q45 O35:O45 X35:X45 V35:V45 AE35:AE45 AC35:AC45 AS35:AS45 AQ35:AQ45 AZ35:AZ45 AX35:AX45 BG35:BG45 BE35:BE45 BU35:BU45 BS35:BS45 BN35:BN45 BL35:BL45 DD35:DD45 DB35:DB45 CB35:CB45 BZ35:BZ45 CI35:CI45 CG35:CG45 CP35:CP45 CN35:CN45 CW35:CW45 CU35:CU45">
    <cfRule type="expression" dxfId="411" priority="942">
      <formula>OR(IF(O21&lt;P21,TRUE),IF(AND(P21="",O21&lt;&gt;""),TRUE))</formula>
    </cfRule>
    <cfRule type="expression" dxfId="410" priority="943">
      <formula>IF(O21&gt;=P21,IF(O21="",FALSE,TRUE))</formula>
    </cfRule>
  </conditionalFormatting>
  <conditionalFormatting sqref="AQ19:AQ23 AS19:AS23 AQ6:AQ16">
    <cfRule type="expression" dxfId="409" priority="809">
      <formula>OR(IF(AQ6&lt;AR6,TRUE),IF(AND(AR6="",AQ6&lt;&gt;""),TRUE))</formula>
    </cfRule>
    <cfRule type="expression" dxfId="408" priority="810">
      <formula>IF(AQ6&gt;=AR6,IF(AQ6="",FALSE,TRUE))</formula>
    </cfRule>
  </conditionalFormatting>
  <conditionalFormatting sqref="AS6:AS16">
    <cfRule type="expression" dxfId="407" priority="807">
      <formula>OR(IF(AS6&lt;AT6,TRUE),IF(AND(AT6="",AS6&lt;&gt;""),TRUE))</formula>
    </cfRule>
    <cfRule type="expression" dxfId="406" priority="808">
      <formula>IF(AS6&gt;=AT6,IF(AS6="",FALSE,TRUE))</formula>
    </cfRule>
  </conditionalFormatting>
  <conditionalFormatting sqref="AC19:AC23 AE19:AE23">
    <cfRule type="expression" dxfId="405" priority="841">
      <formula>OR(IF(AC19&lt;AD19,TRUE),IF(AND(AD19="",AC19&lt;&gt;""),TRUE))</formula>
    </cfRule>
    <cfRule type="expression" dxfId="404" priority="842">
      <formula>IF(AC19&gt;=AD19,IF(AC19="",FALSE,TRUE))</formula>
    </cfRule>
  </conditionalFormatting>
  <conditionalFormatting sqref="AJ19:AJ23 AL19:AL23">
    <cfRule type="expression" dxfId="403" priority="825">
      <formula>OR(IF(AJ19&lt;AK19,TRUE),IF(AND(AK19="",AJ19&lt;&gt;""),TRUE))</formula>
    </cfRule>
    <cfRule type="expression" dxfId="402" priority="826">
      <formula>IF(AJ19&gt;=AK19,IF(AJ19="",FALSE,TRUE))</formula>
    </cfRule>
  </conditionalFormatting>
  <conditionalFormatting sqref="AQ24:AQ26">
    <cfRule type="expression" dxfId="401" priority="801">
      <formula>OR(IF(AQ24&lt;AR24,TRUE),IF(AND(AR24="",AQ24&lt;&gt;""),TRUE))</formula>
    </cfRule>
    <cfRule type="expression" dxfId="400" priority="802">
      <formula>IF(AQ24&gt;=AR24,IF(AQ24="",FALSE,TRUE))</formula>
    </cfRule>
  </conditionalFormatting>
  <conditionalFormatting sqref="AC24:AC26">
    <cfRule type="expression" dxfId="399" priority="833">
      <formula>OR(IF(AC24&lt;AD24,TRUE),IF(AND(AD24="",AC24&lt;&gt;""),TRUE))</formula>
    </cfRule>
    <cfRule type="expression" dxfId="398" priority="834">
      <formula>IF(AC24&gt;=AD24,IF(AC24="",FALSE,TRUE))</formula>
    </cfRule>
  </conditionalFormatting>
  <conditionalFormatting sqref="AE24:AE26">
    <cfRule type="expression" dxfId="397" priority="831">
      <formula>OR(IF(AE24&lt;AF24,TRUE),IF(AND(AF24="",AE24&lt;&gt;""),TRUE))</formula>
    </cfRule>
    <cfRule type="expression" dxfId="396" priority="832">
      <formula>IF(AE24&gt;=AF24,IF(AE24="",FALSE,TRUE))</formula>
    </cfRule>
  </conditionalFormatting>
  <conditionalFormatting sqref="AS33">
    <cfRule type="expression" dxfId="395" priority="719">
      <formula>OR(IF(AS33&lt;AT33,TRUE),IF(AND(AT33="",AS33&lt;&gt;""),TRUE))</formula>
    </cfRule>
    <cfRule type="expression" dxfId="394" priority="720">
      <formula>IF(AS33&gt;=AT33,IF(AS33="",FALSE,TRUE))</formula>
    </cfRule>
  </conditionalFormatting>
  <conditionalFormatting sqref="AJ24:AJ26">
    <cfRule type="expression" dxfId="393" priority="817">
      <formula>OR(IF(AJ24&lt;AK24,TRUE),IF(AND(AK24="",AJ24&lt;&gt;""),TRUE))</formula>
    </cfRule>
    <cfRule type="expression" dxfId="392" priority="818">
      <formula>IF(AJ24&gt;=AK24,IF(AJ24="",FALSE,TRUE))</formula>
    </cfRule>
  </conditionalFormatting>
  <conditionalFormatting sqref="AL24:AL26">
    <cfRule type="expression" dxfId="391" priority="815">
      <formula>OR(IF(AL24&lt;AM24,TRUE),IF(AND(AM24="",AL24&lt;&gt;""),TRUE))</formula>
    </cfRule>
    <cfRule type="expression" dxfId="390" priority="816">
      <formula>IF(AL24&gt;=AM24,IF(AL24="",FALSE,TRUE))</formula>
    </cfRule>
  </conditionalFormatting>
  <conditionalFormatting sqref="AS24:AS26">
    <cfRule type="expression" dxfId="389" priority="799">
      <formula>OR(IF(AS24&lt;AT24,TRUE),IF(AND(AT24="",AS24&lt;&gt;""),TRUE))</formula>
    </cfRule>
    <cfRule type="expression" dxfId="388" priority="800">
      <formula>IF(AS24&gt;=AT24,IF(AS24="",FALSE,TRUE))</formula>
    </cfRule>
  </conditionalFormatting>
  <conditionalFormatting sqref="AQ33">
    <cfRule type="expression" dxfId="387" priority="721">
      <formula>OR(IF(AQ33&lt;AR33,TRUE),IF(AND(AR33="",AQ33&lt;&gt;""),TRUE))</formula>
    </cfRule>
    <cfRule type="expression" dxfId="386" priority="722">
      <formula>IF(AQ33&gt;=AR33,IF(AQ33="",FALSE,TRUE))</formula>
    </cfRule>
  </conditionalFormatting>
  <conditionalFormatting sqref="J5:J16">
    <cfRule type="colorScale" priority="762">
      <colorScale>
        <cfvo type="percent" val="0"/>
        <cfvo type="percent" val="100"/>
        <color rgb="FFFF231B"/>
        <color rgb="FF10FF07"/>
      </colorScale>
    </cfRule>
  </conditionalFormatting>
  <conditionalFormatting sqref="K5:K16">
    <cfRule type="colorScale" priority="761">
      <colorScale>
        <cfvo type="percent" val="0"/>
        <cfvo type="percent" val="100"/>
        <color rgb="FFFF231B"/>
        <color rgb="FF10FF07"/>
      </colorScale>
    </cfRule>
  </conditionalFormatting>
  <conditionalFormatting sqref="J20:K26">
    <cfRule type="colorScale" priority="757">
      <colorScale>
        <cfvo type="percent" val="0"/>
        <cfvo type="percent" val="100"/>
        <color rgb="FFFF231B"/>
        <color rgb="FF10FF07"/>
      </colorScale>
    </cfRule>
  </conditionalFormatting>
  <conditionalFormatting sqref="J19:J26 J24:K26">
    <cfRule type="colorScale" priority="756">
      <colorScale>
        <cfvo type="percent" val="0"/>
        <cfvo type="percent" val="100"/>
        <color rgb="FFFF231B"/>
        <color rgb="FF10FF07"/>
      </colorScale>
    </cfRule>
  </conditionalFormatting>
  <conditionalFormatting sqref="K19:K26">
    <cfRule type="colorScale" priority="755">
      <colorScale>
        <cfvo type="percent" val="0"/>
        <cfvo type="percent" val="100"/>
        <color rgb="FFFF231B"/>
        <color rgb="FF10FF07"/>
      </colorScale>
    </cfRule>
  </conditionalFormatting>
  <conditionalFormatting sqref="O33">
    <cfRule type="expression" dxfId="385" priority="753">
      <formula>OR(IF(O33&lt;P33,TRUE),IF(AND(P33="",O33&lt;&gt;""),TRUE))</formula>
    </cfRule>
    <cfRule type="expression" dxfId="384" priority="754">
      <formula>IF(O33&gt;=P33,IF(O33="",FALSE,TRUE))</formula>
    </cfRule>
  </conditionalFormatting>
  <conditionalFormatting sqref="Q33">
    <cfRule type="expression" dxfId="383" priority="751">
      <formula>OR(IF(Q33&lt;R33,TRUE),IF(AND(R33="",Q33&lt;&gt;""),TRUE))</formula>
    </cfRule>
    <cfRule type="expression" dxfId="382" priority="752">
      <formula>IF(Q33&gt;=R33,IF(Q33="",FALSE,TRUE))</formula>
    </cfRule>
  </conditionalFormatting>
  <conditionalFormatting sqref="V33">
    <cfRule type="expression" dxfId="381" priority="745">
      <formula>OR(IF(V33&lt;W33,TRUE),IF(AND(W33="",V33&lt;&gt;""),TRUE))</formula>
    </cfRule>
    <cfRule type="expression" dxfId="380" priority="746">
      <formula>IF(V33&gt;=W33,IF(V33="",FALSE,TRUE))</formula>
    </cfRule>
  </conditionalFormatting>
  <conditionalFormatting sqref="X33">
    <cfRule type="expression" dxfId="379" priority="743">
      <formula>OR(IF(X33&lt;Y33,TRUE),IF(AND(Y33="",X33&lt;&gt;""),TRUE))</formula>
    </cfRule>
    <cfRule type="expression" dxfId="378" priority="744">
      <formula>IF(X33&gt;=Y33,IF(X33="",FALSE,TRUE))</formula>
    </cfRule>
  </conditionalFormatting>
  <conditionalFormatting sqref="AC33">
    <cfRule type="expression" dxfId="377" priority="737">
      <formula>OR(IF(AC33&lt;AD33,TRUE),IF(AND(AD33="",AC33&lt;&gt;""),TRUE))</formula>
    </cfRule>
    <cfRule type="expression" dxfId="376" priority="738">
      <formula>IF(AC33&gt;=AD33,IF(AC33="",FALSE,TRUE))</formula>
    </cfRule>
  </conditionalFormatting>
  <conditionalFormatting sqref="AE33">
    <cfRule type="expression" dxfId="375" priority="735">
      <formula>OR(IF(AE33&lt;AF33,TRUE),IF(AND(AF33="",AE33&lt;&gt;""),TRUE))</formula>
    </cfRule>
    <cfRule type="expression" dxfId="374" priority="736">
      <formula>IF(AE33&gt;=AF33,IF(AE33="",FALSE,TRUE))</formula>
    </cfRule>
  </conditionalFormatting>
  <conditionalFormatting sqref="AJ33">
    <cfRule type="expression" dxfId="373" priority="729">
      <formula>OR(IF(AJ33&lt;AK33,TRUE),IF(AND(AK33="",AJ33&lt;&gt;""),TRUE))</formula>
    </cfRule>
    <cfRule type="expression" dxfId="372" priority="730">
      <formula>IF(AJ33&gt;=AK33,IF(AJ33="",FALSE,TRUE))</formula>
    </cfRule>
  </conditionalFormatting>
  <conditionalFormatting sqref="AL33">
    <cfRule type="expression" dxfId="371" priority="727">
      <formula>OR(IF(AL33&lt;AM33,TRUE),IF(AND(AM33="",AL33&lt;&gt;""),TRUE))</formula>
    </cfRule>
    <cfRule type="expression" dxfId="370" priority="728">
      <formula>IF(AL33&gt;=AM33,IF(AL33="",FALSE,TRUE))</formula>
    </cfRule>
  </conditionalFormatting>
  <conditionalFormatting sqref="BL15:BL16">
    <cfRule type="expression" dxfId="369" priority="670">
      <formula>OR(IF(BL15&lt;BM15,TRUE),IF(AND(BM15="",BL15&lt;&gt;""),TRUE))</formula>
    </cfRule>
    <cfRule type="expression" dxfId="368" priority="671">
      <formula>IF(BL15&gt;=BM15,IF(BL15="",FALSE,TRUE))</formula>
    </cfRule>
  </conditionalFormatting>
  <conditionalFormatting sqref="BN15:BN16">
    <cfRule type="expression" dxfId="367" priority="668">
      <formula>OR(IF(BN15&lt;BO15,TRUE),IF(AND(BO15="",BN15&lt;&gt;""),TRUE))</formula>
    </cfRule>
    <cfRule type="expression" dxfId="366" priority="669">
      <formula>IF(BN15&gt;=BO15,IF(BN15="",FALSE,TRUE))</formula>
    </cfRule>
  </conditionalFormatting>
  <conditionalFormatting sqref="AC19:AC20">
    <cfRule type="expression" dxfId="365" priority="638">
      <formula>OR(IF(AC19&lt;AD19,TRUE),IF(AND(AD19="",AC19&lt;&gt;""),TRUE))</formula>
    </cfRule>
    <cfRule type="expression" dxfId="364" priority="639">
      <formula>IF(AC19&gt;=AD19,IF(AC19="",FALSE,TRUE))</formula>
    </cfRule>
  </conditionalFormatting>
  <conditionalFormatting sqref="AE19:AE20">
    <cfRule type="expression" dxfId="363" priority="636">
      <formula>OR(IF(AE19&lt;AF19,TRUE),IF(AND(AF19="",AE19&lt;&gt;""),TRUE))</formula>
    </cfRule>
    <cfRule type="expression" dxfId="362" priority="637">
      <formula>IF(AE19&gt;=AF19,IF(AE19="",FALSE,TRUE))</formula>
    </cfRule>
  </conditionalFormatting>
  <conditionalFormatting sqref="AJ19:AJ20">
    <cfRule type="expression" dxfId="361" priority="634">
      <formula>OR(IF(AJ19&lt;AK19,TRUE),IF(AND(AK19="",AJ19&lt;&gt;""),TRUE))</formula>
    </cfRule>
    <cfRule type="expression" dxfId="360" priority="635">
      <formula>IF(AJ19&gt;=AK19,IF(AJ19="",FALSE,TRUE))</formula>
    </cfRule>
  </conditionalFormatting>
  <conditionalFormatting sqref="AL19:AL20">
    <cfRule type="expression" dxfId="359" priority="632">
      <formula>OR(IF(AL19&lt;AM19,TRUE),IF(AND(AM19="",AL19&lt;&gt;""),TRUE))</formula>
    </cfRule>
    <cfRule type="expression" dxfId="358" priority="633">
      <formula>IF(AL19&gt;=AM19,IF(AL19="",FALSE,TRUE))</formula>
    </cfRule>
  </conditionalFormatting>
  <conditionalFormatting sqref="AQ19:AQ20">
    <cfRule type="expression" dxfId="357" priority="630">
      <formula>OR(IF(AQ19&lt;AR19,TRUE),IF(AND(AR19="",AQ19&lt;&gt;""),TRUE))</formula>
    </cfRule>
    <cfRule type="expression" dxfId="356" priority="631">
      <formula>IF(AQ19&gt;=AR19,IF(AQ19="",FALSE,TRUE))</formula>
    </cfRule>
  </conditionalFormatting>
  <conditionalFormatting sqref="AS19:AS20">
    <cfRule type="expression" dxfId="355" priority="628">
      <formula>OR(IF(AS19&lt;AT19,TRUE),IF(AND(AT19="",AS19&lt;&gt;""),TRUE))</formula>
    </cfRule>
    <cfRule type="expression" dxfId="354" priority="629">
      <formula>IF(AS19&gt;=AT19,IF(AS19="",FALSE,TRUE))</formula>
    </cfRule>
  </conditionalFormatting>
  <conditionalFormatting sqref="O5:O16">
    <cfRule type="expression" dxfId="353" priority="554">
      <formula>OR(IF(O5&lt;P5,TRUE),IF(AND(P5="",O5&lt;&gt;""),TRUE))</formula>
    </cfRule>
    <cfRule type="expression" dxfId="352" priority="555">
      <formula>IF(O5&gt;=P5,IF(O5="",FALSE,TRUE))</formula>
    </cfRule>
  </conditionalFormatting>
  <conditionalFormatting sqref="Q5:Q16">
    <cfRule type="expression" dxfId="351" priority="552">
      <formula>OR(IF(Q5&lt;R5,TRUE),IF(AND(R5="",Q5&lt;&gt;""),TRUE))</formula>
    </cfRule>
    <cfRule type="expression" dxfId="350" priority="553">
      <formula>IF(Q5&gt;=R5,IF(Q5="",FALSE,TRUE))</formula>
    </cfRule>
  </conditionalFormatting>
  <conditionalFormatting sqref="AX19:AX23 AZ19:AZ23">
    <cfRule type="expression" dxfId="349" priority="532">
      <formula>OR(IF(AX19&lt;AY19,TRUE),IF(AND(AY19="",AX19&lt;&gt;""),TRUE))</formula>
    </cfRule>
    <cfRule type="expression" dxfId="348" priority="533">
      <formula>IF(AX19&gt;=AY19,IF(AX19="",FALSE,TRUE))</formula>
    </cfRule>
  </conditionalFormatting>
  <conditionalFormatting sqref="AJ34 AL34 Q34 O34 X34 V34 AE34 AC34 AS34 AQ34">
    <cfRule type="expression" dxfId="347" priority="611">
      <formula>OR(IF(O34&lt;P34,TRUE),IF(AND(P34="",O34&lt;&gt;""),TRUE))</formula>
    </cfRule>
    <cfRule type="expression" dxfId="346" priority="612">
      <formula>IF(O34&gt;=P34,IF(O34="",FALSE,TRUE))</formula>
    </cfRule>
  </conditionalFormatting>
  <conditionalFormatting sqref="J34:K34">
    <cfRule type="colorScale" priority="613">
      <colorScale>
        <cfvo type="percent" val="0"/>
        <cfvo type="percent" val="100"/>
        <color rgb="FFFF231B"/>
        <color rgb="FF10FF07"/>
      </colorScale>
    </cfRule>
  </conditionalFormatting>
  <conditionalFormatting sqref="J34">
    <cfRule type="colorScale" priority="614">
      <colorScale>
        <cfvo type="percent" val="0"/>
        <cfvo type="percent" val="100"/>
        <color rgb="FFFF231B"/>
        <color rgb="FF10FF07"/>
      </colorScale>
    </cfRule>
  </conditionalFormatting>
  <conditionalFormatting sqref="K34">
    <cfRule type="colorScale" priority="615">
      <colorScale>
        <cfvo type="percent" val="0"/>
        <cfvo type="percent" val="100"/>
        <color rgb="FFFF231B"/>
        <color rgb="FF10FF07"/>
      </colorScale>
    </cfRule>
  </conditionalFormatting>
  <conditionalFormatting sqref="AE6:AE16">
    <cfRule type="expression" dxfId="345" priority="560">
      <formula>OR(IF(AE6&lt;AF6,TRUE),IF(AND(AF6="",AE6&lt;&gt;""),TRUE))</formula>
    </cfRule>
    <cfRule type="expression" dxfId="344" priority="561">
      <formula>IF(AE6&gt;=AF6,IF(AE6="",FALSE,TRUE))</formula>
    </cfRule>
  </conditionalFormatting>
  <conditionalFormatting sqref="V5:V16">
    <cfRule type="expression" dxfId="343" priority="558">
      <formula>OR(IF(V5&lt;W5,TRUE),IF(AND(W5="",V5&lt;&gt;""),TRUE))</formula>
    </cfRule>
    <cfRule type="expression" dxfId="342" priority="559">
      <formula>IF(V5&gt;=W5,IF(V5="",FALSE,TRUE))</formula>
    </cfRule>
  </conditionalFormatting>
  <conditionalFormatting sqref="AZ6:AZ16">
    <cfRule type="expression" dxfId="341" priority="568">
      <formula>OR(IF(AZ6&lt;BA6,TRUE),IF(AND(BA6="",AZ6&lt;&gt;""),TRUE))</formula>
    </cfRule>
    <cfRule type="expression" dxfId="340" priority="569">
      <formula>IF(AZ6&gt;=BA6,IF(AZ6="",FALSE,TRUE))</formula>
    </cfRule>
  </conditionalFormatting>
  <conditionalFormatting sqref="AJ6:AJ16">
    <cfRule type="expression" dxfId="339" priority="566">
      <formula>OR(IF(AJ6&lt;AK6,TRUE),IF(AND(AK6="",AJ6&lt;&gt;""),TRUE))</formula>
    </cfRule>
    <cfRule type="expression" dxfId="338" priority="567">
      <formula>IF(AJ6&gt;=AK6,IF(AJ6="",FALSE,TRUE))</formula>
    </cfRule>
  </conditionalFormatting>
  <conditionalFormatting sqref="BE6:BE16">
    <cfRule type="expression" dxfId="337" priority="574">
      <formula>OR(IF(BE6&lt;BF6,TRUE),IF(AND(BF6="",BE6&lt;&gt;""),TRUE))</formula>
    </cfRule>
    <cfRule type="expression" dxfId="336" priority="575">
      <formula>IF(BE6&gt;=BF6,IF(BE6="",FALSE,TRUE))</formula>
    </cfRule>
  </conditionalFormatting>
  <conditionalFormatting sqref="BG6:BG16">
    <cfRule type="expression" dxfId="335" priority="572">
      <formula>OR(IF(BG6&lt;BH6,TRUE),IF(AND(BH6="",BG6&lt;&gt;""),TRUE))</formula>
    </cfRule>
    <cfRule type="expression" dxfId="334" priority="573">
      <formula>IF(BG6&gt;=BH6,IF(BG6="",FALSE,TRUE))</formula>
    </cfRule>
  </conditionalFormatting>
  <conditionalFormatting sqref="AX6:AX16">
    <cfRule type="expression" dxfId="333" priority="570">
      <formula>OR(IF(AX6&lt;AY6,TRUE),IF(AND(AY6="",AX6&lt;&gt;""),TRUE))</formula>
    </cfRule>
    <cfRule type="expression" dxfId="332" priority="571">
      <formula>IF(AX6&gt;=AY6,IF(AX6="",FALSE,TRUE))</formula>
    </cfRule>
  </conditionalFormatting>
  <conditionalFormatting sqref="AL6:AL16">
    <cfRule type="expression" dxfId="331" priority="564">
      <formula>OR(IF(AL6&lt;AM6,TRUE),IF(AND(AM6="",AL6&lt;&gt;""),TRUE))</formula>
    </cfRule>
    <cfRule type="expression" dxfId="330" priority="565">
      <formula>IF(AL6&gt;=AM6,IF(AL6="",FALSE,TRUE))</formula>
    </cfRule>
  </conditionalFormatting>
  <conditionalFormatting sqref="AC6:AC16">
    <cfRule type="expression" dxfId="329" priority="562">
      <formula>OR(IF(AC6&lt;AD6,TRUE),IF(AND(AD6="",AC6&lt;&gt;""),TRUE))</formula>
    </cfRule>
    <cfRule type="expression" dxfId="328" priority="563">
      <formula>IF(AC6&gt;=AD6,IF(AC6="",FALSE,TRUE))</formula>
    </cfRule>
  </conditionalFormatting>
  <conditionalFormatting sqref="X6:X16">
    <cfRule type="expression" dxfId="327" priority="556">
      <formula>OR(IF(X6&lt;Y6,TRUE),IF(AND(Y6="",X6&lt;&gt;""),TRUE))</formula>
    </cfRule>
    <cfRule type="expression" dxfId="326" priority="557">
      <formula>IF(X6&gt;=Y6,IF(X6="",FALSE,TRUE))</formula>
    </cfRule>
  </conditionalFormatting>
  <conditionalFormatting sqref="BE19:BE23 BG19:BG23">
    <cfRule type="expression" dxfId="325" priority="548">
      <formula>OR(IF(BE19&lt;BF19,TRUE),IF(AND(BF19="",BE19&lt;&gt;""),TRUE))</formula>
    </cfRule>
    <cfRule type="expression" dxfId="324" priority="549">
      <formula>IF(BE19&gt;=BF19,IF(BE19="",FALSE,TRUE))</formula>
    </cfRule>
  </conditionalFormatting>
  <conditionalFormatting sqref="BE24:BE26">
    <cfRule type="expression" dxfId="323" priority="542">
      <formula>OR(IF(BE24&lt;BF24,TRUE),IF(AND(BF24="",BE24&lt;&gt;""),TRUE))</formula>
    </cfRule>
    <cfRule type="expression" dxfId="322" priority="543">
      <formula>IF(BE24&gt;=BF24,IF(BE24="",FALSE,TRUE))</formula>
    </cfRule>
  </conditionalFormatting>
  <conditionalFormatting sqref="BG24:BG26">
    <cfRule type="expression" dxfId="321" priority="540">
      <formula>OR(IF(BG24&lt;BH24,TRUE),IF(AND(BH24="",BG24&lt;&gt;""),TRUE))</formula>
    </cfRule>
    <cfRule type="expression" dxfId="320" priority="541">
      <formula>IF(BG24&gt;=BH24,IF(BG24="",FALSE,TRUE))</formula>
    </cfRule>
  </conditionalFormatting>
  <conditionalFormatting sqref="BE19:BE20">
    <cfRule type="expression" dxfId="319" priority="538">
      <formula>OR(IF(BE19&lt;BF19,TRUE),IF(AND(BF19="",BE19&lt;&gt;""),TRUE))</formula>
    </cfRule>
    <cfRule type="expression" dxfId="318" priority="539">
      <formula>IF(BE19&gt;=BF19,IF(BE19="",FALSE,TRUE))</formula>
    </cfRule>
  </conditionalFormatting>
  <conditionalFormatting sqref="BG19:BG20">
    <cfRule type="expression" dxfId="317" priority="536">
      <formula>OR(IF(BG19&lt;BH19,TRUE),IF(AND(BH19="",BG19&lt;&gt;""),TRUE))</formula>
    </cfRule>
    <cfRule type="expression" dxfId="316" priority="537">
      <formula>IF(BG19&gt;=BH19,IF(BG19="",FALSE,TRUE))</formula>
    </cfRule>
  </conditionalFormatting>
  <conditionalFormatting sqref="AX24:AX26">
    <cfRule type="expression" dxfId="315" priority="526">
      <formula>OR(IF(AX24&lt;AY24,TRUE),IF(AND(AY24="",AX24&lt;&gt;""),TRUE))</formula>
    </cfRule>
    <cfRule type="expression" dxfId="314" priority="527">
      <formula>IF(AX24&gt;=AY24,IF(AX24="",FALSE,TRUE))</formula>
    </cfRule>
  </conditionalFormatting>
  <conditionalFormatting sqref="AZ24:AZ26">
    <cfRule type="expression" dxfId="313" priority="524">
      <formula>OR(IF(AZ24&lt;BA24,TRUE),IF(AND(BA24="",AZ24&lt;&gt;""),TRUE))</formula>
    </cfRule>
    <cfRule type="expression" dxfId="312" priority="525">
      <formula>IF(AZ24&gt;=BA24,IF(AZ24="",FALSE,TRUE))</formula>
    </cfRule>
  </conditionalFormatting>
  <conditionalFormatting sqref="AX19:AX20">
    <cfRule type="expression" dxfId="311" priority="522">
      <formula>OR(IF(AX19&lt;AY19,TRUE),IF(AND(AY19="",AX19&lt;&gt;""),TRUE))</formula>
    </cfRule>
    <cfRule type="expression" dxfId="310" priority="523">
      <formula>IF(AX19&gt;=AY19,IF(AX19="",FALSE,TRUE))</formula>
    </cfRule>
  </conditionalFormatting>
  <conditionalFormatting sqref="AZ19:AZ20">
    <cfRule type="expression" dxfId="309" priority="520">
      <formula>OR(IF(AZ19&lt;BA19,TRUE),IF(AND(BA19="",AZ19&lt;&gt;""),TRUE))</formula>
    </cfRule>
    <cfRule type="expression" dxfId="308" priority="521">
      <formula>IF(AZ19&gt;=BA19,IF(AZ19="",FALSE,TRUE))</formula>
    </cfRule>
  </conditionalFormatting>
  <conditionalFormatting sqref="V19:V23 X19:X23">
    <cfRule type="expression" dxfId="307" priority="516">
      <formula>OR(IF(V19&lt;W19,TRUE),IF(AND(W19="",V19&lt;&gt;""),TRUE))</formula>
    </cfRule>
    <cfRule type="expression" dxfId="306" priority="517">
      <formula>IF(V19&gt;=W19,IF(V19="",FALSE,TRUE))</formula>
    </cfRule>
  </conditionalFormatting>
  <conditionalFormatting sqref="V24:V26">
    <cfRule type="expression" dxfId="305" priority="510">
      <formula>OR(IF(V24&lt;W24,TRUE),IF(AND(W24="",V24&lt;&gt;""),TRUE))</formula>
    </cfRule>
    <cfRule type="expression" dxfId="304" priority="511">
      <formula>IF(V24&gt;=W24,IF(V24="",FALSE,TRUE))</formula>
    </cfRule>
  </conditionalFormatting>
  <conditionalFormatting sqref="X24:X26">
    <cfRule type="expression" dxfId="303" priority="508">
      <formula>OR(IF(X24&lt;Y24,TRUE),IF(AND(Y24="",X24&lt;&gt;""),TRUE))</formula>
    </cfRule>
    <cfRule type="expression" dxfId="302" priority="509">
      <formula>IF(X24&gt;=Y24,IF(X24="",FALSE,TRUE))</formula>
    </cfRule>
  </conditionalFormatting>
  <conditionalFormatting sqref="V19:V20">
    <cfRule type="expression" dxfId="301" priority="506">
      <formula>OR(IF(V19&lt;W19,TRUE),IF(AND(W19="",V19&lt;&gt;""),TRUE))</formula>
    </cfRule>
    <cfRule type="expression" dxfId="300" priority="507">
      <formula>IF(V19&gt;=W19,IF(V19="",FALSE,TRUE))</formula>
    </cfRule>
  </conditionalFormatting>
  <conditionalFormatting sqref="X19:X20">
    <cfRule type="expression" dxfId="299" priority="504">
      <formula>OR(IF(X19&lt;Y19,TRUE),IF(AND(Y19="",X19&lt;&gt;""),TRUE))</formula>
    </cfRule>
    <cfRule type="expression" dxfId="298" priority="505">
      <formula>IF(X19&gt;=Y19,IF(X19="",FALSE,TRUE))</formula>
    </cfRule>
  </conditionalFormatting>
  <conditionalFormatting sqref="O19:O23 Q19:Q23">
    <cfRule type="expression" dxfId="297" priority="500">
      <formula>OR(IF(O19&lt;P19,TRUE),IF(AND(P19="",O19&lt;&gt;""),TRUE))</formula>
    </cfRule>
    <cfRule type="expression" dxfId="296" priority="501">
      <formula>IF(O19&gt;=P19,IF(O19="",FALSE,TRUE))</formula>
    </cfRule>
  </conditionalFormatting>
  <conditionalFormatting sqref="O24:O26">
    <cfRule type="expression" dxfId="295" priority="494">
      <formula>OR(IF(O24&lt;P24,TRUE),IF(AND(P24="",O24&lt;&gt;""),TRUE))</formula>
    </cfRule>
    <cfRule type="expression" dxfId="294" priority="495">
      <formula>IF(O24&gt;=P24,IF(O24="",FALSE,TRUE))</formula>
    </cfRule>
  </conditionalFormatting>
  <conditionalFormatting sqref="Q24:Q26">
    <cfRule type="expression" dxfId="293" priority="492">
      <formula>OR(IF(Q24&lt;R24,TRUE),IF(AND(R24="",Q24&lt;&gt;""),TRUE))</formula>
    </cfRule>
    <cfRule type="expression" dxfId="292" priority="493">
      <formula>IF(Q24&gt;=R24,IF(Q24="",FALSE,TRUE))</formula>
    </cfRule>
  </conditionalFormatting>
  <conditionalFormatting sqref="O19:O20">
    <cfRule type="expression" dxfId="291" priority="490">
      <formula>OR(IF(O19&lt;P19,TRUE),IF(AND(P19="",O19&lt;&gt;""),TRUE))</formula>
    </cfRule>
    <cfRule type="expression" dxfId="290" priority="491">
      <formula>IF(O19&gt;=P19,IF(O19="",FALSE,TRUE))</formula>
    </cfRule>
  </conditionalFormatting>
  <conditionalFormatting sqref="Q19:Q20">
    <cfRule type="expression" dxfId="289" priority="488">
      <formula>OR(IF(Q19&lt;R19,TRUE),IF(AND(R19="",Q19&lt;&gt;""),TRUE))</formula>
    </cfRule>
    <cfRule type="expression" dxfId="288" priority="489">
      <formula>IF(Q19&gt;=R19,IF(Q19="",FALSE,TRUE))</formula>
    </cfRule>
  </conditionalFormatting>
  <conditionalFormatting sqref="AZ33">
    <cfRule type="expression" dxfId="287" priority="458">
      <formula>OR(IF(AZ33&lt;BA33,TRUE),IF(AND(BA33="",AZ33&lt;&gt;""),TRUE))</formula>
    </cfRule>
    <cfRule type="expression" dxfId="286" priority="459">
      <formula>IF(AZ33&gt;=BA33,IF(AZ33="",FALSE,TRUE))</formula>
    </cfRule>
  </conditionalFormatting>
  <conditionalFormatting sqref="AX33">
    <cfRule type="expression" dxfId="285" priority="460">
      <formula>OR(IF(AX33&lt;AY33,TRUE),IF(AND(AY33="",AX33&lt;&gt;""),TRUE))</formula>
    </cfRule>
    <cfRule type="expression" dxfId="284" priority="461">
      <formula>IF(AX33&gt;=AY33,IF(AX33="",FALSE,TRUE))</formula>
    </cfRule>
  </conditionalFormatting>
  <conditionalFormatting sqref="AZ34 AX34">
    <cfRule type="expression" dxfId="283" priority="456">
      <formula>OR(IF(AX34&lt;AY34,TRUE),IF(AND(AY34="",AX34&lt;&gt;""),TRUE))</formula>
    </cfRule>
    <cfRule type="expression" dxfId="282" priority="457">
      <formula>IF(AX34&gt;=AY34,IF(AX34="",FALSE,TRUE))</formula>
    </cfRule>
  </conditionalFormatting>
  <conditionalFormatting sqref="BG33">
    <cfRule type="expression" dxfId="281" priority="450">
      <formula>OR(IF(BG33&lt;BH33,TRUE),IF(AND(BH33="",BG33&lt;&gt;""),TRUE))</formula>
    </cfRule>
    <cfRule type="expression" dxfId="280" priority="451">
      <formula>IF(BG33&gt;=BH33,IF(BG33="",FALSE,TRUE))</formula>
    </cfRule>
  </conditionalFormatting>
  <conditionalFormatting sqref="BE33">
    <cfRule type="expression" dxfId="279" priority="452">
      <formula>OR(IF(BE33&lt;BF33,TRUE),IF(AND(BF33="",BE33&lt;&gt;""),TRUE))</formula>
    </cfRule>
    <cfRule type="expression" dxfId="278" priority="453">
      <formula>IF(BE33&gt;=BF33,IF(BE33="",FALSE,TRUE))</formula>
    </cfRule>
  </conditionalFormatting>
  <conditionalFormatting sqref="BG34 BE34">
    <cfRule type="expression" dxfId="277" priority="448">
      <formula>OR(IF(BE34&lt;BF34,TRUE),IF(AND(BF34="",BE34&lt;&gt;""),TRUE))</formula>
    </cfRule>
    <cfRule type="expression" dxfId="276" priority="449">
      <formula>IF(BE34&gt;=BF34,IF(BE34="",FALSE,TRUE))</formula>
    </cfRule>
  </conditionalFormatting>
  <conditionalFormatting sqref="BS16">
    <cfRule type="expression" dxfId="275" priority="435">
      <formula>OR(IF(BS16&lt;BT16,TRUE),IF(AND(BT16="",BS16&lt;&gt;""),TRUE))</formula>
    </cfRule>
    <cfRule type="expression" dxfId="274" priority="436">
      <formula>IF(BS16&gt;=BT16,IF(BS16="",FALSE,TRUE))</formula>
    </cfRule>
  </conditionalFormatting>
  <conditionalFormatting sqref="BU16">
    <cfRule type="expression" dxfId="273" priority="433">
      <formula>OR(IF(BU16&lt;BV16,TRUE),IF(AND(BV16="",BU16&lt;&gt;""),TRUE))</formula>
    </cfRule>
    <cfRule type="expression" dxfId="272" priority="434">
      <formula>IF(BU16&gt;=BV16,IF(BU16="",FALSE,TRUE))</formula>
    </cfRule>
  </conditionalFormatting>
  <conditionalFormatting sqref="BS33">
    <cfRule type="expression" dxfId="271" priority="231">
      <formula>OR(IF(BS33&lt;BT33,TRUE),IF(AND(BT33="",BS33&lt;&gt;""),TRUE))</formula>
    </cfRule>
    <cfRule type="expression" dxfId="270" priority="232">
      <formula>IF(BS33&gt;=BT33,IF(BS33="",FALSE,TRUE))</formula>
    </cfRule>
  </conditionalFormatting>
  <conditionalFormatting sqref="BU33">
    <cfRule type="expression" dxfId="269" priority="229">
      <formula>OR(IF(BU33&lt;BV33,TRUE),IF(AND(BV33="",BU33&lt;&gt;""),TRUE))</formula>
    </cfRule>
    <cfRule type="expression" dxfId="268" priority="230">
      <formula>IF(BU33&gt;=BV33,IF(BU33="",FALSE,TRUE))</formula>
    </cfRule>
  </conditionalFormatting>
  <conditionalFormatting sqref="BU34 BS34">
    <cfRule type="expression" dxfId="267" priority="227">
      <formula>OR(IF(BS34&lt;BT34,TRUE),IF(AND(BT34="",BS34&lt;&gt;""),TRUE))</formula>
    </cfRule>
    <cfRule type="expression" dxfId="266" priority="228">
      <formula>IF(BS34&gt;=BT34,IF(BS34="",FALSE,TRUE))</formula>
    </cfRule>
  </conditionalFormatting>
  <conditionalFormatting sqref="BS19:BS20">
    <cfRule type="expression" dxfId="265" priority="237">
      <formula>OR(IF(BS19&lt;BT19,TRUE),IF(AND(BT19="",BS19&lt;&gt;""),TRUE))</formula>
    </cfRule>
    <cfRule type="expression" dxfId="264" priority="238">
      <formula>IF(BS19&gt;=BT19,IF(BS19="",FALSE,TRUE))</formula>
    </cfRule>
  </conditionalFormatting>
  <conditionalFormatting sqref="BU19:BU20">
    <cfRule type="expression" dxfId="263" priority="235">
      <formula>OR(IF(BU19&lt;BV19,TRUE),IF(AND(BV19="",BU19&lt;&gt;""),TRUE))</formula>
    </cfRule>
    <cfRule type="expression" dxfId="262" priority="236">
      <formula>IF(BU19&gt;=BV19,IF(BU19="",FALSE,TRUE))</formula>
    </cfRule>
  </conditionalFormatting>
  <conditionalFormatting sqref="BS6:BS14">
    <cfRule type="expression" dxfId="261" priority="251">
      <formula>OR(IF(BS6&lt;BT6,TRUE),IF(AND(BT6="",BS6&lt;&gt;""),TRUE))</formula>
    </cfRule>
    <cfRule type="expression" dxfId="260" priority="252">
      <formula>IF(BS6&gt;=BT6,IF(BS6="",FALSE,TRUE))</formula>
    </cfRule>
  </conditionalFormatting>
  <conditionalFormatting sqref="BS19:BS23 BU19:BU23">
    <cfRule type="expression" dxfId="259" priority="243">
      <formula>OR(IF(BS19&lt;BT19,TRUE),IF(AND(BT19="",BS19&lt;&gt;""),TRUE))</formula>
    </cfRule>
    <cfRule type="expression" dxfId="258" priority="244">
      <formula>IF(BS19&gt;=BT19,IF(BS19="",FALSE,TRUE))</formula>
    </cfRule>
  </conditionalFormatting>
  <conditionalFormatting sqref="BS24:BS26">
    <cfRule type="expression" dxfId="257" priority="241">
      <formula>OR(IF(BS24&lt;BT24,TRUE),IF(AND(BT24="",BS24&lt;&gt;""),TRUE))</formula>
    </cfRule>
    <cfRule type="expression" dxfId="256" priority="242">
      <formula>IF(BS24&gt;=BT24,IF(BS24="",FALSE,TRUE))</formula>
    </cfRule>
  </conditionalFormatting>
  <conditionalFormatting sqref="BU24:BU26">
    <cfRule type="expression" dxfId="255" priority="239">
      <formula>OR(IF(BU24&lt;BV24,TRUE),IF(AND(BV24="",BU24&lt;&gt;""),TRUE))</formula>
    </cfRule>
    <cfRule type="expression" dxfId="254" priority="240">
      <formula>IF(BU24&gt;=BV24,IF(BU24="",FALSE,TRUE))</formula>
    </cfRule>
  </conditionalFormatting>
  <conditionalFormatting sqref="BU6:BU14">
    <cfRule type="expression" dxfId="253" priority="249">
      <formula>OR(IF(BU6&lt;BV6,TRUE),IF(AND(BV6="",BU6&lt;&gt;""),TRUE))</formula>
    </cfRule>
    <cfRule type="expression" dxfId="252" priority="250">
      <formula>IF(BU6&gt;=BV6,IF(BU6="",FALSE,TRUE))</formula>
    </cfRule>
  </conditionalFormatting>
  <conditionalFormatting sqref="BU21:BU26 BS21:BS26">
    <cfRule type="expression" dxfId="251" priority="245">
      <formula>OR(IF(BS21&lt;BT21,TRUE),IF(AND(BT21="",BS21&lt;&gt;""),TRUE))</formula>
    </cfRule>
    <cfRule type="expression" dxfId="250" priority="246">
      <formula>IF(BS21&gt;=BT21,IF(BS21="",FALSE,TRUE))</formula>
    </cfRule>
  </conditionalFormatting>
  <conditionalFormatting sqref="BU27 BS27">
    <cfRule type="expression" dxfId="249" priority="247">
      <formula>OR(IF(BS27&lt;BT27,TRUE),IF(AND(BT27="",BS27&lt;&gt;""),TRUE))</formula>
    </cfRule>
    <cfRule type="expression" dxfId="248" priority="248">
      <formula>IF(BS27&gt;=BT27,IF(BS27="",FALSE,TRUE))</formula>
    </cfRule>
  </conditionalFormatting>
  <conditionalFormatting sqref="BU15">
    <cfRule type="expression" dxfId="247" priority="253">
      <formula>OR(IF(BU15&lt;BV15,TRUE),IF(AND(BV15="",BU15&lt;&gt;""),TRUE))</formula>
    </cfRule>
    <cfRule type="expression" dxfId="246" priority="254">
      <formula>IF(BU15&gt;=BV15,IF(BU15="",FALSE,TRUE))</formula>
    </cfRule>
  </conditionalFormatting>
  <conditionalFormatting sqref="BN24:BN26">
    <cfRule type="expression" dxfId="245" priority="271">
      <formula>OR(IF(BN24&lt;BO24,TRUE),IF(AND(BO24="",BN24&lt;&gt;""),TRUE))</formula>
    </cfRule>
    <cfRule type="expression" dxfId="244" priority="272">
      <formula>IF(BN24&gt;=BO24,IF(BN24="",FALSE,TRUE))</formula>
    </cfRule>
  </conditionalFormatting>
  <conditionalFormatting sqref="BL19:BL20">
    <cfRule type="expression" dxfId="243" priority="269">
      <formula>OR(IF(BL19&lt;BM19,TRUE),IF(AND(BM19="",BL19&lt;&gt;""),TRUE))</formula>
    </cfRule>
    <cfRule type="expression" dxfId="242" priority="270">
      <formula>IF(BL19&gt;=BM19,IF(BL19="",FALSE,TRUE))</formula>
    </cfRule>
  </conditionalFormatting>
  <conditionalFormatting sqref="BN19:BN20">
    <cfRule type="expression" dxfId="241" priority="267">
      <formula>OR(IF(BN19&lt;BO19,TRUE),IF(AND(BO19="",BN19&lt;&gt;""),TRUE))</formula>
    </cfRule>
    <cfRule type="expression" dxfId="240" priority="268">
      <formula>IF(BN19&gt;=BO19,IF(BN19="",FALSE,TRUE))</formula>
    </cfRule>
  </conditionalFormatting>
  <conditionalFormatting sqref="BL33">
    <cfRule type="expression" dxfId="239" priority="263">
      <formula>OR(IF(BL33&lt;BM33,TRUE),IF(AND(BM33="",BL33&lt;&gt;""),TRUE))</formula>
    </cfRule>
    <cfRule type="expression" dxfId="238" priority="264">
      <formula>IF(BL33&gt;=BM33,IF(BL33="",FALSE,TRUE))</formula>
    </cfRule>
  </conditionalFormatting>
  <conditionalFormatting sqref="BN33">
    <cfRule type="expression" dxfId="237" priority="261">
      <formula>OR(IF(BN33&lt;BO33,TRUE),IF(AND(BO33="",BN33&lt;&gt;""),TRUE))</formula>
    </cfRule>
    <cfRule type="expression" dxfId="236" priority="262">
      <formula>IF(BN33&gt;=BO33,IF(BN33="",FALSE,TRUE))</formula>
    </cfRule>
  </conditionalFormatting>
  <conditionalFormatting sqref="BN34 BL34">
    <cfRule type="expression" dxfId="235" priority="259">
      <formula>OR(IF(BL34&lt;BM34,TRUE),IF(AND(BM34="",BL34&lt;&gt;""),TRUE))</formula>
    </cfRule>
    <cfRule type="expression" dxfId="234" priority="260">
      <formula>IF(BL34&gt;=BM34,IF(BL34="",FALSE,TRUE))</formula>
    </cfRule>
  </conditionalFormatting>
  <conditionalFormatting sqref="BS15">
    <cfRule type="expression" dxfId="233" priority="255">
      <formula>OR(IF(BS15&lt;BT15,TRUE),IF(AND(BT15="",BS15&lt;&gt;""),TRUE))</formula>
    </cfRule>
    <cfRule type="expression" dxfId="232" priority="256">
      <formula>IF(BS15&gt;=BT15,IF(BS15="",FALSE,TRUE))</formula>
    </cfRule>
  </conditionalFormatting>
  <conditionalFormatting sqref="DB33">
    <cfRule type="expression" dxfId="231" priority="287">
      <formula>OR(IF(DB33&lt;DC33,TRUE),IF(AND(DC33="",DB33&lt;&gt;""),TRUE))</formula>
    </cfRule>
    <cfRule type="expression" dxfId="230" priority="288">
      <formula>IF(DB33&gt;=DC33,IF(DB33="",FALSE,TRUE))</formula>
    </cfRule>
  </conditionalFormatting>
  <conditionalFormatting sqref="DD33">
    <cfRule type="expression" dxfId="229" priority="285">
      <formula>OR(IF(DD33&lt;DE33,TRUE),IF(AND(DE33="",DD33&lt;&gt;""),TRUE))</formula>
    </cfRule>
    <cfRule type="expression" dxfId="228" priority="286">
      <formula>IF(DD33&gt;=DE33,IF(DD33="",FALSE,TRUE))</formula>
    </cfRule>
  </conditionalFormatting>
  <conditionalFormatting sqref="DD34 DB34">
    <cfRule type="expression" dxfId="227" priority="283">
      <formula>OR(IF(DB34&lt;DC34,TRUE),IF(AND(DC34="",DB34&lt;&gt;""),TRUE))</formula>
    </cfRule>
    <cfRule type="expression" dxfId="226" priority="284">
      <formula>IF(DB34&gt;=DC34,IF(DB34="",FALSE,TRUE))</formula>
    </cfRule>
  </conditionalFormatting>
  <conditionalFormatting sqref="BL6:BL14">
    <cfRule type="expression" dxfId="225" priority="281">
      <formula>OR(IF(BL6&lt;BM6,TRUE),IF(AND(BM6="",BL6&lt;&gt;""),TRUE))</formula>
    </cfRule>
    <cfRule type="expression" dxfId="224" priority="282">
      <formula>IF(BL6&gt;=BM6,IF(BL6="",FALSE,TRUE))</formula>
    </cfRule>
  </conditionalFormatting>
  <conditionalFormatting sqref="BN6:BN14">
    <cfRule type="expression" dxfId="223" priority="279">
      <formula>OR(IF(BN6&lt;BO6,TRUE),IF(AND(BO6="",BN6&lt;&gt;""),TRUE))</formula>
    </cfRule>
    <cfRule type="expression" dxfId="222" priority="280">
      <formula>IF(BN6&gt;=BO6,IF(BN6="",FALSE,TRUE))</formula>
    </cfRule>
  </conditionalFormatting>
  <conditionalFormatting sqref="BN21:BN26 BL21:BL26">
    <cfRule type="expression" dxfId="221" priority="277">
      <formula>OR(IF(BL21&lt;BM21,TRUE),IF(AND(BM21="",BL21&lt;&gt;""),TRUE))</formula>
    </cfRule>
    <cfRule type="expression" dxfId="220" priority="278">
      <formula>IF(BL21&gt;=BM21,IF(BL21="",FALSE,TRUE))</formula>
    </cfRule>
  </conditionalFormatting>
  <conditionalFormatting sqref="BL19:BL23 BN19:BN23">
    <cfRule type="expression" dxfId="219" priority="275">
      <formula>OR(IF(BL19&lt;BM19,TRUE),IF(AND(BM19="",BL19&lt;&gt;""),TRUE))</formula>
    </cfRule>
    <cfRule type="expression" dxfId="218" priority="276">
      <formula>IF(BL19&gt;=BM19,IF(BL19="",FALSE,TRUE))</formula>
    </cfRule>
  </conditionalFormatting>
  <conditionalFormatting sqref="BL24:BL26">
    <cfRule type="expression" dxfId="217" priority="273">
      <formula>OR(IF(BL24&lt;BM24,TRUE),IF(AND(BM24="",BL24&lt;&gt;""),TRUE))</formula>
    </cfRule>
    <cfRule type="expression" dxfId="216" priority="274">
      <formula>IF(BL24&gt;=BM24,IF(BL24="",FALSE,TRUE))</formula>
    </cfRule>
  </conditionalFormatting>
  <conditionalFormatting sqref="DB19:DB23 DD19:DD23 DB6:DB16">
    <cfRule type="expression" dxfId="215" priority="305">
      <formula>OR(IF(DB6&lt;DC6,TRUE),IF(AND(DC6="",DB6&lt;&gt;""),TRUE))</formula>
    </cfRule>
    <cfRule type="expression" dxfId="214" priority="306">
      <formula>IF(DB6&gt;=DC6,IF(DB6="",FALSE,TRUE))</formula>
    </cfRule>
  </conditionalFormatting>
  <conditionalFormatting sqref="DD6:DD16">
    <cfRule type="expression" dxfId="213" priority="303">
      <formula>OR(IF(DD6&lt;DE6,TRUE),IF(AND(DE6="",DD6&lt;&gt;""),TRUE))</formula>
    </cfRule>
    <cfRule type="expression" dxfId="212" priority="304">
      <formula>IF(DD6&gt;=DE6,IF(DD6="",FALSE,TRUE))</formula>
    </cfRule>
  </conditionalFormatting>
  <conditionalFormatting sqref="DB24:DB26">
    <cfRule type="expression" dxfId="211" priority="297">
      <formula>OR(IF(DB24&lt;DC24,TRUE),IF(AND(DC24="",DB24&lt;&gt;""),TRUE))</formula>
    </cfRule>
    <cfRule type="expression" dxfId="210" priority="298">
      <formula>IF(DB24&gt;=DC24,IF(DB24="",FALSE,TRUE))</formula>
    </cfRule>
  </conditionalFormatting>
  <conditionalFormatting sqref="DD24:DD26">
    <cfRule type="expression" dxfId="209" priority="295">
      <formula>OR(IF(DD24&lt;DE24,TRUE),IF(AND(DE24="",DD24&lt;&gt;""),TRUE))</formula>
    </cfRule>
    <cfRule type="expression" dxfId="208" priority="296">
      <formula>IF(DD24&gt;=DE24,IF(DD24="",FALSE,TRUE))</formula>
    </cfRule>
  </conditionalFormatting>
  <conditionalFormatting sqref="DB19:DB20">
    <cfRule type="expression" dxfId="207" priority="293">
      <formula>OR(IF(DB19&lt;DC19,TRUE),IF(AND(DC19="",DB19&lt;&gt;""),TRUE))</formula>
    </cfRule>
    <cfRule type="expression" dxfId="206" priority="294">
      <formula>IF(DB19&gt;=DC19,IF(DB19="",FALSE,TRUE))</formula>
    </cfRule>
  </conditionalFormatting>
  <conditionalFormatting sqref="DD19:DD20">
    <cfRule type="expression" dxfId="205" priority="291">
      <formula>OR(IF(DD19&lt;DE19,TRUE),IF(AND(DE19="",DD19&lt;&gt;""),TRUE))</formula>
    </cfRule>
    <cfRule type="expression" dxfId="204" priority="292">
      <formula>IF(DD19&gt;=DE19,IF(DD19="",FALSE,TRUE))</formula>
    </cfRule>
  </conditionalFormatting>
  <conditionalFormatting sqref="BZ16">
    <cfRule type="expression" dxfId="203" priority="221">
      <formula>OR(IF(BZ16&lt;CA16,TRUE),IF(AND(CA16="",BZ16&lt;&gt;""),TRUE))</formula>
    </cfRule>
    <cfRule type="expression" dxfId="202" priority="222">
      <formula>IF(BZ16&gt;=CA16,IF(BZ16="",FALSE,TRUE))</formula>
    </cfRule>
  </conditionalFormatting>
  <conditionalFormatting sqref="CB16">
    <cfRule type="expression" dxfId="201" priority="219">
      <formula>OR(IF(CB16&lt;CC16,TRUE),IF(AND(CC16="",CB16&lt;&gt;""),TRUE))</formula>
    </cfRule>
    <cfRule type="expression" dxfId="200" priority="220">
      <formula>IF(CB16&gt;=CC16,IF(CB16="",FALSE,TRUE))</formula>
    </cfRule>
  </conditionalFormatting>
  <conditionalFormatting sqref="BZ15">
    <cfRule type="expression" dxfId="199" priority="217">
      <formula>OR(IF(BZ15&lt;CA15,TRUE),IF(AND(CA15="",BZ15&lt;&gt;""),TRUE))</formula>
    </cfRule>
    <cfRule type="expression" dxfId="198" priority="218">
      <formula>IF(BZ15&gt;=CA15,IF(BZ15="",FALSE,TRUE))</formula>
    </cfRule>
  </conditionalFormatting>
  <conditionalFormatting sqref="CB15">
    <cfRule type="expression" dxfId="197" priority="215">
      <formula>OR(IF(CB15&lt;CC15,TRUE),IF(AND(CC15="",CB15&lt;&gt;""),TRUE))</formula>
    </cfRule>
    <cfRule type="expression" dxfId="196" priority="216">
      <formula>IF(CB15&gt;=CC15,IF(CB15="",FALSE,TRUE))</formula>
    </cfRule>
  </conditionalFormatting>
  <conditionalFormatting sqref="BZ6:BZ14">
    <cfRule type="expression" dxfId="195" priority="213">
      <formula>OR(IF(BZ6&lt;CA6,TRUE),IF(AND(CA6="",BZ6&lt;&gt;""),TRUE))</formula>
    </cfRule>
    <cfRule type="expression" dxfId="194" priority="214">
      <formula>IF(BZ6&gt;=CA6,IF(BZ6="",FALSE,TRUE))</formula>
    </cfRule>
  </conditionalFormatting>
  <conditionalFormatting sqref="CB6:CB14">
    <cfRule type="expression" dxfId="193" priority="211">
      <formula>OR(IF(CB6&lt;CC6,TRUE),IF(AND(CC6="",CB6&lt;&gt;""),TRUE))</formula>
    </cfRule>
    <cfRule type="expression" dxfId="192" priority="212">
      <formula>IF(CB6&gt;=CC6,IF(CB6="",FALSE,TRUE))</formula>
    </cfRule>
  </conditionalFormatting>
  <conditionalFormatting sqref="CB27 BZ27">
    <cfRule type="expression" dxfId="191" priority="209">
      <formula>OR(IF(BZ27&lt;CA27,TRUE),IF(AND(CA27="",BZ27&lt;&gt;""),TRUE))</formula>
    </cfRule>
    <cfRule type="expression" dxfId="190" priority="210">
      <formula>IF(BZ27&gt;=CA27,IF(BZ27="",FALSE,TRUE))</formula>
    </cfRule>
  </conditionalFormatting>
  <conditionalFormatting sqref="CB21:CB26 BZ21:BZ26">
    <cfRule type="expression" dxfId="189" priority="207">
      <formula>OR(IF(BZ21&lt;CA21,TRUE),IF(AND(CA21="",BZ21&lt;&gt;""),TRUE))</formula>
    </cfRule>
    <cfRule type="expression" dxfId="188" priority="208">
      <formula>IF(BZ21&gt;=CA21,IF(BZ21="",FALSE,TRUE))</formula>
    </cfRule>
  </conditionalFormatting>
  <conditionalFormatting sqref="BZ19:BZ23 CB19:CB23">
    <cfRule type="expression" dxfId="187" priority="205">
      <formula>OR(IF(BZ19&lt;CA19,TRUE),IF(AND(CA19="",BZ19&lt;&gt;""),TRUE))</formula>
    </cfRule>
    <cfRule type="expression" dxfId="186" priority="206">
      <formula>IF(BZ19&gt;=CA19,IF(BZ19="",FALSE,TRUE))</formula>
    </cfRule>
  </conditionalFormatting>
  <conditionalFormatting sqref="BZ24:BZ26">
    <cfRule type="expression" dxfId="185" priority="203">
      <formula>OR(IF(BZ24&lt;CA24,TRUE),IF(AND(CA24="",BZ24&lt;&gt;""),TRUE))</formula>
    </cfRule>
    <cfRule type="expression" dxfId="184" priority="204">
      <formula>IF(BZ24&gt;=CA24,IF(BZ24="",FALSE,TRUE))</formula>
    </cfRule>
  </conditionalFormatting>
  <conditionalFormatting sqref="CB24:CB26">
    <cfRule type="expression" dxfId="183" priority="201">
      <formula>OR(IF(CB24&lt;CC24,TRUE),IF(AND(CC24="",CB24&lt;&gt;""),TRUE))</formula>
    </cfRule>
    <cfRule type="expression" dxfId="182" priority="202">
      <formula>IF(CB24&gt;=CC24,IF(CB24="",FALSE,TRUE))</formula>
    </cfRule>
  </conditionalFormatting>
  <conditionalFormatting sqref="BZ19:BZ20">
    <cfRule type="expression" dxfId="181" priority="199">
      <formula>OR(IF(BZ19&lt;CA19,TRUE),IF(AND(CA19="",BZ19&lt;&gt;""),TRUE))</formula>
    </cfRule>
    <cfRule type="expression" dxfId="180" priority="200">
      <formula>IF(BZ19&gt;=CA19,IF(BZ19="",FALSE,TRUE))</formula>
    </cfRule>
  </conditionalFormatting>
  <conditionalFormatting sqref="CB19:CB20">
    <cfRule type="expression" dxfId="179" priority="197">
      <formula>OR(IF(CB19&lt;CC19,TRUE),IF(AND(CC19="",CB19&lt;&gt;""),TRUE))</formula>
    </cfRule>
    <cfRule type="expression" dxfId="178" priority="198">
      <formula>IF(CB19&gt;=CC19,IF(CB19="",FALSE,TRUE))</formula>
    </cfRule>
  </conditionalFormatting>
  <conditionalFormatting sqref="CB33">
    <cfRule type="expression" dxfId="177" priority="191">
      <formula>OR(IF(CB33&lt;CC33,TRUE),IF(AND(CC33="",CB33&lt;&gt;""),TRUE))</formula>
    </cfRule>
    <cfRule type="expression" dxfId="176" priority="192">
      <formula>IF(CB33&gt;=CC33,IF(CB33="",FALSE,TRUE))</formula>
    </cfRule>
  </conditionalFormatting>
  <conditionalFormatting sqref="BZ33">
    <cfRule type="expression" dxfId="175" priority="193">
      <formula>OR(IF(BZ33&lt;CA33,TRUE),IF(AND(CA33="",BZ33&lt;&gt;""),TRUE))</formula>
    </cfRule>
    <cfRule type="expression" dxfId="174" priority="194">
      <formula>IF(BZ33&gt;=CA33,IF(BZ33="",FALSE,TRUE))</formula>
    </cfRule>
  </conditionalFormatting>
  <conditionalFormatting sqref="CB34 BZ34">
    <cfRule type="expression" dxfId="173" priority="189">
      <formula>OR(IF(BZ34&lt;CA34,TRUE),IF(AND(CA34="",BZ34&lt;&gt;""),TRUE))</formula>
    </cfRule>
    <cfRule type="expression" dxfId="172" priority="190">
      <formula>IF(BZ34&gt;=CA34,IF(BZ34="",FALSE,TRUE))</formula>
    </cfRule>
  </conditionalFormatting>
  <conditionalFormatting sqref="CG16">
    <cfRule type="expression" dxfId="171" priority="177">
      <formula>OR(IF(CG16&lt;CH16,TRUE),IF(AND(CH16="",CG16&lt;&gt;""),TRUE))</formula>
    </cfRule>
    <cfRule type="expression" dxfId="170" priority="178">
      <formula>IF(CG16&gt;=CH16,IF(CG16="",FALSE,TRUE))</formula>
    </cfRule>
  </conditionalFormatting>
  <conditionalFormatting sqref="CI16">
    <cfRule type="expression" dxfId="169" priority="175">
      <formula>OR(IF(CI16&lt;CJ16,TRUE),IF(AND(CJ16="",CI16&lt;&gt;""),TRUE))</formula>
    </cfRule>
    <cfRule type="expression" dxfId="168" priority="176">
      <formula>IF(CI16&gt;=CJ16,IF(CI16="",FALSE,TRUE))</formula>
    </cfRule>
  </conditionalFormatting>
  <conditionalFormatting sqref="CG15">
    <cfRule type="expression" dxfId="167" priority="173">
      <formula>OR(IF(CG15&lt;CH15,TRUE),IF(AND(CH15="",CG15&lt;&gt;""),TRUE))</formula>
    </cfRule>
    <cfRule type="expression" dxfId="166" priority="174">
      <formula>IF(CG15&gt;=CH15,IF(CG15="",FALSE,TRUE))</formula>
    </cfRule>
  </conditionalFormatting>
  <conditionalFormatting sqref="CI15">
    <cfRule type="expression" dxfId="165" priority="171">
      <formula>OR(IF(CI15&lt;CJ15,TRUE),IF(AND(CJ15="",CI15&lt;&gt;""),TRUE))</formula>
    </cfRule>
    <cfRule type="expression" dxfId="164" priority="172">
      <formula>IF(CI15&gt;=CJ15,IF(CI15="",FALSE,TRUE))</formula>
    </cfRule>
  </conditionalFormatting>
  <conditionalFormatting sqref="CG6:CG14">
    <cfRule type="expression" dxfId="163" priority="169">
      <formula>OR(IF(CG6&lt;CH6,TRUE),IF(AND(CH6="",CG6&lt;&gt;""),TRUE))</formula>
    </cfRule>
    <cfRule type="expression" dxfId="162" priority="170">
      <formula>IF(CG6&gt;=CH6,IF(CG6="",FALSE,TRUE))</formula>
    </cfRule>
  </conditionalFormatting>
  <conditionalFormatting sqref="CI6:CI14">
    <cfRule type="expression" dxfId="161" priority="167">
      <formula>OR(IF(CI6&lt;CJ6,TRUE),IF(AND(CJ6="",CI6&lt;&gt;""),TRUE))</formula>
    </cfRule>
    <cfRule type="expression" dxfId="160" priority="168">
      <formula>IF(CI6&gt;=CJ6,IF(CI6="",FALSE,TRUE))</formula>
    </cfRule>
  </conditionalFormatting>
  <conditionalFormatting sqref="CI27 CG27">
    <cfRule type="expression" dxfId="159" priority="165">
      <formula>OR(IF(CG27&lt;CH27,TRUE),IF(AND(CH27="",CG27&lt;&gt;""),TRUE))</formula>
    </cfRule>
    <cfRule type="expression" dxfId="158" priority="166">
      <formula>IF(CG27&gt;=CH27,IF(CG27="",FALSE,TRUE))</formula>
    </cfRule>
  </conditionalFormatting>
  <conditionalFormatting sqref="CI21:CI26 CG21:CG26">
    <cfRule type="expression" dxfId="157" priority="163">
      <formula>OR(IF(CG21&lt;CH21,TRUE),IF(AND(CH21="",CG21&lt;&gt;""),TRUE))</formula>
    </cfRule>
    <cfRule type="expression" dxfId="156" priority="164">
      <formula>IF(CG21&gt;=CH21,IF(CG21="",FALSE,TRUE))</formula>
    </cfRule>
  </conditionalFormatting>
  <conditionalFormatting sqref="CG19:CG23 CI19:CI23">
    <cfRule type="expression" dxfId="155" priority="161">
      <formula>OR(IF(CG19&lt;CH19,TRUE),IF(AND(CH19="",CG19&lt;&gt;""),TRUE))</formula>
    </cfRule>
    <cfRule type="expression" dxfId="154" priority="162">
      <formula>IF(CG19&gt;=CH19,IF(CG19="",FALSE,TRUE))</formula>
    </cfRule>
  </conditionalFormatting>
  <conditionalFormatting sqref="CG24:CG26">
    <cfRule type="expression" dxfId="153" priority="159">
      <formula>OR(IF(CG24&lt;CH24,TRUE),IF(AND(CH24="",CG24&lt;&gt;""),TRUE))</formula>
    </cfRule>
    <cfRule type="expression" dxfId="152" priority="160">
      <formula>IF(CG24&gt;=CH24,IF(CG24="",FALSE,TRUE))</formula>
    </cfRule>
  </conditionalFormatting>
  <conditionalFormatting sqref="CI24:CI26">
    <cfRule type="expression" dxfId="151" priority="157">
      <formula>OR(IF(CI24&lt;CJ24,TRUE),IF(AND(CJ24="",CI24&lt;&gt;""),TRUE))</formula>
    </cfRule>
    <cfRule type="expression" dxfId="150" priority="158">
      <formula>IF(CI24&gt;=CJ24,IF(CI24="",FALSE,TRUE))</formula>
    </cfRule>
  </conditionalFormatting>
  <conditionalFormatting sqref="CG19:CG20">
    <cfRule type="expression" dxfId="149" priority="155">
      <formula>OR(IF(CG19&lt;CH19,TRUE),IF(AND(CH19="",CG19&lt;&gt;""),TRUE))</formula>
    </cfRule>
    <cfRule type="expression" dxfId="148" priority="156">
      <formula>IF(CG19&gt;=CH19,IF(CG19="",FALSE,TRUE))</formula>
    </cfRule>
  </conditionalFormatting>
  <conditionalFormatting sqref="CI19:CI20">
    <cfRule type="expression" dxfId="147" priority="153">
      <formula>OR(IF(CI19&lt;CJ19,TRUE),IF(AND(CJ19="",CI19&lt;&gt;""),TRUE))</formula>
    </cfRule>
    <cfRule type="expression" dxfId="146" priority="154">
      <formula>IF(CI19&gt;=CJ19,IF(CI19="",FALSE,TRUE))</formula>
    </cfRule>
  </conditionalFormatting>
  <conditionalFormatting sqref="CI33">
    <cfRule type="expression" dxfId="145" priority="147">
      <formula>OR(IF(CI33&lt;CJ33,TRUE),IF(AND(CJ33="",CI33&lt;&gt;""),TRUE))</formula>
    </cfRule>
    <cfRule type="expression" dxfId="144" priority="148">
      <formula>IF(CI33&gt;=CJ33,IF(CI33="",FALSE,TRUE))</formula>
    </cfRule>
  </conditionalFormatting>
  <conditionalFormatting sqref="CG33">
    <cfRule type="expression" dxfId="143" priority="149">
      <formula>OR(IF(CG33&lt;CH33,TRUE),IF(AND(CH33="",CG33&lt;&gt;""),TRUE))</formula>
    </cfRule>
    <cfRule type="expression" dxfId="142" priority="150">
      <formula>IF(CG33&gt;=CH33,IF(CG33="",FALSE,TRUE))</formula>
    </cfRule>
  </conditionalFormatting>
  <conditionalFormatting sqref="CI34 CG34">
    <cfRule type="expression" dxfId="141" priority="145">
      <formula>OR(IF(CG34&lt;CH34,TRUE),IF(AND(CH34="",CG34&lt;&gt;""),TRUE))</formula>
    </cfRule>
    <cfRule type="expression" dxfId="140" priority="146">
      <formula>IF(CG34&gt;=CH34,IF(CG34="",FALSE,TRUE))</formula>
    </cfRule>
  </conditionalFormatting>
  <conditionalFormatting sqref="CN16">
    <cfRule type="expression" dxfId="139" priority="133">
      <formula>OR(IF(CN16&lt;CO16,TRUE),IF(AND(CO16="",CN16&lt;&gt;""),TRUE))</formula>
    </cfRule>
    <cfRule type="expression" dxfId="138" priority="134">
      <formula>IF(CN16&gt;=CO16,IF(CN16="",FALSE,TRUE))</formula>
    </cfRule>
  </conditionalFormatting>
  <conditionalFormatting sqref="CP16">
    <cfRule type="expression" dxfId="137" priority="131">
      <formula>OR(IF(CP16&lt;CQ16,TRUE),IF(AND(CQ16="",CP16&lt;&gt;""),TRUE))</formula>
    </cfRule>
    <cfRule type="expression" dxfId="136" priority="132">
      <formula>IF(CP16&gt;=CQ16,IF(CP16="",FALSE,TRUE))</formula>
    </cfRule>
  </conditionalFormatting>
  <conditionalFormatting sqref="CN15">
    <cfRule type="expression" dxfId="135" priority="129">
      <formula>OR(IF(CN15&lt;CO15,TRUE),IF(AND(CO15="",CN15&lt;&gt;""),TRUE))</formula>
    </cfRule>
    <cfRule type="expression" dxfId="134" priority="130">
      <formula>IF(CN15&gt;=CO15,IF(CN15="",FALSE,TRUE))</formula>
    </cfRule>
  </conditionalFormatting>
  <conditionalFormatting sqref="CP15">
    <cfRule type="expression" dxfId="133" priority="127">
      <formula>OR(IF(CP15&lt;CQ15,TRUE),IF(AND(CQ15="",CP15&lt;&gt;""),TRUE))</formula>
    </cfRule>
    <cfRule type="expression" dxfId="132" priority="128">
      <formula>IF(CP15&gt;=CQ15,IF(CP15="",FALSE,TRUE))</formula>
    </cfRule>
  </conditionalFormatting>
  <conditionalFormatting sqref="CN6:CN14">
    <cfRule type="expression" dxfId="131" priority="125">
      <formula>OR(IF(CN6&lt;CO6,TRUE),IF(AND(CO6="",CN6&lt;&gt;""),TRUE))</formula>
    </cfRule>
    <cfRule type="expression" dxfId="130" priority="126">
      <formula>IF(CN6&gt;=CO6,IF(CN6="",FALSE,TRUE))</formula>
    </cfRule>
  </conditionalFormatting>
  <conditionalFormatting sqref="CP6:CP14">
    <cfRule type="expression" dxfId="129" priority="123">
      <formula>OR(IF(CP6&lt;CQ6,TRUE),IF(AND(CQ6="",CP6&lt;&gt;""),TRUE))</formula>
    </cfRule>
    <cfRule type="expression" dxfId="128" priority="124">
      <formula>IF(CP6&gt;=CQ6,IF(CP6="",FALSE,TRUE))</formula>
    </cfRule>
  </conditionalFormatting>
  <conditionalFormatting sqref="CP27 CN27">
    <cfRule type="expression" dxfId="127" priority="121">
      <formula>OR(IF(CN27&lt;CO27,TRUE),IF(AND(CO27="",CN27&lt;&gt;""),TRUE))</formula>
    </cfRule>
    <cfRule type="expression" dxfId="126" priority="122">
      <formula>IF(CN27&gt;=CO27,IF(CN27="",FALSE,TRUE))</formula>
    </cfRule>
  </conditionalFormatting>
  <conditionalFormatting sqref="CP21:CP26 CN21:CN26">
    <cfRule type="expression" dxfId="125" priority="119">
      <formula>OR(IF(CN21&lt;CO21,TRUE),IF(AND(CO21="",CN21&lt;&gt;""),TRUE))</formula>
    </cfRule>
    <cfRule type="expression" dxfId="124" priority="120">
      <formula>IF(CN21&gt;=CO21,IF(CN21="",FALSE,TRUE))</formula>
    </cfRule>
  </conditionalFormatting>
  <conditionalFormatting sqref="CN19:CN23 CP19:CP23">
    <cfRule type="expression" dxfId="123" priority="117">
      <formula>OR(IF(CN19&lt;CO19,TRUE),IF(AND(CO19="",CN19&lt;&gt;""),TRUE))</formula>
    </cfRule>
    <cfRule type="expression" dxfId="122" priority="118">
      <formula>IF(CN19&gt;=CO19,IF(CN19="",FALSE,TRUE))</formula>
    </cfRule>
  </conditionalFormatting>
  <conditionalFormatting sqref="CN24:CN26">
    <cfRule type="expression" dxfId="121" priority="115">
      <formula>OR(IF(CN24&lt;CO24,TRUE),IF(AND(CO24="",CN24&lt;&gt;""),TRUE))</formula>
    </cfRule>
    <cfRule type="expression" dxfId="120" priority="116">
      <formula>IF(CN24&gt;=CO24,IF(CN24="",FALSE,TRUE))</formula>
    </cfRule>
  </conditionalFormatting>
  <conditionalFormatting sqref="CP24:CP26">
    <cfRule type="expression" dxfId="119" priority="113">
      <formula>OR(IF(CP24&lt;CQ24,TRUE),IF(AND(CQ24="",CP24&lt;&gt;""),TRUE))</formula>
    </cfRule>
    <cfRule type="expression" dxfId="118" priority="114">
      <formula>IF(CP24&gt;=CQ24,IF(CP24="",FALSE,TRUE))</formula>
    </cfRule>
  </conditionalFormatting>
  <conditionalFormatting sqref="CN19:CN20">
    <cfRule type="expression" dxfId="117" priority="111">
      <formula>OR(IF(CN19&lt;CO19,TRUE),IF(AND(CO19="",CN19&lt;&gt;""),TRUE))</formula>
    </cfRule>
    <cfRule type="expression" dxfId="116" priority="112">
      <formula>IF(CN19&gt;=CO19,IF(CN19="",FALSE,TRUE))</formula>
    </cfRule>
  </conditionalFormatting>
  <conditionalFormatting sqref="CP19:CP20">
    <cfRule type="expression" dxfId="115" priority="109">
      <formula>OR(IF(CP19&lt;CQ19,TRUE),IF(AND(CQ19="",CP19&lt;&gt;""),TRUE))</formula>
    </cfRule>
    <cfRule type="expression" dxfId="114" priority="110">
      <formula>IF(CP19&gt;=CQ19,IF(CP19="",FALSE,TRUE))</formula>
    </cfRule>
  </conditionalFormatting>
  <conditionalFormatting sqref="CP33">
    <cfRule type="expression" dxfId="113" priority="103">
      <formula>OR(IF(CP33&lt;CQ33,TRUE),IF(AND(CQ33="",CP33&lt;&gt;""),TRUE))</formula>
    </cfRule>
    <cfRule type="expression" dxfId="112" priority="104">
      <formula>IF(CP33&gt;=CQ33,IF(CP33="",FALSE,TRUE))</formula>
    </cfRule>
  </conditionalFormatting>
  <conditionalFormatting sqref="CN33">
    <cfRule type="expression" dxfId="111" priority="105">
      <formula>OR(IF(CN33&lt;CO33,TRUE),IF(AND(CO33="",CN33&lt;&gt;""),TRUE))</formula>
    </cfRule>
    <cfRule type="expression" dxfId="110" priority="106">
      <formula>IF(CN33&gt;=CO33,IF(CN33="",FALSE,TRUE))</formula>
    </cfRule>
  </conditionalFormatting>
  <conditionalFormatting sqref="CP34 CN34">
    <cfRule type="expression" dxfId="109" priority="101">
      <formula>OR(IF(CN34&lt;CO34,TRUE),IF(AND(CO34="",CN34&lt;&gt;""),TRUE))</formula>
    </cfRule>
    <cfRule type="expression" dxfId="108" priority="102">
      <formula>IF(CN34&gt;=CO34,IF(CN34="",FALSE,TRUE))</formula>
    </cfRule>
  </conditionalFormatting>
  <conditionalFormatting sqref="CU16">
    <cfRule type="expression" dxfId="107" priority="89">
      <formula>OR(IF(CU16&lt;CV16,TRUE),IF(AND(CV16="",CU16&lt;&gt;""),TRUE))</formula>
    </cfRule>
    <cfRule type="expression" dxfId="106" priority="90">
      <formula>IF(CU16&gt;=CV16,IF(CU16="",FALSE,TRUE))</formula>
    </cfRule>
  </conditionalFormatting>
  <conditionalFormatting sqref="CW16">
    <cfRule type="expression" dxfId="105" priority="87">
      <formula>OR(IF(CW16&lt;CX16,TRUE),IF(AND(CX16="",CW16&lt;&gt;""),TRUE))</formula>
    </cfRule>
    <cfRule type="expression" dxfId="104" priority="88">
      <formula>IF(CW16&gt;=CX16,IF(CW16="",FALSE,TRUE))</formula>
    </cfRule>
  </conditionalFormatting>
  <conditionalFormatting sqref="CU15">
    <cfRule type="expression" dxfId="103" priority="85">
      <formula>OR(IF(CU15&lt;CV15,TRUE),IF(AND(CV15="",CU15&lt;&gt;""),TRUE))</formula>
    </cfRule>
    <cfRule type="expression" dxfId="102" priority="86">
      <formula>IF(CU15&gt;=CV15,IF(CU15="",FALSE,TRUE))</formula>
    </cfRule>
  </conditionalFormatting>
  <conditionalFormatting sqref="CW15">
    <cfRule type="expression" dxfId="101" priority="83">
      <formula>OR(IF(CW15&lt;CX15,TRUE),IF(AND(CX15="",CW15&lt;&gt;""),TRUE))</formula>
    </cfRule>
    <cfRule type="expression" dxfId="100" priority="84">
      <formula>IF(CW15&gt;=CX15,IF(CW15="",FALSE,TRUE))</formula>
    </cfRule>
  </conditionalFormatting>
  <conditionalFormatting sqref="CU6:CU14">
    <cfRule type="expression" dxfId="99" priority="81">
      <formula>OR(IF(CU6&lt;CV6,TRUE),IF(AND(CV6="",CU6&lt;&gt;""),TRUE))</formula>
    </cfRule>
    <cfRule type="expression" dxfId="98" priority="82">
      <formula>IF(CU6&gt;=CV6,IF(CU6="",FALSE,TRUE))</formula>
    </cfRule>
  </conditionalFormatting>
  <conditionalFormatting sqref="CW6:CW14">
    <cfRule type="expression" dxfId="97" priority="79">
      <formula>OR(IF(CW6&lt;CX6,TRUE),IF(AND(CX6="",CW6&lt;&gt;""),TRUE))</formula>
    </cfRule>
    <cfRule type="expression" dxfId="96" priority="80">
      <formula>IF(CW6&gt;=CX6,IF(CW6="",FALSE,TRUE))</formula>
    </cfRule>
  </conditionalFormatting>
  <conditionalFormatting sqref="CW27 CU27">
    <cfRule type="expression" dxfId="95" priority="77">
      <formula>OR(IF(CU27&lt;CV27,TRUE),IF(AND(CV27="",CU27&lt;&gt;""),TRUE))</formula>
    </cfRule>
    <cfRule type="expression" dxfId="94" priority="78">
      <formula>IF(CU27&gt;=CV27,IF(CU27="",FALSE,TRUE))</formula>
    </cfRule>
  </conditionalFormatting>
  <conditionalFormatting sqref="CW21:CW26 CU21:CU26">
    <cfRule type="expression" dxfId="93" priority="75">
      <formula>OR(IF(CU21&lt;CV21,TRUE),IF(AND(CV21="",CU21&lt;&gt;""),TRUE))</formula>
    </cfRule>
    <cfRule type="expression" dxfId="92" priority="76">
      <formula>IF(CU21&gt;=CV21,IF(CU21="",FALSE,TRUE))</formula>
    </cfRule>
  </conditionalFormatting>
  <conditionalFormatting sqref="CU19:CU23 CW19:CW23">
    <cfRule type="expression" dxfId="91" priority="73">
      <formula>OR(IF(CU19&lt;CV19,TRUE),IF(AND(CV19="",CU19&lt;&gt;""),TRUE))</formula>
    </cfRule>
    <cfRule type="expression" dxfId="90" priority="74">
      <formula>IF(CU19&gt;=CV19,IF(CU19="",FALSE,TRUE))</formula>
    </cfRule>
  </conditionalFormatting>
  <conditionalFormatting sqref="CU24:CU26">
    <cfRule type="expression" dxfId="89" priority="71">
      <formula>OR(IF(CU24&lt;CV24,TRUE),IF(AND(CV24="",CU24&lt;&gt;""),TRUE))</formula>
    </cfRule>
    <cfRule type="expression" dxfId="88" priority="72">
      <formula>IF(CU24&gt;=CV24,IF(CU24="",FALSE,TRUE))</formula>
    </cfRule>
  </conditionalFormatting>
  <conditionalFormatting sqref="CW24:CW26">
    <cfRule type="expression" dxfId="87" priority="69">
      <formula>OR(IF(CW24&lt;CX24,TRUE),IF(AND(CX24="",CW24&lt;&gt;""),TRUE))</formula>
    </cfRule>
    <cfRule type="expression" dxfId="86" priority="70">
      <formula>IF(CW24&gt;=CX24,IF(CW24="",FALSE,TRUE))</formula>
    </cfRule>
  </conditionalFormatting>
  <conditionalFormatting sqref="CU19:CU20">
    <cfRule type="expression" dxfId="85" priority="67">
      <formula>OR(IF(CU19&lt;CV19,TRUE),IF(AND(CV19="",CU19&lt;&gt;""),TRUE))</formula>
    </cfRule>
    <cfRule type="expression" dxfId="84" priority="68">
      <formula>IF(CU19&gt;=CV19,IF(CU19="",FALSE,TRUE))</formula>
    </cfRule>
  </conditionalFormatting>
  <conditionalFormatting sqref="CW19:CW20">
    <cfRule type="expression" dxfId="83" priority="65">
      <formula>OR(IF(CW19&lt;CX19,TRUE),IF(AND(CX19="",CW19&lt;&gt;""),TRUE))</formula>
    </cfRule>
    <cfRule type="expression" dxfId="82" priority="66">
      <formula>IF(CW19&gt;=CX19,IF(CW19="",FALSE,TRUE))</formula>
    </cfRule>
  </conditionalFormatting>
  <conditionalFormatting sqref="CW33">
    <cfRule type="expression" dxfId="81" priority="59">
      <formula>OR(IF(CW33&lt;CX33,TRUE),IF(AND(CX33="",CW33&lt;&gt;""),TRUE))</formula>
    </cfRule>
    <cfRule type="expression" dxfId="80" priority="60">
      <formula>IF(CW33&gt;=CX33,IF(CW33="",FALSE,TRUE))</formula>
    </cfRule>
  </conditionalFormatting>
  <conditionalFormatting sqref="CU33">
    <cfRule type="expression" dxfId="79" priority="61">
      <formula>OR(IF(CU33&lt;CV33,TRUE),IF(AND(CV33="",CU33&lt;&gt;""),TRUE))</formula>
    </cfRule>
    <cfRule type="expression" dxfId="78" priority="62">
      <formula>IF(CU33&gt;=CV33,IF(CU33="",FALSE,TRUE))</formula>
    </cfRule>
  </conditionalFormatting>
  <conditionalFormatting sqref="CW34 CU34">
    <cfRule type="expression" dxfId="77" priority="57">
      <formula>OR(IF(CU34&lt;CV34,TRUE),IF(AND(CV34="",CU34&lt;&gt;""),TRUE))</formula>
    </cfRule>
    <cfRule type="expression" dxfId="76" priority="58">
      <formula>IF(CU34&gt;=CV34,IF(CU34="",FALSE,TRUE))</formula>
    </cfRule>
  </conditionalFormatting>
  <conditionalFormatting sqref="K38">
    <cfRule type="colorScale" priority="52">
      <colorScale>
        <cfvo type="percent" val="0"/>
        <cfvo type="percent" val="100"/>
        <color rgb="FFFF231B"/>
        <color rgb="FF10FF07"/>
      </colorScale>
    </cfRule>
  </conditionalFormatting>
  <conditionalFormatting sqref="J20:K30">
    <cfRule type="colorScale" priority="1151">
      <colorScale>
        <cfvo type="percent" val="0"/>
        <cfvo type="percent" val="100"/>
        <color rgb="FFFF231B"/>
        <color rgb="FF10FF07"/>
      </colorScale>
    </cfRule>
  </conditionalFormatting>
  <conditionalFormatting sqref="J19:J30 J24:K26">
    <cfRule type="colorScale" priority="1152">
      <colorScale>
        <cfvo type="percent" val="0"/>
        <cfvo type="percent" val="100"/>
        <color rgb="FFFF231B"/>
        <color rgb="FF10FF07"/>
      </colorScale>
    </cfRule>
  </conditionalFormatting>
  <conditionalFormatting sqref="K19:K30">
    <cfRule type="colorScale" priority="1154">
      <colorScale>
        <cfvo type="percent" val="0"/>
        <cfvo type="percent" val="100"/>
        <color rgb="FFFF231B"/>
        <color rgb="FF10FF07"/>
      </colorScale>
    </cfRule>
  </conditionalFormatting>
  <conditionalFormatting sqref="J35:K45">
    <cfRule type="colorScale" priority="1175">
      <colorScale>
        <cfvo type="percent" val="0"/>
        <cfvo type="percent" val="100"/>
        <color rgb="FFFF231B"/>
        <color rgb="FF10FF07"/>
      </colorScale>
    </cfRule>
  </conditionalFormatting>
  <conditionalFormatting sqref="J35:J45 J33 J39:K44">
    <cfRule type="colorScale" priority="1176">
      <colorScale>
        <cfvo type="percent" val="0"/>
        <cfvo type="percent" val="100"/>
        <color rgb="FFFF231B"/>
        <color rgb="FF10FF07"/>
      </colorScale>
    </cfRule>
  </conditionalFormatting>
  <conditionalFormatting sqref="K35:K45 K33">
    <cfRule type="colorScale" priority="1179">
      <colorScale>
        <cfvo type="percent" val="0"/>
        <cfvo type="percent" val="100"/>
        <color rgb="FFFF231B"/>
        <color rgb="FF10FF07"/>
      </colorScale>
    </cfRule>
  </conditionalFormatting>
  <conditionalFormatting sqref="X5">
    <cfRule type="expression" dxfId="75" priority="50">
      <formula>OR(IF(X5&lt;Y5,TRUE),IF(AND(Y5="",X5&lt;&gt;""),TRUE))</formula>
    </cfRule>
    <cfRule type="expression" dxfId="74" priority="51">
      <formula>IF(X5&gt;=Y5,IF(X5="",FALSE,TRUE))</formula>
    </cfRule>
  </conditionalFormatting>
  <conditionalFormatting sqref="AC5">
    <cfRule type="expression" dxfId="73" priority="48">
      <formula>OR(IF(AC5&lt;AD5,TRUE),IF(AND(AD5="",AC5&lt;&gt;""),TRUE))</formula>
    </cfRule>
    <cfRule type="expression" dxfId="72" priority="49">
      <formula>IF(AC5&gt;=AD5,IF(AC5="",FALSE,TRUE))</formula>
    </cfRule>
  </conditionalFormatting>
  <conditionalFormatting sqref="AE5">
    <cfRule type="expression" dxfId="71" priority="46">
      <formula>OR(IF(AE5&lt;AF5,TRUE),IF(AND(AF5="",AE5&lt;&gt;""),TRUE))</formula>
    </cfRule>
    <cfRule type="expression" dxfId="70" priority="47">
      <formula>IF(AE5&gt;=AF5,IF(AE5="",FALSE,TRUE))</formula>
    </cfRule>
  </conditionalFormatting>
  <conditionalFormatting sqref="AJ5">
    <cfRule type="expression" dxfId="69" priority="44">
      <formula>OR(IF(AJ5&lt;AK5,TRUE),IF(AND(AK5="",AJ5&lt;&gt;""),TRUE))</formula>
    </cfRule>
    <cfRule type="expression" dxfId="68" priority="45">
      <formula>IF(AJ5&gt;=AK5,IF(AJ5="",FALSE,TRUE))</formula>
    </cfRule>
  </conditionalFormatting>
  <conditionalFormatting sqref="AL5">
    <cfRule type="expression" dxfId="67" priority="42">
      <formula>OR(IF(AL5&lt;AM5,TRUE),IF(AND(AM5="",AL5&lt;&gt;""),TRUE))</formula>
    </cfRule>
    <cfRule type="expression" dxfId="66" priority="43">
      <formula>IF(AL5&gt;=AM5,IF(AL5="",FALSE,TRUE))</formula>
    </cfRule>
  </conditionalFormatting>
  <conditionalFormatting sqref="AQ5">
    <cfRule type="expression" dxfId="65" priority="40">
      <formula>OR(IF(AQ5&lt;AR5,TRUE),IF(AND(AR5="",AQ5&lt;&gt;""),TRUE))</formula>
    </cfRule>
    <cfRule type="expression" dxfId="64" priority="41">
      <formula>IF(AQ5&gt;=AR5,IF(AQ5="",FALSE,TRUE))</formula>
    </cfRule>
  </conditionalFormatting>
  <conditionalFormatting sqref="AS5">
    <cfRule type="expression" dxfId="63" priority="38">
      <formula>OR(IF(AS5&lt;AT5,TRUE),IF(AND(AT5="",AS5&lt;&gt;""),TRUE))</formula>
    </cfRule>
    <cfRule type="expression" dxfId="62" priority="39">
      <formula>IF(AS5&gt;=AT5,IF(AS5="",FALSE,TRUE))</formula>
    </cfRule>
  </conditionalFormatting>
  <conditionalFormatting sqref="AX5">
    <cfRule type="expression" dxfId="61" priority="36">
      <formula>OR(IF(AX5&lt;AY5,TRUE),IF(AND(AY5="",AX5&lt;&gt;""),TRUE))</formula>
    </cfRule>
    <cfRule type="expression" dxfId="60" priority="37">
      <formula>IF(AX5&gt;=AY5,IF(AX5="",FALSE,TRUE))</formula>
    </cfRule>
  </conditionalFormatting>
  <conditionalFormatting sqref="AZ5">
    <cfRule type="expression" dxfId="59" priority="34">
      <formula>OR(IF(AZ5&lt;BA5,TRUE),IF(AND(BA5="",AZ5&lt;&gt;""),TRUE))</formula>
    </cfRule>
    <cfRule type="expression" dxfId="58" priority="35">
      <formula>IF(AZ5&gt;=BA5,IF(AZ5="",FALSE,TRUE))</formula>
    </cfRule>
  </conditionalFormatting>
  <conditionalFormatting sqref="BE5">
    <cfRule type="expression" dxfId="57" priority="32">
      <formula>OR(IF(BE5&lt;BF5,TRUE),IF(AND(BF5="",BE5&lt;&gt;""),TRUE))</formula>
    </cfRule>
    <cfRule type="expression" dxfId="56" priority="33">
      <formula>IF(BE5&gt;=BF5,IF(BE5="",FALSE,TRUE))</formula>
    </cfRule>
  </conditionalFormatting>
  <conditionalFormatting sqref="BG5">
    <cfRule type="expression" dxfId="55" priority="30">
      <formula>OR(IF(BG5&lt;BH5,TRUE),IF(AND(BH5="",BG5&lt;&gt;""),TRUE))</formula>
    </cfRule>
    <cfRule type="expression" dxfId="54" priority="31">
      <formula>IF(BG5&gt;=BH5,IF(BG5="",FALSE,TRUE))</formula>
    </cfRule>
  </conditionalFormatting>
  <conditionalFormatting sqref="BL5">
    <cfRule type="expression" dxfId="53" priority="28">
      <formula>OR(IF(BL5&lt;BM5,TRUE),IF(AND(BM5="",BL5&lt;&gt;""),TRUE))</formula>
    </cfRule>
    <cfRule type="expression" dxfId="52" priority="29">
      <formula>IF(BL5&gt;=BM5,IF(BL5="",FALSE,TRUE))</formula>
    </cfRule>
  </conditionalFormatting>
  <conditionalFormatting sqref="BN5">
    <cfRule type="expression" dxfId="51" priority="26">
      <formula>OR(IF(BN5&lt;BO5,TRUE),IF(AND(BO5="",BN5&lt;&gt;""),TRUE))</formula>
    </cfRule>
    <cfRule type="expression" dxfId="50" priority="27">
      <formula>IF(BN5&gt;=BO5,IF(BN5="",FALSE,TRUE))</formula>
    </cfRule>
  </conditionalFormatting>
  <conditionalFormatting sqref="BS5">
    <cfRule type="expression" dxfId="49" priority="24">
      <formula>OR(IF(BS5&lt;BT5,TRUE),IF(AND(BT5="",BS5&lt;&gt;""),TRUE))</formula>
    </cfRule>
    <cfRule type="expression" dxfId="48" priority="25">
      <formula>IF(BS5&gt;=BT5,IF(BS5="",FALSE,TRUE))</formula>
    </cfRule>
  </conditionalFormatting>
  <conditionalFormatting sqref="BU5">
    <cfRule type="expression" dxfId="47" priority="22">
      <formula>OR(IF(BU5&lt;BV5,TRUE),IF(AND(BV5="",BU5&lt;&gt;""),TRUE))</formula>
    </cfRule>
    <cfRule type="expression" dxfId="46" priority="23">
      <formula>IF(BU5&gt;=BV5,IF(BU5="",FALSE,TRUE))</formula>
    </cfRule>
  </conditionalFormatting>
  <conditionalFormatting sqref="BZ5">
    <cfRule type="expression" dxfId="45" priority="20">
      <formula>OR(IF(BZ5&lt;CA5,TRUE),IF(AND(CA5="",BZ5&lt;&gt;""),TRUE))</formula>
    </cfRule>
    <cfRule type="expression" dxfId="44" priority="21">
      <formula>IF(BZ5&gt;=CA5,IF(BZ5="",FALSE,TRUE))</formula>
    </cfRule>
  </conditionalFormatting>
  <conditionalFormatting sqref="CB5">
    <cfRule type="expression" dxfId="43" priority="18">
      <formula>OR(IF(CB5&lt;CC5,TRUE),IF(AND(CC5="",CB5&lt;&gt;""),TRUE))</formula>
    </cfRule>
    <cfRule type="expression" dxfId="42" priority="19">
      <formula>IF(CB5&gt;=CC5,IF(CB5="",FALSE,TRUE))</formula>
    </cfRule>
  </conditionalFormatting>
  <conditionalFormatting sqref="CG5">
    <cfRule type="expression" dxfId="41" priority="16">
      <formula>OR(IF(CG5&lt;CH5,TRUE),IF(AND(CH5="",CG5&lt;&gt;""),TRUE))</formula>
    </cfRule>
    <cfRule type="expression" dxfId="40" priority="17">
      <formula>IF(CG5&gt;=CH5,IF(CG5="",FALSE,TRUE))</formula>
    </cfRule>
  </conditionalFormatting>
  <conditionalFormatting sqref="CI5">
    <cfRule type="expression" dxfId="39" priority="14">
      <formula>OR(IF(CI5&lt;CJ5,TRUE),IF(AND(CJ5="",CI5&lt;&gt;""),TRUE))</formula>
    </cfRule>
    <cfRule type="expression" dxfId="38" priority="15">
      <formula>IF(CI5&gt;=CJ5,IF(CI5="",FALSE,TRUE))</formula>
    </cfRule>
  </conditionalFormatting>
  <conditionalFormatting sqref="CN5">
    <cfRule type="expression" dxfId="37" priority="12">
      <formula>OR(IF(CN5&lt;CO5,TRUE),IF(AND(CO5="",CN5&lt;&gt;""),TRUE))</formula>
    </cfRule>
    <cfRule type="expression" dxfId="36" priority="13">
      <formula>IF(CN5&gt;=CO5,IF(CN5="",FALSE,TRUE))</formula>
    </cfRule>
  </conditionalFormatting>
  <conditionalFormatting sqref="CP5">
    <cfRule type="expression" dxfId="35" priority="10">
      <formula>OR(IF(CP5&lt;CQ5,TRUE),IF(AND(CQ5="",CP5&lt;&gt;""),TRUE))</formula>
    </cfRule>
    <cfRule type="expression" dxfId="34" priority="11">
      <formula>IF(CP5&gt;=CQ5,IF(CP5="",FALSE,TRUE))</formula>
    </cfRule>
  </conditionalFormatting>
  <conditionalFormatting sqref="CU5">
    <cfRule type="expression" dxfId="33" priority="8">
      <formula>OR(IF(CU5&lt;CV5,TRUE),IF(AND(CV5="",CU5&lt;&gt;""),TRUE))</formula>
    </cfRule>
    <cfRule type="expression" dxfId="32" priority="9">
      <formula>IF(CU5&gt;=CV5,IF(CU5="",FALSE,TRUE))</formula>
    </cfRule>
  </conditionalFormatting>
  <conditionalFormatting sqref="CW5">
    <cfRule type="expression" dxfId="31" priority="6">
      <formula>OR(IF(CW5&lt;CX5,TRUE),IF(AND(CX5="",CW5&lt;&gt;""),TRUE))</formula>
    </cfRule>
    <cfRule type="expression" dxfId="30" priority="7">
      <formula>IF(CW5&gt;=CX5,IF(CW5="",FALSE,TRUE))</formula>
    </cfRule>
  </conditionalFormatting>
  <conditionalFormatting sqref="DB5">
    <cfRule type="expression" dxfId="29" priority="4">
      <formula>OR(IF(DB5&lt;DC5,TRUE),IF(AND(DC5="",DB5&lt;&gt;""),TRUE))</formula>
    </cfRule>
    <cfRule type="expression" dxfId="28" priority="5">
      <formula>IF(DB5&gt;=DC5,IF(DB5="",FALSE,TRUE))</formula>
    </cfRule>
  </conditionalFormatting>
  <conditionalFormatting sqref="DD5">
    <cfRule type="expression" dxfId="27" priority="2">
      <formula>OR(IF(DD5&lt;DE5,TRUE),IF(AND(DE5="",DD5&lt;&gt;""),TRUE))</formula>
    </cfRule>
    <cfRule type="expression" dxfId="26" priority="3">
      <formula>IF(DD5&gt;=DE5,IF(DD5="",FALSE,TRUE))</formula>
    </cfRule>
  </conditionalFormatting>
  <conditionalFormatting sqref="K38">
    <cfRule type="colorScale" priority="1">
      <colorScale>
        <cfvo type="percent" val="0"/>
        <cfvo type="percent" val="100"/>
        <color rgb="FFFF231B"/>
        <color rgb="FF10FF07"/>
      </colorScale>
    </cfRule>
  </conditionalFormatting>
  <dataValidations count="1">
    <dataValidation type="list" allowBlank="1" showInputMessage="1" showErrorMessage="1" sqref="CG33:CJ45 AJ33:AM45 BS33:BV45 V5:Y16 AJ5:AM16 AC5:AF16 O33:R45 AQ33:AT45 V33:Y45 DB19:DE31 AC33:AF45 AX5:BA16 O5:R16 DB33:DE45 CU33:CX45 AQ5:AT16 BE5:BH16 AX33:BA45 BL5:BO16 BL33:BO45 CN33:CQ45 CU5:CX16 BS5:BV16 BE33:BH45 BZ5:CC16 BZ33:CC45 CN5:CQ16 CG5:CJ16 CG19:CJ31 BZ19:CC31 BS19:BV31 CN19:CQ31 BL19:BO31 BE19:BH31 AC19:AF31 AQ19:AT31 V19:Y31 AJ19:AM31 CU19:CX31 O19:R31 AX19:BA31 DB5:DE16" xr:uid="{DF46768B-76BD-4AD1-BDD9-05E5E50A35C8}">
      <formula1>"10%,20%,30%,40%,50%,60%,70%,80%,90%,100%"</formula1>
    </dataValidation>
  </dataValidation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M97"/>
  <sheetViews>
    <sheetView topLeftCell="G1" workbookViewId="0">
      <selection activeCell="M7" sqref="M7"/>
    </sheetView>
  </sheetViews>
  <sheetFormatPr defaultColWidth="10.58203125" defaultRowHeight="15.5"/>
  <cols>
    <col min="1" max="1" width="16.83203125" style="11" customWidth="1"/>
    <col min="2" max="2" width="19.08203125" style="11" customWidth="1"/>
    <col min="3" max="3" width="18.08203125" style="11" customWidth="1"/>
    <col min="4" max="4" width="19.5" style="11" customWidth="1"/>
    <col min="8" max="8" width="15.08203125" customWidth="1"/>
    <col min="10" max="10" width="21.33203125" customWidth="1"/>
    <col min="11" max="11" width="28.5" customWidth="1"/>
    <col min="12" max="12" width="34.08203125" customWidth="1"/>
    <col min="13" max="13" width="31.75" customWidth="1"/>
  </cols>
  <sheetData>
    <row r="1" spans="1:13" ht="31">
      <c r="A1" s="11" t="s">
        <v>45</v>
      </c>
      <c r="B1" s="17" t="s">
        <v>42</v>
      </c>
      <c r="C1" s="17" t="s">
        <v>43</v>
      </c>
      <c r="D1" s="17" t="s">
        <v>44</v>
      </c>
      <c r="E1" s="1" t="s">
        <v>46</v>
      </c>
      <c r="F1" s="1" t="s">
        <v>47</v>
      </c>
      <c r="G1" s="1" t="s">
        <v>96</v>
      </c>
      <c r="H1" s="1" t="s">
        <v>48</v>
      </c>
      <c r="I1" s="1" t="s">
        <v>49</v>
      </c>
      <c r="J1" s="1" t="s">
        <v>97</v>
      </c>
      <c r="K1" s="1" t="s">
        <v>124</v>
      </c>
      <c r="L1" s="1" t="s">
        <v>98</v>
      </c>
      <c r="M1" s="1" t="s">
        <v>99</v>
      </c>
    </row>
    <row r="2" spans="1:13">
      <c r="A2" s="16">
        <v>44298</v>
      </c>
      <c r="B2" s="11" t="s">
        <v>131</v>
      </c>
      <c r="C2" s="11" t="s">
        <v>131</v>
      </c>
      <c r="D2" s="18">
        <v>0.6</v>
      </c>
      <c r="I2" t="s">
        <v>155</v>
      </c>
      <c r="J2" t="s">
        <v>132</v>
      </c>
      <c r="K2" t="s">
        <v>137</v>
      </c>
    </row>
    <row r="3" spans="1:13">
      <c r="A3" s="16">
        <v>44299</v>
      </c>
      <c r="B3" s="11" t="s">
        <v>131</v>
      </c>
      <c r="C3" s="11" t="s">
        <v>131</v>
      </c>
      <c r="D3" s="18">
        <v>0.6</v>
      </c>
      <c r="I3" t="s">
        <v>155</v>
      </c>
      <c r="J3" t="s">
        <v>133</v>
      </c>
      <c r="K3" t="s">
        <v>134</v>
      </c>
      <c r="L3" t="s">
        <v>136</v>
      </c>
      <c r="M3" t="s">
        <v>135</v>
      </c>
    </row>
    <row r="4" spans="1:13">
      <c r="A4" s="16">
        <v>44300</v>
      </c>
      <c r="B4" s="11" t="s">
        <v>131</v>
      </c>
      <c r="C4" s="11" t="s">
        <v>131</v>
      </c>
      <c r="D4" s="18">
        <v>0.8</v>
      </c>
      <c r="I4" t="s">
        <v>155</v>
      </c>
      <c r="J4" t="s">
        <v>139</v>
      </c>
      <c r="K4" t="s">
        <v>140</v>
      </c>
      <c r="L4" t="s">
        <v>141</v>
      </c>
    </row>
    <row r="5" spans="1:13">
      <c r="A5" s="16">
        <v>44301</v>
      </c>
      <c r="B5" s="11" t="s">
        <v>131</v>
      </c>
      <c r="C5" s="11" t="s">
        <v>131</v>
      </c>
      <c r="D5" s="18">
        <v>0.6</v>
      </c>
      <c r="E5" s="42">
        <v>1700</v>
      </c>
      <c r="F5" t="s">
        <v>146</v>
      </c>
      <c r="G5" t="s">
        <v>145</v>
      </c>
      <c r="H5" t="s">
        <v>147</v>
      </c>
      <c r="I5" t="s">
        <v>155</v>
      </c>
      <c r="J5" s="11" t="s">
        <v>154</v>
      </c>
      <c r="K5" t="s">
        <v>143</v>
      </c>
      <c r="L5" t="s">
        <v>144</v>
      </c>
    </row>
    <row r="6" spans="1:13">
      <c r="A6" s="16">
        <v>44302</v>
      </c>
      <c r="B6" s="11" t="s">
        <v>131</v>
      </c>
      <c r="C6" s="11" t="s">
        <v>131</v>
      </c>
      <c r="D6" s="18">
        <v>0.8</v>
      </c>
      <c r="E6" s="42">
        <v>1600</v>
      </c>
      <c r="F6" t="s">
        <v>150</v>
      </c>
      <c r="G6" t="s">
        <v>151</v>
      </c>
      <c r="H6" t="s">
        <v>152</v>
      </c>
      <c r="I6" t="s">
        <v>155</v>
      </c>
      <c r="J6" t="s">
        <v>153</v>
      </c>
      <c r="K6" t="s">
        <v>156</v>
      </c>
      <c r="L6" t="s">
        <v>157</v>
      </c>
      <c r="M6" t="s">
        <v>158</v>
      </c>
    </row>
    <row r="7" spans="1:13">
      <c r="A7" s="16">
        <v>44303</v>
      </c>
      <c r="B7" s="11" t="s">
        <v>131</v>
      </c>
      <c r="C7" s="11" t="s">
        <v>131</v>
      </c>
      <c r="D7" s="18">
        <v>1</v>
      </c>
      <c r="F7" t="s">
        <v>165</v>
      </c>
      <c r="G7" t="s">
        <v>164</v>
      </c>
      <c r="H7" t="s">
        <v>166</v>
      </c>
      <c r="I7" t="s">
        <v>155</v>
      </c>
      <c r="J7" t="s">
        <v>167</v>
      </c>
      <c r="K7" t="s">
        <v>168</v>
      </c>
      <c r="L7" t="s">
        <v>169</v>
      </c>
      <c r="M7" t="s">
        <v>170</v>
      </c>
    </row>
    <row r="8" spans="1:13">
      <c r="A8" s="16">
        <v>44304</v>
      </c>
      <c r="D8" s="18"/>
    </row>
    <row r="9" spans="1:13">
      <c r="A9" s="16">
        <v>44305</v>
      </c>
      <c r="D9" s="18"/>
    </row>
    <row r="10" spans="1:13">
      <c r="A10" s="16">
        <v>44306</v>
      </c>
      <c r="D10" s="18"/>
    </row>
    <row r="11" spans="1:13">
      <c r="A11" s="16">
        <v>44307</v>
      </c>
      <c r="D11" s="18"/>
    </row>
    <row r="12" spans="1:13">
      <c r="A12" s="16">
        <v>44308</v>
      </c>
      <c r="D12" s="18"/>
    </row>
    <row r="13" spans="1:13">
      <c r="A13" s="16">
        <v>44309</v>
      </c>
      <c r="D13" s="18"/>
    </row>
    <row r="14" spans="1:13">
      <c r="A14" s="16">
        <v>44310</v>
      </c>
      <c r="D14" s="18"/>
    </row>
    <row r="15" spans="1:13">
      <c r="A15" s="16">
        <v>44311</v>
      </c>
      <c r="D15" s="18"/>
    </row>
    <row r="16" spans="1:13">
      <c r="A16" s="16">
        <v>44312</v>
      </c>
      <c r="D16" s="18"/>
    </row>
    <row r="17" spans="1:4">
      <c r="A17" s="16">
        <v>44313</v>
      </c>
      <c r="D17" s="18"/>
    </row>
    <row r="18" spans="1:4">
      <c r="A18" s="16">
        <v>44314</v>
      </c>
      <c r="D18" s="18"/>
    </row>
    <row r="19" spans="1:4">
      <c r="A19" s="16">
        <v>44315</v>
      </c>
      <c r="D19" s="18"/>
    </row>
    <row r="20" spans="1:4">
      <c r="A20" s="16">
        <v>44316</v>
      </c>
      <c r="D20" s="18"/>
    </row>
    <row r="21" spans="1:4">
      <c r="A21" s="16">
        <v>44317</v>
      </c>
      <c r="D21" s="18"/>
    </row>
    <row r="22" spans="1:4">
      <c r="A22" s="16">
        <v>44318</v>
      </c>
      <c r="D22" s="18"/>
    </row>
    <row r="23" spans="1:4">
      <c r="A23" s="16">
        <v>44319</v>
      </c>
      <c r="D23" s="18"/>
    </row>
    <row r="24" spans="1:4">
      <c r="A24" s="16">
        <v>44320</v>
      </c>
      <c r="D24" s="18"/>
    </row>
    <row r="25" spans="1:4">
      <c r="A25" s="16">
        <v>44321</v>
      </c>
      <c r="D25" s="18"/>
    </row>
    <row r="26" spans="1:4">
      <c r="A26" s="16">
        <v>44322</v>
      </c>
      <c r="D26" s="18"/>
    </row>
    <row r="27" spans="1:4">
      <c r="A27" s="16">
        <v>44323</v>
      </c>
      <c r="D27" s="18"/>
    </row>
    <row r="28" spans="1:4">
      <c r="A28" s="16">
        <v>44324</v>
      </c>
      <c r="D28" s="18"/>
    </row>
    <row r="29" spans="1:4">
      <c r="A29" s="16">
        <v>44325</v>
      </c>
      <c r="D29" s="18"/>
    </row>
    <row r="30" spans="1:4">
      <c r="A30" s="16">
        <v>44326</v>
      </c>
      <c r="D30" s="18"/>
    </row>
    <row r="31" spans="1:4">
      <c r="A31" s="16">
        <v>44327</v>
      </c>
      <c r="D31" s="18"/>
    </row>
    <row r="32" spans="1:4">
      <c r="A32" s="16">
        <v>44328</v>
      </c>
      <c r="D32" s="18"/>
    </row>
    <row r="33" spans="1:4">
      <c r="A33" s="16">
        <v>44329</v>
      </c>
      <c r="D33" s="18"/>
    </row>
    <row r="34" spans="1:4">
      <c r="A34" s="16">
        <v>44330</v>
      </c>
      <c r="D34" s="18"/>
    </row>
    <row r="35" spans="1:4">
      <c r="A35" s="16">
        <v>44331</v>
      </c>
      <c r="D35" s="18"/>
    </row>
    <row r="36" spans="1:4">
      <c r="A36" s="16">
        <v>44332</v>
      </c>
      <c r="D36" s="18"/>
    </row>
    <row r="37" spans="1:4">
      <c r="A37" s="16">
        <v>44333</v>
      </c>
      <c r="D37" s="18"/>
    </row>
    <row r="38" spans="1:4">
      <c r="A38" s="16">
        <v>44334</v>
      </c>
      <c r="D38" s="18"/>
    </row>
    <row r="39" spans="1:4">
      <c r="A39" s="16">
        <v>44335</v>
      </c>
      <c r="D39" s="18"/>
    </row>
    <row r="40" spans="1:4">
      <c r="A40" s="16">
        <v>44336</v>
      </c>
      <c r="D40" s="18"/>
    </row>
    <row r="41" spans="1:4">
      <c r="A41" s="16">
        <v>44337</v>
      </c>
      <c r="D41" s="18"/>
    </row>
    <row r="42" spans="1:4">
      <c r="A42" s="16">
        <v>44338</v>
      </c>
      <c r="D42" s="18"/>
    </row>
    <row r="43" spans="1:4">
      <c r="A43" s="16">
        <v>44339</v>
      </c>
      <c r="D43" s="18"/>
    </row>
    <row r="44" spans="1:4">
      <c r="A44" s="16">
        <v>44340</v>
      </c>
      <c r="D44" s="18"/>
    </row>
    <row r="45" spans="1:4">
      <c r="A45" s="16">
        <v>44341</v>
      </c>
      <c r="D45" s="18"/>
    </row>
    <row r="46" spans="1:4">
      <c r="A46" s="16">
        <v>44342</v>
      </c>
      <c r="D46" s="18"/>
    </row>
    <row r="47" spans="1:4">
      <c r="A47" s="16">
        <v>44343</v>
      </c>
      <c r="D47" s="18"/>
    </row>
    <row r="48" spans="1:4">
      <c r="A48" s="16">
        <v>44344</v>
      </c>
      <c r="D48" s="18"/>
    </row>
    <row r="49" spans="1:4">
      <c r="A49" s="16">
        <v>44345</v>
      </c>
      <c r="D49" s="18"/>
    </row>
    <row r="50" spans="1:4">
      <c r="A50" s="16">
        <v>44346</v>
      </c>
      <c r="D50" s="18"/>
    </row>
    <row r="51" spans="1:4">
      <c r="A51" s="16">
        <v>44347</v>
      </c>
      <c r="D51" s="18"/>
    </row>
    <row r="52" spans="1:4">
      <c r="A52" s="16">
        <v>44348</v>
      </c>
      <c r="D52" s="18"/>
    </row>
    <row r="53" spans="1:4">
      <c r="A53" s="16">
        <v>44349</v>
      </c>
      <c r="D53" s="18"/>
    </row>
    <row r="54" spans="1:4">
      <c r="A54" s="16">
        <v>44350</v>
      </c>
      <c r="D54" s="18"/>
    </row>
    <row r="55" spans="1:4">
      <c r="A55" s="16">
        <v>44351</v>
      </c>
      <c r="D55" s="18"/>
    </row>
    <row r="56" spans="1:4">
      <c r="A56" s="16">
        <v>44352</v>
      </c>
      <c r="D56" s="18"/>
    </row>
    <row r="57" spans="1:4">
      <c r="A57" s="16">
        <v>44353</v>
      </c>
      <c r="D57" s="18"/>
    </row>
    <row r="58" spans="1:4">
      <c r="A58" s="16">
        <v>44354</v>
      </c>
      <c r="D58" s="18"/>
    </row>
    <row r="59" spans="1:4">
      <c r="A59" s="16">
        <v>44355</v>
      </c>
      <c r="D59" s="18"/>
    </row>
    <row r="60" spans="1:4">
      <c r="A60" s="16">
        <v>44356</v>
      </c>
      <c r="D60" s="18"/>
    </row>
    <row r="61" spans="1:4">
      <c r="A61" s="16">
        <v>44357</v>
      </c>
      <c r="D61" s="18"/>
    </row>
    <row r="62" spans="1:4">
      <c r="A62" s="16">
        <v>44358</v>
      </c>
      <c r="D62" s="18"/>
    </row>
    <row r="63" spans="1:4">
      <c r="A63" s="16">
        <v>44359</v>
      </c>
      <c r="D63" s="18"/>
    </row>
    <row r="64" spans="1:4">
      <c r="A64" s="16">
        <v>44360</v>
      </c>
      <c r="D64" s="18"/>
    </row>
    <row r="65" spans="1:4">
      <c r="A65" s="16">
        <v>44361</v>
      </c>
      <c r="D65" s="18"/>
    </row>
    <row r="66" spans="1:4">
      <c r="A66" s="16">
        <v>44362</v>
      </c>
      <c r="D66" s="18"/>
    </row>
    <row r="67" spans="1:4">
      <c r="A67" s="16">
        <v>44363</v>
      </c>
      <c r="D67" s="18"/>
    </row>
    <row r="68" spans="1:4">
      <c r="A68" s="16">
        <v>44364</v>
      </c>
      <c r="D68" s="18"/>
    </row>
    <row r="69" spans="1:4">
      <c r="A69" s="16">
        <v>44365</v>
      </c>
      <c r="D69" s="18"/>
    </row>
    <row r="70" spans="1:4">
      <c r="A70" s="16">
        <v>44366</v>
      </c>
      <c r="D70" s="18"/>
    </row>
    <row r="71" spans="1:4">
      <c r="A71" s="16">
        <v>44367</v>
      </c>
      <c r="D71" s="18"/>
    </row>
    <row r="72" spans="1:4">
      <c r="A72" s="16">
        <v>44368</v>
      </c>
      <c r="D72" s="18"/>
    </row>
    <row r="73" spans="1:4">
      <c r="A73" s="16">
        <v>44369</v>
      </c>
      <c r="D73" s="18"/>
    </row>
    <row r="74" spans="1:4">
      <c r="A74" s="16">
        <v>44370</v>
      </c>
      <c r="D74" s="18"/>
    </row>
    <row r="75" spans="1:4">
      <c r="A75" s="16">
        <v>44371</v>
      </c>
      <c r="D75" s="18"/>
    </row>
    <row r="76" spans="1:4">
      <c r="A76" s="16">
        <v>44372</v>
      </c>
      <c r="D76" s="18"/>
    </row>
    <row r="77" spans="1:4">
      <c r="A77" s="16">
        <v>44373</v>
      </c>
      <c r="D77" s="18"/>
    </row>
    <row r="78" spans="1:4">
      <c r="A78" s="16">
        <v>44374</v>
      </c>
      <c r="D78" s="18"/>
    </row>
    <row r="79" spans="1:4">
      <c r="A79" s="16">
        <v>44375</v>
      </c>
      <c r="D79" s="18"/>
    </row>
    <row r="80" spans="1:4">
      <c r="A80" s="16">
        <v>44376</v>
      </c>
      <c r="D80" s="18"/>
    </row>
    <row r="81" spans="1:4">
      <c r="A81" s="16">
        <v>44377</v>
      </c>
      <c r="D81" s="18"/>
    </row>
    <row r="82" spans="1:4">
      <c r="A82" s="16">
        <v>44378</v>
      </c>
      <c r="D82" s="18"/>
    </row>
    <row r="83" spans="1:4">
      <c r="A83" s="16">
        <v>44379</v>
      </c>
      <c r="D83" s="18"/>
    </row>
    <row r="84" spans="1:4">
      <c r="A84" s="16">
        <v>44380</v>
      </c>
      <c r="D84" s="18"/>
    </row>
    <row r="85" spans="1:4">
      <c r="A85" s="16">
        <v>44381</v>
      </c>
      <c r="D85" s="18"/>
    </row>
    <row r="86" spans="1:4">
      <c r="A86" s="16">
        <v>44382</v>
      </c>
      <c r="D86" s="18"/>
    </row>
    <row r="87" spans="1:4">
      <c r="A87" s="16">
        <v>44383</v>
      </c>
      <c r="D87" s="18"/>
    </row>
    <row r="88" spans="1:4">
      <c r="A88" s="16">
        <v>44384</v>
      </c>
      <c r="D88" s="18"/>
    </row>
    <row r="89" spans="1:4">
      <c r="A89" s="16">
        <v>44385</v>
      </c>
      <c r="D89" s="18"/>
    </row>
    <row r="90" spans="1:4">
      <c r="A90" s="16">
        <v>44386</v>
      </c>
      <c r="D90" s="18"/>
    </row>
    <row r="91" spans="1:4">
      <c r="A91" s="16">
        <v>44387</v>
      </c>
      <c r="D91" s="18"/>
    </row>
    <row r="92" spans="1:4">
      <c r="A92" s="16">
        <v>44388</v>
      </c>
      <c r="D92" s="18"/>
    </row>
    <row r="93" spans="1:4">
      <c r="A93" s="16">
        <v>44389</v>
      </c>
      <c r="D93" s="18"/>
    </row>
    <row r="94" spans="1:4">
      <c r="A94" s="16">
        <v>44390</v>
      </c>
      <c r="D94" s="18"/>
    </row>
    <row r="95" spans="1:4">
      <c r="A95" s="16">
        <v>44391</v>
      </c>
      <c r="D95" s="18"/>
    </row>
    <row r="96" spans="1:4">
      <c r="A96" s="16">
        <v>44392</v>
      </c>
      <c r="D96" s="18"/>
    </row>
    <row r="97" spans="1:4">
      <c r="A97" s="16">
        <v>44393</v>
      </c>
      <c r="D97" s="18"/>
    </row>
  </sheetData>
  <conditionalFormatting sqref="B2:B97">
    <cfRule type="cellIs" dxfId="25" priority="23" operator="equal">
      <formula>"Ja"</formula>
    </cfRule>
    <cfRule type="cellIs" dxfId="24" priority="24" operator="equal">
      <formula>"Nein"</formula>
    </cfRule>
  </conditionalFormatting>
  <conditionalFormatting sqref="D2 D4 D6 D8 D10 D12 D14 D16 D18 D20 D22 D24 D26 D28 D30 D32 D34 D36 D38 D40 D42 D44 D46 D48 D50 D52 D54 D56 D58 D60 D62 D64 D66 D68 D70 D72 D74 D76 D78 D80 D82 D84 D86 D88 D90 D92 D94 D96">
    <cfRule type="cellIs" dxfId="23" priority="15" operator="equal">
      <formula>1</formula>
    </cfRule>
    <cfRule type="cellIs" dxfId="22" priority="16" operator="equal">
      <formula>0.8</formula>
    </cfRule>
    <cfRule type="cellIs" dxfId="21" priority="17" operator="equal">
      <formula>0.6</formula>
    </cfRule>
    <cfRule type="cellIs" dxfId="20" priority="18" operator="equal">
      <formula>0.4</formula>
    </cfRule>
    <cfRule type="cellIs" dxfId="19" priority="19" operator="equal">
      <formula>0.2</formula>
    </cfRule>
    <cfRule type="cellIs" dxfId="18" priority="20" operator="equal">
      <formula>0</formula>
    </cfRule>
  </conditionalFormatting>
  <conditionalFormatting sqref="B2:B97">
    <cfRule type="cellIs" dxfId="17" priority="13" operator="equal">
      <formula>"Ja"</formula>
    </cfRule>
  </conditionalFormatting>
  <conditionalFormatting sqref="C2:C97">
    <cfRule type="cellIs" dxfId="16" priority="11" operator="equal">
      <formula>"Ja"</formula>
    </cfRule>
    <cfRule type="cellIs" dxfId="15" priority="12" operator="equal">
      <formula>"Nein"</formula>
    </cfRule>
  </conditionalFormatting>
  <conditionalFormatting sqref="C2:C97">
    <cfRule type="cellIs" dxfId="14" priority="10" operator="equal">
      <formula>"Ja"</formula>
    </cfRule>
  </conditionalFormatting>
  <conditionalFormatting sqref="D3 D5 D7 D9 D11 D13 D15 D17 D19 D21 D23 D25 D27 D29 D31 D33 D35 D37 D39 D41 D43 D45 D47 D49 D51 D53 D55 D57 D59 D61 D63 D65 D67 D69 D71 D73 D75 D77 D79 D81 D83 D85 D87 D89 D91 D93 D95 D97">
    <cfRule type="cellIs" dxfId="13" priority="4" operator="equal">
      <formula>1</formula>
    </cfRule>
    <cfRule type="cellIs" dxfId="12" priority="5" operator="equal">
      <formula>0.8</formula>
    </cfRule>
    <cfRule type="cellIs" dxfId="11" priority="6" operator="equal">
      <formula>0.6</formula>
    </cfRule>
    <cfRule type="cellIs" dxfId="10" priority="7" operator="equal">
      <formula>0.4</formula>
    </cfRule>
    <cfRule type="cellIs" dxfId="9" priority="8" operator="equal">
      <formula>0.2</formula>
    </cfRule>
    <cfRule type="cellIs" dxfId="8" priority="9" operator="equal">
      <formula>0</formula>
    </cfRule>
  </conditionalFormatting>
  <conditionalFormatting sqref="J5">
    <cfRule type="cellIs" dxfId="7" priority="2" operator="equal">
      <formula>"Ja"</formula>
    </cfRule>
    <cfRule type="cellIs" dxfId="6" priority="3" operator="equal">
      <formula>"Nein"</formula>
    </cfRule>
  </conditionalFormatting>
  <conditionalFormatting sqref="J5">
    <cfRule type="cellIs" dxfId="5" priority="1" operator="equal">
      <formula>"Ja"</formula>
    </cfRule>
  </conditionalFormatting>
  <dataValidations count="2">
    <dataValidation type="list" allowBlank="1" showInputMessage="1" showErrorMessage="1" sqref="B2:C97 J5" xr:uid="{7FDD2772-70A7-4C43-8D43-0112E4DB6845}">
      <formula1>"Ja,Nein"</formula1>
    </dataValidation>
    <dataValidation type="list" allowBlank="1" showInputMessage="1" showErrorMessage="1" sqref="D2:D97"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AFAA7-8205-4450-83B2-3A8EC25AF495}">
  <dimension ref="B1:L34"/>
  <sheetViews>
    <sheetView zoomScale="64" workbookViewId="0">
      <selection activeCell="C16" sqref="C16"/>
    </sheetView>
  </sheetViews>
  <sheetFormatPr defaultColWidth="10.6640625" defaultRowHeight="15.5"/>
  <cols>
    <col min="4" max="4" width="53.83203125" customWidth="1"/>
    <col min="6" max="6" width="21.25" customWidth="1"/>
    <col min="12" max="12" width="21.25" customWidth="1"/>
  </cols>
  <sheetData>
    <row r="1" spans="2:12">
      <c r="B1" t="s">
        <v>120</v>
      </c>
      <c r="C1" t="s">
        <v>28</v>
      </c>
      <c r="D1" t="s">
        <v>121</v>
      </c>
    </row>
    <row r="2" spans="2:12">
      <c r="B2" s="10">
        <v>0.25</v>
      </c>
      <c r="C2" s="25" t="s">
        <v>100</v>
      </c>
    </row>
    <row r="3" spans="2:12">
      <c r="B3" s="10">
        <v>0.27083333333333398</v>
      </c>
      <c r="C3" s="25" t="s">
        <v>100</v>
      </c>
    </row>
    <row r="4" spans="2:12">
      <c r="B4" s="10">
        <v>0.29166666666666702</v>
      </c>
      <c r="C4" s="30" t="s">
        <v>91</v>
      </c>
      <c r="D4" t="s">
        <v>159</v>
      </c>
    </row>
    <row r="5" spans="2:12">
      <c r="B5" s="10">
        <v>0.3125</v>
      </c>
      <c r="C5" s="30" t="s">
        <v>91</v>
      </c>
    </row>
    <row r="6" spans="2:12">
      <c r="B6" s="10">
        <v>0.33333333333333398</v>
      </c>
      <c r="C6" s="30" t="s">
        <v>91</v>
      </c>
    </row>
    <row r="7" spans="2:12">
      <c r="B7" s="10">
        <v>0.35416666666666702</v>
      </c>
      <c r="C7" s="21" t="s">
        <v>51</v>
      </c>
      <c r="D7" t="s">
        <v>161</v>
      </c>
    </row>
    <row r="8" spans="2:12">
      <c r="B8" s="10">
        <v>0.375</v>
      </c>
      <c r="C8" s="21" t="s">
        <v>51</v>
      </c>
      <c r="D8" t="s">
        <v>160</v>
      </c>
    </row>
    <row r="9" spans="2:12">
      <c r="B9" s="10">
        <v>0.39583333333333398</v>
      </c>
      <c r="C9" s="21" t="s">
        <v>51</v>
      </c>
    </row>
    <row r="10" spans="2:12">
      <c r="B10" s="10">
        <v>0.41666666666666702</v>
      </c>
      <c r="C10" s="21" t="s">
        <v>51</v>
      </c>
      <c r="D10" t="s">
        <v>162</v>
      </c>
      <c r="G10" s="37"/>
      <c r="L10" s="39"/>
    </row>
    <row r="11" spans="2:12">
      <c r="B11" s="10">
        <v>0.4375</v>
      </c>
      <c r="C11" s="21" t="s">
        <v>51</v>
      </c>
      <c r="L11" s="41"/>
    </row>
    <row r="12" spans="2:12">
      <c r="B12" s="10">
        <v>0.45833333333333398</v>
      </c>
      <c r="C12" s="26" t="s">
        <v>90</v>
      </c>
      <c r="D12" t="s">
        <v>97</v>
      </c>
      <c r="F12" s="39" t="s">
        <v>129</v>
      </c>
      <c r="L12" s="39"/>
    </row>
    <row r="13" spans="2:12">
      <c r="B13" s="10">
        <v>0.47916666666666702</v>
      </c>
      <c r="C13" s="26" t="s">
        <v>90</v>
      </c>
      <c r="D13" t="s">
        <v>97</v>
      </c>
      <c r="F13" s="41">
        <v>44306</v>
      </c>
    </row>
    <row r="14" spans="2:12">
      <c r="B14" s="10">
        <v>0.5</v>
      </c>
      <c r="C14" s="29" t="s">
        <v>101</v>
      </c>
      <c r="F14" s="41">
        <v>44308</v>
      </c>
    </row>
    <row r="15" spans="2:12">
      <c r="B15" s="10">
        <v>0.52083333333333404</v>
      </c>
      <c r="C15" s="29" t="s">
        <v>101</v>
      </c>
      <c r="F15" s="39" t="s">
        <v>130</v>
      </c>
    </row>
    <row r="16" spans="2:12">
      <c r="B16" s="10">
        <v>0.54166666666666696</v>
      </c>
      <c r="C16" s="21" t="s">
        <v>51</v>
      </c>
      <c r="D16" t="s">
        <v>148</v>
      </c>
    </row>
    <row r="17" spans="2:7">
      <c r="B17" s="10">
        <v>0.5625</v>
      </c>
      <c r="C17" s="21" t="s">
        <v>51</v>
      </c>
      <c r="F17" t="s">
        <v>138</v>
      </c>
    </row>
    <row r="18" spans="2:7">
      <c r="B18" s="10">
        <v>0.58333333333333404</v>
      </c>
      <c r="C18" s="21" t="s">
        <v>51</v>
      </c>
    </row>
    <row r="19" spans="2:7">
      <c r="B19" s="10">
        <v>0.60416666666666696</v>
      </c>
      <c r="C19" s="26" t="s">
        <v>90</v>
      </c>
      <c r="F19" t="s">
        <v>142</v>
      </c>
      <c r="G19" t="s">
        <v>149</v>
      </c>
    </row>
    <row r="20" spans="2:7">
      <c r="B20" s="10">
        <v>0.625000000000001</v>
      </c>
      <c r="C20" s="35" t="s">
        <v>118</v>
      </c>
    </row>
    <row r="21" spans="2:7">
      <c r="B21" s="10">
        <v>0.64583333333333404</v>
      </c>
      <c r="C21" s="26" t="s">
        <v>90</v>
      </c>
    </row>
    <row r="22" spans="2:7">
      <c r="B22" s="10">
        <v>0.66666666666666696</v>
      </c>
      <c r="C22" s="40" t="s">
        <v>128</v>
      </c>
    </row>
    <row r="23" spans="2:7">
      <c r="B23" s="10">
        <v>0.687500000000001</v>
      </c>
      <c r="C23" s="40" t="s">
        <v>128</v>
      </c>
    </row>
    <row r="24" spans="2:7">
      <c r="B24" s="10">
        <v>0.70833333333333404</v>
      </c>
      <c r="C24" s="43" t="s">
        <v>163</v>
      </c>
    </row>
    <row r="25" spans="2:7">
      <c r="B25" s="10">
        <v>0.72916666666666696</v>
      </c>
      <c r="C25" s="43" t="s">
        <v>163</v>
      </c>
    </row>
    <row r="26" spans="2:7">
      <c r="B26" s="10">
        <v>0.750000000000001</v>
      </c>
      <c r="C26" s="26" t="s">
        <v>90</v>
      </c>
    </row>
    <row r="27" spans="2:7">
      <c r="B27" s="10">
        <v>0.77083333333333404</v>
      </c>
      <c r="C27" s="26" t="s">
        <v>90</v>
      </c>
    </row>
    <row r="28" spans="2:7">
      <c r="B28" s="10">
        <v>0.79166666666666696</v>
      </c>
      <c r="C28" s="26" t="s">
        <v>90</v>
      </c>
    </row>
    <row r="29" spans="2:7">
      <c r="B29" s="10">
        <v>0.812500000000001</v>
      </c>
      <c r="C29" s="22" t="s">
        <v>122</v>
      </c>
    </row>
    <row r="30" spans="2:7">
      <c r="B30" s="10">
        <v>0.83333333333333404</v>
      </c>
      <c r="C30" s="26" t="s">
        <v>90</v>
      </c>
    </row>
    <row r="31" spans="2:7">
      <c r="B31" s="10">
        <v>0.85416666666666696</v>
      </c>
      <c r="C31" s="26" t="s">
        <v>90</v>
      </c>
    </row>
    <row r="32" spans="2:7">
      <c r="B32" s="10">
        <v>0.875000000000001</v>
      </c>
      <c r="C32" s="26" t="s">
        <v>90</v>
      </c>
    </row>
    <row r="33" spans="2:3">
      <c r="B33" s="10">
        <v>0.89583333333333404</v>
      </c>
      <c r="C33" s="26" t="s">
        <v>90</v>
      </c>
    </row>
    <row r="34" spans="2:3">
      <c r="B34" s="37">
        <v>0.91666666666666663</v>
      </c>
      <c r="C34" s="26" t="s">
        <v>90</v>
      </c>
    </row>
  </sheetData>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21" zoomScale="82" workbookViewId="0">
      <selection activeCell="G32" sqref="G32:G33"/>
    </sheetView>
  </sheetViews>
  <sheetFormatPr defaultColWidth="10.58203125" defaultRowHeight="15.5"/>
  <cols>
    <col min="6" max="6" width="11.25" customWidth="1"/>
  </cols>
  <sheetData>
    <row r="1" spans="1:8" ht="25">
      <c r="B1" s="8" t="s">
        <v>25</v>
      </c>
      <c r="D1" s="24" t="s">
        <v>53</v>
      </c>
    </row>
    <row r="4" spans="1:8">
      <c r="B4" s="3" t="s">
        <v>4</v>
      </c>
      <c r="C4" s="3" t="s">
        <v>5</v>
      </c>
      <c r="D4" s="3" t="s">
        <v>6</v>
      </c>
      <c r="E4" s="3" t="s">
        <v>7</v>
      </c>
      <c r="F4" s="3" t="s">
        <v>10</v>
      </c>
      <c r="G4" s="3" t="s">
        <v>8</v>
      </c>
      <c r="H4" s="3" t="s">
        <v>9</v>
      </c>
    </row>
    <row r="5" spans="1:8">
      <c r="A5" s="10">
        <v>0.16666666666666666</v>
      </c>
      <c r="B5" s="20" t="s">
        <v>89</v>
      </c>
      <c r="C5" s="20" t="s">
        <v>89</v>
      </c>
      <c r="D5" s="20" t="s">
        <v>89</v>
      </c>
      <c r="E5" s="20" t="s">
        <v>89</v>
      </c>
      <c r="F5" s="20" t="s">
        <v>89</v>
      </c>
      <c r="G5" s="20" t="s">
        <v>89</v>
      </c>
      <c r="H5" s="20" t="s">
        <v>89</v>
      </c>
    </row>
    <row r="6" spans="1:8">
      <c r="A6" s="10">
        <v>0.1875</v>
      </c>
      <c r="B6" s="20" t="s">
        <v>89</v>
      </c>
      <c r="C6" s="20" t="s">
        <v>89</v>
      </c>
      <c r="D6" s="20" t="s">
        <v>89</v>
      </c>
      <c r="E6" s="20" t="s">
        <v>89</v>
      </c>
      <c r="F6" s="20" t="s">
        <v>89</v>
      </c>
      <c r="G6" s="20" t="s">
        <v>89</v>
      </c>
      <c r="H6" s="20" t="s">
        <v>89</v>
      </c>
    </row>
    <row r="7" spans="1:8">
      <c r="A7" s="10">
        <v>0.20833333333333301</v>
      </c>
      <c r="B7" s="20" t="s">
        <v>89</v>
      </c>
      <c r="C7" s="20" t="s">
        <v>89</v>
      </c>
      <c r="D7" s="20" t="s">
        <v>89</v>
      </c>
      <c r="E7" s="20" t="s">
        <v>89</v>
      </c>
      <c r="F7" s="20" t="s">
        <v>89</v>
      </c>
      <c r="G7" s="20" t="s">
        <v>89</v>
      </c>
      <c r="H7" s="20" t="s">
        <v>89</v>
      </c>
    </row>
    <row r="8" spans="1:8">
      <c r="A8" s="10">
        <v>0.22916666666666699</v>
      </c>
      <c r="B8" s="20" t="s">
        <v>89</v>
      </c>
      <c r="C8" s="20" t="s">
        <v>89</v>
      </c>
      <c r="D8" s="20" t="s">
        <v>89</v>
      </c>
      <c r="E8" s="20" t="s">
        <v>89</v>
      </c>
      <c r="F8" s="20" t="s">
        <v>89</v>
      </c>
      <c r="G8" s="20" t="s">
        <v>89</v>
      </c>
      <c r="H8" s="20" t="s">
        <v>89</v>
      </c>
    </row>
    <row r="9" spans="1:8">
      <c r="A9" s="10">
        <v>0.25</v>
      </c>
      <c r="B9" s="25" t="s">
        <v>100</v>
      </c>
      <c r="C9" s="25" t="s">
        <v>100</v>
      </c>
      <c r="D9" s="25" t="s">
        <v>100</v>
      </c>
      <c r="E9" s="25" t="s">
        <v>100</v>
      </c>
      <c r="F9" s="25" t="s">
        <v>100</v>
      </c>
      <c r="G9" s="25" t="s">
        <v>100</v>
      </c>
      <c r="H9" s="25" t="s">
        <v>100</v>
      </c>
    </row>
    <row r="10" spans="1:8">
      <c r="A10" s="10">
        <v>0.27083333333333398</v>
      </c>
      <c r="B10" s="25" t="s">
        <v>100</v>
      </c>
      <c r="C10" s="25" t="s">
        <v>100</v>
      </c>
      <c r="D10" s="25" t="s">
        <v>100</v>
      </c>
      <c r="E10" s="25" t="s">
        <v>100</v>
      </c>
      <c r="F10" s="25" t="s">
        <v>100</v>
      </c>
      <c r="G10" s="25" t="s">
        <v>100</v>
      </c>
      <c r="H10" s="25" t="s">
        <v>100</v>
      </c>
    </row>
    <row r="11" spans="1:8">
      <c r="A11" s="10">
        <v>0.29166666666666702</v>
      </c>
      <c r="B11" s="21" t="s">
        <v>51</v>
      </c>
      <c r="C11" s="21" t="s">
        <v>51</v>
      </c>
      <c r="D11" s="30" t="s">
        <v>91</v>
      </c>
      <c r="E11" s="21" t="s">
        <v>51</v>
      </c>
      <c r="F11" s="21" t="s">
        <v>51</v>
      </c>
      <c r="G11" s="30" t="s">
        <v>91</v>
      </c>
      <c r="H11" s="21" t="s">
        <v>51</v>
      </c>
    </row>
    <row r="12" spans="1:8">
      <c r="A12" s="10">
        <v>0.3125</v>
      </c>
      <c r="B12" s="21" t="s">
        <v>51</v>
      </c>
      <c r="C12" s="21" t="s">
        <v>51</v>
      </c>
      <c r="D12" s="30" t="s">
        <v>91</v>
      </c>
      <c r="E12" s="21" t="s">
        <v>51</v>
      </c>
      <c r="F12" s="21" t="s">
        <v>51</v>
      </c>
      <c r="G12" s="30" t="s">
        <v>91</v>
      </c>
      <c r="H12" s="21" t="s">
        <v>51</v>
      </c>
    </row>
    <row r="13" spans="1:8">
      <c r="A13" s="10">
        <v>0.33333333333333398</v>
      </c>
      <c r="B13" s="26" t="s">
        <v>90</v>
      </c>
      <c r="C13" s="21" t="s">
        <v>51</v>
      </c>
      <c r="D13" s="30" t="s">
        <v>91</v>
      </c>
      <c r="E13" s="21" t="s">
        <v>51</v>
      </c>
      <c r="F13" s="21" t="s">
        <v>51</v>
      </c>
      <c r="G13" s="30" t="s">
        <v>91</v>
      </c>
      <c r="H13" s="21" t="s">
        <v>51</v>
      </c>
    </row>
    <row r="14" spans="1:8">
      <c r="A14" s="10">
        <v>0.35416666666666702</v>
      </c>
      <c r="B14" s="26" t="s">
        <v>90</v>
      </c>
      <c r="C14" s="21" t="s">
        <v>51</v>
      </c>
      <c r="D14" s="30" t="s">
        <v>91</v>
      </c>
      <c r="E14" s="21" t="s">
        <v>51</v>
      </c>
      <c r="F14" s="21" t="s">
        <v>51</v>
      </c>
      <c r="G14" s="30" t="s">
        <v>91</v>
      </c>
      <c r="H14" s="21" t="s">
        <v>51</v>
      </c>
    </row>
    <row r="15" spans="1:8">
      <c r="A15" s="10">
        <v>0.375</v>
      </c>
      <c r="B15" s="21" t="s">
        <v>51</v>
      </c>
      <c r="C15" s="21" t="s">
        <v>51</v>
      </c>
      <c r="D15" s="30" t="s">
        <v>91</v>
      </c>
      <c r="E15" s="21" t="s">
        <v>51</v>
      </c>
      <c r="F15" s="21" t="s">
        <v>51</v>
      </c>
      <c r="G15" s="30" t="s">
        <v>91</v>
      </c>
      <c r="H15" s="21" t="s">
        <v>51</v>
      </c>
    </row>
    <row r="16" spans="1:8">
      <c r="A16" s="10">
        <v>0.39583333333333398</v>
      </c>
      <c r="B16" s="21" t="s">
        <v>51</v>
      </c>
      <c r="C16" s="21" t="s">
        <v>51</v>
      </c>
      <c r="D16" s="30" t="s">
        <v>91</v>
      </c>
      <c r="E16" s="21" t="s">
        <v>51</v>
      </c>
      <c r="F16" s="21" t="s">
        <v>51</v>
      </c>
      <c r="G16" s="26" t="s">
        <v>90</v>
      </c>
      <c r="H16" s="21" t="s">
        <v>51</v>
      </c>
    </row>
    <row r="17" spans="1:8">
      <c r="A17" s="10">
        <v>0.41666666666666702</v>
      </c>
      <c r="B17" s="21" t="s">
        <v>51</v>
      </c>
      <c r="C17" s="21" t="s">
        <v>51</v>
      </c>
      <c r="D17" s="30" t="s">
        <v>91</v>
      </c>
      <c r="E17" s="21" t="s">
        <v>51</v>
      </c>
      <c r="F17" s="35" t="s">
        <v>118</v>
      </c>
      <c r="G17" s="26" t="s">
        <v>90</v>
      </c>
      <c r="H17" s="21" t="s">
        <v>51</v>
      </c>
    </row>
    <row r="18" spans="1:8">
      <c r="A18" s="10">
        <v>0.4375</v>
      </c>
      <c r="B18" s="21" t="s">
        <v>51</v>
      </c>
      <c r="C18" s="21" t="s">
        <v>51</v>
      </c>
      <c r="D18" s="30" t="s">
        <v>91</v>
      </c>
      <c r="E18" s="21" t="s">
        <v>51</v>
      </c>
      <c r="F18" s="35" t="s">
        <v>118</v>
      </c>
      <c r="G18" s="26" t="s">
        <v>90</v>
      </c>
      <c r="H18" s="21" t="s">
        <v>51</v>
      </c>
    </row>
    <row r="19" spans="1:8">
      <c r="A19" s="10">
        <v>0.45833333333333398</v>
      </c>
      <c r="B19" s="21" t="s">
        <v>51</v>
      </c>
      <c r="C19" s="27" t="s">
        <v>97</v>
      </c>
      <c r="D19" s="27" t="s">
        <v>97</v>
      </c>
      <c r="E19" s="27" t="s">
        <v>97</v>
      </c>
      <c r="F19" s="35" t="s">
        <v>118</v>
      </c>
      <c r="G19" s="27" t="s">
        <v>97</v>
      </c>
      <c r="H19" s="26" t="s">
        <v>90</v>
      </c>
    </row>
    <row r="20" spans="1:8">
      <c r="A20" s="10">
        <v>0.47916666666666702</v>
      </c>
      <c r="B20" s="26" t="s">
        <v>90</v>
      </c>
      <c r="C20" s="27" t="s">
        <v>97</v>
      </c>
      <c r="D20" s="27" t="s">
        <v>97</v>
      </c>
      <c r="E20" s="27" t="s">
        <v>97</v>
      </c>
      <c r="F20" s="27" t="s">
        <v>97</v>
      </c>
      <c r="G20" s="27" t="s">
        <v>97</v>
      </c>
      <c r="H20" s="26" t="s">
        <v>90</v>
      </c>
    </row>
    <row r="21" spans="1:8">
      <c r="A21" s="10">
        <v>0.5</v>
      </c>
      <c r="B21" s="29" t="s">
        <v>101</v>
      </c>
      <c r="C21" s="29" t="s">
        <v>101</v>
      </c>
      <c r="D21" s="29" t="s">
        <v>101</v>
      </c>
      <c r="E21" s="29" t="s">
        <v>101</v>
      </c>
      <c r="F21" s="29" t="s">
        <v>101</v>
      </c>
      <c r="G21" s="29" t="s">
        <v>101</v>
      </c>
      <c r="H21" s="29" t="s">
        <v>101</v>
      </c>
    </row>
    <row r="22" spans="1:8">
      <c r="A22" s="10">
        <v>0.52083333333333404</v>
      </c>
      <c r="B22" s="29" t="s">
        <v>101</v>
      </c>
      <c r="C22" s="29" t="s">
        <v>101</v>
      </c>
      <c r="D22" s="29" t="s">
        <v>101</v>
      </c>
      <c r="E22" s="29" t="s">
        <v>101</v>
      </c>
      <c r="F22" s="29" t="s">
        <v>101</v>
      </c>
      <c r="G22" s="29" t="s">
        <v>101</v>
      </c>
      <c r="H22" s="29" t="s">
        <v>101</v>
      </c>
    </row>
    <row r="23" spans="1:8">
      <c r="A23" s="10">
        <v>0.54166666666666696</v>
      </c>
      <c r="B23" s="30" t="s">
        <v>91</v>
      </c>
      <c r="C23" s="35" t="s">
        <v>118</v>
      </c>
      <c r="D23" s="36" t="s">
        <v>119</v>
      </c>
      <c r="E23" s="30" t="s">
        <v>91</v>
      </c>
      <c r="F23" s="35" t="s">
        <v>118</v>
      </c>
      <c r="G23" s="30" t="s">
        <v>91</v>
      </c>
      <c r="H23" s="23" t="s">
        <v>113</v>
      </c>
    </row>
    <row r="24" spans="1:8">
      <c r="A24" s="10">
        <v>0.5625</v>
      </c>
      <c r="B24" s="30" t="s">
        <v>91</v>
      </c>
      <c r="C24" s="35" t="s">
        <v>118</v>
      </c>
      <c r="D24" s="36" t="s">
        <v>119</v>
      </c>
      <c r="E24" s="30" t="s">
        <v>91</v>
      </c>
      <c r="F24" s="35" t="s">
        <v>118</v>
      </c>
      <c r="G24" s="30" t="s">
        <v>91</v>
      </c>
      <c r="H24" s="23" t="s">
        <v>113</v>
      </c>
    </row>
    <row r="25" spans="1:8">
      <c r="A25" s="10">
        <v>0.58333333333333404</v>
      </c>
      <c r="B25" s="31" t="s">
        <v>114</v>
      </c>
      <c r="C25" s="35" t="s">
        <v>118</v>
      </c>
      <c r="D25" s="23" t="s">
        <v>113</v>
      </c>
      <c r="E25" s="30" t="s">
        <v>91</v>
      </c>
      <c r="F25" s="35" t="s">
        <v>118</v>
      </c>
      <c r="G25" s="30" t="s">
        <v>91</v>
      </c>
      <c r="H25" s="26" t="s">
        <v>90</v>
      </c>
    </row>
    <row r="26" spans="1:8">
      <c r="A26" s="10">
        <v>0.60416666666666696</v>
      </c>
      <c r="B26" s="31" t="s">
        <v>114</v>
      </c>
      <c r="C26" s="35" t="s">
        <v>118</v>
      </c>
      <c r="D26" s="23" t="s">
        <v>113</v>
      </c>
      <c r="E26" s="30" t="s">
        <v>91</v>
      </c>
      <c r="F26" s="35" t="s">
        <v>118</v>
      </c>
      <c r="G26" s="30" t="s">
        <v>91</v>
      </c>
      <c r="H26" s="26" t="s">
        <v>90</v>
      </c>
    </row>
    <row r="27" spans="1:8">
      <c r="A27" s="10">
        <v>0.625000000000001</v>
      </c>
      <c r="B27" s="26" t="s">
        <v>90</v>
      </c>
      <c r="C27" s="35" t="s">
        <v>118</v>
      </c>
      <c r="D27" s="23" t="s">
        <v>113</v>
      </c>
      <c r="E27" s="30" t="s">
        <v>91</v>
      </c>
      <c r="F27" s="35" t="s">
        <v>118</v>
      </c>
      <c r="G27" s="30" t="s">
        <v>91</v>
      </c>
      <c r="H27" s="26" t="s">
        <v>90</v>
      </c>
    </row>
    <row r="28" spans="1:8">
      <c r="A28" s="10">
        <v>0.64583333333333404</v>
      </c>
      <c r="B28" s="26" t="s">
        <v>90</v>
      </c>
      <c r="C28" s="35" t="s">
        <v>118</v>
      </c>
      <c r="D28" s="23" t="s">
        <v>113</v>
      </c>
      <c r="E28" s="30" t="s">
        <v>91</v>
      </c>
      <c r="F28" s="26" t="s">
        <v>90</v>
      </c>
      <c r="G28" s="26" t="s">
        <v>90</v>
      </c>
      <c r="H28" s="26" t="s">
        <v>90</v>
      </c>
    </row>
    <row r="29" spans="1:8">
      <c r="A29" s="10">
        <v>0.66666666666666696</v>
      </c>
      <c r="B29" s="26" t="s">
        <v>90</v>
      </c>
      <c r="C29" s="35" t="s">
        <v>118</v>
      </c>
      <c r="D29" s="21" t="s">
        <v>51</v>
      </c>
      <c r="E29" s="30" t="s">
        <v>91</v>
      </c>
      <c r="F29" s="21" t="s">
        <v>51</v>
      </c>
      <c r="G29" s="26" t="s">
        <v>90</v>
      </c>
      <c r="H29" s="34" t="s">
        <v>92</v>
      </c>
    </row>
    <row r="30" spans="1:8">
      <c r="A30" s="10">
        <v>0.687500000000001</v>
      </c>
      <c r="B30" s="26" t="s">
        <v>90</v>
      </c>
      <c r="C30" s="35" t="s">
        <v>118</v>
      </c>
      <c r="D30" s="21" t="s">
        <v>51</v>
      </c>
      <c r="E30" s="30" t="s">
        <v>91</v>
      </c>
      <c r="F30" s="21" t="s">
        <v>51</v>
      </c>
      <c r="G30" s="26" t="s">
        <v>90</v>
      </c>
      <c r="H30" s="34" t="s">
        <v>92</v>
      </c>
    </row>
    <row r="31" spans="1:8">
      <c r="A31" s="10">
        <v>0.70833333333333404</v>
      </c>
      <c r="B31" s="26" t="s">
        <v>90</v>
      </c>
      <c r="C31" s="40" t="s">
        <v>128</v>
      </c>
      <c r="D31" s="21" t="s">
        <v>51</v>
      </c>
      <c r="E31" s="30" t="s">
        <v>91</v>
      </c>
      <c r="F31" s="21" t="s">
        <v>51</v>
      </c>
      <c r="G31" s="26" t="s">
        <v>90</v>
      </c>
      <c r="H31" s="30" t="s">
        <v>91</v>
      </c>
    </row>
    <row r="32" spans="1:8">
      <c r="A32" s="10">
        <v>0.72916666666666696</v>
      </c>
      <c r="B32" s="26" t="s">
        <v>90</v>
      </c>
      <c r="C32" s="40" t="s">
        <v>128</v>
      </c>
      <c r="D32" s="21" t="s">
        <v>51</v>
      </c>
      <c r="E32" s="30" t="s">
        <v>91</v>
      </c>
      <c r="F32" s="21" t="s">
        <v>51</v>
      </c>
      <c r="G32" s="40" t="s">
        <v>128</v>
      </c>
      <c r="H32" s="30" t="s">
        <v>91</v>
      </c>
    </row>
    <row r="33" spans="1:8">
      <c r="A33" s="10">
        <v>0.750000000000001</v>
      </c>
      <c r="B33" s="33" t="s">
        <v>115</v>
      </c>
      <c r="C33" s="33" t="s">
        <v>115</v>
      </c>
      <c r="D33" s="21" t="s">
        <v>51</v>
      </c>
      <c r="E33" s="33" t="s">
        <v>115</v>
      </c>
      <c r="F33" s="21" t="s">
        <v>51</v>
      </c>
      <c r="G33" s="40" t="s">
        <v>128</v>
      </c>
      <c r="H33" s="30" t="s">
        <v>91</v>
      </c>
    </row>
    <row r="34" spans="1:8">
      <c r="A34" s="10">
        <v>0.77083333333333404</v>
      </c>
      <c r="B34" s="32" t="s">
        <v>116</v>
      </c>
      <c r="C34" s="32" t="s">
        <v>116</v>
      </c>
      <c r="D34" s="21" t="s">
        <v>51</v>
      </c>
      <c r="E34" s="32" t="s">
        <v>116</v>
      </c>
      <c r="F34" s="21" t="s">
        <v>51</v>
      </c>
      <c r="G34" s="40" t="s">
        <v>128</v>
      </c>
      <c r="H34" s="30" t="s">
        <v>91</v>
      </c>
    </row>
    <row r="35" spans="1:8">
      <c r="A35" s="10">
        <v>0.79166666666666696</v>
      </c>
      <c r="B35" s="32" t="s">
        <v>116</v>
      </c>
      <c r="C35" s="32" t="s">
        <v>116</v>
      </c>
      <c r="D35" s="32" t="s">
        <v>116</v>
      </c>
      <c r="E35" s="32" t="s">
        <v>116</v>
      </c>
      <c r="F35" s="32" t="s">
        <v>116</v>
      </c>
      <c r="G35" s="40" t="s">
        <v>128</v>
      </c>
      <c r="H35" s="30" t="s">
        <v>91</v>
      </c>
    </row>
    <row r="36" spans="1:8">
      <c r="A36" s="10">
        <v>0.812500000000001</v>
      </c>
      <c r="B36" s="34" t="s">
        <v>117</v>
      </c>
      <c r="C36" s="36" t="s">
        <v>119</v>
      </c>
      <c r="D36" s="32" t="s">
        <v>116</v>
      </c>
      <c r="E36" s="36" t="s">
        <v>119</v>
      </c>
      <c r="F36" s="22" t="s">
        <v>122</v>
      </c>
      <c r="G36" s="22" t="s">
        <v>122</v>
      </c>
      <c r="H36" s="30" t="s">
        <v>91</v>
      </c>
    </row>
    <row r="37" spans="1:8">
      <c r="A37" s="10">
        <v>0.83333333333333404</v>
      </c>
      <c r="B37" s="34" t="s">
        <v>117</v>
      </c>
      <c r="C37" s="36" t="s">
        <v>119</v>
      </c>
      <c r="D37" s="33" t="s">
        <v>115</v>
      </c>
      <c r="E37" s="36" t="s">
        <v>119</v>
      </c>
      <c r="F37" s="26" t="s">
        <v>90</v>
      </c>
      <c r="G37" s="26" t="s">
        <v>90</v>
      </c>
      <c r="H37" s="38" t="s">
        <v>123</v>
      </c>
    </row>
    <row r="38" spans="1:8">
      <c r="A38" s="10">
        <v>0.85416666666666696</v>
      </c>
      <c r="B38" s="22" t="s">
        <v>122</v>
      </c>
      <c r="C38" s="22" t="s">
        <v>122</v>
      </c>
      <c r="D38" s="22" t="s">
        <v>122</v>
      </c>
      <c r="E38" s="22" t="s">
        <v>122</v>
      </c>
      <c r="F38" s="26" t="s">
        <v>90</v>
      </c>
      <c r="G38" s="26" t="s">
        <v>90</v>
      </c>
      <c r="H38" s="26" t="s">
        <v>90</v>
      </c>
    </row>
    <row r="39" spans="1:8">
      <c r="A39" s="10">
        <v>0.875000000000001</v>
      </c>
      <c r="B39" s="26" t="s">
        <v>90</v>
      </c>
      <c r="C39" s="26" t="s">
        <v>90</v>
      </c>
      <c r="D39" s="26" t="s">
        <v>90</v>
      </c>
      <c r="E39" s="26" t="s">
        <v>90</v>
      </c>
      <c r="F39" s="21" t="s">
        <v>51</v>
      </c>
      <c r="G39" s="26" t="s">
        <v>90</v>
      </c>
      <c r="H39" s="26" t="s">
        <v>90</v>
      </c>
    </row>
    <row r="40" spans="1:8">
      <c r="A40" s="10">
        <v>0.89583333333333404</v>
      </c>
      <c r="B40" s="26" t="s">
        <v>90</v>
      </c>
      <c r="C40" s="26" t="s">
        <v>90</v>
      </c>
      <c r="D40" s="26" t="s">
        <v>90</v>
      </c>
      <c r="E40" s="26" t="s">
        <v>90</v>
      </c>
      <c r="F40" s="21" t="s">
        <v>51</v>
      </c>
      <c r="G40" s="26" t="s">
        <v>90</v>
      </c>
      <c r="H40" s="26" t="s">
        <v>90</v>
      </c>
    </row>
    <row r="41" spans="1:8">
      <c r="A41" s="10">
        <v>0.91666666666666696</v>
      </c>
      <c r="B41" s="28" t="s">
        <v>89</v>
      </c>
      <c r="C41" s="28" t="s">
        <v>89</v>
      </c>
      <c r="D41" s="28" t="s">
        <v>89</v>
      </c>
      <c r="E41" s="28" t="s">
        <v>89</v>
      </c>
      <c r="F41" s="28" t="s">
        <v>89</v>
      </c>
      <c r="G41" s="26" t="s">
        <v>90</v>
      </c>
      <c r="H41" s="20" t="s">
        <v>89</v>
      </c>
    </row>
    <row r="42" spans="1:8">
      <c r="A42" s="10">
        <v>0.937500000000001</v>
      </c>
      <c r="B42" s="28" t="s">
        <v>89</v>
      </c>
      <c r="C42" s="28" t="s">
        <v>89</v>
      </c>
      <c r="D42" s="28" t="s">
        <v>89</v>
      </c>
      <c r="E42" s="28" t="s">
        <v>89</v>
      </c>
      <c r="F42" s="28" t="s">
        <v>89</v>
      </c>
      <c r="G42" s="26" t="s">
        <v>90</v>
      </c>
      <c r="H42" s="20" t="s">
        <v>89</v>
      </c>
    </row>
    <row r="43" spans="1:8">
      <c r="A43" s="10">
        <v>0.95833333333333404</v>
      </c>
      <c r="B43" s="28" t="s">
        <v>89</v>
      </c>
      <c r="C43" s="28" t="s">
        <v>89</v>
      </c>
      <c r="D43" s="28" t="s">
        <v>89</v>
      </c>
      <c r="E43" s="28" t="s">
        <v>89</v>
      </c>
      <c r="F43" s="28" t="s">
        <v>89</v>
      </c>
      <c r="G43" s="26" t="s">
        <v>90</v>
      </c>
      <c r="H43" s="20" t="s">
        <v>89</v>
      </c>
    </row>
    <row r="44" spans="1:8">
      <c r="A44" s="10">
        <v>0.97916666666666696</v>
      </c>
      <c r="B44" s="20" t="s">
        <v>89</v>
      </c>
      <c r="C44" s="20" t="s">
        <v>89</v>
      </c>
      <c r="D44" s="20" t="s">
        <v>89</v>
      </c>
      <c r="E44" s="20" t="s">
        <v>89</v>
      </c>
      <c r="F44" s="20" t="s">
        <v>89</v>
      </c>
      <c r="G44" s="28" t="s">
        <v>89</v>
      </c>
      <c r="H44" s="20" t="s">
        <v>89</v>
      </c>
    </row>
    <row r="45" spans="1:8">
      <c r="A45" s="10">
        <v>1</v>
      </c>
      <c r="B45" s="20" t="s">
        <v>89</v>
      </c>
      <c r="C45" s="20" t="s">
        <v>89</v>
      </c>
      <c r="D45" s="20" t="s">
        <v>89</v>
      </c>
      <c r="E45" s="20" t="s">
        <v>89</v>
      </c>
      <c r="F45" s="20" t="s">
        <v>89</v>
      </c>
      <c r="G45" s="28" t="s">
        <v>89</v>
      </c>
      <c r="H45" s="20" t="s">
        <v>89</v>
      </c>
    </row>
    <row r="46" spans="1:8">
      <c r="A46" s="10">
        <v>1.0208333333333299</v>
      </c>
      <c r="B46" s="20" t="s">
        <v>89</v>
      </c>
      <c r="C46" s="20" t="s">
        <v>89</v>
      </c>
      <c r="D46" s="20" t="s">
        <v>89</v>
      </c>
      <c r="E46" s="20" t="s">
        <v>89</v>
      </c>
      <c r="F46" s="20" t="s">
        <v>89</v>
      </c>
      <c r="G46" s="28" t="s">
        <v>89</v>
      </c>
      <c r="H46" s="20" t="s">
        <v>89</v>
      </c>
    </row>
    <row r="47" spans="1:8">
      <c r="A47" s="10">
        <v>1.0416666666666701</v>
      </c>
      <c r="B47" s="20" t="s">
        <v>89</v>
      </c>
      <c r="C47" s="20" t="s">
        <v>89</v>
      </c>
      <c r="D47" s="20" t="s">
        <v>89</v>
      </c>
      <c r="E47" s="20" t="s">
        <v>89</v>
      </c>
      <c r="F47" s="20" t="s">
        <v>89</v>
      </c>
      <c r="G47" s="20" t="s">
        <v>89</v>
      </c>
      <c r="H47" s="20" t="s">
        <v>89</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J47"/>
  <sheetViews>
    <sheetView zoomScale="117" workbookViewId="0">
      <selection activeCell="J2" sqref="J2"/>
    </sheetView>
  </sheetViews>
  <sheetFormatPr defaultColWidth="10.58203125" defaultRowHeight="15.5"/>
  <sheetData>
    <row r="1" spans="1:10" ht="25">
      <c r="B1" s="8" t="s">
        <v>25</v>
      </c>
    </row>
    <row r="4" spans="1:10">
      <c r="B4" s="3" t="s">
        <v>4</v>
      </c>
      <c r="C4" s="3" t="s">
        <v>5</v>
      </c>
      <c r="D4" s="3" t="s">
        <v>6</v>
      </c>
      <c r="E4" s="3" t="s">
        <v>7</v>
      </c>
      <c r="F4" s="3" t="s">
        <v>10</v>
      </c>
      <c r="G4" s="3" t="s">
        <v>8</v>
      </c>
      <c r="H4" s="3" t="s">
        <v>9</v>
      </c>
    </row>
    <row r="5" spans="1:10">
      <c r="A5" s="10">
        <v>0.16666666666666666</v>
      </c>
    </row>
    <row r="6" spans="1:10">
      <c r="A6" s="10">
        <v>0.1875</v>
      </c>
    </row>
    <row r="7" spans="1:10">
      <c r="A7" s="10">
        <v>0.20833333333333301</v>
      </c>
      <c r="J7" s="39" t="s">
        <v>125</v>
      </c>
    </row>
    <row r="8" spans="1:10">
      <c r="A8" s="10">
        <v>0.22916666666666699</v>
      </c>
      <c r="J8" s="39" t="s">
        <v>126</v>
      </c>
    </row>
    <row r="9" spans="1:10">
      <c r="A9" s="10">
        <v>0.25</v>
      </c>
    </row>
    <row r="10" spans="1:10">
      <c r="A10" s="10">
        <v>0.27083333333333398</v>
      </c>
    </row>
    <row r="11" spans="1:10">
      <c r="A11" s="10">
        <v>0.29166666666666702</v>
      </c>
    </row>
    <row r="12" spans="1:10">
      <c r="A12" s="10">
        <v>0.3125</v>
      </c>
    </row>
    <row r="13" spans="1:10">
      <c r="A13" s="10">
        <v>0.33333333333333398</v>
      </c>
    </row>
    <row r="14" spans="1:10">
      <c r="A14" s="10">
        <v>0.35416666666666702</v>
      </c>
    </row>
    <row r="15" spans="1:10">
      <c r="A15" s="10">
        <v>0.375</v>
      </c>
    </row>
    <row r="16" spans="1:10">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C7FF0-BE29-4519-8731-898BAC2DB690}">
  <dimension ref="A1:H47"/>
  <sheetViews>
    <sheetView zoomScale="117" workbookViewId="0"/>
  </sheetViews>
  <sheetFormatPr defaultColWidth="10.58203125" defaultRowHeight="15.5"/>
  <sheetData>
    <row r="1" spans="1:8" ht="2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Anleitung</vt:lpstr>
      <vt:lpstr>Semesterplan</vt:lpstr>
      <vt:lpstr>COMMITTMENT</vt:lpstr>
      <vt:lpstr>Tagespläne</vt:lpstr>
      <vt:lpstr>Wochenplan KW 15</vt:lpstr>
      <vt:lpstr>Wochenplan KW 16</vt:lpstr>
      <vt:lpstr>Wochenplan KW 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Jonas Westphal</cp:lastModifiedBy>
  <dcterms:created xsi:type="dcterms:W3CDTF">2020-04-19T13:33:28Z</dcterms:created>
  <dcterms:modified xsi:type="dcterms:W3CDTF">2021-04-18T13:56:12Z</dcterms:modified>
</cp:coreProperties>
</file>