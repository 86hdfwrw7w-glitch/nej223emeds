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simon\Documents\pumpkincareers\2. Semester\"/>
    </mc:Choice>
  </mc:AlternateContent>
  <xr:revisionPtr revIDLastSave="0" documentId="13_ncr:1_{8065A3D4-8B30-4831-BD60-8B39AA3D1AAA}" xr6:coauthVersionLast="47" xr6:coauthVersionMax="47" xr10:uidLastSave="{00000000-0000-0000-0000-000000000000}"/>
  <bookViews>
    <workbookView xWindow="-108" yWindow="-108" windowWidth="23256" windowHeight="12456" activeTab="6" xr2:uid="{50F29292-BE80-0C47-A0D2-DD086CB3D310}"/>
  </bookViews>
  <sheets>
    <sheet name="COMMITTMENT" sheetId="9" r:id="rId1"/>
    <sheet name="Anleitung" sheetId="2" r:id="rId2"/>
    <sheet name="Best Practices" sheetId="10" r:id="rId3"/>
    <sheet name="KW 17" sheetId="3" r:id="rId4"/>
    <sheet name="KW 18" sheetId="11" r:id="rId5"/>
    <sheet name="KW 19" sheetId="12" r:id="rId6"/>
    <sheet name="Semesterplan" sheetId="7" r:id="rId7"/>
    <sheet name="KW20"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1" i="7" l="1" a="1"/>
  <c r="K21" i="7" s="1"/>
  <c r="GN57" i="7" l="1"/>
  <c r="GN43" i="7"/>
  <c r="GN29" i="7"/>
  <c r="GN16" i="7"/>
  <c r="GN4" i="7"/>
  <c r="GG57" i="7"/>
  <c r="GG43" i="7"/>
  <c r="GG29" i="7"/>
  <c r="GG16" i="7"/>
  <c r="GG4" i="7"/>
  <c r="FZ57" i="7"/>
  <c r="FZ43" i="7"/>
  <c r="FZ29" i="7"/>
  <c r="FZ16" i="7"/>
  <c r="FZ4" i="7"/>
  <c r="FS57" i="7"/>
  <c r="FS43" i="7"/>
  <c r="FS29" i="7"/>
  <c r="FS16" i="7"/>
  <c r="FS4" i="7"/>
  <c r="FL57" i="7"/>
  <c r="FL43" i="7"/>
  <c r="FL29" i="7"/>
  <c r="FL16" i="7"/>
  <c r="FL4" i="7"/>
  <c r="FE57" i="7"/>
  <c r="FE43" i="7"/>
  <c r="FE29" i="7"/>
  <c r="FE16" i="7"/>
  <c r="FE4" i="7"/>
  <c r="EX57" i="7"/>
  <c r="EX43" i="7"/>
  <c r="EX29" i="7"/>
  <c r="EX16" i="7"/>
  <c r="EX4" i="7"/>
  <c r="EQ57" i="7"/>
  <c r="EQ43" i="7"/>
  <c r="EQ29" i="7"/>
  <c r="EQ16" i="7"/>
  <c r="EQ4" i="7"/>
  <c r="EJ57" i="7"/>
  <c r="EJ43" i="7"/>
  <c r="EJ29" i="7"/>
  <c r="EJ16" i="7"/>
  <c r="EJ4" i="7"/>
  <c r="K18" i="7" a="1"/>
  <c r="K18" i="7" s="1"/>
  <c r="K19" i="7" a="1"/>
  <c r="K19" i="7" s="1"/>
  <c r="K22" i="7" a="1"/>
  <c r="K22" i="7" s="1"/>
  <c r="K24" i="7" a="1"/>
  <c r="K24" i="7" s="1"/>
  <c r="K25" i="7" a="1"/>
  <c r="K25" i="7" s="1"/>
  <c r="K26" i="7" a="1"/>
  <c r="K26" i="7" s="1"/>
  <c r="K17" i="7" a="1"/>
  <c r="K17" i="7" s="1"/>
  <c r="K16" i="7" l="1"/>
  <c r="FE1" i="7"/>
  <c r="EQ1" i="7"/>
  <c r="FS1" i="7"/>
  <c r="EX1" i="7"/>
  <c r="FL1" i="7"/>
  <c r="EJ1" i="7"/>
  <c r="FZ1" i="7"/>
  <c r="GG1" i="7"/>
  <c r="GN1" i="7"/>
  <c r="I71" i="7"/>
  <c r="K6" i="7" a="1"/>
  <c r="K6" i="7" s="1"/>
  <c r="J6" i="7" a="1"/>
  <c r="J6" i="7" s="1"/>
  <c r="I6" i="7"/>
  <c r="N4" i="7"/>
  <c r="K59" i="7" l="1" a="1"/>
  <c r="K59" i="7" s="1"/>
  <c r="K60" i="7" a="1"/>
  <c r="K60" i="7" s="1"/>
  <c r="K61" i="7" a="1"/>
  <c r="K61" i="7" s="1"/>
  <c r="K62" i="7" a="1"/>
  <c r="K62" i="7" s="1"/>
  <c r="K63" i="7" a="1"/>
  <c r="K63" i="7" s="1"/>
  <c r="K64" i="7" a="1"/>
  <c r="K64" i="7" s="1"/>
  <c r="K65" i="7" a="1"/>
  <c r="K65" i="7" s="1"/>
  <c r="K66" i="7" a="1"/>
  <c r="K66" i="7" s="1"/>
  <c r="K67" i="7" a="1"/>
  <c r="K67" i="7" s="1"/>
  <c r="K68" i="7" a="1"/>
  <c r="K68" i="7" s="1"/>
  <c r="K58" i="7" a="1"/>
  <c r="K58" i="7" s="1"/>
  <c r="J59" i="7" a="1"/>
  <c r="J59" i="7" s="1"/>
  <c r="J60" i="7" a="1"/>
  <c r="J60" i="7" s="1"/>
  <c r="J61" i="7" a="1"/>
  <c r="J61" i="7" s="1"/>
  <c r="J62" i="7" a="1"/>
  <c r="J62" i="7" s="1"/>
  <c r="J63" i="7" a="1"/>
  <c r="J63" i="7" s="1"/>
  <c r="J64" i="7" a="1"/>
  <c r="J64" i="7" s="1"/>
  <c r="J65" i="7" a="1"/>
  <c r="J65" i="7" s="1"/>
  <c r="J66" i="7" a="1"/>
  <c r="J66" i="7" s="1"/>
  <c r="J67" i="7" a="1"/>
  <c r="J67" i="7" s="1"/>
  <c r="J68" i="7" a="1"/>
  <c r="J68" i="7" s="1"/>
  <c r="J58" i="7" a="1"/>
  <c r="J58"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44" i="7" a="1"/>
  <c r="K44" i="7" s="1"/>
  <c r="K31" i="7" a="1"/>
  <c r="K31" i="7" s="1"/>
  <c r="K32" i="7" a="1"/>
  <c r="K32" i="7" s="1"/>
  <c r="K33" i="7" a="1"/>
  <c r="K33" i="7" s="1"/>
  <c r="K34" i="7" a="1"/>
  <c r="K34" i="7" s="1"/>
  <c r="K35" i="7" a="1"/>
  <c r="K35" i="7" s="1"/>
  <c r="K36" i="7" a="1"/>
  <c r="K36" i="7" s="1"/>
  <c r="K37" i="7" a="1"/>
  <c r="K37" i="7" s="1"/>
  <c r="K38" i="7" a="1"/>
  <c r="K38" i="7" s="1"/>
  <c r="K39" i="7" a="1"/>
  <c r="K39" i="7" s="1"/>
  <c r="K40" i="7" a="1"/>
  <c r="K40" i="7" s="1"/>
  <c r="K41" i="7" a="1"/>
  <c r="K41" i="7" s="1"/>
  <c r="K30" i="7" a="1"/>
  <c r="K30"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J44" i="7" a="1"/>
  <c r="J44" i="7" s="1"/>
  <c r="J31" i="7" a="1"/>
  <c r="J31" i="7" s="1"/>
  <c r="J32" i="7" a="1"/>
  <c r="J32" i="7" s="1"/>
  <c r="J33" i="7" a="1"/>
  <c r="J33" i="7" s="1"/>
  <c r="J34" i="7" a="1"/>
  <c r="J34" i="7" s="1"/>
  <c r="J35" i="7" a="1"/>
  <c r="J35" i="7" s="1"/>
  <c r="J36" i="7" a="1"/>
  <c r="J36" i="7" s="1"/>
  <c r="J37" i="7" a="1"/>
  <c r="J37" i="7" s="1"/>
  <c r="J38" i="7" a="1"/>
  <c r="J38" i="7" s="1"/>
  <c r="J39" i="7" a="1"/>
  <c r="J39" i="7" s="1"/>
  <c r="J40" i="7" a="1"/>
  <c r="J40" i="7" s="1"/>
  <c r="J41" i="7" a="1"/>
  <c r="J41" i="7" s="1"/>
  <c r="J30" i="7" a="1"/>
  <c r="J30" i="7" s="1"/>
  <c r="K7" i="7" a="1"/>
  <c r="K7" i="7" s="1"/>
  <c r="J18" i="7" a="1"/>
  <c r="J18" i="7" s="1"/>
  <c r="J19" i="7" a="1"/>
  <c r="J19" i="7" s="1"/>
  <c r="J20" i="7" a="1"/>
  <c r="J20" i="7" s="1"/>
  <c r="J21" i="7" a="1"/>
  <c r="J21" i="7" s="1"/>
  <c r="J22" i="7" a="1"/>
  <c r="J22" i="7" s="1"/>
  <c r="J23" i="7" a="1"/>
  <c r="J23" i="7" s="1"/>
  <c r="J24" i="7" a="1"/>
  <c r="J24" i="7" s="1"/>
  <c r="J25" i="7" a="1"/>
  <c r="J25" i="7" s="1"/>
  <c r="J26" i="7" a="1"/>
  <c r="J26" i="7" s="1"/>
  <c r="J27" i="7" a="1"/>
  <c r="J27" i="7" s="1"/>
  <c r="J17" i="7" a="1"/>
  <c r="J17" i="7" s="1"/>
  <c r="K8" i="7" a="1"/>
  <c r="K8" i="7" s="1"/>
  <c r="K9" i="7" a="1"/>
  <c r="K9" i="7" s="1"/>
  <c r="K10" i="7" a="1"/>
  <c r="K10" i="7" s="1"/>
  <c r="K11" i="7" a="1"/>
  <c r="K11" i="7" s="1"/>
  <c r="K12" i="7" a="1"/>
  <c r="K12" i="7" s="1"/>
  <c r="K13" i="7" a="1"/>
  <c r="K13" i="7" s="1"/>
  <c r="K14" i="7" a="1"/>
  <c r="K14" i="7" s="1"/>
  <c r="K5" i="7" a="1"/>
  <c r="K5" i="7" s="1"/>
  <c r="J7" i="7" a="1"/>
  <c r="J7" i="7" s="1"/>
  <c r="J8" i="7" a="1"/>
  <c r="J8" i="7" s="1"/>
  <c r="J9" i="7" a="1"/>
  <c r="J9" i="7" s="1"/>
  <c r="J10" i="7" a="1"/>
  <c r="J10" i="7" s="1"/>
  <c r="J11" i="7" a="1"/>
  <c r="J11" i="7" s="1"/>
  <c r="J12" i="7" a="1"/>
  <c r="J12" i="7" s="1"/>
  <c r="J13" i="7" a="1"/>
  <c r="J13" i="7" s="1"/>
  <c r="J14" i="7" a="1"/>
  <c r="J14" i="7" s="1"/>
  <c r="J5" i="7" a="1"/>
  <c r="J5" i="7" s="1"/>
  <c r="I67" i="7"/>
  <c r="DH4" i="7"/>
  <c r="DO4" i="7"/>
  <c r="DV4" i="7"/>
  <c r="EC4" i="7"/>
  <c r="DH16" i="7"/>
  <c r="DO16" i="7"/>
  <c r="DV16" i="7"/>
  <c r="EC16" i="7"/>
  <c r="DH29" i="7"/>
  <c r="DO29" i="7"/>
  <c r="DV29" i="7"/>
  <c r="EC29" i="7"/>
  <c r="DH43" i="7"/>
  <c r="DO43" i="7"/>
  <c r="DV43" i="7"/>
  <c r="EC43" i="7"/>
  <c r="DH57" i="7"/>
  <c r="DO57" i="7"/>
  <c r="DV57" i="7"/>
  <c r="EC57" i="7"/>
  <c r="CT4" i="7"/>
  <c r="DA4" i="7"/>
  <c r="CT16" i="7"/>
  <c r="DA16" i="7"/>
  <c r="CT29" i="7"/>
  <c r="DA29" i="7"/>
  <c r="CT43" i="7"/>
  <c r="DA43" i="7"/>
  <c r="CT57" i="7"/>
  <c r="DA57" i="7"/>
  <c r="CM4" i="7"/>
  <c r="CM16" i="7"/>
  <c r="CM29" i="7"/>
  <c r="CM43" i="7"/>
  <c r="CM57" i="7"/>
  <c r="CF57" i="7"/>
  <c r="CF43" i="7"/>
  <c r="CF29" i="7"/>
  <c r="CF16" i="7"/>
  <c r="CF4" i="7"/>
  <c r="BY57" i="7"/>
  <c r="BY43" i="7"/>
  <c r="BY29" i="7"/>
  <c r="BY16" i="7"/>
  <c r="BY4" i="7"/>
  <c r="BR57" i="7"/>
  <c r="BR43" i="7"/>
  <c r="BR29" i="7"/>
  <c r="BR16" i="7"/>
  <c r="BR4" i="7"/>
  <c r="BK57" i="7"/>
  <c r="BK43" i="7"/>
  <c r="BK29" i="7"/>
  <c r="BK16" i="7"/>
  <c r="BK4" i="7"/>
  <c r="BD57" i="7"/>
  <c r="BD43" i="7"/>
  <c r="BD29" i="7"/>
  <c r="BD16" i="7"/>
  <c r="BD4" i="7"/>
  <c r="AW57" i="7"/>
  <c r="AW43" i="7"/>
  <c r="AW29" i="7"/>
  <c r="AW16" i="7"/>
  <c r="AW4" i="7"/>
  <c r="AP57" i="7"/>
  <c r="AP43" i="7"/>
  <c r="AP29" i="7"/>
  <c r="AP16" i="7"/>
  <c r="AP4" i="7"/>
  <c r="AI57" i="7"/>
  <c r="AI43" i="7"/>
  <c r="AI29" i="7"/>
  <c r="AI16" i="7"/>
  <c r="AI4" i="7"/>
  <c r="AB57" i="7"/>
  <c r="AB43" i="7"/>
  <c r="AB29" i="7"/>
  <c r="AB16" i="7"/>
  <c r="AB4" i="7"/>
  <c r="U57" i="7"/>
  <c r="U43" i="7"/>
  <c r="U29" i="7"/>
  <c r="U16" i="7"/>
  <c r="U4" i="7"/>
  <c r="C12" i="10"/>
  <c r="I40" i="7"/>
  <c r="I41" i="7"/>
  <c r="I68" i="7"/>
  <c r="I66" i="7"/>
  <c r="I65" i="7"/>
  <c r="I64" i="7"/>
  <c r="I63" i="7"/>
  <c r="I62" i="7"/>
  <c r="I61" i="7"/>
  <c r="I60" i="7"/>
  <c r="I59" i="7"/>
  <c r="I58" i="7"/>
  <c r="N57" i="7"/>
  <c r="G57" i="7"/>
  <c r="I55" i="7"/>
  <c r="I54" i="7"/>
  <c r="I53" i="7"/>
  <c r="I52" i="7"/>
  <c r="I51" i="7"/>
  <c r="I50" i="7"/>
  <c r="I49" i="7"/>
  <c r="I48" i="7"/>
  <c r="I47" i="7"/>
  <c r="I46" i="7"/>
  <c r="I45" i="7"/>
  <c r="I44" i="7"/>
  <c r="N43" i="7"/>
  <c r="G43" i="7"/>
  <c r="I26" i="7"/>
  <c r="I25" i="7"/>
  <c r="I24" i="7"/>
  <c r="I23" i="7"/>
  <c r="I22" i="7"/>
  <c r="AP1" i="7" l="1"/>
  <c r="AI1" i="7"/>
  <c r="AW1" i="7"/>
  <c r="U1" i="7"/>
  <c r="BK1" i="7"/>
  <c r="CF1" i="7"/>
  <c r="BD1" i="7"/>
  <c r="AB1" i="7"/>
  <c r="BY1" i="7"/>
  <c r="DA1" i="7"/>
  <c r="CT1" i="7"/>
  <c r="CM1" i="7"/>
  <c r="EC1" i="7"/>
  <c r="DV1" i="7"/>
  <c r="BR1" i="7"/>
  <c r="DO1" i="7"/>
  <c r="DH1" i="7"/>
  <c r="I57" i="7"/>
  <c r="K57" i="7"/>
  <c r="I43" i="7"/>
  <c r="J57" i="7"/>
  <c r="K43" i="7"/>
  <c r="J43" i="7"/>
  <c r="N16" i="7" l="1"/>
  <c r="G4" i="7"/>
  <c r="I39" i="7"/>
  <c r="I38" i="7"/>
  <c r="I37" i="7"/>
  <c r="I36" i="7"/>
  <c r="I35" i="7"/>
  <c r="I34" i="7"/>
  <c r="I33" i="7"/>
  <c r="I32" i="7"/>
  <c r="I31" i="7"/>
  <c r="I30" i="7"/>
  <c r="I27" i="7"/>
  <c r="I21" i="7"/>
  <c r="I20" i="7"/>
  <c r="I19" i="7"/>
  <c r="I18" i="7"/>
  <c r="I17" i="7"/>
  <c r="I7" i="7"/>
  <c r="I8" i="7"/>
  <c r="I9" i="7"/>
  <c r="I10" i="7"/>
  <c r="I11" i="7"/>
  <c r="I12" i="7"/>
  <c r="I13" i="7"/>
  <c r="I14" i="7"/>
  <c r="I5" i="7"/>
  <c r="N29" i="7"/>
  <c r="G29" i="7"/>
  <c r="G16" i="7"/>
  <c r="N1" i="7" l="1"/>
  <c r="I1" i="7" s="1"/>
  <c r="I4" i="7"/>
  <c r="J4" i="7"/>
  <c r="I29" i="7"/>
  <c r="J29" i="7"/>
  <c r="K29" i="7"/>
  <c r="I16" i="7"/>
  <c r="J16" i="7"/>
  <c r="K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<sst xmlns="http://schemas.openxmlformats.org/spreadsheetml/2006/main" count="721" uniqueCount="222">
  <si>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</si>
  <si>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</si>
  <si>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</si>
  <si>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</si>
  <si>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</si>
  <si>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</si>
  <si>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</si>
  <si>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</si>
  <si>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</si>
  <si>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</si>
  <si>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</si>
  <si>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</si>
  <si>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</si>
  <si>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</si>
  <si>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</si>
  <si>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</si>
  <si>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</si>
  <si>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</si>
  <si>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</si>
  <si>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</si>
  <si>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</si>
  <si>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</si>
  <si>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</si>
  <si>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</si>
  <si>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</si>
  <si>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</si>
  <si>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</si>
  <si>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</si>
  <si>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</si>
  <si>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</si>
  <si>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</si>
  <si>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Ziel</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</si>
  <si>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</si>
  <si>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</si>
  <si>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</si>
  <si>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</si>
  <si>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</si>
  <si>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</si>
  <si>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</si>
  <si>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</si>
  <si>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</si>
  <si>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KW 23</t>
  </si>
  <si>
    <t>KW 24</t>
  </si>
  <si>
    <t>KW 25</t>
  </si>
  <si>
    <t>Lerneinheiten durchgezogen</t>
  </si>
  <si>
    <t>Tagesplan erstellt</t>
  </si>
  <si>
    <t>Konzentrationslevel</t>
  </si>
  <si>
    <t>Datum</t>
  </si>
  <si>
    <t>Sonstiges Gefühl</t>
  </si>
  <si>
    <t>Optimierungen</t>
  </si>
  <si>
    <t>W&amp;R</t>
  </si>
  <si>
    <t>1) Wahrscheinlichkeit</t>
  </si>
  <si>
    <t>1) Kosten- und Erlösrechnung als Teilbereich der Unternehmensrechnung</t>
  </si>
  <si>
    <t>2) Grundbegriffe der Kosten- und Erlösrechnung</t>
  </si>
  <si>
    <t>3) Kostenartenrechnungen I</t>
  </si>
  <si>
    <t>4) Kostenartenrechnung II</t>
  </si>
  <si>
    <t xml:space="preserve">2) Zinsrechnung </t>
  </si>
  <si>
    <t>3) Rentenrechnung</t>
  </si>
  <si>
    <t>Makroökonomie</t>
  </si>
  <si>
    <t>1) Optimale Nachfrage einer Konsumentin</t>
  </si>
  <si>
    <t>3) Nachfrage</t>
  </si>
  <si>
    <t>4) Nutzenmaximierung vs. Ausgabenminimierung</t>
  </si>
  <si>
    <t>5) Slutsky Zerlegung</t>
  </si>
  <si>
    <t>6) Marktnachfrage, Konsumenten- und Produzentenrente</t>
  </si>
  <si>
    <t>7) Produktions- und Kostenfunktion</t>
  </si>
  <si>
    <t>8) Optimale Produktion</t>
  </si>
  <si>
    <t>9) Vollkommener Wettbewerb vs. Monopol</t>
  </si>
  <si>
    <t>10) Oligopol</t>
  </si>
  <si>
    <t>11) Markteintritt / Monopolistische Konkurrenz</t>
  </si>
  <si>
    <t>12) Spieltheorie</t>
  </si>
  <si>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</si>
  <si>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</si>
  <si>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</si>
  <si>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</si>
  <si>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</si>
  <si>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</si>
  <si>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</si>
  <si>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</si>
  <si>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</si>
  <si>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</si>
  <si>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</si>
  <si>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</si>
  <si>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</si>
  <si>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</si>
  <si>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</si>
  <si>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</si>
  <si>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</si>
  <si>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</si>
  <si>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</si>
  <si>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</si>
  <si>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</si>
  <si>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</si>
  <si>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</si>
  <si>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</si>
  <si>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</si>
  <si>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</si>
  <si>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</si>
  <si>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</si>
  <si>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</si>
  <si>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</si>
  <si>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</si>
  <si>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</si>
  <si>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</si>
  <si>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</si>
  <si>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</si>
  <si>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</si>
  <si>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</si>
  <si>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</si>
  <si>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KW 17</t>
  </si>
  <si>
    <t>KW 18</t>
  </si>
  <si>
    <t>KW 26</t>
  </si>
  <si>
    <t>KW 28</t>
  </si>
  <si>
    <t>KW 32</t>
  </si>
  <si>
    <t>KW 33</t>
  </si>
  <si>
    <t>KW 34</t>
  </si>
  <si>
    <t>Aufstehen</t>
  </si>
  <si>
    <t>Pause + Essen</t>
  </si>
  <si>
    <t>Pause</t>
  </si>
  <si>
    <t>Lesen</t>
  </si>
  <si>
    <t>Schlafen gehen</t>
  </si>
  <si>
    <t>KW 30   Klausuren!!</t>
  </si>
  <si>
    <t>KW 27 70% des Semesters. 100% erreichen</t>
  </si>
  <si>
    <t>Stunden Gesamt</t>
  </si>
  <si>
    <t>InOne Sitzung</t>
  </si>
  <si>
    <t>Pendeln</t>
  </si>
  <si>
    <t>Internes R</t>
  </si>
  <si>
    <t>Anteil Klausur</t>
  </si>
  <si>
    <t>I &amp; F</t>
  </si>
  <si>
    <t>Essen</t>
  </si>
  <si>
    <t>Makro</t>
  </si>
  <si>
    <t>Mikro</t>
  </si>
  <si>
    <t>Tut. Mikro</t>
  </si>
  <si>
    <t>Tut. I &amp; F</t>
  </si>
  <si>
    <t>1) Statische Investitionsrechnung</t>
  </si>
  <si>
    <t>InOne - studentische UB</t>
  </si>
  <si>
    <t>Mikro (spätestens hier Übung)</t>
  </si>
  <si>
    <t>W&amp;R (spätestens Übung)</t>
  </si>
  <si>
    <t>I &amp; F (spätestens Übung)</t>
  </si>
  <si>
    <t>W &amp; R</t>
  </si>
  <si>
    <t>3) Zufallsvariable</t>
  </si>
  <si>
    <t>2) Bedingte Wahrscheinlichkeit</t>
  </si>
  <si>
    <t>4) Wichtige diskrete Verteilung</t>
  </si>
  <si>
    <t>5) Wichtige stetige Verteilungen</t>
  </si>
  <si>
    <t>6) Erwartungswerte</t>
  </si>
  <si>
    <t>7) Zufallsvektoren und mehrdimensionale Verteilungen</t>
  </si>
  <si>
    <t>8) Erwartungswerte in mehrdimensionalen Verteilungen</t>
  </si>
  <si>
    <t>9) Multivariate Normalverteilungen</t>
  </si>
  <si>
    <t>10) Kombinatorik</t>
  </si>
  <si>
    <t>Weiter ab Simpson Paradox</t>
  </si>
  <si>
    <t>Makro oder Semester-plan erstellen</t>
  </si>
  <si>
    <t>Makro Vorlesung</t>
  </si>
  <si>
    <t>Bewerbungen schreiben</t>
  </si>
  <si>
    <t>Klausurvorbereitung</t>
  </si>
  <si>
    <t>2) Präferenzen, Nutzenfunktion &amp; Nutzenmaximierung</t>
  </si>
  <si>
    <t>I &amp; F (Tut 2 bearbeiten)</t>
  </si>
  <si>
    <t>Mikro AB fertig</t>
  </si>
  <si>
    <t>1. Woche</t>
  </si>
  <si>
    <t>2. Woche</t>
  </si>
  <si>
    <t>3. Woche</t>
  </si>
  <si>
    <t>4. Woche</t>
  </si>
  <si>
    <t>5. Woche</t>
  </si>
  <si>
    <t>6. Woche</t>
  </si>
  <si>
    <t>7. Woche</t>
  </si>
  <si>
    <t>8. Woche</t>
  </si>
  <si>
    <t>9. Woche</t>
  </si>
  <si>
    <t>10. Woche</t>
  </si>
  <si>
    <t>11. Woche</t>
  </si>
  <si>
    <t>I &amp; F (Tut2&amp; 4 fertig) Tut2 fürs präsenz tut</t>
  </si>
  <si>
    <t>Klausureinsicht</t>
  </si>
  <si>
    <t>Unity Workshop</t>
  </si>
  <si>
    <t>Bosch Workshop</t>
  </si>
  <si>
    <t>W&amp;R Tut</t>
  </si>
  <si>
    <t xml:space="preserve">I &amp; F </t>
  </si>
  <si>
    <t>Schloss Führung</t>
  </si>
  <si>
    <t>Meine Energiequellen</t>
  </si>
  <si>
    <t>Meine Energiefresser</t>
  </si>
  <si>
    <t>•	Spaziergang                      •	Gym
•	Schlaf
•	Lesen
•	Meditation
•	NSDR (non sleep deep rest)
•	Zeit mit Freunden</t>
  </si>
  <si>
    <t>•	Social Media – doom scroling
•	Schlechter Schlaf</t>
  </si>
  <si>
    <t>Ja</t>
  </si>
  <si>
    <r>
      <t xml:space="preserve">KW 31 </t>
    </r>
    <r>
      <rPr>
        <b/>
        <sz val="12"/>
        <color rgb="FFFF0000"/>
        <rFont val="Calibri"/>
        <family val="2"/>
        <scheme val="minor"/>
      </rPr>
      <t>Klausur W&amp;R</t>
    </r>
  </si>
  <si>
    <t>4) Vollständige Finanzpläne - Interne Zinssätze</t>
  </si>
  <si>
    <t>5) Nutzungsdauer - Preinreich-Lücke-Theorem</t>
  </si>
  <si>
    <t>6) Berücksichtigung von Steuern</t>
  </si>
  <si>
    <t>7) Innenfinanzierung S.206 - 223</t>
  </si>
  <si>
    <t>9) Beteiligungsfinanzierung</t>
  </si>
  <si>
    <t>10) Kreditfinanzierung</t>
  </si>
  <si>
    <t>11) Sustainable Finance</t>
  </si>
  <si>
    <t>12) Rating und Anleihen</t>
  </si>
  <si>
    <t>KW 29 Klausur Internes R</t>
  </si>
  <si>
    <t>6) Kalkulation I</t>
  </si>
  <si>
    <t>7) Kalkulation II</t>
  </si>
  <si>
    <t>8) Prozesskostenrechnung</t>
  </si>
  <si>
    <t>9) Erfolgsrechnung</t>
  </si>
  <si>
    <t>10) Break-Even-Analyse</t>
  </si>
  <si>
    <t>11) Gastvortrag Horváth &amp; Partner</t>
  </si>
  <si>
    <t>Ab S.27 Kap. 6</t>
  </si>
  <si>
    <t>Klausur Freitag 01.08.</t>
  </si>
  <si>
    <t xml:space="preserve">Klausur Samstag 19.7. </t>
  </si>
  <si>
    <t>Klausur Montag 28.07.</t>
  </si>
  <si>
    <t>Klausur Freitag 25.07.</t>
  </si>
  <si>
    <t>Nachtermin</t>
  </si>
  <si>
    <t>Klausur Freitag 30.07.</t>
  </si>
  <si>
    <t>I &amp; F  (AB 3 für Tut fertig</t>
  </si>
  <si>
    <t>Ab S.24 weiter</t>
  </si>
  <si>
    <t>8) Abgrenzung  EK &amp; FK S. 225 - 240</t>
  </si>
  <si>
    <t>KW 35</t>
  </si>
  <si>
    <t>KW 36</t>
  </si>
  <si>
    <t>KW 37</t>
  </si>
  <si>
    <t>KW 38</t>
  </si>
  <si>
    <t>KW 39</t>
  </si>
  <si>
    <t>KW 41</t>
  </si>
  <si>
    <t>KW 42</t>
  </si>
  <si>
    <t>KW 43</t>
  </si>
  <si>
    <r>
      <t xml:space="preserve">KW 40 - </t>
    </r>
    <r>
      <rPr>
        <b/>
        <sz val="16"/>
        <color rgb="FFFF0000"/>
        <rFont val="Calibri"/>
        <family val="2"/>
        <scheme val="minor"/>
      </rPr>
      <t>Klausuren</t>
    </r>
  </si>
  <si>
    <t>Klausur Wahrscheinlich</t>
  </si>
  <si>
    <t>Projekt-arbeit</t>
  </si>
  <si>
    <t xml:space="preserve">Schlafen </t>
  </si>
  <si>
    <t>Schlafen</t>
  </si>
  <si>
    <t xml:space="preserve">5) Kostenstellenrechnung </t>
  </si>
  <si>
    <t>12.5%</t>
  </si>
  <si>
    <t>Mikro AB 4 fertig</t>
  </si>
  <si>
    <t>LiveCall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</si>
</sst>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name val="Calibri"/>
      <family val="2"/>
      <scheme val="minor"/>
    </font>
    <font>
      <b/>
      <sz val="12"/>
      <color rgb="FFFF0000"/>
      <name val="Calibri"/>
      <family val="2"/>
      <scheme val="minor"/>
    </font>
    <font>
      <sz val="12"/>
      <color theme="1"/>
      <name val="Calibri"/>
      <family val="2"/>
      <scheme val="minor"/>
    </font>
    <font>
      <sz val="9"/>
      <color theme="1"/>
      <name val="Calibri"/>
      <family val="2"/>
      <scheme val="minor"/>
    </font>
    <font>
      <sz val="11"/>
      <color theme="0"/>
      <name val="Calibri"/>
      <family val="2"/>
      <scheme val="minor"/>
    </font>
    <font>
      <b/>
      <sz val="16"/>
      <color rgb="FFFF0000"/>
      <name val="Calibri"/>
      <family val="2"/>
      <scheme val="minor"/>
    </font>
  </fonts>
  <fills count="16">
    <fill>
      <patternFill patternType="none"/>
    </fill>
    <fill>
      <patternFill patternType="gray125"/>
    </fill>
    <fill>
      <patternFill patternType="solid">
        <fgColor rgb="FFE0E0E0"/>
        <bgColor indexed="64"/>
      </patternFill>
    </fill>
    <fill>
      <patternFill patternType="solid">
        <fgColor rgb="FF10FF07"/>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bgColor indexed="64"/>
      </patternFill>
    </fill>
    <fill>
      <patternFill patternType="solid">
        <fgColor rgb="FFFF0000"/>
        <bgColor indexed="64"/>
      </patternFill>
    </fill>
    <fill>
      <patternFill patternType="solid">
        <fgColor theme="9"/>
        <bgColor indexed="64"/>
      </patternFill>
    </fill>
    <fill>
      <patternFill patternType="solid">
        <fgColor rgb="FFFFC000"/>
        <bgColor indexed="64"/>
      </patternFill>
    </fill>
    <fill>
      <patternFill patternType="solid">
        <fgColor theme="8" tint="0.79998168889431442"/>
        <bgColor indexed="64"/>
      </patternFill>
    </fill>
  </fills>
  <borders count="1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7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5" borderId="0" xfId="0" applyFill="1"/>
    <xf numFmtId="0" fontId="0" fillId="4" borderId="0" xfId="0" applyFill="1"/>
    <xf numFmtId="0" fontId="0" fillId="6" borderId="0" xfId="0" applyFill="1"/>
    <xf numFmtId="1" fontId="0" fillId="0" borderId="0" xfId="0" applyNumberFormat="1"/>
    <xf numFmtId="0" fontId="0" fillId="0" borderId="0" xfId="0"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20" fontId="0" fillId="0" borderId="4" xfId="0" applyNumberFormat="1" applyBorder="1"/>
    <xf numFmtId="0" fontId="0" fillId="0" borderId="0" xfId="0" applyAlignment="1">
      <alignment vertical="center"/>
    </xf>
    <xf numFmtId="20" fontId="0" fillId="0" borderId="4" xfId="0" applyNumberFormat="1" applyBorder="1" applyAlignment="1">
      <alignment vertical="center"/>
    </xf>
    <xf numFmtId="14" fontId="0" fillId="9" borderId="0" xfId="0" applyNumberFormat="1" applyFill="1" applyAlignment="1">
      <alignment horizontal="left"/>
    </xf>
    <xf numFmtId="14" fontId="0" fillId="9" borderId="0" xfId="0" applyNumberFormat="1" applyFill="1" applyAlignment="1">
      <alignment horizontal="center"/>
    </xf>
    <xf numFmtId="0" fontId="1" fillId="0" borderId="0" xfId="0" applyFont="1" applyAlignment="1">
      <alignment wrapText="1"/>
    </xf>
    <xf numFmtId="0" fontId="0" fillId="3" borderId="4" xfId="0" applyFill="1" applyBorder="1" applyAlignment="1">
      <alignment horizontal="center" vertical="center" wrapText="1"/>
    </xf>
    <xf numFmtId="0" fontId="0" fillId="3" borderId="4" xfId="0"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9" fontId="0" fillId="0" borderId="0" xfId="1" applyFont="1"/>
    <xf numFmtId="0" fontId="9" fillId="0" borderId="8" xfId="0" applyFont="1" applyBorder="1" applyAlignment="1">
      <alignment horizontal="center" vertical="center" wrapText="1"/>
    </xf>
    <xf numFmtId="0" fontId="0" fillId="13" borderId="4" xfId="0" applyFill="1" applyBorder="1" applyAlignment="1">
      <alignment horizontal="center" vertical="center"/>
    </xf>
    <xf numFmtId="0" fontId="10" fillId="12" borderId="4" xfId="0" applyFont="1" applyFill="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4" fillId="0" borderId="0" xfId="0" applyFont="1" applyAlignment="1">
      <alignment horizontal="center" vertical="center" wrapText="1"/>
    </xf>
    <xf numFmtId="0" fontId="0" fillId="8" borderId="9" xfId="0" applyFill="1" applyBorder="1" applyAlignment="1">
      <alignment horizontal="center" vertical="center" wrapText="1"/>
    </xf>
    <xf numFmtId="0" fontId="0" fillId="8" borderId="5" xfId="0" applyFill="1" applyBorder="1" applyAlignment="1">
      <alignment horizontal="center" vertical="center" wrapText="1"/>
    </xf>
    <xf numFmtId="0" fontId="0" fillId="8" borderId="10"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8"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11" borderId="0" xfId="0" applyFill="1" applyAlignment="1">
      <alignment horizontal="center" vertical="center" wrapText="1"/>
    </xf>
    <xf numFmtId="0" fontId="0" fillId="11" borderId="0" xfId="0" applyFill="1" applyAlignment="1">
      <alignment horizontal="center"/>
    </xf>
    <xf numFmtId="0" fontId="1" fillId="2" borderId="0" xfId="0" applyFont="1" applyFill="1" applyAlignment="1">
      <alignment horizontal="center"/>
    </xf>
    <xf numFmtId="0" fontId="7" fillId="2" borderId="0" xfId="0" applyFont="1" applyFill="1" applyAlignment="1">
      <alignment horizontal="center" wrapText="1"/>
    </xf>
    <xf numFmtId="0" fontId="0" fillId="10" borderId="0" xfId="0" applyFill="1" applyAlignment="1">
      <alignment horizontal="center"/>
    </xf>
    <xf numFmtId="0" fontId="0" fillId="0" borderId="6" xfId="0" applyBorder="1" applyAlignment="1">
      <alignment horizontal="center" vertical="center"/>
    </xf>
    <xf numFmtId="0" fontId="0" fillId="0" borderId="8" xfId="0" applyBorder="1" applyAlignment="1">
      <alignment horizontal="center" vertical="center"/>
    </xf>
    <xf numFmtId="0" fontId="0" fillId="14" borderId="0" xfId="0" applyFill="1" applyAlignment="1">
      <alignment horizontal="center" wrapText="1"/>
    </xf>
    <xf numFmtId="9" fontId="0" fillId="15" borderId="0" xfId="0" applyNumberFormat="1" applyFill="1"/>
    <xf numFmtId="0" fontId="0" fillId="0" borderId="7" xfId="0" applyBorder="1" applyAlignment="1">
      <alignment horizontal="center" vertical="center"/>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8" borderId="9" xfId="0" applyFill="1" applyBorder="1" applyAlignment="1">
      <alignment horizontal="center" vertical="center"/>
    </xf>
    <xf numFmtId="0" fontId="0" fillId="8" borderId="5" xfId="0" applyFill="1" applyBorder="1" applyAlignment="1">
      <alignment horizontal="center" vertical="center"/>
    </xf>
    <xf numFmtId="0" fontId="0" fillId="8" borderId="10" xfId="0" applyFill="1" applyBorder="1" applyAlignment="1">
      <alignment horizontal="center" vertical="center"/>
    </xf>
    <xf numFmtId="0" fontId="0" fillId="8" borderId="4" xfId="0" applyFill="1" applyBorder="1" applyAlignment="1">
      <alignment horizontal="center" vertical="center"/>
    </xf>
    <xf numFmtId="9" fontId="0" fillId="0" borderId="0" xfId="0" applyNumberFormat="1" applyAlignment="1">
      <alignment horizontal="center" vertical="center"/>
    </xf>
    <xf numFmtId="9" fontId="0" fillId="0" borderId="0" xfId="0" applyNumberFormat="1" applyAlignment="1">
      <alignment horizontal="right" vertical="center"/>
    </xf>
    <xf numFmtId="10" fontId="0" fillId="0" borderId="0" xfId="0" applyNumberFormat="1"/>
    <xf numFmtId="0" fontId="0" fillId="12" borderId="4" xfId="0" applyFill="1" applyBorder="1" applyAlignment="1">
      <alignment horizontal="center" vertical="center" wrapText="1"/>
    </xf>
  </cellXfs>
  <cellStyles count="2">
    <cellStyle name="Prozent" xfId="1" builtinId="5"/>
    <cellStyle name="Standard" xfId="0" builtinId="0"/>
  </cellStyles>
  <dxfs count="209">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F117" totalsRowShown="0" headerRowDxfId="208">
  <autoFilter ref="A1:F117" xr:uid="{6E266E34-2786-2747-BCE7-51B74867A564}"/>
  <tableColumns count="6">
    <tableColumn id="1" xr3:uid="{95FD92F7-3DC8-704D-A103-A7EDDAB255AB}" name="Datum" dataDxfId="207"/>
    <tableColumn id="2" xr3:uid="{F464D510-8166-E740-A343-FB84BDEF877F}" name="Lerneinheiten durchgezogen" dataDxfId="206"/>
    <tableColumn id="3" xr3:uid="{75F52B08-1A00-0848-BBE6-1EDF7B31B1AD}" name="Tagesplan erstellt" dataDxfId="205"/>
    <tableColumn id="4" xr3:uid="{E6B18D89-E799-AD48-9DAA-37AEE1D29011}" name="Konzentrationslevel" dataDxfId="204"/>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L117"/>
  <sheetViews>
    <sheetView zoomScale="82" workbookViewId="0">
      <selection activeCell="E2" sqref="E2"/>
    </sheetView>
  </sheetViews>
  <sheetFormatPr baseColWidth="10" defaultColWidth="10.69921875" defaultRowHeight="15.6"/>
  <cols>
    <col min="1" max="1" width="16.796875" style="8" customWidth="1"/>
    <col min="2" max="2" width="19.19921875" style="8" customWidth="1"/>
    <col min="3" max="3" width="18.19921875" style="8" customWidth="1"/>
    <col min="4" max="4" width="19.5" style="8" customWidth="1"/>
    <col min="5" max="5" width="42" customWidth="1"/>
    <col min="6" max="6" width="28.5" customWidth="1"/>
  </cols>
  <sheetData>
    <row r="1" spans="1:12" ht="31.2">
      <c r="A1" s="8" t="s">
        <v>47</v>
      </c>
      <c r="B1" s="13" t="s">
        <v>44</v>
      </c>
      <c r="C1" s="13" t="s">
        <v>45</v>
      </c>
      <c r="D1" s="13" t="s">
        <v>46</v>
      </c>
      <c r="E1" s="1" t="s">
        <v>48</v>
      </c>
      <c r="F1" s="1" t="s">
        <v>49</v>
      </c>
    </row>
    <row r="2" spans="1:12">
      <c r="A2" s="12">
        <v>45785</v>
      </c>
      <c r="C2" s="8" t="s">
        <v>178</v>
      </c>
      <c r="D2" s="10">
        <v>1</v>
      </c>
    </row>
    <row r="3" spans="1:12">
      <c r="A3" s="12">
        <v>45786</v>
      </c>
    </row>
    <row r="4" spans="1:12">
      <c r="A4" s="12">
        <v>45787</v>
      </c>
      <c r="I4" s="35" t="s">
        <v>174</v>
      </c>
      <c r="J4" s="35"/>
      <c r="K4" s="36" t="s">
        <v>175</v>
      </c>
      <c r="L4" s="36"/>
    </row>
    <row r="5" spans="1:12">
      <c r="A5" s="12">
        <v>45788</v>
      </c>
      <c r="I5" s="35"/>
      <c r="J5" s="35"/>
      <c r="K5" s="36"/>
      <c r="L5" s="36"/>
    </row>
    <row r="6" spans="1:12">
      <c r="A6" s="12">
        <v>45789</v>
      </c>
      <c r="I6" s="37" t="s">
        <v>176</v>
      </c>
      <c r="J6" s="37"/>
      <c r="K6" s="37" t="s">
        <v>177</v>
      </c>
      <c r="L6" s="38"/>
    </row>
    <row r="7" spans="1:12">
      <c r="A7" s="12">
        <v>45790</v>
      </c>
      <c r="I7" s="37"/>
      <c r="J7" s="37"/>
      <c r="K7" s="38"/>
      <c r="L7" s="38"/>
    </row>
    <row r="8" spans="1:12">
      <c r="A8" s="12">
        <v>45791</v>
      </c>
      <c r="I8" s="37"/>
      <c r="J8" s="37"/>
      <c r="K8" s="38"/>
      <c r="L8" s="38"/>
    </row>
    <row r="9" spans="1:12">
      <c r="A9" s="12">
        <v>45792</v>
      </c>
      <c r="I9" s="37"/>
      <c r="J9" s="37"/>
      <c r="K9" s="38"/>
      <c r="L9" s="38"/>
    </row>
    <row r="10" spans="1:12">
      <c r="A10" s="12">
        <v>45793</v>
      </c>
      <c r="I10" s="37"/>
      <c r="J10" s="37"/>
      <c r="K10" s="38"/>
      <c r="L10" s="38"/>
    </row>
    <row r="11" spans="1:12">
      <c r="A11" s="12">
        <v>45794</v>
      </c>
      <c r="I11" s="37"/>
      <c r="J11" s="37"/>
      <c r="K11" s="38"/>
      <c r="L11" s="38"/>
    </row>
    <row r="12" spans="1:12">
      <c r="A12" s="12">
        <v>45795</v>
      </c>
      <c r="I12" s="37"/>
      <c r="J12" s="37"/>
      <c r="K12" s="38"/>
      <c r="L12" s="38"/>
    </row>
    <row r="13" spans="1:12">
      <c r="A13" s="12">
        <v>45796</v>
      </c>
      <c r="I13" s="37"/>
      <c r="J13" s="37"/>
      <c r="K13" s="38"/>
      <c r="L13" s="38"/>
    </row>
    <row r="14" spans="1:12">
      <c r="A14" s="12">
        <v>45797</v>
      </c>
      <c r="I14" s="37"/>
      <c r="J14" s="37"/>
      <c r="K14" s="38"/>
      <c r="L14" s="38"/>
    </row>
    <row r="15" spans="1:12">
      <c r="A15" s="12">
        <v>45798</v>
      </c>
      <c r="I15" s="37"/>
      <c r="J15" s="37"/>
      <c r="K15" s="38"/>
      <c r="L15" s="38"/>
    </row>
    <row r="16" spans="1:12">
      <c r="A16" s="12">
        <v>45799</v>
      </c>
    </row>
    <row r="17" spans="1:1">
      <c r="A17" s="12">
        <v>45800</v>
      </c>
    </row>
    <row r="18" spans="1:1">
      <c r="A18" s="12">
        <v>45801</v>
      </c>
    </row>
    <row r="19" spans="1:1">
      <c r="A19" s="12">
        <v>45802</v>
      </c>
    </row>
    <row r="20" spans="1:1">
      <c r="A20" s="12">
        <v>45803</v>
      </c>
    </row>
    <row r="21" spans="1:1">
      <c r="A21" s="12">
        <v>45804</v>
      </c>
    </row>
    <row r="22" spans="1:1">
      <c r="A22" s="12">
        <v>45805</v>
      </c>
    </row>
    <row r="23" spans="1:1">
      <c r="A23" s="12">
        <v>45806</v>
      </c>
    </row>
    <row r="24" spans="1:1">
      <c r="A24" s="12">
        <v>45807</v>
      </c>
    </row>
    <row r="25" spans="1:1">
      <c r="A25" s="12">
        <v>45808</v>
      </c>
    </row>
    <row r="26" spans="1:1">
      <c r="A26" s="12">
        <v>45809</v>
      </c>
    </row>
    <row r="27" spans="1:1">
      <c r="A27" s="12">
        <v>45810</v>
      </c>
    </row>
    <row r="28" spans="1:1">
      <c r="A28" s="12">
        <v>45811</v>
      </c>
    </row>
    <row r="29" spans="1:1">
      <c r="A29" s="12">
        <v>45812</v>
      </c>
    </row>
    <row r="30" spans="1:1">
      <c r="A30" s="12">
        <v>45813</v>
      </c>
    </row>
    <row r="31" spans="1:1">
      <c r="A31" s="12">
        <v>45814</v>
      </c>
    </row>
    <row r="32" spans="1:1">
      <c r="A32" s="12">
        <v>45815</v>
      </c>
    </row>
    <row r="33" spans="1:1">
      <c r="A33" s="12">
        <v>45816</v>
      </c>
    </row>
    <row r="34" spans="1:1">
      <c r="A34" s="12">
        <v>45817</v>
      </c>
    </row>
    <row r="35" spans="1:1">
      <c r="A35" s="12">
        <v>45818</v>
      </c>
    </row>
    <row r="36" spans="1:1">
      <c r="A36" s="12">
        <v>45819</v>
      </c>
    </row>
    <row r="37" spans="1:1">
      <c r="A37" s="12">
        <v>45820</v>
      </c>
    </row>
    <row r="38" spans="1:1">
      <c r="A38" s="12">
        <v>45821</v>
      </c>
    </row>
    <row r="39" spans="1:1">
      <c r="A39" s="12">
        <v>45822</v>
      </c>
    </row>
    <row r="40" spans="1:1">
      <c r="A40" s="12">
        <v>45823</v>
      </c>
    </row>
    <row r="41" spans="1:1">
      <c r="A41" s="12">
        <v>45824</v>
      </c>
    </row>
    <row r="42" spans="1:1">
      <c r="A42" s="12">
        <v>45825</v>
      </c>
    </row>
    <row r="43" spans="1:1">
      <c r="A43" s="12">
        <v>45826</v>
      </c>
    </row>
    <row r="44" spans="1:1">
      <c r="A44" s="12">
        <v>45827</v>
      </c>
    </row>
    <row r="45" spans="1:1">
      <c r="A45" s="12">
        <v>45828</v>
      </c>
    </row>
    <row r="46" spans="1:1">
      <c r="A46" s="12">
        <v>45829</v>
      </c>
    </row>
    <row r="47" spans="1:1">
      <c r="A47" s="12">
        <v>45830</v>
      </c>
    </row>
    <row r="48" spans="1:1">
      <c r="A48" s="12">
        <v>45831</v>
      </c>
    </row>
    <row r="49" spans="1:1">
      <c r="A49" s="12">
        <v>45832</v>
      </c>
    </row>
    <row r="50" spans="1:1">
      <c r="A50" s="12">
        <v>45833</v>
      </c>
    </row>
    <row r="51" spans="1:1">
      <c r="A51" s="12">
        <v>45834</v>
      </c>
    </row>
    <row r="52" spans="1:1">
      <c r="A52" s="12">
        <v>45835</v>
      </c>
    </row>
    <row r="53" spans="1:1">
      <c r="A53" s="12">
        <v>45836</v>
      </c>
    </row>
    <row r="54" spans="1:1">
      <c r="A54" s="12">
        <v>45837</v>
      </c>
    </row>
    <row r="55" spans="1:1">
      <c r="A55" s="12">
        <v>45838</v>
      </c>
    </row>
    <row r="56" spans="1:1">
      <c r="A56" s="12">
        <v>45839</v>
      </c>
    </row>
    <row r="57" spans="1:1">
      <c r="A57" s="12">
        <v>45840</v>
      </c>
    </row>
    <row r="58" spans="1:1">
      <c r="A58" s="12">
        <v>45841</v>
      </c>
    </row>
    <row r="59" spans="1:1">
      <c r="A59" s="12">
        <v>45842</v>
      </c>
    </row>
    <row r="60" spans="1:1">
      <c r="A60" s="12">
        <v>45843</v>
      </c>
    </row>
    <row r="61" spans="1:1">
      <c r="A61" s="12">
        <v>45844</v>
      </c>
    </row>
    <row r="62" spans="1:1">
      <c r="A62" s="12">
        <v>45845</v>
      </c>
    </row>
    <row r="63" spans="1:1">
      <c r="A63" s="12">
        <v>45846</v>
      </c>
    </row>
    <row r="64" spans="1:1">
      <c r="A64" s="12">
        <v>45847</v>
      </c>
    </row>
    <row r="65" spans="1:1">
      <c r="A65" s="12">
        <v>45848</v>
      </c>
    </row>
    <row r="66" spans="1:1">
      <c r="A66" s="12">
        <v>45849</v>
      </c>
    </row>
    <row r="67" spans="1:1">
      <c r="A67" s="12">
        <v>45850</v>
      </c>
    </row>
    <row r="68" spans="1:1">
      <c r="A68" s="12">
        <v>45851</v>
      </c>
    </row>
    <row r="69" spans="1:1">
      <c r="A69" s="12">
        <v>45852</v>
      </c>
    </row>
    <row r="70" spans="1:1">
      <c r="A70" s="12">
        <v>45853</v>
      </c>
    </row>
    <row r="71" spans="1:1">
      <c r="A71" s="12">
        <v>45854</v>
      </c>
    </row>
    <row r="72" spans="1:1">
      <c r="A72" s="12">
        <v>45855</v>
      </c>
    </row>
    <row r="73" spans="1:1">
      <c r="A73" s="12">
        <v>45856</v>
      </c>
    </row>
    <row r="74" spans="1:1">
      <c r="A74" s="12">
        <v>45857</v>
      </c>
    </row>
    <row r="75" spans="1:1">
      <c r="A75" s="12">
        <v>45858</v>
      </c>
    </row>
    <row r="76" spans="1:1">
      <c r="A76" s="12">
        <v>45859</v>
      </c>
    </row>
    <row r="77" spans="1:1">
      <c r="A77" s="12">
        <v>45860</v>
      </c>
    </row>
    <row r="78" spans="1:1">
      <c r="A78" s="12">
        <v>45861</v>
      </c>
    </row>
    <row r="79" spans="1:1">
      <c r="A79" s="12">
        <v>45862</v>
      </c>
    </row>
    <row r="80" spans="1:1">
      <c r="A80" s="12">
        <v>45863</v>
      </c>
    </row>
    <row r="81" spans="1:1">
      <c r="A81" s="12">
        <v>45864</v>
      </c>
    </row>
    <row r="82" spans="1:1">
      <c r="A82" s="12">
        <v>45865</v>
      </c>
    </row>
    <row r="83" spans="1:1">
      <c r="A83" s="12">
        <v>45866</v>
      </c>
    </row>
    <row r="84" spans="1:1">
      <c r="A84" s="12">
        <v>45867</v>
      </c>
    </row>
    <row r="85" spans="1:1">
      <c r="A85" s="12">
        <v>45868</v>
      </c>
    </row>
    <row r="86" spans="1:1">
      <c r="A86" s="12">
        <v>45869</v>
      </c>
    </row>
    <row r="87" spans="1:1">
      <c r="A87" s="12">
        <v>45870</v>
      </c>
    </row>
    <row r="88" spans="1:1">
      <c r="A88" s="12">
        <v>45871</v>
      </c>
    </row>
    <row r="89" spans="1:1">
      <c r="A89" s="12">
        <v>45872</v>
      </c>
    </row>
    <row r="90" spans="1:1">
      <c r="A90" s="12">
        <v>45873</v>
      </c>
    </row>
    <row r="91" spans="1:1">
      <c r="A91" s="12">
        <v>45874</v>
      </c>
    </row>
    <row r="92" spans="1:1">
      <c r="A92" s="12">
        <v>45875</v>
      </c>
    </row>
    <row r="93" spans="1:1">
      <c r="A93" s="12">
        <v>45876</v>
      </c>
    </row>
    <row r="94" spans="1:1">
      <c r="A94" s="12">
        <v>45877</v>
      </c>
    </row>
    <row r="95" spans="1:1">
      <c r="A95" s="12">
        <v>45878</v>
      </c>
    </row>
    <row r="96" spans="1:1">
      <c r="A96" s="12">
        <v>45879</v>
      </c>
    </row>
    <row r="97" spans="1:1">
      <c r="A97" s="12">
        <v>45880</v>
      </c>
    </row>
    <row r="98" spans="1:1">
      <c r="A98" s="12">
        <v>45881</v>
      </c>
    </row>
    <row r="99" spans="1:1">
      <c r="A99" s="12">
        <v>45882</v>
      </c>
    </row>
    <row r="100" spans="1:1">
      <c r="A100" s="12">
        <v>45883</v>
      </c>
    </row>
    <row r="101" spans="1:1">
      <c r="A101" s="12">
        <v>45884</v>
      </c>
    </row>
    <row r="102" spans="1:1">
      <c r="A102" s="12">
        <v>45885</v>
      </c>
    </row>
    <row r="103" spans="1:1">
      <c r="A103" s="12">
        <v>45886</v>
      </c>
    </row>
    <row r="104" spans="1:1">
      <c r="A104" s="12">
        <v>45887</v>
      </c>
    </row>
    <row r="105" spans="1:1">
      <c r="A105" s="12">
        <v>45888</v>
      </c>
    </row>
    <row r="106" spans="1:1">
      <c r="A106" s="12">
        <v>45889</v>
      </c>
    </row>
    <row r="107" spans="1:1">
      <c r="A107" s="12">
        <v>45890</v>
      </c>
    </row>
    <row r="108" spans="1:1">
      <c r="A108" s="12">
        <v>45891</v>
      </c>
    </row>
    <row r="109" spans="1:1">
      <c r="A109" s="12">
        <v>45892</v>
      </c>
    </row>
    <row r="110" spans="1:1">
      <c r="A110" s="12">
        <v>45893</v>
      </c>
    </row>
    <row r="111" spans="1:1">
      <c r="A111" s="12">
        <v>45894</v>
      </c>
    </row>
    <row r="112" spans="1:1">
      <c r="A112" s="12">
        <v>45895</v>
      </c>
    </row>
    <row r="113" spans="1:1">
      <c r="A113" s="12">
        <v>45896</v>
      </c>
    </row>
    <row r="114" spans="1:1">
      <c r="A114" s="12">
        <v>45897</v>
      </c>
    </row>
    <row r="115" spans="1:1">
      <c r="A115" s="12">
        <v>45898</v>
      </c>
    </row>
    <row r="116" spans="1:1">
      <c r="A116" s="12">
        <v>45899</v>
      </c>
    </row>
    <row r="117" spans="1:1">
      <c r="A117" s="12">
        <v>45900</v>
      </c>
    </row>
  </sheetData>
  <mergeCells count="4">
    <mergeCell ref="I4:J5"/>
    <mergeCell ref="K4:L5"/>
    <mergeCell ref="I6:J15"/>
    <mergeCell ref="K6:L15"/>
  </mergeCells>
  <conditionalFormatting sqref="B2:B117">
    <cfRule type="cellIs" dxfId="203" priority="4" operator="equal">
      <formula>"Ja"</formula>
    </cfRule>
    <cfRule type="cellIs" dxfId="202" priority="14" operator="equal">
      <formula>"Ja"</formula>
    </cfRule>
    <cfRule type="cellIs" dxfId="201" priority="15" operator="equal">
      <formula>"Nein"</formula>
    </cfRule>
  </conditionalFormatting>
  <conditionalFormatting sqref="C2:C117">
    <cfRule type="cellIs" dxfId="200" priority="1" operator="equal">
      <formula>"Ja"</formula>
    </cfRule>
    <cfRule type="cellIs" dxfId="199" priority="2" operator="equal">
      <formula>"Ja"</formula>
    </cfRule>
    <cfRule type="cellIs" dxfId="198" priority="3" operator="equal">
      <formula>"Nein"</formula>
    </cfRule>
  </conditionalFormatting>
  <conditionalFormatting sqref="D2">
    <cfRule type="cellIs" dxfId="197" priority="6" operator="equal">
      <formula>1</formula>
    </cfRule>
    <cfRule type="cellIs" dxfId="196" priority="7" operator="equal">
      <formula>0.8</formula>
    </cfRule>
    <cfRule type="cellIs" dxfId="195" priority="8" operator="equal">
      <formula>0.6</formula>
    </cfRule>
    <cfRule type="cellIs" dxfId="194" priority="9" operator="equal">
      <formula>0.4</formula>
    </cfRule>
    <cfRule type="cellIs" dxfId="193" priority="10" operator="equal">
      <formula>0.2</formula>
    </cfRule>
    <cfRule type="cellIs" dxfId="192" priority="11" operator="equal">
      <formula>0</formula>
    </cfRule>
  </conditionalFormatting>
  <dataValidations count="2">
    <dataValidation type="list" allowBlank="1" showInputMessage="1" showErrorMessage="1" sqref="B2:C117"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23" workbookViewId="0">
      <selection activeCell="B25" sqref="B25"/>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37</v>
      </c>
    </row>
    <row r="12" spans="2:2">
      <c r="B12" s="2" t="s">
        <v>17</v>
      </c>
    </row>
    <row r="13" spans="2:2" ht="140.4">
      <c r="B13" s="1" t="s">
        <v>18</v>
      </c>
    </row>
    <row r="15" spans="2:2">
      <c r="B15" s="2" t="s">
        <v>19</v>
      </c>
    </row>
    <row r="16" spans="2:2" ht="109.2">
      <c r="B16" s="1" t="s">
        <v>20</v>
      </c>
    </row>
    <row r="17" spans="2:2">
      <c r="B17" s="1"/>
    </row>
    <row r="18" spans="2:2">
      <c r="B18" s="2" t="s">
        <v>36</v>
      </c>
    </row>
    <row r="19" spans="2:2" ht="140.4">
      <c r="B19" s="1" t="s">
        <v>38</v>
      </c>
    </row>
    <row r="21" spans="2:2">
      <c r="B21" s="2" t="s">
        <v>21</v>
      </c>
    </row>
    <row r="22" spans="2:2" ht="124.8">
      <c r="B22" s="1" t="s">
        <v>39</v>
      </c>
    </row>
    <row r="24" spans="2:2">
      <c r="B24" s="2" t="s">
        <v>22</v>
      </c>
    </row>
    <row r="25" spans="2:2" ht="124.8">
      <c r="B25" s="1"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6829-7146-47CF-A85D-A857BB0E0AF7}">
  <dimension ref="A2:J17"/>
  <sheetViews>
    <sheetView topLeftCell="D1" workbookViewId="0">
      <selection activeCell="L7" sqref="L7"/>
    </sheetView>
  </sheetViews>
  <sheetFormatPr baseColWidth="10" defaultRowHeight="15.6"/>
  <cols>
    <col min="2" max="2" width="61.19921875" bestFit="1" customWidth="1"/>
    <col min="3" max="3" width="25.296875" bestFit="1" customWidth="1"/>
    <col min="4" max="4" width="255.69921875" style="1" bestFit="1" customWidth="1"/>
  </cols>
  <sheetData>
    <row r="2" spans="1:10">
      <c r="C2" s="14" t="s">
        <v>70</v>
      </c>
      <c r="J2" s="74">
        <v>0.125</v>
      </c>
    </row>
    <row r="3" spans="1:10">
      <c r="C3" s="15" t="s">
        <v>71</v>
      </c>
      <c r="J3" s="74">
        <v>0.125</v>
      </c>
    </row>
    <row r="4" spans="1:10">
      <c r="C4" s="16" t="s">
        <v>72</v>
      </c>
      <c r="J4" s="74">
        <v>0.125</v>
      </c>
    </row>
    <row r="5" spans="1:10">
      <c r="A5" s="2" t="s">
        <v>73</v>
      </c>
      <c r="B5" s="2" t="s">
        <v>74</v>
      </c>
      <c r="C5" s="2" t="s">
        <v>75</v>
      </c>
      <c r="D5" s="27" t="s">
        <v>76</v>
      </c>
      <c r="J5" s="74">
        <v>0.125</v>
      </c>
    </row>
    <row r="6" spans="1:10" ht="31.2">
      <c r="A6" t="s">
        <v>77</v>
      </c>
      <c r="B6" s="14" t="s">
        <v>78</v>
      </c>
      <c r="D6" s="1" t="s">
        <v>79</v>
      </c>
      <c r="J6" s="74">
        <v>0.125</v>
      </c>
    </row>
    <row r="7" spans="1:10">
      <c r="A7" t="s">
        <v>80</v>
      </c>
      <c r="B7" t="s">
        <v>81</v>
      </c>
      <c r="C7" s="16">
        <v>58</v>
      </c>
      <c r="J7" s="74">
        <v>0.125</v>
      </c>
    </row>
    <row r="8" spans="1:10">
      <c r="A8" t="s">
        <v>82</v>
      </c>
      <c r="B8" s="14" t="s">
        <v>83</v>
      </c>
      <c r="D8" s="1" t="s">
        <v>84</v>
      </c>
      <c r="J8" s="74">
        <v>0.125</v>
      </c>
    </row>
    <row r="9" spans="1:10">
      <c r="A9" t="s">
        <v>85</v>
      </c>
      <c r="B9" s="14" t="s">
        <v>86</v>
      </c>
      <c r="D9" s="1" t="s">
        <v>87</v>
      </c>
      <c r="J9" s="74">
        <v>0.125</v>
      </c>
    </row>
    <row r="10" spans="1:10" ht="31.2">
      <c r="A10" t="s">
        <v>88</v>
      </c>
      <c r="B10" t="s">
        <v>89</v>
      </c>
      <c r="C10" s="16">
        <v>14</v>
      </c>
      <c r="D10" s="1" t="s">
        <v>90</v>
      </c>
    </row>
    <row r="11" spans="1:10" ht="31.2">
      <c r="A11" t="s">
        <v>91</v>
      </c>
      <c r="B11" t="s">
        <v>92</v>
      </c>
      <c r="C11" s="16">
        <v>174</v>
      </c>
      <c r="D11" s="1" t="s">
        <v>93</v>
      </c>
    </row>
    <row r="12" spans="1:10">
      <c r="A12" t="s">
        <v>94</v>
      </c>
      <c r="B12" t="s">
        <v>95</v>
      </c>
      <c r="C12" s="15">
        <f>C11/C10</f>
        <v>12.428571428571429</v>
      </c>
    </row>
    <row r="13" spans="1:10" ht="31.2">
      <c r="A13" t="s">
        <v>96</v>
      </c>
      <c r="B13" t="s">
        <v>97</v>
      </c>
      <c r="D13" s="1" t="s">
        <v>98</v>
      </c>
    </row>
    <row r="14" spans="1:10">
      <c r="A14" t="s">
        <v>99</v>
      </c>
      <c r="B14" t="s">
        <v>100</v>
      </c>
      <c r="D14" s="1" t="s">
        <v>101</v>
      </c>
    </row>
    <row r="15" spans="1:10">
      <c r="A15" t="s">
        <v>102</v>
      </c>
      <c r="B15" s="14" t="s">
        <v>103</v>
      </c>
    </row>
    <row r="16" spans="1:10">
      <c r="A16" t="s">
        <v>104</v>
      </c>
      <c r="B16" s="14" t="s">
        <v>105</v>
      </c>
    </row>
    <row r="17" spans="1:2">
      <c r="A17" t="s">
        <v>106</v>
      </c>
      <c r="B17" t="s">
        <v>107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K48"/>
  <sheetViews>
    <sheetView showGridLines="0" topLeftCell="A8" zoomScale="94" workbookViewId="0">
      <selection activeCell="L25" sqref="L25"/>
    </sheetView>
  </sheetViews>
  <sheetFormatPr baseColWidth="10" defaultColWidth="10.69921875" defaultRowHeight="15.6"/>
  <cols>
    <col min="3" max="9" width="10.69921875" style="18"/>
  </cols>
  <sheetData>
    <row r="1" spans="2:9" ht="24.6">
      <c r="C1" s="42" t="s">
        <v>25</v>
      </c>
      <c r="D1" s="42"/>
    </row>
    <row r="3" spans="2:9" ht="16.2" thickBot="1"/>
    <row r="4" spans="2:9" ht="16.2" thickBot="1">
      <c r="C4" s="19" t="s">
        <v>4</v>
      </c>
      <c r="D4" s="20" t="s">
        <v>5</v>
      </c>
      <c r="E4" s="20" t="s">
        <v>6</v>
      </c>
      <c r="F4" s="20" t="s">
        <v>7</v>
      </c>
      <c r="G4" s="20" t="s">
        <v>10</v>
      </c>
      <c r="H4" s="20" t="s">
        <v>8</v>
      </c>
      <c r="I4" s="21" t="s">
        <v>9</v>
      </c>
    </row>
    <row r="5" spans="2:9">
      <c r="B5" s="22">
        <v>0.29166666666666702</v>
      </c>
    </row>
    <row r="6" spans="2:9">
      <c r="B6" s="22">
        <v>0.3125</v>
      </c>
    </row>
    <row r="7" spans="2:9">
      <c r="B7" s="22">
        <v>0.33333333333333398</v>
      </c>
    </row>
    <row r="8" spans="2:9">
      <c r="B8" s="22">
        <v>0.35416666666666702</v>
      </c>
    </row>
    <row r="9" spans="2:9">
      <c r="B9" s="22">
        <v>0.375</v>
      </c>
    </row>
    <row r="10" spans="2:9">
      <c r="B10" s="22">
        <v>0.39583333333333398</v>
      </c>
    </row>
    <row r="11" spans="2:9">
      <c r="B11" s="22">
        <v>0.41666666666666702</v>
      </c>
      <c r="C11" s="53" t="s">
        <v>115</v>
      </c>
      <c r="D11" s="53" t="s">
        <v>115</v>
      </c>
      <c r="E11" s="54" t="s">
        <v>115</v>
      </c>
      <c r="F11" s="53" t="s">
        <v>115</v>
      </c>
      <c r="G11" s="54" t="s">
        <v>115</v>
      </c>
      <c r="H11" s="53" t="s">
        <v>115</v>
      </c>
      <c r="I11" s="53" t="s">
        <v>115</v>
      </c>
    </row>
    <row r="12" spans="2:9">
      <c r="B12" s="22">
        <v>0.4375</v>
      </c>
      <c r="C12" s="53"/>
      <c r="D12" s="53"/>
      <c r="E12" s="54"/>
      <c r="F12" s="53"/>
      <c r="G12" s="54"/>
      <c r="H12" s="53"/>
      <c r="I12" s="53"/>
    </row>
    <row r="13" spans="2:9" ht="15.6" customHeight="1">
      <c r="B13" s="22">
        <v>0.45833333333333398</v>
      </c>
      <c r="C13" s="50" t="s">
        <v>50</v>
      </c>
      <c r="D13" s="50" t="s">
        <v>127</v>
      </c>
      <c r="E13" s="50" t="s">
        <v>129</v>
      </c>
      <c r="F13" s="50" t="s">
        <v>138</v>
      </c>
      <c r="G13" s="50" t="s">
        <v>135</v>
      </c>
      <c r="H13" s="50" t="s">
        <v>149</v>
      </c>
      <c r="I13" s="50" t="s">
        <v>125</v>
      </c>
    </row>
    <row r="14" spans="2:9">
      <c r="B14" s="22">
        <v>0.47916666666666702</v>
      </c>
      <c r="C14" s="51"/>
      <c r="D14" s="51"/>
      <c r="E14" s="51"/>
      <c r="F14" s="51"/>
      <c r="G14" s="51"/>
      <c r="H14" s="51"/>
      <c r="I14" s="51"/>
    </row>
    <row r="15" spans="2:9">
      <c r="B15" s="22">
        <v>0.5</v>
      </c>
      <c r="C15" s="51"/>
      <c r="D15" s="51"/>
      <c r="E15" s="51"/>
      <c r="F15" s="51"/>
      <c r="G15" s="51"/>
      <c r="H15" s="51"/>
      <c r="I15" s="51"/>
    </row>
    <row r="16" spans="2:9">
      <c r="B16" s="22">
        <v>0.52083333333333404</v>
      </c>
      <c r="C16" s="51"/>
      <c r="D16" s="51"/>
      <c r="E16" s="51"/>
      <c r="F16" s="51"/>
      <c r="G16" s="51"/>
      <c r="H16" s="51"/>
      <c r="I16" s="51"/>
    </row>
    <row r="17" spans="2:9">
      <c r="B17" s="22">
        <v>0.54166666666666696</v>
      </c>
      <c r="C17" s="51"/>
      <c r="D17" s="51"/>
      <c r="E17" s="51"/>
      <c r="F17" s="51"/>
      <c r="G17" s="51"/>
      <c r="H17" s="51"/>
      <c r="I17" s="51"/>
    </row>
    <row r="18" spans="2:9">
      <c r="B18" s="22">
        <v>0.5625</v>
      </c>
      <c r="C18" s="51"/>
      <c r="D18" s="51"/>
      <c r="E18" s="51"/>
      <c r="F18" s="51"/>
      <c r="G18" s="51"/>
      <c r="H18" s="51"/>
      <c r="I18" s="51"/>
    </row>
    <row r="19" spans="2:9">
      <c r="B19" s="22">
        <v>0.58333333333333337</v>
      </c>
      <c r="C19" s="51"/>
      <c r="D19" s="51"/>
      <c r="E19" s="51"/>
      <c r="F19" s="51"/>
      <c r="G19" s="51"/>
      <c r="H19" s="51"/>
      <c r="I19" s="51"/>
    </row>
    <row r="20" spans="2:9">
      <c r="B20" s="22">
        <v>0.60416666666666696</v>
      </c>
      <c r="C20" s="52"/>
      <c r="D20" s="52"/>
      <c r="E20" s="52"/>
      <c r="F20" s="52"/>
      <c r="G20" s="52"/>
      <c r="H20" s="52"/>
      <c r="I20" s="52"/>
    </row>
    <row r="21" spans="2:9" ht="15.6" customHeight="1">
      <c r="B21" s="22">
        <v>0.625000000000001</v>
      </c>
      <c r="C21" s="48" t="s">
        <v>116</v>
      </c>
      <c r="D21" s="28" t="s">
        <v>128</v>
      </c>
      <c r="E21" s="48" t="s">
        <v>116</v>
      </c>
      <c r="F21" s="48" t="s">
        <v>116</v>
      </c>
      <c r="G21" s="48" t="s">
        <v>116</v>
      </c>
      <c r="H21" s="48" t="s">
        <v>116</v>
      </c>
      <c r="I21" s="48" t="s">
        <v>116</v>
      </c>
    </row>
    <row r="22" spans="2:9">
      <c r="B22" s="22">
        <v>0.64583333333333404</v>
      </c>
      <c r="C22" s="49"/>
      <c r="D22" s="37" t="s">
        <v>130</v>
      </c>
      <c r="E22" s="49"/>
      <c r="F22" s="49"/>
      <c r="G22" s="49"/>
      <c r="H22" s="49"/>
      <c r="I22" s="49"/>
    </row>
    <row r="23" spans="2:9">
      <c r="B23" s="22">
        <v>0.66666666666666696</v>
      </c>
      <c r="C23" s="50" t="s">
        <v>125</v>
      </c>
      <c r="D23" s="37"/>
      <c r="E23" s="50" t="s">
        <v>125</v>
      </c>
      <c r="F23" s="50" t="s">
        <v>127</v>
      </c>
      <c r="G23" s="50" t="s">
        <v>125</v>
      </c>
      <c r="H23" s="50" t="s">
        <v>136</v>
      </c>
      <c r="I23" s="50" t="s">
        <v>137</v>
      </c>
    </row>
    <row r="24" spans="2:9">
      <c r="B24" s="22">
        <v>0.687500000000001</v>
      </c>
      <c r="C24" s="51"/>
      <c r="D24" s="37"/>
      <c r="E24" s="51"/>
      <c r="F24" s="51"/>
      <c r="G24" s="51"/>
      <c r="H24" s="51"/>
      <c r="I24" s="51"/>
    </row>
    <row r="25" spans="2:9">
      <c r="B25" s="22">
        <v>0.70833333333333404</v>
      </c>
      <c r="C25" s="51"/>
      <c r="D25" s="37"/>
      <c r="E25" s="51"/>
      <c r="F25" s="51"/>
      <c r="G25" s="51"/>
      <c r="H25" s="51"/>
      <c r="I25" s="51"/>
    </row>
    <row r="26" spans="2:9">
      <c r="B26" s="22">
        <v>0.72916666666666696</v>
      </c>
      <c r="C26" s="51"/>
      <c r="D26" s="37"/>
      <c r="E26" s="51"/>
      <c r="F26" s="51"/>
      <c r="G26" s="51"/>
      <c r="H26" s="51"/>
      <c r="I26" s="51"/>
    </row>
    <row r="27" spans="2:9">
      <c r="B27" s="22">
        <v>0.750000000000001</v>
      </c>
      <c r="C27" s="51"/>
      <c r="D27" s="37"/>
      <c r="E27" s="51"/>
      <c r="F27" s="51"/>
      <c r="G27" s="51"/>
      <c r="H27" s="51"/>
      <c r="I27" s="51"/>
    </row>
    <row r="28" spans="2:9">
      <c r="B28" s="22">
        <v>0.77083333333333404</v>
      </c>
      <c r="C28" s="51"/>
      <c r="D28" s="29" t="s">
        <v>128</v>
      </c>
      <c r="E28" s="51"/>
      <c r="F28" s="51"/>
      <c r="G28" s="51"/>
      <c r="H28" s="51"/>
      <c r="I28" s="51"/>
    </row>
    <row r="29" spans="2:9" ht="15.6" customHeight="1">
      <c r="B29" s="22">
        <v>0.79166666666666696</v>
      </c>
      <c r="C29" s="51"/>
      <c r="D29" s="46" t="s">
        <v>124</v>
      </c>
      <c r="E29" s="51"/>
      <c r="F29" s="51"/>
      <c r="G29" s="51"/>
      <c r="H29" s="51"/>
      <c r="I29" s="51"/>
    </row>
    <row r="30" spans="2:9">
      <c r="B30" s="22">
        <v>0.812500000000001</v>
      </c>
      <c r="C30" s="52"/>
      <c r="D30" s="47"/>
      <c r="E30" s="52"/>
      <c r="F30" s="52"/>
      <c r="G30" s="52"/>
      <c r="H30" s="52"/>
      <c r="I30" s="52"/>
    </row>
    <row r="31" spans="2:9">
      <c r="B31" s="22">
        <v>0.83333333333333404</v>
      </c>
      <c r="D31" s="37" t="s">
        <v>123</v>
      </c>
      <c r="H31" s="39" t="s">
        <v>117</v>
      </c>
    </row>
    <row r="32" spans="2:9">
      <c r="B32" s="22">
        <v>0.85416666666666696</v>
      </c>
      <c r="D32" s="37"/>
      <c r="H32" s="40"/>
    </row>
    <row r="33" spans="1:11">
      <c r="B33" s="22">
        <v>0.875000000000001</v>
      </c>
      <c r="D33" s="37"/>
      <c r="H33" s="40"/>
    </row>
    <row r="34" spans="1:11">
      <c r="B34" s="22">
        <v>0.89583333333333404</v>
      </c>
      <c r="D34" s="37"/>
      <c r="H34" s="40"/>
    </row>
    <row r="35" spans="1:11">
      <c r="A35" s="23"/>
      <c r="B35" s="24">
        <v>0.91666666666666696</v>
      </c>
      <c r="D35" s="46" t="s">
        <v>124</v>
      </c>
      <c r="H35" s="40"/>
      <c r="J35" s="18"/>
      <c r="K35" s="23"/>
    </row>
    <row r="36" spans="1:11">
      <c r="A36" s="23"/>
      <c r="B36" s="24">
        <v>0.937500000000001</v>
      </c>
      <c r="D36" s="47"/>
      <c r="H36" s="40"/>
      <c r="J36" s="18"/>
      <c r="K36" s="23"/>
    </row>
    <row r="37" spans="1:11">
      <c r="A37" s="23"/>
      <c r="B37" s="24">
        <v>0.95833333333333404</v>
      </c>
      <c r="C37" s="37" t="s">
        <v>118</v>
      </c>
      <c r="D37" s="37" t="s">
        <v>118</v>
      </c>
      <c r="E37" s="37" t="s">
        <v>118</v>
      </c>
      <c r="F37" s="37" t="s">
        <v>118</v>
      </c>
      <c r="G37" s="37" t="s">
        <v>118</v>
      </c>
      <c r="H37" s="40"/>
      <c r="I37" s="37" t="s">
        <v>118</v>
      </c>
      <c r="J37" s="18"/>
      <c r="K37" s="23"/>
    </row>
    <row r="38" spans="1:11">
      <c r="A38" s="23"/>
      <c r="B38" s="24">
        <v>0.97916666666666663</v>
      </c>
      <c r="C38" s="37"/>
      <c r="D38" s="37"/>
      <c r="E38" s="37"/>
      <c r="F38" s="37"/>
      <c r="G38" s="37"/>
      <c r="H38" s="41"/>
      <c r="I38" s="37"/>
      <c r="J38" s="18"/>
      <c r="K38" s="23"/>
    </row>
    <row r="39" spans="1:11" ht="15.6" customHeight="1">
      <c r="B39" s="24">
        <v>1</v>
      </c>
      <c r="C39" s="43" t="s">
        <v>119</v>
      </c>
      <c r="D39" s="44"/>
      <c r="E39" s="44"/>
      <c r="F39" s="44"/>
      <c r="G39" s="44"/>
      <c r="H39" s="44"/>
      <c r="I39" s="45"/>
    </row>
    <row r="43" spans="1:11">
      <c r="A43" s="7"/>
    </row>
    <row r="44" spans="1:11">
      <c r="A44" s="7"/>
    </row>
    <row r="45" spans="1:11">
      <c r="A45" s="7"/>
    </row>
    <row r="46" spans="1:11">
      <c r="A46" s="7"/>
    </row>
    <row r="47" spans="1:11">
      <c r="A47" s="7"/>
    </row>
    <row r="48" spans="1:11">
      <c r="A48" s="7"/>
    </row>
  </sheetData>
  <mergeCells count="39">
    <mergeCell ref="I11:I12"/>
    <mergeCell ref="C13:C20"/>
    <mergeCell ref="D13:D20"/>
    <mergeCell ref="E13:E20"/>
    <mergeCell ref="F13:F20"/>
    <mergeCell ref="G13:G20"/>
    <mergeCell ref="H13:H20"/>
    <mergeCell ref="I13:I20"/>
    <mergeCell ref="C11:C12"/>
    <mergeCell ref="D11:D12"/>
    <mergeCell ref="E11:E12"/>
    <mergeCell ref="F11:F12"/>
    <mergeCell ref="G11:G12"/>
    <mergeCell ref="H11:H12"/>
    <mergeCell ref="H23:H30"/>
    <mergeCell ref="I23:I30"/>
    <mergeCell ref="C21:C22"/>
    <mergeCell ref="E21:E22"/>
    <mergeCell ref="F21:F22"/>
    <mergeCell ref="G21:G22"/>
    <mergeCell ref="H21:H22"/>
    <mergeCell ref="D22:D27"/>
    <mergeCell ref="D29:D30"/>
    <mergeCell ref="I37:I38"/>
    <mergeCell ref="H31:H38"/>
    <mergeCell ref="C1:D1"/>
    <mergeCell ref="C39:I39"/>
    <mergeCell ref="D35:D36"/>
    <mergeCell ref="D31:D34"/>
    <mergeCell ref="C37:C38"/>
    <mergeCell ref="D37:D38"/>
    <mergeCell ref="E37:E38"/>
    <mergeCell ref="F37:F38"/>
    <mergeCell ref="G37:G38"/>
    <mergeCell ref="I21:I22"/>
    <mergeCell ref="C23:C30"/>
    <mergeCell ref="E23:E30"/>
    <mergeCell ref="F23:F30"/>
    <mergeCell ref="G23:G30"/>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5401-76AA-45F3-AA73-90EF48EB83DA}">
  <dimension ref="A1:K43"/>
  <sheetViews>
    <sheetView showGridLines="0" workbookViewId="0">
      <selection sqref="A1:XFD1048576"/>
    </sheetView>
  </sheetViews>
  <sheetFormatPr baseColWidth="10" defaultRowHeight="15.6"/>
  <sheetData>
    <row r="1" spans="2:9" ht="24.6">
      <c r="C1" s="42" t="s">
        <v>25</v>
      </c>
      <c r="D1" s="42"/>
      <c r="E1" s="18"/>
      <c r="F1" s="18"/>
      <c r="G1" s="18"/>
      <c r="H1" s="18"/>
      <c r="I1" s="18"/>
    </row>
    <row r="2" spans="2:9">
      <c r="C2" s="18"/>
      <c r="D2" s="18"/>
      <c r="E2" s="18"/>
      <c r="F2" s="18"/>
      <c r="G2" s="18"/>
      <c r="H2" s="18"/>
      <c r="I2" s="18"/>
    </row>
    <row r="3" spans="2:9" ht="16.2" thickBot="1">
      <c r="C3" s="18"/>
      <c r="D3" s="18"/>
      <c r="E3" s="18"/>
      <c r="F3" s="18"/>
      <c r="G3" s="18"/>
      <c r="H3" s="18"/>
      <c r="I3" s="18"/>
    </row>
    <row r="4" spans="2:9" ht="16.2" thickBot="1">
      <c r="C4" s="30" t="s">
        <v>4</v>
      </c>
      <c r="D4" s="31" t="s">
        <v>5</v>
      </c>
      <c r="E4" s="31" t="s">
        <v>6</v>
      </c>
      <c r="F4" s="31" t="s">
        <v>7</v>
      </c>
      <c r="G4" s="31" t="s">
        <v>10</v>
      </c>
      <c r="H4" s="31" t="s">
        <v>8</v>
      </c>
      <c r="I4" s="32" t="s">
        <v>9</v>
      </c>
    </row>
    <row r="5" spans="2:9">
      <c r="B5" s="22">
        <v>0.29166666666666702</v>
      </c>
      <c r="C5" s="18"/>
      <c r="D5" s="18"/>
      <c r="E5" s="18"/>
      <c r="F5" s="18"/>
      <c r="G5" s="18"/>
      <c r="H5" s="18"/>
      <c r="I5" s="18"/>
    </row>
    <row r="6" spans="2:9">
      <c r="B6" s="22">
        <v>0.3125</v>
      </c>
      <c r="C6" s="18"/>
      <c r="D6" s="18"/>
      <c r="E6" s="18"/>
      <c r="F6" s="18"/>
      <c r="G6" s="18"/>
      <c r="H6" s="18"/>
      <c r="I6" s="18"/>
    </row>
    <row r="7" spans="2:9">
      <c r="B7" s="22">
        <v>0.33333333333333398</v>
      </c>
      <c r="C7" s="18"/>
      <c r="D7" s="18"/>
      <c r="E7" s="18"/>
      <c r="F7" s="18"/>
      <c r="G7" s="18"/>
      <c r="H7" s="18"/>
      <c r="I7" s="18"/>
    </row>
    <row r="8" spans="2:9">
      <c r="B8" s="22">
        <v>0.35416666666666702</v>
      </c>
      <c r="C8" s="18"/>
      <c r="D8" s="18"/>
      <c r="E8" s="18"/>
      <c r="F8" s="18"/>
      <c r="G8" s="18"/>
      <c r="H8" s="18"/>
      <c r="I8" s="18"/>
    </row>
    <row r="9" spans="2:9">
      <c r="B9" s="22">
        <v>0.375</v>
      </c>
      <c r="C9" s="18"/>
      <c r="D9" s="18"/>
      <c r="E9" s="18"/>
      <c r="F9" s="18"/>
      <c r="G9" s="18"/>
      <c r="H9" s="18"/>
      <c r="I9" s="18"/>
    </row>
    <row r="10" spans="2:9">
      <c r="B10" s="22">
        <v>0.39583333333333398</v>
      </c>
      <c r="C10" s="18"/>
      <c r="D10" s="18"/>
      <c r="E10" s="18"/>
      <c r="F10" s="18"/>
      <c r="G10" s="18"/>
      <c r="H10" s="18"/>
      <c r="I10" s="18"/>
    </row>
    <row r="11" spans="2:9">
      <c r="B11" s="22">
        <v>0.41666666666666702</v>
      </c>
      <c r="C11" s="53" t="s">
        <v>115</v>
      </c>
      <c r="D11" s="53" t="s">
        <v>115</v>
      </c>
      <c r="E11" s="54" t="s">
        <v>115</v>
      </c>
      <c r="F11" s="53" t="s">
        <v>115</v>
      </c>
      <c r="G11" s="54" t="s">
        <v>115</v>
      </c>
      <c r="H11" s="53" t="s">
        <v>115</v>
      </c>
      <c r="I11" s="53" t="s">
        <v>115</v>
      </c>
    </row>
    <row r="12" spans="2:9">
      <c r="B12" s="22">
        <v>0.4375</v>
      </c>
      <c r="C12" s="53"/>
      <c r="D12" s="53"/>
      <c r="E12" s="54"/>
      <c r="F12" s="53"/>
      <c r="G12" s="54"/>
      <c r="H12" s="53"/>
      <c r="I12" s="53"/>
    </row>
    <row r="13" spans="2:9">
      <c r="B13" s="22">
        <v>0.45833333333333398</v>
      </c>
      <c r="C13" s="50" t="s">
        <v>50</v>
      </c>
      <c r="D13" s="46" t="s">
        <v>124</v>
      </c>
      <c r="E13" s="46" t="s">
        <v>124</v>
      </c>
      <c r="F13" s="50" t="s">
        <v>127</v>
      </c>
      <c r="G13" s="50" t="s">
        <v>125</v>
      </c>
      <c r="H13" s="50" t="s">
        <v>154</v>
      </c>
      <c r="I13" s="50" t="s">
        <v>129</v>
      </c>
    </row>
    <row r="14" spans="2:9">
      <c r="B14" s="22">
        <v>0.47916666666666702</v>
      </c>
      <c r="C14" s="51"/>
      <c r="D14" s="47"/>
      <c r="E14" s="47"/>
      <c r="F14" s="51"/>
      <c r="G14" s="51"/>
      <c r="H14" s="51"/>
      <c r="I14" s="51"/>
    </row>
    <row r="15" spans="2:9">
      <c r="B15" s="22">
        <v>0.5</v>
      </c>
      <c r="C15" s="51"/>
      <c r="D15" s="38" t="s">
        <v>131</v>
      </c>
      <c r="E15" s="37" t="s">
        <v>150</v>
      </c>
      <c r="F15" s="51"/>
      <c r="G15" s="51"/>
      <c r="H15" s="51"/>
      <c r="I15" s="51"/>
    </row>
    <row r="16" spans="2:9">
      <c r="B16" s="22">
        <v>0.52083333333333404</v>
      </c>
      <c r="C16" s="51"/>
      <c r="D16" s="38"/>
      <c r="E16" s="37"/>
      <c r="F16" s="51"/>
      <c r="G16" s="51"/>
      <c r="H16" s="51"/>
      <c r="I16" s="51"/>
    </row>
    <row r="17" spans="2:9">
      <c r="B17" s="22">
        <v>0.54166666666666696</v>
      </c>
      <c r="C17" s="51"/>
      <c r="D17" s="38"/>
      <c r="E17" s="37"/>
      <c r="F17" s="51"/>
      <c r="G17" s="51"/>
      <c r="H17" s="51"/>
      <c r="I17" s="51"/>
    </row>
    <row r="18" spans="2:9">
      <c r="B18" s="22">
        <v>0.5625</v>
      </c>
      <c r="C18" s="51"/>
      <c r="D18" s="38"/>
      <c r="E18" s="37"/>
      <c r="F18" s="51"/>
      <c r="G18" s="51"/>
      <c r="H18" s="51"/>
      <c r="I18" s="51"/>
    </row>
    <row r="19" spans="2:9">
      <c r="B19" s="22">
        <v>0.58333333333333337</v>
      </c>
      <c r="C19" s="51"/>
      <c r="D19" s="38" t="s">
        <v>132</v>
      </c>
      <c r="E19" s="37"/>
      <c r="F19" s="51"/>
      <c r="G19" s="51"/>
      <c r="H19" s="51"/>
      <c r="I19" s="51"/>
    </row>
    <row r="20" spans="2:9">
      <c r="B20" s="22">
        <v>0.60416666666666696</v>
      </c>
      <c r="C20" s="52"/>
      <c r="D20" s="38"/>
      <c r="E20" s="37"/>
      <c r="F20" s="52"/>
      <c r="G20" s="52"/>
      <c r="H20" s="52"/>
      <c r="I20" s="52"/>
    </row>
    <row r="21" spans="2:9" ht="15.6" customHeight="1">
      <c r="B21" s="22">
        <v>0.625000000000001</v>
      </c>
      <c r="C21" s="48" t="s">
        <v>116</v>
      </c>
      <c r="D21" s="38"/>
      <c r="E21" s="48" t="s">
        <v>116</v>
      </c>
      <c r="F21" s="48" t="s">
        <v>116</v>
      </c>
      <c r="G21" s="48" t="s">
        <v>116</v>
      </c>
      <c r="H21" s="48" t="s">
        <v>116</v>
      </c>
      <c r="I21" s="48" t="s">
        <v>116</v>
      </c>
    </row>
    <row r="22" spans="2:9" ht="15.6" customHeight="1">
      <c r="B22" s="22">
        <v>0.64583333333333404</v>
      </c>
      <c r="C22" s="49"/>
      <c r="D22" s="38"/>
      <c r="E22" s="49"/>
      <c r="F22" s="49"/>
      <c r="G22" s="49"/>
      <c r="H22" s="49"/>
      <c r="I22" s="49"/>
    </row>
    <row r="23" spans="2:9" ht="15.6" customHeight="1">
      <c r="B23" s="22">
        <v>0.66666666666666696</v>
      </c>
      <c r="C23" s="50" t="s">
        <v>125</v>
      </c>
      <c r="D23" s="28" t="s">
        <v>116</v>
      </c>
      <c r="E23" s="50" t="s">
        <v>125</v>
      </c>
      <c r="F23" s="50" t="s">
        <v>130</v>
      </c>
      <c r="G23" s="50" t="s">
        <v>129</v>
      </c>
      <c r="H23" s="50" t="s">
        <v>155</v>
      </c>
      <c r="I23" s="50" t="s">
        <v>167</v>
      </c>
    </row>
    <row r="24" spans="2:9">
      <c r="B24" s="22">
        <v>0.687500000000001</v>
      </c>
      <c r="C24" s="51"/>
      <c r="D24" s="38" t="s">
        <v>129</v>
      </c>
      <c r="E24" s="51"/>
      <c r="F24" s="51"/>
      <c r="G24" s="51"/>
      <c r="H24" s="51"/>
      <c r="I24" s="51"/>
    </row>
    <row r="25" spans="2:9">
      <c r="B25" s="22">
        <v>0.70833333333333404</v>
      </c>
      <c r="C25" s="51"/>
      <c r="D25" s="38"/>
      <c r="E25" s="51"/>
      <c r="F25" s="51"/>
      <c r="G25" s="51"/>
      <c r="H25" s="51"/>
      <c r="I25" s="51"/>
    </row>
    <row r="26" spans="2:9">
      <c r="B26" s="22">
        <v>0.72916666666666696</v>
      </c>
      <c r="C26" s="51"/>
      <c r="D26" s="38" t="s">
        <v>50</v>
      </c>
      <c r="E26" s="51"/>
      <c r="F26" s="51"/>
      <c r="G26" s="51"/>
      <c r="H26" s="51"/>
      <c r="I26" s="51"/>
    </row>
    <row r="27" spans="2:9">
      <c r="B27" s="22">
        <v>0.750000000000001</v>
      </c>
      <c r="C27" s="51"/>
      <c r="D27" s="38"/>
      <c r="E27" s="51"/>
      <c r="F27" s="51"/>
      <c r="G27" s="51"/>
      <c r="H27" s="51"/>
      <c r="I27" s="51"/>
    </row>
    <row r="28" spans="2:9">
      <c r="B28" s="22">
        <v>0.77083333333333404</v>
      </c>
      <c r="C28" s="51"/>
      <c r="D28" s="38"/>
      <c r="E28" s="51"/>
      <c r="F28" s="51"/>
      <c r="G28" s="51"/>
      <c r="H28" s="51"/>
      <c r="I28" s="51"/>
    </row>
    <row r="29" spans="2:9">
      <c r="B29" s="22">
        <v>0.79166666666666696</v>
      </c>
      <c r="C29" s="51"/>
      <c r="D29" s="38"/>
      <c r="E29" s="51"/>
      <c r="F29" s="51"/>
      <c r="G29" s="51"/>
      <c r="H29" s="51"/>
      <c r="I29" s="51"/>
    </row>
    <row r="30" spans="2:9">
      <c r="B30" s="22">
        <v>0.812500000000001</v>
      </c>
      <c r="C30" s="52"/>
      <c r="D30" s="28" t="s">
        <v>128</v>
      </c>
      <c r="E30" s="52"/>
      <c r="F30" s="52"/>
      <c r="G30" s="52"/>
      <c r="H30" s="52"/>
      <c r="I30" s="52"/>
    </row>
    <row r="31" spans="2:9">
      <c r="B31" s="22">
        <v>0.83333333333333404</v>
      </c>
      <c r="C31" s="18"/>
      <c r="D31" s="37" t="s">
        <v>123</v>
      </c>
      <c r="E31" s="18"/>
      <c r="F31" s="18"/>
      <c r="G31" s="18"/>
      <c r="H31" s="39" t="s">
        <v>117</v>
      </c>
      <c r="I31" s="18"/>
    </row>
    <row r="32" spans="2:9">
      <c r="B32" s="22">
        <v>0.85416666666666696</v>
      </c>
      <c r="C32" s="18"/>
      <c r="D32" s="37"/>
      <c r="E32" s="18"/>
      <c r="F32" s="18"/>
      <c r="G32" s="18"/>
      <c r="H32" s="40"/>
      <c r="I32" s="18"/>
    </row>
    <row r="33" spans="1:11">
      <c r="B33" s="22">
        <v>0.875000000000001</v>
      </c>
      <c r="C33" s="18"/>
      <c r="D33" s="37"/>
      <c r="E33" s="18"/>
      <c r="F33" s="18"/>
      <c r="G33" s="18"/>
      <c r="H33" s="40"/>
      <c r="I33" s="18"/>
    </row>
    <row r="34" spans="1:11">
      <c r="B34" s="22">
        <v>0.89583333333333404</v>
      </c>
      <c r="C34" s="18"/>
      <c r="D34" s="37"/>
      <c r="E34" s="18"/>
      <c r="F34" s="18"/>
      <c r="G34" s="18"/>
      <c r="H34" s="40"/>
      <c r="I34" s="18"/>
    </row>
    <row r="35" spans="1:11">
      <c r="A35" s="23"/>
      <c r="B35" s="24">
        <v>0.91666666666666696</v>
      </c>
      <c r="C35" s="18"/>
      <c r="D35" s="46" t="s">
        <v>124</v>
      </c>
      <c r="E35" s="18"/>
      <c r="F35" s="18"/>
      <c r="G35" s="18"/>
      <c r="H35" s="40"/>
      <c r="I35" s="18"/>
      <c r="J35" s="18"/>
      <c r="K35" s="23"/>
    </row>
    <row r="36" spans="1:11">
      <c r="A36" s="23"/>
      <c r="B36" s="24">
        <v>0.937500000000001</v>
      </c>
      <c r="C36" s="18"/>
      <c r="D36" s="47"/>
      <c r="E36" s="18"/>
      <c r="F36" s="18"/>
      <c r="G36" s="18"/>
      <c r="H36" s="40"/>
      <c r="I36" s="18"/>
      <c r="J36" s="18"/>
      <c r="K36" s="23"/>
    </row>
    <row r="37" spans="1:11">
      <c r="A37" s="23"/>
      <c r="B37" s="24">
        <v>0.95833333333333404</v>
      </c>
      <c r="C37" s="37" t="s">
        <v>118</v>
      </c>
      <c r="D37" s="37" t="s">
        <v>118</v>
      </c>
      <c r="E37" s="37" t="s">
        <v>118</v>
      </c>
      <c r="F37" s="37" t="s">
        <v>118</v>
      </c>
      <c r="G37" s="37" t="s">
        <v>118</v>
      </c>
      <c r="H37" s="40"/>
      <c r="I37" s="37" t="s">
        <v>118</v>
      </c>
      <c r="J37" s="18"/>
      <c r="K37" s="23"/>
    </row>
    <row r="38" spans="1:11">
      <c r="A38" s="23"/>
      <c r="B38" s="24">
        <v>0.97916666666666663</v>
      </c>
      <c r="C38" s="37"/>
      <c r="D38" s="37"/>
      <c r="E38" s="37"/>
      <c r="F38" s="37"/>
      <c r="G38" s="37"/>
      <c r="H38" s="41"/>
      <c r="I38" s="37"/>
      <c r="J38" s="18"/>
      <c r="K38" s="23"/>
    </row>
    <row r="39" spans="1:11">
      <c r="B39" s="24">
        <v>1</v>
      </c>
      <c r="C39" s="43" t="s">
        <v>119</v>
      </c>
      <c r="D39" s="44"/>
      <c r="E39" s="44"/>
      <c r="F39" s="44"/>
      <c r="G39" s="44"/>
      <c r="H39" s="44"/>
      <c r="I39" s="45"/>
    </row>
    <row r="40" spans="1:11">
      <c r="C40" s="18"/>
      <c r="D40" s="18"/>
      <c r="E40" s="18"/>
      <c r="F40" s="18"/>
      <c r="G40" s="18"/>
      <c r="H40" s="18"/>
      <c r="I40" s="18"/>
    </row>
    <row r="41" spans="1:11">
      <c r="C41" s="18"/>
      <c r="D41" s="18"/>
      <c r="E41" s="18"/>
      <c r="F41" s="18"/>
      <c r="G41" s="18"/>
      <c r="H41" s="18"/>
      <c r="I41" s="18"/>
    </row>
    <row r="42" spans="1:11">
      <c r="C42" s="18"/>
      <c r="D42" s="18"/>
      <c r="E42" s="18"/>
      <c r="F42" s="18"/>
      <c r="G42" s="18"/>
      <c r="H42" s="18"/>
      <c r="I42" s="18"/>
    </row>
    <row r="43" spans="1:11">
      <c r="A43" s="7"/>
      <c r="C43" s="18"/>
      <c r="D43" s="18"/>
      <c r="E43" s="18"/>
      <c r="F43" s="18"/>
      <c r="G43" s="18"/>
      <c r="H43" s="18"/>
      <c r="I43" s="18"/>
    </row>
  </sheetData>
  <mergeCells count="42">
    <mergeCell ref="C1:D1"/>
    <mergeCell ref="C11:C12"/>
    <mergeCell ref="D11:D12"/>
    <mergeCell ref="E11:E12"/>
    <mergeCell ref="F11:F12"/>
    <mergeCell ref="I21:I22"/>
    <mergeCell ref="C23:C30"/>
    <mergeCell ref="F23:F30"/>
    <mergeCell ref="E23:E30"/>
    <mergeCell ref="H11:H12"/>
    <mergeCell ref="I11:I12"/>
    <mergeCell ref="C13:C20"/>
    <mergeCell ref="F13:F20"/>
    <mergeCell ref="G23:G30"/>
    <mergeCell ref="H13:H20"/>
    <mergeCell ref="I13:I20"/>
    <mergeCell ref="G11:G12"/>
    <mergeCell ref="E15:E20"/>
    <mergeCell ref="E13:E14"/>
    <mergeCell ref="D13:D14"/>
    <mergeCell ref="D15:D18"/>
    <mergeCell ref="C21:C22"/>
    <mergeCell ref="F21:F22"/>
    <mergeCell ref="G21:G22"/>
    <mergeCell ref="C39:I39"/>
    <mergeCell ref="D19:D22"/>
    <mergeCell ref="C37:C38"/>
    <mergeCell ref="D37:D38"/>
    <mergeCell ref="E37:E38"/>
    <mergeCell ref="F37:F38"/>
    <mergeCell ref="G37:G38"/>
    <mergeCell ref="I37:I38"/>
    <mergeCell ref="G13:G20"/>
    <mergeCell ref="H23:H30"/>
    <mergeCell ref="I23:I30"/>
    <mergeCell ref="E21:E22"/>
    <mergeCell ref="H21:H22"/>
    <mergeCell ref="D31:D34"/>
    <mergeCell ref="H31:H38"/>
    <mergeCell ref="D24:D25"/>
    <mergeCell ref="D26:D29"/>
    <mergeCell ref="D35:D36"/>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B10D-96EE-4B9C-B3ED-3D4B3F0818AD}">
  <dimension ref="A1:K43"/>
  <sheetViews>
    <sheetView showGridLines="0" topLeftCell="A6" workbookViewId="0">
      <selection activeCell="E7" sqref="E7:E18"/>
    </sheetView>
  </sheetViews>
  <sheetFormatPr baseColWidth="10" defaultRowHeight="15.6"/>
  <sheetData>
    <row r="1" spans="2:9" ht="24.6">
      <c r="C1" s="42" t="s">
        <v>25</v>
      </c>
      <c r="D1" s="42"/>
      <c r="E1" s="18"/>
      <c r="F1" s="18"/>
      <c r="G1" s="18"/>
      <c r="H1" s="18"/>
      <c r="I1" s="18"/>
    </row>
    <row r="2" spans="2:9">
      <c r="C2" s="18"/>
      <c r="D2" s="18"/>
      <c r="E2" s="18"/>
      <c r="F2" s="18"/>
      <c r="G2" s="18"/>
      <c r="H2" s="18"/>
      <c r="I2" s="18"/>
    </row>
    <row r="3" spans="2:9" ht="16.2" thickBot="1">
      <c r="C3" s="18"/>
      <c r="D3" s="18"/>
      <c r="E3" s="18"/>
      <c r="F3" s="18"/>
      <c r="G3" s="18"/>
      <c r="H3" s="18"/>
      <c r="I3" s="18"/>
    </row>
    <row r="4" spans="2:9" ht="16.2" thickBot="1">
      <c r="C4" s="30" t="s">
        <v>4</v>
      </c>
      <c r="D4" s="31" t="s">
        <v>5</v>
      </c>
      <c r="E4" s="31" t="s">
        <v>6</v>
      </c>
      <c r="F4" s="31" t="s">
        <v>7</v>
      </c>
      <c r="G4" s="31" t="s">
        <v>10</v>
      </c>
      <c r="H4" s="31" t="s">
        <v>8</v>
      </c>
      <c r="I4" s="32" t="s">
        <v>9</v>
      </c>
    </row>
    <row r="5" spans="2:9">
      <c r="B5" s="22">
        <v>0.29166666666666702</v>
      </c>
      <c r="C5" s="18"/>
      <c r="D5" s="18"/>
      <c r="E5" s="18"/>
      <c r="F5" s="18"/>
      <c r="G5" s="18"/>
      <c r="H5" s="18"/>
      <c r="I5" s="18"/>
    </row>
    <row r="6" spans="2:9">
      <c r="B6" s="22">
        <v>0.3125</v>
      </c>
      <c r="C6" s="18"/>
      <c r="D6" s="18"/>
      <c r="E6" s="18"/>
      <c r="F6" s="18"/>
      <c r="G6" s="18"/>
      <c r="H6" s="18"/>
      <c r="I6" s="18"/>
    </row>
    <row r="7" spans="2:9">
      <c r="B7" s="22">
        <v>0.33333333333333398</v>
      </c>
      <c r="C7" s="18"/>
      <c r="D7" s="18"/>
      <c r="E7" s="54" t="s">
        <v>115</v>
      </c>
      <c r="F7" s="18"/>
      <c r="G7" s="18"/>
      <c r="H7" s="18"/>
      <c r="I7" s="18"/>
    </row>
    <row r="8" spans="2:9">
      <c r="B8" s="22">
        <v>0.35416666666666702</v>
      </c>
      <c r="C8" s="18"/>
      <c r="D8" s="18"/>
      <c r="E8" s="54"/>
      <c r="F8" s="18"/>
      <c r="G8" s="18"/>
      <c r="H8" s="18"/>
      <c r="I8" s="18"/>
    </row>
    <row r="9" spans="2:9">
      <c r="B9" s="22">
        <v>0.375</v>
      </c>
      <c r="C9" s="18"/>
      <c r="D9" s="18"/>
      <c r="E9" s="46" t="s">
        <v>124</v>
      </c>
      <c r="F9" s="18"/>
      <c r="G9" s="18"/>
      <c r="H9" s="18"/>
      <c r="I9" s="18"/>
    </row>
    <row r="10" spans="2:9">
      <c r="B10" s="22">
        <v>0.39583333333333398</v>
      </c>
      <c r="C10" s="18"/>
      <c r="D10" s="18"/>
      <c r="E10" s="47"/>
      <c r="F10" s="18"/>
      <c r="G10" s="18"/>
      <c r="H10" s="18"/>
      <c r="I10" s="18"/>
    </row>
    <row r="11" spans="2:9">
      <c r="B11" s="22">
        <v>0.41666666666666702</v>
      </c>
      <c r="C11" s="53" t="s">
        <v>115</v>
      </c>
      <c r="D11" s="53" t="s">
        <v>115</v>
      </c>
      <c r="E11" s="38" t="s">
        <v>171</v>
      </c>
      <c r="F11" s="53" t="s">
        <v>115</v>
      </c>
      <c r="G11" s="54" t="s">
        <v>115</v>
      </c>
      <c r="H11" s="53" t="s">
        <v>115</v>
      </c>
      <c r="I11" s="53" t="s">
        <v>115</v>
      </c>
    </row>
    <row r="12" spans="2:9">
      <c r="B12" s="22">
        <v>0.4375</v>
      </c>
      <c r="C12" s="53"/>
      <c r="D12" s="53"/>
      <c r="E12" s="38"/>
      <c r="F12" s="53"/>
      <c r="G12" s="54"/>
      <c r="H12" s="53"/>
      <c r="I12" s="53"/>
    </row>
    <row r="13" spans="2:9">
      <c r="B13" s="22">
        <v>0.45833333333333398</v>
      </c>
      <c r="C13" s="50" t="s">
        <v>50</v>
      </c>
      <c r="D13" s="46" t="s">
        <v>124</v>
      </c>
      <c r="E13" s="38"/>
      <c r="F13" s="50" t="s">
        <v>127</v>
      </c>
      <c r="G13" s="50" t="s">
        <v>125</v>
      </c>
      <c r="H13" s="50" t="s">
        <v>50</v>
      </c>
      <c r="I13" s="50" t="s">
        <v>129</v>
      </c>
    </row>
    <row r="14" spans="2:9">
      <c r="B14" s="22">
        <v>0.47916666666666702</v>
      </c>
      <c r="C14" s="51"/>
      <c r="D14" s="47"/>
      <c r="E14" s="38"/>
      <c r="F14" s="51"/>
      <c r="G14" s="51"/>
      <c r="H14" s="51"/>
      <c r="I14" s="51"/>
    </row>
    <row r="15" spans="2:9" ht="15.6" customHeight="1">
      <c r="B15" s="22">
        <v>0.5</v>
      </c>
      <c r="C15" s="51"/>
      <c r="D15" s="38" t="s">
        <v>131</v>
      </c>
      <c r="E15" s="38" t="s">
        <v>50</v>
      </c>
      <c r="F15" s="51"/>
      <c r="G15" s="51"/>
      <c r="H15" s="51"/>
      <c r="I15" s="51"/>
    </row>
    <row r="16" spans="2:9">
      <c r="B16" s="22">
        <v>0.52083333333333404</v>
      </c>
      <c r="C16" s="51"/>
      <c r="D16" s="38"/>
      <c r="E16" s="38"/>
      <c r="F16" s="51"/>
      <c r="G16" s="51"/>
      <c r="H16" s="51"/>
      <c r="I16" s="51"/>
    </row>
    <row r="17" spans="2:9">
      <c r="B17" s="22">
        <v>0.54166666666666696</v>
      </c>
      <c r="C17" s="51"/>
      <c r="D17" s="38"/>
      <c r="E17" s="38"/>
      <c r="F17" s="51"/>
      <c r="G17" s="51"/>
      <c r="H17" s="51"/>
      <c r="I17" s="51"/>
    </row>
    <row r="18" spans="2:9">
      <c r="B18" s="22">
        <v>0.5625</v>
      </c>
      <c r="C18" s="46" t="s">
        <v>124</v>
      </c>
      <c r="D18" s="38"/>
      <c r="E18" s="38"/>
      <c r="F18" s="51"/>
      <c r="G18" s="51"/>
      <c r="H18" s="51"/>
      <c r="I18" s="51"/>
    </row>
    <row r="19" spans="2:9">
      <c r="B19" s="22">
        <v>0.58333333333333337</v>
      </c>
      <c r="C19" s="47"/>
      <c r="D19" s="38" t="s">
        <v>132</v>
      </c>
      <c r="E19" s="48" t="s">
        <v>116</v>
      </c>
      <c r="F19" s="51"/>
      <c r="G19" s="51"/>
      <c r="H19" s="51"/>
      <c r="I19" s="51"/>
    </row>
    <row r="20" spans="2:9">
      <c r="B20" s="22">
        <v>0.60416666666666696</v>
      </c>
      <c r="C20" s="34" t="s">
        <v>168</v>
      </c>
      <c r="D20" s="38"/>
      <c r="E20" s="49"/>
      <c r="F20" s="52"/>
      <c r="G20" s="52"/>
      <c r="H20" s="52"/>
      <c r="I20" s="52"/>
    </row>
    <row r="21" spans="2:9" ht="15.6" customHeight="1">
      <c r="B21" s="22">
        <v>0.625000000000001</v>
      </c>
      <c r="C21" s="48" t="s">
        <v>116</v>
      </c>
      <c r="D21" s="38"/>
      <c r="E21" s="50" t="s">
        <v>173</v>
      </c>
      <c r="F21" s="48" t="s">
        <v>116</v>
      </c>
      <c r="G21" s="48" t="s">
        <v>116</v>
      </c>
      <c r="H21" s="48" t="s">
        <v>116</v>
      </c>
      <c r="I21" s="48" t="s">
        <v>116</v>
      </c>
    </row>
    <row r="22" spans="2:9" ht="15.6" customHeight="1">
      <c r="B22" s="22">
        <v>0.64583333333333404</v>
      </c>
      <c r="C22" s="49"/>
      <c r="D22" s="38"/>
      <c r="E22" s="51"/>
      <c r="F22" s="49"/>
      <c r="G22" s="49"/>
      <c r="H22" s="49"/>
      <c r="I22" s="49"/>
    </row>
    <row r="23" spans="2:9" ht="15.6" customHeight="1">
      <c r="B23" s="22">
        <v>0.66666666666666696</v>
      </c>
      <c r="C23" s="50" t="s">
        <v>169</v>
      </c>
      <c r="D23" s="48" t="s">
        <v>116</v>
      </c>
      <c r="E23" s="52"/>
      <c r="F23" s="50" t="s">
        <v>129</v>
      </c>
      <c r="G23" s="50" t="s">
        <v>130</v>
      </c>
      <c r="H23" s="50" t="s">
        <v>172</v>
      </c>
      <c r="I23" s="50" t="s">
        <v>202</v>
      </c>
    </row>
    <row r="24" spans="2:9">
      <c r="B24" s="22">
        <v>0.687500000000001</v>
      </c>
      <c r="C24" s="51"/>
      <c r="D24" s="49"/>
      <c r="E24" s="50" t="s">
        <v>125</v>
      </c>
      <c r="F24" s="51"/>
      <c r="G24" s="51"/>
      <c r="H24" s="51"/>
      <c r="I24" s="51"/>
    </row>
    <row r="25" spans="2:9">
      <c r="B25" s="22">
        <v>0.70833333333333404</v>
      </c>
      <c r="C25" s="51"/>
      <c r="D25" s="60" t="s">
        <v>130</v>
      </c>
      <c r="E25" s="51"/>
      <c r="F25" s="51"/>
      <c r="G25" s="51"/>
      <c r="H25" s="51"/>
      <c r="I25" s="51"/>
    </row>
    <row r="26" spans="2:9">
      <c r="B26" s="22">
        <v>0.72916666666666696</v>
      </c>
      <c r="C26" s="51"/>
      <c r="D26" s="61"/>
      <c r="E26" s="51"/>
      <c r="F26" s="51"/>
      <c r="G26" s="51"/>
      <c r="H26" s="51"/>
      <c r="I26" s="51"/>
    </row>
    <row r="27" spans="2:9">
      <c r="B27" s="22">
        <v>0.750000000000001</v>
      </c>
      <c r="C27" s="51"/>
      <c r="D27" s="50" t="s">
        <v>170</v>
      </c>
      <c r="E27" s="51"/>
      <c r="F27" s="51"/>
      <c r="G27" s="51"/>
      <c r="H27" s="51"/>
      <c r="I27" s="51"/>
    </row>
    <row r="28" spans="2:9">
      <c r="B28" s="22">
        <v>0.77083333333333404</v>
      </c>
      <c r="C28" s="52"/>
      <c r="D28" s="51"/>
      <c r="E28" s="51"/>
      <c r="F28" s="51"/>
      <c r="G28" s="51"/>
      <c r="H28" s="51"/>
      <c r="I28" s="51"/>
    </row>
    <row r="29" spans="2:9">
      <c r="B29" s="22">
        <v>0.79166666666666696</v>
      </c>
      <c r="C29" s="46" t="s">
        <v>124</v>
      </c>
      <c r="D29" s="51"/>
      <c r="E29" s="51"/>
      <c r="F29" s="51"/>
      <c r="G29" s="51"/>
      <c r="H29" s="51"/>
      <c r="I29" s="51"/>
    </row>
    <row r="30" spans="2:9">
      <c r="B30" s="22">
        <v>0.812500000000001</v>
      </c>
      <c r="C30" s="47"/>
      <c r="D30" s="51"/>
      <c r="E30" s="51"/>
      <c r="F30" s="52"/>
      <c r="G30" s="52"/>
      <c r="H30" s="52"/>
      <c r="I30" s="52"/>
    </row>
    <row r="31" spans="2:9" ht="15.6" customHeight="1">
      <c r="B31" s="22">
        <v>0.83333333333333404</v>
      </c>
      <c r="C31" s="28" t="s">
        <v>128</v>
      </c>
      <c r="D31" s="51"/>
      <c r="E31" s="46" t="s">
        <v>124</v>
      </c>
      <c r="F31" s="18"/>
      <c r="G31" s="18"/>
      <c r="H31" s="39" t="s">
        <v>117</v>
      </c>
      <c r="I31" s="18"/>
    </row>
    <row r="32" spans="2:9">
      <c r="B32" s="22">
        <v>0.85416666666666696</v>
      </c>
      <c r="C32" s="50" t="s">
        <v>125</v>
      </c>
      <c r="D32" s="52"/>
      <c r="E32" s="47"/>
      <c r="G32" s="18"/>
      <c r="H32" s="40"/>
      <c r="I32" s="18"/>
    </row>
    <row r="33" spans="1:11">
      <c r="B33" s="22">
        <v>0.875000000000001</v>
      </c>
      <c r="C33" s="51"/>
      <c r="D33" s="46" t="s">
        <v>124</v>
      </c>
      <c r="G33" s="18"/>
      <c r="H33" s="40"/>
      <c r="I33" s="18"/>
    </row>
    <row r="34" spans="1:11">
      <c r="B34" s="22">
        <v>0.89583333333333404</v>
      </c>
      <c r="C34" s="52"/>
      <c r="D34" s="47"/>
      <c r="E34" s="18"/>
      <c r="F34" s="18"/>
      <c r="G34" s="18"/>
      <c r="H34" s="40"/>
      <c r="I34" s="18"/>
    </row>
    <row r="35" spans="1:11">
      <c r="A35" s="23"/>
      <c r="B35" s="24">
        <v>0.91666666666666696</v>
      </c>
      <c r="C35" s="18"/>
      <c r="E35" s="18"/>
      <c r="F35" s="18"/>
      <c r="G35" s="18"/>
      <c r="H35" s="40"/>
      <c r="I35" s="18"/>
      <c r="J35" s="18"/>
      <c r="K35" s="23"/>
    </row>
    <row r="36" spans="1:11">
      <c r="A36" s="23"/>
      <c r="B36" s="24">
        <v>0.937500000000001</v>
      </c>
      <c r="C36" s="18"/>
      <c r="E36" s="18"/>
      <c r="F36" s="18"/>
      <c r="G36" s="18"/>
      <c r="H36" s="40"/>
      <c r="I36" s="18"/>
      <c r="J36" s="18"/>
      <c r="K36" s="23"/>
    </row>
    <row r="37" spans="1:11">
      <c r="A37" s="23"/>
      <c r="B37" s="24">
        <v>0.95833333333333404</v>
      </c>
      <c r="C37" s="37" t="s">
        <v>118</v>
      </c>
      <c r="D37" s="37" t="s">
        <v>118</v>
      </c>
      <c r="E37" s="37" t="s">
        <v>118</v>
      </c>
      <c r="F37" s="37" t="s">
        <v>118</v>
      </c>
      <c r="G37" s="37" t="s">
        <v>118</v>
      </c>
      <c r="H37" s="40"/>
      <c r="I37" s="37" t="s">
        <v>118</v>
      </c>
      <c r="J37" s="18"/>
      <c r="K37" s="23"/>
    </row>
    <row r="38" spans="1:11">
      <c r="A38" s="23"/>
      <c r="B38" s="24">
        <v>0.97916666666666663</v>
      </c>
      <c r="C38" s="37"/>
      <c r="D38" s="37"/>
      <c r="E38" s="37"/>
      <c r="F38" s="37"/>
      <c r="G38" s="37"/>
      <c r="H38" s="41"/>
      <c r="I38" s="37"/>
      <c r="J38" s="18"/>
      <c r="K38" s="23"/>
    </row>
    <row r="39" spans="1:11">
      <c r="B39" s="24">
        <v>1</v>
      </c>
      <c r="C39" s="43" t="s">
        <v>119</v>
      </c>
      <c r="D39" s="44"/>
      <c r="E39" s="44"/>
      <c r="F39" s="44"/>
      <c r="G39" s="44"/>
      <c r="H39" s="44"/>
      <c r="I39" s="45"/>
    </row>
    <row r="40" spans="1:11">
      <c r="C40" s="18"/>
      <c r="D40" s="18"/>
      <c r="E40" s="18"/>
      <c r="F40" s="18"/>
      <c r="G40" s="18"/>
      <c r="H40" s="18"/>
      <c r="I40" s="18"/>
    </row>
    <row r="41" spans="1:11">
      <c r="C41" s="18"/>
      <c r="D41" s="18"/>
      <c r="E41" s="18"/>
      <c r="F41" s="18"/>
      <c r="G41" s="18"/>
      <c r="H41" s="18"/>
      <c r="I41" s="18"/>
    </row>
    <row r="42" spans="1:11">
      <c r="C42" s="18"/>
      <c r="D42" s="18"/>
      <c r="E42" s="18"/>
      <c r="F42" s="18"/>
      <c r="G42" s="18"/>
      <c r="H42" s="18"/>
      <c r="I42" s="18"/>
    </row>
    <row r="43" spans="1:11">
      <c r="A43" s="7"/>
      <c r="C43" s="18"/>
      <c r="D43" s="18"/>
      <c r="E43" s="18"/>
      <c r="F43" s="18"/>
      <c r="G43" s="18"/>
      <c r="H43" s="18"/>
      <c r="I43" s="18"/>
    </row>
  </sheetData>
  <mergeCells count="48">
    <mergeCell ref="I37:I38"/>
    <mergeCell ref="C39:I39"/>
    <mergeCell ref="C13:C17"/>
    <mergeCell ref="C18:C19"/>
    <mergeCell ref="C23:C28"/>
    <mergeCell ref="C29:C30"/>
    <mergeCell ref="C32:C34"/>
    <mergeCell ref="D23:D24"/>
    <mergeCell ref="D25:D26"/>
    <mergeCell ref="D27:D32"/>
    <mergeCell ref="H31:H38"/>
    <mergeCell ref="C37:C38"/>
    <mergeCell ref="D37:D38"/>
    <mergeCell ref="E37:E38"/>
    <mergeCell ref="F37:F38"/>
    <mergeCell ref="G37:G38"/>
    <mergeCell ref="D33:D34"/>
    <mergeCell ref="H21:H22"/>
    <mergeCell ref="I21:I22"/>
    <mergeCell ref="F23:F30"/>
    <mergeCell ref="G23:G30"/>
    <mergeCell ref="H23:H30"/>
    <mergeCell ref="I23:I30"/>
    <mergeCell ref="D19:D22"/>
    <mergeCell ref="E31:E32"/>
    <mergeCell ref="E24:E30"/>
    <mergeCell ref="C21:C22"/>
    <mergeCell ref="E19:E20"/>
    <mergeCell ref="F21:F22"/>
    <mergeCell ref="G21:G22"/>
    <mergeCell ref="H11:H12"/>
    <mergeCell ref="E21:E23"/>
    <mergeCell ref="I11:I12"/>
    <mergeCell ref="D13:D14"/>
    <mergeCell ref="F13:F20"/>
    <mergeCell ref="G13:G20"/>
    <mergeCell ref="H13:H20"/>
    <mergeCell ref="I13:I20"/>
    <mergeCell ref="D15:D18"/>
    <mergeCell ref="G11:G12"/>
    <mergeCell ref="E11:E14"/>
    <mergeCell ref="E15:E18"/>
    <mergeCell ref="C1:D1"/>
    <mergeCell ref="C11:C12"/>
    <mergeCell ref="D11:D12"/>
    <mergeCell ref="E7:E8"/>
    <mergeCell ref="F11:F12"/>
    <mergeCell ref="E9:E10"/>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sheetPr>
    <tabColor rgb="FF00FF29"/>
  </sheetPr>
  <dimension ref="B1:GS146"/>
  <sheetViews>
    <sheetView tabSelected="1" topLeftCell="D1" zoomScale="51" zoomScaleNormal="85" workbookViewId="0">
      <pane xSplit="8" topLeftCell="Z1" activePane="topRight" state="frozen"/>
      <selection activeCell="D1" sqref="D1"/>
      <selection pane="topRight" activeCell="CN5" sqref="CN5:CQ5"/>
    </sheetView>
  </sheetViews>
  <sheetFormatPr baseColWidth="10" defaultColWidth="8.796875" defaultRowHeight="15.6" outlineLevelRow="1"/>
  <cols>
    <col min="1" max="1" width="3.296875" customWidth="1"/>
    <col min="2" max="2" width="6.59765625" customWidth="1"/>
    <col min="3" max="3" width="14.8984375" customWidth="1"/>
    <col min="4" max="4" width="13.09765625" customWidth="1"/>
    <col min="5" max="5" width="4.796875" bestFit="1" customWidth="1"/>
    <col min="6" max="6" width="41.19921875" bestFit="1" customWidth="1"/>
    <col min="7" max="7" width="12.3984375" customWidth="1"/>
    <col min="8" max="8" width="2.5" customWidth="1"/>
    <col min="10" max="10" width="12.5" bestFit="1" customWidth="1"/>
    <col min="11" max="11" width="14.796875" bestFit="1" customWidth="1"/>
    <col min="12" max="12" width="12.69921875" bestFit="1" customWidth="1"/>
    <col min="13" max="13" width="2.5" customWidth="1"/>
    <col min="14" max="14" width="8" bestFit="1"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1" max="21" width="8" bestFit="1"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8" max="28" width="8" bestFit="1"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5" max="35" width="8" bestFit="1"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2" max="42" width="8" bestFit="1"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49" max="49" width="8" bestFit="1"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6" max="56" width="8" bestFit="1"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3" max="63" width="8" bestFit="1"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0" max="70" width="8" bestFit="1"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7" max="77" width="8" bestFit="1"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4" max="84" width="8" bestFit="1"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1" max="91" width="8" bestFit="1"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8" max="98" width="8" bestFit="1"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5" max="105" width="8" bestFit="1"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2" max="112" width="8" bestFit="1"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19" max="119" width="8" bestFit="1"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6" max="126" width="8" bestFit="1"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3" max="133" width="8" bestFit="1" customWidth="1"/>
    <col min="134" max="134" width="12.5" bestFit="1" customWidth="1"/>
    <col min="135" max="135" width="6.296875" customWidth="1"/>
    <col min="136" max="136" width="14.796875" bestFit="1" customWidth="1"/>
    <col min="137" max="137" width="6" customWidth="1"/>
    <col min="138" max="138" width="12.69921875" customWidth="1"/>
    <col min="139" max="139" width="2.5" customWidth="1"/>
    <col min="140" max="140" width="8" bestFit="1" customWidth="1"/>
    <col min="141" max="141" width="12.5" bestFit="1" customWidth="1"/>
    <col min="142" max="142" width="6.296875" customWidth="1"/>
    <col min="143" max="143" width="14.796875" bestFit="1" customWidth="1"/>
    <col min="144" max="144" width="6" customWidth="1"/>
    <col min="145" max="145" width="12.69921875" customWidth="1"/>
    <col min="146" max="146" width="2.5" customWidth="1"/>
    <col min="147" max="147" width="8" bestFit="1" customWidth="1"/>
    <col min="148" max="148" width="12.5" bestFit="1" customWidth="1"/>
    <col min="149" max="149" width="6.296875" customWidth="1"/>
    <col min="150" max="150" width="14.796875" bestFit="1" customWidth="1"/>
    <col min="151" max="151" width="6" customWidth="1"/>
    <col min="152" max="152" width="12.69921875" customWidth="1"/>
    <col min="153" max="153" width="2.5" customWidth="1"/>
    <col min="154" max="154" width="8" bestFit="1" customWidth="1"/>
    <col min="155" max="155" width="12.5" bestFit="1" customWidth="1"/>
    <col min="156" max="156" width="6.296875" customWidth="1"/>
    <col min="157" max="157" width="14.796875" bestFit="1" customWidth="1"/>
    <col min="158" max="158" width="6" customWidth="1"/>
    <col min="159" max="159" width="12.69921875" customWidth="1"/>
    <col min="160" max="160" width="2.5" customWidth="1"/>
    <col min="161" max="161" width="8" bestFit="1" customWidth="1"/>
    <col min="162" max="162" width="12.5" bestFit="1" customWidth="1"/>
    <col min="163" max="163" width="6.296875" customWidth="1"/>
    <col min="164" max="164" width="14.796875" bestFit="1" customWidth="1"/>
    <col min="165" max="165" width="6" customWidth="1"/>
    <col min="166" max="166" width="12.69921875" customWidth="1"/>
    <col min="167" max="167" width="2.5" customWidth="1"/>
    <col min="168" max="168" width="8" bestFit="1" customWidth="1"/>
    <col min="169" max="169" width="12.5" bestFit="1" customWidth="1"/>
    <col min="170" max="170" width="6.296875" customWidth="1"/>
    <col min="171" max="171" width="14.796875" bestFit="1" customWidth="1"/>
    <col min="172" max="172" width="6" customWidth="1"/>
    <col min="173" max="173" width="12.69921875" customWidth="1"/>
    <col min="174" max="174" width="2.5" customWidth="1"/>
    <col min="175" max="175" width="8" bestFit="1" customWidth="1"/>
    <col min="176" max="176" width="12.5" bestFit="1" customWidth="1"/>
    <col min="177" max="177" width="6.296875" customWidth="1"/>
    <col min="178" max="178" width="14.796875" bestFit="1" customWidth="1"/>
    <col min="179" max="179" width="6" customWidth="1"/>
    <col min="180" max="180" width="12.69921875" customWidth="1"/>
    <col min="181" max="181" width="2.5" customWidth="1"/>
    <col min="182" max="182" width="8" bestFit="1" customWidth="1"/>
    <col min="183" max="183" width="12.5" bestFit="1" customWidth="1"/>
    <col min="184" max="184" width="6.296875" customWidth="1"/>
    <col min="185" max="185" width="14.796875" bestFit="1" customWidth="1"/>
    <col min="186" max="186" width="6" customWidth="1"/>
    <col min="187" max="187" width="12.69921875" customWidth="1"/>
    <col min="188" max="188" width="2.5" customWidth="1"/>
    <col min="189" max="189" width="8" bestFit="1" customWidth="1"/>
    <col min="190" max="190" width="12.5" bestFit="1" customWidth="1"/>
    <col min="191" max="191" width="6.296875" customWidth="1"/>
    <col min="192" max="192" width="14.796875" bestFit="1" customWidth="1"/>
    <col min="193" max="193" width="6" customWidth="1"/>
    <col min="194" max="194" width="12.69921875" customWidth="1"/>
    <col min="195" max="195" width="2.5" customWidth="1"/>
    <col min="196" max="196" width="8" bestFit="1" customWidth="1"/>
    <col min="197" max="197" width="12.5" bestFit="1" customWidth="1"/>
    <col min="198" max="198" width="6.296875" customWidth="1"/>
    <col min="199" max="199" width="14.796875" bestFit="1" customWidth="1"/>
    <col min="200" max="200" width="6" customWidth="1"/>
    <col min="201" max="201" width="12.69921875" customWidth="1"/>
  </cols>
  <sheetData>
    <row r="1" spans="2:201" ht="33.6">
      <c r="B1" s="4" t="s">
        <v>0</v>
      </c>
      <c r="D1" s="4"/>
      <c r="I1" s="11">
        <f>+SUM(N1+U1+AB1+AI1+AP1+AW1+BD1+BK1+BR1+BY1+CF1+CM1+CT1+DA1+DH1+DO1+DV1+EC1)</f>
        <v>144.5</v>
      </c>
      <c r="J1" t="s">
        <v>122</v>
      </c>
      <c r="N1" s="17">
        <f>+SUM(N4+N16+N29+N43+N57+N71+N73)+3</f>
        <v>35.5</v>
      </c>
      <c r="O1" t="s">
        <v>122</v>
      </c>
      <c r="U1" s="17">
        <f>+SUM(U4+U16+U29+U43+U57+U71)</f>
        <v>43</v>
      </c>
      <c r="V1" t="s">
        <v>122</v>
      </c>
      <c r="AB1" s="17">
        <f>+SUM(AB4+AB16+AB29+AB43+AB57+AB71)</f>
        <v>44.5</v>
      </c>
      <c r="AC1" t="s">
        <v>122</v>
      </c>
      <c r="AI1" s="17">
        <f>+SUM(AI4+AI16+AI29+AI43+AI57+AI71)</f>
        <v>21.5</v>
      </c>
      <c r="AJ1" t="s">
        <v>122</v>
      </c>
      <c r="AP1" s="17">
        <f>+SUM(AP4+AP16+AP29+AP43+AP57+AP71)</f>
        <v>0</v>
      </c>
      <c r="AQ1" t="s">
        <v>122</v>
      </c>
      <c r="AW1" s="17">
        <f>+SUM(AW4+AW16+AW29+AW43+AW57+AW71)</f>
        <v>0</v>
      </c>
      <c r="AX1" t="s">
        <v>122</v>
      </c>
      <c r="BD1" s="17">
        <f>+SUM(BD4+BD16+BD29+BD43+BD57+BD71)</f>
        <v>0</v>
      </c>
      <c r="BE1" t="s">
        <v>122</v>
      </c>
      <c r="BK1" s="17">
        <f>+SUM(BK4+BK16+BK29+BK43+BK57+BK71)</f>
        <v>0</v>
      </c>
      <c r="BL1" t="s">
        <v>122</v>
      </c>
      <c r="BR1" s="17">
        <f>+SUM(BR4+BR16+BR29+BR43+BR57+BR71)</f>
        <v>0</v>
      </c>
      <c r="BS1" t="s">
        <v>122</v>
      </c>
      <c r="BY1" s="17">
        <f>+SUM(BY4+BY16+BY29+BY43+BY57+BY71)</f>
        <v>0</v>
      </c>
      <c r="BZ1" t="s">
        <v>122</v>
      </c>
      <c r="CF1" s="17">
        <f>+SUM(CF4+CF16+CF29+CF43+CF57+CF71)</f>
        <v>0</v>
      </c>
      <c r="CG1" t="s">
        <v>122</v>
      </c>
      <c r="CM1" s="17">
        <f>+SUM(CM4+CM16+CM29+CM43+CM57+CM71)</f>
        <v>0</v>
      </c>
      <c r="CN1" t="s">
        <v>122</v>
      </c>
      <c r="CT1" s="17">
        <f>+SUM(CT4+CT16+CT29+CT43+CT57+CT71)</f>
        <v>0</v>
      </c>
      <c r="DA1" s="17">
        <f>+SUM(DA4+DA16+DA29+DA43+DA57+DA71)</f>
        <v>0</v>
      </c>
      <c r="DH1" s="17">
        <f>+SUM(DH4+DH16+DH29+DH43+DH57+DH71)</f>
        <v>0</v>
      </c>
      <c r="DO1" s="17">
        <f>+SUM(DO4+DO16+DO29+DO43+DO57+DO71)</f>
        <v>0</v>
      </c>
      <c r="DV1" s="17">
        <f>+SUM(DV4+DV16+DV29+DV43+DV57+DV71)</f>
        <v>0</v>
      </c>
      <c r="EC1" s="17">
        <f>+SUM(EC4+EC16+EC29+EC43+EC57+EC71)</f>
        <v>0</v>
      </c>
      <c r="EJ1" s="17">
        <f>+SUM(EJ4+EJ16+EJ29+EJ43+EJ57+EJ71)</f>
        <v>0</v>
      </c>
      <c r="EQ1" s="17">
        <f>+SUM(EQ4+EQ16+EQ29+EQ43+EQ57+EQ71)</f>
        <v>0</v>
      </c>
      <c r="EX1" s="17">
        <f>+SUM(EX4+EX16+EX29+EX43+EX57+EX71)</f>
        <v>0</v>
      </c>
      <c r="FE1" s="17">
        <f>+SUM(FE4+FE16+FE29+FE43+FE57+FE71)</f>
        <v>0</v>
      </c>
      <c r="FL1" s="17">
        <f>+SUM(FL4+FL16+FL29+FL43+FL57+FL71)</f>
        <v>0</v>
      </c>
      <c r="FS1" s="17">
        <f>+SUM(FS4+FS16+FS29+FS43+FS57+FS71)</f>
        <v>0</v>
      </c>
      <c r="FZ1" s="17">
        <f>+SUM(FZ4+FZ16+FZ29+FZ43+FZ57+FZ71)</f>
        <v>0</v>
      </c>
      <c r="GG1" s="17">
        <f>+SUM(GG4+GG16+GG29+GG43+GG57+GG71)</f>
        <v>0</v>
      </c>
      <c r="GN1" s="17">
        <f>+SUM(GN4+GN16+GN29+GN43+GN57+GN71)</f>
        <v>0</v>
      </c>
    </row>
    <row r="2" spans="2:201" ht="21">
      <c r="I2" s="57" t="s">
        <v>27</v>
      </c>
      <c r="J2" s="57"/>
      <c r="K2" s="57"/>
      <c r="L2" s="57"/>
      <c r="N2" s="57" t="s">
        <v>108</v>
      </c>
      <c r="O2" s="57"/>
      <c r="P2" s="57"/>
      <c r="Q2" s="57"/>
      <c r="R2" s="57"/>
      <c r="S2" s="57"/>
      <c r="U2" s="57" t="s">
        <v>109</v>
      </c>
      <c r="V2" s="57"/>
      <c r="W2" s="57"/>
      <c r="X2" s="57"/>
      <c r="Y2" s="57"/>
      <c r="Z2" s="57"/>
      <c r="AB2" s="57" t="s">
        <v>32</v>
      </c>
      <c r="AC2" s="57"/>
      <c r="AD2" s="57"/>
      <c r="AE2" s="57"/>
      <c r="AF2" s="57"/>
      <c r="AG2" s="57"/>
      <c r="AI2" s="57" t="s">
        <v>33</v>
      </c>
      <c r="AJ2" s="57"/>
      <c r="AK2" s="57"/>
      <c r="AL2" s="57"/>
      <c r="AM2" s="57"/>
      <c r="AN2" s="57"/>
      <c r="AP2" s="57" t="s">
        <v>34</v>
      </c>
      <c r="AQ2" s="57"/>
      <c r="AR2" s="57"/>
      <c r="AS2" s="57"/>
      <c r="AT2" s="57"/>
      <c r="AU2" s="57"/>
      <c r="AW2" s="57" t="s">
        <v>35</v>
      </c>
      <c r="AX2" s="57"/>
      <c r="AY2" s="57"/>
      <c r="AZ2" s="57"/>
      <c r="BA2" s="57"/>
      <c r="BB2" s="57"/>
      <c r="BD2" s="57" t="s">
        <v>41</v>
      </c>
      <c r="BE2" s="57"/>
      <c r="BF2" s="57"/>
      <c r="BG2" s="57"/>
      <c r="BH2" s="57"/>
      <c r="BI2" s="57"/>
      <c r="BK2" s="57" t="s">
        <v>42</v>
      </c>
      <c r="BL2" s="57"/>
      <c r="BM2" s="57"/>
      <c r="BN2" s="57"/>
      <c r="BO2" s="57"/>
      <c r="BP2" s="57"/>
      <c r="BR2" s="57" t="s">
        <v>43</v>
      </c>
      <c r="BS2" s="57"/>
      <c r="BT2" s="57"/>
      <c r="BU2" s="57"/>
      <c r="BV2" s="57"/>
      <c r="BW2" s="57"/>
      <c r="BY2" s="57" t="s">
        <v>110</v>
      </c>
      <c r="BZ2" s="57"/>
      <c r="CA2" s="57"/>
      <c r="CB2" s="57"/>
      <c r="CC2" s="57"/>
      <c r="CD2" s="57"/>
      <c r="CF2" s="57" t="s">
        <v>121</v>
      </c>
      <c r="CG2" s="57"/>
      <c r="CH2" s="57"/>
      <c r="CI2" s="57"/>
      <c r="CJ2" s="57"/>
      <c r="CK2" s="57"/>
      <c r="CM2" s="57" t="s">
        <v>111</v>
      </c>
      <c r="CN2" s="57"/>
      <c r="CO2" s="57"/>
      <c r="CP2" s="57"/>
      <c r="CQ2" s="57"/>
      <c r="CR2" s="57"/>
      <c r="CT2" s="57" t="s">
        <v>188</v>
      </c>
      <c r="CU2" s="57"/>
      <c r="CV2" s="57"/>
      <c r="CW2" s="57"/>
      <c r="CX2" s="57"/>
      <c r="CY2" s="57"/>
      <c r="DA2" s="58" t="s">
        <v>120</v>
      </c>
      <c r="DB2" s="58"/>
      <c r="DC2" s="58"/>
      <c r="DD2" s="58"/>
      <c r="DE2" s="58"/>
      <c r="DF2" s="58"/>
      <c r="DH2" s="57" t="s">
        <v>179</v>
      </c>
      <c r="DI2" s="57"/>
      <c r="DJ2" s="57"/>
      <c r="DK2" s="57"/>
      <c r="DL2" s="57"/>
      <c r="DM2" s="57"/>
      <c r="DO2" s="57" t="s">
        <v>112</v>
      </c>
      <c r="DP2" s="57"/>
      <c r="DQ2" s="57"/>
      <c r="DR2" s="57"/>
      <c r="DS2" s="57"/>
      <c r="DT2" s="57"/>
      <c r="DV2" s="57" t="s">
        <v>113</v>
      </c>
      <c r="DW2" s="57"/>
      <c r="DX2" s="57"/>
      <c r="DY2" s="57"/>
      <c r="DZ2" s="57"/>
      <c r="EA2" s="57"/>
      <c r="EC2" s="57" t="s">
        <v>114</v>
      </c>
      <c r="ED2" s="57"/>
      <c r="EE2" s="57"/>
      <c r="EF2" s="57"/>
      <c r="EG2" s="57"/>
      <c r="EH2" s="57"/>
      <c r="EJ2" s="57" t="s">
        <v>205</v>
      </c>
      <c r="EK2" s="57"/>
      <c r="EL2" s="57"/>
      <c r="EM2" s="57"/>
      <c r="EN2" s="57"/>
      <c r="EO2" s="57"/>
      <c r="EQ2" s="57" t="s">
        <v>206</v>
      </c>
      <c r="ER2" s="57"/>
      <c r="ES2" s="57"/>
      <c r="ET2" s="57"/>
      <c r="EU2" s="57"/>
      <c r="EV2" s="57"/>
      <c r="EX2" s="57" t="s">
        <v>207</v>
      </c>
      <c r="EY2" s="57"/>
      <c r="EZ2" s="57"/>
      <c r="FA2" s="57"/>
      <c r="FB2" s="57"/>
      <c r="FC2" s="57"/>
      <c r="FE2" s="57" t="s">
        <v>208</v>
      </c>
      <c r="FF2" s="57"/>
      <c r="FG2" s="57"/>
      <c r="FH2" s="57"/>
      <c r="FI2" s="57"/>
      <c r="FJ2" s="57"/>
      <c r="FL2" s="57" t="s">
        <v>209</v>
      </c>
      <c r="FM2" s="57"/>
      <c r="FN2" s="57"/>
      <c r="FO2" s="57"/>
      <c r="FP2" s="57"/>
      <c r="FQ2" s="57"/>
      <c r="FS2" s="57" t="s">
        <v>213</v>
      </c>
      <c r="FT2" s="57"/>
      <c r="FU2" s="57"/>
      <c r="FV2" s="57"/>
      <c r="FW2" s="57"/>
      <c r="FX2" s="57"/>
      <c r="FZ2" s="57" t="s">
        <v>210</v>
      </c>
      <c r="GA2" s="57"/>
      <c r="GB2" s="57"/>
      <c r="GC2" s="57"/>
      <c r="GD2" s="57"/>
      <c r="GE2" s="57"/>
      <c r="GG2" s="57" t="s">
        <v>211</v>
      </c>
      <c r="GH2" s="57"/>
      <c r="GI2" s="57"/>
      <c r="GJ2" s="57"/>
      <c r="GK2" s="57"/>
      <c r="GL2" s="57"/>
      <c r="GN2" s="57" t="s">
        <v>212</v>
      </c>
      <c r="GO2" s="57"/>
      <c r="GP2" s="57"/>
      <c r="GQ2" s="57"/>
      <c r="GR2" s="57"/>
      <c r="GS2" s="57"/>
    </row>
    <row r="3" spans="2:201">
      <c r="B3" s="5" t="s">
        <v>26</v>
      </c>
      <c r="C3" s="5" t="s">
        <v>1</v>
      </c>
      <c r="D3" s="5" t="s">
        <v>24</v>
      </c>
      <c r="E3" s="6" t="s">
        <v>30</v>
      </c>
      <c r="F3" s="5" t="s">
        <v>29</v>
      </c>
      <c r="G3" s="5" t="s">
        <v>126</v>
      </c>
      <c r="I3" s="6" t="s">
        <v>11</v>
      </c>
      <c r="J3" s="6" t="s">
        <v>2</v>
      </c>
      <c r="K3" s="6" t="s">
        <v>3</v>
      </c>
      <c r="L3" s="6" t="s">
        <v>12</v>
      </c>
      <c r="N3" s="5" t="s">
        <v>11</v>
      </c>
      <c r="O3" s="5" t="s">
        <v>2</v>
      </c>
      <c r="P3" s="5" t="s">
        <v>31</v>
      </c>
      <c r="Q3" s="5" t="s">
        <v>3</v>
      </c>
      <c r="R3" s="5" t="s">
        <v>31</v>
      </c>
      <c r="S3" s="5" t="s">
        <v>12</v>
      </c>
      <c r="U3" s="5" t="s">
        <v>11</v>
      </c>
      <c r="V3" s="5" t="s">
        <v>2</v>
      </c>
      <c r="W3" s="5" t="s">
        <v>31</v>
      </c>
      <c r="X3" s="5" t="s">
        <v>3</v>
      </c>
      <c r="Y3" s="5" t="s">
        <v>31</v>
      </c>
      <c r="Z3" s="5" t="s">
        <v>12</v>
      </c>
      <c r="AB3" s="5" t="s">
        <v>11</v>
      </c>
      <c r="AC3" s="5" t="s">
        <v>2</v>
      </c>
      <c r="AD3" s="5" t="s">
        <v>31</v>
      </c>
      <c r="AE3" s="5" t="s">
        <v>3</v>
      </c>
      <c r="AF3" s="5" t="s">
        <v>31</v>
      </c>
      <c r="AG3" s="5" t="s">
        <v>12</v>
      </c>
      <c r="AI3" s="5" t="s">
        <v>11</v>
      </c>
      <c r="AJ3" s="5" t="s">
        <v>2</v>
      </c>
      <c r="AK3" s="5" t="s">
        <v>31</v>
      </c>
      <c r="AL3" s="5" t="s">
        <v>3</v>
      </c>
      <c r="AM3" s="5" t="s">
        <v>31</v>
      </c>
      <c r="AN3" s="5" t="s">
        <v>12</v>
      </c>
      <c r="AP3" s="5" t="s">
        <v>11</v>
      </c>
      <c r="AQ3" s="5" t="s">
        <v>2</v>
      </c>
      <c r="AR3" s="5" t="s">
        <v>31</v>
      </c>
      <c r="AS3" s="5" t="s">
        <v>3</v>
      </c>
      <c r="AT3" s="5" t="s">
        <v>31</v>
      </c>
      <c r="AU3" s="5" t="s">
        <v>12</v>
      </c>
      <c r="AW3" s="5" t="s">
        <v>11</v>
      </c>
      <c r="AX3" s="5" t="s">
        <v>2</v>
      </c>
      <c r="AY3" s="5" t="s">
        <v>31</v>
      </c>
      <c r="AZ3" s="5" t="s">
        <v>3</v>
      </c>
      <c r="BA3" s="5" t="s">
        <v>31</v>
      </c>
      <c r="BB3" s="5" t="s">
        <v>12</v>
      </c>
      <c r="BD3" s="5" t="s">
        <v>11</v>
      </c>
      <c r="BE3" s="5" t="s">
        <v>2</v>
      </c>
      <c r="BF3" s="5" t="s">
        <v>31</v>
      </c>
      <c r="BG3" s="5" t="s">
        <v>3</v>
      </c>
      <c r="BH3" s="5" t="s">
        <v>31</v>
      </c>
      <c r="BI3" s="5" t="s">
        <v>12</v>
      </c>
      <c r="BK3" s="5" t="s">
        <v>11</v>
      </c>
      <c r="BL3" s="5" t="s">
        <v>2</v>
      </c>
      <c r="BM3" s="5" t="s">
        <v>31</v>
      </c>
      <c r="BN3" s="5" t="s">
        <v>3</v>
      </c>
      <c r="BO3" s="5" t="s">
        <v>31</v>
      </c>
      <c r="BP3" s="5" t="s">
        <v>12</v>
      </c>
      <c r="BR3" s="5" t="s">
        <v>11</v>
      </c>
      <c r="BS3" s="5" t="s">
        <v>2</v>
      </c>
      <c r="BT3" s="5" t="s">
        <v>31</v>
      </c>
      <c r="BU3" s="5" t="s">
        <v>3</v>
      </c>
      <c r="BV3" s="5" t="s">
        <v>31</v>
      </c>
      <c r="BW3" s="5" t="s">
        <v>12</v>
      </c>
      <c r="BY3" s="5" t="s">
        <v>11</v>
      </c>
      <c r="BZ3" s="5" t="s">
        <v>2</v>
      </c>
      <c r="CA3" s="5" t="s">
        <v>31</v>
      </c>
      <c r="CB3" s="5" t="s">
        <v>3</v>
      </c>
      <c r="CC3" s="5" t="s">
        <v>31</v>
      </c>
      <c r="CD3" s="5" t="s">
        <v>12</v>
      </c>
      <c r="CF3" s="5" t="s">
        <v>11</v>
      </c>
      <c r="CG3" s="5" t="s">
        <v>2</v>
      </c>
      <c r="CH3" s="5" t="s">
        <v>31</v>
      </c>
      <c r="CI3" s="5" t="s">
        <v>3</v>
      </c>
      <c r="CJ3" s="5" t="s">
        <v>31</v>
      </c>
      <c r="CK3" s="5" t="s">
        <v>12</v>
      </c>
      <c r="CM3" s="5" t="s">
        <v>11</v>
      </c>
      <c r="CN3" s="5" t="s">
        <v>2</v>
      </c>
      <c r="CO3" s="5" t="s">
        <v>31</v>
      </c>
      <c r="CP3" s="5" t="s">
        <v>3</v>
      </c>
      <c r="CQ3" s="5" t="s">
        <v>31</v>
      </c>
      <c r="CR3" s="5" t="s">
        <v>12</v>
      </c>
      <c r="CT3" s="5" t="s">
        <v>11</v>
      </c>
      <c r="CU3" s="5" t="s">
        <v>2</v>
      </c>
      <c r="CV3" s="5" t="s">
        <v>31</v>
      </c>
      <c r="CW3" s="5" t="s">
        <v>3</v>
      </c>
      <c r="CX3" s="5" t="s">
        <v>31</v>
      </c>
      <c r="CY3" s="5" t="s">
        <v>12</v>
      </c>
      <c r="DA3" s="5" t="s">
        <v>11</v>
      </c>
      <c r="DB3" s="5" t="s">
        <v>2</v>
      </c>
      <c r="DC3" s="5" t="s">
        <v>31</v>
      </c>
      <c r="DD3" s="5" t="s">
        <v>3</v>
      </c>
      <c r="DE3" s="5" t="s">
        <v>31</v>
      </c>
      <c r="DF3" s="5" t="s">
        <v>12</v>
      </c>
      <c r="DH3" s="5" t="s">
        <v>11</v>
      </c>
      <c r="DI3" s="5" t="s">
        <v>2</v>
      </c>
      <c r="DJ3" s="5" t="s">
        <v>31</v>
      </c>
      <c r="DK3" s="5" t="s">
        <v>3</v>
      </c>
      <c r="DL3" s="5" t="s">
        <v>31</v>
      </c>
      <c r="DM3" s="5" t="s">
        <v>12</v>
      </c>
      <c r="DO3" s="5" t="s">
        <v>11</v>
      </c>
      <c r="DP3" s="5" t="s">
        <v>2</v>
      </c>
      <c r="DQ3" s="5" t="s">
        <v>31</v>
      </c>
      <c r="DR3" s="5" t="s">
        <v>3</v>
      </c>
      <c r="DS3" s="5" t="s">
        <v>31</v>
      </c>
      <c r="DT3" s="5" t="s">
        <v>12</v>
      </c>
      <c r="DV3" s="5" t="s">
        <v>11</v>
      </c>
      <c r="DW3" s="5" t="s">
        <v>2</v>
      </c>
      <c r="DX3" s="5" t="s">
        <v>31</v>
      </c>
      <c r="DY3" s="5" t="s">
        <v>3</v>
      </c>
      <c r="DZ3" s="5" t="s">
        <v>31</v>
      </c>
      <c r="EA3" s="5" t="s">
        <v>12</v>
      </c>
      <c r="EC3" s="5" t="s">
        <v>11</v>
      </c>
      <c r="ED3" s="5" t="s">
        <v>2</v>
      </c>
      <c r="EE3" s="5" t="s">
        <v>31</v>
      </c>
      <c r="EF3" s="5" t="s">
        <v>3</v>
      </c>
      <c r="EG3" s="5" t="s">
        <v>31</v>
      </c>
      <c r="EH3" s="5" t="s">
        <v>12</v>
      </c>
      <c r="EJ3" s="5" t="s">
        <v>11</v>
      </c>
      <c r="EK3" s="5" t="s">
        <v>2</v>
      </c>
      <c r="EL3" s="5" t="s">
        <v>31</v>
      </c>
      <c r="EM3" s="5" t="s">
        <v>3</v>
      </c>
      <c r="EN3" s="5" t="s">
        <v>31</v>
      </c>
      <c r="EO3" s="5" t="s">
        <v>12</v>
      </c>
      <c r="EQ3" s="5" t="s">
        <v>11</v>
      </c>
      <c r="ER3" s="5" t="s">
        <v>2</v>
      </c>
      <c r="ES3" s="5" t="s">
        <v>31</v>
      </c>
      <c r="ET3" s="5" t="s">
        <v>3</v>
      </c>
      <c r="EU3" s="5" t="s">
        <v>31</v>
      </c>
      <c r="EV3" s="5" t="s">
        <v>12</v>
      </c>
      <c r="EX3" s="5" t="s">
        <v>11</v>
      </c>
      <c r="EY3" s="5" t="s">
        <v>2</v>
      </c>
      <c r="EZ3" s="5" t="s">
        <v>31</v>
      </c>
      <c r="FA3" s="5" t="s">
        <v>3</v>
      </c>
      <c r="FB3" s="5" t="s">
        <v>31</v>
      </c>
      <c r="FC3" s="5" t="s">
        <v>12</v>
      </c>
      <c r="FE3" s="5" t="s">
        <v>11</v>
      </c>
      <c r="FF3" s="5" t="s">
        <v>2</v>
      </c>
      <c r="FG3" s="5" t="s">
        <v>31</v>
      </c>
      <c r="FH3" s="5" t="s">
        <v>3</v>
      </c>
      <c r="FI3" s="5" t="s">
        <v>31</v>
      </c>
      <c r="FJ3" s="5" t="s">
        <v>12</v>
      </c>
      <c r="FL3" s="5" t="s">
        <v>11</v>
      </c>
      <c r="FM3" s="5" t="s">
        <v>2</v>
      </c>
      <c r="FN3" s="5" t="s">
        <v>31</v>
      </c>
      <c r="FO3" s="5" t="s">
        <v>3</v>
      </c>
      <c r="FP3" s="5" t="s">
        <v>31</v>
      </c>
      <c r="FQ3" s="5" t="s">
        <v>12</v>
      </c>
      <c r="FS3" s="5" t="s">
        <v>11</v>
      </c>
      <c r="FT3" s="5" t="s">
        <v>2</v>
      </c>
      <c r="FU3" s="5" t="s">
        <v>31</v>
      </c>
      <c r="FV3" s="5" t="s">
        <v>3</v>
      </c>
      <c r="FW3" s="5" t="s">
        <v>31</v>
      </c>
      <c r="FX3" s="5" t="s">
        <v>12</v>
      </c>
      <c r="FZ3" s="5" t="s">
        <v>11</v>
      </c>
      <c r="GA3" s="5" t="s">
        <v>2</v>
      </c>
      <c r="GB3" s="5" t="s">
        <v>31</v>
      </c>
      <c r="GC3" s="5" t="s">
        <v>3</v>
      </c>
      <c r="GD3" s="5" t="s">
        <v>31</v>
      </c>
      <c r="GE3" s="5" t="s">
        <v>12</v>
      </c>
      <c r="GG3" s="5" t="s">
        <v>11</v>
      </c>
      <c r="GH3" s="5" t="s">
        <v>2</v>
      </c>
      <c r="GI3" s="5" t="s">
        <v>31</v>
      </c>
      <c r="GJ3" s="5" t="s">
        <v>3</v>
      </c>
      <c r="GK3" s="5" t="s">
        <v>31</v>
      </c>
      <c r="GL3" s="5" t="s">
        <v>12</v>
      </c>
      <c r="GN3" s="5" t="s">
        <v>11</v>
      </c>
      <c r="GO3" s="5" t="s">
        <v>2</v>
      </c>
      <c r="GP3" s="5" t="s">
        <v>31</v>
      </c>
      <c r="GQ3" s="5" t="s">
        <v>3</v>
      </c>
      <c r="GR3" s="5" t="s">
        <v>31</v>
      </c>
      <c r="GS3" s="5" t="s">
        <v>12</v>
      </c>
    </row>
    <row r="4" spans="2:201">
      <c r="B4" t="s">
        <v>27</v>
      </c>
      <c r="C4" t="s">
        <v>50</v>
      </c>
      <c r="D4" s="25">
        <v>45870</v>
      </c>
      <c r="E4" s="8">
        <v>6</v>
      </c>
      <c r="G4" s="9">
        <f>+SUM(G5:G14)</f>
        <v>1</v>
      </c>
      <c r="I4" s="11">
        <f>+SUM(I5:I14)+O4</f>
        <v>32.5</v>
      </c>
      <c r="J4" s="10">
        <f>+SUMPRODUCT(G5:G14,J5:J14)</f>
        <v>0.37500000000000006</v>
      </c>
      <c r="K4" s="10">
        <f>+SUMPRODUCT(G5:G14,K5:K14)</f>
        <v>0.2</v>
      </c>
      <c r="L4" s="8"/>
      <c r="N4" s="11">
        <f>+SUM(N5:N14)+O4</f>
        <v>7.5</v>
      </c>
      <c r="O4">
        <v>1.5</v>
      </c>
      <c r="U4" s="11">
        <f>+SUM(U5:U14)</f>
        <v>8</v>
      </c>
      <c r="AB4" s="11">
        <f>+SUM(AB5:AB14)</f>
        <v>10</v>
      </c>
      <c r="AI4" s="11">
        <f>+SUM(AI5:AI14)</f>
        <v>7</v>
      </c>
      <c r="AP4" s="11">
        <f>+SUM(AP5:AP14)</f>
        <v>0</v>
      </c>
      <c r="AW4" s="11">
        <f>+SUM(AW5:AW14)</f>
        <v>0</v>
      </c>
      <c r="BD4" s="11">
        <f>+SUM(BD5:BD14)</f>
        <v>0</v>
      </c>
      <c r="BK4" s="11">
        <f>+SUM(BK5:BK14)</f>
        <v>0</v>
      </c>
      <c r="BR4" s="11">
        <f>+SUM(BR5:BR14)</f>
        <v>0</v>
      </c>
      <c r="BY4" s="11">
        <f>+SUM(BY5:BY14)</f>
        <v>0</v>
      </c>
      <c r="CF4" s="11">
        <f>+SUM(CF5:CF14)</f>
        <v>0</v>
      </c>
      <c r="CM4" s="11">
        <f>+SUM(CM5:CM14)</f>
        <v>0</v>
      </c>
      <c r="CT4" s="11">
        <f>+SUM(CT5:CT14)</f>
        <v>0</v>
      </c>
      <c r="DA4" s="11">
        <f>+SUM(DA5:DA14)</f>
        <v>0</v>
      </c>
      <c r="DH4" s="11">
        <f>+SUM(DH5:DH14)</f>
        <v>0</v>
      </c>
      <c r="DO4" s="11">
        <f>+SUM(DO5:DO14)</f>
        <v>0</v>
      </c>
      <c r="DV4" s="11">
        <f>+SUM(DV5:DV14)</f>
        <v>0</v>
      </c>
      <c r="EC4" s="11">
        <f>+SUM(EC5:EC14)</f>
        <v>0</v>
      </c>
      <c r="EJ4" s="11">
        <f>+SUM(EJ5:EJ14)</f>
        <v>0</v>
      </c>
      <c r="EQ4" s="11">
        <f>+SUM(EQ5:EQ14)</f>
        <v>0</v>
      </c>
      <c r="EX4" s="11">
        <f>+SUM(EX5:EX14)</f>
        <v>0</v>
      </c>
      <c r="FE4" s="11">
        <f>+SUM(FE5:FE14)</f>
        <v>0</v>
      </c>
      <c r="FL4" s="11">
        <f>+SUM(FL5:FL14)</f>
        <v>0</v>
      </c>
      <c r="FS4" s="11">
        <f>+SUM(FS5:FS14)</f>
        <v>0</v>
      </c>
      <c r="FZ4" s="11">
        <f>+SUM(FZ5:FZ14)</f>
        <v>0</v>
      </c>
      <c r="GG4" s="11">
        <f>+SUM(GG5:GG14)</f>
        <v>0</v>
      </c>
      <c r="GN4" s="11">
        <f>+SUM(GN5:GN14)</f>
        <v>0</v>
      </c>
    </row>
    <row r="5" spans="2:201" outlineLevel="1">
      <c r="B5" t="s">
        <v>28</v>
      </c>
      <c r="C5" t="s">
        <v>50</v>
      </c>
      <c r="E5" s="8"/>
      <c r="F5" t="s">
        <v>51</v>
      </c>
      <c r="G5" s="9">
        <v>0.1</v>
      </c>
      <c r="I5" s="8">
        <f>+SUMIF($N$3:$XJ$3,I$3,$N5:$XJ5)</f>
        <v>10.5</v>
      </c>
      <c r="J5" s="10" cm="1">
        <f t="array" ref="J5">MAX(IF($M$3:$GS$3=$J$3,M5:GS5))</f>
        <v>0.8</v>
      </c>
      <c r="K5" s="10" cm="1">
        <f t="array" ref="K5">MAX(IF($M$3:$GS$3=$K$3,M5:GS5))</f>
        <v>0.8</v>
      </c>
      <c r="L5" s="8"/>
      <c r="N5">
        <v>5</v>
      </c>
      <c r="O5" s="9">
        <v>0.5</v>
      </c>
      <c r="P5" s="9">
        <v>0.5</v>
      </c>
      <c r="Q5" s="9"/>
      <c r="R5" s="9">
        <v>0.5</v>
      </c>
      <c r="U5">
        <v>2</v>
      </c>
      <c r="V5" s="9">
        <v>0.5</v>
      </c>
      <c r="W5" s="9">
        <v>0.5</v>
      </c>
      <c r="X5" s="9">
        <v>0.5</v>
      </c>
      <c r="Y5" s="9">
        <v>0.5</v>
      </c>
      <c r="AB5">
        <v>2</v>
      </c>
      <c r="AC5" s="9">
        <v>0.5</v>
      </c>
      <c r="AD5" s="9">
        <v>0.8</v>
      </c>
      <c r="AE5" s="9">
        <v>0.8</v>
      </c>
      <c r="AF5" s="9">
        <v>0.8</v>
      </c>
      <c r="AI5">
        <v>1.5</v>
      </c>
      <c r="AJ5" s="9">
        <v>0.8</v>
      </c>
      <c r="AK5" s="9">
        <v>0.8</v>
      </c>
      <c r="AL5" s="9">
        <v>0.8</v>
      </c>
      <c r="AM5" s="9">
        <v>0.8</v>
      </c>
      <c r="AQ5" s="9"/>
      <c r="AR5" s="9">
        <v>0.8</v>
      </c>
      <c r="AS5" s="9"/>
      <c r="AT5" s="9">
        <v>0.8</v>
      </c>
      <c r="AX5" s="9"/>
      <c r="AY5" s="9">
        <v>1</v>
      </c>
      <c r="AZ5" s="9"/>
      <c r="BA5" s="9">
        <v>1</v>
      </c>
      <c r="BE5" s="9"/>
      <c r="BF5" s="9">
        <v>1</v>
      </c>
      <c r="BG5" s="9"/>
      <c r="BH5" s="9">
        <v>1</v>
      </c>
      <c r="BL5" s="9"/>
      <c r="BM5" s="9">
        <v>1</v>
      </c>
      <c r="BN5" s="9"/>
      <c r="BO5" s="9">
        <v>1</v>
      </c>
      <c r="BS5" s="9"/>
      <c r="BT5" s="9">
        <v>1</v>
      </c>
      <c r="BU5" s="9"/>
      <c r="BV5" s="9">
        <v>1</v>
      </c>
      <c r="BZ5" s="9"/>
      <c r="CA5" s="9">
        <v>1</v>
      </c>
      <c r="CB5" s="9"/>
      <c r="CC5" s="9">
        <v>1</v>
      </c>
      <c r="CG5" s="9"/>
      <c r="CH5" s="9">
        <v>1</v>
      </c>
      <c r="CI5" s="9"/>
      <c r="CJ5" s="9">
        <v>1</v>
      </c>
      <c r="CN5" s="56" t="s">
        <v>152</v>
      </c>
      <c r="CO5" s="56"/>
      <c r="CP5" s="56"/>
      <c r="CQ5" s="56"/>
      <c r="CU5" s="9"/>
      <c r="CV5" s="9"/>
      <c r="CW5" s="9"/>
      <c r="CX5" s="9"/>
      <c r="DB5" s="9"/>
      <c r="DC5" s="9"/>
      <c r="DD5" s="9"/>
      <c r="DE5" s="9"/>
      <c r="DI5" s="9"/>
      <c r="DJ5" s="9"/>
      <c r="DK5" s="9"/>
      <c r="DL5" s="9"/>
      <c r="DM5" s="55" t="s">
        <v>196</v>
      </c>
      <c r="DP5" s="9"/>
      <c r="DQ5" s="9"/>
      <c r="DR5" s="9"/>
      <c r="DS5" s="9"/>
      <c r="DW5" s="9"/>
      <c r="DX5" s="9"/>
      <c r="DY5" s="9"/>
      <c r="DZ5" s="9"/>
      <c r="ED5" s="9"/>
      <c r="EE5" s="9"/>
      <c r="EF5" s="9"/>
      <c r="EG5" s="9"/>
      <c r="EK5" s="9"/>
      <c r="EL5" s="9"/>
      <c r="EM5" s="9"/>
      <c r="EN5" s="9"/>
      <c r="ER5" s="9"/>
      <c r="ES5" s="9"/>
      <c r="ET5" s="9"/>
      <c r="EU5" s="9"/>
      <c r="EY5" s="9"/>
      <c r="EZ5" s="9"/>
      <c r="FA5" s="9"/>
      <c r="FB5" s="9"/>
      <c r="FF5" s="9"/>
      <c r="FG5" s="9"/>
      <c r="FH5" s="9"/>
      <c r="FI5" s="9"/>
      <c r="FM5" s="9"/>
      <c r="FN5" s="9"/>
      <c r="FO5" s="9"/>
      <c r="FP5" s="9"/>
      <c r="FT5" s="9"/>
      <c r="FU5" s="9"/>
      <c r="FV5" s="9"/>
      <c r="FW5" s="9"/>
      <c r="GA5" s="9"/>
      <c r="GB5" s="9"/>
      <c r="GC5" s="9"/>
      <c r="GD5" s="9"/>
      <c r="GH5" s="9"/>
      <c r="GI5" s="9"/>
      <c r="GJ5" s="9"/>
      <c r="GK5" s="9"/>
      <c r="GO5" s="9"/>
      <c r="GP5" s="9"/>
      <c r="GQ5" s="9"/>
      <c r="GR5" s="9"/>
    </row>
    <row r="6" spans="2:201" outlineLevel="1">
      <c r="B6" t="s">
        <v>28</v>
      </c>
      <c r="C6" t="s">
        <v>50</v>
      </c>
      <c r="E6" s="8"/>
      <c r="F6" t="s">
        <v>140</v>
      </c>
      <c r="G6" s="9">
        <v>0.15</v>
      </c>
      <c r="I6" s="8">
        <f>+SUMIF($N$3:$XJ$3,I$3,$N6:$XJ6)</f>
        <v>9</v>
      </c>
      <c r="J6" s="10" cm="1">
        <f t="array" ref="J6">MAX(IF($M$3:$GS$3=$J$3,M6:GS6))</f>
        <v>0.8</v>
      </c>
      <c r="K6" s="10" cm="1">
        <f t="array" ref="K6">MAX(IF($M$3:$GS$3=$K$3,M6:GS6))</f>
        <v>0.8</v>
      </c>
      <c r="L6" s="8"/>
      <c r="N6">
        <v>1</v>
      </c>
      <c r="O6" s="9"/>
      <c r="P6" s="9">
        <v>0.5</v>
      </c>
      <c r="Q6" s="9"/>
      <c r="R6" s="9">
        <v>0.5</v>
      </c>
      <c r="S6" t="s">
        <v>148</v>
      </c>
      <c r="U6">
        <v>2</v>
      </c>
      <c r="V6" s="9">
        <v>0.5</v>
      </c>
      <c r="W6" s="9">
        <v>0.5</v>
      </c>
      <c r="X6" s="9"/>
      <c r="Y6" s="9">
        <v>0.5</v>
      </c>
      <c r="AB6">
        <v>2</v>
      </c>
      <c r="AC6" s="9">
        <v>0.5</v>
      </c>
      <c r="AD6" s="9">
        <v>0.8</v>
      </c>
      <c r="AE6" s="9">
        <v>0.8</v>
      </c>
      <c r="AF6" s="9">
        <v>0.8</v>
      </c>
      <c r="AI6">
        <v>4</v>
      </c>
      <c r="AJ6" s="9">
        <v>0.8</v>
      </c>
      <c r="AK6" s="9">
        <v>0.8</v>
      </c>
      <c r="AL6" s="9">
        <v>0.8</v>
      </c>
      <c r="AM6" s="9">
        <v>0.8</v>
      </c>
      <c r="AQ6" s="9"/>
      <c r="AR6" s="9">
        <v>0.8</v>
      </c>
      <c r="AS6" s="9"/>
      <c r="AT6" s="9">
        <v>0.8</v>
      </c>
      <c r="AX6" s="9"/>
      <c r="AY6" s="9">
        <v>0.8</v>
      </c>
      <c r="AZ6" s="9"/>
      <c r="BA6" s="9">
        <v>0.8</v>
      </c>
      <c r="BE6" s="9"/>
      <c r="BF6" s="9">
        <v>1</v>
      </c>
      <c r="BG6" s="9"/>
      <c r="BH6" s="9">
        <v>1</v>
      </c>
      <c r="BL6" s="9"/>
      <c r="BM6" s="9">
        <v>1</v>
      </c>
      <c r="BN6" s="9"/>
      <c r="BO6" s="9">
        <v>1</v>
      </c>
      <c r="BS6" s="9"/>
      <c r="BT6" s="9">
        <v>1</v>
      </c>
      <c r="BU6" s="9"/>
      <c r="BV6" s="9">
        <v>1</v>
      </c>
      <c r="BZ6" s="9"/>
      <c r="CA6" s="9">
        <v>1</v>
      </c>
      <c r="CB6" s="9"/>
      <c r="CC6" s="9">
        <v>1</v>
      </c>
      <c r="CG6" s="9"/>
      <c r="CH6" s="9">
        <v>1</v>
      </c>
      <c r="CI6" s="9"/>
      <c r="CJ6" s="9">
        <v>1</v>
      </c>
      <c r="CN6" s="9"/>
      <c r="CO6" s="9"/>
      <c r="CP6" s="9"/>
      <c r="CQ6" s="9"/>
      <c r="CU6" s="9"/>
      <c r="CV6" s="9"/>
      <c r="CW6" s="9"/>
      <c r="CX6" s="9"/>
      <c r="DB6" s="9"/>
      <c r="DC6" s="9"/>
      <c r="DD6" s="9"/>
      <c r="DE6" s="9"/>
      <c r="DI6" s="9"/>
      <c r="DJ6" s="9"/>
      <c r="DK6" s="9"/>
      <c r="DL6" s="9"/>
      <c r="DM6" s="55"/>
      <c r="DP6" s="9"/>
      <c r="DQ6" s="9"/>
      <c r="DR6" s="9"/>
      <c r="DS6" s="9"/>
      <c r="DW6" s="9"/>
      <c r="DX6" s="9"/>
      <c r="DY6" s="9"/>
      <c r="DZ6" s="9"/>
      <c r="ED6" s="9"/>
      <c r="EE6" s="9"/>
      <c r="EF6" s="9"/>
      <c r="EG6" s="9"/>
      <c r="EK6" s="9"/>
      <c r="EL6" s="9"/>
      <c r="EM6" s="9"/>
      <c r="EN6" s="9"/>
      <c r="ER6" s="9"/>
      <c r="ES6" s="9"/>
      <c r="ET6" s="9"/>
      <c r="EU6" s="9"/>
      <c r="EY6" s="9"/>
      <c r="EZ6" s="9"/>
      <c r="FA6" s="9"/>
      <c r="FB6" s="9"/>
      <c r="FF6" s="9"/>
      <c r="FG6" s="9"/>
      <c r="FH6" s="9"/>
      <c r="FI6" s="9"/>
      <c r="FM6" s="9"/>
      <c r="FN6" s="9"/>
      <c r="FO6" s="9"/>
      <c r="FP6" s="9"/>
      <c r="FT6" s="9"/>
      <c r="FU6" s="9"/>
      <c r="FV6" s="9"/>
      <c r="FW6" s="9"/>
      <c r="GA6" s="9"/>
      <c r="GB6" s="9"/>
      <c r="GC6" s="9"/>
      <c r="GD6" s="9"/>
      <c r="GH6" s="9"/>
      <c r="GI6" s="9"/>
      <c r="GJ6" s="9"/>
      <c r="GK6" s="9"/>
      <c r="GO6" s="9"/>
      <c r="GP6" s="9"/>
      <c r="GQ6" s="9"/>
      <c r="GR6" s="9"/>
    </row>
    <row r="7" spans="2:201" outlineLevel="1">
      <c r="B7" t="s">
        <v>28</v>
      </c>
      <c r="C7" t="s">
        <v>50</v>
      </c>
      <c r="E7" s="8"/>
      <c r="F7" t="s">
        <v>139</v>
      </c>
      <c r="G7" s="9">
        <v>0.15</v>
      </c>
      <c r="I7" s="8">
        <f>+SUMIF($N$3:$XJ$3,I$3,$N7:$XJ7)</f>
        <v>4</v>
      </c>
      <c r="J7" s="10" cm="1">
        <f t="array" ref="J7">MAX(IF($M$3:$GS$3=$J$3,M7:GS7))</f>
        <v>0.5</v>
      </c>
      <c r="K7" s="10" cm="1">
        <f t="array" ref="K7">MAX(IF($M$3:$GS$3=$K$3,M7:GS7))</f>
        <v>0</v>
      </c>
      <c r="L7" s="8"/>
      <c r="O7" s="9"/>
      <c r="P7" s="9">
        <v>0.5</v>
      </c>
      <c r="Q7" s="9"/>
      <c r="R7" s="9">
        <v>0.5</v>
      </c>
      <c r="U7">
        <v>4</v>
      </c>
      <c r="V7" s="9">
        <v>0.5</v>
      </c>
      <c r="W7" s="9">
        <v>0.5</v>
      </c>
      <c r="X7" s="9"/>
      <c r="Y7" s="9">
        <v>0.5</v>
      </c>
      <c r="AC7" s="9">
        <v>0.5</v>
      </c>
      <c r="AD7" s="9">
        <v>0.5</v>
      </c>
      <c r="AE7" s="9"/>
      <c r="AF7" s="9">
        <v>0.5</v>
      </c>
      <c r="AJ7" s="9">
        <v>0.5</v>
      </c>
      <c r="AK7" s="9">
        <v>0.8</v>
      </c>
      <c r="AL7" s="9"/>
      <c r="AM7" s="9">
        <v>0.8</v>
      </c>
      <c r="AQ7" s="9"/>
      <c r="AR7" s="9">
        <v>0.8</v>
      </c>
      <c r="AS7" s="9"/>
      <c r="AT7" s="9">
        <v>0.8</v>
      </c>
      <c r="AX7" s="9"/>
      <c r="AY7" s="9">
        <v>0.8</v>
      </c>
      <c r="AZ7" s="9"/>
      <c r="BA7" s="9">
        <v>0.8</v>
      </c>
      <c r="BE7" s="9"/>
      <c r="BF7" s="9">
        <v>1</v>
      </c>
      <c r="BG7" s="9"/>
      <c r="BH7" s="9">
        <v>1</v>
      </c>
      <c r="BL7" s="9"/>
      <c r="BM7" s="9">
        <v>1</v>
      </c>
      <c r="BN7" s="9"/>
      <c r="BO7" s="9">
        <v>1</v>
      </c>
      <c r="BS7" s="9"/>
      <c r="BT7" s="9">
        <v>1</v>
      </c>
      <c r="BU7" s="9"/>
      <c r="BV7" s="9">
        <v>1</v>
      </c>
      <c r="BZ7" s="9"/>
      <c r="CA7" s="9">
        <v>1</v>
      </c>
      <c r="CB7" s="9"/>
      <c r="CC7" s="9">
        <v>1</v>
      </c>
      <c r="CG7" s="9"/>
      <c r="CH7" s="9">
        <v>1</v>
      </c>
      <c r="CI7" s="9"/>
      <c r="CJ7" s="9">
        <v>1</v>
      </c>
      <c r="CN7" s="9"/>
      <c r="CO7" s="9"/>
      <c r="CP7" s="9"/>
      <c r="CQ7" s="9"/>
      <c r="CU7" s="9"/>
      <c r="CV7" s="9"/>
      <c r="CW7" s="9"/>
      <c r="CX7" s="9"/>
      <c r="DB7" s="9"/>
      <c r="DC7" s="9"/>
      <c r="DD7" s="9"/>
      <c r="DE7" s="9"/>
      <c r="DI7" s="9"/>
      <c r="DJ7" s="9"/>
      <c r="DK7" s="9"/>
      <c r="DL7" s="9"/>
      <c r="DM7" s="55"/>
      <c r="DP7" s="9"/>
      <c r="DQ7" s="9"/>
      <c r="DR7" s="9"/>
      <c r="DS7" s="9"/>
      <c r="DW7" s="9"/>
      <c r="DX7" s="9"/>
      <c r="DY7" s="9"/>
      <c r="DZ7" s="9"/>
      <c r="ED7" s="9"/>
      <c r="EE7" s="9"/>
      <c r="EF7" s="9"/>
      <c r="EG7" s="9"/>
      <c r="EK7" s="9"/>
      <c r="EL7" s="9"/>
      <c r="EM7" s="9"/>
      <c r="EN7" s="9"/>
      <c r="ER7" s="9"/>
      <c r="ES7" s="9"/>
      <c r="ET7" s="9"/>
      <c r="EU7" s="9"/>
      <c r="EY7" s="9"/>
      <c r="EZ7" s="9"/>
      <c r="FA7" s="9"/>
      <c r="FB7" s="9"/>
      <c r="FF7" s="9"/>
      <c r="FG7" s="9"/>
      <c r="FH7" s="9"/>
      <c r="FI7" s="9"/>
      <c r="FM7" s="9"/>
      <c r="FN7" s="9"/>
      <c r="FO7" s="9"/>
      <c r="FP7" s="9"/>
      <c r="FT7" s="9"/>
      <c r="FU7" s="9"/>
      <c r="FV7" s="9"/>
      <c r="FW7" s="9"/>
      <c r="GA7" s="9"/>
      <c r="GB7" s="9"/>
      <c r="GC7" s="9"/>
      <c r="GD7" s="9"/>
      <c r="GH7" s="9"/>
      <c r="GI7" s="9"/>
      <c r="GJ7" s="9"/>
      <c r="GK7" s="9"/>
      <c r="GO7" s="9"/>
      <c r="GP7" s="9"/>
      <c r="GQ7" s="9"/>
      <c r="GR7" s="9"/>
    </row>
    <row r="8" spans="2:201" outlineLevel="1">
      <c r="B8" t="s">
        <v>28</v>
      </c>
      <c r="C8" t="s">
        <v>50</v>
      </c>
      <c r="E8" s="8"/>
      <c r="F8" t="s">
        <v>141</v>
      </c>
      <c r="G8" s="9">
        <v>0.05</v>
      </c>
      <c r="I8" s="8">
        <f>+SUMIF($N$3:$XJ$3,I$3,$N8:$XJ8)</f>
        <v>2</v>
      </c>
      <c r="J8" s="10" cm="1">
        <f t="array" ref="J8">MAX(IF($M$3:$GS$3=$J$3,M8:GS8))</f>
        <v>0.5</v>
      </c>
      <c r="K8" s="10" cm="1">
        <f t="array" ref="K8">MAX(IF($M$3:$GS$3=$K$3,M8:GS8))</f>
        <v>0</v>
      </c>
      <c r="L8" s="8"/>
      <c r="O8" s="9"/>
      <c r="P8" s="9"/>
      <c r="Q8" s="9"/>
      <c r="R8" s="9"/>
      <c r="V8" s="9"/>
      <c r="W8" s="9">
        <v>0.5</v>
      </c>
      <c r="X8" s="9"/>
      <c r="Y8" s="9">
        <v>0.5</v>
      </c>
      <c r="AB8">
        <v>2</v>
      </c>
      <c r="AC8" s="9">
        <v>0.5</v>
      </c>
      <c r="AD8" s="9">
        <v>0.5</v>
      </c>
      <c r="AE8" s="9"/>
      <c r="AF8" s="9">
        <v>0.5</v>
      </c>
      <c r="AJ8" s="9">
        <v>0.5</v>
      </c>
      <c r="AK8" s="9">
        <v>0.5</v>
      </c>
      <c r="AL8" s="9"/>
      <c r="AM8" s="9">
        <v>0.5</v>
      </c>
      <c r="AQ8" s="9"/>
      <c r="AR8" s="9">
        <v>0.8</v>
      </c>
      <c r="AS8" s="9"/>
      <c r="AT8" s="9">
        <v>0.8</v>
      </c>
      <c r="AX8" s="9"/>
      <c r="AY8" s="9">
        <v>0.8</v>
      </c>
      <c r="AZ8" s="9"/>
      <c r="BA8" s="9">
        <v>0.8</v>
      </c>
      <c r="BE8" s="9"/>
      <c r="BF8" s="9">
        <v>0.8</v>
      </c>
      <c r="BG8" s="9"/>
      <c r="BH8" s="9">
        <v>0.8</v>
      </c>
      <c r="BL8" s="9"/>
      <c r="BM8" s="9">
        <v>1</v>
      </c>
      <c r="BN8" s="9"/>
      <c r="BO8" s="9">
        <v>1</v>
      </c>
      <c r="BS8" s="9"/>
      <c r="BT8" s="9">
        <v>1</v>
      </c>
      <c r="BU8" s="9"/>
      <c r="BV8" s="9">
        <v>1</v>
      </c>
      <c r="BZ8" s="9"/>
      <c r="CA8" s="9">
        <v>1</v>
      </c>
      <c r="CB8" s="9"/>
      <c r="CC8" s="9">
        <v>1</v>
      </c>
      <c r="CG8" s="9"/>
      <c r="CH8" s="9">
        <v>1</v>
      </c>
      <c r="CI8" s="9"/>
      <c r="CJ8" s="9">
        <v>1</v>
      </c>
      <c r="CN8" s="9"/>
      <c r="CO8" s="9"/>
      <c r="CP8" s="9"/>
      <c r="CQ8" s="9"/>
      <c r="CU8" s="9"/>
      <c r="CV8" s="9"/>
      <c r="CW8" s="9"/>
      <c r="CX8" s="9"/>
      <c r="DB8" s="9"/>
      <c r="DC8" s="9"/>
      <c r="DD8" s="9"/>
      <c r="DE8" s="9"/>
      <c r="DI8" s="9"/>
      <c r="DJ8" s="9"/>
      <c r="DK8" s="9"/>
      <c r="DL8" s="9"/>
      <c r="DM8" s="55"/>
      <c r="DP8" s="9"/>
      <c r="DQ8" s="9"/>
      <c r="DR8" s="9"/>
      <c r="DS8" s="9"/>
      <c r="DW8" s="9"/>
      <c r="DX8" s="9"/>
      <c r="DY8" s="9"/>
      <c r="DZ8" s="9"/>
      <c r="ED8" s="9"/>
      <c r="EE8" s="9"/>
      <c r="EF8" s="9"/>
      <c r="EG8" s="9"/>
      <c r="EK8" s="9"/>
      <c r="EL8" s="9"/>
      <c r="EM8" s="9"/>
      <c r="EN8" s="9"/>
      <c r="ER8" s="9"/>
      <c r="ES8" s="9"/>
      <c r="ET8" s="9"/>
      <c r="EU8" s="9"/>
      <c r="EY8" s="9"/>
      <c r="EZ8" s="9"/>
      <c r="FA8" s="9"/>
      <c r="FB8" s="9"/>
      <c r="FF8" s="9"/>
      <c r="FG8" s="9"/>
      <c r="FH8" s="9"/>
      <c r="FI8" s="9"/>
      <c r="FM8" s="9"/>
      <c r="FN8" s="9"/>
      <c r="FO8" s="9"/>
      <c r="FP8" s="9"/>
      <c r="FT8" s="9"/>
      <c r="FU8" s="9"/>
      <c r="FV8" s="9"/>
      <c r="FW8" s="9"/>
      <c r="GA8" s="9"/>
      <c r="GB8" s="9"/>
      <c r="GC8" s="9"/>
      <c r="GD8" s="9"/>
      <c r="GH8" s="9"/>
      <c r="GI8" s="9"/>
      <c r="GJ8" s="9"/>
      <c r="GK8" s="9"/>
      <c r="GO8" s="9"/>
      <c r="GP8" s="9"/>
      <c r="GQ8" s="9"/>
      <c r="GR8" s="9"/>
    </row>
    <row r="9" spans="2:201" outlineLevel="1">
      <c r="B9" t="s">
        <v>28</v>
      </c>
      <c r="C9" t="s">
        <v>50</v>
      </c>
      <c r="E9" s="8"/>
      <c r="F9" t="s">
        <v>142</v>
      </c>
      <c r="G9" s="9">
        <v>0.15</v>
      </c>
      <c r="I9" s="8">
        <f>+SUMIF($N$3:$XJ$3,I$3,$N9:$XJ9)</f>
        <v>4</v>
      </c>
      <c r="J9" s="10" cm="1">
        <f t="array" ref="J9">MAX(IF($M$3:$GS$3=$J$3,M9:GS9))</f>
        <v>0.5</v>
      </c>
      <c r="K9" s="10" cm="1">
        <f t="array" ref="K9">MAX(IF($M$3:$GS$3=$K$3,M9:GS9))</f>
        <v>0</v>
      </c>
      <c r="L9" s="8"/>
      <c r="O9" s="9"/>
      <c r="P9" s="9"/>
      <c r="Q9" s="9"/>
      <c r="R9" s="9"/>
      <c r="V9" s="9"/>
      <c r="W9" s="9">
        <v>0.5</v>
      </c>
      <c r="X9" s="9"/>
      <c r="Y9" s="9">
        <v>0.5</v>
      </c>
      <c r="AB9">
        <v>4</v>
      </c>
      <c r="AC9" s="9">
        <v>0.5</v>
      </c>
      <c r="AD9" s="9">
        <v>0.5</v>
      </c>
      <c r="AE9" s="9"/>
      <c r="AF9" s="9">
        <v>0.5</v>
      </c>
      <c r="AJ9" s="9">
        <v>0.5</v>
      </c>
      <c r="AK9" s="9">
        <v>0.5</v>
      </c>
      <c r="AL9" s="9"/>
      <c r="AM9" s="9">
        <v>0.5</v>
      </c>
      <c r="AQ9" s="9"/>
      <c r="AR9" s="9">
        <v>0.8</v>
      </c>
      <c r="AS9" s="9"/>
      <c r="AT9" s="9">
        <v>0.8</v>
      </c>
      <c r="AX9" s="9"/>
      <c r="AY9" s="9">
        <v>0.8</v>
      </c>
      <c r="AZ9" s="9"/>
      <c r="BA9" s="9">
        <v>0.8</v>
      </c>
      <c r="BE9" s="9"/>
      <c r="BF9" s="9">
        <v>0.8</v>
      </c>
      <c r="BG9" s="9"/>
      <c r="BH9" s="9">
        <v>0.8</v>
      </c>
      <c r="BL9" s="9"/>
      <c r="BM9" s="9">
        <v>0.8</v>
      </c>
      <c r="BN9" s="9"/>
      <c r="BO9" s="9">
        <v>0.8</v>
      </c>
      <c r="BS9" s="9"/>
      <c r="BT9" s="9">
        <v>1</v>
      </c>
      <c r="BU9" s="9"/>
      <c r="BV9" s="9">
        <v>1</v>
      </c>
      <c r="BZ9" s="9"/>
      <c r="CA9" s="9">
        <v>1</v>
      </c>
      <c r="CB9" s="9"/>
      <c r="CC9" s="9">
        <v>1</v>
      </c>
      <c r="CG9" s="9"/>
      <c r="CH9" s="9">
        <v>1</v>
      </c>
      <c r="CI9" s="9"/>
      <c r="CJ9" s="9">
        <v>1</v>
      </c>
      <c r="CN9" s="9"/>
      <c r="CO9" s="9"/>
      <c r="CP9" s="9"/>
      <c r="CQ9" s="9"/>
      <c r="CU9" s="9"/>
      <c r="CV9" s="9"/>
      <c r="CW9" s="9"/>
      <c r="CX9" s="9"/>
      <c r="DB9" s="9"/>
      <c r="DC9" s="9"/>
      <c r="DD9" s="9"/>
      <c r="DE9" s="9"/>
      <c r="DI9" s="9"/>
      <c r="DJ9" s="9"/>
      <c r="DK9" s="9"/>
      <c r="DL9" s="9"/>
      <c r="DP9" s="9"/>
      <c r="DQ9" s="9"/>
      <c r="DR9" s="9"/>
      <c r="DS9" s="9"/>
      <c r="DW9" s="9"/>
      <c r="DX9" s="9"/>
      <c r="DY9" s="9"/>
      <c r="DZ9" s="9"/>
      <c r="ED9" s="9"/>
      <c r="EE9" s="9"/>
      <c r="EF9" s="9"/>
      <c r="EG9" s="9"/>
      <c r="EK9" s="9"/>
      <c r="EL9" s="9"/>
      <c r="EM9" s="9"/>
      <c r="EN9" s="9"/>
      <c r="ER9" s="9"/>
      <c r="ES9" s="9"/>
      <c r="ET9" s="9"/>
      <c r="EU9" s="9"/>
      <c r="EY9" s="9"/>
      <c r="EZ9" s="9"/>
      <c r="FA9" s="9"/>
      <c r="FB9" s="9"/>
      <c r="FF9" s="9"/>
      <c r="FG9" s="9"/>
      <c r="FH9" s="9"/>
      <c r="FI9" s="9"/>
      <c r="FM9" s="9"/>
      <c r="FN9" s="9"/>
      <c r="FO9" s="9"/>
      <c r="FP9" s="9"/>
      <c r="FT9" s="9"/>
      <c r="FU9" s="9"/>
      <c r="FV9" s="9"/>
      <c r="FW9" s="9"/>
      <c r="GA9" s="9"/>
      <c r="GB9" s="9"/>
      <c r="GC9" s="9"/>
      <c r="GD9" s="9"/>
      <c r="GH9" s="9"/>
      <c r="GI9" s="9"/>
      <c r="GJ9" s="9"/>
      <c r="GK9" s="9"/>
      <c r="GO9" s="9"/>
      <c r="GP9" s="9"/>
      <c r="GQ9" s="9"/>
      <c r="GR9" s="9"/>
    </row>
    <row r="10" spans="2:201" outlineLevel="1">
      <c r="B10" t="s">
        <v>28</v>
      </c>
      <c r="C10" t="s">
        <v>50</v>
      </c>
      <c r="E10" s="8"/>
      <c r="F10" t="s">
        <v>143</v>
      </c>
      <c r="G10" s="9">
        <v>0.15</v>
      </c>
      <c r="I10" s="8">
        <f>+SUMIF($N$3:$XJ$3,I$3,$N10:$XJ10)</f>
        <v>1.5</v>
      </c>
      <c r="J10" s="10" cm="1">
        <f t="array" ref="J10">MAX(IF($M$3:$GS$3=$J$3,M10:GS10))</f>
        <v>0</v>
      </c>
      <c r="K10" s="10" cm="1">
        <f t="array" ref="K10">MAX(IF($M$3:$GS$3=$K$3,M10:GS10))</f>
        <v>0</v>
      </c>
      <c r="L10" s="8"/>
      <c r="O10" s="9"/>
      <c r="P10" s="9"/>
      <c r="Q10" s="9"/>
      <c r="R10" s="9"/>
      <c r="V10" s="9"/>
      <c r="W10" s="9">
        <v>0.5</v>
      </c>
      <c r="X10" s="9"/>
      <c r="Y10" s="9">
        <v>0.5</v>
      </c>
      <c r="AC10" s="9"/>
      <c r="AD10" s="9">
        <v>0.5</v>
      </c>
      <c r="AE10" s="9"/>
      <c r="AF10" s="9">
        <v>0.5</v>
      </c>
      <c r="AI10">
        <v>1.5</v>
      </c>
      <c r="AJ10" s="9"/>
      <c r="AK10" s="9">
        <v>0.5</v>
      </c>
      <c r="AL10" s="9"/>
      <c r="AM10" s="9">
        <v>0.5</v>
      </c>
      <c r="AQ10" s="9"/>
      <c r="AR10" s="9">
        <v>0.5</v>
      </c>
      <c r="AS10" s="9"/>
      <c r="AT10" s="9">
        <v>0.5</v>
      </c>
      <c r="AX10" s="9"/>
      <c r="AY10" s="9">
        <v>0.8</v>
      </c>
      <c r="AZ10" s="9"/>
      <c r="BA10" s="9">
        <v>0.8</v>
      </c>
      <c r="BE10" s="9"/>
      <c r="BF10" s="9">
        <v>0.8</v>
      </c>
      <c r="BG10" s="9"/>
      <c r="BH10" s="9">
        <v>0.8</v>
      </c>
      <c r="BL10" s="9"/>
      <c r="BM10" s="9">
        <v>0.8</v>
      </c>
      <c r="BN10" s="9"/>
      <c r="BO10" s="9">
        <v>0.8</v>
      </c>
      <c r="BS10" s="9"/>
      <c r="BT10" s="9">
        <v>1</v>
      </c>
      <c r="BU10" s="9"/>
      <c r="BV10" s="9">
        <v>1</v>
      </c>
      <c r="BZ10" s="9"/>
      <c r="CA10" s="9">
        <v>1</v>
      </c>
      <c r="CB10" s="9"/>
      <c r="CC10" s="9">
        <v>1</v>
      </c>
      <c r="CG10" s="9"/>
      <c r="CH10" s="9">
        <v>1</v>
      </c>
      <c r="CI10" s="9"/>
      <c r="CJ10" s="9">
        <v>1</v>
      </c>
      <c r="CN10" s="9"/>
      <c r="CO10" s="9"/>
      <c r="CP10" s="9"/>
      <c r="CQ10" s="9"/>
      <c r="CU10" s="9"/>
      <c r="CV10" s="9"/>
      <c r="CW10" s="9"/>
      <c r="CX10" s="9"/>
      <c r="DB10" s="9"/>
      <c r="DC10" s="9"/>
      <c r="DD10" s="9"/>
      <c r="DE10" s="9"/>
      <c r="DI10" s="9"/>
      <c r="DJ10" s="9"/>
      <c r="DK10" s="9"/>
      <c r="DL10" s="9"/>
      <c r="DP10" s="9"/>
      <c r="DQ10" s="9"/>
      <c r="DR10" s="9"/>
      <c r="DS10" s="9"/>
      <c r="DW10" s="9"/>
      <c r="DX10" s="9"/>
      <c r="DY10" s="9"/>
      <c r="DZ10" s="9"/>
      <c r="ED10" s="9"/>
      <c r="EE10" s="9"/>
      <c r="EF10" s="9"/>
      <c r="EG10" s="9"/>
      <c r="EK10" s="9"/>
      <c r="EL10" s="9"/>
      <c r="EM10" s="9"/>
      <c r="EN10" s="9"/>
      <c r="ER10" s="9"/>
      <c r="ES10" s="9"/>
      <c r="ET10" s="9"/>
      <c r="EU10" s="9"/>
      <c r="EY10" s="9"/>
      <c r="EZ10" s="9"/>
      <c r="FA10" s="9"/>
      <c r="FB10" s="9"/>
      <c r="FF10" s="9"/>
      <c r="FG10" s="9"/>
      <c r="FH10" s="9"/>
      <c r="FI10" s="9"/>
      <c r="FM10" s="9"/>
      <c r="FN10" s="9"/>
      <c r="FO10" s="9"/>
      <c r="FP10" s="9"/>
      <c r="FT10" s="9"/>
      <c r="FU10" s="9"/>
      <c r="FV10" s="9"/>
      <c r="FW10" s="9"/>
      <c r="GA10" s="9"/>
      <c r="GB10" s="9"/>
      <c r="GC10" s="9"/>
      <c r="GD10" s="9"/>
      <c r="GH10" s="9"/>
      <c r="GI10" s="9"/>
      <c r="GJ10" s="9"/>
      <c r="GK10" s="9"/>
      <c r="GO10" s="9"/>
      <c r="GP10" s="9"/>
      <c r="GQ10" s="9"/>
      <c r="GR10" s="9"/>
    </row>
    <row r="11" spans="2:201" outlineLevel="1">
      <c r="B11" t="s">
        <v>28</v>
      </c>
      <c r="C11" t="s">
        <v>50</v>
      </c>
      <c r="E11" s="8"/>
      <c r="F11" t="s">
        <v>144</v>
      </c>
      <c r="G11" s="9">
        <v>0.1</v>
      </c>
      <c r="I11" s="8">
        <f>+SUMIF($N$3:$XJ$3,I$3,$N11:$XJ11)</f>
        <v>0</v>
      </c>
      <c r="J11" s="10" cm="1">
        <f t="array" ref="J11">MAX(IF($M$3:$GS$3=$J$3,M11:GS11))</f>
        <v>0</v>
      </c>
      <c r="K11" s="10" cm="1">
        <f t="array" ref="K11">MAX(IF($M$3:$GS$3=$K$3,M11:GS11))</f>
        <v>0</v>
      </c>
      <c r="L11" s="8"/>
      <c r="O11" s="9"/>
      <c r="P11" s="9"/>
      <c r="Q11" s="9"/>
      <c r="R11" s="9"/>
      <c r="V11" s="9"/>
      <c r="W11" s="9"/>
      <c r="X11" s="9"/>
      <c r="Y11" s="9"/>
      <c r="AC11" s="9"/>
      <c r="AD11" s="9">
        <v>0.5</v>
      </c>
      <c r="AE11" s="9"/>
      <c r="AF11" s="9">
        <v>0.5</v>
      </c>
      <c r="AJ11" s="9"/>
      <c r="AK11" s="9">
        <v>0.5</v>
      </c>
      <c r="AL11" s="9"/>
      <c r="AM11" s="9">
        <v>0.5</v>
      </c>
      <c r="AQ11" s="9"/>
      <c r="AR11" s="9">
        <v>0.5</v>
      </c>
      <c r="AS11" s="9"/>
      <c r="AT11" s="9">
        <v>0.5</v>
      </c>
      <c r="AX11" s="9"/>
      <c r="AY11" s="9">
        <v>0.8</v>
      </c>
      <c r="AZ11" s="9"/>
      <c r="BA11" s="9">
        <v>0.8</v>
      </c>
      <c r="BE11" s="9"/>
      <c r="BF11" s="9">
        <v>0.8</v>
      </c>
      <c r="BG11" s="9"/>
      <c r="BH11" s="9">
        <v>0.8</v>
      </c>
      <c r="BL11" s="9"/>
      <c r="BM11" s="9">
        <v>0.8</v>
      </c>
      <c r="BN11" s="9"/>
      <c r="BO11" s="9">
        <v>0.8</v>
      </c>
      <c r="BS11" s="9"/>
      <c r="BT11" s="9">
        <v>0.8</v>
      </c>
      <c r="BU11" s="9"/>
      <c r="BV11" s="9">
        <v>0.8</v>
      </c>
      <c r="BZ11" s="9"/>
      <c r="CA11" s="9">
        <v>1</v>
      </c>
      <c r="CB11" s="9"/>
      <c r="CC11" s="9">
        <v>1</v>
      </c>
      <c r="CG11" s="9"/>
      <c r="CH11" s="9">
        <v>1</v>
      </c>
      <c r="CI11" s="9"/>
      <c r="CJ11" s="9">
        <v>1</v>
      </c>
      <c r="CN11" s="9"/>
      <c r="CO11" s="9"/>
      <c r="CP11" s="9"/>
      <c r="CQ11" s="9"/>
      <c r="CU11" s="9"/>
      <c r="CV11" s="9"/>
      <c r="CW11" s="9"/>
      <c r="CX11" s="9"/>
      <c r="DB11" s="9"/>
      <c r="DC11" s="9"/>
      <c r="DD11" s="9"/>
      <c r="DE11" s="9"/>
      <c r="DI11" s="9"/>
      <c r="DJ11" s="9"/>
      <c r="DK11" s="9"/>
      <c r="DL11" s="9"/>
      <c r="DP11" s="9"/>
      <c r="DQ11" s="9"/>
      <c r="DR11" s="9"/>
      <c r="DS11" s="9"/>
      <c r="DW11" s="9"/>
      <c r="DX11" s="9"/>
      <c r="DY11" s="9"/>
      <c r="DZ11" s="9"/>
      <c r="ED11" s="9"/>
      <c r="EE11" s="9"/>
      <c r="EF11" s="9"/>
      <c r="EG11" s="9"/>
      <c r="EK11" s="9"/>
      <c r="EL11" s="9"/>
      <c r="EM11" s="9"/>
      <c r="EN11" s="9"/>
      <c r="ER11" s="9"/>
      <c r="ES11" s="9"/>
      <c r="ET11" s="9"/>
      <c r="EU11" s="9"/>
      <c r="EY11" s="9"/>
      <c r="EZ11" s="9"/>
      <c r="FA11" s="9"/>
      <c r="FB11" s="9"/>
      <c r="FF11" s="9"/>
      <c r="FG11" s="9"/>
      <c r="FH11" s="9"/>
      <c r="FI11" s="9"/>
      <c r="FM11" s="9"/>
      <c r="FN11" s="9"/>
      <c r="FO11" s="9"/>
      <c r="FP11" s="9"/>
      <c r="FT11" s="9"/>
      <c r="FU11" s="9"/>
      <c r="FV11" s="9"/>
      <c r="FW11" s="9"/>
      <c r="GA11" s="9"/>
      <c r="GB11" s="9"/>
      <c r="GC11" s="9"/>
      <c r="GD11" s="9"/>
      <c r="GH11" s="9"/>
      <c r="GI11" s="9"/>
      <c r="GJ11" s="9"/>
      <c r="GK11" s="9"/>
      <c r="GO11" s="9"/>
      <c r="GP11" s="9"/>
      <c r="GQ11" s="9"/>
      <c r="GR11" s="9"/>
    </row>
    <row r="12" spans="2:201" outlineLevel="1">
      <c r="B12" t="s">
        <v>28</v>
      </c>
      <c r="C12" t="s">
        <v>50</v>
      </c>
      <c r="E12" s="8"/>
      <c r="F12" t="s">
        <v>145</v>
      </c>
      <c r="G12" s="9">
        <v>0.05</v>
      </c>
      <c r="I12" s="8">
        <f>+SUMIF($N$3:$XJ$3,I$3,$N12:$XJ12)</f>
        <v>0</v>
      </c>
      <c r="J12" s="10" cm="1">
        <f t="array" ref="J12">MAX(IF($M$3:$GS$3=$J$3,M12:GS12))</f>
        <v>0</v>
      </c>
      <c r="K12" s="10" cm="1">
        <f t="array" ref="K12">MAX(IF($M$3:$GS$3=$K$3,M12:GS12))</f>
        <v>0</v>
      </c>
      <c r="L12" s="8"/>
      <c r="O12" s="9"/>
      <c r="P12" s="9"/>
      <c r="Q12" s="9"/>
      <c r="R12" s="9"/>
      <c r="V12" s="9"/>
      <c r="W12" s="9"/>
      <c r="X12" s="9"/>
      <c r="Y12" s="9"/>
      <c r="AC12" s="9"/>
      <c r="AD12" s="9"/>
      <c r="AE12" s="9"/>
      <c r="AF12" s="9"/>
      <c r="AJ12" s="9"/>
      <c r="AK12" s="9">
        <v>0.5</v>
      </c>
      <c r="AL12" s="9"/>
      <c r="AM12" s="9">
        <v>0.5</v>
      </c>
      <c r="AQ12" s="9"/>
      <c r="AR12" s="9">
        <v>0.5</v>
      </c>
      <c r="AS12" s="9"/>
      <c r="AT12" s="9">
        <v>0.5</v>
      </c>
      <c r="AX12" s="9"/>
      <c r="AY12" s="9">
        <v>0.5</v>
      </c>
      <c r="AZ12" s="9"/>
      <c r="BA12" s="9">
        <v>0.5</v>
      </c>
      <c r="BE12" s="9"/>
      <c r="BF12" s="9">
        <v>0.8</v>
      </c>
      <c r="BG12" s="9"/>
      <c r="BH12" s="9">
        <v>0.8</v>
      </c>
      <c r="BL12" s="9"/>
      <c r="BM12" s="9">
        <v>0.8</v>
      </c>
      <c r="BN12" s="9"/>
      <c r="BO12" s="9">
        <v>0.8</v>
      </c>
      <c r="BS12" s="9"/>
      <c r="BT12" s="9">
        <v>0.8</v>
      </c>
      <c r="BU12" s="9"/>
      <c r="BV12" s="9">
        <v>0.8</v>
      </c>
      <c r="BZ12" s="9"/>
      <c r="CA12" s="9">
        <v>1</v>
      </c>
      <c r="CB12" s="9"/>
      <c r="CC12" s="9">
        <v>1</v>
      </c>
      <c r="CG12" s="9"/>
      <c r="CH12" s="9">
        <v>1</v>
      </c>
      <c r="CI12" s="9"/>
      <c r="CJ12" s="9">
        <v>1</v>
      </c>
      <c r="CN12" s="9"/>
      <c r="CO12" s="9"/>
      <c r="CP12" s="9"/>
      <c r="CQ12" s="9"/>
      <c r="CU12" s="9"/>
      <c r="CV12" s="9"/>
      <c r="CW12" s="9"/>
      <c r="CX12" s="9"/>
      <c r="DB12" s="9"/>
      <c r="DC12" s="9"/>
      <c r="DD12" s="9"/>
      <c r="DE12" s="9"/>
      <c r="DI12" s="9"/>
      <c r="DJ12" s="9"/>
      <c r="DK12" s="9"/>
      <c r="DL12" s="9"/>
      <c r="DP12" s="9"/>
      <c r="DQ12" s="9"/>
      <c r="DR12" s="9"/>
      <c r="DS12" s="9"/>
      <c r="DW12" s="9"/>
      <c r="DX12" s="9"/>
      <c r="DY12" s="9"/>
      <c r="DZ12" s="9"/>
      <c r="ED12" s="9"/>
      <c r="EE12" s="9"/>
      <c r="EF12" s="9"/>
      <c r="EG12" s="9"/>
      <c r="EK12" s="9"/>
      <c r="EL12" s="9"/>
      <c r="EM12" s="9"/>
      <c r="EN12" s="9"/>
      <c r="ER12" s="9"/>
      <c r="ES12" s="9"/>
      <c r="ET12" s="9"/>
      <c r="EU12" s="9"/>
      <c r="EY12" s="9"/>
      <c r="EZ12" s="9"/>
      <c r="FA12" s="9"/>
      <c r="FB12" s="9"/>
      <c r="FF12" s="9"/>
      <c r="FG12" s="9"/>
      <c r="FH12" s="9"/>
      <c r="FI12" s="9"/>
      <c r="FM12" s="9"/>
      <c r="FN12" s="9"/>
      <c r="FO12" s="9"/>
      <c r="FP12" s="9"/>
      <c r="FT12" s="9"/>
      <c r="FU12" s="9"/>
      <c r="FV12" s="9"/>
      <c r="FW12" s="9"/>
      <c r="GA12" s="9"/>
      <c r="GB12" s="9"/>
      <c r="GC12" s="9"/>
      <c r="GD12" s="9"/>
      <c r="GH12" s="9"/>
      <c r="GI12" s="9"/>
      <c r="GJ12" s="9"/>
      <c r="GK12" s="9"/>
      <c r="GO12" s="9"/>
      <c r="GP12" s="9"/>
      <c r="GQ12" s="9"/>
      <c r="GR12" s="9"/>
    </row>
    <row r="13" spans="2:201" outlineLevel="1">
      <c r="B13" t="s">
        <v>28</v>
      </c>
      <c r="C13" t="s">
        <v>50</v>
      </c>
      <c r="E13" s="8"/>
      <c r="F13" t="s">
        <v>146</v>
      </c>
      <c r="G13" s="9">
        <v>0.05</v>
      </c>
      <c r="I13" s="8">
        <f>+SUMIF($N$3:$XJ$3,I$3,$N13:$XJ13)</f>
        <v>0</v>
      </c>
      <c r="J13" s="10" cm="1">
        <f t="array" ref="J13">MAX(IF($M$3:$GS$3=$J$3,M13:GS13))</f>
        <v>0</v>
      </c>
      <c r="K13" s="10" cm="1">
        <f t="array" ref="K13">MAX(IF($M$3:$GS$3=$K$3,M13:GS13))</f>
        <v>0</v>
      </c>
      <c r="L13" s="8"/>
      <c r="O13" s="9"/>
      <c r="P13" s="9"/>
      <c r="Q13" s="9"/>
      <c r="R13" s="9"/>
      <c r="V13" s="9"/>
      <c r="W13" s="9"/>
      <c r="X13" s="9"/>
      <c r="Y13" s="9"/>
      <c r="AC13" s="9"/>
      <c r="AD13" s="9"/>
      <c r="AE13" s="9"/>
      <c r="AF13" s="9"/>
      <c r="AJ13" s="9"/>
      <c r="AK13" s="9">
        <v>0.5</v>
      </c>
      <c r="AL13" s="9"/>
      <c r="AM13" s="9">
        <v>0.5</v>
      </c>
      <c r="AQ13" s="9"/>
      <c r="AR13" s="9">
        <v>0.5</v>
      </c>
      <c r="AS13" s="9"/>
      <c r="AT13" s="9">
        <v>0.5</v>
      </c>
      <c r="AX13" s="9"/>
      <c r="AY13" s="9">
        <v>0.5</v>
      </c>
      <c r="AZ13" s="9"/>
      <c r="BA13" s="9">
        <v>0.5</v>
      </c>
      <c r="BE13" s="9"/>
      <c r="BF13" s="9">
        <v>0.5</v>
      </c>
      <c r="BG13" s="9"/>
      <c r="BH13" s="9">
        <v>0.5</v>
      </c>
      <c r="BL13" s="9"/>
      <c r="BM13" s="9">
        <v>0.8</v>
      </c>
      <c r="BN13" s="9"/>
      <c r="BO13" s="9">
        <v>0.8</v>
      </c>
      <c r="BS13" s="9"/>
      <c r="BT13" s="9">
        <v>0.8</v>
      </c>
      <c r="BU13" s="9"/>
      <c r="BV13" s="9">
        <v>0.8</v>
      </c>
      <c r="BZ13" s="9"/>
      <c r="CA13" s="9">
        <v>0.8</v>
      </c>
      <c r="CB13" s="9"/>
      <c r="CC13" s="9">
        <v>0.8</v>
      </c>
      <c r="CG13" s="9"/>
      <c r="CH13" s="9">
        <v>1</v>
      </c>
      <c r="CI13" s="9"/>
      <c r="CJ13" s="9">
        <v>1</v>
      </c>
      <c r="CN13" s="9"/>
      <c r="CO13" s="9"/>
      <c r="CP13" s="9"/>
      <c r="CQ13" s="9"/>
      <c r="CU13" s="9"/>
      <c r="CV13" s="9"/>
      <c r="CW13" s="9"/>
      <c r="CX13" s="9"/>
      <c r="DB13" s="9"/>
      <c r="DC13" s="9"/>
      <c r="DD13" s="9"/>
      <c r="DE13" s="9"/>
      <c r="DI13" s="9"/>
      <c r="DJ13" s="9"/>
      <c r="DK13" s="9"/>
      <c r="DL13" s="9"/>
      <c r="DP13" s="9"/>
      <c r="DQ13" s="9"/>
      <c r="DR13" s="9"/>
      <c r="DS13" s="9"/>
      <c r="DW13" s="9"/>
      <c r="DX13" s="9"/>
      <c r="DY13" s="9"/>
      <c r="DZ13" s="9"/>
      <c r="ED13" s="9"/>
      <c r="EE13" s="9"/>
      <c r="EF13" s="9"/>
      <c r="EG13" s="9"/>
      <c r="EK13" s="9"/>
      <c r="EL13" s="9"/>
      <c r="EM13" s="9"/>
      <c r="EN13" s="9"/>
      <c r="ER13" s="9"/>
      <c r="ES13" s="9"/>
      <c r="ET13" s="9"/>
      <c r="EU13" s="9"/>
      <c r="EY13" s="9"/>
      <c r="EZ13" s="9"/>
      <c r="FA13" s="9"/>
      <c r="FB13" s="9"/>
      <c r="FF13" s="9"/>
      <c r="FG13" s="9"/>
      <c r="FH13" s="9"/>
      <c r="FI13" s="9"/>
      <c r="FM13" s="9"/>
      <c r="FN13" s="9"/>
      <c r="FO13" s="9"/>
      <c r="FP13" s="9"/>
      <c r="FT13" s="9"/>
      <c r="FU13" s="9"/>
      <c r="FV13" s="9"/>
      <c r="FW13" s="9"/>
      <c r="GA13" s="9"/>
      <c r="GB13" s="9"/>
      <c r="GC13" s="9"/>
      <c r="GD13" s="9"/>
      <c r="GH13" s="9"/>
      <c r="GI13" s="9"/>
      <c r="GJ13" s="9"/>
      <c r="GK13" s="9"/>
      <c r="GO13" s="9"/>
      <c r="GP13" s="9"/>
      <c r="GQ13" s="9"/>
      <c r="GR13" s="9"/>
    </row>
    <row r="14" spans="2:201" outlineLevel="1">
      <c r="B14" t="s">
        <v>28</v>
      </c>
      <c r="C14" t="s">
        <v>50</v>
      </c>
      <c r="E14" s="8"/>
      <c r="F14" t="s">
        <v>147</v>
      </c>
      <c r="G14" s="9">
        <v>0.05</v>
      </c>
      <c r="I14" s="8">
        <f>+SUMIF($N$3:$XJ$3,I$3,$N14:$XJ14)</f>
        <v>0</v>
      </c>
      <c r="J14" s="10" cm="1">
        <f t="array" ref="J14">MAX(IF($M$3:$GS$3=$J$3,M14:GS14))</f>
        <v>0</v>
      </c>
      <c r="K14" s="10" cm="1">
        <f t="array" ref="K14">MAX(IF($M$3:$GS$3=$K$3,M14:GS14))</f>
        <v>0</v>
      </c>
      <c r="L14" s="8"/>
      <c r="O14" s="9"/>
      <c r="P14" s="9"/>
      <c r="Q14" s="9"/>
      <c r="R14" s="9"/>
      <c r="V14" s="9"/>
      <c r="W14" s="9"/>
      <c r="X14" s="9"/>
      <c r="Y14" s="9"/>
      <c r="AC14" s="9"/>
      <c r="AD14" s="9"/>
      <c r="AE14" s="9"/>
      <c r="AF14" s="9"/>
      <c r="AJ14" s="9"/>
      <c r="AK14" s="9"/>
      <c r="AL14" s="9"/>
      <c r="AM14" s="9"/>
      <c r="AQ14" s="9"/>
      <c r="AR14" s="9">
        <v>0.5</v>
      </c>
      <c r="AS14" s="9"/>
      <c r="AT14" s="9">
        <v>0.5</v>
      </c>
      <c r="AX14" s="9"/>
      <c r="AY14" s="9">
        <v>0.5</v>
      </c>
      <c r="AZ14" s="9"/>
      <c r="BA14" s="9">
        <v>0.5</v>
      </c>
      <c r="BE14" s="9"/>
      <c r="BF14" s="9">
        <v>0.5</v>
      </c>
      <c r="BG14" s="9"/>
      <c r="BH14" s="9">
        <v>0.5</v>
      </c>
      <c r="BL14" s="9"/>
      <c r="BM14" s="9">
        <v>0.8</v>
      </c>
      <c r="BN14" s="9"/>
      <c r="BO14" s="9">
        <v>0.8</v>
      </c>
      <c r="BS14" s="9"/>
      <c r="BT14" s="9">
        <v>0.8</v>
      </c>
      <c r="BU14" s="9"/>
      <c r="BV14" s="9">
        <v>0.8</v>
      </c>
      <c r="BZ14" s="9"/>
      <c r="CA14" s="9">
        <v>0.8</v>
      </c>
      <c r="CB14" s="9"/>
      <c r="CC14" s="9">
        <v>0.8</v>
      </c>
      <c r="CG14" s="9"/>
      <c r="CH14" s="9">
        <v>1</v>
      </c>
      <c r="CI14" s="9"/>
      <c r="CJ14" s="9">
        <v>1</v>
      </c>
      <c r="CN14" s="9"/>
      <c r="CO14" s="9"/>
      <c r="CP14" s="9"/>
      <c r="CQ14" s="9"/>
      <c r="CU14" s="9"/>
      <c r="CV14" s="9"/>
      <c r="CW14" s="9"/>
      <c r="CX14" s="9"/>
      <c r="DB14" s="9"/>
      <c r="DC14" s="9"/>
      <c r="DD14" s="9"/>
      <c r="DE14" s="9"/>
      <c r="DI14" s="9"/>
      <c r="DJ14" s="9"/>
      <c r="DK14" s="9"/>
      <c r="DL14" s="9"/>
      <c r="DP14" s="9"/>
      <c r="DQ14" s="9"/>
      <c r="DR14" s="9"/>
      <c r="DS14" s="9"/>
      <c r="DW14" s="9"/>
      <c r="DX14" s="9"/>
      <c r="DY14" s="9"/>
      <c r="DZ14" s="9"/>
      <c r="ED14" s="9"/>
      <c r="EE14" s="9"/>
      <c r="EF14" s="9"/>
      <c r="EG14" s="9"/>
      <c r="EK14" s="9"/>
      <c r="EL14" s="9"/>
      <c r="EM14" s="9"/>
      <c r="EN14" s="9"/>
      <c r="ER14" s="9"/>
      <c r="ES14" s="9"/>
      <c r="ET14" s="9"/>
      <c r="EU14" s="9"/>
      <c r="EY14" s="9"/>
      <c r="EZ14" s="9"/>
      <c r="FA14" s="9"/>
      <c r="FB14" s="9"/>
      <c r="FF14" s="9"/>
      <c r="FG14" s="9"/>
      <c r="FH14" s="9"/>
      <c r="FI14" s="9"/>
      <c r="FM14" s="9"/>
      <c r="FN14" s="9"/>
      <c r="FO14" s="9"/>
      <c r="FP14" s="9"/>
      <c r="FT14" s="9"/>
      <c r="FU14" s="9"/>
      <c r="FV14" s="9"/>
      <c r="FW14" s="9"/>
      <c r="GA14" s="9"/>
      <c r="GB14" s="9"/>
      <c r="GC14" s="9"/>
      <c r="GD14" s="9"/>
      <c r="GH14" s="9"/>
      <c r="GI14" s="9"/>
      <c r="GJ14" s="9"/>
      <c r="GK14" s="9"/>
      <c r="GO14" s="9"/>
      <c r="GP14" s="9"/>
      <c r="GQ14" s="9"/>
      <c r="GR14" s="9"/>
    </row>
    <row r="16" spans="2:201">
      <c r="B16" t="s">
        <v>27</v>
      </c>
      <c r="C16" t="s">
        <v>125</v>
      </c>
      <c r="D16" s="26">
        <v>45857</v>
      </c>
      <c r="E16" s="8">
        <v>6</v>
      </c>
      <c r="G16" s="9">
        <f>+SUM(G17:G27)</f>
        <v>0.99999999999999989</v>
      </c>
      <c r="I16" s="11">
        <f>+SUM(I17:I27)</f>
        <v>24</v>
      </c>
      <c r="J16" s="10">
        <f>+SUMPRODUCT(G17:G27,J17:J27)</f>
        <v>0.27499999999999997</v>
      </c>
      <c r="K16" s="10">
        <f>12.5%*K17+12.5%*K18+12.5%*K19+12.5%*K21+12.5%*K22+12.5%*K24+12.5%*K25+12.5%*K26</f>
        <v>0.21249999999999999</v>
      </c>
      <c r="L16" s="8"/>
      <c r="N16" s="11">
        <f>+SUM(N17:N27)</f>
        <v>6</v>
      </c>
      <c r="U16" s="11">
        <f>+SUM(U17:U27)</f>
        <v>9.5</v>
      </c>
      <c r="AB16" s="11">
        <f>+SUM(AB17:AB27)</f>
        <v>4</v>
      </c>
      <c r="AI16" s="11">
        <f>+SUM(AI17:AI27)</f>
        <v>4.5</v>
      </c>
      <c r="AP16" s="11">
        <f>+SUM(AP17:AP27)</f>
        <v>0</v>
      </c>
      <c r="AW16" s="11">
        <f>+SUM(AW17:AW27)</f>
        <v>0</v>
      </c>
      <c r="BD16" s="11">
        <f>+SUM(BD17:BD27)</f>
        <v>0</v>
      </c>
      <c r="BK16" s="11">
        <f>+SUM(BK17:BK27)</f>
        <v>0</v>
      </c>
      <c r="BR16" s="11">
        <f>+SUM(BR17:BR27)</f>
        <v>0</v>
      </c>
      <c r="BY16" s="11">
        <f>+SUM(BY17:BY27)</f>
        <v>0</v>
      </c>
      <c r="CF16" s="11">
        <f>+SUM(CF17:CF27)</f>
        <v>0</v>
      </c>
      <c r="CM16" s="11">
        <f>+SUM(CM17:CM27)</f>
        <v>0</v>
      </c>
      <c r="CT16" s="11">
        <f>+SUM(CT17:CT27)</f>
        <v>0</v>
      </c>
      <c r="DA16" s="11">
        <f>+SUM(DA17:DA27)</f>
        <v>0</v>
      </c>
      <c r="DH16" s="11">
        <f>+SUM(DH17:DH27)</f>
        <v>0</v>
      </c>
      <c r="DO16" s="11">
        <f>+SUM(DO17:DO27)</f>
        <v>0</v>
      </c>
      <c r="DV16" s="11">
        <f>+SUM(DV17:DV27)</f>
        <v>0</v>
      </c>
      <c r="EC16" s="11">
        <f>+SUM(EC17:EC27)</f>
        <v>0</v>
      </c>
      <c r="EJ16" s="11">
        <f>+SUM(EJ17:EJ27)</f>
        <v>0</v>
      </c>
      <c r="EQ16" s="11">
        <f>+SUM(EQ17:EQ27)</f>
        <v>0</v>
      </c>
      <c r="EX16" s="11">
        <f>+SUM(EX17:EX27)</f>
        <v>0</v>
      </c>
      <c r="FE16" s="11">
        <f>+SUM(FE17:FE27)</f>
        <v>0</v>
      </c>
      <c r="FL16" s="11">
        <f>+SUM(FL17:FL27)</f>
        <v>0</v>
      </c>
      <c r="FS16" s="11">
        <f>+SUM(FS17:FS27)</f>
        <v>0</v>
      </c>
      <c r="FZ16" s="11">
        <f>+SUM(FZ17:FZ27)</f>
        <v>0</v>
      </c>
      <c r="GG16" s="11">
        <f>+SUM(GG17:GG27)</f>
        <v>0</v>
      </c>
      <c r="GN16" s="11">
        <f>+SUM(GN17:GN27)</f>
        <v>0</v>
      </c>
    </row>
    <row r="17" spans="2:200" outlineLevel="1">
      <c r="B17" t="s">
        <v>28</v>
      </c>
      <c r="C17" t="s">
        <v>125</v>
      </c>
      <c r="E17" s="8"/>
      <c r="F17" t="s">
        <v>52</v>
      </c>
      <c r="G17" s="9">
        <v>0.05</v>
      </c>
      <c r="I17" s="8">
        <f>+SUMIF($N$3:$XJ$3,I$3,$N17:$XJ17)</f>
        <v>5.5</v>
      </c>
      <c r="J17" s="10" cm="1">
        <f t="array" ref="J17">MAX(IF($N$3:$GS$3=$J$3,N17:GS17))</f>
        <v>0.5</v>
      </c>
      <c r="K17" s="10" cm="1">
        <f t="array" ref="K17">MAX(IF($N$3:$GS$3=$K$3,N17:GS17))</f>
        <v>0.5</v>
      </c>
      <c r="L17" s="8"/>
      <c r="N17">
        <v>4</v>
      </c>
      <c r="O17" s="9">
        <v>0.5</v>
      </c>
      <c r="P17" s="9">
        <v>0.5</v>
      </c>
      <c r="Q17" s="9">
        <v>0.5</v>
      </c>
      <c r="R17" s="9">
        <v>0.5</v>
      </c>
      <c r="V17" s="9">
        <v>0.5</v>
      </c>
      <c r="W17" s="9">
        <v>0.5</v>
      </c>
      <c r="X17" s="9">
        <v>0.5</v>
      </c>
      <c r="Y17" s="9">
        <v>0.5</v>
      </c>
      <c r="AC17" s="9">
        <v>0.5</v>
      </c>
      <c r="AD17" s="9">
        <v>0.8</v>
      </c>
      <c r="AE17" s="9">
        <v>0.5</v>
      </c>
      <c r="AF17" s="9">
        <v>0.8</v>
      </c>
      <c r="AI17">
        <v>1.5</v>
      </c>
      <c r="AJ17" s="9">
        <v>0.5</v>
      </c>
      <c r="AK17" s="9">
        <v>0.8</v>
      </c>
      <c r="AL17" s="9">
        <v>0.5</v>
      </c>
      <c r="AM17" s="9">
        <v>0.8</v>
      </c>
      <c r="AQ17" s="9"/>
      <c r="AR17" s="9">
        <v>0.8</v>
      </c>
      <c r="AS17" s="9"/>
      <c r="AT17" s="9">
        <v>0.8</v>
      </c>
      <c r="AX17" s="9"/>
      <c r="AY17" s="9">
        <v>0.8</v>
      </c>
      <c r="AZ17" s="9"/>
      <c r="BA17" s="9">
        <v>0.8</v>
      </c>
      <c r="BE17" s="9"/>
      <c r="BF17" s="9">
        <v>1</v>
      </c>
      <c r="BG17" s="9"/>
      <c r="BH17" s="9">
        <v>1</v>
      </c>
      <c r="BL17" s="9"/>
      <c r="BM17" s="9">
        <v>1</v>
      </c>
      <c r="BN17" s="9"/>
      <c r="BO17" s="9">
        <v>1</v>
      </c>
      <c r="BS17" s="9"/>
      <c r="BT17" s="9">
        <v>1</v>
      </c>
      <c r="BU17" s="9"/>
      <c r="BV17" s="9">
        <v>1</v>
      </c>
      <c r="BZ17" s="9"/>
      <c r="CA17" s="9">
        <v>1</v>
      </c>
      <c r="CB17" s="9"/>
      <c r="CC17" s="9">
        <v>1</v>
      </c>
      <c r="CG17" s="56" t="s">
        <v>152</v>
      </c>
      <c r="CH17" s="56"/>
      <c r="CI17" s="56"/>
      <c r="CJ17" s="56"/>
      <c r="CN17" s="56" t="s">
        <v>152</v>
      </c>
      <c r="CO17" s="56"/>
      <c r="CP17" s="56"/>
      <c r="CQ17" s="56"/>
      <c r="CU17" s="9"/>
      <c r="CV17" s="9"/>
      <c r="CW17" s="9"/>
      <c r="CX17" s="9"/>
      <c r="CY17" s="55" t="s">
        <v>197</v>
      </c>
      <c r="DB17" s="9"/>
      <c r="DC17" s="9"/>
      <c r="DD17" s="9"/>
      <c r="DE17" s="9"/>
      <c r="DI17" s="9"/>
      <c r="DJ17" s="9"/>
      <c r="DK17" s="9"/>
      <c r="DL17" s="9"/>
      <c r="DP17" s="9"/>
      <c r="DQ17" s="9"/>
      <c r="DR17" s="9"/>
      <c r="DS17" s="9"/>
      <c r="DW17" s="9"/>
      <c r="DX17" s="9"/>
      <c r="DY17" s="9"/>
      <c r="DZ17" s="9"/>
      <c r="ED17" s="9"/>
      <c r="EE17" s="9"/>
      <c r="EF17" s="9"/>
      <c r="EG17" s="9"/>
      <c r="EK17" s="9"/>
      <c r="EL17" s="9"/>
      <c r="EM17" s="9"/>
      <c r="EN17" s="9"/>
      <c r="ER17" s="9"/>
      <c r="ES17" s="9"/>
      <c r="ET17" s="9"/>
      <c r="EU17" s="9"/>
      <c r="EY17" s="9"/>
      <c r="EZ17" s="9"/>
      <c r="FA17" s="9"/>
      <c r="FB17" s="9"/>
      <c r="FF17" s="9"/>
      <c r="FG17" s="9"/>
      <c r="FH17" s="9"/>
      <c r="FI17" s="9"/>
      <c r="FM17" s="9"/>
      <c r="FN17" s="9"/>
      <c r="FO17" s="9"/>
      <c r="FP17" s="9"/>
      <c r="FT17" s="9"/>
      <c r="FU17" s="9"/>
      <c r="FV17" s="9"/>
      <c r="FW17" s="9"/>
      <c r="GA17" s="9"/>
      <c r="GB17" s="9"/>
      <c r="GC17" s="9"/>
      <c r="GD17" s="9"/>
      <c r="GH17" s="9"/>
      <c r="GI17" s="9"/>
      <c r="GJ17" s="9"/>
      <c r="GK17" s="9"/>
      <c r="GO17" s="9"/>
      <c r="GP17" s="9"/>
      <c r="GQ17" s="9"/>
      <c r="GR17" s="9"/>
    </row>
    <row r="18" spans="2:200" outlineLevel="1">
      <c r="B18" t="s">
        <v>28</v>
      </c>
      <c r="C18" t="s">
        <v>125</v>
      </c>
      <c r="E18" s="8"/>
      <c r="F18" t="s">
        <v>53</v>
      </c>
      <c r="G18" s="9">
        <v>0.1</v>
      </c>
      <c r="I18" s="8">
        <f>+SUMIF($N$3:$XJ$3,I$3,$N18:$XJ18)</f>
        <v>4</v>
      </c>
      <c r="J18" s="10" cm="1">
        <f t="array" ref="J18">MAX(IF($N$3:$GS$3=$J$3,N18:GS18))</f>
        <v>0.5</v>
      </c>
      <c r="K18" s="10" cm="1">
        <f t="array" ref="K18">MAX(IF($N$3:$GS$3=$K$3,N18:GS18))</f>
        <v>0.5</v>
      </c>
      <c r="L18" s="8"/>
      <c r="N18">
        <v>2</v>
      </c>
      <c r="O18" s="9"/>
      <c r="P18" s="9">
        <v>0.5</v>
      </c>
      <c r="Q18" s="9"/>
      <c r="R18" s="9">
        <v>0.5</v>
      </c>
      <c r="U18">
        <v>2</v>
      </c>
      <c r="V18" s="9">
        <v>0.5</v>
      </c>
      <c r="W18" s="9">
        <v>0.5</v>
      </c>
      <c r="X18" s="9">
        <v>0.5</v>
      </c>
      <c r="Y18" s="9">
        <v>0.5</v>
      </c>
      <c r="AC18" s="9">
        <v>0.5</v>
      </c>
      <c r="AD18" s="9">
        <v>0.8</v>
      </c>
      <c r="AE18" s="9">
        <v>0.5</v>
      </c>
      <c r="AF18" s="9">
        <v>0.8</v>
      </c>
      <c r="AJ18" s="9">
        <v>0.5</v>
      </c>
      <c r="AK18" s="9">
        <v>0.8</v>
      </c>
      <c r="AL18" s="9">
        <v>0.5</v>
      </c>
      <c r="AM18" s="9">
        <v>0.8</v>
      </c>
      <c r="AQ18" s="9"/>
      <c r="AR18" s="9">
        <v>0.8</v>
      </c>
      <c r="AS18" s="9"/>
      <c r="AT18" s="9">
        <v>0.8</v>
      </c>
      <c r="AX18" s="9"/>
      <c r="AY18" s="9">
        <v>0.8</v>
      </c>
      <c r="AZ18" s="9"/>
      <c r="BA18" s="9">
        <v>0.8</v>
      </c>
      <c r="BE18" s="9"/>
      <c r="BF18" s="9">
        <v>1</v>
      </c>
      <c r="BG18" s="9"/>
      <c r="BH18" s="9">
        <v>1</v>
      </c>
      <c r="BL18" s="9"/>
      <c r="BM18" s="9">
        <v>1</v>
      </c>
      <c r="BN18" s="9"/>
      <c r="BO18" s="9">
        <v>1</v>
      </c>
      <c r="BS18" s="9"/>
      <c r="BT18" s="9">
        <v>1</v>
      </c>
      <c r="BU18" s="9"/>
      <c r="BV18" s="9">
        <v>1</v>
      </c>
      <c r="BZ18" s="9"/>
      <c r="CA18" s="9">
        <v>1</v>
      </c>
      <c r="CB18" s="9"/>
      <c r="CC18" s="9">
        <v>1</v>
      </c>
      <c r="CG18" s="9"/>
      <c r="CH18" s="9"/>
      <c r="CI18" s="9"/>
      <c r="CJ18" s="9"/>
      <c r="CN18" s="9"/>
      <c r="CO18" s="9"/>
      <c r="CP18" s="9"/>
      <c r="CQ18" s="9"/>
      <c r="CU18" s="9"/>
      <c r="CV18" s="9"/>
      <c r="CW18" s="9"/>
      <c r="CX18" s="9"/>
      <c r="CY18" s="55"/>
      <c r="DB18" s="9"/>
      <c r="DC18" s="9"/>
      <c r="DD18" s="9"/>
      <c r="DE18" s="9"/>
      <c r="DI18" s="9"/>
      <c r="DJ18" s="9"/>
      <c r="DK18" s="9"/>
      <c r="DL18" s="9"/>
      <c r="DP18" s="9"/>
      <c r="DQ18" s="9"/>
      <c r="DR18" s="9"/>
      <c r="DS18" s="9"/>
      <c r="DW18" s="9"/>
      <c r="DX18" s="9"/>
      <c r="DY18" s="9"/>
      <c r="DZ18" s="9"/>
      <c r="ED18" s="9"/>
      <c r="EE18" s="9"/>
      <c r="EF18" s="9"/>
      <c r="EG18" s="9"/>
      <c r="EK18" s="9"/>
      <c r="EL18" s="9"/>
      <c r="EM18" s="9"/>
      <c r="EN18" s="9"/>
      <c r="ER18" s="9"/>
      <c r="ES18" s="9"/>
      <c r="ET18" s="9"/>
      <c r="EU18" s="9"/>
      <c r="EY18" s="9"/>
      <c r="EZ18" s="9"/>
      <c r="FA18" s="9"/>
      <c r="FB18" s="9"/>
      <c r="FF18" s="9"/>
      <c r="FG18" s="9"/>
      <c r="FH18" s="9"/>
      <c r="FI18" s="9"/>
      <c r="FM18" s="9"/>
      <c r="FN18" s="9"/>
      <c r="FO18" s="9"/>
      <c r="FP18" s="9"/>
      <c r="FT18" s="9"/>
      <c r="FU18" s="9"/>
      <c r="FV18" s="9"/>
      <c r="FW18" s="9"/>
      <c r="GA18" s="9"/>
      <c r="GB18" s="9"/>
      <c r="GC18" s="9"/>
      <c r="GD18" s="9"/>
      <c r="GH18" s="9"/>
      <c r="GI18" s="9"/>
      <c r="GJ18" s="9"/>
      <c r="GK18" s="9"/>
      <c r="GO18" s="9"/>
      <c r="GP18" s="9"/>
      <c r="GQ18" s="9"/>
      <c r="GR18" s="9"/>
    </row>
    <row r="19" spans="2:200" outlineLevel="1">
      <c r="B19" t="s">
        <v>28</v>
      </c>
      <c r="C19" t="s">
        <v>125</v>
      </c>
      <c r="E19" s="8"/>
      <c r="F19" t="s">
        <v>54</v>
      </c>
      <c r="G19" s="9">
        <v>0.1</v>
      </c>
      <c r="I19" s="8">
        <f>+SUMIF($N$3:$XJ$3,I$3,$N19:$XJ19)</f>
        <v>4.5</v>
      </c>
      <c r="J19" s="10" cm="1">
        <f t="array" ref="J19">MAX(IF($N$3:$GS$3=$J$3,N19:GS19))</f>
        <v>0.5</v>
      </c>
      <c r="K19" s="72" cm="1">
        <f t="array" ref="K19">MAX(IF($N$3:$GS$3=$K$3,N19:GS19))</f>
        <v>0.5</v>
      </c>
      <c r="L19" s="8"/>
      <c r="O19" s="9"/>
      <c r="P19" s="9">
        <v>0.5</v>
      </c>
      <c r="Q19" s="9"/>
      <c r="R19" s="9">
        <v>0.5</v>
      </c>
      <c r="U19">
        <v>4.5</v>
      </c>
      <c r="V19" s="9">
        <v>0.5</v>
      </c>
      <c r="W19" s="9">
        <v>0.5</v>
      </c>
      <c r="X19" s="9">
        <v>0.5</v>
      </c>
      <c r="Y19" s="9">
        <v>0.5</v>
      </c>
      <c r="AC19" s="9">
        <v>0.5</v>
      </c>
      <c r="AD19" s="9">
        <v>0.5</v>
      </c>
      <c r="AE19" s="9">
        <v>0.5</v>
      </c>
      <c r="AF19" s="9">
        <v>0.5</v>
      </c>
      <c r="AJ19" s="9">
        <v>0.5</v>
      </c>
      <c r="AK19" s="9">
        <v>0.8</v>
      </c>
      <c r="AL19" s="73">
        <v>0.5</v>
      </c>
      <c r="AM19" s="73">
        <v>0.8</v>
      </c>
      <c r="AQ19" s="9"/>
      <c r="AR19" s="9">
        <v>0.8</v>
      </c>
      <c r="AS19" s="9"/>
      <c r="AT19" s="9">
        <v>0.8</v>
      </c>
      <c r="AX19" s="9"/>
      <c r="AY19" s="9">
        <v>0.8</v>
      </c>
      <c r="AZ19" s="9"/>
      <c r="BA19" s="9">
        <v>0.8</v>
      </c>
      <c r="BE19" s="9"/>
      <c r="BF19" s="9">
        <v>0.8</v>
      </c>
      <c r="BG19" s="9"/>
      <c r="BH19" s="9">
        <v>0.8</v>
      </c>
      <c r="BL19" s="9"/>
      <c r="BM19" s="9">
        <v>1</v>
      </c>
      <c r="BN19" s="9"/>
      <c r="BO19" s="9">
        <v>1</v>
      </c>
      <c r="BS19" s="9"/>
      <c r="BT19" s="9">
        <v>1</v>
      </c>
      <c r="BU19" s="9"/>
      <c r="BV19" s="9">
        <v>1</v>
      </c>
      <c r="BZ19" s="9"/>
      <c r="CA19" s="9">
        <v>1</v>
      </c>
      <c r="CB19" s="9"/>
      <c r="CC19" s="9">
        <v>1</v>
      </c>
      <c r="CG19" s="9"/>
      <c r="CH19" s="9"/>
      <c r="CI19" s="9"/>
      <c r="CJ19" s="9"/>
      <c r="CN19" s="9"/>
      <c r="CO19" s="9"/>
      <c r="CP19" s="9"/>
      <c r="CQ19" s="9"/>
      <c r="CU19" s="9"/>
      <c r="CV19" s="9"/>
      <c r="CW19" s="9"/>
      <c r="CX19" s="9"/>
      <c r="CY19" s="55"/>
      <c r="DB19" s="9"/>
      <c r="DC19" s="9"/>
      <c r="DD19" s="9"/>
      <c r="DE19" s="9"/>
      <c r="DI19" s="9"/>
      <c r="DJ19" s="9"/>
      <c r="DK19" s="9"/>
      <c r="DL19" s="9"/>
      <c r="DP19" s="9"/>
      <c r="DQ19" s="9"/>
      <c r="DR19" s="9"/>
      <c r="DS19" s="9"/>
      <c r="DW19" s="9"/>
      <c r="DX19" s="9"/>
      <c r="DY19" s="9"/>
      <c r="DZ19" s="9"/>
      <c r="ED19" s="9"/>
      <c r="EE19" s="9"/>
      <c r="EF19" s="9"/>
      <c r="EG19" s="9"/>
      <c r="EK19" s="9"/>
      <c r="EL19" s="9"/>
      <c r="EM19" s="9"/>
      <c r="EN19" s="9"/>
      <c r="ER19" s="9"/>
      <c r="ES19" s="9"/>
      <c r="ET19" s="9"/>
      <c r="EU19" s="9"/>
      <c r="EY19" s="9"/>
      <c r="EZ19" s="9"/>
      <c r="FA19" s="9"/>
      <c r="FB19" s="9"/>
      <c r="FF19" s="9"/>
      <c r="FG19" s="9"/>
      <c r="FH19" s="9"/>
      <c r="FI19" s="9"/>
      <c r="FM19" s="9"/>
      <c r="FN19" s="9"/>
      <c r="FO19" s="9"/>
      <c r="FP19" s="9"/>
      <c r="FT19" s="9"/>
      <c r="FU19" s="9"/>
      <c r="FV19" s="9"/>
      <c r="FW19" s="9"/>
      <c r="GA19" s="9"/>
      <c r="GB19" s="9"/>
      <c r="GC19" s="9"/>
      <c r="GD19" s="9"/>
      <c r="GH19" s="9"/>
      <c r="GI19" s="9"/>
      <c r="GJ19" s="9"/>
      <c r="GK19" s="9"/>
      <c r="GO19" s="9"/>
      <c r="GP19" s="9"/>
      <c r="GQ19" s="9"/>
      <c r="GR19" s="9"/>
    </row>
    <row r="20" spans="2:200" outlineLevel="1">
      <c r="B20" t="s">
        <v>28</v>
      </c>
      <c r="C20" t="s">
        <v>125</v>
      </c>
      <c r="E20" s="8"/>
      <c r="F20" t="s">
        <v>55</v>
      </c>
      <c r="G20" s="9">
        <v>0.1</v>
      </c>
      <c r="I20" s="8">
        <f>+SUMIF($N$3:$XJ$3,I$3,$N20:$XJ20)</f>
        <v>2</v>
      </c>
      <c r="J20" s="10" cm="1">
        <f t="array" ref="J20">MAX(IF($N$3:$GS$3=$J$3,N20:GS20))</f>
        <v>0.5</v>
      </c>
      <c r="K20" s="72"/>
      <c r="L20" s="8"/>
      <c r="O20" s="9"/>
      <c r="P20" s="9"/>
      <c r="Q20" s="9"/>
      <c r="R20" s="9"/>
      <c r="U20">
        <v>1</v>
      </c>
      <c r="V20" s="9">
        <v>0.5</v>
      </c>
      <c r="W20" s="9">
        <v>0.5</v>
      </c>
      <c r="X20" s="9"/>
      <c r="Y20" s="9">
        <v>0.5</v>
      </c>
      <c r="AB20">
        <v>1</v>
      </c>
      <c r="AC20" s="9">
        <v>0.5</v>
      </c>
      <c r="AD20" s="9">
        <v>0.5</v>
      </c>
      <c r="AE20" s="9">
        <v>0.5</v>
      </c>
      <c r="AF20" s="9">
        <v>0.5</v>
      </c>
      <c r="AJ20" s="9">
        <v>0.5</v>
      </c>
      <c r="AK20" s="9">
        <v>0.5</v>
      </c>
      <c r="AL20" s="73"/>
      <c r="AM20" s="73"/>
      <c r="AQ20" s="9"/>
      <c r="AR20" s="9">
        <v>0.8</v>
      </c>
      <c r="AS20" s="9"/>
      <c r="AT20" s="9">
        <v>0.8</v>
      </c>
      <c r="AX20" s="9"/>
      <c r="AY20" s="9">
        <v>0.8</v>
      </c>
      <c r="AZ20" s="9"/>
      <c r="BA20" s="9">
        <v>0.8</v>
      </c>
      <c r="BE20" s="9"/>
      <c r="BF20" s="9">
        <v>0.8</v>
      </c>
      <c r="BG20" s="9"/>
      <c r="BH20" s="9">
        <v>0.8</v>
      </c>
      <c r="BL20" s="9"/>
      <c r="BM20" s="9">
        <v>1</v>
      </c>
      <c r="BN20" s="9"/>
      <c r="BO20" s="9">
        <v>1</v>
      </c>
      <c r="BS20" s="9"/>
      <c r="BT20" s="9">
        <v>1</v>
      </c>
      <c r="BU20" s="9"/>
      <c r="BV20" s="9">
        <v>1</v>
      </c>
      <c r="BZ20" s="9"/>
      <c r="CA20" s="9">
        <v>1</v>
      </c>
      <c r="CB20" s="9"/>
      <c r="CC20" s="9">
        <v>1</v>
      </c>
      <c r="CG20" s="9"/>
      <c r="CH20" s="9"/>
      <c r="CI20" s="9"/>
      <c r="CJ20" s="9"/>
      <c r="CN20" s="9"/>
      <c r="CO20" s="9"/>
      <c r="CP20" s="9"/>
      <c r="CQ20" s="9"/>
      <c r="CU20" s="9"/>
      <c r="CV20" s="9"/>
      <c r="CW20" s="9"/>
      <c r="CX20" s="9"/>
      <c r="CY20" s="55"/>
      <c r="DB20" s="9"/>
      <c r="DC20" s="9"/>
      <c r="DD20" s="9"/>
      <c r="DE20" s="9"/>
      <c r="DI20" s="9"/>
      <c r="DJ20" s="9"/>
      <c r="DK20" s="9"/>
      <c r="DL20" s="9"/>
      <c r="DP20" s="9"/>
      <c r="DQ20" s="9"/>
      <c r="DR20" s="9"/>
      <c r="DS20" s="9"/>
      <c r="DW20" s="9"/>
      <c r="DX20" s="9"/>
      <c r="DY20" s="9"/>
      <c r="DZ20" s="9"/>
      <c r="ED20" s="9"/>
      <c r="EE20" s="9"/>
      <c r="EF20" s="9"/>
      <c r="EG20" s="9"/>
      <c r="EK20" s="9"/>
      <c r="EL20" s="9"/>
      <c r="EM20" s="9"/>
      <c r="EN20" s="9"/>
      <c r="ER20" s="9"/>
      <c r="ES20" s="9"/>
      <c r="ET20" s="9"/>
      <c r="EU20" s="9"/>
      <c r="EY20" s="9"/>
      <c r="EZ20" s="9"/>
      <c r="FA20" s="9"/>
      <c r="FB20" s="9"/>
      <c r="FF20" s="9"/>
      <c r="FG20" s="9"/>
      <c r="FH20" s="9"/>
      <c r="FI20" s="9"/>
      <c r="FM20" s="9"/>
      <c r="FN20" s="9"/>
      <c r="FO20" s="9"/>
      <c r="FP20" s="9"/>
      <c r="FT20" s="9"/>
      <c r="FU20" s="9"/>
      <c r="FV20" s="9"/>
      <c r="FW20" s="9"/>
      <c r="GA20" s="9"/>
      <c r="GB20" s="9"/>
      <c r="GC20" s="9"/>
      <c r="GD20" s="9"/>
      <c r="GH20" s="9"/>
      <c r="GI20" s="9"/>
      <c r="GJ20" s="9"/>
      <c r="GK20" s="9"/>
      <c r="GO20" s="9"/>
      <c r="GP20" s="9"/>
      <c r="GQ20" s="9"/>
      <c r="GR20" s="9"/>
    </row>
    <row r="21" spans="2:200" outlineLevel="1">
      <c r="B21" t="s">
        <v>28</v>
      </c>
      <c r="C21" t="s">
        <v>125</v>
      </c>
      <c r="E21" s="8"/>
      <c r="F21" t="s">
        <v>218</v>
      </c>
      <c r="G21" s="9">
        <v>0.1</v>
      </c>
      <c r="I21" s="8">
        <f>+SUMIF($N$3:$XJ$3,I$3,$N21:$XJ21)</f>
        <v>6</v>
      </c>
      <c r="J21" s="10" cm="1">
        <f t="array" ref="J21">MAX(IF($N$3:$GS$3=$J$3,N21:GS21))</f>
        <v>0.5</v>
      </c>
      <c r="K21" s="10" cm="1">
        <f t="array" ref="K21">MAX(IF($N$3:$GS$3=$K$3,N21:GS21))</f>
        <v>0.2</v>
      </c>
      <c r="L21" s="8"/>
      <c r="O21" s="9"/>
      <c r="P21" s="9"/>
      <c r="Q21" s="9"/>
      <c r="R21" s="9"/>
      <c r="U21">
        <v>2</v>
      </c>
      <c r="V21" s="9">
        <v>0.5</v>
      </c>
      <c r="W21" s="9">
        <v>0.5</v>
      </c>
      <c r="X21" s="9"/>
      <c r="Y21" s="9">
        <v>0.5</v>
      </c>
      <c r="AB21">
        <v>2</v>
      </c>
      <c r="AC21" s="9">
        <v>0.5</v>
      </c>
      <c r="AD21" s="9">
        <v>0.5</v>
      </c>
      <c r="AE21" s="9"/>
      <c r="AF21" s="9">
        <v>0.5</v>
      </c>
      <c r="AI21">
        <v>2</v>
      </c>
      <c r="AJ21" s="9">
        <v>0.5</v>
      </c>
      <c r="AK21" s="9">
        <v>0.5</v>
      </c>
      <c r="AL21" s="9">
        <v>0.2</v>
      </c>
      <c r="AM21" s="9">
        <v>0.5</v>
      </c>
      <c r="AQ21" s="9"/>
      <c r="AR21" s="9">
        <v>0.8</v>
      </c>
      <c r="AS21" s="9"/>
      <c r="AT21" s="9">
        <v>0.8</v>
      </c>
      <c r="AX21" s="9"/>
      <c r="AY21" s="9">
        <v>0.8</v>
      </c>
      <c r="AZ21" s="9"/>
      <c r="BA21" s="9">
        <v>0.8</v>
      </c>
      <c r="BE21" s="9"/>
      <c r="BF21" s="9">
        <v>0.8</v>
      </c>
      <c r="BG21" s="9"/>
      <c r="BH21" s="9">
        <v>0.8</v>
      </c>
      <c r="BL21" s="9"/>
      <c r="BM21" s="9">
        <v>0.8</v>
      </c>
      <c r="BN21" s="9"/>
      <c r="BO21" s="9">
        <v>0.8</v>
      </c>
      <c r="BS21" s="9"/>
      <c r="BT21" s="9">
        <v>1</v>
      </c>
      <c r="BU21" s="9"/>
      <c r="BV21" s="9">
        <v>1</v>
      </c>
      <c r="BZ21" s="9"/>
      <c r="CA21" s="9">
        <v>1</v>
      </c>
      <c r="CB21" s="9"/>
      <c r="CC21" s="9">
        <v>1</v>
      </c>
      <c r="CG21" s="9"/>
      <c r="CH21" s="9"/>
      <c r="CI21" s="9"/>
      <c r="CJ21" s="9"/>
      <c r="CN21" s="9"/>
      <c r="CO21" s="9"/>
      <c r="CP21" s="9"/>
      <c r="CQ21" s="9"/>
      <c r="CU21" s="9"/>
      <c r="CV21" s="9"/>
      <c r="CW21" s="9"/>
      <c r="CX21" s="9"/>
      <c r="DB21" s="9"/>
      <c r="DC21" s="9"/>
      <c r="DD21" s="9"/>
      <c r="DE21" s="9"/>
      <c r="DI21" s="9"/>
      <c r="DJ21" s="9"/>
      <c r="DK21" s="9"/>
      <c r="DL21" s="9"/>
      <c r="DP21" s="9"/>
      <c r="DQ21" s="9"/>
      <c r="DR21" s="9"/>
      <c r="DS21" s="9"/>
      <c r="DW21" s="9"/>
      <c r="DX21" s="9"/>
      <c r="DY21" s="9"/>
      <c r="DZ21" s="9"/>
      <c r="ED21" s="9"/>
      <c r="EE21" s="9"/>
      <c r="EF21" s="9"/>
      <c r="EG21" s="9"/>
      <c r="EK21" s="9"/>
      <c r="EL21" s="9"/>
      <c r="EM21" s="9"/>
      <c r="EN21" s="9"/>
      <c r="ER21" s="9"/>
      <c r="ES21" s="9"/>
      <c r="ET21" s="9"/>
      <c r="EU21" s="9"/>
      <c r="EY21" s="9"/>
      <c r="EZ21" s="9"/>
      <c r="FA21" s="9"/>
      <c r="FB21" s="9"/>
      <c r="FF21" s="9"/>
      <c r="FG21" s="9"/>
      <c r="FH21" s="9"/>
      <c r="FI21" s="9"/>
      <c r="FM21" s="9"/>
      <c r="FN21" s="9"/>
      <c r="FO21" s="9"/>
      <c r="FP21" s="9"/>
      <c r="FT21" s="9"/>
      <c r="FU21" s="9"/>
      <c r="FV21" s="9"/>
      <c r="FW21" s="9"/>
      <c r="GA21" s="9"/>
      <c r="GB21" s="9"/>
      <c r="GC21" s="9"/>
      <c r="GD21" s="9"/>
      <c r="GH21" s="9"/>
      <c r="GI21" s="9"/>
      <c r="GJ21" s="9"/>
      <c r="GK21" s="9"/>
      <c r="GO21" s="9"/>
      <c r="GP21" s="9"/>
      <c r="GQ21" s="9"/>
      <c r="GR21" s="9"/>
    </row>
    <row r="22" spans="2:200" outlineLevel="1">
      <c r="B22" t="s">
        <v>28</v>
      </c>
      <c r="C22" t="s">
        <v>125</v>
      </c>
      <c r="E22" s="8"/>
      <c r="F22" t="s">
        <v>189</v>
      </c>
      <c r="G22" s="9">
        <v>0.1</v>
      </c>
      <c r="I22" s="8">
        <f>+SUMIF($N$3:$XJ$3,I$3,$N22:$XJ22)</f>
        <v>2</v>
      </c>
      <c r="J22" s="10" cm="1">
        <f t="array" ref="J22">MAX(IF($N$3:$GS$3=$J$3,N22:GS22))</f>
        <v>0.5</v>
      </c>
      <c r="K22" s="72" cm="1">
        <f t="array" ref="K22">MAX(IF($N$3:$GS$3=$K$3,N22:GS22))</f>
        <v>0</v>
      </c>
      <c r="L22" s="8"/>
      <c r="O22" s="9"/>
      <c r="P22" s="9"/>
      <c r="Q22" s="9"/>
      <c r="R22" s="9"/>
      <c r="V22" s="9"/>
      <c r="W22" s="9"/>
      <c r="X22" s="9"/>
      <c r="Y22" s="9"/>
      <c r="AB22">
        <v>1</v>
      </c>
      <c r="AC22" s="9"/>
      <c r="AD22" s="9">
        <v>0.5</v>
      </c>
      <c r="AE22" s="9"/>
      <c r="AF22" s="9">
        <v>0.5</v>
      </c>
      <c r="AI22">
        <v>1</v>
      </c>
      <c r="AJ22" s="9">
        <v>0.5</v>
      </c>
      <c r="AK22" s="9">
        <v>0.5</v>
      </c>
      <c r="AL22" s="73"/>
      <c r="AM22" s="73">
        <v>0.5</v>
      </c>
      <c r="AQ22" s="9"/>
      <c r="AR22" s="9">
        <v>0.5</v>
      </c>
      <c r="AS22" s="9"/>
      <c r="AT22" s="9">
        <v>0.5</v>
      </c>
      <c r="AX22" s="9"/>
      <c r="AY22" s="9">
        <v>0.5</v>
      </c>
      <c r="AZ22" s="9"/>
      <c r="BA22" s="9">
        <v>0.5</v>
      </c>
      <c r="BE22" s="9"/>
      <c r="BF22" s="9">
        <v>0.8</v>
      </c>
      <c r="BG22" s="9"/>
      <c r="BH22" s="9">
        <v>0.8</v>
      </c>
      <c r="BL22" s="9"/>
      <c r="BM22" s="9">
        <v>0.8</v>
      </c>
      <c r="BN22" s="9"/>
      <c r="BO22" s="9">
        <v>0.8</v>
      </c>
      <c r="BS22" s="9"/>
      <c r="BT22" s="9">
        <v>0.8</v>
      </c>
      <c r="BU22" s="9"/>
      <c r="BV22" s="9">
        <v>0.8</v>
      </c>
      <c r="BZ22" s="9"/>
      <c r="CA22" s="9">
        <v>0.8</v>
      </c>
      <c r="CB22" s="9"/>
      <c r="CC22" s="9">
        <v>0.8</v>
      </c>
      <c r="CG22" s="9"/>
      <c r="CH22" s="9"/>
      <c r="CI22" s="9"/>
      <c r="CJ22" s="9"/>
      <c r="CN22" s="9"/>
      <c r="CO22" s="9"/>
      <c r="CP22" s="9"/>
      <c r="CQ22" s="9"/>
      <c r="CU22" s="9"/>
      <c r="CV22" s="9"/>
      <c r="CW22" s="9"/>
      <c r="CX22" s="9"/>
      <c r="DB22" s="9"/>
      <c r="DC22" s="9"/>
      <c r="DD22" s="9"/>
      <c r="DE22" s="9"/>
      <c r="DI22" s="9"/>
      <c r="DJ22" s="9"/>
      <c r="DK22" s="9"/>
      <c r="DL22" s="9"/>
      <c r="DP22" s="9"/>
      <c r="DQ22" s="9"/>
      <c r="DR22" s="9"/>
      <c r="DS22" s="9"/>
      <c r="DW22" s="9"/>
      <c r="DX22" s="9"/>
      <c r="DY22" s="9"/>
      <c r="DZ22" s="9"/>
      <c r="ED22" s="9"/>
      <c r="EE22" s="9"/>
      <c r="EF22" s="9"/>
      <c r="EG22" s="9"/>
      <c r="EK22" s="9"/>
      <c r="EL22" s="9"/>
      <c r="EM22" s="9"/>
      <c r="EN22" s="9"/>
      <c r="ER22" s="9"/>
      <c r="ES22" s="9"/>
      <c r="ET22" s="9"/>
      <c r="EU22" s="9"/>
      <c r="EY22" s="9"/>
      <c r="EZ22" s="9"/>
      <c r="FA22" s="9"/>
      <c r="FB22" s="9"/>
      <c r="FF22" s="9"/>
      <c r="FG22" s="9"/>
      <c r="FH22" s="9"/>
      <c r="FI22" s="9"/>
      <c r="FM22" s="9"/>
      <c r="FN22" s="9"/>
      <c r="FO22" s="9"/>
      <c r="FP22" s="9"/>
      <c r="FT22" s="9"/>
      <c r="FU22" s="9"/>
      <c r="FV22" s="9"/>
      <c r="FW22" s="9"/>
      <c r="GA22" s="9"/>
      <c r="GB22" s="9"/>
      <c r="GC22" s="9"/>
      <c r="GD22" s="9"/>
      <c r="GH22" s="9"/>
      <c r="GI22" s="9"/>
      <c r="GJ22" s="9"/>
      <c r="GK22" s="9"/>
      <c r="GO22" s="9"/>
      <c r="GP22" s="9"/>
      <c r="GQ22" s="9"/>
      <c r="GR22" s="9"/>
    </row>
    <row r="23" spans="2:200" outlineLevel="1">
      <c r="B23" t="s">
        <v>28</v>
      </c>
      <c r="C23" t="s">
        <v>125</v>
      </c>
      <c r="E23" s="8"/>
      <c r="F23" t="s">
        <v>190</v>
      </c>
      <c r="G23" s="9">
        <v>0.1</v>
      </c>
      <c r="I23" s="8">
        <f>+SUMIF($N$3:$XJ$3,I$3,$N23:$XJ23)</f>
        <v>0</v>
      </c>
      <c r="J23" s="10" cm="1">
        <f t="array" ref="J23">MAX(IF($N$3:$GS$3=$J$3,N23:GS23))</f>
        <v>0</v>
      </c>
      <c r="K23" s="72"/>
      <c r="L23" s="8"/>
      <c r="O23" s="9"/>
      <c r="P23" s="9"/>
      <c r="Q23" s="9"/>
      <c r="R23" s="9"/>
      <c r="V23" s="9"/>
      <c r="W23" s="9"/>
      <c r="X23" s="9"/>
      <c r="Y23" s="9"/>
      <c r="AC23" s="9"/>
      <c r="AD23" s="9"/>
      <c r="AE23" s="9"/>
      <c r="AF23" s="9"/>
      <c r="AJ23" s="9"/>
      <c r="AK23" s="9">
        <v>0.5</v>
      </c>
      <c r="AL23" s="73"/>
      <c r="AM23" s="73"/>
      <c r="AN23" t="s">
        <v>195</v>
      </c>
      <c r="AQ23" s="9"/>
      <c r="AR23" s="9">
        <v>0.5</v>
      </c>
      <c r="AS23" s="9"/>
      <c r="AT23" s="9">
        <v>0.5</v>
      </c>
      <c r="AX23" s="9"/>
      <c r="AY23" s="9">
        <v>0.5</v>
      </c>
      <c r="AZ23" s="9"/>
      <c r="BA23" s="9">
        <v>0.5</v>
      </c>
      <c r="BE23" s="9"/>
      <c r="BF23" s="9">
        <v>0.5</v>
      </c>
      <c r="BG23" s="9"/>
      <c r="BH23" s="9">
        <v>0.5</v>
      </c>
      <c r="BL23" s="9"/>
      <c r="BM23" s="9">
        <v>0.8</v>
      </c>
      <c r="BN23" s="9"/>
      <c r="BO23" s="9">
        <v>0.8</v>
      </c>
      <c r="BS23" s="9"/>
      <c r="BT23" s="9">
        <v>0.8</v>
      </c>
      <c r="BU23" s="9"/>
      <c r="BV23" s="9">
        <v>0.8</v>
      </c>
      <c r="BZ23" s="9"/>
      <c r="CA23" s="9">
        <v>0.8</v>
      </c>
      <c r="CB23" s="9"/>
      <c r="CC23" s="9">
        <v>0.8</v>
      </c>
      <c r="CG23" s="9"/>
      <c r="CH23" s="9"/>
      <c r="CI23" s="9"/>
      <c r="CJ23" s="9"/>
      <c r="CN23" s="9"/>
      <c r="CO23" s="9"/>
      <c r="CP23" s="9"/>
      <c r="CQ23" s="9"/>
      <c r="CU23" s="9"/>
      <c r="CV23" s="9"/>
      <c r="CW23" s="9"/>
      <c r="CX23" s="9"/>
      <c r="DB23" s="9"/>
      <c r="DC23" s="9"/>
      <c r="DD23" s="9"/>
      <c r="DE23" s="9"/>
      <c r="DI23" s="9"/>
      <c r="DJ23" s="9"/>
      <c r="DK23" s="9"/>
      <c r="DL23" s="9"/>
      <c r="DP23" s="9"/>
      <c r="DQ23" s="9"/>
      <c r="DR23" s="9"/>
      <c r="DS23" s="9"/>
      <c r="DW23" s="9"/>
      <c r="DX23" s="9"/>
      <c r="DY23" s="9"/>
      <c r="DZ23" s="9"/>
      <c r="ED23" s="9"/>
      <c r="EE23" s="9"/>
      <c r="EF23" s="9"/>
      <c r="EG23" s="9"/>
      <c r="EK23" s="9"/>
      <c r="EL23" s="9"/>
      <c r="EM23" s="9"/>
      <c r="EN23" s="9"/>
      <c r="ER23" s="9"/>
      <c r="ES23" s="9"/>
      <c r="ET23" s="9"/>
      <c r="EU23" s="9"/>
      <c r="EY23" s="9"/>
      <c r="EZ23" s="9"/>
      <c r="FA23" s="9"/>
      <c r="FB23" s="9"/>
      <c r="FF23" s="9"/>
      <c r="FG23" s="9"/>
      <c r="FH23" s="9"/>
      <c r="FI23" s="9"/>
      <c r="FM23" s="9"/>
      <c r="FN23" s="9"/>
      <c r="FO23" s="9"/>
      <c r="FP23" s="9"/>
      <c r="FT23" s="9"/>
      <c r="FU23" s="9"/>
      <c r="FV23" s="9"/>
      <c r="FW23" s="9"/>
      <c r="GA23" s="9"/>
      <c r="GB23" s="9"/>
      <c r="GC23" s="9"/>
      <c r="GD23" s="9"/>
      <c r="GH23" s="9"/>
      <c r="GI23" s="9"/>
      <c r="GJ23" s="9"/>
      <c r="GK23" s="9"/>
      <c r="GO23" s="9"/>
      <c r="GP23" s="9"/>
      <c r="GQ23" s="9"/>
      <c r="GR23" s="9"/>
    </row>
    <row r="24" spans="2:200" outlineLevel="1">
      <c r="B24" t="s">
        <v>28</v>
      </c>
      <c r="C24" t="s">
        <v>125</v>
      </c>
      <c r="E24" s="8"/>
      <c r="F24" t="s">
        <v>191</v>
      </c>
      <c r="G24" s="9">
        <v>0.1</v>
      </c>
      <c r="I24" s="8">
        <f>+SUMIF($N$3:$XJ$3,I$3,$N24:$XJ24)</f>
        <v>0</v>
      </c>
      <c r="J24" s="10" cm="1">
        <f t="array" ref="J24">MAX(IF($N$3:$GS$3=$J$3,N24:GS24))</f>
        <v>0</v>
      </c>
      <c r="K24" s="10" cm="1">
        <f t="array" ref="K24">MAX(IF($N$3:$GS$3=$K$3,N24:GS24))</f>
        <v>0</v>
      </c>
      <c r="L24" s="8"/>
      <c r="O24" s="9"/>
      <c r="P24" s="9"/>
      <c r="Q24" s="9"/>
      <c r="R24" s="9"/>
      <c r="V24" s="9"/>
      <c r="W24" s="9"/>
      <c r="X24" s="9"/>
      <c r="Y24" s="9"/>
      <c r="AC24" s="9"/>
      <c r="AD24" s="9"/>
      <c r="AE24" s="9"/>
      <c r="AF24" s="9"/>
      <c r="AJ24" s="9"/>
      <c r="AK24" s="9">
        <v>0.5</v>
      </c>
      <c r="AL24" s="9"/>
      <c r="AM24" s="9">
        <v>0.5</v>
      </c>
      <c r="AQ24" s="9"/>
      <c r="AR24" s="9">
        <v>0.5</v>
      </c>
      <c r="AS24" s="9"/>
      <c r="AT24" s="9">
        <v>0.5</v>
      </c>
      <c r="AX24" s="9"/>
      <c r="AY24" s="9">
        <v>0.5</v>
      </c>
      <c r="AZ24" s="9"/>
      <c r="BA24" s="9">
        <v>0.5</v>
      </c>
      <c r="BE24" s="9"/>
      <c r="BF24" s="9">
        <v>0.5</v>
      </c>
      <c r="BG24" s="9"/>
      <c r="BH24" s="9">
        <v>0.5</v>
      </c>
      <c r="BL24" s="9"/>
      <c r="BM24" s="9">
        <v>0.5</v>
      </c>
      <c r="BN24" s="9"/>
      <c r="BO24" s="9">
        <v>0.5</v>
      </c>
      <c r="BS24" s="9"/>
      <c r="BT24" s="9">
        <v>0.8</v>
      </c>
      <c r="BU24" s="9"/>
      <c r="BV24" s="9">
        <v>0.8</v>
      </c>
      <c r="BZ24" s="9"/>
      <c r="CA24" s="9">
        <v>0.8</v>
      </c>
      <c r="CB24" s="9"/>
      <c r="CC24" s="9">
        <v>0.8</v>
      </c>
      <c r="CG24" s="9"/>
      <c r="CH24" s="9"/>
      <c r="CI24" s="9"/>
      <c r="CJ24" s="9"/>
      <c r="CN24" s="9"/>
      <c r="CO24" s="9"/>
      <c r="CP24" s="9"/>
      <c r="CQ24" s="9"/>
      <c r="CU24" s="9"/>
      <c r="CV24" s="9"/>
      <c r="CW24" s="9"/>
      <c r="CX24" s="9"/>
      <c r="DB24" s="9"/>
      <c r="DC24" s="9"/>
      <c r="DD24" s="9"/>
      <c r="DE24" s="9"/>
      <c r="DI24" s="9"/>
      <c r="DJ24" s="9"/>
      <c r="DK24" s="9"/>
      <c r="DL24" s="9"/>
      <c r="DP24" s="9"/>
      <c r="DQ24" s="9"/>
      <c r="DR24" s="9"/>
      <c r="DS24" s="9"/>
      <c r="DW24" s="9"/>
      <c r="DX24" s="9"/>
      <c r="DY24" s="9"/>
      <c r="DZ24" s="9"/>
      <c r="ED24" s="9"/>
      <c r="EE24" s="9"/>
      <c r="EF24" s="9"/>
      <c r="EG24" s="9"/>
      <c r="EK24" s="9"/>
      <c r="EL24" s="9"/>
      <c r="EM24" s="9"/>
      <c r="EN24" s="9"/>
      <c r="ER24" s="9"/>
      <c r="ES24" s="9"/>
      <c r="ET24" s="9"/>
      <c r="EU24" s="9"/>
      <c r="EY24" s="9"/>
      <c r="EZ24" s="9"/>
      <c r="FA24" s="9"/>
      <c r="FB24" s="9"/>
      <c r="FF24" s="9"/>
      <c r="FG24" s="9"/>
      <c r="FH24" s="9"/>
      <c r="FI24" s="9"/>
      <c r="FM24" s="9"/>
      <c r="FN24" s="9"/>
      <c r="FO24" s="9"/>
      <c r="FP24" s="9"/>
      <c r="FT24" s="9"/>
      <c r="FU24" s="9"/>
      <c r="FV24" s="9"/>
      <c r="FW24" s="9"/>
      <c r="GA24" s="9"/>
      <c r="GB24" s="9"/>
      <c r="GC24" s="9"/>
      <c r="GD24" s="9"/>
      <c r="GH24" s="9"/>
      <c r="GI24" s="9"/>
      <c r="GJ24" s="9"/>
      <c r="GK24" s="9"/>
      <c r="GO24" s="9"/>
      <c r="GP24" s="9"/>
      <c r="GQ24" s="9"/>
      <c r="GR24" s="9"/>
    </row>
    <row r="25" spans="2:200" outlineLevel="1">
      <c r="B25" t="s">
        <v>28</v>
      </c>
      <c r="C25" t="s">
        <v>125</v>
      </c>
      <c r="E25" s="8"/>
      <c r="F25" t="s">
        <v>192</v>
      </c>
      <c r="G25" s="9">
        <v>0.1</v>
      </c>
      <c r="I25" s="8">
        <f>+SUMIF($N$3:$XJ$3,I$3,$N25:$XJ25)</f>
        <v>0</v>
      </c>
      <c r="J25" s="10" cm="1">
        <f t="array" ref="J25">MAX(IF($N$3:$GS$3=$J$3,N25:GS25))</f>
        <v>0</v>
      </c>
      <c r="K25" s="10" cm="1">
        <f t="array" ref="K25">MAX(IF($N$3:$GS$3=$K$3,N25:GS25))</f>
        <v>0</v>
      </c>
      <c r="L25" s="8"/>
      <c r="O25" s="9"/>
      <c r="P25" s="9"/>
      <c r="Q25" s="9"/>
      <c r="R25" s="9"/>
      <c r="V25" s="9"/>
      <c r="W25" s="9"/>
      <c r="X25" s="9"/>
      <c r="Y25" s="9"/>
      <c r="AC25" s="9"/>
      <c r="AD25" s="9"/>
      <c r="AE25" s="9"/>
      <c r="AF25" s="9"/>
      <c r="AJ25" s="9"/>
      <c r="AK25" s="9"/>
      <c r="AL25" s="9"/>
      <c r="AM25" s="9"/>
      <c r="AQ25" s="9"/>
      <c r="AR25" s="9">
        <v>0.5</v>
      </c>
      <c r="AS25" s="9"/>
      <c r="AT25" s="9">
        <v>0.5</v>
      </c>
      <c r="AX25" s="9"/>
      <c r="AY25" s="9">
        <v>0.5</v>
      </c>
      <c r="AZ25" s="9"/>
      <c r="BA25" s="9">
        <v>0.5</v>
      </c>
      <c r="BE25" s="9"/>
      <c r="BF25" s="9">
        <v>0.5</v>
      </c>
      <c r="BG25" s="9"/>
      <c r="BH25" s="9">
        <v>0.5</v>
      </c>
      <c r="BL25" s="9"/>
      <c r="BM25" s="9">
        <v>0.5</v>
      </c>
      <c r="BN25" s="9"/>
      <c r="BO25" s="9">
        <v>0.5</v>
      </c>
      <c r="BS25" s="9"/>
      <c r="BT25" s="9">
        <v>0.8</v>
      </c>
      <c r="BU25" s="9"/>
      <c r="BV25" s="9">
        <v>0.8</v>
      </c>
      <c r="BZ25" s="9"/>
      <c r="CA25" s="9">
        <v>0.8</v>
      </c>
      <c r="CB25" s="9"/>
      <c r="CC25" s="9">
        <v>0.8</v>
      </c>
      <c r="CG25" s="9"/>
      <c r="CH25" s="9"/>
      <c r="CI25" s="9"/>
      <c r="CJ25" s="9"/>
      <c r="CN25" s="9"/>
      <c r="CO25" s="9"/>
      <c r="CP25" s="9"/>
      <c r="CQ25" s="9"/>
      <c r="CU25" s="9"/>
      <c r="CV25" s="9"/>
      <c r="CW25" s="9"/>
      <c r="CX25" s="9"/>
      <c r="DB25" s="9"/>
      <c r="DC25" s="9"/>
      <c r="DD25" s="9"/>
      <c r="DE25" s="9"/>
      <c r="DI25" s="9"/>
      <c r="DJ25" s="9"/>
      <c r="DK25" s="9"/>
      <c r="DL25" s="9"/>
      <c r="DP25" s="9"/>
      <c r="DQ25" s="9"/>
      <c r="DR25" s="9"/>
      <c r="DS25" s="9"/>
      <c r="DW25" s="9"/>
      <c r="DX25" s="9"/>
      <c r="DY25" s="9"/>
      <c r="DZ25" s="9"/>
      <c r="ED25" s="9"/>
      <c r="EE25" s="9"/>
      <c r="EF25" s="9"/>
      <c r="EG25" s="9"/>
      <c r="EK25" s="9"/>
      <c r="EL25" s="9"/>
      <c r="EM25" s="9"/>
      <c r="EN25" s="9"/>
      <c r="ER25" s="9"/>
      <c r="ES25" s="9"/>
      <c r="ET25" s="9"/>
      <c r="EU25" s="9"/>
      <c r="EY25" s="9"/>
      <c r="EZ25" s="9"/>
      <c r="FA25" s="9"/>
      <c r="FB25" s="9"/>
      <c r="FF25" s="9"/>
      <c r="FG25" s="9"/>
      <c r="FH25" s="9"/>
      <c r="FI25" s="9"/>
      <c r="FM25" s="9"/>
      <c r="FN25" s="9"/>
      <c r="FO25" s="9"/>
      <c r="FP25" s="9"/>
      <c r="FT25" s="9"/>
      <c r="FU25" s="9"/>
      <c r="FV25" s="9"/>
      <c r="FW25" s="9"/>
      <c r="GA25" s="9"/>
      <c r="GB25" s="9"/>
      <c r="GC25" s="9"/>
      <c r="GD25" s="9"/>
      <c r="GH25" s="9"/>
      <c r="GI25" s="9"/>
      <c r="GJ25" s="9"/>
      <c r="GK25" s="9"/>
      <c r="GO25" s="9"/>
      <c r="GP25" s="9"/>
      <c r="GQ25" s="9"/>
      <c r="GR25" s="9"/>
    </row>
    <row r="26" spans="2:200" outlineLevel="1">
      <c r="B26" t="s">
        <v>28</v>
      </c>
      <c r="C26" t="s">
        <v>125</v>
      </c>
      <c r="E26" s="8"/>
      <c r="F26" t="s">
        <v>193</v>
      </c>
      <c r="G26" s="9">
        <v>0.1</v>
      </c>
      <c r="I26" s="8">
        <f>+SUMIF($N$3:$XJ$3,I$3,$N26:$XJ26)</f>
        <v>0</v>
      </c>
      <c r="J26" s="10" cm="1">
        <f t="array" ref="J26">MAX(IF($N$3:$GS$3=$J$3,N26:GS26))</f>
        <v>0</v>
      </c>
      <c r="K26" s="72" cm="1">
        <f t="array" ref="K26">MAX(IF($N$3:$GS$3=$K$3,N26:GS26))</f>
        <v>0</v>
      </c>
      <c r="L26" s="8"/>
      <c r="O26" s="9"/>
      <c r="P26" s="9"/>
      <c r="Q26" s="9"/>
      <c r="R26" s="9"/>
      <c r="V26" s="9"/>
      <c r="W26" s="9"/>
      <c r="X26" s="9"/>
      <c r="Y26" s="9"/>
      <c r="AC26" s="9"/>
      <c r="AD26" s="9"/>
      <c r="AE26" s="9"/>
      <c r="AF26" s="9"/>
      <c r="AJ26" s="9"/>
      <c r="AK26" s="9"/>
      <c r="AL26" s="9"/>
      <c r="AM26" s="9"/>
      <c r="AQ26" s="9"/>
      <c r="AR26" s="9"/>
      <c r="AS26" s="9"/>
      <c r="AT26" s="9"/>
      <c r="AX26" s="9"/>
      <c r="AY26" s="9">
        <v>0.5</v>
      </c>
      <c r="AZ26" s="9"/>
      <c r="BA26" s="9">
        <v>0.5</v>
      </c>
      <c r="BE26" s="9"/>
      <c r="BF26" s="9">
        <v>0.5</v>
      </c>
      <c r="BG26" s="9"/>
      <c r="BH26" s="9">
        <v>0.5</v>
      </c>
      <c r="BL26" s="9"/>
      <c r="BM26" s="9">
        <v>0.5</v>
      </c>
      <c r="BN26" s="9"/>
      <c r="BO26" s="9">
        <v>0.5</v>
      </c>
      <c r="BS26" s="9"/>
      <c r="BT26" s="9">
        <v>0.5</v>
      </c>
      <c r="BU26" s="9"/>
      <c r="BV26" s="9">
        <v>0.5</v>
      </c>
      <c r="BZ26" s="9"/>
      <c r="CA26" s="9">
        <v>0.8</v>
      </c>
      <c r="CB26" s="9"/>
      <c r="CC26" s="9">
        <v>0.8</v>
      </c>
      <c r="CG26" s="9"/>
      <c r="CH26" s="9"/>
      <c r="CI26" s="9"/>
      <c r="CJ26" s="9"/>
      <c r="CN26" s="9"/>
      <c r="CO26" s="9"/>
      <c r="CP26" s="9"/>
      <c r="CQ26" s="9"/>
      <c r="CU26" s="9"/>
      <c r="CV26" s="9"/>
      <c r="CW26" s="9"/>
      <c r="CX26" s="9"/>
      <c r="DB26" s="9"/>
      <c r="DC26" s="9"/>
      <c r="DD26" s="9"/>
      <c r="DE26" s="9"/>
      <c r="DI26" s="9"/>
      <c r="DJ26" s="9"/>
      <c r="DK26" s="9"/>
      <c r="DL26" s="9"/>
      <c r="DP26" s="9"/>
      <c r="DQ26" s="9"/>
      <c r="DR26" s="9"/>
      <c r="DS26" s="9"/>
      <c r="DW26" s="9"/>
      <c r="DX26" s="9"/>
      <c r="DY26" s="9"/>
      <c r="DZ26" s="9"/>
      <c r="ED26" s="9"/>
      <c r="EE26" s="9"/>
      <c r="EF26" s="9"/>
      <c r="EG26" s="9"/>
      <c r="EK26" s="9"/>
      <c r="EL26" s="9"/>
      <c r="EM26" s="9"/>
      <c r="EN26" s="9"/>
      <c r="ER26" s="9"/>
      <c r="ES26" s="9"/>
      <c r="ET26" s="9"/>
      <c r="EU26" s="9"/>
      <c r="EY26" s="9"/>
      <c r="EZ26" s="9"/>
      <c r="FA26" s="9"/>
      <c r="FB26" s="9"/>
      <c r="FF26" s="9"/>
      <c r="FG26" s="9"/>
      <c r="FH26" s="9"/>
      <c r="FI26" s="9"/>
      <c r="FM26" s="9"/>
      <c r="FN26" s="9"/>
      <c r="FO26" s="9"/>
      <c r="FP26" s="9"/>
      <c r="FT26" s="9"/>
      <c r="FU26" s="9"/>
      <c r="FV26" s="9"/>
      <c r="FW26" s="9"/>
      <c r="GA26" s="9"/>
      <c r="GB26" s="9"/>
      <c r="GC26" s="9"/>
      <c r="GD26" s="9"/>
      <c r="GH26" s="9"/>
      <c r="GI26" s="9"/>
      <c r="GJ26" s="9"/>
      <c r="GK26" s="9"/>
      <c r="GO26" s="9"/>
      <c r="GP26" s="9"/>
      <c r="GQ26" s="9"/>
      <c r="GR26" s="9"/>
    </row>
    <row r="27" spans="2:200" outlineLevel="1">
      <c r="B27" t="s">
        <v>28</v>
      </c>
      <c r="C27" t="s">
        <v>125</v>
      </c>
      <c r="E27" s="8"/>
      <c r="F27" t="s">
        <v>194</v>
      </c>
      <c r="G27" s="9">
        <v>0.05</v>
      </c>
      <c r="I27" s="8">
        <f>+SUMIF($N$3:$XJ$3,I$3,$N27:$XJ27)</f>
        <v>0</v>
      </c>
      <c r="J27" s="10" cm="1">
        <f t="array" ref="J27">MAX(IF($N$3:$GS$3=$J$3,N27:GS27))</f>
        <v>0</v>
      </c>
      <c r="K27" s="72"/>
      <c r="L27" s="8"/>
      <c r="O27" s="9"/>
      <c r="P27" s="9"/>
      <c r="Q27" s="9"/>
      <c r="R27" s="9"/>
      <c r="V27" s="9"/>
      <c r="W27" s="9"/>
      <c r="X27" s="9"/>
      <c r="Y27" s="9"/>
      <c r="AC27" s="9"/>
      <c r="AD27" s="9"/>
      <c r="AE27" s="9"/>
      <c r="AF27" s="9"/>
      <c r="AJ27" s="9"/>
      <c r="AK27" s="9"/>
      <c r="AL27" s="9"/>
      <c r="AM27" s="9"/>
      <c r="AQ27" s="9"/>
      <c r="AR27" s="9"/>
      <c r="AS27" s="9"/>
      <c r="AT27" s="9"/>
      <c r="AX27" s="9"/>
      <c r="AY27" s="9">
        <v>0.5</v>
      </c>
      <c r="AZ27" s="9"/>
      <c r="BA27" s="9">
        <v>0.5</v>
      </c>
      <c r="BE27" s="9"/>
      <c r="BF27" s="9">
        <v>0.5</v>
      </c>
      <c r="BG27" s="9"/>
      <c r="BH27" s="9">
        <v>0.5</v>
      </c>
      <c r="BL27" s="9"/>
      <c r="BM27" s="9">
        <v>0.5</v>
      </c>
      <c r="BN27" s="9"/>
      <c r="BO27" s="9">
        <v>0.5</v>
      </c>
      <c r="BS27" s="9"/>
      <c r="BT27" s="9">
        <v>0.5</v>
      </c>
      <c r="BU27" s="9"/>
      <c r="BV27" s="9">
        <v>0.5</v>
      </c>
      <c r="BZ27" s="9"/>
      <c r="CA27" s="9">
        <v>0.8</v>
      </c>
      <c r="CB27" s="9"/>
      <c r="CC27" s="9">
        <v>0.8</v>
      </c>
      <c r="CG27" s="9"/>
      <c r="CH27" s="9"/>
      <c r="CI27" s="9"/>
      <c r="CJ27" s="9"/>
      <c r="CN27" s="9"/>
      <c r="CO27" s="9"/>
      <c r="CP27" s="9"/>
      <c r="CQ27" s="9"/>
      <c r="CU27" s="9"/>
      <c r="CV27" s="9"/>
      <c r="CW27" s="9"/>
      <c r="CX27" s="9"/>
      <c r="DB27" s="9"/>
      <c r="DC27" s="9"/>
      <c r="DD27" s="9"/>
      <c r="DE27" s="9"/>
      <c r="DI27" s="9"/>
      <c r="DJ27" s="9"/>
      <c r="DK27" s="9"/>
      <c r="DL27" s="9"/>
      <c r="DP27" s="9"/>
      <c r="DQ27" s="9"/>
      <c r="DR27" s="9"/>
      <c r="DS27" s="9"/>
      <c r="DW27" s="9"/>
      <c r="DX27" s="9"/>
      <c r="DY27" s="9"/>
      <c r="DZ27" s="9"/>
      <c r="ED27" s="9"/>
      <c r="EE27" s="9"/>
      <c r="EF27" s="9"/>
      <c r="EG27" s="9"/>
      <c r="EK27" s="9"/>
      <c r="EL27" s="9"/>
      <c r="EM27" s="9"/>
      <c r="EN27" s="9"/>
      <c r="ER27" s="9"/>
      <c r="ES27" s="9"/>
      <c r="ET27" s="9"/>
      <c r="EU27" s="9"/>
      <c r="EY27" s="9"/>
      <c r="EZ27" s="9"/>
      <c r="FA27" s="9"/>
      <c r="FB27" s="9"/>
      <c r="FF27" s="9"/>
      <c r="FG27" s="9"/>
      <c r="FH27" s="9"/>
      <c r="FI27" s="9"/>
      <c r="FM27" s="9"/>
      <c r="FN27" s="9"/>
      <c r="FO27" s="9"/>
      <c r="FP27" s="9"/>
      <c r="FT27" s="9"/>
      <c r="FU27" s="9"/>
      <c r="FV27" s="9"/>
      <c r="FW27" s="9"/>
      <c r="GA27" s="9"/>
      <c r="GB27" s="9"/>
      <c r="GC27" s="9"/>
      <c r="GD27" s="9"/>
      <c r="GH27" s="9"/>
      <c r="GI27" s="9"/>
      <c r="GJ27" s="9"/>
      <c r="GK27" s="9"/>
      <c r="GO27" s="9"/>
      <c r="GP27" s="9"/>
      <c r="GQ27" s="9"/>
      <c r="GR27" s="9"/>
    </row>
    <row r="29" spans="2:200">
      <c r="B29" t="s">
        <v>27</v>
      </c>
      <c r="C29" t="s">
        <v>127</v>
      </c>
      <c r="D29" s="25">
        <v>45866</v>
      </c>
      <c r="E29" s="8">
        <v>6</v>
      </c>
      <c r="G29" s="9">
        <f>+SUM(G30:G41)</f>
        <v>1</v>
      </c>
      <c r="I29" s="11">
        <f>+SUM(I30:I41)</f>
        <v>33</v>
      </c>
      <c r="J29" s="10">
        <f>+SUMPRODUCT(G30:G41,J30:J41)</f>
        <v>0.245</v>
      </c>
      <c r="K29" s="10">
        <f>+SUMPRODUCT(G30:G41,K30:K41)</f>
        <v>0.21</v>
      </c>
      <c r="L29" s="8"/>
      <c r="N29" s="11">
        <f>+SUM(N30:N41)</f>
        <v>7</v>
      </c>
      <c r="U29" s="11">
        <f>+SUM(U30:U41)</f>
        <v>8.5</v>
      </c>
      <c r="AB29" s="11">
        <f>+SUM(AB30:AB41)</f>
        <v>11.5</v>
      </c>
      <c r="AI29" s="11">
        <f>+SUM(AI30:AI41)</f>
        <v>6</v>
      </c>
      <c r="AP29" s="11">
        <f>+SUM(AP30:AP41)</f>
        <v>0</v>
      </c>
      <c r="AW29" s="11">
        <f>+SUM(AW30:AW41)</f>
        <v>0</v>
      </c>
      <c r="BD29" s="11">
        <f>+SUM(BD30:BD41)</f>
        <v>0</v>
      </c>
      <c r="BK29" s="11">
        <f>+SUM(BK30:BK41)</f>
        <v>0</v>
      </c>
      <c r="BR29" s="11">
        <f>+SUM(BR30:BR41)</f>
        <v>0</v>
      </c>
      <c r="BY29" s="11">
        <f>+SUM(BY30:BY41)</f>
        <v>0</v>
      </c>
      <c r="CF29" s="11">
        <f>+SUM(CF30:CF41)</f>
        <v>0</v>
      </c>
      <c r="CM29" s="11">
        <f>+SUM(CM30:CM41)</f>
        <v>0</v>
      </c>
      <c r="CT29" s="11">
        <f>+SUM(CT30:CT41)</f>
        <v>0</v>
      </c>
      <c r="DA29" s="11">
        <f>+SUM(DA30:DA41)</f>
        <v>0</v>
      </c>
      <c r="DH29" s="11">
        <f>+SUM(DH30:DH41)</f>
        <v>0</v>
      </c>
      <c r="DO29" s="11">
        <f>+SUM(DO30:DO41)</f>
        <v>0</v>
      </c>
      <c r="DV29" s="11">
        <f>+SUM(DV30:DV41)</f>
        <v>0</v>
      </c>
      <c r="EC29" s="11">
        <f>+SUM(EC30:EC41)</f>
        <v>0</v>
      </c>
      <c r="EJ29" s="11">
        <f>+SUM(EJ30:EJ41)</f>
        <v>0</v>
      </c>
      <c r="EQ29" s="11">
        <f>+SUM(EQ30:EQ41)</f>
        <v>0</v>
      </c>
      <c r="EX29" s="11">
        <f>+SUM(EX30:EX41)</f>
        <v>0</v>
      </c>
      <c r="FE29" s="11">
        <f>+SUM(FE30:FE41)</f>
        <v>0</v>
      </c>
      <c r="FL29" s="11">
        <f>+SUM(FL30:FL41)</f>
        <v>0</v>
      </c>
      <c r="FS29" s="11">
        <f>+SUM(FS30:FS41)</f>
        <v>0</v>
      </c>
      <c r="FZ29" s="11">
        <f>+SUM(FZ30:FZ41)</f>
        <v>0</v>
      </c>
      <c r="GG29" s="11">
        <f>+SUM(GG30:GG41)</f>
        <v>0</v>
      </c>
      <c r="GN29" s="11">
        <f>+SUM(GN30:GN41)</f>
        <v>0</v>
      </c>
    </row>
    <row r="30" spans="2:200" ht="15.6" customHeight="1" outlineLevel="1">
      <c r="B30" t="s">
        <v>28</v>
      </c>
      <c r="C30" t="s">
        <v>127</v>
      </c>
      <c r="E30" s="8"/>
      <c r="F30" t="s">
        <v>133</v>
      </c>
      <c r="G30" s="9">
        <v>0.05</v>
      </c>
      <c r="I30" s="8">
        <f>+SUMIF($N$3:$XJ$3,I$3,$N30:$XJ30)</f>
        <v>12.5</v>
      </c>
      <c r="J30" s="10" cm="1">
        <f t="array" ref="J30">MAX(IF($N$3:$GS$3=$J$3,N30:GS30))</f>
        <v>0.8</v>
      </c>
      <c r="K30" s="10" cm="1">
        <f t="array" ref="K30">MAX(IF($N$3:$GS$3=$K$3,N30:GS30))</f>
        <v>0.8</v>
      </c>
      <c r="L30" s="8"/>
      <c r="N30">
        <v>5</v>
      </c>
      <c r="O30" s="9">
        <v>0.5</v>
      </c>
      <c r="P30" s="9">
        <v>0.5</v>
      </c>
      <c r="Q30" s="9">
        <v>0.5</v>
      </c>
      <c r="R30" s="9">
        <v>0.5</v>
      </c>
      <c r="U30">
        <v>4</v>
      </c>
      <c r="V30" s="9">
        <v>0.5</v>
      </c>
      <c r="W30" s="9">
        <v>0.5</v>
      </c>
      <c r="X30" s="9">
        <v>0.5</v>
      </c>
      <c r="Y30" s="9">
        <v>0.5</v>
      </c>
      <c r="AB30">
        <v>1.5</v>
      </c>
      <c r="AC30" s="9">
        <v>0.5</v>
      </c>
      <c r="AD30" s="9">
        <v>0.8</v>
      </c>
      <c r="AE30" s="9">
        <v>0.8</v>
      </c>
      <c r="AF30" s="9">
        <v>0.8</v>
      </c>
      <c r="AI30">
        <v>2</v>
      </c>
      <c r="AJ30" s="9">
        <v>0.8</v>
      </c>
      <c r="AK30" s="9">
        <v>0.8</v>
      </c>
      <c r="AL30" s="9">
        <v>0.8</v>
      </c>
      <c r="AM30" s="9">
        <v>0.8</v>
      </c>
      <c r="AQ30" s="9"/>
      <c r="AR30" s="9">
        <v>0.8</v>
      </c>
      <c r="AS30" s="9"/>
      <c r="AT30" s="9">
        <v>0.8</v>
      </c>
      <c r="AX30" s="9"/>
      <c r="AY30" s="9">
        <v>1</v>
      </c>
      <c r="AZ30" s="9"/>
      <c r="BA30" s="9">
        <v>1</v>
      </c>
      <c r="BE30" s="9"/>
      <c r="BF30" s="9">
        <v>1</v>
      </c>
      <c r="BG30" s="9"/>
      <c r="BH30" s="9">
        <v>1</v>
      </c>
      <c r="BL30" s="9"/>
      <c r="BM30" s="9">
        <v>1</v>
      </c>
      <c r="BN30" s="9"/>
      <c r="BO30" s="9">
        <v>1</v>
      </c>
      <c r="BS30" s="9"/>
      <c r="BT30" s="9">
        <v>1</v>
      </c>
      <c r="BU30" s="9"/>
      <c r="BV30" s="9">
        <v>1</v>
      </c>
      <c r="BZ30" s="9"/>
      <c r="CA30" s="9">
        <v>1</v>
      </c>
      <c r="CB30" s="9"/>
      <c r="CC30" s="9">
        <v>1</v>
      </c>
      <c r="CG30" s="9"/>
      <c r="CH30" s="9">
        <v>1</v>
      </c>
      <c r="CI30" s="9"/>
      <c r="CJ30" s="9">
        <v>1</v>
      </c>
      <c r="CN30" s="56" t="s">
        <v>152</v>
      </c>
      <c r="CO30" s="56"/>
      <c r="CP30" s="56"/>
      <c r="CQ30" s="56"/>
      <c r="CU30" s="9"/>
      <c r="CV30" s="9"/>
      <c r="CW30" s="9"/>
      <c r="CX30" s="9"/>
      <c r="DB30" s="9"/>
      <c r="DC30" s="9"/>
      <c r="DD30" s="9"/>
      <c r="DE30" s="9"/>
      <c r="DI30" s="9"/>
      <c r="DJ30" s="9"/>
      <c r="DK30" s="9"/>
      <c r="DL30" s="9"/>
      <c r="DP30" s="9"/>
      <c r="DQ30" s="9"/>
      <c r="DR30" s="9"/>
      <c r="DS30" s="9"/>
      <c r="DW30" s="9"/>
      <c r="DX30" s="9"/>
      <c r="DY30" s="9"/>
      <c r="DZ30" s="9"/>
      <c r="ED30" s="9"/>
      <c r="EE30" s="9"/>
      <c r="EF30" s="9"/>
      <c r="EG30" s="9"/>
      <c r="EK30" s="9"/>
      <c r="EL30" s="9"/>
      <c r="EM30" s="9"/>
      <c r="EN30" s="9"/>
      <c r="ER30" s="9"/>
      <c r="ES30" s="9"/>
      <c r="ET30" s="9"/>
      <c r="EU30" s="9"/>
      <c r="EY30" s="9"/>
      <c r="EZ30" s="9"/>
      <c r="FA30" s="9"/>
      <c r="FB30" s="9"/>
      <c r="FF30" s="9"/>
      <c r="FG30" s="9"/>
      <c r="FH30" s="9"/>
      <c r="FI30" s="9"/>
      <c r="FM30" s="9"/>
      <c r="FN30" s="9"/>
      <c r="FO30" s="9"/>
      <c r="FP30" s="9"/>
      <c r="FT30" s="9"/>
      <c r="FU30" s="9"/>
      <c r="FV30" s="9"/>
      <c r="FW30" s="9"/>
      <c r="GA30" s="9"/>
      <c r="GB30" s="9"/>
      <c r="GC30" s="9"/>
      <c r="GD30" s="9"/>
      <c r="GH30" s="9"/>
      <c r="GI30" s="9"/>
      <c r="GJ30" s="9"/>
      <c r="GK30" s="9"/>
      <c r="GO30" s="9"/>
      <c r="GP30" s="9"/>
      <c r="GQ30" s="9"/>
      <c r="GR30" s="9"/>
    </row>
    <row r="31" spans="2:200" outlineLevel="1">
      <c r="B31" t="s">
        <v>28</v>
      </c>
      <c r="C31" t="s">
        <v>127</v>
      </c>
      <c r="E31" s="8"/>
      <c r="F31" t="s">
        <v>56</v>
      </c>
      <c r="G31" s="9">
        <v>0.05</v>
      </c>
      <c r="I31" s="8">
        <f>+SUMIF($N$3:$XJ$3,I$3,$N31:$XJ31)</f>
        <v>5</v>
      </c>
      <c r="J31" s="10" cm="1">
        <f t="array" ref="J31">MAX(IF($N$3:$GS$3=$J$3,N31:GS31))</f>
        <v>0.5</v>
      </c>
      <c r="K31" s="10" cm="1">
        <f t="array" ref="K31">MAX(IF($N$3:$GS$3=$K$3,N31:GS31))</f>
        <v>0.8</v>
      </c>
      <c r="L31" s="8"/>
      <c r="N31">
        <v>2</v>
      </c>
      <c r="O31" s="9">
        <v>0.5</v>
      </c>
      <c r="P31" s="9">
        <v>0.5</v>
      </c>
      <c r="Q31" s="9">
        <v>0.2</v>
      </c>
      <c r="R31" s="9">
        <v>0.5</v>
      </c>
      <c r="U31">
        <v>1</v>
      </c>
      <c r="V31" s="9">
        <v>0.5</v>
      </c>
      <c r="W31" s="9">
        <v>0.5</v>
      </c>
      <c r="X31" s="9">
        <v>0.5</v>
      </c>
      <c r="Y31" s="9">
        <v>0.5</v>
      </c>
      <c r="AC31" s="9">
        <v>0.5</v>
      </c>
      <c r="AD31" s="9">
        <v>0.8</v>
      </c>
      <c r="AE31" s="9">
        <v>0.8</v>
      </c>
      <c r="AF31" s="9">
        <v>0.8</v>
      </c>
      <c r="AI31">
        <v>2</v>
      </c>
      <c r="AJ31" s="9">
        <v>0.5</v>
      </c>
      <c r="AK31" s="9">
        <v>0.8</v>
      </c>
      <c r="AL31" s="9">
        <v>0.8</v>
      </c>
      <c r="AM31" s="9">
        <v>0.8</v>
      </c>
      <c r="AQ31" s="9"/>
      <c r="AR31" s="9">
        <v>0.8</v>
      </c>
      <c r="AS31" s="9"/>
      <c r="AT31" s="9">
        <v>0.8</v>
      </c>
      <c r="AX31" s="9"/>
      <c r="AY31" s="9">
        <v>1</v>
      </c>
      <c r="AZ31" s="9"/>
      <c r="BA31" s="9">
        <v>1</v>
      </c>
      <c r="BE31" s="9"/>
      <c r="BF31" s="9">
        <v>1</v>
      </c>
      <c r="BG31" s="9"/>
      <c r="BH31" s="9">
        <v>1</v>
      </c>
      <c r="BL31" s="9"/>
      <c r="BM31" s="9">
        <v>1</v>
      </c>
      <c r="BN31" s="9"/>
      <c r="BO31" s="9">
        <v>1</v>
      </c>
      <c r="BS31" s="9"/>
      <c r="BT31" s="9">
        <v>1</v>
      </c>
      <c r="BU31" s="9"/>
      <c r="BV31" s="9">
        <v>1</v>
      </c>
      <c r="BZ31" s="9"/>
      <c r="CA31" s="9">
        <v>1</v>
      </c>
      <c r="CB31" s="9"/>
      <c r="CC31" s="9">
        <v>1</v>
      </c>
      <c r="CG31" s="9"/>
      <c r="CH31" s="9">
        <v>1</v>
      </c>
      <c r="CI31" s="9"/>
      <c r="CJ31" s="9">
        <v>1</v>
      </c>
      <c r="CN31" s="9"/>
      <c r="CO31" s="9"/>
      <c r="CP31" s="9"/>
      <c r="CQ31" s="9"/>
      <c r="CU31" s="9"/>
      <c r="CV31" s="9"/>
      <c r="CW31" s="9"/>
      <c r="CX31" s="9"/>
      <c r="DB31" s="9"/>
      <c r="DC31" s="9"/>
      <c r="DD31" s="9"/>
      <c r="DE31" s="9"/>
      <c r="DI31" s="9"/>
      <c r="DJ31" s="9"/>
      <c r="DK31" s="9"/>
      <c r="DL31" s="9"/>
      <c r="DP31" s="9"/>
      <c r="DQ31" s="9"/>
      <c r="DR31" s="9"/>
      <c r="DS31" s="9"/>
      <c r="DW31" s="9"/>
      <c r="DX31" s="9"/>
      <c r="DY31" s="9"/>
      <c r="DZ31" s="9"/>
      <c r="ED31" s="9"/>
      <c r="EE31" s="9"/>
      <c r="EF31" s="9"/>
      <c r="EG31" s="9"/>
      <c r="EK31" s="9"/>
      <c r="EL31" s="9"/>
      <c r="EM31" s="9"/>
      <c r="EN31" s="9"/>
      <c r="ER31" s="9"/>
      <c r="ES31" s="9"/>
      <c r="ET31" s="9"/>
      <c r="EU31" s="9"/>
      <c r="EY31" s="9"/>
      <c r="EZ31" s="9"/>
      <c r="FA31" s="9"/>
      <c r="FB31" s="9"/>
      <c r="FF31" s="9"/>
      <c r="FG31" s="9"/>
      <c r="FH31" s="9"/>
      <c r="FI31" s="9"/>
      <c r="FM31" s="9"/>
      <c r="FN31" s="9"/>
      <c r="FO31" s="9"/>
      <c r="FP31" s="9"/>
      <c r="FT31" s="9"/>
      <c r="FU31" s="9"/>
      <c r="FV31" s="9"/>
      <c r="FW31" s="9"/>
      <c r="GA31" s="9"/>
      <c r="GB31" s="9"/>
      <c r="GC31" s="9"/>
      <c r="GD31" s="9"/>
      <c r="GH31" s="9"/>
      <c r="GI31" s="9"/>
      <c r="GJ31" s="9"/>
      <c r="GK31" s="9"/>
      <c r="GO31" s="9"/>
      <c r="GP31" s="9"/>
      <c r="GQ31" s="9"/>
      <c r="GR31" s="9"/>
    </row>
    <row r="32" spans="2:200" outlineLevel="1">
      <c r="B32" t="s">
        <v>28</v>
      </c>
      <c r="C32" t="s">
        <v>127</v>
      </c>
      <c r="E32" s="8"/>
      <c r="F32" t="s">
        <v>57</v>
      </c>
      <c r="G32" s="9">
        <v>0.1</v>
      </c>
      <c r="I32" s="8">
        <f>+SUMIF($N$3:$XJ$3,I$3,$N32:$XJ32)</f>
        <v>5.5</v>
      </c>
      <c r="J32" s="10" cm="1">
        <f t="array" ref="J32">MAX(IF($N$3:$GS$3=$J$3,N32:GS32))</f>
        <v>0.8</v>
      </c>
      <c r="K32" s="10" cm="1">
        <f t="array" ref="K32">MAX(IF($N$3:$GS$3=$K$3,N32:GS32))</f>
        <v>0.5</v>
      </c>
      <c r="L32" s="8"/>
      <c r="O32" s="9"/>
      <c r="P32" s="9">
        <v>0.5</v>
      </c>
      <c r="Q32" s="9"/>
      <c r="R32" s="9">
        <v>0.5</v>
      </c>
      <c r="U32">
        <v>3.5</v>
      </c>
      <c r="V32" s="9">
        <v>0.5</v>
      </c>
      <c r="W32" s="9">
        <v>0.5</v>
      </c>
      <c r="X32" s="9">
        <v>0.5</v>
      </c>
      <c r="Y32" s="9">
        <v>0.5</v>
      </c>
      <c r="AC32" s="9">
        <v>0.5</v>
      </c>
      <c r="AD32" s="9">
        <v>0.5</v>
      </c>
      <c r="AE32" s="9">
        <v>0.5</v>
      </c>
      <c r="AF32" s="9">
        <v>0.5</v>
      </c>
      <c r="AI32">
        <v>2</v>
      </c>
      <c r="AJ32" s="9">
        <v>0.8</v>
      </c>
      <c r="AK32" s="9">
        <v>0.8</v>
      </c>
      <c r="AL32" s="9">
        <v>0.5</v>
      </c>
      <c r="AM32" s="9">
        <v>0.8</v>
      </c>
      <c r="AQ32" s="9"/>
      <c r="AR32" s="9">
        <v>0.8</v>
      </c>
      <c r="AS32" s="9"/>
      <c r="AT32" s="9">
        <v>0.8</v>
      </c>
      <c r="AX32" s="9"/>
      <c r="AY32" s="9">
        <v>0.8</v>
      </c>
      <c r="AZ32" s="9"/>
      <c r="BA32" s="9">
        <v>0.8</v>
      </c>
      <c r="BE32" s="9"/>
      <c r="BF32" s="9">
        <v>1</v>
      </c>
      <c r="BG32" s="9"/>
      <c r="BH32" s="9">
        <v>1</v>
      </c>
      <c r="BL32" s="9"/>
      <c r="BM32" s="9">
        <v>1</v>
      </c>
      <c r="BN32" s="9"/>
      <c r="BO32" s="9">
        <v>1</v>
      </c>
      <c r="BS32" s="9"/>
      <c r="BT32" s="9">
        <v>1</v>
      </c>
      <c r="BU32" s="9"/>
      <c r="BV32" s="9">
        <v>1</v>
      </c>
      <c r="BZ32" s="9"/>
      <c r="CA32" s="9">
        <v>1</v>
      </c>
      <c r="CB32" s="9"/>
      <c r="CC32" s="9">
        <v>1</v>
      </c>
      <c r="CG32" s="9"/>
      <c r="CH32" s="9">
        <v>1</v>
      </c>
      <c r="CI32" s="9"/>
      <c r="CJ32" s="9">
        <v>1</v>
      </c>
      <c r="CN32" s="9"/>
      <c r="CO32" s="9"/>
      <c r="CP32" s="9"/>
      <c r="CQ32" s="9"/>
      <c r="CU32" s="9"/>
      <c r="CV32" s="9"/>
      <c r="CW32" s="9"/>
      <c r="CX32" s="9"/>
      <c r="DB32" s="9"/>
      <c r="DC32" s="9"/>
      <c r="DD32" s="9"/>
      <c r="DE32" s="9"/>
      <c r="DI32" s="9"/>
      <c r="DJ32" s="9"/>
      <c r="DK32" s="9"/>
      <c r="DL32" s="9"/>
      <c r="DP32" s="9"/>
      <c r="DQ32" s="9"/>
      <c r="DR32" s="9"/>
      <c r="DS32" s="9"/>
      <c r="DW32" s="9"/>
      <c r="DX32" s="9"/>
      <c r="DY32" s="9"/>
      <c r="DZ32" s="9"/>
      <c r="ED32" s="9"/>
      <c r="EE32" s="9"/>
      <c r="EF32" s="9"/>
      <c r="EG32" s="9"/>
      <c r="EK32" s="9"/>
      <c r="EL32" s="9"/>
      <c r="EM32" s="9"/>
      <c r="EN32" s="9"/>
      <c r="ER32" s="9"/>
      <c r="ES32" s="9"/>
      <c r="ET32" s="9"/>
      <c r="EU32" s="9"/>
      <c r="EY32" s="9"/>
      <c r="EZ32" s="9"/>
      <c r="FA32" s="9"/>
      <c r="FB32" s="9"/>
      <c r="FF32" s="9"/>
      <c r="FG32" s="9"/>
      <c r="FH32" s="9"/>
      <c r="FI32" s="9"/>
      <c r="FM32" s="9"/>
      <c r="FN32" s="9"/>
      <c r="FO32" s="9"/>
      <c r="FP32" s="9"/>
      <c r="FT32" s="9"/>
      <c r="FU32" s="9"/>
      <c r="FV32" s="9"/>
      <c r="FW32" s="9"/>
      <c r="GA32" s="9"/>
      <c r="GB32" s="9"/>
      <c r="GC32" s="9"/>
      <c r="GD32" s="9"/>
      <c r="GH32" s="9"/>
      <c r="GI32" s="9"/>
      <c r="GJ32" s="9"/>
      <c r="GK32" s="9"/>
      <c r="GO32" s="9"/>
      <c r="GP32" s="9"/>
      <c r="GQ32" s="9"/>
      <c r="GR32" s="9"/>
    </row>
    <row r="33" spans="2:200" ht="15.6" customHeight="1" outlineLevel="1">
      <c r="B33" t="s">
        <v>28</v>
      </c>
      <c r="C33" t="s">
        <v>127</v>
      </c>
      <c r="E33" s="8"/>
      <c r="F33" t="s">
        <v>180</v>
      </c>
      <c r="G33" s="9">
        <v>0.1</v>
      </c>
      <c r="I33" s="8">
        <f>+SUMIF($N$3:$XJ$3,I$3,$N33:$XJ33)</f>
        <v>5</v>
      </c>
      <c r="J33" s="10" cm="1">
        <f t="array" ref="J33">MAX(IF($N$3:$GS$3=$J$3,N33:GS33))</f>
        <v>0.5</v>
      </c>
      <c r="K33" s="10" cm="1">
        <f t="array" ref="K33">MAX(IF($N$3:$GS$3=$K$3,N33:GS33))</f>
        <v>0</v>
      </c>
      <c r="L33" s="8"/>
      <c r="O33" s="9"/>
      <c r="P33" s="9">
        <v>0.5</v>
      </c>
      <c r="Q33" s="9"/>
      <c r="R33" s="9">
        <v>0.5</v>
      </c>
      <c r="V33" s="9"/>
      <c r="W33" s="9">
        <v>0.5</v>
      </c>
      <c r="X33" s="9"/>
      <c r="Y33" s="9">
        <v>0.5</v>
      </c>
      <c r="AB33">
        <v>5</v>
      </c>
      <c r="AC33" s="9">
        <v>0.5</v>
      </c>
      <c r="AD33" s="9">
        <v>0.5</v>
      </c>
      <c r="AE33" s="9"/>
      <c r="AF33" s="9">
        <v>0.5</v>
      </c>
      <c r="AJ33" s="9">
        <v>0.5</v>
      </c>
      <c r="AK33" s="9">
        <v>0.8</v>
      </c>
      <c r="AL33" s="9"/>
      <c r="AM33" s="9">
        <v>0.8</v>
      </c>
      <c r="AQ33" s="9"/>
      <c r="AR33" s="9">
        <v>0.8</v>
      </c>
      <c r="AS33" s="9"/>
      <c r="AT33" s="9">
        <v>0.8</v>
      </c>
      <c r="AX33" s="9"/>
      <c r="AY33" s="9">
        <v>0.8</v>
      </c>
      <c r="AZ33" s="9"/>
      <c r="BA33" s="9">
        <v>0.8</v>
      </c>
      <c r="BE33" s="9"/>
      <c r="BF33" s="9">
        <v>1</v>
      </c>
      <c r="BG33" s="9"/>
      <c r="BH33" s="9">
        <v>1</v>
      </c>
      <c r="BL33" s="9"/>
      <c r="BM33" s="9">
        <v>1</v>
      </c>
      <c r="BN33" s="9"/>
      <c r="BO33" s="9">
        <v>1</v>
      </c>
      <c r="BS33" s="9"/>
      <c r="BT33" s="9">
        <v>1</v>
      </c>
      <c r="BU33" s="9"/>
      <c r="BV33" s="9">
        <v>1</v>
      </c>
      <c r="BZ33" s="9"/>
      <c r="CA33" s="9">
        <v>1</v>
      </c>
      <c r="CB33" s="9"/>
      <c r="CC33" s="9">
        <v>1</v>
      </c>
      <c r="CG33" s="9"/>
      <c r="CH33" s="9">
        <v>1</v>
      </c>
      <c r="CI33" s="9"/>
      <c r="CJ33" s="9">
        <v>1</v>
      </c>
      <c r="CN33" s="9"/>
      <c r="CO33" s="9"/>
      <c r="CP33" s="9"/>
      <c r="CQ33" s="9"/>
      <c r="CU33" s="9"/>
      <c r="CV33" s="9"/>
      <c r="CW33" s="9"/>
      <c r="CX33" s="9"/>
      <c r="DB33" s="9"/>
      <c r="DC33" s="9"/>
      <c r="DD33" s="9"/>
      <c r="DE33" s="9"/>
      <c r="DI33" s="9"/>
      <c r="DJ33" s="9"/>
      <c r="DK33" s="9"/>
      <c r="DL33" s="9"/>
      <c r="DP33" s="9"/>
      <c r="DQ33" s="9"/>
      <c r="DR33" s="9"/>
      <c r="DS33" s="9"/>
      <c r="DW33" s="9"/>
      <c r="DX33" s="9"/>
      <c r="DY33" s="9"/>
      <c r="DZ33" s="9"/>
      <c r="ED33" s="9"/>
      <c r="EE33" s="9"/>
      <c r="EF33" s="9"/>
      <c r="EG33" s="9"/>
      <c r="EK33" s="9"/>
      <c r="EL33" s="9"/>
      <c r="EM33" s="9"/>
      <c r="EN33" s="9"/>
      <c r="ER33" s="9"/>
      <c r="ES33" s="9"/>
      <c r="ET33" s="9"/>
      <c r="EU33" s="9"/>
      <c r="EY33" s="9"/>
      <c r="EZ33" s="9"/>
      <c r="FA33" s="9"/>
      <c r="FB33" s="9"/>
      <c r="FF33" s="9"/>
      <c r="FG33" s="9"/>
      <c r="FH33" s="9"/>
      <c r="FI33" s="9"/>
      <c r="FM33" s="9"/>
      <c r="FN33" s="9"/>
      <c r="FO33" s="9"/>
      <c r="FP33" s="9"/>
      <c r="FT33" s="9"/>
      <c r="FU33" s="9"/>
      <c r="FV33" s="9"/>
      <c r="FW33" s="9"/>
      <c r="GA33" s="9"/>
      <c r="GB33" s="9"/>
      <c r="GC33" s="9"/>
      <c r="GD33" s="9"/>
      <c r="GH33" s="9"/>
      <c r="GI33" s="9"/>
      <c r="GJ33" s="9"/>
      <c r="GK33" s="9"/>
      <c r="GO33" s="9"/>
      <c r="GP33" s="9"/>
      <c r="GQ33" s="9"/>
      <c r="GR33" s="9"/>
    </row>
    <row r="34" spans="2:200" outlineLevel="1">
      <c r="B34" t="s">
        <v>28</v>
      </c>
      <c r="C34" t="s">
        <v>127</v>
      </c>
      <c r="E34" s="8"/>
      <c r="F34" t="s">
        <v>181</v>
      </c>
      <c r="G34" s="9">
        <v>0.1</v>
      </c>
      <c r="I34" s="8">
        <f>+SUMIF($N$3:$XJ$3,I$3,$N34:$XJ34)</f>
        <v>4</v>
      </c>
      <c r="J34" s="10" cm="1">
        <f t="array" ref="J34">MAX(IF($N$3:$GS$3=$J$3,N34:GS34))</f>
        <v>0.5</v>
      </c>
      <c r="K34" s="10" cm="1">
        <f t="array" ref="K34">MAX(IF($N$3:$GS$3=$K$3,N34:GS34))</f>
        <v>0.5</v>
      </c>
      <c r="L34" s="8"/>
      <c r="O34" s="9"/>
      <c r="P34" s="9"/>
      <c r="Q34" s="9"/>
      <c r="R34" s="9"/>
      <c r="V34" s="9"/>
      <c r="W34" s="9">
        <v>0.5</v>
      </c>
      <c r="X34" s="9"/>
      <c r="Y34" s="9">
        <v>0.5</v>
      </c>
      <c r="AB34">
        <v>4</v>
      </c>
      <c r="AC34" s="9">
        <v>0.5</v>
      </c>
      <c r="AD34" s="9">
        <v>0.5</v>
      </c>
      <c r="AE34" s="9">
        <v>0.5</v>
      </c>
      <c r="AF34" s="9">
        <v>0.5</v>
      </c>
      <c r="AJ34" s="9">
        <v>0.5</v>
      </c>
      <c r="AK34" s="9">
        <v>0.5</v>
      </c>
      <c r="AL34" s="9">
        <v>0.5</v>
      </c>
      <c r="AM34" s="9">
        <v>0.5</v>
      </c>
      <c r="AQ34" s="9"/>
      <c r="AR34" s="9">
        <v>0.8</v>
      </c>
      <c r="AS34" s="9"/>
      <c r="AT34" s="9">
        <v>0.8</v>
      </c>
      <c r="AX34" s="9"/>
      <c r="AY34" s="9">
        <v>0.8</v>
      </c>
      <c r="AZ34" s="9"/>
      <c r="BA34" s="9">
        <v>0.8</v>
      </c>
      <c r="BE34" s="9"/>
      <c r="BF34" s="9">
        <v>0.8</v>
      </c>
      <c r="BG34" s="9"/>
      <c r="BH34" s="9">
        <v>0.8</v>
      </c>
      <c r="BL34" s="9"/>
      <c r="BM34" s="9">
        <v>1</v>
      </c>
      <c r="BN34" s="9"/>
      <c r="BO34" s="9">
        <v>1</v>
      </c>
      <c r="BS34" s="9"/>
      <c r="BT34" s="9">
        <v>1</v>
      </c>
      <c r="BU34" s="9"/>
      <c r="BV34" s="9">
        <v>1</v>
      </c>
      <c r="BZ34" s="9"/>
      <c r="CA34" s="9">
        <v>1</v>
      </c>
      <c r="CB34" s="9"/>
      <c r="CC34" s="9">
        <v>1</v>
      </c>
      <c r="CG34" s="9"/>
      <c r="CH34" s="9">
        <v>1</v>
      </c>
      <c r="CI34" s="9"/>
      <c r="CJ34" s="9">
        <v>1</v>
      </c>
      <c r="CN34" s="9"/>
      <c r="CO34" s="9"/>
      <c r="CP34" s="9"/>
      <c r="CQ34" s="9"/>
      <c r="CU34" s="9"/>
      <c r="CV34" s="9"/>
      <c r="CW34" s="9"/>
      <c r="CX34" s="9"/>
      <c r="DB34" s="9"/>
      <c r="DC34" s="9"/>
      <c r="DD34" s="9"/>
      <c r="DE34" s="9"/>
      <c r="DI34" s="55" t="s">
        <v>198</v>
      </c>
      <c r="DJ34" s="9"/>
      <c r="DK34" s="9"/>
      <c r="DL34" s="9"/>
      <c r="DP34" s="9"/>
      <c r="DQ34" s="9"/>
      <c r="DR34" s="9"/>
      <c r="DS34" s="9"/>
      <c r="DW34" s="9"/>
      <c r="DX34" s="9"/>
      <c r="DY34" s="9"/>
      <c r="DZ34" s="9"/>
      <c r="ED34" s="9"/>
      <c r="EE34" s="9"/>
      <c r="EF34" s="9"/>
      <c r="EG34" s="9"/>
      <c r="EK34" s="9"/>
      <c r="EL34" s="9"/>
      <c r="EM34" s="9"/>
      <c r="EN34" s="9"/>
      <c r="ER34" s="9"/>
      <c r="ES34" s="9"/>
      <c r="ET34" s="9"/>
      <c r="EU34" s="9"/>
      <c r="EY34" s="9"/>
      <c r="EZ34" s="9"/>
      <c r="FA34" s="9"/>
      <c r="FB34" s="9"/>
      <c r="FF34" s="9"/>
      <c r="FG34" s="9"/>
      <c r="FH34" s="9"/>
      <c r="FI34" s="9"/>
      <c r="FM34" s="9"/>
      <c r="FN34" s="9"/>
      <c r="FO34" s="9"/>
      <c r="FP34" s="9"/>
      <c r="FT34" s="9"/>
      <c r="FU34" s="9"/>
      <c r="FV34" s="9"/>
      <c r="FW34" s="9"/>
      <c r="GA34" s="9"/>
      <c r="GB34" s="9"/>
      <c r="GC34" s="9"/>
      <c r="GD34" s="9"/>
      <c r="GH34" s="9"/>
      <c r="GI34" s="9"/>
      <c r="GJ34" s="9"/>
      <c r="GK34" s="9"/>
      <c r="GO34" s="9"/>
      <c r="GP34" s="9"/>
      <c r="GQ34" s="9"/>
      <c r="GR34" s="9"/>
    </row>
    <row r="35" spans="2:200" outlineLevel="1">
      <c r="B35" t="s">
        <v>28</v>
      </c>
      <c r="C35" t="s">
        <v>127</v>
      </c>
      <c r="E35" s="8"/>
      <c r="F35" t="s">
        <v>182</v>
      </c>
      <c r="G35" s="9">
        <v>0.1</v>
      </c>
      <c r="I35" s="8">
        <f>+SUMIF($N$3:$XJ$3,I$3,$N35:$XJ35)</f>
        <v>1</v>
      </c>
      <c r="J35" s="10" cm="1">
        <f t="array" ref="J35">MAX(IF($N$3:$GS$3=$J$3,N35:GS35))</f>
        <v>0</v>
      </c>
      <c r="K35" s="10" cm="1">
        <f t="array" ref="K35">MAX(IF($N$3:$GS$3=$K$3,N35:GS35))</f>
        <v>0</v>
      </c>
      <c r="L35" s="8"/>
      <c r="O35" s="9"/>
      <c r="P35" s="9"/>
      <c r="Q35" s="9"/>
      <c r="R35" s="9"/>
      <c r="V35" s="9"/>
      <c r="W35" s="9">
        <v>0.5</v>
      </c>
      <c r="X35" s="9"/>
      <c r="Y35" s="9">
        <v>0.5</v>
      </c>
      <c r="AB35">
        <v>1</v>
      </c>
      <c r="AC35" s="9"/>
      <c r="AD35" s="9">
        <v>0.5</v>
      </c>
      <c r="AE35" s="9"/>
      <c r="AF35" s="9">
        <v>0.5</v>
      </c>
      <c r="AJ35" s="9"/>
      <c r="AK35" s="9">
        <v>0.5</v>
      </c>
      <c r="AL35" s="9"/>
      <c r="AM35" s="9">
        <v>0.5</v>
      </c>
      <c r="AQ35" s="9"/>
      <c r="AR35" s="9">
        <v>0.8</v>
      </c>
      <c r="AS35" s="9"/>
      <c r="AT35" s="9">
        <v>0.8</v>
      </c>
      <c r="AX35" s="9"/>
      <c r="AY35" s="9">
        <v>0.8</v>
      </c>
      <c r="AZ35" s="9"/>
      <c r="BA35" s="9">
        <v>0.8</v>
      </c>
      <c r="BE35" s="9"/>
      <c r="BF35" s="9">
        <v>0.8</v>
      </c>
      <c r="BG35" s="9"/>
      <c r="BH35" s="9">
        <v>0.8</v>
      </c>
      <c r="BL35" s="9"/>
      <c r="BM35" s="9">
        <v>1</v>
      </c>
      <c r="BN35" s="9"/>
      <c r="BO35" s="9">
        <v>1</v>
      </c>
      <c r="BS35" s="9"/>
      <c r="BT35" s="9">
        <v>1</v>
      </c>
      <c r="BU35" s="9"/>
      <c r="BV35" s="9">
        <v>1</v>
      </c>
      <c r="BZ35" s="9"/>
      <c r="CA35" s="9">
        <v>1</v>
      </c>
      <c r="CB35" s="9"/>
      <c r="CC35" s="9">
        <v>1</v>
      </c>
      <c r="CG35" s="9"/>
      <c r="CH35" s="9">
        <v>1</v>
      </c>
      <c r="CI35" s="9"/>
      <c r="CJ35" s="9">
        <v>1</v>
      </c>
      <c r="CN35" s="9"/>
      <c r="CO35" s="9"/>
      <c r="CP35" s="9"/>
      <c r="CQ35" s="9"/>
      <c r="CU35" s="9"/>
      <c r="CV35" s="9"/>
      <c r="CW35" s="9"/>
      <c r="CX35" s="9"/>
      <c r="DB35" s="9"/>
      <c r="DC35" s="9"/>
      <c r="DD35" s="9"/>
      <c r="DE35" s="9"/>
      <c r="DI35" s="55"/>
      <c r="DJ35" s="9"/>
      <c r="DK35" s="9"/>
      <c r="DL35" s="9"/>
      <c r="DP35" s="9"/>
      <c r="DQ35" s="9"/>
      <c r="DR35" s="9"/>
      <c r="DS35" s="9"/>
      <c r="DW35" s="9"/>
      <c r="DX35" s="9"/>
      <c r="DY35" s="9"/>
      <c r="DZ35" s="9"/>
      <c r="ED35" s="9"/>
      <c r="EE35" s="9"/>
      <c r="EF35" s="9"/>
      <c r="EG35" s="9"/>
      <c r="EK35" s="9"/>
      <c r="EL35" s="9"/>
      <c r="EM35" s="9"/>
      <c r="EN35" s="9"/>
      <c r="ER35" s="9"/>
      <c r="ES35" s="9"/>
      <c r="ET35" s="9"/>
      <c r="EU35" s="9"/>
      <c r="EY35" s="9"/>
      <c r="EZ35" s="9"/>
      <c r="FA35" s="9"/>
      <c r="FB35" s="9"/>
      <c r="FF35" s="9"/>
      <c r="FG35" s="9"/>
      <c r="FH35" s="9"/>
      <c r="FI35" s="9"/>
      <c r="FM35" s="9"/>
      <c r="FN35" s="9"/>
      <c r="FO35" s="9"/>
      <c r="FP35" s="9"/>
      <c r="FT35" s="9"/>
      <c r="FU35" s="9"/>
      <c r="FV35" s="9"/>
      <c r="FW35" s="9"/>
      <c r="GA35" s="9"/>
      <c r="GB35" s="9"/>
      <c r="GC35" s="9"/>
      <c r="GD35" s="9"/>
      <c r="GH35" s="9"/>
      <c r="GI35" s="9"/>
      <c r="GJ35" s="9"/>
      <c r="GK35" s="9"/>
      <c r="GO35" s="9"/>
      <c r="GP35" s="9"/>
      <c r="GQ35" s="9"/>
      <c r="GR35" s="9"/>
    </row>
    <row r="36" spans="2:200" outlineLevel="1">
      <c r="B36" t="s">
        <v>28</v>
      </c>
      <c r="C36" t="s">
        <v>127</v>
      </c>
      <c r="E36" s="8"/>
      <c r="F36" t="s">
        <v>183</v>
      </c>
      <c r="G36" s="9">
        <v>0.1</v>
      </c>
      <c r="I36" s="8">
        <f>+SUMIF($N$3:$XJ$3,I$3,$N36:$XJ36)</f>
        <v>0</v>
      </c>
      <c r="J36" s="10" cm="1">
        <f t="array" ref="J36">MAX(IF($N$3:$GS$3=$J$3,N36:GS36))</f>
        <v>0</v>
      </c>
      <c r="K36" s="10" cm="1">
        <f t="array" ref="K36">MAX(IF($N$3:$GS$3=$K$3,N36:GS36))</f>
        <v>0</v>
      </c>
      <c r="L36" s="8"/>
      <c r="O36" s="9"/>
      <c r="P36" s="9"/>
      <c r="Q36" s="9"/>
      <c r="R36" s="9"/>
      <c r="V36" s="9"/>
      <c r="W36" s="9">
        <v>0.5</v>
      </c>
      <c r="X36" s="9"/>
      <c r="Y36" s="9">
        <v>0.5</v>
      </c>
      <c r="AC36" s="9"/>
      <c r="AD36" s="9">
        <v>0.5</v>
      </c>
      <c r="AE36" s="9"/>
      <c r="AF36" s="9">
        <v>0.5</v>
      </c>
      <c r="AJ36" s="9"/>
      <c r="AK36" s="9">
        <v>0.5</v>
      </c>
      <c r="AL36" s="9"/>
      <c r="AM36" s="9">
        <v>0.5</v>
      </c>
      <c r="AQ36" s="9"/>
      <c r="AR36" s="9">
        <v>0.5</v>
      </c>
      <c r="AS36" s="9"/>
      <c r="AT36" s="9">
        <v>0.5</v>
      </c>
      <c r="AX36" s="9"/>
      <c r="AY36" s="9">
        <v>0.8</v>
      </c>
      <c r="AZ36" s="9"/>
      <c r="BA36" s="9">
        <v>0.8</v>
      </c>
      <c r="BE36" s="9"/>
      <c r="BF36" s="9">
        <v>0.8</v>
      </c>
      <c r="BG36" s="9"/>
      <c r="BH36" s="9">
        <v>0.8</v>
      </c>
      <c r="BL36" s="9"/>
      <c r="BM36" s="9">
        <v>0.8</v>
      </c>
      <c r="BN36" s="9"/>
      <c r="BO36" s="9">
        <v>0.8</v>
      </c>
      <c r="BS36" s="9"/>
      <c r="BT36" s="9">
        <v>1</v>
      </c>
      <c r="BU36" s="9"/>
      <c r="BV36" s="9">
        <v>1</v>
      </c>
      <c r="BZ36" s="9"/>
      <c r="CA36" s="9">
        <v>1</v>
      </c>
      <c r="CB36" s="9"/>
      <c r="CC36" s="9">
        <v>1</v>
      </c>
      <c r="CG36" s="9"/>
      <c r="CH36" s="9">
        <v>1</v>
      </c>
      <c r="CI36" s="9"/>
      <c r="CJ36" s="9">
        <v>1</v>
      </c>
      <c r="CN36" s="9"/>
      <c r="CO36" s="9"/>
      <c r="CP36" s="9"/>
      <c r="CQ36" s="9"/>
      <c r="CU36" s="9"/>
      <c r="CV36" s="9"/>
      <c r="CW36" s="9"/>
      <c r="CX36" s="9"/>
      <c r="DB36" s="9"/>
      <c r="DC36" s="9"/>
      <c r="DD36" s="9"/>
      <c r="DE36" s="9"/>
      <c r="DI36" s="55"/>
      <c r="DJ36" s="9"/>
      <c r="DK36" s="9"/>
      <c r="DL36" s="9"/>
      <c r="DP36" s="9"/>
      <c r="DQ36" s="9"/>
      <c r="DR36" s="9"/>
      <c r="DS36" s="9"/>
      <c r="DW36" s="9"/>
      <c r="DX36" s="9"/>
      <c r="DY36" s="9"/>
      <c r="DZ36" s="9"/>
      <c r="ED36" s="9"/>
      <c r="EE36" s="9"/>
      <c r="EF36" s="9"/>
      <c r="EG36" s="9"/>
      <c r="EK36" s="9"/>
      <c r="EL36" s="9"/>
      <c r="EM36" s="9"/>
      <c r="EN36" s="9"/>
      <c r="ER36" s="9"/>
      <c r="ES36" s="9"/>
      <c r="ET36" s="9"/>
      <c r="EU36" s="9"/>
      <c r="EY36" s="9"/>
      <c r="EZ36" s="9"/>
      <c r="FA36" s="9"/>
      <c r="FB36" s="9"/>
      <c r="FF36" s="9"/>
      <c r="FG36" s="9"/>
      <c r="FH36" s="9"/>
      <c r="FI36" s="9"/>
      <c r="FM36" s="9"/>
      <c r="FN36" s="9"/>
      <c r="FO36" s="9"/>
      <c r="FP36" s="9"/>
      <c r="FT36" s="9"/>
      <c r="FU36" s="9"/>
      <c r="FV36" s="9"/>
      <c r="FW36" s="9"/>
      <c r="GA36" s="9"/>
      <c r="GB36" s="9"/>
      <c r="GC36" s="9"/>
      <c r="GD36" s="9"/>
      <c r="GH36" s="9"/>
      <c r="GI36" s="9"/>
      <c r="GJ36" s="9"/>
      <c r="GK36" s="9"/>
      <c r="GO36" s="9"/>
      <c r="GP36" s="9"/>
      <c r="GQ36" s="9"/>
      <c r="GR36" s="9"/>
    </row>
    <row r="37" spans="2:200" outlineLevel="1">
      <c r="B37" t="s">
        <v>28</v>
      </c>
      <c r="C37" t="s">
        <v>127</v>
      </c>
      <c r="E37" s="8"/>
      <c r="F37" t="s">
        <v>204</v>
      </c>
      <c r="G37" s="9">
        <v>0.1</v>
      </c>
      <c r="I37" s="8">
        <f>+SUMIF($N$3:$XJ$3,I$3,$N37:$XJ37)</f>
        <v>0</v>
      </c>
      <c r="J37" s="10" cm="1">
        <f t="array" ref="J37">MAX(IF($N$3:$GS$3=$J$3,N37:GS37))</f>
        <v>0</v>
      </c>
      <c r="K37" s="10" cm="1">
        <f t="array" ref="K37">MAX(IF($N$3:$GS$3=$K$3,N37:GS37))</f>
        <v>0.3</v>
      </c>
      <c r="L37" s="8"/>
      <c r="O37" s="9"/>
      <c r="P37" s="9"/>
      <c r="Q37" s="9"/>
      <c r="R37" s="9"/>
      <c r="V37" s="9"/>
      <c r="W37" s="9"/>
      <c r="X37" s="9"/>
      <c r="Y37" s="9"/>
      <c r="AC37" s="9"/>
      <c r="AD37" s="9">
        <v>0.5</v>
      </c>
      <c r="AE37" s="9">
        <v>0.3</v>
      </c>
      <c r="AF37" s="9">
        <v>0.5</v>
      </c>
      <c r="AJ37" s="9"/>
      <c r="AK37" s="9">
        <v>0.5</v>
      </c>
      <c r="AL37" s="9">
        <v>0.3</v>
      </c>
      <c r="AM37" s="9">
        <v>0.5</v>
      </c>
      <c r="AQ37" s="9"/>
      <c r="AR37" s="9">
        <v>0.5</v>
      </c>
      <c r="AS37" s="9"/>
      <c r="AT37" s="9">
        <v>0.5</v>
      </c>
      <c r="AX37" s="9"/>
      <c r="AY37" s="9">
        <v>0.8</v>
      </c>
      <c r="AZ37" s="9"/>
      <c r="BA37" s="9">
        <v>0.8</v>
      </c>
      <c r="BE37" s="9"/>
      <c r="BF37" s="9">
        <v>0.8</v>
      </c>
      <c r="BG37" s="9"/>
      <c r="BH37" s="9">
        <v>0.8</v>
      </c>
      <c r="BL37" s="9"/>
      <c r="BM37" s="9">
        <v>0.8</v>
      </c>
      <c r="BN37" s="9"/>
      <c r="BO37" s="9">
        <v>0.8</v>
      </c>
      <c r="BS37" s="9"/>
      <c r="BT37" s="9">
        <v>1</v>
      </c>
      <c r="BU37" s="9"/>
      <c r="BV37" s="9">
        <v>1</v>
      </c>
      <c r="BZ37" s="9"/>
      <c r="CA37" s="9">
        <v>1</v>
      </c>
      <c r="CB37" s="9"/>
      <c r="CC37" s="9">
        <v>1</v>
      </c>
      <c r="CG37" s="9"/>
      <c r="CH37" s="9">
        <v>1</v>
      </c>
      <c r="CI37" s="9"/>
      <c r="CJ37" s="9">
        <v>1</v>
      </c>
      <c r="CN37" s="9"/>
      <c r="CO37" s="9"/>
      <c r="CP37" s="9"/>
      <c r="CQ37" s="9"/>
      <c r="CU37" s="9"/>
      <c r="CV37" s="9"/>
      <c r="CW37" s="9"/>
      <c r="CX37" s="9"/>
      <c r="DB37" s="9"/>
      <c r="DC37" s="9"/>
      <c r="DD37" s="9"/>
      <c r="DE37" s="9"/>
      <c r="DI37" s="55"/>
      <c r="DJ37" s="9"/>
      <c r="DK37" s="9"/>
      <c r="DL37" s="9"/>
      <c r="DP37" s="9"/>
      <c r="DQ37" s="9"/>
      <c r="DR37" s="9"/>
      <c r="DS37" s="9"/>
      <c r="DW37" s="9"/>
      <c r="DX37" s="9"/>
      <c r="DY37" s="9"/>
      <c r="DZ37" s="9"/>
      <c r="ED37" s="9"/>
      <c r="EE37" s="9"/>
      <c r="EF37" s="9"/>
      <c r="EG37" s="9"/>
      <c r="EK37" s="9"/>
      <c r="EL37" s="9"/>
      <c r="EM37" s="9"/>
      <c r="EN37" s="9"/>
      <c r="ER37" s="9"/>
      <c r="ES37" s="9"/>
      <c r="ET37" s="9"/>
      <c r="EU37" s="9"/>
      <c r="EY37" s="9"/>
      <c r="EZ37" s="9"/>
      <c r="FA37" s="9"/>
      <c r="FB37" s="9"/>
      <c r="FF37" s="9"/>
      <c r="FG37" s="9"/>
      <c r="FH37" s="9"/>
      <c r="FI37" s="9"/>
      <c r="FM37" s="9"/>
      <c r="FN37" s="9"/>
      <c r="FO37" s="9"/>
      <c r="FP37" s="9"/>
      <c r="FT37" s="9"/>
      <c r="FU37" s="9"/>
      <c r="FV37" s="9"/>
      <c r="FW37" s="9"/>
      <c r="GA37" s="9"/>
      <c r="GB37" s="9"/>
      <c r="GC37" s="9"/>
      <c r="GD37" s="9"/>
      <c r="GH37" s="9"/>
      <c r="GI37" s="9"/>
      <c r="GJ37" s="9"/>
      <c r="GK37" s="9"/>
      <c r="GO37" s="9"/>
      <c r="GP37" s="9"/>
      <c r="GQ37" s="9"/>
      <c r="GR37" s="9"/>
    </row>
    <row r="38" spans="2:200" outlineLevel="1">
      <c r="B38" t="s">
        <v>28</v>
      </c>
      <c r="C38" t="s">
        <v>127</v>
      </c>
      <c r="E38" s="8"/>
      <c r="F38" t="s">
        <v>184</v>
      </c>
      <c r="G38" s="9">
        <v>0.1</v>
      </c>
      <c r="I38" s="8">
        <f>+SUMIF($N$3:$XJ$3,I$3,$N38:$XJ38)</f>
        <v>0</v>
      </c>
      <c r="J38" s="10" cm="1">
        <f t="array" ref="J38">MAX(IF($N$3:$GS$3=$J$3,N38:GS38))</f>
        <v>0</v>
      </c>
      <c r="K38" s="10" cm="1">
        <f t="array" ref="K38">MAX(IF($N$3:$GS$3=$K$3,N38:GS38))</f>
        <v>0</v>
      </c>
      <c r="L38" s="8"/>
      <c r="O38" s="9"/>
      <c r="P38" s="9"/>
      <c r="Q38" s="9"/>
      <c r="R38" s="9"/>
      <c r="V38" s="9"/>
      <c r="W38" s="9"/>
      <c r="X38" s="9"/>
      <c r="Y38" s="9"/>
      <c r="AC38" s="9"/>
      <c r="AD38" s="9"/>
      <c r="AE38" s="9"/>
      <c r="AF38" s="9"/>
      <c r="AJ38" s="9"/>
      <c r="AK38" s="9">
        <v>0.5</v>
      </c>
      <c r="AL38" s="9"/>
      <c r="AM38" s="9">
        <v>0.5</v>
      </c>
      <c r="AQ38" s="9"/>
      <c r="AR38" s="9">
        <v>0.5</v>
      </c>
      <c r="AS38" s="9"/>
      <c r="AT38" s="9">
        <v>0.5</v>
      </c>
      <c r="AX38" s="9"/>
      <c r="AY38" s="9">
        <v>0.5</v>
      </c>
      <c r="AZ38" s="9"/>
      <c r="BA38" s="9">
        <v>0.5</v>
      </c>
      <c r="BE38" s="9"/>
      <c r="BF38" s="9">
        <v>0.8</v>
      </c>
      <c r="BG38" s="9"/>
      <c r="BH38" s="9">
        <v>0.8</v>
      </c>
      <c r="BL38" s="9"/>
      <c r="BM38" s="9">
        <v>0.8</v>
      </c>
      <c r="BN38" s="9"/>
      <c r="BO38" s="9">
        <v>0.8</v>
      </c>
      <c r="BS38" s="9"/>
      <c r="BT38" s="9">
        <v>0.8</v>
      </c>
      <c r="BU38" s="9"/>
      <c r="BV38" s="9">
        <v>0.8</v>
      </c>
      <c r="BZ38" s="9"/>
      <c r="CA38" s="9">
        <v>1</v>
      </c>
      <c r="CB38" s="9"/>
      <c r="CC38" s="9">
        <v>1</v>
      </c>
      <c r="CG38" s="9"/>
      <c r="CH38" s="9">
        <v>1</v>
      </c>
      <c r="CI38" s="9"/>
      <c r="CJ38" s="9">
        <v>1</v>
      </c>
      <c r="CN38" s="9"/>
      <c r="CO38" s="9"/>
      <c r="CP38" s="9"/>
      <c r="CQ38" s="9"/>
      <c r="CU38" s="9"/>
      <c r="CV38" s="9"/>
      <c r="CW38" s="9"/>
      <c r="CX38" s="9"/>
      <c r="DB38" s="9"/>
      <c r="DC38" s="9"/>
      <c r="DD38" s="9"/>
      <c r="DE38" s="9"/>
      <c r="DI38" s="9"/>
      <c r="DJ38" s="9"/>
      <c r="DK38" s="9"/>
      <c r="DL38" s="9"/>
      <c r="DP38" s="9"/>
      <c r="DQ38" s="9"/>
      <c r="DR38" s="9"/>
      <c r="DS38" s="9"/>
      <c r="DW38" s="9"/>
      <c r="DX38" s="9"/>
      <c r="DY38" s="9"/>
      <c r="DZ38" s="9"/>
      <c r="ED38" s="9"/>
      <c r="EE38" s="9"/>
      <c r="EF38" s="9"/>
      <c r="EG38" s="9"/>
      <c r="EK38" s="9"/>
      <c r="EL38" s="9"/>
      <c r="EM38" s="9"/>
      <c r="EN38" s="9"/>
      <c r="ER38" s="9"/>
      <c r="ES38" s="9"/>
      <c r="ET38" s="9"/>
      <c r="EU38" s="9"/>
      <c r="EY38" s="9"/>
      <c r="EZ38" s="9"/>
      <c r="FA38" s="9"/>
      <c r="FB38" s="9"/>
      <c r="FF38" s="9"/>
      <c r="FG38" s="9"/>
      <c r="FH38" s="9"/>
      <c r="FI38" s="9"/>
      <c r="FM38" s="9"/>
      <c r="FN38" s="9"/>
      <c r="FO38" s="9"/>
      <c r="FP38" s="9"/>
      <c r="FT38" s="9"/>
      <c r="FU38" s="9"/>
      <c r="FV38" s="9"/>
      <c r="FW38" s="9"/>
      <c r="GA38" s="9"/>
      <c r="GB38" s="9"/>
      <c r="GC38" s="9"/>
      <c r="GD38" s="9"/>
      <c r="GH38" s="9"/>
      <c r="GI38" s="9"/>
      <c r="GJ38" s="9"/>
      <c r="GK38" s="9"/>
      <c r="GO38" s="9"/>
      <c r="GP38" s="9"/>
      <c r="GQ38" s="9"/>
      <c r="GR38" s="9"/>
    </row>
    <row r="39" spans="2:200" outlineLevel="1">
      <c r="B39" t="s">
        <v>28</v>
      </c>
      <c r="C39" t="s">
        <v>127</v>
      </c>
      <c r="E39" s="8"/>
      <c r="F39" t="s">
        <v>185</v>
      </c>
      <c r="G39" s="9">
        <v>0.1</v>
      </c>
      <c r="I39" s="8">
        <f>+SUMIF($N$3:$XJ$3,I$3,$N39:$XJ39)</f>
        <v>0</v>
      </c>
      <c r="J39" s="10" cm="1">
        <f t="array" ref="J39">MAX(IF($N$3:$GS$3=$J$3,N39:GS39))</f>
        <v>0</v>
      </c>
      <c r="K39" s="10" cm="1">
        <f t="array" ref="K39">MAX(IF($N$3:$GS$3=$K$3,N39:GS39))</f>
        <v>0</v>
      </c>
      <c r="L39" s="8"/>
      <c r="O39" s="9"/>
      <c r="P39" s="9"/>
      <c r="Q39" s="9"/>
      <c r="R39" s="9"/>
      <c r="V39" s="9"/>
      <c r="W39" s="9"/>
      <c r="X39" s="9"/>
      <c r="Y39" s="9"/>
      <c r="AC39" s="9"/>
      <c r="AD39" s="9"/>
      <c r="AE39" s="9"/>
      <c r="AF39" s="9"/>
      <c r="AJ39" s="9"/>
      <c r="AK39" s="9">
        <v>0.5</v>
      </c>
      <c r="AL39" s="9"/>
      <c r="AM39" s="9">
        <v>0.5</v>
      </c>
      <c r="AQ39" s="9"/>
      <c r="AR39" s="9">
        <v>0.5</v>
      </c>
      <c r="AS39" s="9"/>
      <c r="AT39" s="9">
        <v>0.5</v>
      </c>
      <c r="AX39" s="9"/>
      <c r="AY39" s="9">
        <v>0.5</v>
      </c>
      <c r="AZ39" s="9"/>
      <c r="BA39" s="9">
        <v>0.5</v>
      </c>
      <c r="BE39" s="9"/>
      <c r="BF39" s="9">
        <v>0.8</v>
      </c>
      <c r="BG39" s="9"/>
      <c r="BH39" s="9">
        <v>0.8</v>
      </c>
      <c r="BL39" s="9"/>
      <c r="BM39" s="9">
        <v>0.8</v>
      </c>
      <c r="BN39" s="9"/>
      <c r="BO39" s="9">
        <v>0.8</v>
      </c>
      <c r="BS39" s="9"/>
      <c r="BT39" s="9">
        <v>0.8</v>
      </c>
      <c r="BU39" s="9"/>
      <c r="BV39" s="9">
        <v>0.8</v>
      </c>
      <c r="BZ39" s="9"/>
      <c r="CA39" s="9">
        <v>1</v>
      </c>
      <c r="CB39" s="9"/>
      <c r="CC39" s="9">
        <v>1</v>
      </c>
      <c r="CG39" s="9"/>
      <c r="CH39" s="9">
        <v>1</v>
      </c>
      <c r="CI39" s="9"/>
      <c r="CJ39" s="9">
        <v>1</v>
      </c>
      <c r="CN39" s="9"/>
      <c r="CO39" s="9"/>
      <c r="CP39" s="9"/>
      <c r="CQ39" s="9"/>
      <c r="CU39" s="9"/>
      <c r="CV39" s="9"/>
      <c r="CW39" s="9"/>
      <c r="CX39" s="9"/>
      <c r="DB39" s="9"/>
      <c r="DC39" s="9"/>
      <c r="DD39" s="9"/>
      <c r="DE39" s="9"/>
      <c r="DI39" s="9"/>
      <c r="DJ39" s="9"/>
      <c r="DK39" s="9"/>
      <c r="DL39" s="9"/>
      <c r="DP39" s="9"/>
      <c r="DQ39" s="9"/>
      <c r="DR39" s="9"/>
      <c r="DS39" s="9"/>
      <c r="DW39" s="9"/>
      <c r="DX39" s="9"/>
      <c r="DY39" s="9"/>
      <c r="DZ39" s="9"/>
      <c r="ED39" s="9"/>
      <c r="EE39" s="9"/>
      <c r="EF39" s="9"/>
      <c r="EG39" s="9"/>
      <c r="EK39" s="9"/>
      <c r="EL39" s="9"/>
      <c r="EM39" s="9"/>
      <c r="EN39" s="9"/>
      <c r="ER39" s="9"/>
      <c r="ES39" s="9"/>
      <c r="ET39" s="9"/>
      <c r="EU39" s="9"/>
      <c r="EY39" s="9"/>
      <c r="EZ39" s="9"/>
      <c r="FA39" s="9"/>
      <c r="FB39" s="9"/>
      <c r="FF39" s="9"/>
      <c r="FG39" s="9"/>
      <c r="FH39" s="9"/>
      <c r="FI39" s="9"/>
      <c r="FM39" s="9"/>
      <c r="FN39" s="9"/>
      <c r="FO39" s="9"/>
      <c r="FP39" s="9"/>
      <c r="FT39" s="9"/>
      <c r="FU39" s="9"/>
      <c r="FV39" s="9"/>
      <c r="FW39" s="9"/>
      <c r="GA39" s="9"/>
      <c r="GB39" s="9"/>
      <c r="GC39" s="9"/>
      <c r="GD39" s="9"/>
      <c r="GH39" s="9"/>
      <c r="GI39" s="9"/>
      <c r="GJ39" s="9"/>
      <c r="GK39" s="9"/>
      <c r="GO39" s="9"/>
      <c r="GP39" s="9"/>
      <c r="GQ39" s="9"/>
      <c r="GR39" s="9"/>
    </row>
    <row r="40" spans="2:200" outlineLevel="1">
      <c r="B40" t="s">
        <v>28</v>
      </c>
      <c r="C40" t="s">
        <v>127</v>
      </c>
      <c r="E40" s="8"/>
      <c r="F40" t="s">
        <v>186</v>
      </c>
      <c r="G40" s="9">
        <v>0.05</v>
      </c>
      <c r="I40" s="8">
        <f>+SUMIF($N$3:$XJ$3,I$3,$N40:$XJ40)</f>
        <v>0</v>
      </c>
      <c r="J40" s="10" cm="1">
        <f t="array" ref="J40">MAX(IF($N$3:$GS$3=$J$3,N40:GS40))</f>
        <v>0</v>
      </c>
      <c r="K40" s="10" cm="1">
        <f t="array" ref="K40">MAX(IF($N$3:$GS$3=$K$3,N40:GS40))</f>
        <v>0</v>
      </c>
      <c r="L40" s="8"/>
      <c r="O40" s="9"/>
      <c r="P40" s="9"/>
      <c r="Q40" s="9"/>
      <c r="R40" s="9"/>
      <c r="V40" s="9"/>
      <c r="W40" s="9"/>
      <c r="X40" s="9"/>
      <c r="Y40" s="9"/>
      <c r="AC40" s="9"/>
      <c r="AD40" s="9"/>
      <c r="AE40" s="9"/>
      <c r="AF40" s="9"/>
      <c r="AJ40" s="9"/>
      <c r="AK40" s="9"/>
      <c r="AL40" s="9"/>
      <c r="AM40" s="9"/>
      <c r="AQ40" s="9"/>
      <c r="AR40" s="9">
        <v>0.5</v>
      </c>
      <c r="AS40" s="9"/>
      <c r="AT40" s="9">
        <v>0.5</v>
      </c>
      <c r="AX40" s="9"/>
      <c r="AY40" s="9">
        <v>0.5</v>
      </c>
      <c r="AZ40" s="9"/>
      <c r="BA40" s="9">
        <v>0.5</v>
      </c>
      <c r="BE40" s="9"/>
      <c r="BF40" s="9">
        <v>0.5</v>
      </c>
      <c r="BG40" s="9"/>
      <c r="BH40" s="9">
        <v>0.5</v>
      </c>
      <c r="BL40" s="9"/>
      <c r="BM40" s="9">
        <v>0.8</v>
      </c>
      <c r="BN40" s="9"/>
      <c r="BO40" s="9">
        <v>0.8</v>
      </c>
      <c r="BS40" s="9"/>
      <c r="BT40" s="9">
        <v>0.8</v>
      </c>
      <c r="BU40" s="9"/>
      <c r="BV40" s="9">
        <v>0.8</v>
      </c>
      <c r="BZ40" s="9"/>
      <c r="CA40" s="9">
        <v>0.8</v>
      </c>
      <c r="CB40" s="9"/>
      <c r="CC40" s="9">
        <v>0.8</v>
      </c>
      <c r="CG40" s="9"/>
      <c r="CH40" s="9">
        <v>1</v>
      </c>
      <c r="CI40" s="9"/>
      <c r="CJ40" s="9">
        <v>1</v>
      </c>
      <c r="CN40" s="9"/>
      <c r="CO40" s="9"/>
      <c r="CP40" s="9"/>
      <c r="CQ40" s="9"/>
      <c r="CU40" s="9"/>
      <c r="CV40" s="9"/>
      <c r="CW40" s="9"/>
      <c r="CX40" s="9"/>
      <c r="DB40" s="9"/>
      <c r="DC40" s="9"/>
      <c r="DD40" s="9"/>
      <c r="DE40" s="9"/>
      <c r="DI40" s="9"/>
      <c r="DJ40" s="9"/>
      <c r="DK40" s="9"/>
      <c r="DL40" s="9"/>
      <c r="DP40" s="9"/>
      <c r="DQ40" s="9"/>
      <c r="DR40" s="9"/>
      <c r="DS40" s="9"/>
      <c r="DW40" s="9"/>
      <c r="DX40" s="9"/>
      <c r="DY40" s="9"/>
      <c r="DZ40" s="9"/>
      <c r="ED40" s="9"/>
      <c r="EE40" s="9"/>
      <c r="EF40" s="9"/>
      <c r="EG40" s="9"/>
      <c r="EK40" s="9"/>
      <c r="EL40" s="9"/>
      <c r="EM40" s="9"/>
      <c r="EN40" s="9"/>
      <c r="ER40" s="9"/>
      <c r="ES40" s="9"/>
      <c r="ET40" s="9"/>
      <c r="EU40" s="9"/>
      <c r="EY40" s="9"/>
      <c r="EZ40" s="9"/>
      <c r="FA40" s="9"/>
      <c r="FB40" s="9"/>
      <c r="FF40" s="9"/>
      <c r="FG40" s="9"/>
      <c r="FH40" s="9"/>
      <c r="FI40" s="9"/>
      <c r="FM40" s="9"/>
      <c r="FN40" s="9"/>
      <c r="FO40" s="9"/>
      <c r="FP40" s="9"/>
      <c r="FT40" s="9"/>
      <c r="FU40" s="9"/>
      <c r="FV40" s="9"/>
      <c r="FW40" s="9"/>
      <c r="GA40" s="9"/>
      <c r="GB40" s="9"/>
      <c r="GC40" s="9"/>
      <c r="GD40" s="9"/>
      <c r="GH40" s="9"/>
      <c r="GI40" s="9"/>
      <c r="GJ40" s="9"/>
      <c r="GK40" s="9"/>
      <c r="GO40" s="9"/>
      <c r="GP40" s="9"/>
      <c r="GQ40" s="9"/>
      <c r="GR40" s="9"/>
    </row>
    <row r="41" spans="2:200" outlineLevel="1">
      <c r="B41" t="s">
        <v>28</v>
      </c>
      <c r="C41" t="s">
        <v>127</v>
      </c>
      <c r="E41" s="8"/>
      <c r="F41" t="s">
        <v>187</v>
      </c>
      <c r="G41" s="9">
        <v>0.05</v>
      </c>
      <c r="I41" s="8">
        <f>+SUMIF($N$3:$XJ$3,I$3,$N41:$XJ41)</f>
        <v>0</v>
      </c>
      <c r="J41" s="10" cm="1">
        <f t="array" ref="J41">MAX(IF($N$3:$GS$3=$J$3,N41:GS41))</f>
        <v>0</v>
      </c>
      <c r="K41" s="10" cm="1">
        <f t="array" ref="K41">MAX(IF($N$3:$GS$3=$K$3,N41:GS41))</f>
        <v>0</v>
      </c>
      <c r="L41" s="8"/>
      <c r="O41" s="9"/>
      <c r="P41" s="9"/>
      <c r="Q41" s="9"/>
      <c r="R41" s="9"/>
      <c r="V41" s="9"/>
      <c r="W41" s="9"/>
      <c r="X41" s="9"/>
      <c r="Y41" s="9"/>
      <c r="AC41" s="9"/>
      <c r="AD41" s="9"/>
      <c r="AE41" s="9"/>
      <c r="AF41" s="9"/>
      <c r="AJ41" s="9"/>
      <c r="AK41" s="9"/>
      <c r="AL41" s="9"/>
      <c r="AM41" s="9"/>
      <c r="AQ41" s="9"/>
      <c r="AR41" s="9">
        <v>0.5</v>
      </c>
      <c r="AS41" s="9"/>
      <c r="AT41" s="9">
        <v>0.5</v>
      </c>
      <c r="AX41" s="9"/>
      <c r="AY41" s="9">
        <v>0.5</v>
      </c>
      <c r="AZ41" s="9"/>
      <c r="BA41" s="9">
        <v>0.5</v>
      </c>
      <c r="BE41" s="9"/>
      <c r="BF41" s="9">
        <v>0.5</v>
      </c>
      <c r="BG41" s="9"/>
      <c r="BH41" s="9">
        <v>0.5</v>
      </c>
      <c r="BL41" s="9"/>
      <c r="BM41" s="9">
        <v>0.8</v>
      </c>
      <c r="BN41" s="9"/>
      <c r="BO41" s="9">
        <v>0.8</v>
      </c>
      <c r="BS41" s="9"/>
      <c r="BT41" s="9">
        <v>0.8</v>
      </c>
      <c r="BU41" s="9"/>
      <c r="BV41" s="9">
        <v>0.8</v>
      </c>
      <c r="BZ41" s="9"/>
      <c r="CA41" s="9">
        <v>0.8</v>
      </c>
      <c r="CB41" s="9"/>
      <c r="CC41" s="9">
        <v>0.8</v>
      </c>
      <c r="CG41" s="9"/>
      <c r="CH41" s="9">
        <v>1</v>
      </c>
      <c r="CI41" s="9"/>
      <c r="CJ41" s="9">
        <v>1</v>
      </c>
      <c r="CN41" s="9"/>
      <c r="CO41" s="9"/>
      <c r="CP41" s="9"/>
      <c r="CQ41" s="9"/>
      <c r="CU41" s="9"/>
      <c r="CV41" s="9"/>
      <c r="CW41" s="9"/>
      <c r="CX41" s="9"/>
      <c r="DB41" s="9"/>
      <c r="DC41" s="9"/>
      <c r="DD41" s="9"/>
      <c r="DE41" s="9"/>
      <c r="DI41" s="9"/>
      <c r="DJ41" s="9"/>
      <c r="DK41" s="9"/>
      <c r="DL41" s="9"/>
      <c r="DP41" s="9"/>
      <c r="DQ41" s="9"/>
      <c r="DR41" s="9"/>
      <c r="DS41" s="9"/>
      <c r="DW41" s="9"/>
      <c r="DX41" s="9"/>
      <c r="DY41" s="9"/>
      <c r="DZ41" s="9"/>
      <c r="ED41" s="9"/>
      <c r="EE41" s="9"/>
      <c r="EF41" s="9"/>
      <c r="EG41" s="9"/>
      <c r="EK41" s="9"/>
      <c r="EL41" s="9"/>
      <c r="EM41" s="9"/>
      <c r="EN41" s="9"/>
      <c r="ER41" s="9"/>
      <c r="ES41" s="9"/>
      <c r="ET41" s="9"/>
      <c r="EU41" s="9"/>
      <c r="EY41" s="9"/>
      <c r="EZ41" s="9"/>
      <c r="FA41" s="9"/>
      <c r="FB41" s="9"/>
      <c r="FF41" s="9"/>
      <c r="FG41" s="9"/>
      <c r="FH41" s="9"/>
      <c r="FI41" s="9"/>
      <c r="FM41" s="9"/>
      <c r="FN41" s="9"/>
      <c r="FO41" s="9"/>
      <c r="FP41" s="9"/>
      <c r="FT41" s="9"/>
      <c r="FU41" s="9"/>
      <c r="FV41" s="9"/>
      <c r="FW41" s="9"/>
      <c r="GA41" s="9"/>
      <c r="GB41" s="9"/>
      <c r="GC41" s="9"/>
      <c r="GD41" s="9"/>
      <c r="GH41" s="9"/>
      <c r="GI41" s="9"/>
      <c r="GJ41" s="9"/>
      <c r="GK41" s="9"/>
      <c r="GO41" s="9"/>
      <c r="GP41" s="9"/>
      <c r="GQ41" s="9"/>
      <c r="GR41" s="9"/>
    </row>
    <row r="43" spans="2:200">
      <c r="B43" t="s">
        <v>27</v>
      </c>
      <c r="C43" t="s">
        <v>40</v>
      </c>
      <c r="D43" s="25">
        <v>45863</v>
      </c>
      <c r="E43" s="8">
        <v>6</v>
      </c>
      <c r="G43" s="9">
        <f>+SUM(G44:G55)</f>
        <v>0.99999999999999989</v>
      </c>
      <c r="I43" s="11">
        <f>+SUM(I44:I55)</f>
        <v>18</v>
      </c>
      <c r="J43" s="10">
        <f>+SUMPRODUCT(G44:G55,J44:J55)</f>
        <v>0.16000000000000003</v>
      </c>
      <c r="K43" s="10">
        <f>+SUMPRODUCT(G44:G55,K44:K55)</f>
        <v>0.14500000000000002</v>
      </c>
      <c r="L43" s="8"/>
      <c r="N43" s="11">
        <f>+SUM(N44:N55)</f>
        <v>4</v>
      </c>
      <c r="U43" s="11">
        <f>+SUM(U44:U55)</f>
        <v>7</v>
      </c>
      <c r="AB43" s="11">
        <f>+SUM(AB44:AB55)</f>
        <v>5</v>
      </c>
      <c r="AI43" s="11">
        <f>+SUM(AI44:AI55)</f>
        <v>2</v>
      </c>
      <c r="AP43" s="11">
        <f>+SUM(AP44:AP55)</f>
        <v>0</v>
      </c>
      <c r="AW43" s="11">
        <f>+SUM(AW44:AW55)</f>
        <v>0</v>
      </c>
      <c r="BD43" s="11">
        <f>+SUM(BD44:BD55)</f>
        <v>0</v>
      </c>
      <c r="BK43" s="11">
        <f>+SUM(BK44:BK55)</f>
        <v>0</v>
      </c>
      <c r="BR43" s="11">
        <f>+SUM(BR44:BR55)</f>
        <v>0</v>
      </c>
      <c r="BY43" s="11">
        <f>+SUM(BY44:BY55)</f>
        <v>0</v>
      </c>
      <c r="CF43" s="11">
        <f>+SUM(CF44:CF55)</f>
        <v>0</v>
      </c>
      <c r="CM43" s="11">
        <f>+SUM(CM44:CM55)</f>
        <v>0</v>
      </c>
      <c r="CT43" s="11">
        <f>+SUM(CT44:CT55)</f>
        <v>0</v>
      </c>
      <c r="DA43" s="11">
        <f>+SUM(DA44:DA55)</f>
        <v>0</v>
      </c>
      <c r="DH43" s="11">
        <f>+SUM(DH44:DH55)</f>
        <v>0</v>
      </c>
      <c r="DO43" s="11">
        <f>+SUM(DO44:DO55)</f>
        <v>0</v>
      </c>
      <c r="DV43" s="11">
        <f>+SUM(DV44:DV55)</f>
        <v>0</v>
      </c>
      <c r="EC43" s="11">
        <f>+SUM(EC44:EC55)</f>
        <v>0</v>
      </c>
      <c r="EJ43" s="11">
        <f>+SUM(EJ44:EJ55)</f>
        <v>0</v>
      </c>
      <c r="EQ43" s="11">
        <f>+SUM(EQ44:EQ55)</f>
        <v>0</v>
      </c>
      <c r="EX43" s="11">
        <f>+SUM(EX44:EX55)</f>
        <v>0</v>
      </c>
      <c r="FE43" s="11">
        <f>+SUM(FE44:FE55)</f>
        <v>0</v>
      </c>
      <c r="FL43" s="11">
        <f>+SUM(FL44:FL55)</f>
        <v>0</v>
      </c>
      <c r="FS43" s="11">
        <f>+SUM(FS44:FS55)</f>
        <v>0</v>
      </c>
      <c r="FZ43" s="11">
        <f>+SUM(FZ44:FZ55)</f>
        <v>0</v>
      </c>
      <c r="GG43" s="11">
        <f>+SUM(GG44:GG55)</f>
        <v>0</v>
      </c>
      <c r="GN43" s="11">
        <f>+SUM(GN44:GN55)</f>
        <v>0</v>
      </c>
    </row>
    <row r="44" spans="2:200" outlineLevel="1">
      <c r="B44" t="s">
        <v>28</v>
      </c>
      <c r="C44" t="s">
        <v>40</v>
      </c>
      <c r="E44" s="8"/>
      <c r="F44" t="s">
        <v>59</v>
      </c>
      <c r="G44" s="9">
        <v>0.1</v>
      </c>
      <c r="I44" s="8">
        <f>+SUMIF($N$3:$XJ$3,I$3,$N44:$XJ44)</f>
        <v>6</v>
      </c>
      <c r="J44" s="10" cm="1">
        <f t="array" ref="J44">MAX(IF($N$3:$GS$3=$J$3,N44:GS44))</f>
        <v>0.8</v>
      </c>
      <c r="K44" s="10" cm="1">
        <f t="array" ref="K44">MAX(IF($N$3:$GS$3=$K$3,N44:GS44))</f>
        <v>0.8</v>
      </c>
      <c r="L44" s="8"/>
      <c r="N44">
        <v>3</v>
      </c>
      <c r="O44" s="9">
        <v>0.5</v>
      </c>
      <c r="P44" s="9">
        <v>0.5</v>
      </c>
      <c r="Q44" s="9">
        <v>0.8</v>
      </c>
      <c r="R44" s="9">
        <v>0.5</v>
      </c>
      <c r="U44">
        <v>3</v>
      </c>
      <c r="V44" s="9">
        <v>0.8</v>
      </c>
      <c r="W44" s="9">
        <v>0.8</v>
      </c>
      <c r="X44" s="9">
        <v>0.8</v>
      </c>
      <c r="Y44" s="9">
        <v>0.8</v>
      </c>
      <c r="AC44" s="9">
        <v>0.8</v>
      </c>
      <c r="AD44" s="9">
        <v>0.8</v>
      </c>
      <c r="AE44" s="9">
        <v>0.8</v>
      </c>
      <c r="AF44" s="9">
        <v>0.8</v>
      </c>
      <c r="AJ44" s="9">
        <v>0.8</v>
      </c>
      <c r="AK44" s="9">
        <v>0.8</v>
      </c>
      <c r="AL44" s="9">
        <v>0.8</v>
      </c>
      <c r="AM44" s="9">
        <v>0.8</v>
      </c>
      <c r="AQ44" s="9"/>
      <c r="AR44" s="9">
        <v>1</v>
      </c>
      <c r="AS44" s="9"/>
      <c r="AT44" s="9">
        <v>1</v>
      </c>
      <c r="AX44" s="9"/>
      <c r="AY44" s="9">
        <v>1</v>
      </c>
      <c r="AZ44" s="9"/>
      <c r="BA44" s="9">
        <v>1</v>
      </c>
      <c r="BE44" s="9"/>
      <c r="BF44" s="9">
        <v>1</v>
      </c>
      <c r="BG44" s="9"/>
      <c r="BH44" s="9">
        <v>1</v>
      </c>
      <c r="BL44" s="9"/>
      <c r="BM44" s="9">
        <v>1</v>
      </c>
      <c r="BN44" s="9"/>
      <c r="BO44" s="9">
        <v>1</v>
      </c>
      <c r="BS44" s="9"/>
      <c r="BT44" s="9">
        <v>1</v>
      </c>
      <c r="BU44" s="9"/>
      <c r="BV44" s="9">
        <v>1</v>
      </c>
      <c r="BZ44" s="9"/>
      <c r="CA44" s="9">
        <v>1</v>
      </c>
      <c r="CB44" s="9"/>
      <c r="CC44" s="9">
        <v>1</v>
      </c>
      <c r="CG44" s="9"/>
      <c r="CH44" s="9">
        <v>1</v>
      </c>
      <c r="CI44" s="9"/>
      <c r="CJ44" s="9">
        <v>1</v>
      </c>
      <c r="CN44" s="9"/>
      <c r="CO44" s="9">
        <v>1</v>
      </c>
      <c r="CP44" s="9"/>
      <c r="CQ44" s="9">
        <v>1</v>
      </c>
      <c r="CU44" s="9"/>
      <c r="CV44" s="9"/>
      <c r="CW44" s="9"/>
      <c r="CX44" s="9"/>
      <c r="DB44" s="9"/>
      <c r="DC44" s="9"/>
      <c r="DD44" s="9"/>
      <c r="DE44" s="9"/>
      <c r="DF44" s="55" t="s">
        <v>199</v>
      </c>
      <c r="DI44" s="9"/>
      <c r="DJ44" s="9"/>
      <c r="DK44" s="9"/>
      <c r="DL44" s="9"/>
      <c r="DP44" s="9"/>
      <c r="DQ44" s="9"/>
      <c r="DR44" s="9"/>
      <c r="DS44" s="9"/>
      <c r="DW44" s="9"/>
      <c r="DX44" s="9"/>
      <c r="DY44" s="9"/>
      <c r="DZ44" s="9"/>
      <c r="ED44" s="9"/>
      <c r="EE44" s="9"/>
      <c r="EF44" s="9"/>
      <c r="EG44" s="9"/>
      <c r="EK44" s="9"/>
      <c r="EL44" s="9"/>
      <c r="EM44" s="9"/>
      <c r="EN44" s="9"/>
      <c r="ER44" s="9"/>
      <c r="ES44" s="9"/>
      <c r="ET44" s="9"/>
      <c r="EU44" s="9"/>
      <c r="EY44" s="9"/>
      <c r="EZ44" s="9"/>
      <c r="FA44" s="9"/>
      <c r="FB44" s="9"/>
      <c r="FF44" s="9"/>
      <c r="FG44" s="9"/>
      <c r="FH44" s="9"/>
      <c r="FI44" s="9"/>
      <c r="FM44" s="9"/>
      <c r="FN44" s="9"/>
      <c r="FO44" s="9"/>
      <c r="FP44" s="9"/>
      <c r="FT44" s="9"/>
      <c r="FU44" s="9"/>
      <c r="FV44" s="9"/>
      <c r="FW44" s="9"/>
      <c r="GA44" s="9"/>
      <c r="GB44" s="9"/>
      <c r="GC44" s="9"/>
      <c r="GD44" s="9"/>
      <c r="GH44" s="9"/>
      <c r="GI44" s="9"/>
      <c r="GJ44" s="9"/>
      <c r="GK44" s="9"/>
      <c r="GO44" s="9"/>
      <c r="GP44" s="9"/>
      <c r="GQ44" s="9"/>
      <c r="GR44" s="9"/>
    </row>
    <row r="45" spans="2:200" outlineLevel="1">
      <c r="B45" t="s">
        <v>28</v>
      </c>
      <c r="C45" t="s">
        <v>40</v>
      </c>
      <c r="D45" s="16" t="s">
        <v>200</v>
      </c>
      <c r="E45" s="8"/>
      <c r="F45" t="s">
        <v>153</v>
      </c>
      <c r="G45" s="9">
        <v>0.05</v>
      </c>
      <c r="I45" s="8">
        <f>+SUMIF($N$3:$XJ$3,I$3,$N45:$XJ45)</f>
        <v>8</v>
      </c>
      <c r="J45" s="10" cm="1">
        <f t="array" ref="J45">MAX(IF($N$3:$GS$3=$J$3,N45:GS45))</f>
        <v>0.8</v>
      </c>
      <c r="K45" s="10" cm="1">
        <f t="array" ref="K45">MAX(IF($N$3:$GS$3=$K$3,N45:GS45))</f>
        <v>0.8</v>
      </c>
      <c r="L45" s="8"/>
      <c r="N45">
        <v>1</v>
      </c>
      <c r="O45" s="9"/>
      <c r="P45" s="9">
        <v>0.5</v>
      </c>
      <c r="Q45" s="9"/>
      <c r="R45" s="9">
        <v>0.5</v>
      </c>
      <c r="U45">
        <v>4</v>
      </c>
      <c r="V45" s="9">
        <v>0.8</v>
      </c>
      <c r="W45" s="9">
        <v>0.8</v>
      </c>
      <c r="X45" s="9">
        <v>0.8</v>
      </c>
      <c r="Y45" s="9">
        <v>0.8</v>
      </c>
      <c r="AB45">
        <v>1</v>
      </c>
      <c r="AC45" s="9">
        <v>0.8</v>
      </c>
      <c r="AD45" s="9">
        <v>0.8</v>
      </c>
      <c r="AE45" s="9">
        <v>0.8</v>
      </c>
      <c r="AF45" s="9">
        <v>0.8</v>
      </c>
      <c r="AI45">
        <v>2</v>
      </c>
      <c r="AJ45" s="9">
        <v>0.8</v>
      </c>
      <c r="AK45" s="9">
        <v>0.8</v>
      </c>
      <c r="AL45" s="9">
        <v>0.8</v>
      </c>
      <c r="AM45" s="9">
        <v>0.8</v>
      </c>
      <c r="AQ45" s="9"/>
      <c r="AR45" s="9">
        <v>0.8</v>
      </c>
      <c r="AS45" s="9"/>
      <c r="AT45" s="9">
        <v>0.8</v>
      </c>
      <c r="AX45" s="9"/>
      <c r="AY45" s="9">
        <v>1</v>
      </c>
      <c r="AZ45" s="9"/>
      <c r="BA45" s="9">
        <v>1</v>
      </c>
      <c r="BE45" s="9"/>
      <c r="BF45" s="9">
        <v>1</v>
      </c>
      <c r="BG45" s="9"/>
      <c r="BH45" s="9">
        <v>1</v>
      </c>
      <c r="BL45" s="9"/>
      <c r="BM45" s="9">
        <v>1</v>
      </c>
      <c r="BN45" s="9"/>
      <c r="BO45" s="9">
        <v>1</v>
      </c>
      <c r="BS45" s="9"/>
      <c r="BT45" s="9">
        <v>1</v>
      </c>
      <c r="BU45" s="9"/>
      <c r="BV45" s="9">
        <v>1</v>
      </c>
      <c r="BZ45" s="9"/>
      <c r="CA45" s="9">
        <v>1</v>
      </c>
      <c r="CB45" s="9"/>
      <c r="CC45" s="9">
        <v>1</v>
      </c>
      <c r="CG45" s="9"/>
      <c r="CH45" s="9">
        <v>1</v>
      </c>
      <c r="CI45" s="9"/>
      <c r="CJ45" s="9">
        <v>1</v>
      </c>
      <c r="CN45" s="9"/>
      <c r="CO45" s="9">
        <v>1</v>
      </c>
      <c r="CP45" s="9"/>
      <c r="CQ45" s="9">
        <v>1</v>
      </c>
      <c r="CU45" s="9"/>
      <c r="CV45" s="9"/>
      <c r="CW45" s="9"/>
      <c r="CX45" s="9"/>
      <c r="DB45" s="9"/>
      <c r="DC45" s="9"/>
      <c r="DD45" s="9"/>
      <c r="DE45" s="9"/>
      <c r="DF45" s="55"/>
      <c r="DI45" s="9"/>
      <c r="DJ45" s="9"/>
      <c r="DK45" s="9"/>
      <c r="DL45" s="9"/>
      <c r="DP45" s="9"/>
      <c r="DQ45" s="9"/>
      <c r="DR45" s="9"/>
      <c r="DS45" s="9"/>
      <c r="DW45" s="9"/>
      <c r="DX45" s="9"/>
      <c r="DY45" s="9"/>
      <c r="DZ45" s="9"/>
      <c r="ED45" s="9"/>
      <c r="EE45" s="9"/>
      <c r="EF45" s="9"/>
      <c r="EG45" s="9"/>
      <c r="EK45" s="9"/>
      <c r="EL45" s="9"/>
      <c r="EM45" s="9"/>
      <c r="EN45" s="9"/>
      <c r="ER45" s="9"/>
      <c r="ES45" s="9"/>
      <c r="ET45" s="9"/>
      <c r="EU45" s="9"/>
      <c r="EY45" s="9"/>
      <c r="EZ45" s="9"/>
      <c r="FA45" s="9"/>
      <c r="FB45" s="9"/>
      <c r="FF45" s="9"/>
      <c r="FG45" s="9"/>
      <c r="FH45" s="9"/>
      <c r="FI45" s="9"/>
      <c r="FM45" s="9"/>
      <c r="FN45" s="9"/>
      <c r="FO45" s="9"/>
      <c r="FP45" s="9"/>
      <c r="FT45" s="9"/>
      <c r="FU45" s="9"/>
      <c r="FV45" s="9"/>
      <c r="FW45" s="9"/>
      <c r="GA45" s="9"/>
      <c r="GB45" s="9"/>
      <c r="GC45" s="9"/>
      <c r="GD45" s="9"/>
      <c r="GH45" s="9"/>
      <c r="GI45" s="9"/>
      <c r="GJ45" s="9"/>
      <c r="GK45" s="9"/>
      <c r="GO45" s="9"/>
      <c r="GP45" s="9"/>
      <c r="GQ45" s="9"/>
      <c r="GR45" s="9"/>
    </row>
    <row r="46" spans="2:200" outlineLevel="1">
      <c r="B46" t="s">
        <v>28</v>
      </c>
      <c r="C46" t="s">
        <v>40</v>
      </c>
      <c r="E46" s="8"/>
      <c r="F46" t="s">
        <v>60</v>
      </c>
      <c r="G46" s="9">
        <v>0.05</v>
      </c>
      <c r="I46" s="8">
        <f>+SUMIF($N$3:$XJ$3,I$3,$N46:$XJ46)</f>
        <v>4</v>
      </c>
      <c r="J46" s="10" cm="1">
        <f t="array" ref="J46">MAX(IF($N$3:$GS$3=$J$3,N46:GS46))</f>
        <v>0.8</v>
      </c>
      <c r="K46" s="10" cm="1">
        <f t="array" ref="K46">MAX(IF($N$3:$GS$3=$K$3,N46:GS46))</f>
        <v>0.5</v>
      </c>
      <c r="L46" s="8"/>
      <c r="O46" s="9"/>
      <c r="P46" s="9"/>
      <c r="Q46" s="9"/>
      <c r="R46" s="9"/>
      <c r="V46" s="9"/>
      <c r="W46" s="9">
        <v>0.8</v>
      </c>
      <c r="X46" s="9"/>
      <c r="Y46" s="9">
        <v>0.8</v>
      </c>
      <c r="AB46">
        <v>4</v>
      </c>
      <c r="AC46" s="9">
        <v>0.8</v>
      </c>
      <c r="AD46" s="9">
        <v>0.8</v>
      </c>
      <c r="AE46" s="9">
        <v>0.5</v>
      </c>
      <c r="AF46" s="9">
        <v>0.8</v>
      </c>
      <c r="AJ46" s="9">
        <v>0.8</v>
      </c>
      <c r="AK46" s="9">
        <v>0.8</v>
      </c>
      <c r="AL46" s="9">
        <v>0.5</v>
      </c>
      <c r="AM46" s="9">
        <v>0.8</v>
      </c>
      <c r="AQ46" s="9"/>
      <c r="AR46" s="9">
        <v>0.8</v>
      </c>
      <c r="AS46" s="9"/>
      <c r="AT46" s="9">
        <v>0.8</v>
      </c>
      <c r="AX46" s="9"/>
      <c r="AY46" s="9">
        <v>0.8</v>
      </c>
      <c r="AZ46" s="9"/>
      <c r="BA46" s="9">
        <v>0.8</v>
      </c>
      <c r="BE46" s="9"/>
      <c r="BF46" s="9">
        <v>1</v>
      </c>
      <c r="BG46" s="9"/>
      <c r="BH46" s="9">
        <v>1</v>
      </c>
      <c r="BL46" s="9"/>
      <c r="BM46" s="9">
        <v>1</v>
      </c>
      <c r="BN46" s="9"/>
      <c r="BO46" s="9">
        <v>1</v>
      </c>
      <c r="BS46" s="9"/>
      <c r="BT46" s="9">
        <v>1</v>
      </c>
      <c r="BU46" s="9"/>
      <c r="BV46" s="9">
        <v>1</v>
      </c>
      <c r="BZ46" s="9"/>
      <c r="CA46" s="9">
        <v>1</v>
      </c>
      <c r="CB46" s="9"/>
      <c r="CC46" s="9">
        <v>1</v>
      </c>
      <c r="CG46" s="9"/>
      <c r="CH46" s="9">
        <v>1</v>
      </c>
      <c r="CI46" s="9"/>
      <c r="CJ46" s="9">
        <v>1</v>
      </c>
      <c r="CN46" s="9"/>
      <c r="CO46" s="9">
        <v>1</v>
      </c>
      <c r="CP46" s="9"/>
      <c r="CQ46" s="9">
        <v>1</v>
      </c>
      <c r="CU46" s="9"/>
      <c r="CV46" s="9"/>
      <c r="CW46" s="9"/>
      <c r="CX46" s="9"/>
      <c r="DB46" s="9"/>
      <c r="DC46" s="9"/>
      <c r="DD46" s="9"/>
      <c r="DE46" s="9"/>
      <c r="DF46" s="55"/>
      <c r="DI46" s="9"/>
      <c r="DJ46" s="9"/>
      <c r="DK46" s="9"/>
      <c r="DL46" s="9"/>
      <c r="DP46" s="9"/>
      <c r="DQ46" s="9"/>
      <c r="DR46" s="9"/>
      <c r="DS46" s="9"/>
      <c r="DW46" s="9"/>
      <c r="DX46" s="9"/>
      <c r="DY46" s="9"/>
      <c r="DZ46" s="9"/>
      <c r="ED46" s="9"/>
      <c r="EE46" s="9"/>
      <c r="EF46" s="9"/>
      <c r="EG46" s="9"/>
      <c r="EK46" s="9"/>
      <c r="EL46" s="9"/>
      <c r="EM46" s="9"/>
      <c r="EN46" s="9"/>
      <c r="ER46" s="9"/>
      <c r="ES46" s="9"/>
      <c r="ET46" s="9"/>
      <c r="EU46" s="9"/>
      <c r="EY46" s="9"/>
      <c r="EZ46" s="9"/>
      <c r="FA46" s="9"/>
      <c r="FB46" s="9"/>
      <c r="FF46" s="9"/>
      <c r="FG46" s="9"/>
      <c r="FH46" s="9"/>
      <c r="FI46" s="9"/>
      <c r="FM46" s="9"/>
      <c r="FN46" s="9"/>
      <c r="FO46" s="9"/>
      <c r="FP46" s="9"/>
      <c r="FT46" s="9"/>
      <c r="FU46" s="9"/>
      <c r="FV46" s="9"/>
      <c r="FW46" s="9"/>
      <c r="GA46" s="9"/>
      <c r="GB46" s="9"/>
      <c r="GC46" s="9"/>
      <c r="GD46" s="9"/>
      <c r="GH46" s="9"/>
      <c r="GI46" s="9"/>
      <c r="GJ46" s="9"/>
      <c r="GK46" s="9"/>
      <c r="GO46" s="9"/>
      <c r="GP46" s="9"/>
      <c r="GQ46" s="9"/>
      <c r="GR46" s="9"/>
    </row>
    <row r="47" spans="2:200" outlineLevel="1">
      <c r="B47" t="s">
        <v>28</v>
      </c>
      <c r="C47" t="s">
        <v>40</v>
      </c>
      <c r="E47" s="8"/>
      <c r="F47" t="s">
        <v>61</v>
      </c>
      <c r="G47" s="9">
        <v>0.05</v>
      </c>
      <c r="I47" s="8">
        <f>+SUMIF($N$3:$XJ$3,I$3,$N47:$XJ47)</f>
        <v>0</v>
      </c>
      <c r="J47" s="10" cm="1">
        <f t="array" ref="J47">MAX(IF($N$3:$GS$3=$J$3,N47:GS47))</f>
        <v>0</v>
      </c>
      <c r="K47" s="10" cm="1">
        <f t="array" ref="K47">MAX(IF($N$3:$GS$3=$K$3,N47:GS47))</f>
        <v>0</v>
      </c>
      <c r="L47" s="8"/>
      <c r="O47" s="9"/>
      <c r="P47" s="9"/>
      <c r="Q47" s="9"/>
      <c r="R47" s="9"/>
      <c r="V47" s="9"/>
      <c r="W47" s="9"/>
      <c r="X47" s="9"/>
      <c r="Y47" s="9"/>
      <c r="AC47" s="9"/>
      <c r="AD47" s="9">
        <v>0.8</v>
      </c>
      <c r="AE47" s="9"/>
      <c r="AF47" s="9">
        <v>0.8</v>
      </c>
      <c r="AJ47" s="9"/>
      <c r="AK47" s="9">
        <v>0.8</v>
      </c>
      <c r="AL47" s="9"/>
      <c r="AM47" s="9">
        <v>0.8</v>
      </c>
      <c r="AQ47" s="9"/>
      <c r="AR47" s="9">
        <v>0.8</v>
      </c>
      <c r="AS47" s="9"/>
      <c r="AT47" s="9">
        <v>0.8</v>
      </c>
      <c r="AX47" s="9"/>
      <c r="AY47" s="9">
        <v>0.8</v>
      </c>
      <c r="AZ47" s="9"/>
      <c r="BA47" s="9">
        <v>0.8</v>
      </c>
      <c r="BE47" s="9"/>
      <c r="BF47" s="9">
        <v>0.8</v>
      </c>
      <c r="BG47" s="9"/>
      <c r="BH47" s="9">
        <v>0.8</v>
      </c>
      <c r="BL47" s="9"/>
      <c r="BM47" s="9">
        <v>1</v>
      </c>
      <c r="BN47" s="9"/>
      <c r="BO47" s="9">
        <v>1</v>
      </c>
      <c r="BS47" s="9"/>
      <c r="BT47" s="9">
        <v>1</v>
      </c>
      <c r="BU47" s="9"/>
      <c r="BV47" s="9">
        <v>1</v>
      </c>
      <c r="BZ47" s="9"/>
      <c r="CA47" s="9">
        <v>1</v>
      </c>
      <c r="CB47" s="9"/>
      <c r="CC47" s="9">
        <v>1</v>
      </c>
      <c r="CG47" s="9"/>
      <c r="CH47" s="9">
        <v>1</v>
      </c>
      <c r="CI47" s="9"/>
      <c r="CJ47" s="9">
        <v>1</v>
      </c>
      <c r="CN47" s="9"/>
      <c r="CO47" s="9">
        <v>1</v>
      </c>
      <c r="CP47" s="9"/>
      <c r="CQ47" s="9">
        <v>1</v>
      </c>
      <c r="CU47" s="9"/>
      <c r="CV47" s="9"/>
      <c r="CW47" s="9"/>
      <c r="CX47" s="9"/>
      <c r="DB47" s="9"/>
      <c r="DC47" s="9"/>
      <c r="DD47" s="9"/>
      <c r="DE47" s="9"/>
      <c r="DF47" s="55"/>
      <c r="DI47" s="9"/>
      <c r="DJ47" s="9"/>
      <c r="DK47" s="9"/>
      <c r="DL47" s="9"/>
      <c r="DP47" s="9"/>
      <c r="DQ47" s="9"/>
      <c r="DR47" s="9"/>
      <c r="DS47" s="9"/>
      <c r="DW47" s="9"/>
      <c r="DX47" s="9"/>
      <c r="DY47" s="9"/>
      <c r="DZ47" s="9"/>
      <c r="ED47" s="9"/>
      <c r="EE47" s="9"/>
      <c r="EF47" s="9"/>
      <c r="EG47" s="9"/>
      <c r="EK47" s="9"/>
      <c r="EL47" s="9"/>
      <c r="EM47" s="9"/>
      <c r="EN47" s="9"/>
      <c r="ER47" s="9"/>
      <c r="ES47" s="9"/>
      <c r="ET47" s="9"/>
      <c r="EU47" s="9"/>
      <c r="EY47" s="9"/>
      <c r="EZ47" s="9"/>
      <c r="FA47" s="9"/>
      <c r="FB47" s="9"/>
      <c r="FF47" s="9"/>
      <c r="FG47" s="9"/>
      <c r="FH47" s="9"/>
      <c r="FI47" s="9"/>
      <c r="FM47" s="9"/>
      <c r="FN47" s="9"/>
      <c r="FO47" s="9"/>
      <c r="FP47" s="9"/>
      <c r="FT47" s="9"/>
      <c r="FU47" s="9"/>
      <c r="FV47" s="9"/>
      <c r="FW47" s="9"/>
      <c r="GA47" s="9"/>
      <c r="GB47" s="9"/>
      <c r="GC47" s="9"/>
      <c r="GD47" s="9"/>
      <c r="GH47" s="9"/>
      <c r="GI47" s="9"/>
      <c r="GJ47" s="9"/>
      <c r="GK47" s="9"/>
      <c r="GO47" s="9"/>
      <c r="GP47" s="9"/>
      <c r="GQ47" s="9"/>
      <c r="GR47" s="9"/>
    </row>
    <row r="48" spans="2:200" outlineLevel="1">
      <c r="B48" t="s">
        <v>28</v>
      </c>
      <c r="C48" t="s">
        <v>40</v>
      </c>
      <c r="E48" s="8"/>
      <c r="F48" t="s">
        <v>62</v>
      </c>
      <c r="G48" s="9">
        <v>0.05</v>
      </c>
      <c r="I48" s="8">
        <f>+SUMIF($N$3:$XJ$3,I$3,$N48:$XJ48)</f>
        <v>0</v>
      </c>
      <c r="J48" s="10" cm="1">
        <f t="array" ref="J48">MAX(IF($N$3:$GS$3=$J$3,N48:GS48))</f>
        <v>0</v>
      </c>
      <c r="K48" s="10" cm="1">
        <f t="array" ref="K48">MAX(IF($N$3:$GS$3=$K$3,N48:GS48))</f>
        <v>0</v>
      </c>
      <c r="L48" s="8"/>
      <c r="O48" s="9"/>
      <c r="P48" s="9"/>
      <c r="Q48" s="9"/>
      <c r="R48" s="9"/>
      <c r="V48" s="9"/>
      <c r="W48" s="9"/>
      <c r="X48" s="9"/>
      <c r="Y48" s="9"/>
      <c r="AC48" s="9"/>
      <c r="AD48" s="9"/>
      <c r="AE48" s="9"/>
      <c r="AF48" s="9"/>
      <c r="AJ48" s="9"/>
      <c r="AK48" s="9">
        <v>0.8</v>
      </c>
      <c r="AL48" s="9"/>
      <c r="AM48" s="9">
        <v>0.8</v>
      </c>
      <c r="AQ48" s="9"/>
      <c r="AR48" s="9">
        <v>0.8</v>
      </c>
      <c r="AS48" s="9"/>
      <c r="AT48" s="9">
        <v>0.8</v>
      </c>
      <c r="AX48" s="9"/>
      <c r="AY48" s="9">
        <v>0.8</v>
      </c>
      <c r="AZ48" s="9"/>
      <c r="BA48" s="9">
        <v>0.8</v>
      </c>
      <c r="BE48" s="9"/>
      <c r="BF48" s="9">
        <v>0.8</v>
      </c>
      <c r="BG48" s="9"/>
      <c r="BH48" s="9">
        <v>0.8</v>
      </c>
      <c r="BL48" s="9"/>
      <c r="BM48" s="9">
        <v>0.8</v>
      </c>
      <c r="BN48" s="9"/>
      <c r="BO48" s="9">
        <v>0.8</v>
      </c>
      <c r="BS48" s="9"/>
      <c r="BT48" s="9">
        <v>1</v>
      </c>
      <c r="BU48" s="9"/>
      <c r="BV48" s="9">
        <v>1</v>
      </c>
      <c r="BZ48" s="9"/>
      <c r="CA48" s="9">
        <v>1</v>
      </c>
      <c r="CB48" s="9"/>
      <c r="CC48" s="9">
        <v>1</v>
      </c>
      <c r="CG48" s="9"/>
      <c r="CH48" s="9">
        <v>1</v>
      </c>
      <c r="CI48" s="9"/>
      <c r="CJ48" s="9">
        <v>1</v>
      </c>
      <c r="CN48" s="9"/>
      <c r="CO48" s="9">
        <v>1</v>
      </c>
      <c r="CP48" s="9"/>
      <c r="CQ48" s="9">
        <v>1</v>
      </c>
      <c r="CU48" s="9"/>
      <c r="CV48" s="9"/>
      <c r="CW48" s="9"/>
      <c r="CX48" s="9"/>
      <c r="DB48" s="9"/>
      <c r="DC48" s="9"/>
      <c r="DD48" s="9"/>
      <c r="DE48" s="9"/>
      <c r="DI48" s="9"/>
      <c r="DJ48" s="9"/>
      <c r="DK48" s="9"/>
      <c r="DL48" s="9"/>
      <c r="DP48" s="9"/>
      <c r="DQ48" s="9"/>
      <c r="DR48" s="9"/>
      <c r="DS48" s="9"/>
      <c r="DW48" s="9"/>
      <c r="DX48" s="9"/>
      <c r="DY48" s="9"/>
      <c r="DZ48" s="9"/>
      <c r="ED48" s="9"/>
      <c r="EE48" s="9"/>
      <c r="EF48" s="9"/>
      <c r="EG48" s="9"/>
      <c r="EK48" s="9"/>
      <c r="EL48" s="9"/>
      <c r="EM48" s="9"/>
      <c r="EN48" s="9"/>
      <c r="ER48" s="9"/>
      <c r="ES48" s="9"/>
      <c r="ET48" s="9"/>
      <c r="EU48" s="9"/>
      <c r="EY48" s="9"/>
      <c r="EZ48" s="9"/>
      <c r="FA48" s="9"/>
      <c r="FB48" s="9"/>
      <c r="FF48" s="9"/>
      <c r="FG48" s="9"/>
      <c r="FH48" s="9"/>
      <c r="FI48" s="9"/>
      <c r="FM48" s="9"/>
      <c r="FN48" s="9"/>
      <c r="FO48" s="9"/>
      <c r="FP48" s="9"/>
      <c r="FT48" s="9"/>
      <c r="FU48" s="9"/>
      <c r="FV48" s="9"/>
      <c r="FW48" s="9"/>
      <c r="GA48" s="9"/>
      <c r="GB48" s="9"/>
      <c r="GC48" s="9"/>
      <c r="GD48" s="9"/>
      <c r="GH48" s="9"/>
      <c r="GI48" s="9"/>
      <c r="GJ48" s="9"/>
      <c r="GK48" s="9"/>
      <c r="GO48" s="9"/>
      <c r="GP48" s="9"/>
      <c r="GQ48" s="9"/>
      <c r="GR48" s="9"/>
    </row>
    <row r="49" spans="2:200" outlineLevel="1">
      <c r="B49" t="s">
        <v>28</v>
      </c>
      <c r="C49" t="s">
        <v>40</v>
      </c>
      <c r="E49" s="8"/>
      <c r="F49" t="s">
        <v>63</v>
      </c>
      <c r="G49" s="9">
        <v>0.1</v>
      </c>
      <c r="I49" s="8">
        <f>+SUMIF($N$3:$XJ$3,I$3,$N49:$XJ49)</f>
        <v>0</v>
      </c>
      <c r="J49" s="10" cm="1">
        <f t="array" ref="J49">MAX(IF($N$3:$GS$3=$J$3,N49:GS49))</f>
        <v>0</v>
      </c>
      <c r="K49" s="10" cm="1">
        <f t="array" ref="K49">MAX(IF($N$3:$GS$3=$K$3,N49:GS49))</f>
        <v>0</v>
      </c>
      <c r="L49" s="8"/>
      <c r="O49" s="9"/>
      <c r="P49" s="9"/>
      <c r="Q49" s="9"/>
      <c r="R49" s="9"/>
      <c r="V49" s="9"/>
      <c r="W49" s="9"/>
      <c r="X49" s="9"/>
      <c r="Y49" s="9"/>
      <c r="AC49" s="9"/>
      <c r="AD49" s="9"/>
      <c r="AE49" s="9"/>
      <c r="AF49" s="9"/>
      <c r="AJ49" s="9"/>
      <c r="AK49" s="9"/>
      <c r="AL49" s="9"/>
      <c r="AM49" s="9"/>
      <c r="AQ49" s="9"/>
      <c r="AR49" s="9">
        <v>0.8</v>
      </c>
      <c r="AS49" s="9"/>
      <c r="AT49" s="9">
        <v>0.8</v>
      </c>
      <c r="AX49" s="9"/>
      <c r="AY49" s="9">
        <v>0.8</v>
      </c>
      <c r="AZ49" s="9"/>
      <c r="BA49" s="9">
        <v>0.8</v>
      </c>
      <c r="BE49" s="9"/>
      <c r="BF49" s="9">
        <v>0.8</v>
      </c>
      <c r="BG49" s="9"/>
      <c r="BH49" s="9">
        <v>0.8</v>
      </c>
      <c r="BL49" s="9"/>
      <c r="BM49" s="9">
        <v>0.8</v>
      </c>
      <c r="BN49" s="9"/>
      <c r="BO49" s="9">
        <v>0.8</v>
      </c>
      <c r="BS49" s="9"/>
      <c r="BT49" s="9">
        <v>0.8</v>
      </c>
      <c r="BU49" s="9"/>
      <c r="BV49" s="9">
        <v>0.8</v>
      </c>
      <c r="BZ49" s="9"/>
      <c r="CA49" s="9">
        <v>1</v>
      </c>
      <c r="CB49" s="9"/>
      <c r="CC49" s="9">
        <v>1</v>
      </c>
      <c r="CG49" s="9"/>
      <c r="CH49" s="9">
        <v>1</v>
      </c>
      <c r="CI49" s="9"/>
      <c r="CJ49" s="9">
        <v>1</v>
      </c>
      <c r="CN49" s="9"/>
      <c r="CO49" s="9">
        <v>1</v>
      </c>
      <c r="CP49" s="9"/>
      <c r="CQ49" s="9">
        <v>1</v>
      </c>
      <c r="CU49" s="9"/>
      <c r="CV49" s="9"/>
      <c r="CW49" s="9"/>
      <c r="CX49" s="9"/>
      <c r="DB49" s="9"/>
      <c r="DC49" s="9"/>
      <c r="DD49" s="9"/>
      <c r="DE49" s="9"/>
      <c r="DI49" s="9"/>
      <c r="DJ49" s="9"/>
      <c r="DK49" s="9"/>
      <c r="DL49" s="9"/>
      <c r="DP49" s="9"/>
      <c r="DQ49" s="9"/>
      <c r="DR49" s="9"/>
      <c r="DS49" s="9"/>
      <c r="DW49" s="9"/>
      <c r="DX49" s="9"/>
      <c r="DY49" s="9"/>
      <c r="DZ49" s="9"/>
      <c r="ED49" s="9"/>
      <c r="EE49" s="9"/>
      <c r="EF49" s="9"/>
      <c r="EG49" s="9"/>
      <c r="EK49" s="9"/>
      <c r="EL49" s="9"/>
      <c r="EM49" s="9"/>
      <c r="EN49" s="9"/>
      <c r="ER49" s="9"/>
      <c r="ES49" s="9"/>
      <c r="ET49" s="9"/>
      <c r="EU49" s="9"/>
      <c r="EY49" s="9"/>
      <c r="EZ49" s="9"/>
      <c r="FA49" s="9"/>
      <c r="FB49" s="9"/>
      <c r="FF49" s="9"/>
      <c r="FG49" s="9"/>
      <c r="FH49" s="9"/>
      <c r="FI49" s="9"/>
      <c r="FM49" s="9"/>
      <c r="FN49" s="9"/>
      <c r="FO49" s="9"/>
      <c r="FP49" s="9"/>
      <c r="FT49" s="9"/>
      <c r="FU49" s="9"/>
      <c r="FV49" s="9"/>
      <c r="FW49" s="9"/>
      <c r="GA49" s="9"/>
      <c r="GB49" s="9"/>
      <c r="GC49" s="9"/>
      <c r="GD49" s="9"/>
      <c r="GH49" s="9"/>
      <c r="GI49" s="9"/>
      <c r="GJ49" s="9"/>
      <c r="GK49" s="9"/>
      <c r="GO49" s="9"/>
      <c r="GP49" s="9"/>
      <c r="GQ49" s="9"/>
      <c r="GR49" s="9"/>
    </row>
    <row r="50" spans="2:200" outlineLevel="1">
      <c r="B50" t="s">
        <v>28</v>
      </c>
      <c r="C50" t="s">
        <v>40</v>
      </c>
      <c r="E50" s="8"/>
      <c r="F50" t="s">
        <v>64</v>
      </c>
      <c r="G50" s="9">
        <v>0.1</v>
      </c>
      <c r="I50" s="8">
        <f>+SUMIF($N$3:$XJ$3,I$3,$N50:$XJ50)</f>
        <v>0</v>
      </c>
      <c r="J50" s="10" cm="1">
        <f t="array" ref="J50">MAX(IF($N$3:$GS$3=$J$3,N50:GS50))</f>
        <v>0</v>
      </c>
      <c r="K50" s="10" cm="1">
        <f t="array" ref="K50">MAX(IF($N$3:$GS$3=$K$3,N50:GS50))</f>
        <v>0</v>
      </c>
      <c r="L50" s="8"/>
      <c r="O50" s="9"/>
      <c r="P50" s="9"/>
      <c r="Q50" s="9"/>
      <c r="R50" s="9"/>
      <c r="V50" s="9"/>
      <c r="W50" s="9"/>
      <c r="X50" s="9"/>
      <c r="Y50" s="9"/>
      <c r="AC50" s="9"/>
      <c r="AD50" s="9"/>
      <c r="AE50" s="9"/>
      <c r="AF50" s="9"/>
      <c r="AJ50" s="9"/>
      <c r="AK50" s="9"/>
      <c r="AL50" s="9"/>
      <c r="AM50" s="9"/>
      <c r="AQ50" s="9"/>
      <c r="AR50" s="9"/>
      <c r="AS50" s="9"/>
      <c r="AT50" s="9"/>
      <c r="AX50" s="9"/>
      <c r="AY50" s="9">
        <v>0.8</v>
      </c>
      <c r="AZ50" s="9"/>
      <c r="BA50" s="9">
        <v>0.8</v>
      </c>
      <c r="BE50" s="9"/>
      <c r="BF50" s="9">
        <v>0.8</v>
      </c>
      <c r="BG50" s="9"/>
      <c r="BH50" s="9">
        <v>0.8</v>
      </c>
      <c r="BL50" s="9"/>
      <c r="BM50" s="9">
        <v>0.8</v>
      </c>
      <c r="BN50" s="9"/>
      <c r="BO50" s="9">
        <v>0.8</v>
      </c>
      <c r="BS50" s="9"/>
      <c r="BT50" s="9">
        <v>0.8</v>
      </c>
      <c r="BU50" s="9"/>
      <c r="BV50" s="9">
        <v>0.8</v>
      </c>
      <c r="BZ50" s="9"/>
      <c r="CA50" s="9">
        <v>0.8</v>
      </c>
      <c r="CB50" s="9"/>
      <c r="CC50" s="9">
        <v>0.8</v>
      </c>
      <c r="CG50" s="9"/>
      <c r="CH50" s="9">
        <v>1</v>
      </c>
      <c r="CI50" s="9"/>
      <c r="CJ50" s="9">
        <v>1</v>
      </c>
      <c r="CN50" s="9"/>
      <c r="CO50" s="9">
        <v>1</v>
      </c>
      <c r="CP50" s="9"/>
      <c r="CQ50" s="9">
        <v>1</v>
      </c>
      <c r="CU50" s="9"/>
      <c r="CV50" s="9"/>
      <c r="CW50" s="9"/>
      <c r="CX50" s="9"/>
      <c r="DB50" s="9"/>
      <c r="DC50" s="9"/>
      <c r="DD50" s="9"/>
      <c r="DE50" s="9"/>
      <c r="DI50" s="9"/>
      <c r="DJ50" s="9"/>
      <c r="DK50" s="9"/>
      <c r="DL50" s="9"/>
      <c r="DP50" s="9"/>
      <c r="DQ50" s="9"/>
      <c r="DR50" s="9"/>
      <c r="DS50" s="9"/>
      <c r="DW50" s="9"/>
      <c r="DX50" s="9"/>
      <c r="DY50" s="9"/>
      <c r="DZ50" s="9"/>
      <c r="ED50" s="9"/>
      <c r="EE50" s="9"/>
      <c r="EF50" s="9"/>
      <c r="EG50" s="9"/>
      <c r="EK50" s="9"/>
      <c r="EL50" s="9"/>
      <c r="EM50" s="9"/>
      <c r="EN50" s="9"/>
      <c r="ER50" s="9"/>
      <c r="ES50" s="9"/>
      <c r="ET50" s="9"/>
      <c r="EU50" s="9"/>
      <c r="EY50" s="9"/>
      <c r="EZ50" s="9"/>
      <c r="FA50" s="9"/>
      <c r="FB50" s="9"/>
      <c r="FF50" s="9"/>
      <c r="FG50" s="9"/>
      <c r="FH50" s="9"/>
      <c r="FI50" s="9"/>
      <c r="FM50" s="9"/>
      <c r="FN50" s="9"/>
      <c r="FO50" s="9"/>
      <c r="FP50" s="9"/>
      <c r="FT50" s="9"/>
      <c r="FU50" s="9"/>
      <c r="FV50" s="9"/>
      <c r="FW50" s="9"/>
      <c r="GA50" s="9"/>
      <c r="GB50" s="9"/>
      <c r="GC50" s="9"/>
      <c r="GD50" s="9"/>
      <c r="GH50" s="9"/>
      <c r="GI50" s="9"/>
      <c r="GJ50" s="9"/>
      <c r="GK50" s="9"/>
      <c r="GO50" s="9"/>
      <c r="GP50" s="9"/>
      <c r="GQ50" s="9"/>
      <c r="GR50" s="9"/>
    </row>
    <row r="51" spans="2:200" outlineLevel="1">
      <c r="B51" t="s">
        <v>28</v>
      </c>
      <c r="C51" t="s">
        <v>40</v>
      </c>
      <c r="E51" s="8"/>
      <c r="F51" t="s">
        <v>65</v>
      </c>
      <c r="G51" s="9">
        <v>0.1</v>
      </c>
      <c r="I51" s="8">
        <f>+SUMIF($N$3:$XJ$3,I$3,$N51:$XJ51)</f>
        <v>0</v>
      </c>
      <c r="J51" s="10" cm="1">
        <f t="array" ref="J51">MAX(IF($N$3:$GS$3=$J$3,N51:GS51))</f>
        <v>0</v>
      </c>
      <c r="K51" s="10" cm="1">
        <f t="array" ref="K51">MAX(IF($N$3:$GS$3=$K$3,N51:GS51))</f>
        <v>0</v>
      </c>
      <c r="L51" s="8"/>
      <c r="O51" s="9"/>
      <c r="P51" s="9"/>
      <c r="Q51" s="9"/>
      <c r="R51" s="9"/>
      <c r="V51" s="9"/>
      <c r="W51" s="9"/>
      <c r="X51" s="9"/>
      <c r="Y51" s="9"/>
      <c r="AC51" s="9"/>
      <c r="AD51" s="9"/>
      <c r="AE51" s="9"/>
      <c r="AF51" s="9"/>
      <c r="AJ51" s="9"/>
      <c r="AK51" s="9"/>
      <c r="AL51" s="9"/>
      <c r="AM51" s="9"/>
      <c r="AQ51" s="9"/>
      <c r="AR51" s="9"/>
      <c r="AS51" s="9"/>
      <c r="AT51" s="9"/>
      <c r="AX51" s="9"/>
      <c r="AY51" s="9"/>
      <c r="AZ51" s="9"/>
      <c r="BA51" s="9"/>
      <c r="BE51" s="9"/>
      <c r="BF51" s="9">
        <v>0.8</v>
      </c>
      <c r="BG51" s="9"/>
      <c r="BH51" s="9">
        <v>0.8</v>
      </c>
      <c r="BL51" s="9"/>
      <c r="BM51" s="9">
        <v>0.8</v>
      </c>
      <c r="BN51" s="9"/>
      <c r="BO51" s="9">
        <v>0.8</v>
      </c>
      <c r="BS51" s="9"/>
      <c r="BT51" s="9">
        <v>0.8</v>
      </c>
      <c r="BU51" s="9"/>
      <c r="BV51" s="9">
        <v>0.8</v>
      </c>
      <c r="BZ51" s="9"/>
      <c r="CA51" s="9">
        <v>0.8</v>
      </c>
      <c r="CB51" s="9"/>
      <c r="CC51" s="9">
        <v>0.8</v>
      </c>
      <c r="CG51" s="9"/>
      <c r="CH51" s="9">
        <v>1</v>
      </c>
      <c r="CI51" s="9"/>
      <c r="CJ51" s="9">
        <v>1</v>
      </c>
      <c r="CN51" s="9"/>
      <c r="CO51" s="9">
        <v>1</v>
      </c>
      <c r="CP51" s="9"/>
      <c r="CQ51" s="9">
        <v>1</v>
      </c>
      <c r="CU51" s="9"/>
      <c r="CV51" s="9"/>
      <c r="CW51" s="9"/>
      <c r="CX51" s="9"/>
      <c r="DB51" s="9"/>
      <c r="DC51" s="9"/>
      <c r="DD51" s="9"/>
      <c r="DE51" s="9"/>
      <c r="DI51" s="9"/>
      <c r="DJ51" s="9"/>
      <c r="DK51" s="9"/>
      <c r="DL51" s="9"/>
      <c r="DP51" s="9"/>
      <c r="DQ51" s="9"/>
      <c r="DR51" s="9"/>
      <c r="DS51" s="9"/>
      <c r="DW51" s="9"/>
      <c r="DX51" s="9"/>
      <c r="DY51" s="9"/>
      <c r="DZ51" s="9"/>
      <c r="ED51" s="9"/>
      <c r="EE51" s="9"/>
      <c r="EF51" s="9"/>
      <c r="EG51" s="9"/>
      <c r="EK51" s="9"/>
      <c r="EL51" s="9"/>
      <c r="EM51" s="9"/>
      <c r="EN51" s="9"/>
      <c r="ER51" s="9"/>
      <c r="ES51" s="9"/>
      <c r="ET51" s="9"/>
      <c r="EU51" s="9"/>
      <c r="EY51" s="9"/>
      <c r="EZ51" s="9"/>
      <c r="FA51" s="9"/>
      <c r="FB51" s="9"/>
      <c r="FF51" s="9"/>
      <c r="FG51" s="9"/>
      <c r="FH51" s="9"/>
      <c r="FI51" s="9"/>
      <c r="FM51" s="9"/>
      <c r="FN51" s="9"/>
      <c r="FO51" s="9"/>
      <c r="FP51" s="9"/>
      <c r="FT51" s="9"/>
      <c r="FU51" s="9"/>
      <c r="FV51" s="9"/>
      <c r="FW51" s="9"/>
      <c r="GA51" s="9"/>
      <c r="GB51" s="9"/>
      <c r="GC51" s="9"/>
      <c r="GD51" s="9"/>
      <c r="GH51" s="9"/>
      <c r="GI51" s="9"/>
      <c r="GJ51" s="9"/>
      <c r="GK51" s="9"/>
      <c r="GO51" s="9"/>
      <c r="GP51" s="9"/>
      <c r="GQ51" s="9"/>
      <c r="GR51" s="9"/>
    </row>
    <row r="52" spans="2:200" outlineLevel="1">
      <c r="B52" t="s">
        <v>28</v>
      </c>
      <c r="C52" t="s">
        <v>40</v>
      </c>
      <c r="E52" s="8"/>
      <c r="F52" t="s">
        <v>66</v>
      </c>
      <c r="G52" s="9">
        <v>0.1</v>
      </c>
      <c r="I52" s="8">
        <f>+SUMIF($N$3:$XJ$3,I$3,$N52:$XJ52)</f>
        <v>0</v>
      </c>
      <c r="J52" s="10" cm="1">
        <f t="array" ref="J52">MAX(IF($N$3:$GS$3=$J$3,N52:GS52))</f>
        <v>0</v>
      </c>
      <c r="K52" s="10" cm="1">
        <f t="array" ref="K52">MAX(IF($N$3:$GS$3=$K$3,N52:GS52))</f>
        <v>0</v>
      </c>
      <c r="L52" s="8"/>
      <c r="O52" s="9"/>
      <c r="P52" s="9"/>
      <c r="Q52" s="9"/>
      <c r="R52" s="9"/>
      <c r="V52" s="9"/>
      <c r="W52" s="9"/>
      <c r="X52" s="9"/>
      <c r="Y52" s="9"/>
      <c r="AD52" s="9"/>
      <c r="AE52" s="9"/>
      <c r="AF52" s="9"/>
      <c r="AJ52" s="9"/>
      <c r="AK52" s="9"/>
      <c r="AL52" s="9"/>
      <c r="AM52" s="9"/>
      <c r="AQ52" s="9"/>
      <c r="AR52" s="9"/>
      <c r="AS52" s="9"/>
      <c r="AT52" s="9"/>
      <c r="AX52" s="9"/>
      <c r="AY52" s="9"/>
      <c r="AZ52" s="9"/>
      <c r="BA52" s="9"/>
      <c r="BE52" s="9"/>
      <c r="BF52" s="9"/>
      <c r="BG52" s="9"/>
      <c r="BH52" s="9"/>
      <c r="BL52" s="9"/>
      <c r="BM52" s="9">
        <v>0.8</v>
      </c>
      <c r="BN52" s="9"/>
      <c r="BO52" s="9">
        <v>0.8</v>
      </c>
      <c r="BS52" s="9"/>
      <c r="BT52" s="9">
        <v>0.8</v>
      </c>
      <c r="BU52" s="9"/>
      <c r="BV52" s="9">
        <v>0.8</v>
      </c>
      <c r="BZ52" s="9"/>
      <c r="CA52" s="9">
        <v>0.8</v>
      </c>
      <c r="CB52" s="9"/>
      <c r="CC52" s="9">
        <v>0.8</v>
      </c>
      <c r="CG52" s="9"/>
      <c r="CH52" s="9">
        <v>1</v>
      </c>
      <c r="CI52" s="9"/>
      <c r="CJ52" s="9">
        <v>1</v>
      </c>
      <c r="CN52" s="9"/>
      <c r="CO52" s="9">
        <v>1</v>
      </c>
      <c r="CP52" s="9"/>
      <c r="CQ52" s="9">
        <v>1</v>
      </c>
      <c r="CU52" s="9"/>
      <c r="CV52" s="9"/>
      <c r="CW52" s="9"/>
      <c r="CX52" s="9"/>
      <c r="DB52" s="9"/>
      <c r="DC52" s="9"/>
      <c r="DD52" s="9"/>
      <c r="DE52" s="9"/>
      <c r="DI52" s="9"/>
      <c r="DJ52" s="9"/>
      <c r="DK52" s="9"/>
      <c r="DL52" s="9"/>
      <c r="DP52" s="9"/>
      <c r="DQ52" s="9"/>
      <c r="DR52" s="9"/>
      <c r="DS52" s="9"/>
      <c r="DW52" s="9"/>
      <c r="DX52" s="9"/>
      <c r="DY52" s="9"/>
      <c r="DZ52" s="9"/>
      <c r="ED52" s="9"/>
      <c r="EE52" s="9"/>
      <c r="EF52" s="9"/>
      <c r="EG52" s="9"/>
      <c r="EK52" s="9"/>
      <c r="EL52" s="9"/>
      <c r="EM52" s="9"/>
      <c r="EN52" s="9"/>
      <c r="ER52" s="9"/>
      <c r="ES52" s="9"/>
      <c r="ET52" s="9"/>
      <c r="EU52" s="9"/>
      <c r="EY52" s="9"/>
      <c r="EZ52" s="9"/>
      <c r="FA52" s="9"/>
      <c r="FB52" s="9"/>
      <c r="FF52" s="9"/>
      <c r="FG52" s="9"/>
      <c r="FH52" s="9"/>
      <c r="FI52" s="9"/>
      <c r="FM52" s="9"/>
      <c r="FN52" s="9"/>
      <c r="FO52" s="9"/>
      <c r="FP52" s="9"/>
      <c r="FT52" s="9"/>
      <c r="FU52" s="9"/>
      <c r="FV52" s="9"/>
      <c r="FW52" s="9"/>
      <c r="GA52" s="9"/>
      <c r="GB52" s="9"/>
      <c r="GC52" s="9"/>
      <c r="GD52" s="9"/>
      <c r="GH52" s="9"/>
      <c r="GI52" s="9"/>
      <c r="GJ52" s="9"/>
      <c r="GK52" s="9"/>
      <c r="GO52" s="9"/>
      <c r="GP52" s="9"/>
      <c r="GQ52" s="9"/>
      <c r="GR52" s="9"/>
    </row>
    <row r="53" spans="2:200" outlineLevel="1">
      <c r="B53" t="s">
        <v>28</v>
      </c>
      <c r="C53" t="s">
        <v>40</v>
      </c>
      <c r="E53" s="8"/>
      <c r="F53" t="s">
        <v>67</v>
      </c>
      <c r="G53" s="9">
        <v>0.1</v>
      </c>
      <c r="I53" s="8">
        <f>+SUMIF($N$3:$XJ$3,I$3,$N53:$XJ53)</f>
        <v>0</v>
      </c>
      <c r="J53" s="10" cm="1">
        <f t="array" ref="J53">MAX(IF($N$3:$GS$3=$J$3,N53:GS53))</f>
        <v>0</v>
      </c>
      <c r="K53" s="10" cm="1">
        <f t="array" ref="K53">MAX(IF($N$3:$GS$3=$K$3,N53:GS53))</f>
        <v>0</v>
      </c>
      <c r="L53" s="8"/>
      <c r="O53" s="9"/>
      <c r="P53" s="9"/>
      <c r="Q53" s="9"/>
      <c r="R53" s="9"/>
      <c r="V53" s="9"/>
      <c r="W53" s="9"/>
      <c r="X53" s="9"/>
      <c r="Y53" s="9"/>
      <c r="AC53" s="9"/>
      <c r="AD53" s="9"/>
      <c r="AE53" s="9"/>
      <c r="AF53" s="9"/>
      <c r="AJ53" s="9"/>
      <c r="AK53" s="9"/>
      <c r="AL53" s="9"/>
      <c r="AM53" s="9"/>
      <c r="AQ53" s="9"/>
      <c r="AR53" s="9"/>
      <c r="AS53" s="9"/>
      <c r="AT53" s="9"/>
      <c r="AX53" s="9"/>
      <c r="AY53" s="9"/>
      <c r="AZ53" s="9"/>
      <c r="BA53" s="9"/>
      <c r="BE53" s="9"/>
      <c r="BF53" s="9"/>
      <c r="BG53" s="9"/>
      <c r="BH53" s="9"/>
      <c r="BL53" s="9"/>
      <c r="BM53" s="9"/>
      <c r="BN53" s="9"/>
      <c r="BO53" s="9"/>
      <c r="BS53" s="9"/>
      <c r="BT53" s="9">
        <v>0.8</v>
      </c>
      <c r="BU53" s="9"/>
      <c r="BV53" s="9">
        <v>0.8</v>
      </c>
      <c r="BZ53" s="9"/>
      <c r="CA53" s="9">
        <v>0.8</v>
      </c>
      <c r="CB53" s="9"/>
      <c r="CC53" s="9">
        <v>0.8</v>
      </c>
      <c r="CG53" s="9"/>
      <c r="CH53" s="9">
        <v>0.8</v>
      </c>
      <c r="CI53" s="9"/>
      <c r="CJ53" s="9">
        <v>0.8</v>
      </c>
      <c r="CN53" s="9"/>
      <c r="CO53" s="9">
        <v>1</v>
      </c>
      <c r="CP53" s="9"/>
      <c r="CQ53" s="9">
        <v>1</v>
      </c>
      <c r="CU53" s="9"/>
      <c r="CV53" s="9"/>
      <c r="CW53" s="9"/>
      <c r="CX53" s="9"/>
      <c r="DB53" s="9"/>
      <c r="DC53" s="9"/>
      <c r="DD53" s="9"/>
      <c r="DE53" s="9"/>
      <c r="DI53" s="9"/>
      <c r="DJ53" s="9"/>
      <c r="DK53" s="9"/>
      <c r="DL53" s="9"/>
      <c r="DP53" s="9"/>
      <c r="DQ53" s="9"/>
      <c r="DR53" s="9"/>
      <c r="DS53" s="9"/>
      <c r="DW53" s="9"/>
      <c r="DX53" s="9"/>
      <c r="DY53" s="9"/>
      <c r="DZ53" s="9"/>
      <c r="ED53" s="9"/>
      <c r="EE53" s="9"/>
      <c r="EF53" s="9"/>
      <c r="EG53" s="9"/>
      <c r="EK53" s="9"/>
      <c r="EL53" s="9"/>
      <c r="EM53" s="9"/>
      <c r="EN53" s="9"/>
      <c r="ER53" s="9"/>
      <c r="ES53" s="9"/>
      <c r="ET53" s="9"/>
      <c r="EU53" s="9"/>
      <c r="EY53" s="9"/>
      <c r="EZ53" s="9"/>
      <c r="FA53" s="9"/>
      <c r="FB53" s="9"/>
      <c r="FF53" s="9"/>
      <c r="FG53" s="9"/>
      <c r="FH53" s="9"/>
      <c r="FI53" s="9"/>
      <c r="FM53" s="9"/>
      <c r="FN53" s="9"/>
      <c r="FO53" s="9"/>
      <c r="FP53" s="9"/>
      <c r="FT53" s="9"/>
      <c r="FU53" s="9"/>
      <c r="FV53" s="9"/>
      <c r="FW53" s="9"/>
      <c r="GA53" s="9"/>
      <c r="GB53" s="9"/>
      <c r="GC53" s="9"/>
      <c r="GD53" s="9"/>
      <c r="GH53" s="9"/>
      <c r="GI53" s="9"/>
      <c r="GJ53" s="9"/>
      <c r="GK53" s="9"/>
      <c r="GO53" s="9"/>
      <c r="GP53" s="9"/>
      <c r="GQ53" s="9"/>
      <c r="GR53" s="9"/>
    </row>
    <row r="54" spans="2:200" outlineLevel="1">
      <c r="B54" t="s">
        <v>28</v>
      </c>
      <c r="C54" t="s">
        <v>40</v>
      </c>
      <c r="E54" s="8"/>
      <c r="F54" t="s">
        <v>68</v>
      </c>
      <c r="G54" s="9">
        <v>0.1</v>
      </c>
      <c r="I54" s="8">
        <f>+SUMIF($N$3:$XJ$3,I$3,$N54:$XJ54)</f>
        <v>0</v>
      </c>
      <c r="J54" s="10" cm="1">
        <f t="array" ref="J54">MAX(IF($N$3:$GS$3=$J$3,N54:GS54))</f>
        <v>0</v>
      </c>
      <c r="K54" s="10" cm="1">
        <f t="array" ref="K54">MAX(IF($N$3:$GS$3=$K$3,N54:GS54))</f>
        <v>0</v>
      </c>
      <c r="L54" s="8"/>
      <c r="O54" s="9"/>
      <c r="P54" s="9"/>
      <c r="Q54" s="9"/>
      <c r="R54" s="9"/>
      <c r="V54" s="9"/>
      <c r="W54" s="9"/>
      <c r="X54" s="9"/>
      <c r="Y54" s="9"/>
      <c r="AC54" s="9"/>
      <c r="AD54" s="9"/>
      <c r="AE54" s="9"/>
      <c r="AF54" s="9"/>
      <c r="AJ54" s="9"/>
      <c r="AK54" s="9"/>
      <c r="AL54" s="9"/>
      <c r="AM54" s="9"/>
      <c r="AQ54" s="9"/>
      <c r="AR54" s="9"/>
      <c r="AS54" s="9"/>
      <c r="AT54" s="9"/>
      <c r="AX54" s="9"/>
      <c r="AY54" s="9"/>
      <c r="AZ54" s="9"/>
      <c r="BA54" s="9"/>
      <c r="BE54" s="9"/>
      <c r="BF54" s="9"/>
      <c r="BG54" s="9"/>
      <c r="BH54" s="9"/>
      <c r="BL54" s="9"/>
      <c r="BM54" s="9"/>
      <c r="BN54" s="9"/>
      <c r="BO54" s="9"/>
      <c r="BS54" s="9"/>
      <c r="BT54" s="9"/>
      <c r="BU54" s="9"/>
      <c r="BV54" s="9"/>
      <c r="BZ54" s="9"/>
      <c r="CA54" s="9">
        <v>0.8</v>
      </c>
      <c r="CB54" s="9"/>
      <c r="CC54" s="9">
        <v>0.8</v>
      </c>
      <c r="CG54" s="9"/>
      <c r="CH54" s="9">
        <v>0.8</v>
      </c>
      <c r="CI54" s="9"/>
      <c r="CJ54" s="9">
        <v>0.8</v>
      </c>
      <c r="CN54" s="9"/>
      <c r="CO54" s="9">
        <v>1</v>
      </c>
      <c r="CP54" s="9"/>
      <c r="CQ54" s="9">
        <v>1</v>
      </c>
      <c r="CU54" s="9"/>
      <c r="CV54" s="9"/>
      <c r="CW54" s="9"/>
      <c r="CX54" s="9"/>
      <c r="DB54" s="9"/>
      <c r="DC54" s="9"/>
      <c r="DD54" s="9"/>
      <c r="DE54" s="9"/>
      <c r="DI54" s="9"/>
      <c r="DJ54" s="9"/>
      <c r="DK54" s="9"/>
      <c r="DL54" s="9"/>
      <c r="DP54" s="9"/>
      <c r="DQ54" s="9"/>
      <c r="DR54" s="9"/>
      <c r="DS54" s="9"/>
      <c r="DW54" s="9"/>
      <c r="DX54" s="9"/>
      <c r="DY54" s="9"/>
      <c r="DZ54" s="9"/>
      <c r="ED54" s="9"/>
      <c r="EE54" s="9"/>
      <c r="EF54" s="9"/>
      <c r="EG54" s="9"/>
      <c r="EK54" s="9"/>
      <c r="EL54" s="9"/>
      <c r="EM54" s="9"/>
      <c r="EN54" s="9"/>
      <c r="ER54" s="9"/>
      <c r="ES54" s="9"/>
      <c r="ET54" s="9"/>
      <c r="EU54" s="9"/>
      <c r="EY54" s="9"/>
      <c r="EZ54" s="9"/>
      <c r="FA54" s="9"/>
      <c r="FB54" s="9"/>
      <c r="FF54" s="9"/>
      <c r="FG54" s="9"/>
      <c r="FH54" s="9"/>
      <c r="FI54" s="9"/>
      <c r="FM54" s="9"/>
      <c r="FN54" s="9"/>
      <c r="FO54" s="9"/>
      <c r="FP54" s="9"/>
      <c r="FT54" s="9"/>
      <c r="FU54" s="9"/>
      <c r="FV54" s="9"/>
      <c r="FW54" s="9"/>
      <c r="GA54" s="9"/>
      <c r="GB54" s="9"/>
      <c r="GC54" s="9"/>
      <c r="GD54" s="9"/>
      <c r="GH54" s="9"/>
      <c r="GI54" s="9"/>
      <c r="GJ54" s="9"/>
      <c r="GK54" s="9"/>
      <c r="GO54" s="9"/>
      <c r="GP54" s="9"/>
      <c r="GQ54" s="9"/>
      <c r="GR54" s="9"/>
    </row>
    <row r="55" spans="2:200" outlineLevel="1">
      <c r="B55" t="s">
        <v>28</v>
      </c>
      <c r="C55" t="s">
        <v>40</v>
      </c>
      <c r="E55" s="8"/>
      <c r="F55" t="s">
        <v>69</v>
      </c>
      <c r="G55" s="9">
        <v>0.1</v>
      </c>
      <c r="I55" s="8">
        <f>+SUMIF($N$3:$XJ$3,I$3,$N55:$XJ55)</f>
        <v>0</v>
      </c>
      <c r="J55" s="10" cm="1">
        <f t="array" ref="J55">MAX(IF($N$3:$GS$3=$J$3,N55:GS55))</f>
        <v>0</v>
      </c>
      <c r="K55" s="10" cm="1">
        <f t="array" ref="K55">MAX(IF($N$3:$GS$3=$K$3,N55:GS55))</f>
        <v>0</v>
      </c>
      <c r="L55" s="8"/>
      <c r="O55" s="9"/>
      <c r="P55" s="9"/>
      <c r="Q55" s="9"/>
      <c r="R55" s="9"/>
      <c r="V55" s="9"/>
      <c r="W55" s="9"/>
      <c r="X55" s="9"/>
      <c r="Y55" s="9"/>
      <c r="AC55" s="9"/>
      <c r="AD55" s="9"/>
      <c r="AE55" s="9"/>
      <c r="AF55" s="9"/>
      <c r="AJ55" s="9"/>
      <c r="AK55" s="9"/>
      <c r="AL55" s="9"/>
      <c r="AM55" s="9"/>
      <c r="AQ55" s="9"/>
      <c r="AR55" s="9"/>
      <c r="AS55" s="9"/>
      <c r="AT55" s="9"/>
      <c r="AX55" s="9"/>
      <c r="AY55" s="9"/>
      <c r="AZ55" s="9"/>
      <c r="BA55" s="9"/>
      <c r="BE55" s="9"/>
      <c r="BF55" s="9"/>
      <c r="BG55" s="9"/>
      <c r="BH55" s="9"/>
      <c r="BL55" s="9"/>
      <c r="BM55" s="9"/>
      <c r="BN55" s="9"/>
      <c r="BO55" s="9"/>
      <c r="BS55" s="9"/>
      <c r="BT55" s="9"/>
      <c r="BU55" s="9"/>
      <c r="BV55" s="9"/>
      <c r="BZ55" s="9"/>
      <c r="CA55" s="9">
        <v>0.8</v>
      </c>
      <c r="CB55" s="9"/>
      <c r="CC55" s="9">
        <v>0.8</v>
      </c>
      <c r="CG55" s="9"/>
      <c r="CH55" s="9">
        <v>0.8</v>
      </c>
      <c r="CI55" s="9"/>
      <c r="CJ55" s="9">
        <v>0.8</v>
      </c>
      <c r="CN55" s="9"/>
      <c r="CO55" s="9">
        <v>1</v>
      </c>
      <c r="CP55" s="9"/>
      <c r="CQ55" s="9">
        <v>1</v>
      </c>
      <c r="CU55" s="9"/>
      <c r="CV55" s="9"/>
      <c r="CW55" s="9"/>
      <c r="CX55" s="9"/>
      <c r="DB55" s="9"/>
      <c r="DC55" s="9"/>
      <c r="DD55" s="9"/>
      <c r="DE55" s="9"/>
      <c r="DI55" s="9"/>
      <c r="DJ55" s="9"/>
      <c r="DK55" s="9"/>
      <c r="DL55" s="9"/>
      <c r="DP55" s="9"/>
      <c r="DQ55" s="9"/>
      <c r="DR55" s="9"/>
      <c r="DS55" s="9"/>
      <c r="DW55" s="9"/>
      <c r="DX55" s="9"/>
      <c r="DY55" s="9"/>
      <c r="DZ55" s="9"/>
      <c r="ED55" s="9"/>
      <c r="EE55" s="9"/>
      <c r="EF55" s="9"/>
      <c r="EG55" s="9"/>
      <c r="EK55" s="9"/>
      <c r="EL55" s="9"/>
      <c r="EM55" s="9"/>
      <c r="EN55" s="9"/>
      <c r="ER55" s="9"/>
      <c r="ES55" s="9"/>
      <c r="ET55" s="9"/>
      <c r="EU55" s="9"/>
      <c r="EY55" s="9"/>
      <c r="EZ55" s="9"/>
      <c r="FA55" s="9"/>
      <c r="FB55" s="9"/>
      <c r="FF55" s="9"/>
      <c r="FG55" s="9"/>
      <c r="FH55" s="9"/>
      <c r="FI55" s="9"/>
      <c r="FM55" s="9"/>
      <c r="FN55" s="9"/>
      <c r="FO55" s="9"/>
      <c r="FP55" s="9"/>
      <c r="FT55" s="9"/>
      <c r="FU55" s="9"/>
      <c r="FV55" s="9"/>
      <c r="FW55" s="9"/>
      <c r="GA55" s="9"/>
      <c r="GB55" s="9"/>
      <c r="GC55" s="9"/>
      <c r="GD55" s="9"/>
      <c r="GH55" s="9"/>
      <c r="GI55" s="9"/>
      <c r="GJ55" s="9"/>
      <c r="GK55" s="9"/>
      <c r="GO55" s="9"/>
      <c r="GP55" s="9"/>
      <c r="GQ55" s="9"/>
      <c r="GR55" s="9"/>
    </row>
    <row r="57" spans="2:200">
      <c r="B57" t="s">
        <v>27</v>
      </c>
      <c r="C57" t="s">
        <v>58</v>
      </c>
      <c r="D57" s="25">
        <v>45868</v>
      </c>
      <c r="E57" s="8">
        <v>6</v>
      </c>
      <c r="G57" s="9">
        <f>+SUM(G58:G68)</f>
        <v>0.9998999999999999</v>
      </c>
      <c r="I57" s="11">
        <f>+SUM(I58:I68)</f>
        <v>20</v>
      </c>
      <c r="J57" s="10">
        <f>+SUMPRODUCT(G58:G68,J58:J68)</f>
        <v>0.18179999999999999</v>
      </c>
      <c r="K57" s="10">
        <f>+SUMPRODUCT(G58:G68,K58:K68)</f>
        <v>0.18179999999999999</v>
      </c>
      <c r="L57" s="8"/>
      <c r="N57" s="11">
        <f>+SUM(N58:N68)</f>
        <v>4</v>
      </c>
      <c r="U57" s="11">
        <f>+SUM(U58:U68)</f>
        <v>8</v>
      </c>
      <c r="AB57" s="11">
        <f>+SUM(AB58:AB68)</f>
        <v>8</v>
      </c>
      <c r="AI57" s="11">
        <f>+SUM(AI58:AI68)</f>
        <v>0</v>
      </c>
      <c r="AP57" s="11">
        <f>+SUM(AP58:AP68)</f>
        <v>0</v>
      </c>
      <c r="AW57" s="11">
        <f>+SUM(AW58:AW68)</f>
        <v>0</v>
      </c>
      <c r="BD57" s="11">
        <f>+SUM(BD58:BD68)</f>
        <v>0</v>
      </c>
      <c r="BK57" s="11">
        <f>+SUM(BK58:BK68)</f>
        <v>0</v>
      </c>
      <c r="BR57" s="11">
        <f>+SUM(BR58:BR68)</f>
        <v>0</v>
      </c>
      <c r="BY57" s="11">
        <f>+SUM(BY58:BY68)</f>
        <v>0</v>
      </c>
      <c r="CF57" s="11">
        <f>+SUM(CF58:CF68)</f>
        <v>0</v>
      </c>
      <c r="CM57" s="11">
        <f>+SUM(CM58:CM68)</f>
        <v>0</v>
      </c>
      <c r="CT57" s="11">
        <f>+SUM(CT58:CT68)</f>
        <v>0</v>
      </c>
      <c r="DA57" s="11">
        <f>+SUM(DA58:DA68)</f>
        <v>0</v>
      </c>
      <c r="DH57" s="11">
        <f>+SUM(DH58:DH68)</f>
        <v>0</v>
      </c>
      <c r="DO57" s="11">
        <f>+SUM(DO58:DO68)</f>
        <v>0</v>
      </c>
      <c r="DV57" s="11">
        <f>+SUM(DV58:DV68)</f>
        <v>0</v>
      </c>
      <c r="EC57" s="11">
        <f>+SUM(EC58:EC68)</f>
        <v>0</v>
      </c>
      <c r="EJ57" s="11">
        <f>+SUM(EJ58:EJ68)</f>
        <v>0</v>
      </c>
      <c r="EQ57" s="11">
        <f>+SUM(EQ58:EQ68)</f>
        <v>0</v>
      </c>
      <c r="EX57" s="11">
        <f>+SUM(EX58:EX68)</f>
        <v>0</v>
      </c>
      <c r="FE57" s="11">
        <f>+SUM(FE58:FE68)</f>
        <v>0</v>
      </c>
      <c r="FL57" s="11">
        <f>+SUM(FL58:FL68)</f>
        <v>0</v>
      </c>
      <c r="FS57" s="11">
        <f>+SUM(FS58:FS68)</f>
        <v>0</v>
      </c>
      <c r="FZ57" s="11">
        <f>+SUM(FZ58:FZ68)</f>
        <v>0</v>
      </c>
      <c r="GG57" s="11">
        <f>+SUM(GG58:GG68)</f>
        <v>0</v>
      </c>
      <c r="GN57" s="11">
        <f>+SUM(GN58:GN68)</f>
        <v>0</v>
      </c>
    </row>
    <row r="58" spans="2:200" ht="15.6" customHeight="1" outlineLevel="1">
      <c r="B58" t="s">
        <v>28</v>
      </c>
      <c r="C58" t="s">
        <v>58</v>
      </c>
      <c r="E58" s="8"/>
      <c r="F58" t="s">
        <v>156</v>
      </c>
      <c r="G58" s="33">
        <v>9.0899999999999995E-2</v>
      </c>
      <c r="I58" s="8">
        <f>+SUMIF($N$3:$XJ$3,I$3,$N58:$XJ58)</f>
        <v>10</v>
      </c>
      <c r="J58" s="10" cm="1">
        <f t="array" ref="J58">MAX(IF($N$3:$GS$3=$J$3,N58:GS58))</f>
        <v>1</v>
      </c>
      <c r="K58" s="10" cm="1">
        <f t="array" ref="K58">MAX(IF($N$3:$GS$3=$K$3,N58:GS58))</f>
        <v>1</v>
      </c>
      <c r="L58" s="8"/>
      <c r="N58">
        <v>4</v>
      </c>
      <c r="O58" s="9">
        <v>0.4</v>
      </c>
      <c r="P58" s="9">
        <v>1</v>
      </c>
      <c r="Q58" s="9"/>
      <c r="R58" s="9">
        <v>1</v>
      </c>
      <c r="U58">
        <v>6</v>
      </c>
      <c r="V58" s="9">
        <v>1</v>
      </c>
      <c r="W58" s="9">
        <v>1</v>
      </c>
      <c r="X58" s="9">
        <v>1</v>
      </c>
      <c r="Y58" s="9">
        <v>1</v>
      </c>
      <c r="AC58" s="9">
        <v>1</v>
      </c>
      <c r="AD58" s="9">
        <v>1</v>
      </c>
      <c r="AE58" s="9">
        <v>1</v>
      </c>
      <c r="AF58" s="9">
        <v>1</v>
      </c>
      <c r="AJ58" s="9">
        <v>0.8</v>
      </c>
      <c r="AK58" s="9">
        <v>0.8</v>
      </c>
      <c r="AL58" s="9">
        <v>0.8</v>
      </c>
      <c r="AM58" s="9">
        <v>0.8</v>
      </c>
      <c r="AQ58" s="9">
        <v>0.8</v>
      </c>
      <c r="AR58" s="9">
        <v>0.8</v>
      </c>
      <c r="AS58" s="9">
        <v>0.8</v>
      </c>
      <c r="AT58" s="9">
        <v>0.8</v>
      </c>
      <c r="AX58" s="9">
        <v>0.8</v>
      </c>
      <c r="AY58" s="9">
        <v>1</v>
      </c>
      <c r="AZ58" s="9">
        <v>0.8</v>
      </c>
      <c r="BA58" s="9">
        <v>1</v>
      </c>
      <c r="BE58" s="9">
        <v>0.8</v>
      </c>
      <c r="BF58" s="9">
        <v>1</v>
      </c>
      <c r="BG58" s="9">
        <v>0.8</v>
      </c>
      <c r="BH58" s="9">
        <v>1</v>
      </c>
      <c r="BL58" s="9">
        <v>0.8</v>
      </c>
      <c r="BM58" s="9">
        <v>1</v>
      </c>
      <c r="BN58" s="9">
        <v>0.8</v>
      </c>
      <c r="BO58" s="9">
        <v>1</v>
      </c>
      <c r="BS58" s="9">
        <v>0.8</v>
      </c>
      <c r="BT58" s="9">
        <v>1</v>
      </c>
      <c r="BU58" s="9">
        <v>0.8</v>
      </c>
      <c r="BV58" s="9">
        <v>1</v>
      </c>
      <c r="BZ58" s="9">
        <v>0.8</v>
      </c>
      <c r="CA58" s="9">
        <v>1</v>
      </c>
      <c r="CB58" s="9">
        <v>0.8</v>
      </c>
      <c r="CC58" s="9">
        <v>1</v>
      </c>
      <c r="CG58" s="9"/>
      <c r="CH58" s="9"/>
      <c r="CI58" s="9"/>
      <c r="CJ58" s="9"/>
      <c r="CN58" s="9"/>
      <c r="CO58" s="9"/>
      <c r="CP58" s="9"/>
      <c r="CQ58" s="9"/>
      <c r="CU58" s="9"/>
      <c r="CV58" s="9"/>
      <c r="CW58" s="9"/>
      <c r="CX58" s="9"/>
      <c r="DB58" s="9"/>
      <c r="DC58" s="9"/>
      <c r="DD58" s="9"/>
      <c r="DE58" s="9"/>
      <c r="DI58" s="9"/>
      <c r="DJ58" s="9"/>
      <c r="DK58" s="55" t="s">
        <v>201</v>
      </c>
      <c r="DL58" s="9"/>
      <c r="DP58" s="9"/>
      <c r="DQ58" s="63">
        <v>1</v>
      </c>
      <c r="DR58" s="9"/>
      <c r="DS58" s="63">
        <v>1</v>
      </c>
      <c r="DW58" s="9"/>
      <c r="DX58" s="9">
        <v>1</v>
      </c>
      <c r="DY58" s="9"/>
      <c r="DZ58" s="9">
        <v>1</v>
      </c>
      <c r="ED58" s="9"/>
      <c r="EE58" s="9">
        <v>1</v>
      </c>
      <c r="EF58" s="9"/>
      <c r="EG58" s="9">
        <v>1</v>
      </c>
      <c r="EK58" s="9"/>
      <c r="EL58" s="9">
        <v>1</v>
      </c>
      <c r="EM58" s="9"/>
      <c r="EN58" s="9">
        <v>1</v>
      </c>
      <c r="ER58" s="9"/>
      <c r="ES58" s="9">
        <v>1</v>
      </c>
      <c r="ET58" s="9"/>
      <c r="EU58" s="9">
        <v>1</v>
      </c>
      <c r="EY58" s="9"/>
      <c r="EZ58" s="9">
        <v>1</v>
      </c>
      <c r="FA58" s="9"/>
      <c r="FB58" s="9">
        <v>1</v>
      </c>
      <c r="FF58" s="9"/>
      <c r="FG58" s="9"/>
      <c r="FH58" s="9"/>
      <c r="FI58" s="9"/>
      <c r="FM58" s="9"/>
      <c r="FN58" s="9"/>
      <c r="FO58" s="9"/>
      <c r="FP58" s="9"/>
      <c r="FT58" s="9"/>
      <c r="FU58" s="9"/>
      <c r="FV58" s="9"/>
      <c r="FW58" s="9"/>
      <c r="GA58" s="9"/>
      <c r="GB58" s="9"/>
      <c r="GC58" s="9"/>
      <c r="GD58" s="9"/>
      <c r="GH58" s="9"/>
      <c r="GI58" s="9"/>
      <c r="GJ58" s="9"/>
      <c r="GK58" s="9"/>
      <c r="GO58" s="9"/>
      <c r="GP58" s="9"/>
      <c r="GQ58" s="9"/>
      <c r="GR58" s="9"/>
    </row>
    <row r="59" spans="2:200" outlineLevel="1">
      <c r="B59" t="s">
        <v>28</v>
      </c>
      <c r="C59" t="s">
        <v>58</v>
      </c>
      <c r="D59" s="16" t="s">
        <v>200</v>
      </c>
      <c r="E59" s="8"/>
      <c r="F59" t="s">
        <v>157</v>
      </c>
      <c r="G59" s="33">
        <v>9.0899999999999995E-2</v>
      </c>
      <c r="I59" s="8">
        <f>+SUMIF($N$3:$XJ$3,I$3,$N59:$XJ59)</f>
        <v>7</v>
      </c>
      <c r="J59" s="10" cm="1">
        <f t="array" ref="J59">MAX(IF($N$3:$GS$3=$J$3,N59:GS59))</f>
        <v>1</v>
      </c>
      <c r="K59" s="10" cm="1">
        <f t="array" ref="K59">MAX(IF($N$3:$GS$3=$K$3,N59:GS59))</f>
        <v>1</v>
      </c>
      <c r="L59" s="8"/>
      <c r="O59" s="9"/>
      <c r="P59" s="9"/>
      <c r="Q59" s="9"/>
      <c r="R59" s="9"/>
      <c r="U59">
        <v>2</v>
      </c>
      <c r="V59" s="9"/>
      <c r="W59" s="9">
        <v>1</v>
      </c>
      <c r="X59" s="9"/>
      <c r="Y59" s="9">
        <v>1</v>
      </c>
      <c r="AB59">
        <v>5</v>
      </c>
      <c r="AC59" s="9">
        <v>1</v>
      </c>
      <c r="AD59" s="9">
        <v>1</v>
      </c>
      <c r="AE59" s="9">
        <v>1</v>
      </c>
      <c r="AF59" s="9">
        <v>1</v>
      </c>
      <c r="AJ59" s="9">
        <v>0.8</v>
      </c>
      <c r="AK59" s="9">
        <v>0.8</v>
      </c>
      <c r="AL59" s="9">
        <v>0.8</v>
      </c>
      <c r="AM59" s="9">
        <v>0.8</v>
      </c>
      <c r="AQ59" s="9">
        <v>0.8</v>
      </c>
      <c r="AR59" s="9">
        <v>0.8</v>
      </c>
      <c r="AS59" s="9">
        <v>0.8</v>
      </c>
      <c r="AT59" s="9">
        <v>0.8</v>
      </c>
      <c r="AX59" s="9">
        <v>0.8</v>
      </c>
      <c r="AY59" s="9">
        <v>0.8</v>
      </c>
      <c r="AZ59" s="9">
        <v>0.8</v>
      </c>
      <c r="BA59" s="9">
        <v>0.8</v>
      </c>
      <c r="BE59" s="9">
        <v>0.8</v>
      </c>
      <c r="BF59" s="9">
        <v>1</v>
      </c>
      <c r="BG59" s="9">
        <v>0.8</v>
      </c>
      <c r="BH59" s="9">
        <v>1</v>
      </c>
      <c r="BL59" s="9">
        <v>0.8</v>
      </c>
      <c r="BM59" s="9">
        <v>1</v>
      </c>
      <c r="BN59" s="9">
        <v>0.8</v>
      </c>
      <c r="BO59" s="9">
        <v>1</v>
      </c>
      <c r="BS59" s="9">
        <v>0.8</v>
      </c>
      <c r="BT59" s="9">
        <v>1</v>
      </c>
      <c r="BU59" s="9">
        <v>0.8</v>
      </c>
      <c r="BV59" s="9">
        <v>1</v>
      </c>
      <c r="BZ59" s="9">
        <v>0.8</v>
      </c>
      <c r="CA59" s="9">
        <v>1</v>
      </c>
      <c r="CB59" s="9">
        <v>0.8</v>
      </c>
      <c r="CC59" s="9">
        <v>1</v>
      </c>
      <c r="CG59" s="9"/>
      <c r="CH59" s="9"/>
      <c r="CI59" s="9"/>
      <c r="CJ59" s="9"/>
      <c r="CN59" s="9"/>
      <c r="CO59" s="9"/>
      <c r="CP59" s="9"/>
      <c r="CQ59" s="9"/>
      <c r="CU59" s="9"/>
      <c r="CV59" s="9"/>
      <c r="CW59" s="9"/>
      <c r="CX59" s="9"/>
      <c r="DB59" s="9"/>
      <c r="DC59" s="9"/>
      <c r="DD59" s="9"/>
      <c r="DE59" s="9"/>
      <c r="DI59" s="9"/>
      <c r="DJ59" s="9"/>
      <c r="DK59" s="55"/>
      <c r="DL59" s="9"/>
      <c r="DP59" s="9"/>
      <c r="DQ59" s="63">
        <v>1</v>
      </c>
      <c r="DR59" s="9"/>
      <c r="DS59" s="63">
        <v>1</v>
      </c>
      <c r="DW59" s="9"/>
      <c r="DX59" s="9">
        <v>1</v>
      </c>
      <c r="DY59" s="9"/>
      <c r="DZ59" s="9">
        <v>1</v>
      </c>
      <c r="ED59" s="9"/>
      <c r="EE59" s="9">
        <v>1</v>
      </c>
      <c r="EF59" s="9"/>
      <c r="EG59" s="9">
        <v>1</v>
      </c>
      <c r="EK59" s="9"/>
      <c r="EL59" s="9">
        <v>1</v>
      </c>
      <c r="EM59" s="9"/>
      <c r="EN59" s="9">
        <v>1</v>
      </c>
      <c r="ER59" s="9"/>
      <c r="ES59" s="9">
        <v>1</v>
      </c>
      <c r="ET59" s="9"/>
      <c r="EU59" s="9">
        <v>1</v>
      </c>
      <c r="EY59" s="9"/>
      <c r="EZ59" s="9">
        <v>1</v>
      </c>
      <c r="FA59" s="9"/>
      <c r="FB59" s="9">
        <v>1</v>
      </c>
      <c r="FF59" s="9"/>
      <c r="FG59" s="9"/>
      <c r="FH59" s="9"/>
      <c r="FI59" s="9"/>
      <c r="FM59" s="9"/>
      <c r="FN59" s="9"/>
      <c r="FO59" s="9"/>
      <c r="FP59" s="9"/>
      <c r="FT59" s="9"/>
      <c r="FU59" s="9"/>
      <c r="FV59" s="9"/>
      <c r="FW59" s="9"/>
      <c r="FX59" s="62" t="s">
        <v>214</v>
      </c>
      <c r="GA59" s="9"/>
      <c r="GB59" s="9"/>
      <c r="GC59" s="9"/>
      <c r="GD59" s="9"/>
      <c r="GH59" s="9"/>
      <c r="GI59" s="9"/>
      <c r="GJ59" s="9"/>
      <c r="GK59" s="9"/>
      <c r="GO59" s="9"/>
      <c r="GP59" s="9"/>
      <c r="GQ59" s="9"/>
      <c r="GR59" s="9"/>
    </row>
    <row r="60" spans="2:200" outlineLevel="1">
      <c r="B60" t="s">
        <v>28</v>
      </c>
      <c r="C60" t="s">
        <v>58</v>
      </c>
      <c r="E60" s="8"/>
      <c r="F60" t="s">
        <v>158</v>
      </c>
      <c r="G60" s="33">
        <v>9.0899999999999995E-2</v>
      </c>
      <c r="I60" s="8">
        <f>+SUMIF($N$3:$XJ$3,I$3,$N60:$XJ60)</f>
        <v>3</v>
      </c>
      <c r="J60" s="10" cm="1">
        <f t="array" ref="J60">MAX(IF($N$3:$GS$3=$J$3,N60:GS60))</f>
        <v>0</v>
      </c>
      <c r="K60" s="10" cm="1">
        <f t="array" ref="K60">MAX(IF($N$3:$GS$3=$K$3,N60:GS60))</f>
        <v>0</v>
      </c>
      <c r="L60" s="8"/>
      <c r="O60" s="9"/>
      <c r="P60" s="9"/>
      <c r="Q60" s="9"/>
      <c r="R60" s="9"/>
      <c r="V60" s="9"/>
      <c r="W60" s="9"/>
      <c r="X60" s="9"/>
      <c r="Y60" s="9"/>
      <c r="AB60">
        <v>3</v>
      </c>
      <c r="AC60" s="9"/>
      <c r="AD60" s="9">
        <v>1</v>
      </c>
      <c r="AE60" s="9"/>
      <c r="AF60" s="9">
        <v>1</v>
      </c>
      <c r="AG60" t="s">
        <v>203</v>
      </c>
      <c r="AJ60" s="9"/>
      <c r="AK60" s="9">
        <v>0.5</v>
      </c>
      <c r="AL60" s="9"/>
      <c r="AM60" s="9">
        <v>0.5</v>
      </c>
      <c r="AQ60" s="9"/>
      <c r="AR60" s="9">
        <v>0.8</v>
      </c>
      <c r="AS60" s="9"/>
      <c r="AT60" s="9">
        <v>0.8</v>
      </c>
      <c r="AX60" s="9"/>
      <c r="AY60" s="9">
        <v>0.5</v>
      </c>
      <c r="AZ60" s="9"/>
      <c r="BA60" s="9">
        <v>0.5</v>
      </c>
      <c r="BE60" s="9"/>
      <c r="BF60" s="9">
        <v>0.5</v>
      </c>
      <c r="BG60" s="9"/>
      <c r="BH60" s="9">
        <v>0.5</v>
      </c>
      <c r="BL60" s="9"/>
      <c r="BM60" s="9">
        <v>0.8</v>
      </c>
      <c r="BN60" s="9"/>
      <c r="BO60" s="9">
        <v>0.8</v>
      </c>
      <c r="BS60" s="9"/>
      <c r="BT60" s="9">
        <v>0.8</v>
      </c>
      <c r="BU60" s="9"/>
      <c r="BV60" s="9">
        <v>0.8</v>
      </c>
      <c r="BZ60" s="9"/>
      <c r="CA60" s="9">
        <v>0.8</v>
      </c>
      <c r="CB60" s="9"/>
      <c r="CC60" s="9">
        <v>0.8</v>
      </c>
      <c r="CG60" s="9"/>
      <c r="CH60" s="9"/>
      <c r="CI60" s="9"/>
      <c r="CJ60" s="9"/>
      <c r="CN60" s="9"/>
      <c r="CO60" s="9"/>
      <c r="CP60" s="9"/>
      <c r="CQ60" s="9"/>
      <c r="CU60" s="9"/>
      <c r="CV60" s="9"/>
      <c r="CW60" s="9"/>
      <c r="CX60" s="9"/>
      <c r="DB60" s="9"/>
      <c r="DC60" s="9"/>
      <c r="DD60" s="9"/>
      <c r="DE60" s="9"/>
      <c r="DI60" s="9"/>
      <c r="DJ60" s="9"/>
      <c r="DK60" s="55"/>
      <c r="DL60" s="9"/>
      <c r="DP60" s="9"/>
      <c r="DQ60" s="9">
        <v>0.8</v>
      </c>
      <c r="DR60" s="9"/>
      <c r="DS60" s="9">
        <v>0.8</v>
      </c>
      <c r="DW60" s="9"/>
      <c r="DX60" s="9">
        <v>1</v>
      </c>
      <c r="DY60" s="9"/>
      <c r="DZ60" s="9">
        <v>1</v>
      </c>
      <c r="ED60" s="9"/>
      <c r="EE60" s="9">
        <v>1</v>
      </c>
      <c r="EF60" s="9"/>
      <c r="EG60" s="9">
        <v>1</v>
      </c>
      <c r="EK60" s="9"/>
      <c r="EL60" s="9">
        <v>1</v>
      </c>
      <c r="EM60" s="9"/>
      <c r="EN60" s="9">
        <v>1</v>
      </c>
      <c r="ER60" s="9"/>
      <c r="ES60" s="9">
        <v>1</v>
      </c>
      <c r="ET60" s="9"/>
      <c r="EU60" s="9">
        <v>1</v>
      </c>
      <c r="EY60" s="9"/>
      <c r="EZ60" s="9">
        <v>1</v>
      </c>
      <c r="FA60" s="9"/>
      <c r="FB60" s="9">
        <v>1</v>
      </c>
      <c r="FF60" s="9"/>
      <c r="FG60" s="9"/>
      <c r="FH60" s="9"/>
      <c r="FI60" s="9"/>
      <c r="FM60" s="9"/>
      <c r="FN60" s="9"/>
      <c r="FO60" s="9"/>
      <c r="FP60" s="9"/>
      <c r="FT60" s="9"/>
      <c r="FU60" s="9"/>
      <c r="FV60" s="9"/>
      <c r="FW60" s="9"/>
      <c r="FX60" s="62"/>
      <c r="GA60" s="9"/>
      <c r="GB60" s="9"/>
      <c r="GC60" s="9"/>
      <c r="GD60" s="9"/>
      <c r="GH60" s="9"/>
      <c r="GI60" s="9"/>
      <c r="GJ60" s="9"/>
      <c r="GK60" s="9"/>
      <c r="GO60" s="9"/>
      <c r="GP60" s="9"/>
      <c r="GQ60" s="9"/>
      <c r="GR60" s="9"/>
    </row>
    <row r="61" spans="2:200" outlineLevel="1">
      <c r="B61" t="s">
        <v>28</v>
      </c>
      <c r="C61" t="s">
        <v>58</v>
      </c>
      <c r="E61" s="8"/>
      <c r="F61" t="s">
        <v>159</v>
      </c>
      <c r="G61" s="33">
        <v>9.0899999999999995E-2</v>
      </c>
      <c r="I61" s="8">
        <f>+SUMIF($N$3:$XJ$3,I$3,$N61:$XJ61)</f>
        <v>0</v>
      </c>
      <c r="J61" s="10" cm="1">
        <f t="array" ref="J61">MAX(IF($N$3:$GS$3=$J$3,N61:GS61))</f>
        <v>0</v>
      </c>
      <c r="K61" s="10" cm="1">
        <f t="array" ref="K61">MAX(IF($N$3:$GS$3=$K$3,N61:GS61))</f>
        <v>0</v>
      </c>
      <c r="L61" s="8"/>
      <c r="O61" s="9"/>
      <c r="P61" s="9"/>
      <c r="Q61" s="9"/>
      <c r="R61" s="9"/>
      <c r="V61" s="9"/>
      <c r="W61" s="9"/>
      <c r="X61" s="9"/>
      <c r="Y61" s="9"/>
      <c r="AC61" s="9"/>
      <c r="AD61" s="9"/>
      <c r="AE61" s="9"/>
      <c r="AF61" s="9"/>
      <c r="AJ61" s="9"/>
      <c r="AK61" s="9">
        <v>0.5</v>
      </c>
      <c r="AL61" s="9"/>
      <c r="AM61" s="9">
        <v>0.5</v>
      </c>
      <c r="AQ61" s="9"/>
      <c r="AR61" s="9">
        <v>0.5</v>
      </c>
      <c r="AS61" s="9"/>
      <c r="AT61" s="9">
        <v>0.5</v>
      </c>
      <c r="AX61" s="9"/>
      <c r="AY61" s="9">
        <v>0.5</v>
      </c>
      <c r="AZ61" s="9"/>
      <c r="BA61" s="9">
        <v>0.5</v>
      </c>
      <c r="BE61" s="9"/>
      <c r="BF61" s="9">
        <v>0.5</v>
      </c>
      <c r="BG61" s="9"/>
      <c r="BH61" s="9">
        <v>0.5</v>
      </c>
      <c r="BL61" s="9"/>
      <c r="BM61" s="9">
        <v>0.5</v>
      </c>
      <c r="BN61" s="9"/>
      <c r="BO61" s="9">
        <v>0.5</v>
      </c>
      <c r="BS61" s="9"/>
      <c r="BT61" s="9">
        <v>0.8</v>
      </c>
      <c r="BU61" s="9"/>
      <c r="BV61" s="9">
        <v>0.8</v>
      </c>
      <c r="BZ61" s="9"/>
      <c r="CA61" s="9">
        <v>0.8</v>
      </c>
      <c r="CB61" s="9"/>
      <c r="CC61" s="9">
        <v>0.8</v>
      </c>
      <c r="CG61" s="9"/>
      <c r="CH61" s="9"/>
      <c r="CI61" s="9"/>
      <c r="CJ61" s="9"/>
      <c r="CN61" s="9"/>
      <c r="CO61" s="9"/>
      <c r="CP61" s="9"/>
      <c r="CQ61" s="9"/>
      <c r="CU61" s="9"/>
      <c r="CV61" s="9"/>
      <c r="CW61" s="9"/>
      <c r="CX61" s="9"/>
      <c r="DB61" s="9"/>
      <c r="DC61" s="9"/>
      <c r="DD61" s="9"/>
      <c r="DE61" s="9"/>
      <c r="DI61" s="9"/>
      <c r="DJ61" s="9"/>
      <c r="DK61" s="55"/>
      <c r="DL61" s="9"/>
      <c r="DP61" s="9"/>
      <c r="DQ61" s="9">
        <v>0.8</v>
      </c>
      <c r="DR61" s="9"/>
      <c r="DS61" s="9">
        <v>0.8</v>
      </c>
      <c r="DW61" s="9"/>
      <c r="DX61" s="9">
        <v>1</v>
      </c>
      <c r="DY61" s="9"/>
      <c r="DZ61" s="9">
        <v>1</v>
      </c>
      <c r="ED61" s="9"/>
      <c r="EE61" s="9">
        <v>1</v>
      </c>
      <c r="EF61" s="9"/>
      <c r="EG61" s="9">
        <v>1</v>
      </c>
      <c r="EK61" s="9"/>
      <c r="EL61" s="9">
        <v>1</v>
      </c>
      <c r="EM61" s="9"/>
      <c r="EN61" s="9">
        <v>1</v>
      </c>
      <c r="ER61" s="9"/>
      <c r="ES61" s="9">
        <v>1</v>
      </c>
      <c r="ET61" s="9"/>
      <c r="EU61" s="9">
        <v>1</v>
      </c>
      <c r="EY61" s="9"/>
      <c r="EZ61" s="9">
        <v>1</v>
      </c>
      <c r="FA61" s="9"/>
      <c r="FB61" s="9">
        <v>1</v>
      </c>
      <c r="FF61" s="9"/>
      <c r="FG61" s="9"/>
      <c r="FH61" s="9"/>
      <c r="FI61" s="9"/>
      <c r="FM61" s="9"/>
      <c r="FN61" s="9"/>
      <c r="FO61" s="9"/>
      <c r="FP61" s="9"/>
      <c r="FT61" s="9"/>
      <c r="FU61" s="9"/>
      <c r="FV61" s="9"/>
      <c r="FW61" s="9"/>
      <c r="FX61" s="62"/>
      <c r="GA61" s="9"/>
      <c r="GB61" s="9"/>
      <c r="GC61" s="9"/>
      <c r="GD61" s="9"/>
      <c r="GH61" s="9"/>
      <c r="GI61" s="9"/>
      <c r="GJ61" s="9"/>
      <c r="GK61" s="9"/>
      <c r="GO61" s="9"/>
      <c r="GP61" s="9"/>
      <c r="GQ61" s="9"/>
      <c r="GR61" s="9"/>
    </row>
    <row r="62" spans="2:200" outlineLevel="1">
      <c r="B62" t="s">
        <v>28</v>
      </c>
      <c r="C62" t="s">
        <v>58</v>
      </c>
      <c r="E62" s="8"/>
      <c r="F62" t="s">
        <v>160</v>
      </c>
      <c r="G62" s="33">
        <v>9.0899999999999995E-2</v>
      </c>
      <c r="I62" s="8">
        <f>+SUMIF($N$3:$XJ$3,I$3,$N62:$XJ62)</f>
        <v>0</v>
      </c>
      <c r="J62" s="10" cm="1">
        <f t="array" ref="J62">MAX(IF($N$3:$GS$3=$J$3,N62:GS62))</f>
        <v>0</v>
      </c>
      <c r="K62" s="10" cm="1">
        <f t="array" ref="K62">MAX(IF($N$3:$GS$3=$K$3,N62:GS62))</f>
        <v>0</v>
      </c>
      <c r="L62" s="8"/>
      <c r="O62" s="9"/>
      <c r="P62" s="9"/>
      <c r="Q62" s="9"/>
      <c r="R62" s="9"/>
      <c r="V62" s="9"/>
      <c r="W62" s="9"/>
      <c r="X62" s="9"/>
      <c r="Y62" s="9"/>
      <c r="AC62" s="9"/>
      <c r="AD62" s="9"/>
      <c r="AE62" s="9"/>
      <c r="AF62" s="9"/>
      <c r="AJ62" s="9"/>
      <c r="AK62" s="9"/>
      <c r="AL62" s="9"/>
      <c r="AM62" s="9"/>
      <c r="AQ62" s="9"/>
      <c r="AR62" s="9">
        <v>0.5</v>
      </c>
      <c r="AS62" s="9"/>
      <c r="AT62" s="9">
        <v>0.5</v>
      </c>
      <c r="AX62" s="9"/>
      <c r="AY62" s="9">
        <v>0.5</v>
      </c>
      <c r="AZ62" s="9"/>
      <c r="BA62" s="9">
        <v>0.5</v>
      </c>
      <c r="BE62" s="9"/>
      <c r="BF62" s="9">
        <v>0.5</v>
      </c>
      <c r="BG62" s="9"/>
      <c r="BH62" s="9">
        <v>0.5</v>
      </c>
      <c r="BL62" s="9"/>
      <c r="BM62" s="9">
        <v>0.5</v>
      </c>
      <c r="BN62" s="9"/>
      <c r="BO62" s="9">
        <v>0.5</v>
      </c>
      <c r="BS62" s="9"/>
      <c r="BT62" s="9">
        <v>0.5</v>
      </c>
      <c r="BU62" s="9"/>
      <c r="BV62" s="9">
        <v>0.5</v>
      </c>
      <c r="BZ62" s="9"/>
      <c r="CA62" s="9">
        <v>0.8</v>
      </c>
      <c r="CB62" s="9"/>
      <c r="CC62" s="9">
        <v>0.8</v>
      </c>
      <c r="CG62" s="9"/>
      <c r="CH62" s="9"/>
      <c r="CI62" s="9"/>
      <c r="CJ62" s="9"/>
      <c r="CN62" s="9"/>
      <c r="CO62" s="9"/>
      <c r="CP62" s="9"/>
      <c r="CQ62" s="9"/>
      <c r="CU62" s="9"/>
      <c r="CV62" s="9"/>
      <c r="CW62" s="9"/>
      <c r="CX62" s="9"/>
      <c r="DB62" s="9"/>
      <c r="DC62" s="9"/>
      <c r="DD62" s="9"/>
      <c r="DE62" s="9"/>
      <c r="DI62" s="9"/>
      <c r="DJ62" s="9"/>
      <c r="DK62" s="9"/>
      <c r="DL62" s="9"/>
      <c r="DP62" s="9"/>
      <c r="DQ62" s="9">
        <v>0.8</v>
      </c>
      <c r="DR62" s="9"/>
      <c r="DS62" s="9">
        <v>0.8</v>
      </c>
      <c r="DW62" s="9"/>
      <c r="DX62" s="9">
        <v>0.8</v>
      </c>
      <c r="DY62" s="9"/>
      <c r="DZ62" s="9">
        <v>0.8</v>
      </c>
      <c r="ED62" s="9"/>
      <c r="EE62" s="9">
        <v>1</v>
      </c>
      <c r="EF62" s="9"/>
      <c r="EG62" s="9">
        <v>1</v>
      </c>
      <c r="EK62" s="9"/>
      <c r="EL62" s="9">
        <v>1</v>
      </c>
      <c r="EM62" s="9"/>
      <c r="EN62" s="9">
        <v>1</v>
      </c>
      <c r="ER62" s="9"/>
      <c r="ES62" s="9">
        <v>1</v>
      </c>
      <c r="ET62" s="9"/>
      <c r="EU62" s="9">
        <v>1</v>
      </c>
      <c r="EY62" s="9"/>
      <c r="EZ62" s="9">
        <v>1</v>
      </c>
      <c r="FA62" s="9"/>
      <c r="FB62" s="9">
        <v>1</v>
      </c>
      <c r="FF62" s="9"/>
      <c r="FG62" s="9"/>
      <c r="FH62" s="9"/>
      <c r="FI62" s="9"/>
      <c r="FM62" s="9"/>
      <c r="FN62" s="9"/>
      <c r="FO62" s="9"/>
      <c r="FP62" s="9"/>
      <c r="FT62" s="9"/>
      <c r="FU62" s="9"/>
      <c r="FV62" s="9"/>
      <c r="FW62" s="9"/>
      <c r="FX62" s="62"/>
      <c r="GA62" s="9"/>
      <c r="GB62" s="9"/>
      <c r="GC62" s="9"/>
      <c r="GD62" s="9"/>
      <c r="GH62" s="9"/>
      <c r="GI62" s="9"/>
      <c r="GJ62" s="9"/>
      <c r="GK62" s="9"/>
      <c r="GO62" s="9"/>
      <c r="GP62" s="9"/>
      <c r="GQ62" s="9"/>
      <c r="GR62" s="9"/>
    </row>
    <row r="63" spans="2:200" outlineLevel="1">
      <c r="B63" t="s">
        <v>28</v>
      </c>
      <c r="C63" t="s">
        <v>58</v>
      </c>
      <c r="E63" s="8"/>
      <c r="F63" t="s">
        <v>161</v>
      </c>
      <c r="G63" s="33">
        <v>9.0899999999999995E-2</v>
      </c>
      <c r="I63" s="8">
        <f>+SUMIF($N$3:$XJ$3,I$3,$N63:$XJ63)</f>
        <v>0</v>
      </c>
      <c r="J63" s="10" cm="1">
        <f t="array" ref="J63">MAX(IF($N$3:$GS$3=$J$3,N63:GS63))</f>
        <v>0</v>
      </c>
      <c r="K63" s="10" cm="1">
        <f t="array" ref="K63">MAX(IF($N$3:$GS$3=$K$3,N63:GS63))</f>
        <v>0</v>
      </c>
      <c r="L63" s="8"/>
      <c r="O63" s="9"/>
      <c r="P63" s="9"/>
      <c r="Q63" s="9"/>
      <c r="R63" s="9"/>
      <c r="V63" s="9"/>
      <c r="W63" s="9"/>
      <c r="X63" s="9"/>
      <c r="Y63" s="9"/>
      <c r="AC63" s="9"/>
      <c r="AD63" s="9"/>
      <c r="AE63" s="9"/>
      <c r="AF63" s="9"/>
      <c r="AJ63" s="9"/>
      <c r="AK63" s="9"/>
      <c r="AL63" s="9"/>
      <c r="AM63" s="9"/>
      <c r="AQ63" s="9"/>
      <c r="AR63" s="9"/>
      <c r="AS63" s="9"/>
      <c r="AT63" s="9"/>
      <c r="AX63" s="9"/>
      <c r="AY63" s="9">
        <v>0.5</v>
      </c>
      <c r="AZ63" s="9"/>
      <c r="BA63" s="9">
        <v>0.5</v>
      </c>
      <c r="BE63" s="9"/>
      <c r="BF63" s="9">
        <v>0.5</v>
      </c>
      <c r="BG63" s="9"/>
      <c r="BH63" s="9">
        <v>0.5</v>
      </c>
      <c r="BL63" s="9"/>
      <c r="BM63" s="9">
        <v>0.5</v>
      </c>
      <c r="BN63" s="9"/>
      <c r="BO63" s="9">
        <v>0.5</v>
      </c>
      <c r="BS63" s="9"/>
      <c r="BT63" s="9">
        <v>0.5</v>
      </c>
      <c r="BU63" s="9"/>
      <c r="BV63" s="9">
        <v>0.5</v>
      </c>
      <c r="BZ63" s="9"/>
      <c r="CA63" s="9">
        <v>0.5</v>
      </c>
      <c r="CB63" s="9"/>
      <c r="CC63" s="9">
        <v>0.5</v>
      </c>
      <c r="CG63" s="9"/>
      <c r="CH63" s="9"/>
      <c r="CI63" s="9"/>
      <c r="CJ63" s="9"/>
      <c r="CN63" s="9"/>
      <c r="CO63" s="9"/>
      <c r="CP63" s="9"/>
      <c r="CQ63" s="9"/>
      <c r="CU63" s="9"/>
      <c r="CV63" s="9"/>
      <c r="CW63" s="9"/>
      <c r="CX63" s="9"/>
      <c r="DB63" s="9"/>
      <c r="DC63" s="9"/>
      <c r="DD63" s="9"/>
      <c r="DE63" s="9"/>
      <c r="DI63" s="9"/>
      <c r="DJ63" s="9"/>
      <c r="DK63" s="9"/>
      <c r="DL63" s="9"/>
      <c r="DP63" s="9"/>
      <c r="DQ63" s="9">
        <v>0.8</v>
      </c>
      <c r="DR63" s="9"/>
      <c r="DS63" s="9">
        <v>0.8</v>
      </c>
      <c r="DW63" s="9"/>
      <c r="DX63" s="9">
        <v>0.8</v>
      </c>
      <c r="DY63" s="9"/>
      <c r="DZ63" s="9">
        <v>0.8</v>
      </c>
      <c r="ED63" s="9"/>
      <c r="EE63" s="9">
        <v>1</v>
      </c>
      <c r="EF63" s="9"/>
      <c r="EG63" s="9">
        <v>1</v>
      </c>
      <c r="EK63" s="9"/>
      <c r="EL63" s="9">
        <v>1</v>
      </c>
      <c r="EM63" s="9"/>
      <c r="EN63" s="9">
        <v>1</v>
      </c>
      <c r="ER63" s="9"/>
      <c r="ES63" s="9">
        <v>1</v>
      </c>
      <c r="ET63" s="9"/>
      <c r="EU63" s="9">
        <v>1</v>
      </c>
      <c r="EY63" s="9"/>
      <c r="EZ63" s="9">
        <v>1</v>
      </c>
      <c r="FA63" s="9"/>
      <c r="FB63" s="9">
        <v>1</v>
      </c>
      <c r="FF63" s="9"/>
      <c r="FG63" s="9"/>
      <c r="FH63" s="9"/>
      <c r="FI63" s="9"/>
      <c r="FM63" s="9"/>
      <c r="FN63" s="9"/>
      <c r="FO63" s="9"/>
      <c r="FP63" s="9"/>
      <c r="FT63" s="9"/>
      <c r="FU63" s="9"/>
      <c r="FV63" s="9"/>
      <c r="FW63" s="9"/>
      <c r="FX63" s="62"/>
      <c r="GA63" s="9"/>
      <c r="GB63" s="9"/>
      <c r="GC63" s="9"/>
      <c r="GD63" s="9"/>
      <c r="GH63" s="9"/>
      <c r="GI63" s="9"/>
      <c r="GJ63" s="9"/>
      <c r="GK63" s="9"/>
      <c r="GO63" s="9"/>
      <c r="GP63" s="9"/>
      <c r="GQ63" s="9"/>
      <c r="GR63" s="9"/>
    </row>
    <row r="64" spans="2:200" outlineLevel="1">
      <c r="B64" t="s">
        <v>28</v>
      </c>
      <c r="C64" t="s">
        <v>58</v>
      </c>
      <c r="E64" s="8"/>
      <c r="F64" t="s">
        <v>162</v>
      </c>
      <c r="G64" s="33">
        <v>9.0899999999999995E-2</v>
      </c>
      <c r="I64" s="8">
        <f>+SUMIF($N$3:$XJ$3,I$3,$N64:$XJ64)</f>
        <v>0</v>
      </c>
      <c r="J64" s="10" cm="1">
        <f t="array" ref="J64">MAX(IF($N$3:$GS$3=$J$3,N64:GS64))</f>
        <v>0</v>
      </c>
      <c r="K64" s="10" cm="1">
        <f t="array" ref="K64">MAX(IF($N$3:$GS$3=$K$3,N64:GS64))</f>
        <v>0</v>
      </c>
      <c r="L64" s="8"/>
      <c r="O64" s="9"/>
      <c r="P64" s="9"/>
      <c r="Q64" s="9"/>
      <c r="R64" s="9"/>
      <c r="V64" s="9"/>
      <c r="W64" s="9"/>
      <c r="X64" s="9"/>
      <c r="Y64" s="9"/>
      <c r="AC64" s="9"/>
      <c r="AD64" s="9"/>
      <c r="AE64" s="9"/>
      <c r="AF64" s="9"/>
      <c r="AJ64" s="9"/>
      <c r="AK64" s="9"/>
      <c r="AL64" s="9"/>
      <c r="AM64" s="9"/>
      <c r="AQ64" s="9"/>
      <c r="AR64" s="9"/>
      <c r="AS64" s="9"/>
      <c r="AT64" s="9"/>
      <c r="AX64" s="9"/>
      <c r="AY64" s="9"/>
      <c r="AZ64" s="9"/>
      <c r="BA64" s="9"/>
      <c r="BE64" s="9"/>
      <c r="BF64" s="9">
        <v>0.5</v>
      </c>
      <c r="BG64" s="9"/>
      <c r="BH64" s="9">
        <v>0.5</v>
      </c>
      <c r="BL64" s="9"/>
      <c r="BM64" s="9">
        <v>0.5</v>
      </c>
      <c r="BN64" s="9"/>
      <c r="BO64" s="9">
        <v>0.5</v>
      </c>
      <c r="BS64" s="9"/>
      <c r="BT64" s="9">
        <v>0.5</v>
      </c>
      <c r="BU64" s="9"/>
      <c r="BV64" s="9">
        <v>0.5</v>
      </c>
      <c r="BZ64" s="9"/>
      <c r="CA64" s="9">
        <v>0.5</v>
      </c>
      <c r="CB64" s="9"/>
      <c r="CC64" s="9">
        <v>0.5</v>
      </c>
      <c r="CG64" s="9"/>
      <c r="CH64" s="9"/>
      <c r="CI64" s="9"/>
      <c r="CJ64" s="9"/>
      <c r="CN64" s="9"/>
      <c r="CO64" s="9"/>
      <c r="CP64" s="9"/>
      <c r="CQ64" s="9"/>
      <c r="CU64" s="9"/>
      <c r="CV64" s="9"/>
      <c r="CW64" s="9"/>
      <c r="CX64" s="9"/>
      <c r="DB64" s="9"/>
      <c r="DC64" s="9"/>
      <c r="DD64" s="9"/>
      <c r="DE64" s="9"/>
      <c r="DI64" s="9"/>
      <c r="DJ64" s="9"/>
      <c r="DK64" s="9"/>
      <c r="DL64" s="9"/>
      <c r="DP64" s="9"/>
      <c r="DQ64" s="9">
        <v>0.8</v>
      </c>
      <c r="DR64" s="9"/>
      <c r="DS64" s="9">
        <v>0.8</v>
      </c>
      <c r="DW64" s="9"/>
      <c r="DX64" s="9">
        <v>0.8</v>
      </c>
      <c r="DY64" s="9"/>
      <c r="DZ64" s="9">
        <v>0.8</v>
      </c>
      <c r="ED64" s="9"/>
      <c r="EE64" s="9">
        <v>0.8</v>
      </c>
      <c r="EF64" s="9"/>
      <c r="EG64" s="9">
        <v>0.8</v>
      </c>
      <c r="EK64" s="9"/>
      <c r="EL64" s="9">
        <v>1</v>
      </c>
      <c r="EM64" s="9"/>
      <c r="EN64" s="9">
        <v>1</v>
      </c>
      <c r="ER64" s="9"/>
      <c r="ES64" s="9">
        <v>1</v>
      </c>
      <c r="ET64" s="9"/>
      <c r="EU64" s="9">
        <v>1</v>
      </c>
      <c r="EY64" s="9"/>
      <c r="EZ64" s="9">
        <v>1</v>
      </c>
      <c r="FA64" s="9"/>
      <c r="FB64" s="9">
        <v>1</v>
      </c>
      <c r="FF64" s="9"/>
      <c r="FG64" s="9"/>
      <c r="FH64" s="9"/>
      <c r="FI64" s="9"/>
      <c r="FM64" s="9"/>
      <c r="FN64" s="9"/>
      <c r="FO64" s="9"/>
      <c r="FP64" s="9"/>
      <c r="FT64" s="9"/>
      <c r="FU64" s="9"/>
      <c r="FV64" s="9"/>
      <c r="FW64" s="9"/>
      <c r="GA64" s="9"/>
      <c r="GB64" s="9"/>
      <c r="GC64" s="9"/>
      <c r="GD64" s="9"/>
      <c r="GH64" s="9"/>
      <c r="GI64" s="9"/>
      <c r="GJ64" s="9"/>
      <c r="GK64" s="9"/>
      <c r="GO64" s="9"/>
      <c r="GP64" s="9"/>
      <c r="GQ64" s="9"/>
      <c r="GR64" s="9"/>
    </row>
    <row r="65" spans="2:200" outlineLevel="1">
      <c r="B65" t="s">
        <v>28</v>
      </c>
      <c r="C65" t="s">
        <v>58</v>
      </c>
      <c r="E65" s="8"/>
      <c r="F65" t="s">
        <v>163</v>
      </c>
      <c r="G65" s="33">
        <v>9.0899999999999995E-2</v>
      </c>
      <c r="I65" s="8">
        <f>+SUMIF($N$3:$XJ$3,I$3,$N65:$XJ65)</f>
        <v>0</v>
      </c>
      <c r="J65" s="10" cm="1">
        <f t="array" ref="J65">MAX(IF($N$3:$GS$3=$J$3,N65:GS65))</f>
        <v>0</v>
      </c>
      <c r="K65" s="10" cm="1">
        <f t="array" ref="K65">MAX(IF($N$3:$GS$3=$K$3,N65:GS65))</f>
        <v>0</v>
      </c>
      <c r="L65" s="8"/>
      <c r="O65" s="9"/>
      <c r="P65" s="9"/>
      <c r="Q65" s="9"/>
      <c r="R65" s="9"/>
      <c r="V65" s="9"/>
      <c r="W65" s="9"/>
      <c r="X65" s="9"/>
      <c r="Y65" s="9"/>
      <c r="AC65" s="9"/>
      <c r="AD65" s="9"/>
      <c r="AE65" s="9"/>
      <c r="AF65" s="9"/>
      <c r="AJ65" s="9"/>
      <c r="AK65" s="9"/>
      <c r="AL65" s="9"/>
      <c r="AM65" s="9"/>
      <c r="AQ65" s="9"/>
      <c r="AR65" s="9"/>
      <c r="AS65" s="9"/>
      <c r="AT65" s="9"/>
      <c r="AX65" s="9"/>
      <c r="AY65" s="9"/>
      <c r="AZ65" s="9"/>
      <c r="BA65" s="9"/>
      <c r="BE65" s="9"/>
      <c r="BF65" s="9"/>
      <c r="BG65" s="9"/>
      <c r="BH65" s="9"/>
      <c r="BL65" s="9"/>
      <c r="BM65" s="9">
        <v>0.5</v>
      </c>
      <c r="BN65" s="9"/>
      <c r="BO65" s="9">
        <v>0.5</v>
      </c>
      <c r="BS65" s="9"/>
      <c r="BT65" s="9">
        <v>0.5</v>
      </c>
      <c r="BU65" s="9"/>
      <c r="BV65" s="9">
        <v>0.5</v>
      </c>
      <c r="BZ65" s="9"/>
      <c r="CA65" s="9">
        <v>0.5</v>
      </c>
      <c r="CB65" s="9"/>
      <c r="CC65" s="9">
        <v>0.5</v>
      </c>
      <c r="CG65" s="9"/>
      <c r="CH65" s="9"/>
      <c r="CI65" s="9"/>
      <c r="CJ65" s="9"/>
      <c r="CN65" s="9"/>
      <c r="CO65" s="9"/>
      <c r="CP65" s="9"/>
      <c r="CQ65" s="9"/>
      <c r="CU65" s="9"/>
      <c r="CV65" s="9"/>
      <c r="CW65" s="9"/>
      <c r="CX65" s="9"/>
      <c r="DB65" s="9"/>
      <c r="DC65" s="9"/>
      <c r="DD65" s="9"/>
      <c r="DE65" s="9"/>
      <c r="DI65" s="9"/>
      <c r="DJ65" s="9"/>
      <c r="DK65" s="9"/>
      <c r="DL65" s="9"/>
      <c r="DP65" s="9"/>
      <c r="DQ65" s="9">
        <v>0.5</v>
      </c>
      <c r="DR65" s="9"/>
      <c r="DS65" s="9">
        <v>0.5</v>
      </c>
      <c r="DW65" s="9"/>
      <c r="DX65" s="9">
        <v>0.8</v>
      </c>
      <c r="DY65" s="9"/>
      <c r="DZ65" s="9">
        <v>0.8</v>
      </c>
      <c r="ED65" s="9"/>
      <c r="EE65" s="9">
        <v>0.8</v>
      </c>
      <c r="EF65" s="9"/>
      <c r="EG65" s="9">
        <v>0.8</v>
      </c>
      <c r="EK65" s="9"/>
      <c r="EL65" s="9">
        <v>1</v>
      </c>
      <c r="EM65" s="9"/>
      <c r="EN65" s="9">
        <v>1</v>
      </c>
      <c r="ER65" s="9"/>
      <c r="ES65" s="9">
        <v>1</v>
      </c>
      <c r="ET65" s="9"/>
      <c r="EU65" s="9">
        <v>1</v>
      </c>
      <c r="EY65" s="9"/>
      <c r="EZ65" s="9">
        <v>1</v>
      </c>
      <c r="FA65" s="9"/>
      <c r="FB65" s="9">
        <v>1</v>
      </c>
      <c r="FF65" s="9"/>
      <c r="FG65" s="9"/>
      <c r="FH65" s="9"/>
      <c r="FI65" s="9"/>
      <c r="FM65" s="9"/>
      <c r="FN65" s="9"/>
      <c r="FO65" s="9"/>
      <c r="FP65" s="9"/>
      <c r="FT65" s="9"/>
      <c r="FU65" s="9"/>
      <c r="FV65" s="9"/>
      <c r="FW65" s="9"/>
      <c r="GA65" s="9"/>
      <c r="GB65" s="9"/>
      <c r="GC65" s="9"/>
      <c r="GD65" s="9"/>
      <c r="GH65" s="9"/>
      <c r="GI65" s="9"/>
      <c r="GJ65" s="9"/>
      <c r="GK65" s="9"/>
      <c r="GO65" s="9"/>
      <c r="GP65" s="9"/>
      <c r="GQ65" s="9"/>
      <c r="GR65" s="9"/>
    </row>
    <row r="66" spans="2:200" outlineLevel="1">
      <c r="B66" t="s">
        <v>28</v>
      </c>
      <c r="C66" t="s">
        <v>58</v>
      </c>
      <c r="E66" s="8"/>
      <c r="F66" t="s">
        <v>164</v>
      </c>
      <c r="G66" s="33">
        <v>9.0899999999999995E-2</v>
      </c>
      <c r="I66" s="8">
        <f>+SUMIF($N$3:$XJ$3,I$3,$N66:$XJ66)</f>
        <v>0</v>
      </c>
      <c r="J66" s="10" cm="1">
        <f t="array" ref="J66">MAX(IF($N$3:$GS$3=$J$3,N66:GS66))</f>
        <v>0</v>
      </c>
      <c r="K66" s="10" cm="1">
        <f t="array" ref="K66">MAX(IF($N$3:$GS$3=$K$3,N66:GS66))</f>
        <v>0</v>
      </c>
      <c r="L66" s="8"/>
      <c r="O66" s="9"/>
      <c r="P66" s="9"/>
      <c r="Q66" s="9"/>
      <c r="R66" s="9"/>
      <c r="V66" s="9"/>
      <c r="W66" s="9"/>
      <c r="X66" s="9"/>
      <c r="Y66" s="9"/>
      <c r="AC66" s="9"/>
      <c r="AD66" s="9"/>
      <c r="AE66" s="9"/>
      <c r="AF66" s="9"/>
      <c r="AJ66" s="9"/>
      <c r="AK66" s="9"/>
      <c r="AL66" s="9"/>
      <c r="AM66" s="9"/>
      <c r="AQ66" s="9"/>
      <c r="AR66" s="9"/>
      <c r="AS66" s="9"/>
      <c r="AT66" s="9"/>
      <c r="AX66" s="9"/>
      <c r="AY66" s="9"/>
      <c r="AZ66" s="9"/>
      <c r="BA66" s="9"/>
      <c r="BE66" s="9"/>
      <c r="BF66" s="9"/>
      <c r="BG66" s="9"/>
      <c r="BH66" s="9"/>
      <c r="BL66" s="9"/>
      <c r="BM66" s="9"/>
      <c r="BN66" s="9"/>
      <c r="BO66" s="9"/>
      <c r="BS66" s="9"/>
      <c r="BT66" s="9">
        <v>0.5</v>
      </c>
      <c r="BU66" s="9"/>
      <c r="BV66" s="9">
        <v>0.5</v>
      </c>
      <c r="BZ66" s="9"/>
      <c r="CA66" s="9">
        <v>0.5</v>
      </c>
      <c r="CB66" s="9"/>
      <c r="CC66" s="9">
        <v>0.5</v>
      </c>
      <c r="CG66" s="9"/>
      <c r="CH66" s="9"/>
      <c r="CI66" s="9"/>
      <c r="CJ66" s="9"/>
      <c r="CN66" s="9"/>
      <c r="CO66" s="9"/>
      <c r="CP66" s="9"/>
      <c r="CQ66" s="9"/>
      <c r="CU66" s="9"/>
      <c r="CV66" s="9"/>
      <c r="CW66" s="9"/>
      <c r="CX66" s="9"/>
      <c r="DB66" s="9"/>
      <c r="DC66" s="9"/>
      <c r="DD66" s="9"/>
      <c r="DE66" s="9"/>
      <c r="DI66" s="9"/>
      <c r="DJ66" s="9"/>
      <c r="DK66" s="9"/>
      <c r="DL66" s="9"/>
      <c r="DP66" s="9"/>
      <c r="DQ66" s="9">
        <v>0.5</v>
      </c>
      <c r="DR66" s="9"/>
      <c r="DS66" s="9">
        <v>0.5</v>
      </c>
      <c r="DW66" s="9"/>
      <c r="DX66" s="9">
        <v>0.8</v>
      </c>
      <c r="DY66" s="9"/>
      <c r="DZ66" s="9">
        <v>0.8</v>
      </c>
      <c r="ED66" s="9"/>
      <c r="EE66" s="9">
        <v>0.8</v>
      </c>
      <c r="EF66" s="9"/>
      <c r="EG66" s="9">
        <v>0.8</v>
      </c>
      <c r="EK66" s="9"/>
      <c r="EL66" s="9">
        <v>0.8</v>
      </c>
      <c r="EM66" s="9"/>
      <c r="EN66" s="9">
        <v>0.8</v>
      </c>
      <c r="ER66" s="9"/>
      <c r="ES66" s="9">
        <v>1</v>
      </c>
      <c r="ET66" s="9"/>
      <c r="EU66" s="9">
        <v>1</v>
      </c>
      <c r="EY66" s="9"/>
      <c r="EZ66" s="9">
        <v>1</v>
      </c>
      <c r="FA66" s="9"/>
      <c r="FB66" s="9">
        <v>1</v>
      </c>
      <c r="FF66" s="9"/>
      <c r="FG66" s="9"/>
      <c r="FH66" s="9"/>
      <c r="FI66" s="9"/>
      <c r="FM66" s="9"/>
      <c r="FN66" s="9"/>
      <c r="FO66" s="9"/>
      <c r="FP66" s="9"/>
      <c r="FT66" s="9"/>
      <c r="FU66" s="9"/>
      <c r="FV66" s="9"/>
      <c r="FW66" s="9"/>
      <c r="GA66" s="9"/>
      <c r="GB66" s="9"/>
      <c r="GC66" s="9"/>
      <c r="GD66" s="9"/>
      <c r="GH66" s="9"/>
      <c r="GI66" s="9"/>
      <c r="GJ66" s="9"/>
      <c r="GK66" s="9"/>
      <c r="GO66" s="9"/>
      <c r="GP66" s="9"/>
      <c r="GQ66" s="9"/>
      <c r="GR66" s="9"/>
    </row>
    <row r="67" spans="2:200" outlineLevel="1">
      <c r="B67" t="s">
        <v>28</v>
      </c>
      <c r="C67" t="s">
        <v>58</v>
      </c>
      <c r="E67" s="8"/>
      <c r="F67" t="s">
        <v>165</v>
      </c>
      <c r="G67" s="33">
        <v>9.0899999999999995E-2</v>
      </c>
      <c r="I67" s="8">
        <f>+SUMIF($N$3:$XJ$3,I$3,$N67:$XJ67)</f>
        <v>0</v>
      </c>
      <c r="J67" s="10" cm="1">
        <f t="array" ref="J67">MAX(IF($N$3:$GS$3=$J$3,N67:GS67))</f>
        <v>0</v>
      </c>
      <c r="K67" s="10" cm="1">
        <f t="array" ref="K67">MAX(IF($N$3:$GS$3=$K$3,N67:GS67))</f>
        <v>0</v>
      </c>
      <c r="L67" s="8"/>
      <c r="O67" s="9"/>
      <c r="P67" s="9"/>
      <c r="Q67" s="9"/>
      <c r="R67" s="9"/>
      <c r="V67" s="9"/>
      <c r="W67" s="9"/>
      <c r="X67" s="9"/>
      <c r="Y67" s="9"/>
      <c r="AC67" s="9"/>
      <c r="AD67" s="9"/>
      <c r="AE67" s="9"/>
      <c r="AF67" s="9"/>
      <c r="AJ67" s="9"/>
      <c r="AK67" s="9"/>
      <c r="AL67" s="9"/>
      <c r="AM67" s="9"/>
      <c r="AQ67" s="9"/>
      <c r="AR67" s="9"/>
      <c r="AS67" s="9"/>
      <c r="AT67" s="9"/>
      <c r="AX67" s="9"/>
      <c r="AY67" s="9"/>
      <c r="AZ67" s="9"/>
      <c r="BA67" s="9"/>
      <c r="BE67" s="9"/>
      <c r="BF67" s="9"/>
      <c r="BG67" s="9"/>
      <c r="BH67" s="9"/>
      <c r="BL67" s="9"/>
      <c r="BM67" s="9"/>
      <c r="BN67" s="9"/>
      <c r="BO67" s="9"/>
      <c r="BS67" s="9"/>
      <c r="BT67" s="9"/>
      <c r="BU67" s="9"/>
      <c r="BV67" s="9"/>
      <c r="BZ67" s="9"/>
      <c r="CA67" s="9">
        <v>0.5</v>
      </c>
      <c r="CB67" s="9"/>
      <c r="CC67" s="9">
        <v>0.5</v>
      </c>
      <c r="CG67" s="9"/>
      <c r="CH67" s="9"/>
      <c r="CI67" s="9"/>
      <c r="CJ67" s="9"/>
      <c r="CN67" s="9"/>
      <c r="CO67" s="9"/>
      <c r="CP67" s="9"/>
      <c r="CQ67" s="9"/>
      <c r="CU67" s="9"/>
      <c r="CV67" s="9"/>
      <c r="CW67" s="9"/>
      <c r="CX67" s="9"/>
      <c r="DB67" s="9"/>
      <c r="DC67" s="9"/>
      <c r="DD67" s="9"/>
      <c r="DE67" s="9"/>
      <c r="DI67" s="9"/>
      <c r="DJ67" s="9"/>
      <c r="DK67" s="9"/>
      <c r="DL67" s="9"/>
      <c r="DP67" s="9"/>
      <c r="DQ67" s="9">
        <v>0.5</v>
      </c>
      <c r="DR67" s="9"/>
      <c r="DS67" s="9">
        <v>0.5</v>
      </c>
      <c r="DW67" s="9"/>
      <c r="DX67" s="9">
        <v>0.5</v>
      </c>
      <c r="DY67" s="9"/>
      <c r="DZ67" s="9">
        <v>0.5</v>
      </c>
      <c r="ED67" s="9"/>
      <c r="EE67" s="9">
        <v>0.8</v>
      </c>
      <c r="EF67" s="9"/>
      <c r="EG67" s="9">
        <v>0.8</v>
      </c>
      <c r="EK67" s="9"/>
      <c r="EL67" s="9">
        <v>0.8</v>
      </c>
      <c r="EM67" s="9"/>
      <c r="EN67" s="9">
        <v>0.8</v>
      </c>
      <c r="ER67" s="9"/>
      <c r="ES67" s="9">
        <v>1</v>
      </c>
      <c r="ET67" s="9"/>
      <c r="EU67" s="9">
        <v>1</v>
      </c>
      <c r="EY67" s="9"/>
      <c r="EZ67" s="9">
        <v>1</v>
      </c>
      <c r="FA67" s="9"/>
      <c r="FB67" s="9">
        <v>1</v>
      </c>
      <c r="FF67" s="9"/>
      <c r="FG67" s="9"/>
      <c r="FH67" s="9"/>
      <c r="FI67" s="9"/>
      <c r="FM67" s="9"/>
      <c r="FN67" s="9"/>
      <c r="FO67" s="9"/>
      <c r="FP67" s="9"/>
      <c r="FT67" s="9"/>
      <c r="FU67" s="9"/>
      <c r="FV67" s="9"/>
      <c r="FW67" s="9"/>
      <c r="GA67" s="9"/>
      <c r="GB67" s="9"/>
      <c r="GC67" s="9"/>
      <c r="GD67" s="9"/>
      <c r="GH67" s="9"/>
      <c r="GI67" s="9"/>
      <c r="GJ67" s="9"/>
      <c r="GK67" s="9"/>
      <c r="GO67" s="9"/>
      <c r="GP67" s="9"/>
      <c r="GQ67" s="9"/>
      <c r="GR67" s="9"/>
    </row>
    <row r="68" spans="2:200" outlineLevel="1">
      <c r="B68" t="s">
        <v>28</v>
      </c>
      <c r="C68" t="s">
        <v>58</v>
      </c>
      <c r="E68" s="8"/>
      <c r="F68" t="s">
        <v>166</v>
      </c>
      <c r="G68" s="33">
        <v>9.0899999999999995E-2</v>
      </c>
      <c r="I68" s="8">
        <f>+SUMIF($N$3:$XJ$3,I$3,$N68:$XJ68)</f>
        <v>0</v>
      </c>
      <c r="J68" s="10" cm="1">
        <f t="array" ref="J68">MAX(IF($N$3:$GS$3=$J$3,N68:GS68))</f>
        <v>0</v>
      </c>
      <c r="K68" s="10" cm="1">
        <f t="array" ref="K68">MAX(IF($N$3:$GS$3=$K$3,N68:GS68))</f>
        <v>0</v>
      </c>
      <c r="L68" s="8"/>
      <c r="O68" s="9"/>
      <c r="P68" s="9"/>
      <c r="Q68" s="9"/>
      <c r="R68" s="9"/>
      <c r="V68" s="9"/>
      <c r="W68" s="9"/>
      <c r="X68" s="9"/>
      <c r="Y68" s="9"/>
      <c r="AC68" s="9"/>
      <c r="AD68" s="9"/>
      <c r="AE68" s="9"/>
      <c r="AF68" s="9"/>
      <c r="AJ68" s="9"/>
      <c r="AK68" s="9"/>
      <c r="AL68" s="9"/>
      <c r="AM68" s="9"/>
      <c r="AQ68" s="9"/>
      <c r="AR68" s="9"/>
      <c r="AS68" s="9"/>
      <c r="AT68" s="9"/>
      <c r="AX68" s="9"/>
      <c r="AY68" s="9"/>
      <c r="AZ68" s="9"/>
      <c r="BA68" s="9"/>
      <c r="BE68" s="9"/>
      <c r="BF68" s="9"/>
      <c r="BG68" s="9"/>
      <c r="BH68" s="9"/>
      <c r="BL68" s="9"/>
      <c r="BM68" s="9"/>
      <c r="BN68" s="9"/>
      <c r="BO68" s="9"/>
      <c r="BS68" s="9"/>
      <c r="BT68" s="9"/>
      <c r="BU68" s="9"/>
      <c r="BV68" s="9"/>
      <c r="BZ68" s="9"/>
      <c r="CA68" s="9"/>
      <c r="CB68" s="9"/>
      <c r="CC68" s="9"/>
      <c r="CG68" s="9"/>
      <c r="CH68" s="9"/>
      <c r="CI68" s="9"/>
      <c r="CJ68" s="9"/>
      <c r="CN68" s="9"/>
      <c r="CO68" s="9"/>
      <c r="CP68" s="9"/>
      <c r="CQ68" s="9"/>
      <c r="CU68" s="9"/>
      <c r="CV68" s="9"/>
      <c r="CW68" s="9"/>
      <c r="CX68" s="9"/>
      <c r="DB68" s="9"/>
      <c r="DC68" s="9"/>
      <c r="DD68" s="9"/>
      <c r="DE68" s="9"/>
      <c r="DI68" s="9"/>
      <c r="DJ68" s="9"/>
      <c r="DK68" s="9"/>
      <c r="DL68" s="9"/>
      <c r="DP68" s="9"/>
      <c r="DQ68" s="9">
        <v>0.5</v>
      </c>
      <c r="DR68" s="9"/>
      <c r="DS68" s="9">
        <v>0.5</v>
      </c>
      <c r="DW68" s="9"/>
      <c r="DX68" s="9">
        <v>0.5</v>
      </c>
      <c r="DY68" s="9"/>
      <c r="DZ68" s="9">
        <v>0.5</v>
      </c>
      <c r="ED68" s="9"/>
      <c r="EE68" s="9">
        <v>0.8</v>
      </c>
      <c r="EF68" s="9"/>
      <c r="EG68" s="9">
        <v>0.8</v>
      </c>
      <c r="EK68" s="9"/>
      <c r="EL68" s="9">
        <v>0.8</v>
      </c>
      <c r="EM68" s="9"/>
      <c r="EN68" s="9">
        <v>0.8</v>
      </c>
      <c r="ER68" s="9"/>
      <c r="ES68" s="9">
        <v>0.8</v>
      </c>
      <c r="ET68" s="9"/>
      <c r="EU68" s="9">
        <v>0.8</v>
      </c>
      <c r="EY68" s="9"/>
      <c r="EZ68" s="9">
        <v>1</v>
      </c>
      <c r="FA68" s="9"/>
      <c r="FB68" s="9">
        <v>1</v>
      </c>
      <c r="FF68" s="9"/>
      <c r="FG68" s="9"/>
      <c r="FH68" s="9"/>
      <c r="FI68" s="9"/>
      <c r="FM68" s="9"/>
      <c r="FN68" s="9"/>
      <c r="FO68" s="9"/>
      <c r="FP68" s="9"/>
      <c r="FT68" s="9"/>
      <c r="FU68" s="9"/>
      <c r="FV68" s="9"/>
      <c r="FW68" s="9"/>
      <c r="GA68" s="9"/>
      <c r="GB68" s="9"/>
      <c r="GC68" s="9"/>
      <c r="GD68" s="9"/>
      <c r="GH68" s="9"/>
      <c r="GI68" s="9"/>
      <c r="GJ68" s="9"/>
      <c r="GK68" s="9"/>
      <c r="GO68" s="9"/>
      <c r="GP68" s="9"/>
      <c r="GQ68" s="9"/>
      <c r="GR68" s="9"/>
    </row>
    <row r="69" spans="2:200">
      <c r="CH69" s="9"/>
    </row>
    <row r="71" spans="2:200">
      <c r="F71" s="59" t="s">
        <v>134</v>
      </c>
      <c r="G71" s="59"/>
      <c r="H71" s="59"/>
      <c r="I71">
        <f>+SUMIF($N$3:$XFD$3,$N$3,$N$71:$XFD$71)</f>
        <v>12</v>
      </c>
      <c r="N71">
        <v>2</v>
      </c>
      <c r="O71" s="59" t="s">
        <v>134</v>
      </c>
      <c r="P71" s="59"/>
      <c r="Q71" s="59"/>
      <c r="U71">
        <v>2</v>
      </c>
      <c r="V71" s="59" t="s">
        <v>134</v>
      </c>
      <c r="W71" s="59"/>
      <c r="X71" s="59"/>
      <c r="AB71">
        <v>6</v>
      </c>
      <c r="AC71" s="59" t="s">
        <v>134</v>
      </c>
      <c r="AD71" s="59"/>
      <c r="AE71" s="59"/>
      <c r="AI71">
        <v>2</v>
      </c>
      <c r="AJ71" s="59" t="s">
        <v>134</v>
      </c>
      <c r="AK71" s="59"/>
      <c r="AL71" s="59"/>
      <c r="AQ71" s="59" t="s">
        <v>134</v>
      </c>
      <c r="AR71" s="59"/>
      <c r="AS71" s="59"/>
      <c r="AX71" s="59" t="s">
        <v>134</v>
      </c>
      <c r="AY71" s="59"/>
      <c r="AZ71" s="59"/>
      <c r="BE71" s="59" t="s">
        <v>134</v>
      </c>
      <c r="BF71" s="59"/>
      <c r="BG71" s="59"/>
      <c r="BL71" s="59" t="s">
        <v>134</v>
      </c>
      <c r="BM71" s="59"/>
      <c r="BN71" s="59"/>
      <c r="BS71" s="59" t="s">
        <v>134</v>
      </c>
      <c r="BT71" s="59"/>
      <c r="BU71" s="59"/>
      <c r="BZ71" s="59" t="s">
        <v>134</v>
      </c>
      <c r="CA71" s="59"/>
      <c r="CB71" s="59"/>
      <c r="CG71" s="59" t="s">
        <v>134</v>
      </c>
      <c r="CH71" s="59"/>
      <c r="CI71" s="59"/>
      <c r="CN71" s="59" t="s">
        <v>134</v>
      </c>
      <c r="CO71" s="59"/>
      <c r="CP71" s="59"/>
      <c r="CU71" s="59" t="s">
        <v>134</v>
      </c>
      <c r="CV71" s="59"/>
      <c r="CW71" s="59"/>
      <c r="DB71" s="59" t="s">
        <v>134</v>
      </c>
      <c r="DC71" s="59"/>
      <c r="DD71" s="59"/>
      <c r="DI71" s="59" t="s">
        <v>134</v>
      </c>
      <c r="DJ71" s="59"/>
      <c r="DK71" s="59"/>
      <c r="DP71" s="59" t="s">
        <v>134</v>
      </c>
      <c r="DQ71" s="59"/>
      <c r="DR71" s="59"/>
      <c r="DW71" s="59" t="s">
        <v>134</v>
      </c>
      <c r="DX71" s="59"/>
      <c r="DY71" s="59"/>
      <c r="ED71" s="59" t="s">
        <v>134</v>
      </c>
      <c r="EE71" s="59"/>
      <c r="EF71" s="59"/>
      <c r="EK71" s="59" t="s">
        <v>134</v>
      </c>
      <c r="EL71" s="59"/>
      <c r="EM71" s="59"/>
      <c r="ER71" s="59" t="s">
        <v>134</v>
      </c>
      <c r="ES71" s="59"/>
      <c r="ET71" s="59"/>
      <c r="EY71" s="59" t="s">
        <v>134</v>
      </c>
      <c r="EZ71" s="59"/>
      <c r="FA71" s="59"/>
      <c r="FF71" s="59" t="s">
        <v>134</v>
      </c>
      <c r="FG71" s="59"/>
      <c r="FH71" s="59"/>
      <c r="FM71" s="59" t="s">
        <v>134</v>
      </c>
      <c r="FN71" s="59"/>
      <c r="FO71" s="59"/>
      <c r="FT71" s="59" t="s">
        <v>134</v>
      </c>
      <c r="FU71" s="59"/>
      <c r="FV71" s="59"/>
      <c r="GA71" s="59" t="s">
        <v>134</v>
      </c>
      <c r="GB71" s="59"/>
      <c r="GC71" s="59"/>
      <c r="GH71" s="59" t="s">
        <v>134</v>
      </c>
      <c r="GI71" s="59"/>
      <c r="GJ71" s="59"/>
      <c r="GO71" s="59" t="s">
        <v>134</v>
      </c>
      <c r="GP71" s="59"/>
      <c r="GQ71" s="59"/>
    </row>
    <row r="73" spans="2:200">
      <c r="N73">
        <v>2</v>
      </c>
      <c r="O73" s="56" t="s">
        <v>151</v>
      </c>
      <c r="P73" s="56"/>
      <c r="Q73" s="56"/>
    </row>
    <row r="137" spans="4:10">
      <c r="D137" s="33" t="s">
        <v>219</v>
      </c>
    </row>
    <row r="138" spans="4:10">
      <c r="D138" s="33" t="s">
        <v>219</v>
      </c>
    </row>
    <row r="139" spans="4:10">
      <c r="D139" s="33" t="s">
        <v>219</v>
      </c>
      <c r="J139" s="74"/>
    </row>
    <row r="140" spans="4:10">
      <c r="D140" s="33" t="s">
        <v>219</v>
      </c>
      <c r="J140" s="74"/>
    </row>
    <row r="141" spans="4:10">
      <c r="D141" s="33" t="s">
        <v>219</v>
      </c>
      <c r="J141" s="74"/>
    </row>
    <row r="142" spans="4:10">
      <c r="D142" s="33" t="s">
        <v>219</v>
      </c>
      <c r="J142" s="74"/>
    </row>
    <row r="143" spans="4:10">
      <c r="D143" s="33" t="s">
        <v>219</v>
      </c>
      <c r="J143" s="74"/>
    </row>
    <row r="144" spans="4:10">
      <c r="D144" s="33" t="s">
        <v>219</v>
      </c>
      <c r="J144" s="74"/>
    </row>
    <row r="145" spans="10:10">
      <c r="J145" s="74"/>
    </row>
    <row r="146" spans="10:10">
      <c r="J146" s="74"/>
    </row>
  </sheetData>
  <mergeCells count="74">
    <mergeCell ref="CN30:CQ30"/>
    <mergeCell ref="K22:K23"/>
    <mergeCell ref="K26:K27"/>
    <mergeCell ref="K19:K20"/>
    <mergeCell ref="AL19:AL20"/>
    <mergeCell ref="AM19:AM20"/>
    <mergeCell ref="AL22:AL23"/>
    <mergeCell ref="AM22:AM23"/>
    <mergeCell ref="FX59:FX63"/>
    <mergeCell ref="GG2:GL2"/>
    <mergeCell ref="GH71:GJ71"/>
    <mergeCell ref="GN2:GS2"/>
    <mergeCell ref="GO71:GQ71"/>
    <mergeCell ref="FL2:FQ2"/>
    <mergeCell ref="FM71:FO71"/>
    <mergeCell ref="FS2:FX2"/>
    <mergeCell ref="FT71:FV71"/>
    <mergeCell ref="FZ2:GE2"/>
    <mergeCell ref="GA71:GC71"/>
    <mergeCell ref="EJ2:EO2"/>
    <mergeCell ref="EQ2:EV2"/>
    <mergeCell ref="EX2:FC2"/>
    <mergeCell ref="EY71:FA71"/>
    <mergeCell ref="FE2:FJ2"/>
    <mergeCell ref="FF71:FH71"/>
    <mergeCell ref="F71:H71"/>
    <mergeCell ref="DP71:DR71"/>
    <mergeCell ref="DW71:DY71"/>
    <mergeCell ref="ED71:EF71"/>
    <mergeCell ref="EK71:EM71"/>
    <mergeCell ref="AX71:AZ71"/>
    <mergeCell ref="BE71:BG71"/>
    <mergeCell ref="BL71:BN71"/>
    <mergeCell ref="BS71:BU71"/>
    <mergeCell ref="BZ71:CB71"/>
    <mergeCell ref="AQ71:AS71"/>
    <mergeCell ref="ER71:ET71"/>
    <mergeCell ref="CG71:CI71"/>
    <mergeCell ref="CN71:CP71"/>
    <mergeCell ref="CU71:CW71"/>
    <mergeCell ref="DB71:DD71"/>
    <mergeCell ref="DI71:DK71"/>
    <mergeCell ref="O73:Q73"/>
    <mergeCell ref="V71:X71"/>
    <mergeCell ref="AC71:AE71"/>
    <mergeCell ref="AJ71:AL71"/>
    <mergeCell ref="I2:L2"/>
    <mergeCell ref="N2:S2"/>
    <mergeCell ref="U2:Z2"/>
    <mergeCell ref="AB2:AG2"/>
    <mergeCell ref="AI2:AN2"/>
    <mergeCell ref="O71:Q71"/>
    <mergeCell ref="DV2:EA2"/>
    <mergeCell ref="EC2:EH2"/>
    <mergeCell ref="CM2:CR2"/>
    <mergeCell ref="CT2:CY2"/>
    <mergeCell ref="DA2:DF2"/>
    <mergeCell ref="DH2:DM2"/>
    <mergeCell ref="DO2:DT2"/>
    <mergeCell ref="CN17:CQ17"/>
    <mergeCell ref="AP2:AU2"/>
    <mergeCell ref="AW2:BB2"/>
    <mergeCell ref="BD2:BI2"/>
    <mergeCell ref="BK2:BP2"/>
    <mergeCell ref="BR2:BW2"/>
    <mergeCell ref="BY2:CD2"/>
    <mergeCell ref="CF2:CK2"/>
    <mergeCell ref="CN5:CQ5"/>
    <mergeCell ref="CG17:CJ17"/>
    <mergeCell ref="DK58:DK61"/>
    <mergeCell ref="CY17:CY20"/>
    <mergeCell ref="DM5:DM8"/>
    <mergeCell ref="DI34:DI37"/>
    <mergeCell ref="DF44:DF47"/>
  </mergeCells>
  <phoneticPr fontId="5" type="noConversion"/>
  <conditionalFormatting sqref="J5:J14">
    <cfRule type="colorScale" priority="240">
      <colorScale>
        <cfvo type="percent" val="0"/>
        <cfvo type="percent" val="100"/>
        <color rgb="FFFF231B"/>
        <color rgb="FF10FF07"/>
      </colorScale>
    </cfRule>
  </conditionalFormatting>
  <conditionalFormatting sqref="J17:J27">
    <cfRule type="colorScale" priority="797">
      <colorScale>
        <cfvo type="percent" val="0"/>
        <cfvo type="percent" val="100"/>
        <color rgb="FFFF231B"/>
        <color rgb="FF10FF07"/>
      </colorScale>
    </cfRule>
  </conditionalFormatting>
  <conditionalFormatting sqref="J30:J41">
    <cfRule type="colorScale" priority="792">
      <colorScale>
        <cfvo type="percent" val="0"/>
        <cfvo type="percent" val="100"/>
        <color rgb="FFFF231B"/>
        <color rgb="FF10FF07"/>
      </colorScale>
    </cfRule>
  </conditionalFormatting>
  <conditionalFormatting sqref="J44:J55">
    <cfRule type="colorScale" priority="471">
      <colorScale>
        <cfvo type="percent" val="0"/>
        <cfvo type="percent" val="100"/>
        <color rgb="FFFF231B"/>
        <color rgb="FF10FF07"/>
      </colorScale>
    </cfRule>
  </conditionalFormatting>
  <conditionalFormatting sqref="J58:J68">
    <cfRule type="colorScale" priority="789">
      <colorScale>
        <cfvo type="percent" val="0"/>
        <cfvo type="percent" val="100"/>
        <color rgb="FFFF231B"/>
        <color rgb="FF10FF07"/>
      </colorScale>
    </cfRule>
  </conditionalFormatting>
  <conditionalFormatting sqref="J24:K26 J23 J27 J18:K19 J21:K22 J20">
    <cfRule type="colorScale" priority="799">
      <colorScale>
        <cfvo type="percent" val="0"/>
        <cfvo type="percent" val="100"/>
        <color rgb="FFFF231B"/>
        <color rgb="FF10FF07"/>
      </colorScale>
    </cfRule>
  </conditionalFormatting>
  <conditionalFormatting sqref="J31:K41">
    <cfRule type="colorScale" priority="794">
      <colorScale>
        <cfvo type="percent" val="0"/>
        <cfvo type="percent" val="100"/>
        <color rgb="FFFF231B"/>
        <color rgb="FF10FF07"/>
      </colorScale>
    </cfRule>
  </conditionalFormatting>
  <conditionalFormatting sqref="J45:K55">
    <cfRule type="colorScale" priority="472">
      <colorScale>
        <cfvo type="percent" val="0"/>
        <cfvo type="percent" val="100"/>
        <color rgb="FFFF231B"/>
        <color rgb="FF10FF07"/>
      </colorScale>
    </cfRule>
  </conditionalFormatting>
  <conditionalFormatting sqref="J59:K68">
    <cfRule type="colorScale" priority="790">
      <colorScale>
        <cfvo type="percent" val="0"/>
        <cfvo type="percent" val="100"/>
        <color rgb="FFFF231B"/>
        <color rgb="FF10FF07"/>
      </colorScale>
    </cfRule>
  </conditionalFormatting>
  <conditionalFormatting sqref="K5:K14">
    <cfRule type="colorScale" priority="239">
      <colorScale>
        <cfvo type="percent" val="0"/>
        <cfvo type="percent" val="100"/>
        <color rgb="FFFF231B"/>
        <color rgb="FF10FF07"/>
      </colorScale>
    </cfRule>
  </conditionalFormatting>
  <conditionalFormatting sqref="K24:K26 K17:K19 K21:K22">
    <cfRule type="colorScale" priority="801">
      <colorScale>
        <cfvo type="percent" val="0"/>
        <cfvo type="percent" val="100"/>
        <color rgb="FFFF231B"/>
        <color rgb="FF10FF07"/>
      </colorScale>
    </cfRule>
  </conditionalFormatting>
  <conditionalFormatting sqref="K30:K41">
    <cfRule type="colorScale" priority="796">
      <colorScale>
        <cfvo type="percent" val="0"/>
        <cfvo type="percent" val="100"/>
        <color rgb="FFFF231B"/>
        <color rgb="FF10FF07"/>
      </colorScale>
    </cfRule>
  </conditionalFormatting>
  <conditionalFormatting sqref="K44:K55">
    <cfRule type="colorScale" priority="470">
      <colorScale>
        <cfvo type="percent" val="0"/>
        <cfvo type="percent" val="100"/>
        <color rgb="FFFF231B"/>
        <color rgb="FF10FF07"/>
      </colorScale>
    </cfRule>
  </conditionalFormatting>
  <conditionalFormatting sqref="K58:K68">
    <cfRule type="colorScale" priority="791">
      <colorScale>
        <cfvo type="percent" val="0"/>
        <cfvo type="percent" val="100"/>
        <color rgb="FFFF231B"/>
        <color rgb="FF10FF07"/>
      </colorScale>
    </cfRule>
  </conditionalFormatting>
  <conditionalFormatting sqref="O5:O14 Q5:Q14 CG5:CG14 O17:O27 Q17:Q27 V17:V27 X17:X27 AC17:AC27 AE17:AE27 AQ17:AQ27 AX17:AX27 BE17:BE27 BG17:BG27 BL17:BL27 BN17:BN27 BS17:BS27 BU17:BU27 BZ17:BZ27 CB17:CB27 CG18:CG27 CU17:CU27 CW17:CW27 DB17:DB27 DD17:DD27 DI17:DI27 DK17:DK27 DP17:DP27 DR17:DR27 DW17:DW27 DY17:DY27 ED17:ED27 EF17:EF27 CN18:CN27 CP18:CP27 DI30:DI33 O30:O41 Q30:Q41 V30:V41 X30:X41 AC30:AC41 AE30:AE41 AQ30:AQ41 AX30:AX41 BE30:BE41 BL30:BL41 BS30:BS41 BZ30:BZ41 CG30:CG41 CN31:CN41 CP31:CP41 CU30:CU41 CW30:CW41 DB30:DB41 DD30:DD41 DK30:DK41 DP30:DP41 DR30:DR41 DW30:DW41 DY30:DY41 ED30:ED41 EF30:EF41 DI38:DI41 AC44:AC51 AC54:AC55 O58:O68 Q58:Q68 V58:V68 X58:X68 AC58:AC68 AE58:AE68 CG58:CG68 CI58:CI68 CN58:CN68 CP58:CP68 CU58:CU68 CW58:CW68 DB58:DB68 DD58:DD68 DI58:DI68 DW58:DW68 ED58:ED68 DK62:DK68 AJ58:AJ68 AL58:AL68 AQ58:AQ68 AS58:AS68 AX58:AX68 AZ58:AZ68 BE58:BE68 BG58:BG68 BL58:BL68 BN58:BN68 BS58:BS68 BZ58:BZ68 BU58:BU68 CB58:CB68 DP58:DP68 DR58:DR68 DY58:DY68 EF58:EF68 CI18:CI27 CI30:CI41 AS30:AS41 AZ30:AZ41 BG30:BG41 BN30:BN41 BU30:BU41 CB30:CB41 AJ17:AJ27 AL17:AL19 AL21:AL22 AL24:AL27 AS17:AS27 AZ17:AZ27 AJ30:AJ41 AL30:AL41">
    <cfRule type="expression" dxfId="191" priority="688">
      <formula>OR(IF(O5&lt;P5,TRUE),IF(AND(P5="",O5&lt;&gt;""),TRUE))</formula>
    </cfRule>
    <cfRule type="expression" dxfId="190" priority="689">
      <formula>IF(O5&gt;=P5,IF(O5="",FALSE,TRUE))</formula>
    </cfRule>
  </conditionalFormatting>
  <conditionalFormatting sqref="O44:O55">
    <cfRule type="expression" dxfId="189" priority="499">
      <formula>OR(IF(O44&lt;P44,TRUE),IF(AND(P44="",O44&lt;&gt;""),TRUE))</formula>
    </cfRule>
    <cfRule type="expression" dxfId="188" priority="500">
      <formula>IF(O44&gt;=P44,IF(O44="",FALSE,TRUE))</formula>
    </cfRule>
  </conditionalFormatting>
  <conditionalFormatting sqref="Q44:Q55">
    <cfRule type="expression" dxfId="187" priority="497">
      <formula>OR(IF(Q44&lt;R44,TRUE),IF(AND(R44="",Q44&lt;&gt;""),TRUE))</formula>
    </cfRule>
    <cfRule type="expression" dxfId="186" priority="498">
      <formula>IF(Q44&gt;=R44,IF(Q44="",FALSE,TRUE))</formula>
    </cfRule>
  </conditionalFormatting>
  <conditionalFormatting sqref="V5:V14">
    <cfRule type="expression" dxfId="185" priority="135">
      <formula>OR(IF(V5&lt;W5,TRUE),IF(AND(W5="",V5&lt;&gt;""),TRUE))</formula>
    </cfRule>
    <cfRule type="expression" dxfId="184" priority="136">
      <formula>IF(V5&gt;=W5,IF(V5="",FALSE,TRUE))</formula>
    </cfRule>
  </conditionalFormatting>
  <conditionalFormatting sqref="V44:V55">
    <cfRule type="expression" dxfId="183" priority="127">
      <formula>OR(IF(V44&lt;W44,TRUE),IF(AND(W44="",V44&lt;&gt;""),TRUE))</formula>
    </cfRule>
    <cfRule type="expression" dxfId="182" priority="128">
      <formula>IF(V44&gt;=W44,IF(V44="",FALSE,TRUE))</formula>
    </cfRule>
  </conditionalFormatting>
  <conditionalFormatting sqref="X5:X14">
    <cfRule type="expression" dxfId="181" priority="287">
      <formula>OR(IF(X5&lt;Y5,TRUE),IF(AND(Y5="",X5&lt;&gt;""),TRUE))</formula>
    </cfRule>
    <cfRule type="expression" dxfId="180" priority="288">
      <formula>IF(X5&gt;=Y5,IF(X5="",FALSE,TRUE))</formula>
    </cfRule>
  </conditionalFormatting>
  <conditionalFormatting sqref="X44:X55">
    <cfRule type="expression" dxfId="179" priority="125">
      <formula>OR(IF(X44&lt;Y44,TRUE),IF(AND(Y44="",X44&lt;&gt;""),TRUE))</formula>
    </cfRule>
    <cfRule type="expression" dxfId="178" priority="126">
      <formula>IF(X44&gt;=Y44,IF(X44="",FALSE,TRUE))</formula>
    </cfRule>
  </conditionalFormatting>
  <conditionalFormatting sqref="AC5:AC14">
    <cfRule type="expression" dxfId="177" priority="123">
      <formula>OR(IF(AC5&lt;AD5,TRUE),IF(AND(AD5="",AC5&lt;&gt;""),TRUE))</formula>
    </cfRule>
    <cfRule type="expression" dxfId="176" priority="124">
      <formula>IF(AC5&gt;=AD5,IF(AC5="",FALSE,TRUE))</formula>
    </cfRule>
  </conditionalFormatting>
  <conditionalFormatting sqref="AC53">
    <cfRule type="expression" dxfId="175" priority="804">
      <formula>OR(IF(AC53&lt;AD52,TRUE),IF(AND(AD52="",AC53&lt;&gt;""),TRUE))</formula>
    </cfRule>
    <cfRule type="expression" dxfId="174" priority="805">
      <formula>IF(AC53&gt;=AD52,IF(AC53="",FALSE,TRUE))</formula>
    </cfRule>
  </conditionalFormatting>
  <conditionalFormatting sqref="AE5:AE14">
    <cfRule type="expression" dxfId="173" priority="121">
      <formula>OR(IF(AE5&lt;AF5,TRUE),IF(AND(AF5="",AE5&lt;&gt;""),TRUE))</formula>
    </cfRule>
    <cfRule type="expression" dxfId="172" priority="122">
      <formula>IF(AE5&gt;=AF5,IF(AE5="",FALSE,TRUE))</formula>
    </cfRule>
  </conditionalFormatting>
  <conditionalFormatting sqref="AE44:AE55">
    <cfRule type="expression" dxfId="171" priority="109">
      <formula>OR(IF(AE44&lt;AF44,TRUE),IF(AND(AF44="",AE44&lt;&gt;""),TRUE))</formula>
    </cfRule>
    <cfRule type="expression" dxfId="170" priority="110">
      <formula>IF(AE44&gt;=AF44,IF(AE44="",FALSE,TRUE))</formula>
    </cfRule>
  </conditionalFormatting>
  <conditionalFormatting sqref="AJ10:AJ14">
    <cfRule type="expression" dxfId="169" priority="409">
      <formula>OR(IF(AJ10&lt;AK10,TRUE),IF(AND(AK10="",AJ10&lt;&gt;""),TRUE))</formula>
    </cfRule>
    <cfRule type="expression" dxfId="168" priority="410">
      <formula>IF(AJ10&gt;=AK10,IF(AJ10="",FALSE,TRUE))</formula>
    </cfRule>
  </conditionalFormatting>
  <conditionalFormatting sqref="AJ48:AJ55">
    <cfRule type="expression" dxfId="167" priority="403">
      <formula>OR(IF(AJ48&lt;AK48,TRUE),IF(AND(AK48="",AJ48&lt;&gt;""),TRUE))</formula>
    </cfRule>
    <cfRule type="expression" dxfId="166" priority="404">
      <formula>IF(AJ48&gt;=AK48,IF(AJ48="",FALSE,TRUE))</formula>
    </cfRule>
  </conditionalFormatting>
  <conditionalFormatting sqref="AL7:AL14">
    <cfRule type="expression" dxfId="165" priority="241">
      <formula>OR(IF(AL7&lt;AM7,TRUE),IF(AND(AM7="",AL7&lt;&gt;""),TRUE))</formula>
    </cfRule>
    <cfRule type="expression" dxfId="164" priority="242">
      <formula>IF(AL7&gt;=AM7,IF(AL7="",FALSE,TRUE))</formula>
    </cfRule>
  </conditionalFormatting>
  <conditionalFormatting sqref="AL47:AL55">
    <cfRule type="expression" dxfId="163" priority="169">
      <formula>OR(IF(AL47&lt;AM47,TRUE),IF(AND(AM47="",AL47&lt;&gt;""),TRUE))</formula>
    </cfRule>
    <cfRule type="expression" dxfId="162" priority="170">
      <formula>IF(AL47&gt;=AM47,IF(AL47="",FALSE,TRUE))</formula>
    </cfRule>
  </conditionalFormatting>
  <conditionalFormatting sqref="AQ5:AQ14">
    <cfRule type="expression" dxfId="161" priority="395">
      <formula>OR(IF(AQ5&lt;AR5,TRUE),IF(AND(AR5="",AQ5&lt;&gt;""),TRUE))</formula>
    </cfRule>
    <cfRule type="expression" dxfId="160" priority="396">
      <formula>IF(AQ5&gt;=AR5,IF(AQ5="",FALSE,TRUE))</formula>
    </cfRule>
  </conditionalFormatting>
  <conditionalFormatting sqref="AQ44:AQ55">
    <cfRule type="expression" dxfId="159" priority="389">
      <formula>OR(IF(AQ44&lt;AR44,TRUE),IF(AND(AR44="",AQ44&lt;&gt;""),TRUE))</formula>
    </cfRule>
    <cfRule type="expression" dxfId="158" priority="390">
      <formula>IF(AQ44&gt;=AR44,IF(AQ44="",FALSE,TRUE))</formula>
    </cfRule>
  </conditionalFormatting>
  <conditionalFormatting sqref="AS5:AS14">
    <cfRule type="expression" dxfId="157" priority="243">
      <formula>OR(IF(AS5&lt;AT5,TRUE),IF(AND(AT5="",AS5&lt;&gt;""),TRUE))</formula>
    </cfRule>
    <cfRule type="expression" dxfId="156" priority="244">
      <formula>IF(AS5&gt;=AT5,IF(AS5="",FALSE,TRUE))</formula>
    </cfRule>
  </conditionalFormatting>
  <conditionalFormatting sqref="AS44:AS49">
    <cfRule type="expression" dxfId="155" priority="161">
      <formula>OR(IF(AS44&lt;AT44,TRUE),IF(AND(AT44="",AS44&lt;&gt;""),TRUE))</formula>
    </cfRule>
    <cfRule type="expression" dxfId="154" priority="162">
      <formula>IF(AS44&gt;=AT44,IF(AS44="",FALSE,TRUE))</formula>
    </cfRule>
  </conditionalFormatting>
  <conditionalFormatting sqref="AS49:AS55">
    <cfRule type="expression" dxfId="153" priority="163">
      <formula>OR(IF(AS49&lt;AT49,TRUE),IF(AND(AT49="",AS49&lt;&gt;""),TRUE))</formula>
    </cfRule>
    <cfRule type="expression" dxfId="152" priority="164">
      <formula>IF(AS49&gt;=AT49,IF(AS49="",FALSE,TRUE))</formula>
    </cfRule>
  </conditionalFormatting>
  <conditionalFormatting sqref="AX5:AX14">
    <cfRule type="expression" dxfId="151" priority="381">
      <formula>OR(IF(AX5&lt;AY5,TRUE),IF(AND(AY5="",AX5&lt;&gt;""),TRUE))</formula>
    </cfRule>
    <cfRule type="expression" dxfId="150" priority="382">
      <formula>IF(AX5&gt;=AY5,IF(AX5="",FALSE,TRUE))</formula>
    </cfRule>
  </conditionalFormatting>
  <conditionalFormatting sqref="AX44:AX55">
    <cfRule type="expression" dxfId="149" priority="375">
      <formula>OR(IF(AX44&lt;AY44,TRUE),IF(AND(AY44="",AX44&lt;&gt;""),TRUE))</formula>
    </cfRule>
    <cfRule type="expression" dxfId="148" priority="376">
      <formula>IF(AX44&gt;=AY44,IF(AX44="",FALSE,TRUE))</formula>
    </cfRule>
  </conditionalFormatting>
  <conditionalFormatting sqref="AZ5:AZ14">
    <cfRule type="expression" dxfId="147" priority="245">
      <formula>OR(IF(AZ5&lt;BA5,TRUE),IF(AND(BA5="",AZ5&lt;&gt;""),TRUE))</formula>
    </cfRule>
    <cfRule type="expression" dxfId="146" priority="246">
      <formula>IF(AZ5&gt;=BA5,IF(AZ5="",FALSE,TRUE))</formula>
    </cfRule>
  </conditionalFormatting>
  <conditionalFormatting sqref="AZ44:AZ50">
    <cfRule type="expression" dxfId="145" priority="157">
      <formula>OR(IF(AZ44&lt;BA44,TRUE),IF(AND(BA44="",AZ44&lt;&gt;""),TRUE))</formula>
    </cfRule>
    <cfRule type="expression" dxfId="144" priority="158">
      <formula>IF(AZ44&gt;=BA44,IF(AZ44="",FALSE,TRUE))</formula>
    </cfRule>
  </conditionalFormatting>
  <conditionalFormatting sqref="AZ49:AZ55">
    <cfRule type="expression" dxfId="143" priority="159">
      <formula>OR(IF(AZ49&lt;BA49,TRUE),IF(AND(BA49="",AZ49&lt;&gt;""),TRUE))</formula>
    </cfRule>
    <cfRule type="expression" dxfId="142" priority="160">
      <formula>IF(AZ49&gt;=BA49,IF(AZ49="",FALSE,TRUE))</formula>
    </cfRule>
  </conditionalFormatting>
  <conditionalFormatting sqref="BE5:BE14">
    <cfRule type="expression" dxfId="141" priority="367">
      <formula>OR(IF(BE5&lt;BF5,TRUE),IF(AND(BF5="",BE5&lt;&gt;""),TRUE))</formula>
    </cfRule>
    <cfRule type="expression" dxfId="140" priority="368">
      <formula>IF(BE5&gt;=BF5,IF(BE5="",FALSE,TRUE))</formula>
    </cfRule>
  </conditionalFormatting>
  <conditionalFormatting sqref="BE44:BE55">
    <cfRule type="expression" dxfId="139" priority="361">
      <formula>OR(IF(BE44&lt;BF44,TRUE),IF(AND(BF44="",BE44&lt;&gt;""),TRUE))</formula>
    </cfRule>
    <cfRule type="expression" dxfId="138" priority="362">
      <formula>IF(BE44&gt;=BF44,IF(BE44="",FALSE,TRUE))</formula>
    </cfRule>
  </conditionalFormatting>
  <conditionalFormatting sqref="BG5:BG14">
    <cfRule type="expression" dxfId="137" priority="249">
      <formula>OR(IF(BG5&lt;BH5,TRUE),IF(AND(BH5="",BG5&lt;&gt;""),TRUE))</formula>
    </cfRule>
    <cfRule type="expression" dxfId="136" priority="250">
      <formula>IF(BG5&gt;=BH5,IF(BG5="",FALSE,TRUE))</formula>
    </cfRule>
  </conditionalFormatting>
  <conditionalFormatting sqref="BG44:BG51">
    <cfRule type="expression" dxfId="135" priority="153">
      <formula>OR(IF(BG44&lt;BH44,TRUE),IF(AND(BH44="",BG44&lt;&gt;""),TRUE))</formula>
    </cfRule>
    <cfRule type="expression" dxfId="134" priority="154">
      <formula>IF(BG44&gt;=BH44,IF(BG44="",FALSE,TRUE))</formula>
    </cfRule>
  </conditionalFormatting>
  <conditionalFormatting sqref="BG49:BG55">
    <cfRule type="expression" dxfId="133" priority="155">
      <formula>OR(IF(BG49&lt;BH49,TRUE),IF(AND(BH49="",BG49&lt;&gt;""),TRUE))</formula>
    </cfRule>
    <cfRule type="expression" dxfId="132" priority="156">
      <formula>IF(BG49&gt;=BH49,IF(BG49="",FALSE,TRUE))</formula>
    </cfRule>
  </conditionalFormatting>
  <conditionalFormatting sqref="BL5:BL14">
    <cfRule type="expression" dxfId="131" priority="353">
      <formula>OR(IF(BL5&lt;BM5,TRUE),IF(AND(BM5="",BL5&lt;&gt;""),TRUE))</formula>
    </cfRule>
    <cfRule type="expression" dxfId="130" priority="354">
      <formula>IF(BL5&gt;=BM5,IF(BL5="",FALSE,TRUE))</formula>
    </cfRule>
  </conditionalFormatting>
  <conditionalFormatting sqref="BL44:BL55">
    <cfRule type="expression" dxfId="129" priority="347">
      <formula>OR(IF(BL44&lt;BM44,TRUE),IF(AND(BM44="",BL44&lt;&gt;""),TRUE))</formula>
    </cfRule>
    <cfRule type="expression" dxfId="128" priority="348">
      <formula>IF(BL44&gt;=BM44,IF(BL44="",FALSE,TRUE))</formula>
    </cfRule>
  </conditionalFormatting>
  <conditionalFormatting sqref="BN5:BN14">
    <cfRule type="expression" dxfId="127" priority="251">
      <formula>OR(IF(BN5&lt;BO5,TRUE),IF(AND(BO5="",BN5&lt;&gt;""),TRUE))</formula>
    </cfRule>
    <cfRule type="expression" dxfId="126" priority="252">
      <formula>IF(BN5&gt;=BO5,IF(BN5="",FALSE,TRUE))</formula>
    </cfRule>
  </conditionalFormatting>
  <conditionalFormatting sqref="BN44:BN52">
    <cfRule type="expression" dxfId="125" priority="149">
      <formula>OR(IF(BN44&lt;BO44,TRUE),IF(AND(BO44="",BN44&lt;&gt;""),TRUE))</formula>
    </cfRule>
    <cfRule type="expression" dxfId="124" priority="150">
      <formula>IF(BN44&gt;=BO44,IF(BN44="",FALSE,TRUE))</formula>
    </cfRule>
  </conditionalFormatting>
  <conditionalFormatting sqref="BN49:BN55">
    <cfRule type="expression" dxfId="123" priority="151">
      <formula>OR(IF(BN49&lt;BO49,TRUE),IF(AND(BO49="",BN49&lt;&gt;""),TRUE))</formula>
    </cfRule>
    <cfRule type="expression" dxfId="122" priority="152">
      <formula>IF(BN49&gt;=BO49,IF(BN49="",FALSE,TRUE))</formula>
    </cfRule>
  </conditionalFormatting>
  <conditionalFormatting sqref="BS5:BS14">
    <cfRule type="expression" dxfId="121" priority="339">
      <formula>OR(IF(BS5&lt;BT5,TRUE),IF(AND(BT5="",BS5&lt;&gt;""),TRUE))</formula>
    </cfRule>
    <cfRule type="expression" dxfId="120" priority="340">
      <formula>IF(BS5&gt;=BT5,IF(BS5="",FALSE,TRUE))</formula>
    </cfRule>
  </conditionalFormatting>
  <conditionalFormatting sqref="BS44:BS55">
    <cfRule type="expression" dxfId="119" priority="333">
      <formula>OR(IF(BS44&lt;BT44,TRUE),IF(AND(BT44="",BS44&lt;&gt;""),TRUE))</formula>
    </cfRule>
    <cfRule type="expression" dxfId="118" priority="334">
      <formula>IF(BS44&gt;=BT44,IF(BS44="",FALSE,TRUE))</formula>
    </cfRule>
  </conditionalFormatting>
  <conditionalFormatting sqref="BU5:BU14">
    <cfRule type="expression" dxfId="117" priority="253">
      <formula>OR(IF(BU5&lt;BV5,TRUE),IF(AND(BV5="",BU5&lt;&gt;""),TRUE))</formula>
    </cfRule>
    <cfRule type="expression" dxfId="116" priority="254">
      <formula>IF(BU5&gt;=BV5,IF(BU5="",FALSE,TRUE))</formula>
    </cfRule>
  </conditionalFormatting>
  <conditionalFormatting sqref="BU44:BU53">
    <cfRule type="expression" dxfId="115" priority="145">
      <formula>OR(IF(BU44&lt;BV44,TRUE),IF(AND(BV44="",BU44&lt;&gt;""),TRUE))</formula>
    </cfRule>
    <cfRule type="expression" dxfId="114" priority="146">
      <formula>IF(BU44&gt;=BV44,IF(BU44="",FALSE,TRUE))</formula>
    </cfRule>
  </conditionalFormatting>
  <conditionalFormatting sqref="BU49:BU55">
    <cfRule type="expression" dxfId="113" priority="147">
      <formula>OR(IF(BU49&lt;BV49,TRUE),IF(AND(BV49="",BU49&lt;&gt;""),TRUE))</formula>
    </cfRule>
    <cfRule type="expression" dxfId="112" priority="148">
      <formula>IF(BU49&gt;=BV49,IF(BU49="",FALSE,TRUE))</formula>
    </cfRule>
  </conditionalFormatting>
  <conditionalFormatting sqref="BZ5:BZ14">
    <cfRule type="expression" dxfId="111" priority="325">
      <formula>OR(IF(BZ5&lt;CA5,TRUE),IF(AND(CA5="",BZ5&lt;&gt;""),TRUE))</formula>
    </cfRule>
    <cfRule type="expression" dxfId="110" priority="326">
      <formula>IF(BZ5&gt;=CA5,IF(BZ5="",FALSE,TRUE))</formula>
    </cfRule>
  </conditionalFormatting>
  <conditionalFormatting sqref="BZ44:BZ55">
    <cfRule type="expression" dxfId="109" priority="319">
      <formula>OR(IF(BZ44&lt;CA44,TRUE),IF(AND(CA44="",BZ44&lt;&gt;""),TRUE))</formula>
    </cfRule>
    <cfRule type="expression" dxfId="108" priority="320">
      <formula>IF(BZ44&gt;=CA44,IF(BZ44="",FALSE,TRUE))</formula>
    </cfRule>
  </conditionalFormatting>
  <conditionalFormatting sqref="CB5:CB14">
    <cfRule type="expression" dxfId="107" priority="255">
      <formula>OR(IF(CB5&lt;CC5,TRUE),IF(AND(CC5="",CB5&lt;&gt;""),TRUE))</formula>
    </cfRule>
    <cfRule type="expression" dxfId="106" priority="256">
      <formula>IF(CB5&gt;=CC5,IF(CB5="",FALSE,TRUE))</formula>
    </cfRule>
  </conditionalFormatting>
  <conditionalFormatting sqref="CB44:CB55">
    <cfRule type="expression" dxfId="105" priority="141">
      <formula>OR(IF(CB44&lt;CC44,TRUE),IF(AND(CC44="",CB44&lt;&gt;""),TRUE))</formula>
    </cfRule>
    <cfRule type="expression" dxfId="104" priority="142">
      <formula>IF(CB44&gt;=CC44,IF(CB44="",FALSE,TRUE))</formula>
    </cfRule>
  </conditionalFormatting>
  <conditionalFormatting sqref="CB50:CB55">
    <cfRule type="expression" dxfId="103" priority="143">
      <formula>OR(IF(CB50&lt;CC50,TRUE),IF(AND(CC50="",CB50&lt;&gt;""),TRUE))</formula>
    </cfRule>
    <cfRule type="expression" dxfId="102" priority="144">
      <formula>IF(CB50&gt;=CC50,IF(CB50="",FALSE,TRUE))</formula>
    </cfRule>
  </conditionalFormatting>
  <conditionalFormatting sqref="CG44:CG55 CN44:CN55 CU44:CU55 DB44:DB55 DI44:DI55 DP44:DP55 DW44:DW55 ED44:ED55">
    <cfRule type="expression" dxfId="101" priority="305">
      <formula>OR(IF(CG44&lt;CH44,TRUE),IF(AND(CH44="",CG44&lt;&gt;""),TRUE))</formula>
    </cfRule>
    <cfRule type="expression" dxfId="100" priority="306">
      <formula>IF(CG44&gt;=CH44,IF(CG44="",FALSE,TRUE))</formula>
    </cfRule>
  </conditionalFormatting>
  <conditionalFormatting sqref="CI5:CI14">
    <cfRule type="expression" dxfId="99" priority="257">
      <formula>OR(IF(CI5&lt;CJ5,TRUE),IF(AND(CJ5="",CI5&lt;&gt;""),TRUE))</formula>
    </cfRule>
    <cfRule type="expression" dxfId="98" priority="258">
      <formula>IF(CI5&gt;=CJ5,IF(CI5="",FALSE,TRUE))</formula>
    </cfRule>
  </conditionalFormatting>
  <conditionalFormatting sqref="CI44:CI55">
    <cfRule type="expression" dxfId="97" priority="139">
      <formula>OR(IF(CI44&lt;CJ44,TRUE),IF(AND(CJ44="",CI44&lt;&gt;""),TRUE))</formula>
    </cfRule>
    <cfRule type="expression" dxfId="96" priority="140">
      <formula>IF(CI44&gt;=CJ44,IF(CI44="",FALSE,TRUE))</formula>
    </cfRule>
  </conditionalFormatting>
  <conditionalFormatting sqref="CI53:CI55">
    <cfRule type="expression" dxfId="95" priority="137">
      <formula>OR(IF(CI53&lt;CJ53,TRUE),IF(AND(CJ53="",CI53&lt;&gt;""),TRUE))</formula>
    </cfRule>
    <cfRule type="expression" dxfId="94" priority="138">
      <formula>IF(CI53&gt;=CJ53,IF(CI53="",FALSE,TRUE))</formula>
    </cfRule>
  </conditionalFormatting>
  <conditionalFormatting sqref="CN6:CN14 CP6:CP14 CU5:CU14 CW5:CW14 DB5:DB14 DD5:DD14 DI5:DI14 DK5:DK14 DP5:DP14 DR5:DR14 DW5:DW14 DY5:DY14 ED5:ED14 EF5:EF14">
    <cfRule type="expression" dxfId="93" priority="311">
      <formula>OR(IF(CN5&lt;CO5,TRUE),IF(AND(CO5="",CN5&lt;&gt;""),TRUE))</formula>
    </cfRule>
    <cfRule type="expression" dxfId="92" priority="312">
      <formula>IF(CN5&gt;=CO5,IF(CN5="",FALSE,TRUE))</formula>
    </cfRule>
  </conditionalFormatting>
  <conditionalFormatting sqref="CP44:CP55 CW44:CW55 DD44:DD55 DK44:DK55 DR44:DR55 DY44:DY55 EF44:EF55">
    <cfRule type="expression" dxfId="91" priority="303">
      <formula>OR(IF(CP44&lt;CQ44,TRUE),IF(AND(CQ44="",CP44&lt;&gt;""),TRUE))</formula>
    </cfRule>
    <cfRule type="expression" dxfId="90" priority="304">
      <formula>IF(CP44&gt;=CQ44,IF(CP44="",FALSE,TRUE))</formula>
    </cfRule>
  </conditionalFormatting>
  <conditionalFormatting sqref="EK17:EK27 EM17:EM27 EK30:EK41 EM30:EM41 EK58:EK68">
    <cfRule type="expression" dxfId="89" priority="107">
      <formula>OR(IF(EK17&lt;EL17,TRUE),IF(AND(EL17="",EK17&lt;&gt;""),TRUE))</formula>
    </cfRule>
    <cfRule type="expression" dxfId="88" priority="108">
      <formula>IF(EK17&gt;=EL17,IF(EK17="",FALSE,TRUE))</formula>
    </cfRule>
  </conditionalFormatting>
  <conditionalFormatting sqref="EK44:EK55">
    <cfRule type="expression" dxfId="87" priority="103">
      <formula>OR(IF(EK44&lt;EL44,TRUE),IF(AND(EL44="",EK44&lt;&gt;""),TRUE))</formula>
    </cfRule>
    <cfRule type="expression" dxfId="86" priority="104">
      <formula>IF(EK44&gt;=EL44,IF(EK44="",FALSE,TRUE))</formula>
    </cfRule>
  </conditionalFormatting>
  <conditionalFormatting sqref="EK5:EK14 EM5:EM14">
    <cfRule type="expression" dxfId="85" priority="105">
      <formula>OR(IF(EK5&lt;EL5,TRUE),IF(AND(EL5="",EK5&lt;&gt;""),TRUE))</formula>
    </cfRule>
    <cfRule type="expression" dxfId="84" priority="106">
      <formula>IF(EK5&gt;=EL5,IF(EK5="",FALSE,TRUE))</formula>
    </cfRule>
  </conditionalFormatting>
  <conditionalFormatting sqref="EM44:EM55">
    <cfRule type="expression" dxfId="83" priority="101">
      <formula>OR(IF(EM44&lt;EN44,TRUE),IF(AND(EN44="",EM44&lt;&gt;""),TRUE))</formula>
    </cfRule>
    <cfRule type="expression" dxfId="82" priority="102">
      <formula>IF(EM44&gt;=EN44,IF(EM44="",FALSE,TRUE))</formula>
    </cfRule>
  </conditionalFormatting>
  <conditionalFormatting sqref="ER17:ER27 ET17:ET27 ER30:ER41 ET30:ET41 ER58:ER68">
    <cfRule type="expression" dxfId="81" priority="99">
      <formula>OR(IF(ER17&lt;ES17,TRUE),IF(AND(ES17="",ER17&lt;&gt;""),TRUE))</formula>
    </cfRule>
    <cfRule type="expression" dxfId="80" priority="100">
      <formula>IF(ER17&gt;=ES17,IF(ER17="",FALSE,TRUE))</formula>
    </cfRule>
  </conditionalFormatting>
  <conditionalFormatting sqref="ER44:ER55">
    <cfRule type="expression" dxfId="79" priority="95">
      <formula>OR(IF(ER44&lt;ES44,TRUE),IF(AND(ES44="",ER44&lt;&gt;""),TRUE))</formula>
    </cfRule>
    <cfRule type="expression" dxfId="78" priority="96">
      <formula>IF(ER44&gt;=ES44,IF(ER44="",FALSE,TRUE))</formula>
    </cfRule>
  </conditionalFormatting>
  <conditionalFormatting sqref="ER5:ER14 ET5:ET14">
    <cfRule type="expression" dxfId="77" priority="97">
      <formula>OR(IF(ER5&lt;ES5,TRUE),IF(AND(ES5="",ER5&lt;&gt;""),TRUE))</formula>
    </cfRule>
    <cfRule type="expression" dxfId="76" priority="98">
      <formula>IF(ER5&gt;=ES5,IF(ER5="",FALSE,TRUE))</formula>
    </cfRule>
  </conditionalFormatting>
  <conditionalFormatting sqref="ET44:ET55">
    <cfRule type="expression" dxfId="75" priority="93">
      <formula>OR(IF(ET44&lt;EU44,TRUE),IF(AND(EU44="",ET44&lt;&gt;""),TRUE))</formula>
    </cfRule>
    <cfRule type="expression" dxfId="74" priority="94">
      <formula>IF(ET44&gt;=EU44,IF(ET44="",FALSE,TRUE))</formula>
    </cfRule>
  </conditionalFormatting>
  <conditionalFormatting sqref="EY17:EY27 FA17:FA27 EY30:EY41 FA30:FA41 EY58:EY68 FA58:FA68">
    <cfRule type="expression" dxfId="73" priority="91">
      <formula>OR(IF(EY17&lt;EZ17,TRUE),IF(AND(EZ17="",EY17&lt;&gt;""),TRUE))</formula>
    </cfRule>
    <cfRule type="expression" dxfId="72" priority="92">
      <formula>IF(EY17&gt;=EZ17,IF(EY17="",FALSE,TRUE))</formula>
    </cfRule>
  </conditionalFormatting>
  <conditionalFormatting sqref="EY44:EY55">
    <cfRule type="expression" dxfId="71" priority="87">
      <formula>OR(IF(EY44&lt;EZ44,TRUE),IF(AND(EZ44="",EY44&lt;&gt;""),TRUE))</formula>
    </cfRule>
    <cfRule type="expression" dxfId="70" priority="88">
      <formula>IF(EY44&gt;=EZ44,IF(EY44="",FALSE,TRUE))</formula>
    </cfRule>
  </conditionalFormatting>
  <conditionalFormatting sqref="EY5:EY14 FA5:FA14">
    <cfRule type="expression" dxfId="69" priority="89">
      <formula>OR(IF(EY5&lt;EZ5,TRUE),IF(AND(EZ5="",EY5&lt;&gt;""),TRUE))</formula>
    </cfRule>
    <cfRule type="expression" dxfId="68" priority="90">
      <formula>IF(EY5&gt;=EZ5,IF(EY5="",FALSE,TRUE))</formula>
    </cfRule>
  </conditionalFormatting>
  <conditionalFormatting sqref="FA44:FA55">
    <cfRule type="expression" dxfId="67" priority="85">
      <formula>OR(IF(FA44&lt;FB44,TRUE),IF(AND(FB44="",FA44&lt;&gt;""),TRUE))</formula>
    </cfRule>
    <cfRule type="expression" dxfId="66" priority="86">
      <formula>IF(FA44&gt;=FB44,IF(FA44="",FALSE,TRUE))</formula>
    </cfRule>
  </conditionalFormatting>
  <conditionalFormatting sqref="FF17:FF27 FH17:FH27 FF30:FF41 FH30:FH41 FF58:FF68 FH58:FH68">
    <cfRule type="expression" dxfId="65" priority="83">
      <formula>OR(IF(FF17&lt;FG17,TRUE),IF(AND(FG17="",FF17&lt;&gt;""),TRUE))</formula>
    </cfRule>
    <cfRule type="expression" dxfId="64" priority="84">
      <formula>IF(FF17&gt;=FG17,IF(FF17="",FALSE,TRUE))</formula>
    </cfRule>
  </conditionalFormatting>
  <conditionalFormatting sqref="FF44:FF55">
    <cfRule type="expression" dxfId="63" priority="79">
      <formula>OR(IF(FF44&lt;FG44,TRUE),IF(AND(FG44="",FF44&lt;&gt;""),TRUE))</formula>
    </cfRule>
    <cfRule type="expression" dxfId="62" priority="80">
      <formula>IF(FF44&gt;=FG44,IF(FF44="",FALSE,TRUE))</formula>
    </cfRule>
  </conditionalFormatting>
  <conditionalFormatting sqref="FF5:FF14 FH5:FH14">
    <cfRule type="expression" dxfId="61" priority="81">
      <formula>OR(IF(FF5&lt;FG5,TRUE),IF(AND(FG5="",FF5&lt;&gt;""),TRUE))</formula>
    </cfRule>
    <cfRule type="expression" dxfId="60" priority="82">
      <formula>IF(FF5&gt;=FG5,IF(FF5="",FALSE,TRUE))</formula>
    </cfRule>
  </conditionalFormatting>
  <conditionalFormatting sqref="FH44:FH55">
    <cfRule type="expression" dxfId="59" priority="77">
      <formula>OR(IF(FH44&lt;FI44,TRUE),IF(AND(FI44="",FH44&lt;&gt;""),TRUE))</formula>
    </cfRule>
    <cfRule type="expression" dxfId="58" priority="78">
      <formula>IF(FH44&gt;=FI44,IF(FH44="",FALSE,TRUE))</formula>
    </cfRule>
  </conditionalFormatting>
  <conditionalFormatting sqref="FM17:FM27 FO17:FO27 FM30:FM41 FO30:FO41 FM58:FM68 FO58:FO68">
    <cfRule type="expression" dxfId="57" priority="75">
      <formula>OR(IF(FM17&lt;FN17,TRUE),IF(AND(FN17="",FM17&lt;&gt;""),TRUE))</formula>
    </cfRule>
    <cfRule type="expression" dxfId="56" priority="76">
      <formula>IF(FM17&gt;=FN17,IF(FM17="",FALSE,TRUE))</formula>
    </cfRule>
  </conditionalFormatting>
  <conditionalFormatting sqref="FM44:FM55">
    <cfRule type="expression" dxfId="55" priority="71">
      <formula>OR(IF(FM44&lt;FN44,TRUE),IF(AND(FN44="",FM44&lt;&gt;""),TRUE))</formula>
    </cfRule>
    <cfRule type="expression" dxfId="54" priority="72">
      <formula>IF(FM44&gt;=FN44,IF(FM44="",FALSE,TRUE))</formula>
    </cfRule>
  </conditionalFormatting>
  <conditionalFormatting sqref="FM5:FM14 FO5:FO14">
    <cfRule type="expression" dxfId="53" priority="73">
      <formula>OR(IF(FM5&lt;FN5,TRUE),IF(AND(FN5="",FM5&lt;&gt;""),TRUE))</formula>
    </cfRule>
    <cfRule type="expression" dxfId="52" priority="74">
      <formula>IF(FM5&gt;=FN5,IF(FM5="",FALSE,TRUE))</formula>
    </cfRule>
  </conditionalFormatting>
  <conditionalFormatting sqref="FO44:FO55">
    <cfRule type="expression" dxfId="51" priority="69">
      <formula>OR(IF(FO44&lt;FP44,TRUE),IF(AND(FP44="",FO44&lt;&gt;""),TRUE))</formula>
    </cfRule>
    <cfRule type="expression" dxfId="50" priority="70">
      <formula>IF(FO44&gt;=FP44,IF(FO44="",FALSE,TRUE))</formula>
    </cfRule>
  </conditionalFormatting>
  <conditionalFormatting sqref="FT17:FT27 FV17:FV27 FT30:FT41 FV30:FV41 FT58:FT68 FV58:FV68">
    <cfRule type="expression" dxfId="49" priority="67">
      <formula>OR(IF(FT17&lt;FU17,TRUE),IF(AND(FU17="",FT17&lt;&gt;""),TRUE))</formula>
    </cfRule>
    <cfRule type="expression" dxfId="48" priority="68">
      <formula>IF(FT17&gt;=FU17,IF(FT17="",FALSE,TRUE))</formula>
    </cfRule>
  </conditionalFormatting>
  <conditionalFormatting sqref="FT44:FT55">
    <cfRule type="expression" dxfId="47" priority="63">
      <formula>OR(IF(FT44&lt;FU44,TRUE),IF(AND(FU44="",FT44&lt;&gt;""),TRUE))</formula>
    </cfRule>
    <cfRule type="expression" dxfId="46" priority="64">
      <formula>IF(FT44&gt;=FU44,IF(FT44="",FALSE,TRUE))</formula>
    </cfRule>
  </conditionalFormatting>
  <conditionalFormatting sqref="FT5:FT14 FV5:FV14">
    <cfRule type="expression" dxfId="45" priority="65">
      <formula>OR(IF(FT5&lt;FU5,TRUE),IF(AND(FU5="",FT5&lt;&gt;""),TRUE))</formula>
    </cfRule>
    <cfRule type="expression" dxfId="44" priority="66">
      <formula>IF(FT5&gt;=FU5,IF(FT5="",FALSE,TRUE))</formula>
    </cfRule>
  </conditionalFormatting>
  <conditionalFormatting sqref="FV44:FV55">
    <cfRule type="expression" dxfId="43" priority="61">
      <formula>OR(IF(FV44&lt;FW44,TRUE),IF(AND(FW44="",FV44&lt;&gt;""),TRUE))</formula>
    </cfRule>
    <cfRule type="expression" dxfId="42" priority="62">
      <formula>IF(FV44&gt;=FW44,IF(FV44="",FALSE,TRUE))</formula>
    </cfRule>
  </conditionalFormatting>
  <conditionalFormatting sqref="GA17:GA27 GC17:GC27 GA30:GA41 GC30:GC41 GA58:GA68 GC58:GC68">
    <cfRule type="expression" dxfId="41" priority="59">
      <formula>OR(IF(GA17&lt;GB17,TRUE),IF(AND(GB17="",GA17&lt;&gt;""),TRUE))</formula>
    </cfRule>
    <cfRule type="expression" dxfId="40" priority="60">
      <formula>IF(GA17&gt;=GB17,IF(GA17="",FALSE,TRUE))</formula>
    </cfRule>
  </conditionalFormatting>
  <conditionalFormatting sqref="GA44:GA55">
    <cfRule type="expression" dxfId="39" priority="55">
      <formula>OR(IF(GA44&lt;GB44,TRUE),IF(AND(GB44="",GA44&lt;&gt;""),TRUE))</formula>
    </cfRule>
    <cfRule type="expression" dxfId="38" priority="56">
      <formula>IF(GA44&gt;=GB44,IF(GA44="",FALSE,TRUE))</formula>
    </cfRule>
  </conditionalFormatting>
  <conditionalFormatting sqref="GA5:GA14 GC5:GC14">
    <cfRule type="expression" dxfId="37" priority="57">
      <formula>OR(IF(GA5&lt;GB5,TRUE),IF(AND(GB5="",GA5&lt;&gt;""),TRUE))</formula>
    </cfRule>
    <cfRule type="expression" dxfId="36" priority="58">
      <formula>IF(GA5&gt;=GB5,IF(GA5="",FALSE,TRUE))</formula>
    </cfRule>
  </conditionalFormatting>
  <conditionalFormatting sqref="GC44:GC55">
    <cfRule type="expression" dxfId="35" priority="53">
      <formula>OR(IF(GC44&lt;GD44,TRUE),IF(AND(GD44="",GC44&lt;&gt;""),TRUE))</formula>
    </cfRule>
    <cfRule type="expression" dxfId="34" priority="54">
      <formula>IF(GC44&gt;=GD44,IF(GC44="",FALSE,TRUE))</formula>
    </cfRule>
  </conditionalFormatting>
  <conditionalFormatting sqref="GH17:GH27 GJ17:GJ27 GH30:GH41 GJ30:GJ41 GH58:GH68 GJ58:GJ68">
    <cfRule type="expression" dxfId="33" priority="51">
      <formula>OR(IF(GH17&lt;GI17,TRUE),IF(AND(GI17="",GH17&lt;&gt;""),TRUE))</formula>
    </cfRule>
    <cfRule type="expression" dxfId="32" priority="52">
      <formula>IF(GH17&gt;=GI17,IF(GH17="",FALSE,TRUE))</formula>
    </cfRule>
  </conditionalFormatting>
  <conditionalFormatting sqref="GH44:GH55">
    <cfRule type="expression" dxfId="31" priority="47">
      <formula>OR(IF(GH44&lt;GI44,TRUE),IF(AND(GI44="",GH44&lt;&gt;""),TRUE))</formula>
    </cfRule>
    <cfRule type="expression" dxfId="30" priority="48">
      <formula>IF(GH44&gt;=GI44,IF(GH44="",FALSE,TRUE))</formula>
    </cfRule>
  </conditionalFormatting>
  <conditionalFormatting sqref="GH5:GH14 GJ5:GJ14">
    <cfRule type="expression" dxfId="29" priority="49">
      <formula>OR(IF(GH5&lt;GI5,TRUE),IF(AND(GI5="",GH5&lt;&gt;""),TRUE))</formula>
    </cfRule>
    <cfRule type="expression" dxfId="28" priority="50">
      <formula>IF(GH5&gt;=GI5,IF(GH5="",FALSE,TRUE))</formula>
    </cfRule>
  </conditionalFormatting>
  <conditionalFormatting sqref="GJ44:GJ55">
    <cfRule type="expression" dxfId="27" priority="45">
      <formula>OR(IF(GJ44&lt;GK44,TRUE),IF(AND(GK44="",GJ44&lt;&gt;""),TRUE))</formula>
    </cfRule>
    <cfRule type="expression" dxfId="26" priority="46">
      <formula>IF(GJ44&gt;=GK44,IF(GJ44="",FALSE,TRUE))</formula>
    </cfRule>
  </conditionalFormatting>
  <conditionalFormatting sqref="GO17:GO27 GQ17:GQ27 GO30:GO41 GQ30:GQ41 GO58:GO68 GQ58:GQ68">
    <cfRule type="expression" dxfId="25" priority="43">
      <formula>OR(IF(GO17&lt;GP17,TRUE),IF(AND(GP17="",GO17&lt;&gt;""),TRUE))</formula>
    </cfRule>
    <cfRule type="expression" dxfId="24" priority="44">
      <formula>IF(GO17&gt;=GP17,IF(GO17="",FALSE,TRUE))</formula>
    </cfRule>
  </conditionalFormatting>
  <conditionalFormatting sqref="GO44:GO55">
    <cfRule type="expression" dxfId="23" priority="39">
      <formula>OR(IF(GO44&lt;GP44,TRUE),IF(AND(GP44="",GO44&lt;&gt;""),TRUE))</formula>
    </cfRule>
    <cfRule type="expression" dxfId="22" priority="40">
      <formula>IF(GO44&gt;=GP44,IF(GO44="",FALSE,TRUE))</formula>
    </cfRule>
  </conditionalFormatting>
  <conditionalFormatting sqref="GO5:GO14 GQ5:GQ14">
    <cfRule type="expression" dxfId="21" priority="41">
      <formula>OR(IF(GO5&lt;GP5,TRUE),IF(AND(GP5="",GO5&lt;&gt;""),TRUE))</formula>
    </cfRule>
    <cfRule type="expression" dxfId="20" priority="42">
      <formula>IF(GO5&gt;=GP5,IF(GO5="",FALSE,TRUE))</formula>
    </cfRule>
  </conditionalFormatting>
  <conditionalFormatting sqref="GQ44:GQ55">
    <cfRule type="expression" dxfId="19" priority="37">
      <formula>OR(IF(GQ44&lt;GR44,TRUE),IF(AND(GR44="",GQ44&lt;&gt;""),TRUE))</formula>
    </cfRule>
    <cfRule type="expression" dxfId="18" priority="38">
      <formula>IF(GQ44&gt;=GR44,IF(GQ44="",FALSE,TRUE))</formula>
    </cfRule>
  </conditionalFormatting>
  <conditionalFormatting sqref="EM58:EM68">
    <cfRule type="expression" dxfId="11" priority="11">
      <formula>OR(IF(EM58&lt;EN58,TRUE),IF(AND(EN58="",EM58&lt;&gt;""),TRUE))</formula>
    </cfRule>
    <cfRule type="expression" dxfId="10" priority="12">
      <formula>IF(EM58&gt;=EN58,IF(EM58="",FALSE,TRUE))</formula>
    </cfRule>
  </conditionalFormatting>
  <conditionalFormatting sqref="ET58:ET68">
    <cfRule type="expression" dxfId="9" priority="9">
      <formula>OR(IF(ET58&lt;EU58,TRUE),IF(AND(EU58="",ET58&lt;&gt;""),TRUE))</formula>
    </cfRule>
    <cfRule type="expression" dxfId="8" priority="10">
      <formula>IF(ET58&gt;=EU58,IF(ET58="",FALSE,TRUE))</formula>
    </cfRule>
  </conditionalFormatting>
  <conditionalFormatting sqref="AJ5:AJ9">
    <cfRule type="expression" dxfId="7" priority="7">
      <formula>OR(IF(AJ5&lt;AK5,TRUE),IF(AND(AK5="",AJ5&lt;&gt;""),TRUE))</formula>
    </cfRule>
    <cfRule type="expression" dxfId="6" priority="8">
      <formula>IF(AJ5&gt;=AK5,IF(AJ5="",FALSE,TRUE))</formula>
    </cfRule>
  </conditionalFormatting>
  <conditionalFormatting sqref="AL5:AL6">
    <cfRule type="expression" dxfId="5" priority="5">
      <formula>OR(IF(AL5&lt;AM5,TRUE),IF(AND(AM5="",AL5&lt;&gt;""),TRUE))</formula>
    </cfRule>
    <cfRule type="expression" dxfId="4" priority="6">
      <formula>IF(AL5&gt;=AM5,IF(AL5="",FALSE,TRUE))</formula>
    </cfRule>
  </conditionalFormatting>
  <conditionalFormatting sqref="AJ44:AJ47">
    <cfRule type="expression" dxfId="3" priority="3">
      <formula>OR(IF(AJ44&lt;AK44,TRUE),IF(AND(AK44="",AJ44&lt;&gt;""),TRUE))</formula>
    </cfRule>
    <cfRule type="expression" dxfId="2" priority="4">
      <formula>IF(AJ44&gt;=AK44,IF(AJ44="",FALSE,TRUE))</formula>
    </cfRule>
  </conditionalFormatting>
  <conditionalFormatting sqref="AL44:AL46">
    <cfRule type="expression" dxfId="1" priority="1">
      <formula>OR(IF(AL44&lt;AM44,TRUE),IF(AND(AM44="",AL44&lt;&gt;""),TRUE))</formula>
    </cfRule>
    <cfRule type="expression" dxfId="0" priority="2">
      <formula>IF(AL44&gt;=AM44,IF(AL44="",FALSE,TRUE))</formula>
    </cfRule>
  </conditionalFormatting>
  <dataValidations count="1">
    <dataValidation type="list" allowBlank="1" showInputMessage="1" showErrorMessage="1" sqref="O5:R14 V5:Y14 O44:R55 AC5:AF14 AJ30:AM41 AQ44:AT55 AX44:BA55 BE44:BH55 BL44:BO55 CI58:CJ68 BS44:BV55 CN58:CQ68 CU44:CX55 DB44:DE55 DI44:DL55 DP44:DS55 DW44:DZ55 O58:R68 ED44:EG55 DW58:DZ68 DP58:DS68 BZ58:CC68 DI38:DI41 DB58:DE68 CU58:CX68 CN44:CQ55 BZ44:CC55 BL58:BO68 BE58:BH68 AX58:BA68 AQ58:AT68 AJ58:AM68 EY58:FB68 V58:Y68 BS58:BV68 CG58:CG68 CH58:CH69 ED5:EG14 DW5:DZ14 DP5:DS14 DI5:DL14 DB5:DE14 CU5:CX14 CN6:CQ14 AX5:BA14 ER58:EU68 CG5:CJ14 BL5:BO14 BZ5:CC14 AQ5:AT14 V44:Y55 BZ30:CC41 BE5:BH14 CG44:CJ55 AC58:AF68 ED30:EG41 DW30:DZ41 DP30:DS41 CN18:CQ27 DB30:DE41 CU30:CX41 CG18:CJ27 CG30:CJ41 CN31:CQ41 BS30:BV41 BE30:BH41 AX30:BA41 AQ30:AT41 AX17:BA27 BL30:BO41 AC30:AF41 O30:R41 V30:Y41 ED17:EG27 DW17:DZ27 DP17:DS27 DI17:DL27 DB17:DE27 CU17:CX27 BS5:BV14 BZ17:CC27 BS17:BV27 BL17:BO27 BE17:BH27 AQ17:AT27 AJ5:AM14 AC17:AF27 V17:Y27 O17:R27 DJ30:DL41 DI30:DI33 DI58:DJ68 DL58:DL68 DK62:DK68 AC53 AC44:AF51 AC54:AF55 AD52:AF53 EK44:EN55 ED58:EG68 EK5:EN14 EK30:EN41 EK17:EN27 ER44:EU55 EK58:EN68 ER5:EU14 ER30:EU41 ER17:EU27 EY44:FB55 GO17:GR27 EY5:FB14 EY30:FB41 EY17:FB27 FF44:FI55 FF58:FI68 FF5:FI14 FF30:FI41 FF17:FI27 FM44:FP55 FM58:FP68 FM5:FP14 FM30:FP41 FM17:FP27 FT44:FW55 FT58:FW68 FT5:FW14 FT30:FW41 FT17:FW27 GA44:GD55 GA58:GD68 GA5:GD14 GA30:GD41 GA17:GD27 GH44:GK55 GH58:GK68 GH5:GK14 GH30:GK41 GH17:GK27 GO44:GR55 GO58:GR68 GO5:GR14 GO30:GR41 AJ17:AK27 AL24:AM27 AL17:AM19 AL21:AM22 AJ44:AM55" xr:uid="{DF46768B-76BD-4AD1-BDD9-05E5E50A35C8}">
      <formula1>"10%,20%,30%,40%,50%,60%,70%,80%,90%,100%"</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C778A-BF03-43BE-AC58-631BC4859F8C}">
  <dimension ref="A1:K43"/>
  <sheetViews>
    <sheetView topLeftCell="A7" zoomScale="74" workbookViewId="0">
      <selection activeCell="E24" sqref="E24:E26"/>
    </sheetView>
  </sheetViews>
  <sheetFormatPr baseColWidth="10" defaultRowHeight="15.6"/>
  <cols>
    <col min="4" max="4" width="11.19921875" customWidth="1"/>
  </cols>
  <sheetData>
    <row r="1" spans="2:9" ht="24.6">
      <c r="C1" s="42" t="s">
        <v>25</v>
      </c>
      <c r="D1" s="42"/>
      <c r="E1" s="18"/>
      <c r="F1" s="18"/>
      <c r="G1" s="18"/>
      <c r="H1" s="18"/>
      <c r="I1" s="18"/>
    </row>
    <row r="2" spans="2:9">
      <c r="C2" s="18"/>
      <c r="D2" s="18"/>
      <c r="E2" s="18"/>
      <c r="F2" s="18"/>
      <c r="G2" s="18"/>
      <c r="H2" s="18"/>
      <c r="I2" s="18"/>
    </row>
    <row r="3" spans="2:9" ht="16.2" thickBot="1">
      <c r="C3" s="18"/>
      <c r="D3" s="18"/>
      <c r="E3" s="18"/>
      <c r="F3" s="18"/>
      <c r="G3" s="18"/>
      <c r="H3" s="18"/>
      <c r="I3" s="18"/>
    </row>
    <row r="4" spans="2:9" ht="16.2" thickBot="1">
      <c r="C4" s="30" t="s">
        <v>4</v>
      </c>
      <c r="D4" s="31" t="s">
        <v>5</v>
      </c>
      <c r="E4" s="31" t="s">
        <v>6</v>
      </c>
      <c r="F4" s="31" t="s">
        <v>7</v>
      </c>
      <c r="G4" s="31" t="s">
        <v>10</v>
      </c>
      <c r="H4" s="31" t="s">
        <v>8</v>
      </c>
      <c r="I4" s="32" t="s">
        <v>9</v>
      </c>
    </row>
    <row r="5" spans="2:9">
      <c r="B5" s="22">
        <v>0.29166666666666702</v>
      </c>
      <c r="C5" s="18"/>
      <c r="D5" s="18"/>
      <c r="E5" s="18"/>
      <c r="F5" s="18"/>
      <c r="G5" s="18"/>
      <c r="H5" s="18"/>
      <c r="I5" s="18"/>
    </row>
    <row r="6" spans="2:9">
      <c r="B6" s="22">
        <v>0.3125</v>
      </c>
      <c r="C6" s="18"/>
      <c r="D6" s="18"/>
      <c r="E6" s="18"/>
      <c r="F6" s="18"/>
      <c r="G6" s="18"/>
      <c r="H6" s="18"/>
      <c r="I6" s="18"/>
    </row>
    <row r="7" spans="2:9">
      <c r="B7" s="22">
        <v>0.33333333333333398</v>
      </c>
      <c r="C7" s="18"/>
      <c r="D7" s="18"/>
      <c r="E7" s="53" t="s">
        <v>115</v>
      </c>
      <c r="F7" s="18"/>
      <c r="G7" s="18"/>
      <c r="H7" s="18"/>
      <c r="I7" s="18"/>
    </row>
    <row r="8" spans="2:9">
      <c r="B8" s="22">
        <v>0.35416666666666702</v>
      </c>
      <c r="C8" s="18"/>
      <c r="D8" s="18"/>
      <c r="E8" s="53"/>
      <c r="F8" s="18"/>
      <c r="G8" s="18"/>
      <c r="H8" s="18"/>
      <c r="I8" s="18"/>
    </row>
    <row r="9" spans="2:9">
      <c r="B9" s="22">
        <v>0.375</v>
      </c>
      <c r="C9" s="18"/>
      <c r="D9" s="18"/>
      <c r="E9" s="46" t="s">
        <v>124</v>
      </c>
      <c r="F9" s="18"/>
      <c r="G9" s="18"/>
      <c r="H9" s="18"/>
      <c r="I9" s="18"/>
    </row>
    <row r="10" spans="2:9">
      <c r="B10" s="22">
        <v>0.39583333333333398</v>
      </c>
      <c r="C10" s="18"/>
      <c r="D10" s="18"/>
      <c r="E10" s="47"/>
      <c r="F10" s="18"/>
      <c r="G10" s="18"/>
      <c r="H10" s="18"/>
      <c r="I10" s="18"/>
    </row>
    <row r="11" spans="2:9">
      <c r="B11" s="22">
        <v>0.41666666666666702</v>
      </c>
      <c r="C11" s="53" t="s">
        <v>115</v>
      </c>
      <c r="D11" s="53" t="s">
        <v>115</v>
      </c>
      <c r="E11" s="38" t="s">
        <v>171</v>
      </c>
      <c r="F11" s="53" t="s">
        <v>115</v>
      </c>
      <c r="G11" s="54" t="s">
        <v>115</v>
      </c>
      <c r="H11" s="53" t="s">
        <v>115</v>
      </c>
      <c r="I11" s="53" t="s">
        <v>115</v>
      </c>
    </row>
    <row r="12" spans="2:9">
      <c r="B12" s="22">
        <v>0.4375</v>
      </c>
      <c r="C12" s="53"/>
      <c r="D12" s="53"/>
      <c r="E12" s="38"/>
      <c r="F12" s="53"/>
      <c r="G12" s="54"/>
      <c r="H12" s="53"/>
      <c r="I12" s="53"/>
    </row>
    <row r="13" spans="2:9">
      <c r="B13" s="22">
        <v>0.45833333333333398</v>
      </c>
      <c r="C13" s="50" t="s">
        <v>50</v>
      </c>
      <c r="D13" s="46" t="s">
        <v>124</v>
      </c>
      <c r="E13" s="38"/>
      <c r="F13" s="50" t="s">
        <v>127</v>
      </c>
      <c r="G13" s="50" t="s">
        <v>125</v>
      </c>
      <c r="H13" s="50" t="s">
        <v>172</v>
      </c>
      <c r="I13" s="50" t="s">
        <v>50</v>
      </c>
    </row>
    <row r="14" spans="2:9">
      <c r="B14" s="22">
        <v>0.47916666666666702</v>
      </c>
      <c r="C14" s="51"/>
      <c r="D14" s="47"/>
      <c r="E14" s="38"/>
      <c r="F14" s="51"/>
      <c r="G14" s="51"/>
      <c r="H14" s="51"/>
      <c r="I14" s="51"/>
    </row>
    <row r="15" spans="2:9" ht="15.6" customHeight="1">
      <c r="B15" s="22">
        <v>0.5</v>
      </c>
      <c r="C15" s="51"/>
      <c r="D15" s="38" t="s">
        <v>131</v>
      </c>
      <c r="E15" s="60" t="s">
        <v>127</v>
      </c>
      <c r="F15" s="51"/>
      <c r="G15" s="51"/>
      <c r="H15" s="51"/>
      <c r="I15" s="51"/>
    </row>
    <row r="16" spans="2:9">
      <c r="B16" s="22">
        <v>0.52083333333333404</v>
      </c>
      <c r="C16" s="51"/>
      <c r="D16" s="38"/>
      <c r="E16" s="64"/>
      <c r="F16" s="51"/>
      <c r="G16" s="51"/>
      <c r="H16" s="51"/>
      <c r="I16" s="51"/>
    </row>
    <row r="17" spans="2:9">
      <c r="B17" s="22">
        <v>0.54166666666666696</v>
      </c>
      <c r="C17" s="51"/>
      <c r="D17" s="38"/>
      <c r="E17" s="64"/>
      <c r="F17" s="51"/>
      <c r="G17" s="51"/>
      <c r="H17" s="51"/>
      <c r="I17" s="51"/>
    </row>
    <row r="18" spans="2:9">
      <c r="B18" s="22">
        <v>0.5625</v>
      </c>
      <c r="C18" s="51"/>
      <c r="D18" s="38"/>
      <c r="E18" s="64"/>
      <c r="F18" s="51"/>
      <c r="G18" s="51"/>
      <c r="H18" s="51"/>
      <c r="I18" s="51"/>
    </row>
    <row r="19" spans="2:9" ht="15.6" customHeight="1">
      <c r="B19" s="22">
        <v>0.58333333333333337</v>
      </c>
      <c r="C19" s="51"/>
      <c r="D19" s="38" t="s">
        <v>132</v>
      </c>
      <c r="E19" s="64"/>
      <c r="F19" s="51"/>
      <c r="G19" s="51"/>
      <c r="H19" s="51"/>
      <c r="I19" s="51"/>
    </row>
    <row r="20" spans="2:9">
      <c r="B20" s="22">
        <v>0.60416666666666696</v>
      </c>
      <c r="C20" s="51"/>
      <c r="D20" s="38"/>
      <c r="E20" s="64"/>
      <c r="F20" s="52"/>
      <c r="G20" s="52"/>
      <c r="H20" s="52"/>
      <c r="I20" s="52"/>
    </row>
    <row r="21" spans="2:9" ht="15.6" customHeight="1">
      <c r="B21" s="22">
        <v>0.625000000000001</v>
      </c>
      <c r="C21" s="51"/>
      <c r="D21" s="38"/>
      <c r="E21" s="64"/>
      <c r="F21" s="48" t="s">
        <v>116</v>
      </c>
      <c r="G21" s="48" t="s">
        <v>116</v>
      </c>
      <c r="H21" s="48" t="s">
        <v>116</v>
      </c>
      <c r="I21" s="48" t="s">
        <v>116</v>
      </c>
    </row>
    <row r="22" spans="2:9" ht="15.6" customHeight="1">
      <c r="B22" s="22">
        <v>0.64583333333333404</v>
      </c>
      <c r="C22" s="52"/>
      <c r="D22" s="38"/>
      <c r="E22" s="61"/>
      <c r="F22" s="49"/>
      <c r="G22" s="49"/>
      <c r="H22" s="49"/>
      <c r="I22" s="49"/>
    </row>
    <row r="23" spans="2:9" ht="15.6" customHeight="1">
      <c r="B23" s="22">
        <v>0.66666666666666696</v>
      </c>
      <c r="C23" s="48" t="s">
        <v>116</v>
      </c>
      <c r="D23" s="65" t="s">
        <v>215</v>
      </c>
      <c r="E23" s="28" t="s">
        <v>128</v>
      </c>
      <c r="F23" s="50" t="s">
        <v>220</v>
      </c>
      <c r="G23" s="50" t="s">
        <v>129</v>
      </c>
      <c r="H23" s="50" t="s">
        <v>50</v>
      </c>
      <c r="I23" s="50" t="s">
        <v>125</v>
      </c>
    </row>
    <row r="24" spans="2:9" ht="15.6" customHeight="1">
      <c r="B24" s="22">
        <v>0.687500000000001</v>
      </c>
      <c r="C24" s="49"/>
      <c r="D24" s="66"/>
      <c r="E24" s="50" t="s">
        <v>125</v>
      </c>
      <c r="F24" s="51"/>
      <c r="G24" s="51"/>
      <c r="H24" s="51"/>
      <c r="I24" s="51"/>
    </row>
    <row r="25" spans="2:9" ht="15.6" customHeight="1">
      <c r="B25" s="22">
        <v>0.70833333333333404</v>
      </c>
      <c r="C25" s="50" t="s">
        <v>125</v>
      </c>
      <c r="D25" s="66"/>
      <c r="E25" s="51"/>
      <c r="F25" s="51"/>
      <c r="G25" s="51"/>
      <c r="H25" s="51"/>
      <c r="I25" s="51"/>
    </row>
    <row r="26" spans="2:9">
      <c r="B26" s="22">
        <v>0.72916666666666696</v>
      </c>
      <c r="C26" s="51"/>
      <c r="D26" s="67"/>
      <c r="E26" s="52"/>
      <c r="F26" s="51"/>
      <c r="G26" s="51"/>
      <c r="H26" s="51"/>
      <c r="I26" s="51"/>
    </row>
    <row r="27" spans="2:9">
      <c r="B27" s="22">
        <v>0.750000000000001</v>
      </c>
      <c r="C27" s="51"/>
      <c r="D27" s="28" t="s">
        <v>128</v>
      </c>
      <c r="E27" s="75" t="s">
        <v>221</v>
      </c>
      <c r="F27" s="51"/>
      <c r="G27" s="51"/>
      <c r="H27" s="51"/>
      <c r="I27" s="51"/>
    </row>
    <row r="28" spans="2:9">
      <c r="B28" s="22">
        <v>0.77083333333333404</v>
      </c>
      <c r="C28" s="51"/>
      <c r="D28" s="60" t="s">
        <v>130</v>
      </c>
      <c r="E28" s="60" t="s">
        <v>125</v>
      </c>
      <c r="F28" s="51"/>
      <c r="G28" s="51"/>
      <c r="H28" s="51"/>
      <c r="I28" s="51"/>
    </row>
    <row r="29" spans="2:9">
      <c r="B29" s="22">
        <v>0.79166666666666696</v>
      </c>
      <c r="C29" s="51"/>
      <c r="D29" s="64"/>
      <c r="E29" s="64"/>
      <c r="F29" s="51"/>
      <c r="G29" s="51"/>
      <c r="H29" s="51"/>
      <c r="I29" s="51"/>
    </row>
    <row r="30" spans="2:9">
      <c r="B30" s="22">
        <v>0.812500000000001</v>
      </c>
      <c r="C30" s="51"/>
      <c r="D30" s="61"/>
      <c r="E30" s="61"/>
      <c r="F30" s="52"/>
      <c r="G30" s="52"/>
      <c r="H30" s="52"/>
      <c r="I30" s="52"/>
    </row>
    <row r="31" spans="2:9">
      <c r="B31" s="22">
        <v>0.83333333333333404</v>
      </c>
      <c r="C31" s="51"/>
      <c r="D31" s="37" t="s">
        <v>123</v>
      </c>
      <c r="E31" s="46" t="s">
        <v>124</v>
      </c>
      <c r="F31" s="18"/>
      <c r="G31" s="18"/>
      <c r="H31" s="39" t="s">
        <v>117</v>
      </c>
      <c r="I31" s="18"/>
    </row>
    <row r="32" spans="2:9">
      <c r="B32" s="22">
        <v>0.85416666666666696</v>
      </c>
      <c r="C32" s="52"/>
      <c r="D32" s="37"/>
      <c r="E32" s="47"/>
      <c r="F32" s="18"/>
      <c r="G32" s="18"/>
      <c r="H32" s="40"/>
      <c r="I32" s="18"/>
    </row>
    <row r="33" spans="1:11">
      <c r="B33" s="22">
        <v>0.875000000000001</v>
      </c>
      <c r="C33" s="18"/>
      <c r="D33" s="37"/>
      <c r="E33" s="18"/>
      <c r="F33" s="18"/>
      <c r="G33" s="18"/>
      <c r="H33" s="40"/>
      <c r="I33" s="18"/>
    </row>
    <row r="34" spans="1:11">
      <c r="B34" s="22">
        <v>0.89583333333333404</v>
      </c>
      <c r="C34" s="18"/>
      <c r="D34" s="37"/>
      <c r="E34" s="18"/>
      <c r="F34" s="18"/>
      <c r="G34" s="18"/>
      <c r="H34" s="40"/>
      <c r="I34" s="18"/>
    </row>
    <row r="35" spans="1:11">
      <c r="A35" s="23"/>
      <c r="B35" s="24">
        <v>0.91666666666666696</v>
      </c>
      <c r="C35" s="18"/>
      <c r="D35" s="46" t="s">
        <v>124</v>
      </c>
      <c r="E35" s="37" t="s">
        <v>118</v>
      </c>
      <c r="F35" s="37" t="s">
        <v>118</v>
      </c>
      <c r="G35" s="37" t="s">
        <v>118</v>
      </c>
      <c r="H35" s="40"/>
      <c r="I35" s="37" t="s">
        <v>118</v>
      </c>
      <c r="J35" s="18"/>
      <c r="K35" s="23"/>
    </row>
    <row r="36" spans="1:11">
      <c r="A36" s="23"/>
      <c r="B36" s="24">
        <v>0.937500000000001</v>
      </c>
      <c r="C36" s="18"/>
      <c r="D36" s="47"/>
      <c r="E36" s="37"/>
      <c r="F36" s="37"/>
      <c r="G36" s="37"/>
      <c r="H36" s="40"/>
      <c r="I36" s="37"/>
    </row>
    <row r="37" spans="1:11">
      <c r="A37" s="23"/>
      <c r="B37" s="24">
        <v>0.95833333333333404</v>
      </c>
      <c r="C37" s="37" t="s">
        <v>118</v>
      </c>
      <c r="D37" s="37" t="s">
        <v>118</v>
      </c>
      <c r="E37" s="68" t="s">
        <v>216</v>
      </c>
      <c r="F37" s="69"/>
      <c r="G37" s="70"/>
      <c r="H37" s="40"/>
      <c r="I37" s="71" t="s">
        <v>217</v>
      </c>
    </row>
    <row r="38" spans="1:11">
      <c r="A38" s="23"/>
      <c r="B38" s="24">
        <v>0.97916666666666663</v>
      </c>
      <c r="C38" s="37"/>
      <c r="D38" s="37"/>
      <c r="H38" s="41"/>
      <c r="J38" s="18"/>
      <c r="K38" s="23"/>
    </row>
    <row r="39" spans="1:11" ht="15.6" customHeight="1">
      <c r="B39" s="24">
        <v>1</v>
      </c>
      <c r="C39" s="43" t="s">
        <v>119</v>
      </c>
      <c r="D39" s="45"/>
      <c r="H39" s="71" t="s">
        <v>217</v>
      </c>
    </row>
    <row r="40" spans="1:11">
      <c r="C40" s="18"/>
      <c r="D40" s="18"/>
    </row>
    <row r="41" spans="1:11" ht="15.6" customHeight="1">
      <c r="C41" s="18"/>
    </row>
    <row r="42" spans="1:11">
      <c r="C42" s="18"/>
      <c r="D42" s="18"/>
      <c r="E42" s="18"/>
      <c r="F42" s="18"/>
      <c r="G42" s="18"/>
      <c r="H42" s="18"/>
      <c r="I42" s="18"/>
    </row>
    <row r="43" spans="1:11">
      <c r="A43" s="7"/>
      <c r="C43" s="18"/>
      <c r="D43" s="18"/>
      <c r="E43" s="18"/>
      <c r="F43" s="18"/>
      <c r="G43" s="18"/>
      <c r="H43" s="18"/>
      <c r="I43" s="18"/>
    </row>
  </sheetData>
  <mergeCells count="45">
    <mergeCell ref="E15:E22"/>
    <mergeCell ref="E28:E30"/>
    <mergeCell ref="E24:E26"/>
    <mergeCell ref="E31:E32"/>
    <mergeCell ref="C39:D39"/>
    <mergeCell ref="E37:G37"/>
    <mergeCell ref="D23:D26"/>
    <mergeCell ref="D28:D30"/>
    <mergeCell ref="I35:I36"/>
    <mergeCell ref="C13:C22"/>
    <mergeCell ref="E7:E8"/>
    <mergeCell ref="E9:E10"/>
    <mergeCell ref="D31:D34"/>
    <mergeCell ref="H31:H38"/>
    <mergeCell ref="D35:D36"/>
    <mergeCell ref="C37:C38"/>
    <mergeCell ref="D37:D38"/>
    <mergeCell ref="E35:E36"/>
    <mergeCell ref="F35:F36"/>
    <mergeCell ref="G35:G36"/>
    <mergeCell ref="H21:H22"/>
    <mergeCell ref="I21:I22"/>
    <mergeCell ref="C25:C32"/>
    <mergeCell ref="F23:F30"/>
    <mergeCell ref="G23:G30"/>
    <mergeCell ref="H23:H30"/>
    <mergeCell ref="I23:I30"/>
    <mergeCell ref="D19:D22"/>
    <mergeCell ref="C23:C24"/>
    <mergeCell ref="F21:F22"/>
    <mergeCell ref="G21:G22"/>
    <mergeCell ref="H11:H12"/>
    <mergeCell ref="I11:I12"/>
    <mergeCell ref="D13:D14"/>
    <mergeCell ref="F13:F20"/>
    <mergeCell ref="G13:G20"/>
    <mergeCell ref="H13:H20"/>
    <mergeCell ref="I13:I20"/>
    <mergeCell ref="D15:D18"/>
    <mergeCell ref="C1:D1"/>
    <mergeCell ref="C11:C12"/>
    <mergeCell ref="D11:D12"/>
    <mergeCell ref="F11:F12"/>
    <mergeCell ref="G11:G12"/>
    <mergeCell ref="E11:E14"/>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COMMITTMENT</vt:lpstr>
      <vt:lpstr>Anleitung</vt:lpstr>
      <vt:lpstr>Best Practices</vt:lpstr>
      <vt:lpstr>KW 17</vt:lpstr>
      <vt:lpstr>KW 18</vt:lpstr>
      <vt:lpstr>KW 19</vt:lpstr>
      <vt:lpstr>Semesterplan</vt:lpstr>
      <vt:lpstr>KW20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Simon Ruz</cp:lastModifiedBy>
  <dcterms:created xsi:type="dcterms:W3CDTF">2020-04-19T13:33:28Z</dcterms:created>
  <dcterms:modified xsi:type="dcterms:W3CDTF">2025-05-14T16:01:18Z</dcterms:modified>
</cp:coreProperties>
</file>