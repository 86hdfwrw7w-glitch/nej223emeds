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C:\Users\arman\Documents\Studium\4. FS\"/>
    </mc:Choice>
  </mc:AlternateContent>
  <xr:revisionPtr revIDLastSave="0" documentId="13_ncr:1_{7F23BE0F-93BB-4653-B3F7-D8C281CA1D1A}" xr6:coauthVersionLast="36" xr6:coauthVersionMax="36" xr10:uidLastSave="{00000000-0000-0000-0000-000000000000}"/>
  <bookViews>
    <workbookView xWindow="0" yWindow="0" windowWidth="23040" windowHeight="8940" activeTab="1" xr2:uid="{50F29292-BE80-0C47-A0D2-DD086CB3D310}"/>
  </bookViews>
  <sheets>
    <sheet name="ANLEITUNG" sheetId="10" r:id="rId1"/>
    <sheet name="Semesterplan" sheetId="7" r:id="rId2"/>
    <sheet name="Best-Practices" sheetId="2" r:id="rId3"/>
    <sheet name="COMMITTMENT" sheetId="9" r:id="rId4"/>
    <sheet name="Stundenplan" sheetId="8" r:id="rId5"/>
    <sheet name="Wochenplan KW 19" sheetId="3"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8" i="7" l="1" a="1"/>
  <c r="K28" i="7" s="1"/>
  <c r="K29" i="7" a="1"/>
  <c r="K29" i="7" s="1"/>
  <c r="K30" i="7" a="1"/>
  <c r="K30" i="7" s="1"/>
  <c r="K31" i="7" a="1"/>
  <c r="K31" i="7" s="1"/>
  <c r="K32" i="7" a="1"/>
  <c r="K32" i="7" s="1"/>
  <c r="J28" i="7" a="1"/>
  <c r="J28" i="7" s="1"/>
  <c r="J29" i="7" a="1"/>
  <c r="J29" i="7" s="1"/>
  <c r="J30" i="7" a="1"/>
  <c r="J30" i="7" s="1"/>
  <c r="J31" i="7" a="1"/>
  <c r="J31" i="7" s="1"/>
  <c r="J32" i="7" a="1"/>
  <c r="J32" i="7" s="1"/>
  <c r="I1" i="7"/>
  <c r="DV4" i="7"/>
  <c r="DO4" i="7"/>
  <c r="DH4" i="7"/>
  <c r="DA4" i="7"/>
  <c r="CT4" i="7"/>
  <c r="I27" i="7" l="1"/>
  <c r="J27" i="7" a="1"/>
  <c r="J27" i="7" s="1"/>
  <c r="K27" i="7" a="1"/>
  <c r="K27" i="7" s="1"/>
  <c r="I18" i="7" l="1"/>
  <c r="N17" i="7"/>
  <c r="I6" i="7"/>
  <c r="I5" i="7"/>
  <c r="I7" i="7"/>
  <c r="I8" i="7"/>
  <c r="I9" i="7"/>
  <c r="I10" i="7"/>
  <c r="I11" i="7"/>
  <c r="I12" i="7"/>
  <c r="I13" i="7"/>
  <c r="I14" i="7"/>
  <c r="I4" i="7" l="1"/>
  <c r="K10" i="7" a="1"/>
  <c r="K10" i="7" s="1"/>
  <c r="K11" i="7" a="1"/>
  <c r="K11" i="7" s="1"/>
  <c r="J10" i="7" a="1"/>
  <c r="J10" i="7" s="1"/>
  <c r="K9" i="7" l="1" a="1"/>
  <c r="K9" i="7" s="1"/>
  <c r="K12" i="7" a="1"/>
  <c r="K12" i="7" s="1"/>
  <c r="K13" i="7" a="1"/>
  <c r="K13" i="7" s="1"/>
  <c r="K14" i="7" a="1"/>
  <c r="K14" i="7" s="1"/>
  <c r="J9" i="7" a="1"/>
  <c r="J9" i="7" s="1"/>
  <c r="J11" i="7" a="1"/>
  <c r="J11" i="7" s="1"/>
  <c r="J12" i="7" a="1"/>
  <c r="J12" i="7" s="1"/>
  <c r="J13" i="7" a="1"/>
  <c r="J13" i="7" s="1"/>
  <c r="J14" i="7" a="1"/>
  <c r="J14" i="7" s="1"/>
  <c r="J5" i="7" a="1"/>
  <c r="J5" i="7" s="1"/>
  <c r="J6" i="7" a="1"/>
  <c r="J6" i="7" s="1"/>
  <c r="J7" i="7" a="1"/>
  <c r="J7" i="7" s="1"/>
  <c r="J8" i="7" a="1"/>
  <c r="J8" i="7" s="1"/>
  <c r="CF4" i="7" l="1"/>
  <c r="BY4" i="7"/>
  <c r="BR4" i="7"/>
  <c r="G17" i="7" l="1"/>
  <c r="C11" i="10" l="1"/>
  <c r="CM4" i="7"/>
  <c r="C7" i="10"/>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AP34" i="7"/>
  <c r="AI34" i="7"/>
  <c r="AB34" i="7"/>
  <c r="U34" i="7"/>
  <c r="N34" i="7"/>
  <c r="G34" i="7"/>
  <c r="I32" i="7"/>
  <c r="I30" i="7"/>
  <c r="K26" i="7" a="1"/>
  <c r="K26" i="7" s="1"/>
  <c r="J26" i="7" a="1"/>
  <c r="J26" i="7" s="1"/>
  <c r="I26" i="7"/>
  <c r="AP25" i="7"/>
  <c r="AI25" i="7"/>
  <c r="AB25" i="7"/>
  <c r="U25" i="7"/>
  <c r="N25" i="7"/>
  <c r="G25" i="7"/>
  <c r="BK4" i="7"/>
  <c r="C12" i="10"/>
  <c r="K23" i="7" a="1"/>
  <c r="K23" i="7" s="1"/>
  <c r="J23" i="7" a="1"/>
  <c r="J23" i="7" s="1"/>
  <c r="K22" i="7" a="1"/>
  <c r="K22" i="7" s="1"/>
  <c r="J22" i="7" a="1"/>
  <c r="J22" i="7" s="1"/>
  <c r="K21" i="7" a="1"/>
  <c r="K21" i="7" s="1"/>
  <c r="J21" i="7" a="1"/>
  <c r="J21" i="7" s="1"/>
  <c r="K20" i="7" a="1"/>
  <c r="K20" i="7" s="1"/>
  <c r="J20" i="7" a="1"/>
  <c r="J20" i="7" s="1"/>
  <c r="K19" i="7" a="1"/>
  <c r="K19" i="7" s="1"/>
  <c r="J19" i="7" a="1"/>
  <c r="J19" i="7" s="1"/>
  <c r="K18" i="7" a="1"/>
  <c r="K18" i="7" s="1"/>
  <c r="J18" i="7" a="1"/>
  <c r="J18" i="7" s="1"/>
  <c r="K8" i="7" a="1"/>
  <c r="K8" i="7" s="1"/>
  <c r="K7" i="7" a="1"/>
  <c r="K7" i="7" s="1"/>
  <c r="K6" i="7" a="1"/>
  <c r="K6" i="7" s="1"/>
  <c r="K5" i="7" a="1"/>
  <c r="K5" i="7" s="1"/>
  <c r="BD4" i="7"/>
  <c r="AW4" i="7"/>
  <c r="AP4" i="7"/>
  <c r="AI4" i="7"/>
  <c r="AB4" i="7"/>
  <c r="U4" i="7"/>
  <c r="N4" i="7"/>
  <c r="G4" i="7"/>
  <c r="AP17" i="7"/>
  <c r="AI17" i="7"/>
  <c r="AB17" i="7"/>
  <c r="U17" i="7"/>
  <c r="I23" i="7"/>
  <c r="I22" i="7"/>
  <c r="I21" i="7"/>
  <c r="I20" i="7"/>
  <c r="I19" i="7"/>
  <c r="I17" i="7" l="1"/>
  <c r="I34" i="7"/>
  <c r="I25" i="7"/>
  <c r="J34" i="7"/>
  <c r="K34" i="7"/>
  <c r="K25" i="7"/>
  <c r="J25" i="7"/>
  <c r="J17" i="7"/>
  <c r="K17" i="7"/>
  <c r="K4" i="7"/>
  <c r="J4" i="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<sst xmlns="http://schemas.openxmlformats.org/spreadsheetml/2006/main" count="337" uniqueCount="148">
  <si>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</si>
  <si>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</si>
  <si>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</si>
  <si>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</si>
  <si>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</si>
  <si>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</si>
  <si>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</si>
  <si>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</si>
  <si>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</si>
  <si>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</si>
  <si>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</si>
  <si>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</si>
  <si>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</si>
  <si>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</si>
  <si>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</si>
  <si>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</si>
  <si>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</si>
  <si>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</si>
  <si>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</si>
  <si>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</si>
  <si>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</si>
  <si>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</si>
  <si>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</si>
  <si>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</si>
  <si>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</si>
  <si>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</si>
  <si>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</si>
  <si>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</si>
  <si>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</si>
  <si>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</si>
  <si>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</si>
  <si>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</si>
  <si>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</si>
  <si>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</si>
  <si>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</si>
  <si>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</si>
  <si>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</si>
  <si>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</si>
  <si>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</si>
  <si>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</si>
  <si>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</si>
  <si>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</si>
  <si>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</si>
  <si>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</si>
  <si>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</si>
  <si>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</si>
  <si>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</si>
  <si>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</si>
  <si>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</si>
  <si>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</si>
  <si>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</si>
  <si>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</si>
  <si>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</si>
  <si>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</si>
  <si>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</si>
  <si>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</si>
  <si>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</si>
  <si>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</si>
  <si>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</si>
  <si>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</si>
  <si>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</si>
  <si>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</si>
  <si>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</si>
  <si>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</si>
  <si>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</si>
  <si>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</si>
  <si>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</si>
  <si>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</si>
  <si>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</si>
  <si>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</si>
  <si>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</si>
  <si>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</si>
  <si>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</si>
  <si>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</si>
  <si>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</si>
  <si>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</si>
  <si>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</si>
  <si>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</si>
  <si>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</si>
  <si>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</si>
  <si>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</si>
  <si>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</si>
  <si>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</si>
  <si>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</si>
  <si>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</si>
  <si>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</si>
  <si>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</si>
  <si>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</si>
  <si>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</si>
  <si>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</si>
  <si>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</si>
  <si>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</si>
  <si>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</si>
  <si>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</si>
  <si>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Unternehmenssteuern I</t>
  </si>
  <si>
    <t>2. Besteuerung natürlicher Personen durch die Einkommensteuer</t>
  </si>
  <si>
    <t>1. Überblick</t>
  </si>
  <si>
    <t>5. Besteuerung juristischer Personen durch die Körperschaftsteuer</t>
  </si>
  <si>
    <t>6. Besteuerung gewerblicher Erträge durch die Gewerbesteuer</t>
  </si>
  <si>
    <t>7. Umsatzsteuer</t>
  </si>
  <si>
    <t>Rechnungslegung der Unternehmung</t>
  </si>
  <si>
    <t>Makro II</t>
  </si>
  <si>
    <t>KW 15</t>
  </si>
  <si>
    <t>KW 16</t>
  </si>
  <si>
    <t>KW 17</t>
  </si>
  <si>
    <t>KW 18</t>
  </si>
  <si>
    <t>KW 28</t>
  </si>
  <si>
    <t>4. Unterschiedliche Wechselkursregime</t>
  </si>
  <si>
    <t>5. Entscheidungsfreiheit der Politiker beschrnäken?</t>
  </si>
  <si>
    <t>6. Fiskalpolitik - Eine Zusammenfassung</t>
  </si>
  <si>
    <t>7. Geldpolitik – Eine Zusammenfassung</t>
  </si>
  <si>
    <t xml:space="preserve">8. Wachstum: Stilisierte Fakten </t>
  </si>
  <si>
    <t>9. Produktion, Sparen und Kapital</t>
  </si>
  <si>
    <t>10. Wachstum und technischer Fortschritt</t>
  </si>
  <si>
    <t>1. Offene Güter- und Finanzmärkte</t>
  </si>
  <si>
    <t>2. Der Gutermarkt in einer offenen Volkswirtschaft</t>
  </si>
  <si>
    <t>3. Produktion, Zinssatz und Wechselkurs</t>
  </si>
  <si>
    <t>3. Gewinnermittlung im Rahmen der Ertragsteuerbilanz</t>
  </si>
  <si>
    <t>4. Besteuerung des Grundbesitzes durch die Grundsteuer</t>
  </si>
  <si>
    <t>V. Steuern I</t>
  </si>
  <si>
    <t>V. RedUN</t>
  </si>
  <si>
    <t>V. Makro II</t>
  </si>
  <si>
    <t>1. IFRS</t>
  </si>
  <si>
    <t>2. Institutional Background</t>
  </si>
  <si>
    <t>3. Conceptual Framework</t>
  </si>
  <si>
    <t>4. Non current-assets</t>
  </si>
  <si>
    <t>5. Current assets</t>
  </si>
  <si>
    <t>6. Crypto assets</t>
  </si>
  <si>
    <t>7. ESG</t>
  </si>
  <si>
    <t>Unternehmensführung</t>
  </si>
  <si>
    <t>1. Unternhemensverfassung</t>
  </si>
  <si>
    <t>2. Grundlagen strategischer Management</t>
  </si>
  <si>
    <t>3. Ebenen und Instrumente Strategieformulierung</t>
  </si>
  <si>
    <t>4. Strategieimplementierung</t>
  </si>
  <si>
    <t>5.Begrifflichkeiten und Stellhebel der Organisationsgestaltung</t>
  </si>
  <si>
    <t>6. Stellhebel der Organisationsgestaltung und deren Wirkung</t>
  </si>
  <si>
    <t>V. UFO</t>
  </si>
  <si>
    <t>KW 27</t>
  </si>
  <si>
    <t>KW 29</t>
  </si>
  <si>
    <t>KW 30</t>
  </si>
  <si>
    <t>KW 31</t>
  </si>
  <si>
    <t>L=(3*k)/w</t>
  </si>
  <si>
    <t>tba (01.08.23)</t>
  </si>
  <si>
    <t>Klausurfrüh=100%</t>
  </si>
  <si>
    <t>Makro: 3*10/14= 2.14</t>
  </si>
  <si>
    <t>Untfü: 3*6/13=1.38</t>
  </si>
  <si>
    <t>Ust: 3*7/12=1.75</t>
  </si>
  <si>
    <t>Rldu: 3*7/12= 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</si>
</sst>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1">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0" fontId="0" fillId="0" borderId="0" xfId="0" applyBorder="1"/>
    <xf numFmtId="0" fontId="0" fillId="0" borderId="0" xfId="0" applyFill="1" applyBorder="1"/>
    <xf numFmtId="0" fontId="3" fillId="0" borderId="0" xfId="0" applyFont="1" applyFill="1" applyBorder="1"/>
    <xf numFmtId="0" fontId="1" fillId="0" borderId="0" xfId="0" applyFont="1" applyFill="1" applyBorder="1"/>
    <xf numFmtId="0" fontId="1" fillId="0" borderId="0" xfId="0" applyFont="1" applyFill="1" applyBorder="1" applyAlignment="1">
      <alignment horizontal="center"/>
    </xf>
    <xf numFmtId="14" fontId="0" fillId="0" borderId="0" xfId="0" applyNumberFormat="1" applyFill="1" applyBorder="1"/>
    <xf numFmtId="0" fontId="0" fillId="0" borderId="0" xfId="0" applyFill="1" applyBorder="1" applyAlignment="1">
      <alignment horizontal="center"/>
    </xf>
    <xf numFmtId="0" fontId="0" fillId="3" borderId="0" xfId="0" applyFill="1" applyBorder="1"/>
    <xf numFmtId="0" fontId="1" fillId="2" borderId="0" xfId="0" applyFont="1" applyFill="1" applyBorder="1" applyAlignment="1"/>
    <xf numFmtId="0" fontId="1" fillId="2" borderId="0" xfId="0" applyFont="1" applyFill="1" applyBorder="1"/>
    <xf numFmtId="0" fontId="1" fillId="2" borderId="0" xfId="0" applyFont="1" applyFill="1" applyBorder="1" applyAlignment="1">
      <alignment horizontal="center"/>
    </xf>
    <xf numFmtId="9" fontId="0" fillId="0" borderId="0" xfId="0" applyNumberFormat="1" applyBorder="1"/>
    <xf numFmtId="1" fontId="0" fillId="0" borderId="0" xfId="0" applyNumberFormat="1" applyBorder="1" applyAlignment="1">
      <alignment horizontal="center"/>
    </xf>
    <xf numFmtId="9" fontId="0" fillId="0" borderId="0" xfId="0" applyNumberFormat="1" applyBorder="1" applyAlignment="1">
      <alignment horizontal="center"/>
    </xf>
    <xf numFmtId="0" fontId="0" fillId="0" borderId="0" xfId="0" applyBorder="1" applyAlignment="1">
      <alignment horizontal="center"/>
    </xf>
    <xf numFmtId="14" fontId="0" fillId="0" borderId="0" xfId="0" applyNumberFormat="1" applyBorder="1"/>
    <xf numFmtId="0" fontId="0" fillId="0" borderId="0" xfId="0" applyFill="1" applyBorder="1" applyAlignment="1"/>
    <xf numFmtId="20" fontId="0" fillId="0" borderId="0" xfId="0" applyNumberFormat="1" applyFill="1" applyBorder="1"/>
    <xf numFmtId="0" fontId="0" fillId="7" borderId="0" xfId="0" applyFill="1"/>
    <xf numFmtId="0" fontId="0" fillId="8" borderId="0" xfId="0" applyFill="1"/>
    <xf numFmtId="0" fontId="0" fillId="9" borderId="0" xfId="0" applyFill="1"/>
    <xf numFmtId="0" fontId="0" fillId="10" borderId="0" xfId="0" applyFill="1"/>
    <xf numFmtId="9" fontId="0" fillId="0" borderId="0" xfId="0" applyNumberFormat="1" applyFill="1" applyBorder="1"/>
    <xf numFmtId="0" fontId="1" fillId="2" borderId="0" xfId="0" applyFont="1" applyFill="1" applyBorder="1" applyAlignment="1">
      <alignment horizontal="center"/>
    </xf>
  </cellXfs>
  <cellStyles count="1">
    <cellStyle name="Standard" xfId="0" builtinId="0"/>
  </cellStyles>
  <dxfs count="29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8">
  <autoFilter ref="A1:K46" xr:uid="{6E266E34-2786-2747-BCE7-51B74867A564}"/>
  <tableColumns count="11">
    <tableColumn id="1" xr3:uid="{95FD92F7-3DC8-704D-A103-A7EDDAB255AB}" name="Datum" dataDxfId="27"/>
    <tableColumn id="2" xr3:uid="{F464D510-8166-E740-A343-FB84BDEF877F}" name="Lerneinheiten durchgezogen" dataDxfId="26"/>
    <tableColumn id="3" xr3:uid="{75F52B08-1A00-0848-BBE6-1EDF7B31B1AD}" name="Tagesplan erstellt" dataDxfId="25"/>
    <tableColumn id="4" xr3:uid="{E6B18D89-E799-AD48-9DAA-37AEE1D29011}" name="Konzentrationslevel" dataDxfId="2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5.6"/>
  <cols>
    <col min="1" max="1" width="11.796875" customWidth="1"/>
    <col min="2" max="2" width="62.69921875" customWidth="1"/>
  </cols>
  <sheetData>
    <row r="2" spans="1:4">
      <c r="C2" s="14" t="s">
        <v>77</v>
      </c>
    </row>
    <row r="3" spans="1:4">
      <c r="C3" s="13" t="s">
        <v>62</v>
      </c>
    </row>
    <row r="4" spans="1:4">
      <c r="C4" s="12" t="s">
        <v>76</v>
      </c>
    </row>
    <row r="5" spans="1:4">
      <c r="A5" s="3" t="s">
        <v>59</v>
      </c>
      <c r="B5" s="3" t="s">
        <v>60</v>
      </c>
      <c r="C5" s="3" t="s">
        <v>61</v>
      </c>
      <c r="D5" s="3" t="s">
        <v>63</v>
      </c>
    </row>
    <row r="6" spans="1:4">
      <c r="A6" t="s">
        <v>55</v>
      </c>
      <c r="B6" s="14" t="s">
        <v>58</v>
      </c>
      <c r="D6" t="s">
        <v>92</v>
      </c>
    </row>
    <row r="7" spans="1:4">
      <c r="A7" t="s">
        <v>66</v>
      </c>
      <c r="B7" t="s">
        <v>67</v>
      </c>
      <c r="C7" s="12">
        <f>6+8+11+7+10</f>
        <v>42</v>
      </c>
    </row>
    <row r="8" spans="1:4">
      <c r="A8" t="s">
        <v>57</v>
      </c>
      <c r="B8" s="14" t="s">
        <v>56</v>
      </c>
      <c r="C8" s="6"/>
      <c r="D8" t="s">
        <v>80</v>
      </c>
    </row>
    <row r="9" spans="1:4">
      <c r="A9" t="s">
        <v>65</v>
      </c>
      <c r="B9" s="14" t="s">
        <v>78</v>
      </c>
      <c r="D9" t="s">
        <v>81</v>
      </c>
    </row>
    <row r="10" spans="1:4">
      <c r="A10" t="s">
        <v>69</v>
      </c>
      <c r="B10" t="s">
        <v>68</v>
      </c>
      <c r="C10" s="12">
        <v>10.5</v>
      </c>
      <c r="D10" t="s">
        <v>64</v>
      </c>
    </row>
    <row r="11" spans="1:4">
      <c r="A11" t="s">
        <v>70</v>
      </c>
      <c r="B11" t="s">
        <v>72</v>
      </c>
      <c r="C11" s="12">
        <f>42*3</f>
        <v>126</v>
      </c>
      <c r="D11" t="s">
        <v>71</v>
      </c>
    </row>
    <row r="12" spans="1:4">
      <c r="A12" t="s">
        <v>74</v>
      </c>
      <c r="B12" t="s">
        <v>73</v>
      </c>
      <c r="C12" s="13">
        <f>C11/C10</f>
        <v>12</v>
      </c>
    </row>
    <row r="13" spans="1:4">
      <c r="A13" t="s">
        <v>79</v>
      </c>
      <c r="B13" t="s">
        <v>75</v>
      </c>
      <c r="D13" t="s">
        <v>82</v>
      </c>
    </row>
    <row r="14" spans="1:4">
      <c r="A14" t="s">
        <v>83</v>
      </c>
      <c r="B14" t="s">
        <v>84</v>
      </c>
      <c r="D14" t="s">
        <v>85</v>
      </c>
    </row>
    <row r="15" spans="1:4">
      <c r="A15" t="s">
        <v>86</v>
      </c>
      <c r="B15" s="14" t="s">
        <v>87</v>
      </c>
    </row>
    <row r="16" spans="1:4">
      <c r="A16" t="s">
        <v>90</v>
      </c>
      <c r="B16" s="14" t="s">
        <v>88</v>
      </c>
    </row>
    <row r="17" spans="1:2">
      <c r="A17" t="s">
        <v>91</v>
      </c>
      <c r="B17" t="s">
        <v>89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EA1048576"/>
  <sheetViews>
    <sheetView tabSelected="1" topLeftCell="A19" zoomScale="90" zoomScaleNormal="90" workbookViewId="0">
      <pane xSplit="7" topLeftCell="H1" activePane="topRight" state="frozen"/>
      <selection activeCell="A2" sqref="A2"/>
      <selection pane="topRight" activeCell="S37" sqref="S37"/>
    </sheetView>
  </sheetViews>
  <sheetFormatPr baseColWidth="10" defaultColWidth="8.796875" defaultRowHeight="15.6" outlineLevelRow="1"/>
  <cols>
    <col min="1" max="2" width="8.796875" style="15"/>
    <col min="3" max="3" width="9.5" style="15" bestFit="1" customWidth="1"/>
    <col min="4" max="4" width="13" style="15" bestFit="1" customWidth="1"/>
    <col min="5" max="5" width="4.796875" style="15" bestFit="1" customWidth="1"/>
    <col min="6" max="6" width="41.19921875" style="15" bestFit="1" customWidth="1"/>
    <col min="7" max="7" width="15.5" style="15" bestFit="1" customWidth="1"/>
    <col min="8" max="8" width="2.5" style="15" customWidth="1"/>
    <col min="9" max="9" width="8.796875" style="15"/>
    <col min="10" max="10" width="12.5" style="15" bestFit="1" customWidth="1"/>
    <col min="11" max="11" width="14.796875" style="15" bestFit="1" customWidth="1"/>
    <col min="12" max="12" width="3.59765625" style="15" customWidth="1"/>
    <col min="13" max="13" width="2.5" style="15" customWidth="1"/>
    <col min="14" max="14" width="8.796875" style="15"/>
    <col min="15" max="15" width="12.5" style="15" bestFit="1" customWidth="1"/>
    <col min="16" max="16" width="6.296875" style="15" customWidth="1"/>
    <col min="17" max="17" width="14.796875" style="15" bestFit="1" customWidth="1"/>
    <col min="18" max="18" width="6" style="15" customWidth="1"/>
    <col min="19" max="19" width="12.69921875" style="15" bestFit="1" customWidth="1"/>
    <col min="20" max="20" width="2.5" style="15" customWidth="1"/>
    <col min="21" max="21" width="8.796875" style="15"/>
    <col min="22" max="22" width="12.5" style="15" bestFit="1" customWidth="1"/>
    <col min="23" max="23" width="6.296875" style="15" customWidth="1"/>
    <col min="24" max="24" width="14.796875" style="15" bestFit="1" customWidth="1"/>
    <col min="25" max="25" width="6" style="15" customWidth="1"/>
    <col min="26" max="26" width="12.69921875" style="15" bestFit="1" customWidth="1"/>
    <col min="27" max="27" width="2.5" style="15" customWidth="1"/>
    <col min="28" max="28" width="8.796875" style="15"/>
    <col min="29" max="29" width="12.5" style="15" bestFit="1" customWidth="1"/>
    <col min="30" max="30" width="6.296875" style="15" customWidth="1"/>
    <col min="31" max="31" width="14.796875" style="15" bestFit="1" customWidth="1"/>
    <col min="32" max="32" width="6" style="15" customWidth="1"/>
    <col min="33" max="33" width="12.69921875" style="15" bestFit="1" customWidth="1"/>
    <col min="34" max="34" width="2.5" style="15" customWidth="1"/>
    <col min="35" max="35" width="8.796875" style="15"/>
    <col min="36" max="36" width="12.5" style="15" bestFit="1" customWidth="1"/>
    <col min="37" max="37" width="6.296875" style="15" customWidth="1"/>
    <col min="38" max="38" width="14.796875" style="15" bestFit="1" customWidth="1"/>
    <col min="39" max="39" width="6" style="15" customWidth="1"/>
    <col min="40" max="40" width="12.69921875" style="15" bestFit="1" customWidth="1"/>
    <col min="41" max="41" width="2.5" style="15" customWidth="1"/>
    <col min="42" max="42" width="8.796875" style="15"/>
    <col min="43" max="43" width="12.5" style="15" bestFit="1" customWidth="1"/>
    <col min="44" max="44" width="6.296875" style="15" customWidth="1"/>
    <col min="45" max="45" width="14.796875" style="15" bestFit="1" customWidth="1"/>
    <col min="46" max="46" width="6" style="15" customWidth="1"/>
    <col min="47" max="47" width="12.69921875" style="15" bestFit="1" customWidth="1"/>
    <col min="48" max="48" width="2.5" style="15" customWidth="1"/>
    <col min="49" max="49" width="8.796875" style="15"/>
    <col min="50" max="50" width="12.5" style="15" bestFit="1" customWidth="1"/>
    <col min="51" max="51" width="6.296875" style="15" customWidth="1"/>
    <col min="52" max="52" width="14.796875" style="15" bestFit="1" customWidth="1"/>
    <col min="53" max="53" width="6" style="15" customWidth="1"/>
    <col min="54" max="54" width="12.69921875" style="15" bestFit="1" customWidth="1"/>
    <col min="55" max="55" width="2.5" style="15" customWidth="1"/>
    <col min="56" max="56" width="8.796875" style="15"/>
    <col min="57" max="57" width="12.5" style="15" bestFit="1" customWidth="1"/>
    <col min="58" max="58" width="6.296875" style="15" customWidth="1"/>
    <col min="59" max="59" width="14.796875" style="15" bestFit="1" customWidth="1"/>
    <col min="60" max="60" width="6" style="15" customWidth="1"/>
    <col min="61" max="61" width="12.69921875" style="15" bestFit="1" customWidth="1"/>
    <col min="62" max="62" width="2.5" style="15" customWidth="1"/>
    <col min="63" max="63" width="8.796875" style="15"/>
    <col min="64" max="64" width="12.5" style="15" bestFit="1" customWidth="1"/>
    <col min="65" max="65" width="6.296875" style="15" customWidth="1"/>
    <col min="66" max="66" width="14.796875" style="15" bestFit="1" customWidth="1"/>
    <col min="67" max="67" width="6" style="15" customWidth="1"/>
    <col min="68" max="68" width="12.69921875" style="15" bestFit="1" customWidth="1"/>
    <col min="69" max="69" width="2.5" style="15" customWidth="1"/>
    <col min="70" max="70" width="8.796875" style="15"/>
    <col min="71" max="71" width="12.5" style="15" bestFit="1" customWidth="1"/>
    <col min="72" max="72" width="6.296875" style="15" customWidth="1"/>
    <col min="73" max="73" width="14.796875" style="15" bestFit="1" customWidth="1"/>
    <col min="74" max="74" width="6" style="15" customWidth="1"/>
    <col min="75" max="75" width="12.69921875" style="15" bestFit="1" customWidth="1"/>
    <col min="76" max="76" width="2.5" style="15" customWidth="1"/>
    <col min="77" max="77" width="8.796875" style="15"/>
    <col min="78" max="78" width="12.5" style="15" bestFit="1" customWidth="1"/>
    <col min="79" max="79" width="6.296875" style="15" customWidth="1"/>
    <col min="80" max="80" width="14.796875" style="15" bestFit="1" customWidth="1"/>
    <col min="81" max="81" width="6" style="15" customWidth="1"/>
    <col min="82" max="82" width="12.69921875" style="15" bestFit="1" customWidth="1"/>
    <col min="83" max="83" width="2.5" style="15" customWidth="1"/>
    <col min="84" max="84" width="8.796875" style="15"/>
    <col min="85" max="85" width="12.5" style="15" bestFit="1" customWidth="1"/>
    <col min="86" max="86" width="6.296875" style="15" customWidth="1"/>
    <col min="87" max="87" width="14.796875" style="15" bestFit="1" customWidth="1"/>
    <col min="88" max="88" width="6" style="15" customWidth="1"/>
    <col min="89" max="89" width="12.69921875" style="15" bestFit="1" customWidth="1"/>
    <col min="90" max="90" width="2.5" style="15" customWidth="1"/>
    <col min="91" max="91" width="8.796875" style="15"/>
    <col min="92" max="92" width="12.5" style="15" bestFit="1" customWidth="1"/>
    <col min="93" max="93" width="6.296875" style="15" customWidth="1"/>
    <col min="94" max="94" width="14.796875" style="15" bestFit="1" customWidth="1"/>
    <col min="95" max="95" width="6" style="15" customWidth="1"/>
    <col min="96" max="96" width="12.69921875" style="15" bestFit="1" customWidth="1"/>
    <col min="97" max="97" width="2.5" style="15" customWidth="1"/>
    <col min="98" max="98" width="8.796875" style="15"/>
    <col min="99" max="99" width="12.5" style="15" bestFit="1" customWidth="1"/>
    <col min="100" max="100" width="6.296875" style="15" customWidth="1"/>
    <col min="101" max="101" width="14.796875" style="15" bestFit="1" customWidth="1"/>
    <col min="102" max="102" width="6" style="15" customWidth="1"/>
    <col min="103" max="103" width="12.69921875" style="15" bestFit="1" customWidth="1"/>
    <col min="104" max="104" width="2.5" style="15" customWidth="1"/>
    <col min="105" max="105" width="8.796875" style="15"/>
    <col min="106" max="106" width="12.5" style="15" bestFit="1" customWidth="1"/>
    <col min="107" max="107" width="6.296875" style="15" customWidth="1"/>
    <col min="108" max="108" width="14.796875" style="15" bestFit="1" customWidth="1"/>
    <col min="109" max="109" width="6" style="15" customWidth="1"/>
    <col min="110" max="110" width="12.69921875" style="15" bestFit="1" customWidth="1"/>
    <col min="111" max="111" width="3.09765625" style="15" customWidth="1"/>
    <col min="112" max="112" width="8.796875" style="15"/>
    <col min="113" max="113" width="12.5" style="15" bestFit="1" customWidth="1"/>
    <col min="114" max="114" width="6.296875" style="15" customWidth="1"/>
    <col min="115" max="115" width="14.796875" style="15" bestFit="1" customWidth="1"/>
    <col min="116" max="116" width="6" style="15" customWidth="1"/>
    <col min="117" max="117" width="12.69921875" style="15" bestFit="1" customWidth="1"/>
    <col min="118" max="118" width="3.19921875" style="15" customWidth="1"/>
    <col min="119" max="119" width="8.796875" style="15"/>
    <col min="120" max="120" width="12.5" style="15" bestFit="1" customWidth="1"/>
    <col min="121" max="121" width="6.296875" style="15" customWidth="1"/>
    <col min="122" max="122" width="14.796875" style="15" bestFit="1" customWidth="1"/>
    <col min="123" max="123" width="6" style="15" customWidth="1"/>
    <col min="124" max="124" width="12.69921875" style="15" bestFit="1" customWidth="1"/>
    <col min="125" max="125" width="2.69921875" style="15" customWidth="1"/>
    <col min="126" max="126" width="8.796875" style="15"/>
    <col min="127" max="127" width="12.5" style="15" bestFit="1" customWidth="1"/>
    <col min="128" max="128" width="6.296875" style="15" customWidth="1"/>
    <col min="129" max="129" width="14.796875" style="15" bestFit="1" customWidth="1"/>
    <col min="130" max="130" width="6" style="15" customWidth="1"/>
    <col min="131" max="131" width="12.69921875" style="15" bestFit="1" customWidth="1"/>
    <col min="132" max="16384" width="8.796875" style="15"/>
  </cols>
  <sheetData>
    <row r="1" spans="1:131" ht="33.6">
      <c r="A1" s="16"/>
      <c r="B1" s="17" t="s">
        <v>0</v>
      </c>
      <c r="C1" s="16"/>
      <c r="D1" s="17"/>
      <c r="E1" s="31"/>
      <c r="F1" s="31"/>
      <c r="G1" s="22" t="s">
        <v>141</v>
      </c>
      <c r="I1" s="22">
        <f>3*30/11</f>
        <v>8.1818181818181817</v>
      </c>
      <c r="J1" s="22"/>
      <c r="K1" s="22" t="s">
        <v>146</v>
      </c>
      <c r="N1" s="15" t="s">
        <v>144</v>
      </c>
      <c r="Q1" s="15" t="s">
        <v>145</v>
      </c>
      <c r="S1" s="15" t="s">
        <v>147</v>
      </c>
    </row>
    <row r="2" spans="1:131">
      <c r="A2" s="16"/>
      <c r="B2" s="16"/>
      <c r="C2" s="16"/>
      <c r="D2" s="16"/>
      <c r="E2" s="16"/>
      <c r="F2" s="16"/>
      <c r="I2" s="23" t="s">
        <v>27</v>
      </c>
      <c r="J2" s="23"/>
      <c r="K2" s="23"/>
      <c r="L2" s="23"/>
      <c r="N2" s="38" t="s">
        <v>102</v>
      </c>
      <c r="O2" s="38"/>
      <c r="P2" s="38"/>
      <c r="Q2" s="38"/>
      <c r="R2" s="38"/>
      <c r="S2" s="38"/>
      <c r="U2" s="38" t="s">
        <v>103</v>
      </c>
      <c r="V2" s="38"/>
      <c r="W2" s="38"/>
      <c r="X2" s="38"/>
      <c r="Y2" s="38"/>
      <c r="Z2" s="38"/>
      <c r="AB2" s="38" t="s">
        <v>104</v>
      </c>
      <c r="AC2" s="38"/>
      <c r="AD2" s="38"/>
      <c r="AE2" s="38"/>
      <c r="AF2" s="38"/>
      <c r="AG2" s="38"/>
      <c r="AI2" s="38" t="s">
        <v>105</v>
      </c>
      <c r="AJ2" s="38"/>
      <c r="AK2" s="38"/>
      <c r="AL2" s="38"/>
      <c r="AM2" s="38"/>
      <c r="AN2" s="38"/>
      <c r="AP2" s="38" t="s">
        <v>33</v>
      </c>
      <c r="AQ2" s="38"/>
      <c r="AR2" s="38"/>
      <c r="AS2" s="38"/>
      <c r="AT2" s="38"/>
      <c r="AU2" s="38"/>
      <c r="AW2" s="38" t="s">
        <v>34</v>
      </c>
      <c r="AX2" s="38"/>
      <c r="AY2" s="38"/>
      <c r="AZ2" s="38"/>
      <c r="BA2" s="38"/>
      <c r="BB2" s="38"/>
      <c r="BD2" s="38" t="s">
        <v>35</v>
      </c>
      <c r="BE2" s="38"/>
      <c r="BF2" s="38"/>
      <c r="BG2" s="38"/>
      <c r="BH2" s="38"/>
      <c r="BI2" s="38"/>
      <c r="BK2" s="38" t="s">
        <v>36</v>
      </c>
      <c r="BL2" s="38"/>
      <c r="BM2" s="38"/>
      <c r="BN2" s="38"/>
      <c r="BO2" s="38"/>
      <c r="BP2" s="38"/>
      <c r="BR2" s="38" t="s">
        <v>41</v>
      </c>
      <c r="BS2" s="38"/>
      <c r="BT2" s="38"/>
      <c r="BU2" s="38"/>
      <c r="BV2" s="38"/>
      <c r="BW2" s="38"/>
      <c r="BY2" s="38" t="s">
        <v>42</v>
      </c>
      <c r="BZ2" s="38"/>
      <c r="CA2" s="38"/>
      <c r="CB2" s="38"/>
      <c r="CC2" s="38"/>
      <c r="CD2" s="38"/>
      <c r="CF2" s="38" t="s">
        <v>43</v>
      </c>
      <c r="CG2" s="38"/>
      <c r="CH2" s="38"/>
      <c r="CI2" s="38"/>
      <c r="CJ2" s="38"/>
      <c r="CK2" s="38"/>
      <c r="CM2" s="38" t="s">
        <v>93</v>
      </c>
      <c r="CN2" s="38"/>
      <c r="CO2" s="38"/>
      <c r="CP2" s="38"/>
      <c r="CQ2" s="38"/>
      <c r="CR2" s="38"/>
      <c r="CT2" s="38" t="s">
        <v>137</v>
      </c>
      <c r="CU2" s="38"/>
      <c r="CV2" s="38"/>
      <c r="CW2" s="38"/>
      <c r="CX2" s="38"/>
      <c r="CY2" s="38"/>
      <c r="DA2" s="38" t="s">
        <v>106</v>
      </c>
      <c r="DB2" s="38"/>
      <c r="DC2" s="38"/>
      <c r="DD2" s="38"/>
      <c r="DE2" s="38"/>
      <c r="DF2" s="38"/>
      <c r="DH2" s="38" t="s">
        <v>138</v>
      </c>
      <c r="DI2" s="38"/>
      <c r="DJ2" s="38"/>
      <c r="DK2" s="38"/>
      <c r="DL2" s="38"/>
      <c r="DM2" s="38"/>
      <c r="DO2" s="38" t="s">
        <v>139</v>
      </c>
      <c r="DP2" s="38"/>
      <c r="DQ2" s="38"/>
      <c r="DR2" s="38"/>
      <c r="DS2" s="38"/>
      <c r="DT2" s="38"/>
      <c r="DV2" s="38" t="s">
        <v>140</v>
      </c>
      <c r="DW2" s="38"/>
      <c r="DX2" s="38"/>
      <c r="DY2" s="38"/>
      <c r="DZ2" s="38"/>
      <c r="EA2" s="38"/>
    </row>
    <row r="3" spans="1:131">
      <c r="A3" s="16"/>
      <c r="B3" s="18" t="s">
        <v>26</v>
      </c>
      <c r="C3" s="18" t="s">
        <v>1</v>
      </c>
      <c r="D3" s="18" t="s">
        <v>24</v>
      </c>
      <c r="E3" s="19" t="s">
        <v>30</v>
      </c>
      <c r="F3" s="18" t="s">
        <v>29</v>
      </c>
      <c r="G3" s="24" t="s">
        <v>31</v>
      </c>
      <c r="I3" s="25" t="s">
        <v>11</v>
      </c>
      <c r="J3" s="25" t="s">
        <v>2</v>
      </c>
      <c r="K3" s="25" t="s">
        <v>3</v>
      </c>
      <c r="L3" s="25" t="s">
        <v>12</v>
      </c>
      <c r="N3" s="24" t="s">
        <v>11</v>
      </c>
      <c r="O3" s="24" t="s">
        <v>2</v>
      </c>
      <c r="P3" s="24" t="s">
        <v>32</v>
      </c>
      <c r="Q3" s="24" t="s">
        <v>3</v>
      </c>
      <c r="R3" s="24" t="s">
        <v>32</v>
      </c>
      <c r="S3" s="24" t="s">
        <v>12</v>
      </c>
      <c r="U3" s="24" t="s">
        <v>11</v>
      </c>
      <c r="V3" s="24" t="s">
        <v>2</v>
      </c>
      <c r="W3" s="24" t="s">
        <v>32</v>
      </c>
      <c r="X3" s="24" t="s">
        <v>3</v>
      </c>
      <c r="Y3" s="24" t="s">
        <v>32</v>
      </c>
      <c r="Z3" s="24" t="s">
        <v>12</v>
      </c>
      <c r="AB3" s="24" t="s">
        <v>11</v>
      </c>
      <c r="AC3" s="24" t="s">
        <v>2</v>
      </c>
      <c r="AD3" s="24" t="s">
        <v>32</v>
      </c>
      <c r="AE3" s="24" t="s">
        <v>3</v>
      </c>
      <c r="AF3" s="24" t="s">
        <v>32</v>
      </c>
      <c r="AG3" s="24" t="s">
        <v>12</v>
      </c>
      <c r="AI3" s="24" t="s">
        <v>11</v>
      </c>
      <c r="AJ3" s="24" t="s">
        <v>2</v>
      </c>
      <c r="AK3" s="24" t="s">
        <v>32</v>
      </c>
      <c r="AL3" s="24" t="s">
        <v>3</v>
      </c>
      <c r="AM3" s="24" t="s">
        <v>32</v>
      </c>
      <c r="AN3" s="24" t="s">
        <v>12</v>
      </c>
      <c r="AP3" s="24" t="s">
        <v>11</v>
      </c>
      <c r="AQ3" s="24" t="s">
        <v>2</v>
      </c>
      <c r="AR3" s="24" t="s">
        <v>32</v>
      </c>
      <c r="AS3" s="24" t="s">
        <v>3</v>
      </c>
      <c r="AT3" s="24" t="s">
        <v>32</v>
      </c>
      <c r="AU3" s="24" t="s">
        <v>12</v>
      </c>
      <c r="AW3" s="24" t="s">
        <v>11</v>
      </c>
      <c r="AX3" s="24" t="s">
        <v>2</v>
      </c>
      <c r="AY3" s="24" t="s">
        <v>32</v>
      </c>
      <c r="AZ3" s="24" t="s">
        <v>3</v>
      </c>
      <c r="BA3" s="24" t="s">
        <v>32</v>
      </c>
      <c r="BB3" s="24" t="s">
        <v>12</v>
      </c>
      <c r="BD3" s="24" t="s">
        <v>11</v>
      </c>
      <c r="BE3" s="24" t="s">
        <v>2</v>
      </c>
      <c r="BF3" s="24" t="s">
        <v>32</v>
      </c>
      <c r="BG3" s="24" t="s">
        <v>3</v>
      </c>
      <c r="BH3" s="24" t="s">
        <v>32</v>
      </c>
      <c r="BI3" s="24" t="s">
        <v>12</v>
      </c>
      <c r="BK3" s="24" t="s">
        <v>11</v>
      </c>
      <c r="BL3" s="24" t="s">
        <v>2</v>
      </c>
      <c r="BM3" s="24" t="s">
        <v>32</v>
      </c>
      <c r="BN3" s="24" t="s">
        <v>3</v>
      </c>
      <c r="BO3" s="24" t="s">
        <v>32</v>
      </c>
      <c r="BP3" s="24" t="s">
        <v>12</v>
      </c>
      <c r="BR3" s="24" t="s">
        <v>11</v>
      </c>
      <c r="BS3" s="24" t="s">
        <v>2</v>
      </c>
      <c r="BT3" s="24" t="s">
        <v>32</v>
      </c>
      <c r="BU3" s="24" t="s">
        <v>3</v>
      </c>
      <c r="BV3" s="24" t="s">
        <v>32</v>
      </c>
      <c r="BW3" s="24" t="s">
        <v>12</v>
      </c>
      <c r="BY3" s="24" t="s">
        <v>11</v>
      </c>
      <c r="BZ3" s="24" t="s">
        <v>2</v>
      </c>
      <c r="CA3" s="24" t="s">
        <v>32</v>
      </c>
      <c r="CB3" s="24" t="s">
        <v>3</v>
      </c>
      <c r="CC3" s="24" t="s">
        <v>32</v>
      </c>
      <c r="CD3" s="24" t="s">
        <v>12</v>
      </c>
      <c r="CF3" s="24" t="s">
        <v>11</v>
      </c>
      <c r="CG3" s="24" t="s">
        <v>2</v>
      </c>
      <c r="CH3" s="24" t="s">
        <v>32</v>
      </c>
      <c r="CI3" s="24" t="s">
        <v>3</v>
      </c>
      <c r="CJ3" s="24" t="s">
        <v>32</v>
      </c>
      <c r="CK3" s="24" t="s">
        <v>12</v>
      </c>
      <c r="CM3" s="24" t="s">
        <v>11</v>
      </c>
      <c r="CN3" s="24" t="s">
        <v>2</v>
      </c>
      <c r="CO3" s="24" t="s">
        <v>32</v>
      </c>
      <c r="CP3" s="24" t="s">
        <v>3</v>
      </c>
      <c r="CQ3" s="24" t="s">
        <v>32</v>
      </c>
      <c r="CR3" s="24" t="s">
        <v>12</v>
      </c>
      <c r="CT3" s="24" t="s">
        <v>11</v>
      </c>
      <c r="CU3" s="24" t="s">
        <v>2</v>
      </c>
      <c r="CV3" s="24" t="s">
        <v>32</v>
      </c>
      <c r="CW3" s="24" t="s">
        <v>3</v>
      </c>
      <c r="CX3" s="24" t="s">
        <v>32</v>
      </c>
      <c r="CY3" s="24" t="s">
        <v>12</v>
      </c>
      <c r="DA3" s="24" t="s">
        <v>11</v>
      </c>
      <c r="DB3" s="24" t="s">
        <v>2</v>
      </c>
      <c r="DC3" s="24" t="s">
        <v>32</v>
      </c>
      <c r="DD3" s="24" t="s">
        <v>3</v>
      </c>
      <c r="DE3" s="24" t="s">
        <v>32</v>
      </c>
      <c r="DF3" s="24" t="s">
        <v>12</v>
      </c>
      <c r="DH3" s="24" t="s">
        <v>11</v>
      </c>
      <c r="DI3" s="24" t="s">
        <v>2</v>
      </c>
      <c r="DJ3" s="24" t="s">
        <v>32</v>
      </c>
      <c r="DK3" s="24" t="s">
        <v>3</v>
      </c>
      <c r="DL3" s="24" t="s">
        <v>32</v>
      </c>
      <c r="DM3" s="24" t="s">
        <v>12</v>
      </c>
      <c r="DO3" s="24" t="s">
        <v>11</v>
      </c>
      <c r="DP3" s="24" t="s">
        <v>2</v>
      </c>
      <c r="DQ3" s="24" t="s">
        <v>32</v>
      </c>
      <c r="DR3" s="24" t="s">
        <v>3</v>
      </c>
      <c r="DS3" s="24" t="s">
        <v>32</v>
      </c>
      <c r="DT3" s="24" t="s">
        <v>12</v>
      </c>
      <c r="DV3" s="24" t="s">
        <v>11</v>
      </c>
      <c r="DW3" s="24" t="s">
        <v>2</v>
      </c>
      <c r="DX3" s="24" t="s">
        <v>32</v>
      </c>
      <c r="DY3" s="24" t="s">
        <v>3</v>
      </c>
      <c r="DZ3" s="24" t="s">
        <v>32</v>
      </c>
      <c r="EA3" s="24" t="s">
        <v>12</v>
      </c>
    </row>
    <row r="4" spans="1:131">
      <c r="A4" s="16"/>
      <c r="B4" s="16" t="s">
        <v>27</v>
      </c>
      <c r="C4" s="16" t="s">
        <v>101</v>
      </c>
      <c r="D4" s="20" t="s">
        <v>142</v>
      </c>
      <c r="E4" s="21">
        <v>6</v>
      </c>
      <c r="F4" s="16"/>
      <c r="G4" s="26">
        <f>+SUM(G5:G14)</f>
        <v>0</v>
      </c>
      <c r="I4" s="27">
        <f>+SUM(I5:I14)</f>
        <v>0</v>
      </c>
      <c r="J4" s="28">
        <f>+SUMPRODUCT(G5:G14,J5:J14)</f>
        <v>0</v>
      </c>
      <c r="K4" s="28">
        <f>+SUMPRODUCT(G5:G14,K5:K14)</f>
        <v>0</v>
      </c>
      <c r="L4" s="29"/>
      <c r="N4" s="27">
        <f>+SUM(N5:N14)</f>
        <v>0</v>
      </c>
      <c r="U4" s="27">
        <f>+SUM(U5:U14)</f>
        <v>0</v>
      </c>
      <c r="AB4" s="27">
        <f>+SUM(AB5:AB14)</f>
        <v>0</v>
      </c>
      <c r="AI4" s="27">
        <f>+SUM(AI5:AI14)</f>
        <v>0</v>
      </c>
      <c r="AP4" s="27">
        <f>+SUM(AP5:AP14)</f>
        <v>0</v>
      </c>
      <c r="AW4" s="27">
        <f>+SUM(AW5:AW14)</f>
        <v>0</v>
      </c>
      <c r="BD4" s="27">
        <f>+SUM(BD5:BD14)</f>
        <v>0</v>
      </c>
      <c r="BK4" s="27">
        <f>+SUM(BK5:BK14)</f>
        <v>0</v>
      </c>
      <c r="BR4" s="27">
        <f>+SUM(BR5:BR14)</f>
        <v>0</v>
      </c>
      <c r="BY4" s="27">
        <f>+SUM(BY5:BY14)</f>
        <v>0</v>
      </c>
      <c r="CF4" s="27">
        <f>+SUM(CF5:CF14)</f>
        <v>0</v>
      </c>
      <c r="CM4" s="27">
        <f>+SUM(CM5:CM14)</f>
        <v>0</v>
      </c>
      <c r="CT4" s="27">
        <f>+SUM(CT5:CT14)</f>
        <v>0</v>
      </c>
      <c r="DA4" s="27">
        <f>+SUM(DA5:DA14)</f>
        <v>0</v>
      </c>
      <c r="DH4" s="27">
        <f>+SUM(DH5:DH14)</f>
        <v>0</v>
      </c>
      <c r="DO4" s="27">
        <f>+SUM(DO5:DO14)</f>
        <v>0</v>
      </c>
      <c r="DV4" s="27">
        <f>+SUM(DV5:DV14)</f>
        <v>0</v>
      </c>
    </row>
    <row r="5" spans="1:131" outlineLevel="1">
      <c r="A5" s="16"/>
      <c r="B5" s="16" t="s">
        <v>28</v>
      </c>
      <c r="C5" s="16" t="s">
        <v>101</v>
      </c>
      <c r="D5" s="16"/>
      <c r="E5" s="21"/>
      <c r="F5" s="32" t="s">
        <v>114</v>
      </c>
      <c r="G5" s="26">
        <v>0</v>
      </c>
      <c r="I5" s="29">
        <f t="shared" ref="I5:I14" si="0">+SUMIF($N$3:$ZZ$3,I$3,$N5:$ZZ5)</f>
        <v>0</v>
      </c>
      <c r="J5" s="28" cm="1">
        <f t="array" ref="J5">MAX(IF($N$3:$EH$3=$J$3,N5:EH5))</f>
        <v>0</v>
      </c>
      <c r="K5" s="28" cm="1">
        <f t="array" ref="K5">MAX(IF($N$3:$EH$3=$J$3,N5:EH5))</f>
        <v>0</v>
      </c>
      <c r="L5" s="29"/>
      <c r="O5" s="26"/>
      <c r="P5" s="26">
        <v>0.8</v>
      </c>
      <c r="Q5" s="26"/>
      <c r="R5" s="26">
        <v>0.8</v>
      </c>
      <c r="V5" s="26"/>
      <c r="W5" s="26">
        <v>0.8</v>
      </c>
      <c r="X5" s="26"/>
      <c r="Y5" s="26">
        <v>0.8</v>
      </c>
      <c r="AC5" s="26"/>
      <c r="AD5" s="26">
        <v>1</v>
      </c>
      <c r="AE5" s="26"/>
      <c r="AF5" s="26">
        <v>1</v>
      </c>
      <c r="AJ5" s="26"/>
      <c r="AK5" s="26">
        <v>1</v>
      </c>
      <c r="AL5" s="26"/>
      <c r="AM5" s="26">
        <v>1</v>
      </c>
      <c r="AQ5" s="26"/>
      <c r="AR5" s="26">
        <v>1</v>
      </c>
      <c r="AS5" s="26"/>
      <c r="AT5" s="26">
        <v>1</v>
      </c>
      <c r="AX5" s="26"/>
      <c r="AY5" s="26">
        <v>1</v>
      </c>
      <c r="AZ5" s="26"/>
      <c r="BA5" s="26">
        <v>1</v>
      </c>
      <c r="BE5" s="26"/>
      <c r="BF5" s="26">
        <v>1</v>
      </c>
      <c r="BG5" s="26"/>
      <c r="BH5" s="26">
        <v>1</v>
      </c>
      <c r="BL5" s="26"/>
      <c r="BM5" s="26">
        <v>1</v>
      </c>
      <c r="BN5" s="26"/>
      <c r="BO5" s="26">
        <v>1</v>
      </c>
      <c r="BS5" s="26"/>
      <c r="BT5" s="26">
        <v>1</v>
      </c>
      <c r="BU5" s="26"/>
      <c r="BV5" s="26">
        <v>1</v>
      </c>
      <c r="BZ5" s="26"/>
      <c r="CA5" s="26">
        <v>1</v>
      </c>
      <c r="CB5" s="26"/>
      <c r="CC5" s="26">
        <v>1</v>
      </c>
      <c r="CG5" s="26"/>
      <c r="CH5" s="26">
        <v>1</v>
      </c>
      <c r="CI5" s="26"/>
      <c r="CJ5" s="26">
        <v>1</v>
      </c>
      <c r="CN5" s="26"/>
      <c r="CO5" s="26">
        <v>1</v>
      </c>
      <c r="CP5" s="26"/>
      <c r="CQ5" s="26">
        <v>1</v>
      </c>
      <c r="CU5" s="26"/>
      <c r="CV5" s="26">
        <v>1</v>
      </c>
      <c r="CW5" s="26"/>
      <c r="CX5" s="26">
        <v>1</v>
      </c>
      <c r="DB5" s="26"/>
      <c r="DC5" s="26">
        <v>1</v>
      </c>
      <c r="DD5" s="26"/>
      <c r="DE5" s="26">
        <v>1</v>
      </c>
      <c r="DF5" s="15" t="s">
        <v>143</v>
      </c>
      <c r="DI5" s="26"/>
      <c r="DJ5" s="26">
        <v>1</v>
      </c>
      <c r="DK5" s="26"/>
      <c r="DL5" s="26">
        <v>1</v>
      </c>
      <c r="DP5" s="26"/>
      <c r="DQ5" s="26">
        <v>1</v>
      </c>
      <c r="DR5" s="26"/>
      <c r="DS5" s="26">
        <v>1</v>
      </c>
      <c r="DW5" s="26"/>
      <c r="DX5" s="26">
        <v>1</v>
      </c>
      <c r="DY5" s="26"/>
      <c r="DZ5" s="26">
        <v>1</v>
      </c>
    </row>
    <row r="6" spans="1:131" outlineLevel="1">
      <c r="A6" s="16"/>
      <c r="B6" s="16" t="s">
        <v>28</v>
      </c>
      <c r="C6" s="16" t="s">
        <v>101</v>
      </c>
      <c r="D6" s="16"/>
      <c r="E6" s="21"/>
      <c r="F6" s="32" t="s">
        <v>115</v>
      </c>
      <c r="G6" s="26">
        <v>0</v>
      </c>
      <c r="I6" s="29">
        <f t="shared" si="0"/>
        <v>0</v>
      </c>
      <c r="J6" s="28" cm="1">
        <f t="array" ref="J6">MAX(IF($N$3:$EH$3=$J$3,N6:EH6))</f>
        <v>0</v>
      </c>
      <c r="K6" s="28" cm="1">
        <f t="array" ref="K6">MAX(IF($N$3:$EH$3=$J$3,N6:EH6))</f>
        <v>0</v>
      </c>
      <c r="L6" s="29"/>
      <c r="O6" s="26"/>
      <c r="P6" s="26">
        <v>0.5</v>
      </c>
      <c r="Q6" s="26"/>
      <c r="R6" s="26">
        <v>0.5</v>
      </c>
      <c r="V6" s="26"/>
      <c r="W6" s="26">
        <v>0.8</v>
      </c>
      <c r="X6" s="26"/>
      <c r="Y6" s="26">
        <v>0.8</v>
      </c>
      <c r="AC6" s="26"/>
      <c r="AD6" s="26">
        <v>0.8</v>
      </c>
      <c r="AE6" s="26"/>
      <c r="AF6" s="26">
        <v>0.8</v>
      </c>
      <c r="AJ6" s="26"/>
      <c r="AK6" s="26">
        <v>1</v>
      </c>
      <c r="AL6" s="26"/>
      <c r="AM6" s="26">
        <v>1</v>
      </c>
      <c r="AQ6" s="26"/>
      <c r="AR6" s="26">
        <v>1</v>
      </c>
      <c r="AS6" s="26"/>
      <c r="AT6" s="26">
        <v>1</v>
      </c>
      <c r="AX6" s="26"/>
      <c r="AY6" s="26">
        <v>1</v>
      </c>
      <c r="AZ6" s="26"/>
      <c r="BA6" s="26">
        <v>1</v>
      </c>
      <c r="BE6" s="26"/>
      <c r="BF6" s="26">
        <v>1</v>
      </c>
      <c r="BG6" s="26"/>
      <c r="BH6" s="26">
        <v>1</v>
      </c>
      <c r="BL6" s="26"/>
      <c r="BM6" s="26">
        <v>1</v>
      </c>
      <c r="BN6" s="26"/>
      <c r="BO6" s="26">
        <v>1</v>
      </c>
      <c r="BS6" s="26"/>
      <c r="BT6" s="26">
        <v>1</v>
      </c>
      <c r="BU6" s="26"/>
      <c r="BV6" s="26">
        <v>1</v>
      </c>
      <c r="BZ6" s="26"/>
      <c r="CA6" s="26">
        <v>1</v>
      </c>
      <c r="CB6" s="26"/>
      <c r="CC6" s="26">
        <v>1</v>
      </c>
      <c r="CG6" s="26"/>
      <c r="CH6" s="26">
        <v>1</v>
      </c>
      <c r="CI6" s="26"/>
      <c r="CJ6" s="26">
        <v>1</v>
      </c>
      <c r="CN6" s="26"/>
      <c r="CO6" s="26">
        <v>1</v>
      </c>
      <c r="CP6" s="26"/>
      <c r="CQ6" s="26">
        <v>1</v>
      </c>
      <c r="CU6" s="26"/>
      <c r="CV6" s="26">
        <v>1</v>
      </c>
      <c r="CW6" s="26"/>
      <c r="CX6" s="26">
        <v>1</v>
      </c>
      <c r="DB6" s="26"/>
      <c r="DC6" s="26">
        <v>1</v>
      </c>
      <c r="DD6" s="26"/>
      <c r="DE6" s="26">
        <v>1</v>
      </c>
      <c r="DI6" s="26"/>
      <c r="DJ6" s="26">
        <v>1</v>
      </c>
      <c r="DK6" s="26"/>
      <c r="DL6" s="26">
        <v>1</v>
      </c>
      <c r="DP6" s="26"/>
      <c r="DQ6" s="26">
        <v>1</v>
      </c>
      <c r="DR6" s="26"/>
      <c r="DS6" s="26">
        <v>1</v>
      </c>
      <c r="DW6" s="26"/>
      <c r="DX6" s="26">
        <v>1</v>
      </c>
      <c r="DY6" s="26"/>
      <c r="DZ6" s="26">
        <v>1</v>
      </c>
    </row>
    <row r="7" spans="1:131" outlineLevel="1">
      <c r="A7" s="16"/>
      <c r="B7" s="16" t="s">
        <v>28</v>
      </c>
      <c r="C7" s="16" t="s">
        <v>101</v>
      </c>
      <c r="D7" s="16"/>
      <c r="E7" s="21"/>
      <c r="F7" s="32" t="s">
        <v>116</v>
      </c>
      <c r="G7" s="26">
        <v>0</v>
      </c>
      <c r="I7" s="29">
        <f t="shared" si="0"/>
        <v>0</v>
      </c>
      <c r="J7" s="28" cm="1">
        <f t="array" ref="J7">MAX(IF($N$3:$EH$3=$J$3,N7:EH7))</f>
        <v>0</v>
      </c>
      <c r="K7" s="28" cm="1">
        <f t="array" ref="K7">MAX(IF($N$3:$EH$3=$J$3,N7:EH7))</f>
        <v>0</v>
      </c>
      <c r="L7" s="29"/>
      <c r="O7" s="26"/>
      <c r="P7" s="26"/>
      <c r="Q7" s="26"/>
      <c r="R7" s="26"/>
      <c r="V7" s="26"/>
      <c r="W7" s="26">
        <v>0.5</v>
      </c>
      <c r="X7" s="26"/>
      <c r="Y7" s="26">
        <v>0.5</v>
      </c>
      <c r="AC7" s="26"/>
      <c r="AD7" s="26">
        <v>0.5</v>
      </c>
      <c r="AE7" s="26"/>
      <c r="AF7" s="26">
        <v>0.5</v>
      </c>
      <c r="AJ7" s="26"/>
      <c r="AK7" s="26">
        <v>0.8</v>
      </c>
      <c r="AL7" s="26"/>
      <c r="AM7" s="26">
        <v>0.8</v>
      </c>
      <c r="AQ7" s="26"/>
      <c r="AR7" s="26">
        <v>0.8</v>
      </c>
      <c r="AS7" s="26"/>
      <c r="AT7" s="26">
        <v>0.8</v>
      </c>
      <c r="AX7" s="26"/>
      <c r="AY7" s="26">
        <v>0.8</v>
      </c>
      <c r="AZ7" s="26"/>
      <c r="BA7" s="26">
        <v>0.8</v>
      </c>
      <c r="BE7" s="26"/>
      <c r="BF7" s="26">
        <v>1</v>
      </c>
      <c r="BG7" s="26"/>
      <c r="BH7" s="26">
        <v>1</v>
      </c>
      <c r="BL7" s="26"/>
      <c r="BM7" s="26">
        <v>1</v>
      </c>
      <c r="BN7" s="26"/>
      <c r="BO7" s="26">
        <v>1</v>
      </c>
      <c r="BS7" s="26"/>
      <c r="BT7" s="26">
        <v>1</v>
      </c>
      <c r="BU7" s="26"/>
      <c r="BV7" s="26">
        <v>1</v>
      </c>
      <c r="BZ7" s="26"/>
      <c r="CA7" s="26">
        <v>1</v>
      </c>
      <c r="CB7" s="26"/>
      <c r="CC7" s="26">
        <v>1</v>
      </c>
      <c r="CG7" s="26"/>
      <c r="CH7" s="26">
        <v>1</v>
      </c>
      <c r="CI7" s="26"/>
      <c r="CJ7" s="26">
        <v>1</v>
      </c>
      <c r="CN7" s="26"/>
      <c r="CO7" s="26">
        <v>1</v>
      </c>
      <c r="CP7" s="26"/>
      <c r="CQ7" s="26">
        <v>1</v>
      </c>
      <c r="CU7" s="26"/>
      <c r="CV7" s="26">
        <v>1</v>
      </c>
      <c r="CW7" s="26"/>
      <c r="CX7" s="26">
        <v>1</v>
      </c>
      <c r="DB7" s="26"/>
      <c r="DC7" s="26">
        <v>1</v>
      </c>
      <c r="DD7" s="26"/>
      <c r="DE7" s="26">
        <v>1</v>
      </c>
      <c r="DI7" s="26"/>
      <c r="DJ7" s="26">
        <v>1</v>
      </c>
      <c r="DK7" s="26"/>
      <c r="DL7" s="26">
        <v>1</v>
      </c>
      <c r="DP7" s="26"/>
      <c r="DQ7" s="26">
        <v>1</v>
      </c>
      <c r="DR7" s="26"/>
      <c r="DS7" s="26">
        <v>1</v>
      </c>
      <c r="DW7" s="26"/>
      <c r="DX7" s="26">
        <v>1</v>
      </c>
      <c r="DY7" s="26"/>
      <c r="DZ7" s="26">
        <v>1</v>
      </c>
    </row>
    <row r="8" spans="1:131" outlineLevel="1">
      <c r="A8" s="16"/>
      <c r="B8" s="16" t="s">
        <v>28</v>
      </c>
      <c r="C8" s="16" t="s">
        <v>101</v>
      </c>
      <c r="D8" s="16"/>
      <c r="E8" s="21"/>
      <c r="F8" t="s">
        <v>107</v>
      </c>
      <c r="G8" s="26">
        <v>0</v>
      </c>
      <c r="I8" s="29">
        <f t="shared" si="0"/>
        <v>0</v>
      </c>
      <c r="J8" s="28" cm="1">
        <f t="array" ref="J8">MAX(IF($N$3:$EH$3=$J$3,N8:EH8))</f>
        <v>0</v>
      </c>
      <c r="K8" s="28" cm="1">
        <f t="array" ref="K8">MAX(IF($N$3:$EH$3=$J$3,N8:EH8))</f>
        <v>0</v>
      </c>
      <c r="L8" s="29"/>
      <c r="O8" s="26"/>
      <c r="P8" s="26"/>
      <c r="Q8" s="26"/>
      <c r="R8" s="26"/>
      <c r="V8" s="26"/>
      <c r="W8" s="26"/>
      <c r="X8" s="26"/>
      <c r="Y8" s="26"/>
      <c r="AC8" s="26"/>
      <c r="AD8" s="26">
        <v>0.5</v>
      </c>
      <c r="AE8" s="26"/>
      <c r="AF8" s="26">
        <v>0.5</v>
      </c>
      <c r="AJ8" s="26"/>
      <c r="AK8" s="26">
        <v>0.5</v>
      </c>
      <c r="AL8" s="26"/>
      <c r="AM8" s="26">
        <v>0.5</v>
      </c>
      <c r="AQ8" s="26"/>
      <c r="AR8" s="26">
        <v>0.8</v>
      </c>
      <c r="AS8" s="26"/>
      <c r="AT8" s="26">
        <v>0.8</v>
      </c>
      <c r="AX8" s="26"/>
      <c r="AY8" s="26">
        <v>0.8</v>
      </c>
      <c r="AZ8" s="26"/>
      <c r="BA8" s="26">
        <v>0.8</v>
      </c>
      <c r="BE8" s="26"/>
      <c r="BF8" s="26">
        <v>0.8</v>
      </c>
      <c r="BG8" s="26"/>
      <c r="BH8" s="26">
        <v>0.8</v>
      </c>
      <c r="BL8" s="26"/>
      <c r="BM8" s="26">
        <v>0.8</v>
      </c>
      <c r="BN8" s="26"/>
      <c r="BO8" s="26">
        <v>0.8</v>
      </c>
      <c r="BS8" s="26"/>
      <c r="BT8" s="26">
        <v>1</v>
      </c>
      <c r="BU8" s="26"/>
      <c r="BV8" s="26">
        <v>1</v>
      </c>
      <c r="BZ8" s="26"/>
      <c r="CA8" s="26">
        <v>1</v>
      </c>
      <c r="CB8" s="26"/>
      <c r="CC8" s="26">
        <v>1</v>
      </c>
      <c r="CG8" s="26"/>
      <c r="CH8" s="26">
        <v>1</v>
      </c>
      <c r="CI8" s="26"/>
      <c r="CJ8" s="26">
        <v>1</v>
      </c>
      <c r="CN8" s="26"/>
      <c r="CO8" s="26">
        <v>1</v>
      </c>
      <c r="CP8" s="26"/>
      <c r="CQ8" s="26">
        <v>1</v>
      </c>
      <c r="CU8" s="26"/>
      <c r="CV8" s="26">
        <v>1</v>
      </c>
      <c r="CW8" s="26"/>
      <c r="CX8" s="26">
        <v>1</v>
      </c>
      <c r="DB8" s="26"/>
      <c r="DC8" s="26">
        <v>1</v>
      </c>
      <c r="DD8" s="26"/>
      <c r="DE8" s="26">
        <v>1</v>
      </c>
      <c r="DI8" s="26"/>
      <c r="DJ8" s="26">
        <v>1</v>
      </c>
      <c r="DK8" s="26"/>
      <c r="DL8" s="26">
        <v>1</v>
      </c>
      <c r="DP8" s="26"/>
      <c r="DQ8" s="26">
        <v>1</v>
      </c>
      <c r="DR8" s="26"/>
      <c r="DS8" s="26">
        <v>1</v>
      </c>
      <c r="DW8" s="26"/>
      <c r="DX8" s="26">
        <v>1</v>
      </c>
      <c r="DY8" s="26"/>
      <c r="DZ8" s="26">
        <v>1</v>
      </c>
    </row>
    <row r="9" spans="1:131" outlineLevel="1">
      <c r="A9" s="16"/>
      <c r="B9" s="16" t="s">
        <v>28</v>
      </c>
      <c r="C9" s="16" t="s">
        <v>101</v>
      </c>
      <c r="D9" s="16"/>
      <c r="E9" s="21"/>
      <c r="F9" s="32" t="s">
        <v>108</v>
      </c>
      <c r="G9" s="26">
        <v>0</v>
      </c>
      <c r="I9" s="29">
        <f t="shared" si="0"/>
        <v>0</v>
      </c>
      <c r="J9" s="28" cm="1">
        <f t="array" ref="J9">MAX(IF($N$3:$EH$3=$J$3,N9:EH9))</f>
        <v>0</v>
      </c>
      <c r="K9" s="28" cm="1">
        <f t="array" ref="K9">MAX(IF($N$3:$EH$3=$J$3,N9:EH9))</f>
        <v>0</v>
      </c>
      <c r="L9" s="29"/>
      <c r="O9" s="26"/>
      <c r="P9" s="26"/>
      <c r="Q9" s="26"/>
      <c r="R9" s="26"/>
      <c r="V9" s="26"/>
      <c r="W9" s="26"/>
      <c r="X9" s="26"/>
      <c r="Y9" s="26"/>
      <c r="AC9" s="26"/>
      <c r="AD9" s="26"/>
      <c r="AE9" s="26"/>
      <c r="AF9" s="26"/>
      <c r="AJ9" s="26"/>
      <c r="AK9" s="26">
        <v>0.5</v>
      </c>
      <c r="AL9" s="26"/>
      <c r="AM9" s="26">
        <v>0.5</v>
      </c>
      <c r="AQ9" s="26"/>
      <c r="AR9" s="26">
        <v>0.5</v>
      </c>
      <c r="AS9" s="26"/>
      <c r="AT9" s="26">
        <v>0.5</v>
      </c>
      <c r="AX9" s="26"/>
      <c r="AY9" s="26">
        <v>0.8</v>
      </c>
      <c r="AZ9" s="26"/>
      <c r="BA9" s="26">
        <v>0.8</v>
      </c>
      <c r="BE9" s="26"/>
      <c r="BF9" s="26">
        <v>0.8</v>
      </c>
      <c r="BG9" s="26"/>
      <c r="BH9" s="26">
        <v>0.8</v>
      </c>
      <c r="BL9" s="26"/>
      <c r="BM9" s="26">
        <v>0.8</v>
      </c>
      <c r="BN9" s="26"/>
      <c r="BO9" s="26">
        <v>0.8</v>
      </c>
      <c r="BS9" s="26"/>
      <c r="BT9" s="26">
        <v>0.8</v>
      </c>
      <c r="BU9" s="26"/>
      <c r="BV9" s="26">
        <v>0.8</v>
      </c>
      <c r="BZ9" s="26"/>
      <c r="CA9" s="26">
        <v>1</v>
      </c>
      <c r="CB9" s="26"/>
      <c r="CC9" s="26">
        <v>1</v>
      </c>
      <c r="CG9" s="26"/>
      <c r="CH9" s="26">
        <v>1</v>
      </c>
      <c r="CI9" s="26"/>
      <c r="CJ9" s="26">
        <v>1</v>
      </c>
      <c r="CN9" s="26"/>
      <c r="CO9" s="26">
        <v>1</v>
      </c>
      <c r="CP9" s="26"/>
      <c r="CQ9" s="26">
        <v>1</v>
      </c>
      <c r="CU9" s="26"/>
      <c r="CV9" s="26">
        <v>1</v>
      </c>
      <c r="CW9" s="26"/>
      <c r="CX9" s="26">
        <v>1</v>
      </c>
      <c r="DB9" s="26"/>
      <c r="DC9" s="26">
        <v>1</v>
      </c>
      <c r="DD9" s="26"/>
      <c r="DE9" s="26">
        <v>1</v>
      </c>
      <c r="DI9" s="26"/>
      <c r="DJ9" s="26">
        <v>1</v>
      </c>
      <c r="DK9" s="26"/>
      <c r="DL9" s="26">
        <v>1</v>
      </c>
      <c r="DP9" s="26"/>
      <c r="DQ9" s="26">
        <v>1</v>
      </c>
      <c r="DR9" s="26"/>
      <c r="DS9" s="26">
        <v>1</v>
      </c>
      <c r="DW9" s="26"/>
      <c r="DX9" s="26">
        <v>1</v>
      </c>
      <c r="DY9" s="26"/>
      <c r="DZ9" s="26">
        <v>1</v>
      </c>
    </row>
    <row r="10" spans="1:131" outlineLevel="1">
      <c r="A10" s="16"/>
      <c r="B10" s="16" t="s">
        <v>28</v>
      </c>
      <c r="C10" s="16" t="s">
        <v>101</v>
      </c>
      <c r="D10" s="16"/>
      <c r="E10" s="21"/>
      <c r="F10" s="32" t="s">
        <v>109</v>
      </c>
      <c r="G10" s="26">
        <v>0</v>
      </c>
      <c r="I10" s="29">
        <f t="shared" si="0"/>
        <v>0</v>
      </c>
      <c r="J10" s="28" cm="1">
        <f t="array" ref="J10">MAX(IF($N$3:$EH$3=$J$3,N10:EH10))</f>
        <v>0</v>
      </c>
      <c r="K10" s="28" cm="1">
        <f t="array" ref="K10">MAX(IF($N$3:$EH$3=$J$3,N10:EH10))</f>
        <v>0</v>
      </c>
      <c r="L10" s="29"/>
      <c r="O10" s="26"/>
      <c r="P10" s="26"/>
      <c r="Q10" s="26"/>
      <c r="R10" s="26"/>
      <c r="V10" s="26"/>
      <c r="W10" s="26"/>
      <c r="X10" s="26"/>
      <c r="Y10" s="26"/>
      <c r="AC10" s="26"/>
      <c r="AD10" s="26"/>
      <c r="AE10" s="26"/>
      <c r="AF10" s="26"/>
      <c r="AJ10" s="26"/>
      <c r="AK10" s="26"/>
      <c r="AL10" s="26"/>
      <c r="AM10" s="26"/>
      <c r="AQ10" s="26"/>
      <c r="AR10" s="26">
        <v>0.5</v>
      </c>
      <c r="AS10" s="26"/>
      <c r="AT10" s="26">
        <v>0.5</v>
      </c>
      <c r="AX10" s="26"/>
      <c r="AY10" s="26">
        <v>0.5</v>
      </c>
      <c r="AZ10" s="26"/>
      <c r="BA10" s="26">
        <v>0.5</v>
      </c>
      <c r="BE10" s="26"/>
      <c r="BF10" s="26">
        <v>0.8</v>
      </c>
      <c r="BG10" s="26"/>
      <c r="BH10" s="26">
        <v>0.8</v>
      </c>
      <c r="BL10" s="26"/>
      <c r="BM10" s="26">
        <v>0.8</v>
      </c>
      <c r="BN10" s="26"/>
      <c r="BO10" s="26">
        <v>0.8</v>
      </c>
      <c r="BS10" s="26"/>
      <c r="BT10" s="26">
        <v>0.8</v>
      </c>
      <c r="BU10" s="26"/>
      <c r="BV10" s="26">
        <v>0.8</v>
      </c>
      <c r="BZ10" s="26"/>
      <c r="CA10" s="26">
        <v>0.8</v>
      </c>
      <c r="CB10" s="26"/>
      <c r="CC10" s="26">
        <v>0.8</v>
      </c>
      <c r="CG10" s="26"/>
      <c r="CH10" s="26">
        <v>0.8</v>
      </c>
      <c r="CI10" s="26"/>
      <c r="CJ10" s="26">
        <v>0.8</v>
      </c>
      <c r="CN10" s="26"/>
      <c r="CO10" s="26">
        <v>1</v>
      </c>
      <c r="CP10" s="26"/>
      <c r="CQ10" s="26">
        <v>1</v>
      </c>
      <c r="CU10" s="26"/>
      <c r="CV10" s="26">
        <v>1</v>
      </c>
      <c r="CW10" s="26"/>
      <c r="CX10" s="26">
        <v>1</v>
      </c>
      <c r="DB10" s="26"/>
      <c r="DC10" s="26">
        <v>1</v>
      </c>
      <c r="DD10" s="26"/>
      <c r="DE10" s="26">
        <v>1</v>
      </c>
      <c r="DI10" s="26"/>
      <c r="DJ10" s="26">
        <v>1</v>
      </c>
      <c r="DK10" s="26"/>
      <c r="DL10" s="26">
        <v>1</v>
      </c>
      <c r="DP10" s="26"/>
      <c r="DQ10" s="26">
        <v>1</v>
      </c>
      <c r="DR10" s="26"/>
      <c r="DS10" s="26">
        <v>1</v>
      </c>
      <c r="DW10" s="26"/>
      <c r="DX10" s="26">
        <v>1</v>
      </c>
      <c r="DY10" s="26"/>
      <c r="DZ10" s="26">
        <v>1</v>
      </c>
    </row>
    <row r="11" spans="1:131" outlineLevel="1">
      <c r="A11" s="16"/>
      <c r="B11" s="16" t="s">
        <v>28</v>
      </c>
      <c r="C11" s="16" t="s">
        <v>101</v>
      </c>
      <c r="D11" s="16"/>
      <c r="E11" s="21"/>
      <c r="F11" s="32" t="s">
        <v>110</v>
      </c>
      <c r="G11" s="26">
        <v>0</v>
      </c>
      <c r="I11" s="29">
        <f t="shared" si="0"/>
        <v>0</v>
      </c>
      <c r="J11" s="28" cm="1">
        <f t="array" ref="J11">MAX(IF($N$3:$EH$3=$J$3,N11:EH11))</f>
        <v>0</v>
      </c>
      <c r="K11" s="28" cm="1">
        <f t="array" ref="K11">MAX(IF($N$3:$EH$3=$J$3,N11:EH11))</f>
        <v>0</v>
      </c>
      <c r="L11" s="29"/>
      <c r="O11" s="26"/>
      <c r="P11" s="26"/>
      <c r="Q11" s="26"/>
      <c r="R11" s="26"/>
      <c r="V11" s="26"/>
      <c r="W11" s="26"/>
      <c r="X11" s="26"/>
      <c r="Y11" s="26"/>
      <c r="AC11" s="26"/>
      <c r="AD11" s="26"/>
      <c r="AE11" s="26"/>
      <c r="AF11" s="26"/>
      <c r="AJ11" s="26"/>
      <c r="AK11" s="26"/>
      <c r="AL11" s="26"/>
      <c r="AM11" s="26"/>
      <c r="AQ11" s="26"/>
      <c r="AR11" s="26"/>
      <c r="AS11" s="26"/>
      <c r="AT11" s="26"/>
      <c r="AX11" s="26"/>
      <c r="AY11" s="26">
        <v>0.5</v>
      </c>
      <c r="AZ11" s="26"/>
      <c r="BA11" s="26">
        <v>0.5</v>
      </c>
      <c r="BE11" s="26"/>
      <c r="BF11" s="26">
        <v>0.5</v>
      </c>
      <c r="BG11" s="26"/>
      <c r="BH11" s="26">
        <v>0.5</v>
      </c>
      <c r="BL11" s="26"/>
      <c r="BM11" s="26">
        <v>0.8</v>
      </c>
      <c r="BN11" s="26"/>
      <c r="BO11" s="26">
        <v>0.8</v>
      </c>
      <c r="BS11" s="26"/>
      <c r="BT11" s="26">
        <v>0.8</v>
      </c>
      <c r="BU11" s="26"/>
      <c r="BV11" s="26">
        <v>0.8</v>
      </c>
      <c r="BZ11" s="26"/>
      <c r="CA11" s="26">
        <v>0.8</v>
      </c>
      <c r="CB11" s="26"/>
      <c r="CC11" s="26">
        <v>0.8</v>
      </c>
      <c r="CG11" s="26"/>
      <c r="CH11" s="26">
        <v>0.8</v>
      </c>
      <c r="CI11" s="26"/>
      <c r="CJ11" s="26">
        <v>0.8</v>
      </c>
      <c r="CN11" s="26"/>
      <c r="CO11" s="26">
        <v>0.8</v>
      </c>
      <c r="CP11" s="26"/>
      <c r="CQ11" s="26">
        <v>0.8</v>
      </c>
      <c r="CU11" s="26"/>
      <c r="CV11" s="26">
        <v>1</v>
      </c>
      <c r="CW11" s="26"/>
      <c r="CX11" s="26">
        <v>1</v>
      </c>
      <c r="DB11" s="26"/>
      <c r="DC11" s="26">
        <v>1</v>
      </c>
      <c r="DD11" s="26"/>
      <c r="DE11" s="26">
        <v>1</v>
      </c>
      <c r="DI11" s="26"/>
      <c r="DJ11" s="26">
        <v>1</v>
      </c>
      <c r="DK11" s="26"/>
      <c r="DL11" s="26">
        <v>1</v>
      </c>
      <c r="DP11" s="26"/>
      <c r="DQ11" s="26">
        <v>1</v>
      </c>
      <c r="DR11" s="26"/>
      <c r="DS11" s="26">
        <v>1</v>
      </c>
      <c r="DW11" s="26"/>
      <c r="DX11" s="26">
        <v>1</v>
      </c>
      <c r="DY11" s="26"/>
      <c r="DZ11" s="26">
        <v>1</v>
      </c>
    </row>
    <row r="12" spans="1:131" outlineLevel="1">
      <c r="A12" s="16"/>
      <c r="B12" s="16" t="s">
        <v>28</v>
      </c>
      <c r="C12" s="16" t="s">
        <v>101</v>
      </c>
      <c r="D12" s="16"/>
      <c r="E12" s="21"/>
      <c r="F12" s="32" t="s">
        <v>111</v>
      </c>
      <c r="G12" s="26">
        <v>0</v>
      </c>
      <c r="I12" s="29">
        <f t="shared" si="0"/>
        <v>0</v>
      </c>
      <c r="J12" s="28" cm="1">
        <f t="array" ref="J12">MAX(IF($N$3:$EH$3=$J$3,N12:EH12))</f>
        <v>0</v>
      </c>
      <c r="K12" s="28" cm="1">
        <f t="array" ref="K12">MAX(IF($N$3:$EH$3=$J$3,N12:EH12))</f>
        <v>0</v>
      </c>
      <c r="L12" s="29"/>
      <c r="O12" s="26"/>
      <c r="P12" s="26"/>
      <c r="Q12" s="26"/>
      <c r="R12" s="26"/>
      <c r="V12" s="26"/>
      <c r="W12" s="26"/>
      <c r="X12" s="26"/>
      <c r="Y12" s="26"/>
      <c r="AC12" s="26"/>
      <c r="AD12" s="26"/>
      <c r="AE12" s="26"/>
      <c r="AF12" s="26"/>
      <c r="AJ12" s="26"/>
      <c r="AK12" s="26"/>
      <c r="AL12" s="26"/>
      <c r="AM12" s="26"/>
      <c r="AQ12" s="26"/>
      <c r="AR12" s="26"/>
      <c r="AS12" s="26"/>
      <c r="AT12" s="26"/>
      <c r="AX12" s="26"/>
      <c r="AY12" s="26"/>
      <c r="AZ12" s="26"/>
      <c r="BA12" s="26"/>
      <c r="BE12" s="26"/>
      <c r="BF12" s="26"/>
      <c r="BG12" s="26"/>
      <c r="BH12" s="26"/>
      <c r="BL12" s="26"/>
      <c r="BM12" s="26">
        <v>0.5</v>
      </c>
      <c r="BN12" s="26"/>
      <c r="BO12" s="26">
        <v>0.5</v>
      </c>
      <c r="BS12" s="26"/>
      <c r="BT12" s="26">
        <v>0.5</v>
      </c>
      <c r="BU12" s="26"/>
      <c r="BV12" s="26">
        <v>0.5</v>
      </c>
      <c r="BZ12" s="26"/>
      <c r="CA12" s="26">
        <v>0.8</v>
      </c>
      <c r="CB12" s="26"/>
      <c r="CC12" s="26">
        <v>0.8</v>
      </c>
      <c r="CG12" s="26"/>
      <c r="CH12" s="26">
        <v>0.8</v>
      </c>
      <c r="CI12" s="26"/>
      <c r="CJ12" s="26">
        <v>0.8</v>
      </c>
      <c r="CN12" s="26"/>
      <c r="CO12" s="26">
        <v>0.8</v>
      </c>
      <c r="CP12" s="26"/>
      <c r="CQ12" s="26">
        <v>0.8</v>
      </c>
      <c r="CU12" s="26"/>
      <c r="CV12" s="26">
        <v>1</v>
      </c>
      <c r="CW12" s="26"/>
      <c r="CX12" s="26">
        <v>1</v>
      </c>
      <c r="DB12" s="26"/>
      <c r="DC12" s="26">
        <v>1</v>
      </c>
      <c r="DD12" s="26"/>
      <c r="DE12" s="26">
        <v>1</v>
      </c>
      <c r="DI12" s="26"/>
      <c r="DJ12" s="26">
        <v>1</v>
      </c>
      <c r="DK12" s="26"/>
      <c r="DL12" s="26">
        <v>1</v>
      </c>
      <c r="DP12" s="26"/>
      <c r="DQ12" s="26">
        <v>1</v>
      </c>
      <c r="DR12" s="26"/>
      <c r="DS12" s="26">
        <v>1</v>
      </c>
      <c r="DW12" s="26"/>
      <c r="DX12" s="26">
        <v>1</v>
      </c>
      <c r="DY12" s="26"/>
      <c r="DZ12" s="26">
        <v>1</v>
      </c>
    </row>
    <row r="13" spans="1:131" outlineLevel="1">
      <c r="A13" s="16"/>
      <c r="B13" s="16" t="s">
        <v>28</v>
      </c>
      <c r="C13" s="16" t="s">
        <v>101</v>
      </c>
      <c r="D13" s="16"/>
      <c r="E13" s="21"/>
      <c r="F13" s="32" t="s">
        <v>112</v>
      </c>
      <c r="G13" s="26">
        <v>0</v>
      </c>
      <c r="I13" s="29">
        <f t="shared" si="0"/>
        <v>0</v>
      </c>
      <c r="J13" s="28" cm="1">
        <f t="array" ref="J13">MAX(IF($N$3:$EH$3=$J$3,N13:EH13))</f>
        <v>0</v>
      </c>
      <c r="K13" s="28" cm="1">
        <f t="array" ref="K13">MAX(IF($N$3:$EH$3=$J$3,N13:EH13))</f>
        <v>0</v>
      </c>
      <c r="L13" s="29"/>
      <c r="O13" s="26"/>
      <c r="P13" s="26"/>
      <c r="Q13" s="26"/>
      <c r="R13" s="26"/>
      <c r="V13" s="26"/>
      <c r="W13" s="26"/>
      <c r="X13" s="26"/>
      <c r="Y13" s="26"/>
      <c r="AC13" s="26"/>
      <c r="AD13" s="26"/>
      <c r="AE13" s="26"/>
      <c r="AF13" s="26"/>
      <c r="AJ13" s="26"/>
      <c r="AK13" s="26"/>
      <c r="AL13" s="26"/>
      <c r="AM13" s="26"/>
      <c r="AQ13" s="26"/>
      <c r="AR13" s="26"/>
      <c r="AS13" s="26"/>
      <c r="AT13" s="26"/>
      <c r="AX13" s="26"/>
      <c r="AY13" s="26"/>
      <c r="AZ13" s="26"/>
      <c r="BA13" s="26"/>
      <c r="BE13" s="26"/>
      <c r="BF13" s="26"/>
      <c r="BG13" s="26"/>
      <c r="BH13" s="26"/>
      <c r="BL13" s="26"/>
      <c r="BM13" s="26"/>
      <c r="BN13" s="26"/>
      <c r="BO13" s="26"/>
      <c r="BS13" s="26"/>
      <c r="BT13" s="26">
        <v>0.5</v>
      </c>
      <c r="BU13" s="26"/>
      <c r="BV13" s="26">
        <v>0.5</v>
      </c>
      <c r="BZ13" s="26"/>
      <c r="CA13" s="26">
        <v>0.5</v>
      </c>
      <c r="CB13" s="26"/>
      <c r="CC13" s="26">
        <v>0.5</v>
      </c>
      <c r="CG13" s="26"/>
      <c r="CH13" s="26">
        <v>0.8</v>
      </c>
      <c r="CI13" s="26"/>
      <c r="CJ13" s="26">
        <v>0.8</v>
      </c>
      <c r="CN13" s="26"/>
      <c r="CO13" s="26">
        <v>0.8</v>
      </c>
      <c r="CP13" s="26"/>
      <c r="CQ13" s="26">
        <v>0.8</v>
      </c>
      <c r="CU13" s="26"/>
      <c r="CV13" s="26">
        <v>0.8</v>
      </c>
      <c r="CW13" s="26"/>
      <c r="CX13" s="26">
        <v>0.8</v>
      </c>
      <c r="DB13" s="26"/>
      <c r="DC13" s="26">
        <v>1</v>
      </c>
      <c r="DD13" s="26"/>
      <c r="DE13" s="26">
        <v>1</v>
      </c>
      <c r="DI13" s="26"/>
      <c r="DJ13" s="26">
        <v>1</v>
      </c>
      <c r="DK13" s="26"/>
      <c r="DL13" s="26">
        <v>1</v>
      </c>
      <c r="DP13" s="26"/>
      <c r="DQ13" s="26">
        <v>1</v>
      </c>
      <c r="DR13" s="26"/>
      <c r="DS13" s="26">
        <v>1</v>
      </c>
      <c r="DW13" s="26"/>
      <c r="DX13" s="26">
        <v>1</v>
      </c>
      <c r="DY13" s="26"/>
      <c r="DZ13" s="26">
        <v>1</v>
      </c>
    </row>
    <row r="14" spans="1:131" outlineLevel="1">
      <c r="A14" s="16"/>
      <c r="B14" s="16" t="s">
        <v>28</v>
      </c>
      <c r="C14" s="16" t="s">
        <v>101</v>
      </c>
      <c r="D14" s="16"/>
      <c r="E14" s="21"/>
      <c r="F14" s="32" t="s">
        <v>113</v>
      </c>
      <c r="G14" s="26">
        <v>0</v>
      </c>
      <c r="I14" s="29">
        <f t="shared" si="0"/>
        <v>0</v>
      </c>
      <c r="J14" s="28" cm="1">
        <f t="array" ref="J14">MAX(IF($N$3:$EH$3=$J$3,N14:EH14))</f>
        <v>0</v>
      </c>
      <c r="K14" s="28" cm="1">
        <f t="array" ref="K14">MAX(IF($N$3:$EH$3=$J$3,N14:EH14))</f>
        <v>0</v>
      </c>
      <c r="L14" s="29"/>
      <c r="O14" s="26"/>
      <c r="P14" s="26"/>
      <c r="Q14" s="26"/>
      <c r="R14" s="26"/>
      <c r="V14" s="26"/>
      <c r="W14" s="26"/>
      <c r="X14" s="26"/>
      <c r="Y14" s="26"/>
      <c r="AC14" s="26"/>
      <c r="AD14" s="26"/>
      <c r="AE14" s="26"/>
      <c r="AF14" s="26"/>
      <c r="AJ14" s="26"/>
      <c r="AK14" s="26"/>
      <c r="AL14" s="26"/>
      <c r="AM14" s="26"/>
      <c r="AQ14" s="26"/>
      <c r="AR14" s="26"/>
      <c r="AS14" s="26"/>
      <c r="AT14" s="26"/>
      <c r="AX14" s="26"/>
      <c r="AY14" s="26"/>
      <c r="AZ14" s="26"/>
      <c r="BA14" s="26"/>
      <c r="BE14" s="26"/>
      <c r="BF14" s="26"/>
      <c r="BG14" s="26"/>
      <c r="BH14" s="26"/>
      <c r="BL14" s="26"/>
      <c r="BM14" s="26"/>
      <c r="BN14" s="26"/>
      <c r="BO14" s="26"/>
      <c r="BS14" s="26"/>
      <c r="BT14" s="26"/>
      <c r="BU14" s="26"/>
      <c r="BV14" s="26"/>
      <c r="BZ14" s="26"/>
      <c r="CA14" s="26"/>
      <c r="CB14" s="26"/>
      <c r="CC14" s="26"/>
      <c r="CG14" s="26"/>
      <c r="CH14" s="26">
        <v>0.5</v>
      </c>
      <c r="CI14" s="26"/>
      <c r="CJ14" s="26">
        <v>0.5</v>
      </c>
      <c r="CN14" s="26"/>
      <c r="CO14" s="26">
        <v>0.8</v>
      </c>
      <c r="CP14" s="26"/>
      <c r="CQ14" s="26">
        <v>0.8</v>
      </c>
      <c r="CU14" s="26"/>
      <c r="CV14" s="26">
        <v>0.8</v>
      </c>
      <c r="CW14" s="26"/>
      <c r="CX14" s="26">
        <v>0.8</v>
      </c>
      <c r="DB14" s="26"/>
      <c r="DC14" s="26">
        <v>1</v>
      </c>
      <c r="DD14" s="26"/>
      <c r="DE14" s="26">
        <v>1</v>
      </c>
      <c r="DI14" s="26"/>
      <c r="DJ14" s="26">
        <v>1</v>
      </c>
      <c r="DK14" s="26"/>
      <c r="DL14" s="26">
        <v>1</v>
      </c>
      <c r="DP14" s="26"/>
      <c r="DQ14" s="26">
        <v>1</v>
      </c>
      <c r="DR14" s="26"/>
      <c r="DS14" s="26">
        <v>1</v>
      </c>
      <c r="DW14" s="26"/>
      <c r="DX14" s="26">
        <v>1</v>
      </c>
      <c r="DY14" s="26"/>
      <c r="DZ14" s="26">
        <v>1</v>
      </c>
    </row>
    <row r="15" spans="1:131">
      <c r="A15" s="16"/>
      <c r="B15" s="16"/>
      <c r="C15" s="16"/>
      <c r="D15" s="16"/>
      <c r="E15" s="16"/>
      <c r="F15" s="16"/>
      <c r="I15" s="29"/>
      <c r="O15" s="16"/>
      <c r="V15" s="16"/>
      <c r="AC15" s="16"/>
      <c r="AJ15" s="16"/>
      <c r="AQ15" s="16"/>
      <c r="AX15" s="16"/>
      <c r="BE15" s="16"/>
      <c r="BL15" s="16"/>
      <c r="BS15" s="16"/>
      <c r="BZ15" s="16"/>
      <c r="CG15" s="16"/>
      <c r="CN15" s="16"/>
      <c r="CU15" s="16"/>
      <c r="DB15" s="16"/>
      <c r="DC15" s="26"/>
      <c r="DI15" s="16"/>
      <c r="DP15" s="16"/>
      <c r="DW15" s="16"/>
    </row>
    <row r="16" spans="1:131">
      <c r="I16" s="29"/>
    </row>
    <row r="17" spans="2:130">
      <c r="B17" s="15" t="s">
        <v>27</v>
      </c>
      <c r="C17" s="15" t="s">
        <v>129</v>
      </c>
      <c r="D17" s="30">
        <v>45132</v>
      </c>
      <c r="E17" s="29">
        <v>6</v>
      </c>
      <c r="G17" s="26">
        <f>+SUM(G18:G23)</f>
        <v>0</v>
      </c>
      <c r="I17" s="29">
        <f>SUM(I18:I23)</f>
        <v>0</v>
      </c>
      <c r="J17" s="28">
        <f>+SUMPRODUCT(G18:G23,J18:J23)</f>
        <v>0</v>
      </c>
      <c r="K17" s="28">
        <f>+SUMPRODUCT(G18:G23,K18:K23)</f>
        <v>0</v>
      </c>
      <c r="L17" s="29"/>
      <c r="N17" s="27">
        <f>+SUM(N18:N23)</f>
        <v>0</v>
      </c>
      <c r="U17" s="27">
        <f>+SUM(U18:U23)</f>
        <v>0</v>
      </c>
      <c r="AB17" s="27">
        <f>+SUM(AB18:AB23)</f>
        <v>0</v>
      </c>
      <c r="AI17" s="27">
        <f>+SUM(AI18:AI23)</f>
        <v>0</v>
      </c>
      <c r="AP17" s="27">
        <f>+SUM(AP18:AP23)</f>
        <v>0</v>
      </c>
      <c r="DQ17" s="37"/>
    </row>
    <row r="18" spans="2:130" outlineLevel="1">
      <c r="B18" s="15" t="s">
        <v>28</v>
      </c>
      <c r="C18" s="15" t="s">
        <v>129</v>
      </c>
      <c r="E18" s="29"/>
      <c r="F18" s="15" t="s">
        <v>130</v>
      </c>
      <c r="G18" s="26">
        <v>0</v>
      </c>
      <c r="I18" s="29">
        <f t="shared" ref="I18:I23" si="1">+SUMIF($N$3:$ZZ$3,I$3,$N18:$ZZ18)</f>
        <v>0</v>
      </c>
      <c r="J18" s="28" cm="1">
        <f t="array" ref="J18">MAX(IF($N$3:$EH$3=$J$3,N18:EH18))</f>
        <v>0</v>
      </c>
      <c r="K18" s="28" cm="1">
        <f t="array" ref="K18">MAX(IF($N$3:$EH$3=$J$3,N18:EH18))</f>
        <v>0</v>
      </c>
      <c r="L18" s="29"/>
      <c r="O18" s="26"/>
      <c r="P18" s="26">
        <v>0.5</v>
      </c>
      <c r="Q18" s="26"/>
      <c r="R18" s="26">
        <v>0.5</v>
      </c>
      <c r="V18" s="26"/>
      <c r="W18" s="26">
        <v>0.5</v>
      </c>
      <c r="X18" s="26"/>
      <c r="Y18" s="26">
        <v>0.5</v>
      </c>
      <c r="AC18" s="26"/>
      <c r="AD18" s="26">
        <v>0.8</v>
      </c>
      <c r="AE18" s="26"/>
      <c r="AF18" s="26">
        <v>0.8</v>
      </c>
      <c r="AJ18" s="26"/>
      <c r="AK18" s="26">
        <v>0.8</v>
      </c>
      <c r="AL18" s="26"/>
      <c r="AM18" s="26">
        <v>0.8</v>
      </c>
      <c r="AQ18" s="26"/>
      <c r="AR18" s="26">
        <v>0.8</v>
      </c>
      <c r="AS18" s="26"/>
      <c r="AT18" s="26">
        <v>0.8</v>
      </c>
      <c r="AX18" s="26"/>
      <c r="AY18" s="26">
        <v>1</v>
      </c>
      <c r="AZ18" s="26"/>
      <c r="BA18" s="26">
        <v>1</v>
      </c>
      <c r="BE18" s="26"/>
      <c r="BF18" s="26">
        <v>1</v>
      </c>
      <c r="BG18" s="26"/>
      <c r="BH18" s="26">
        <v>1</v>
      </c>
      <c r="BL18" s="26"/>
      <c r="BM18" s="26">
        <v>1</v>
      </c>
      <c r="BN18" s="26"/>
      <c r="BO18" s="26">
        <v>1</v>
      </c>
      <c r="BS18" s="26"/>
      <c r="BT18" s="26">
        <v>1</v>
      </c>
      <c r="BU18" s="26"/>
      <c r="BV18" s="26">
        <v>1</v>
      </c>
      <c r="BZ18" s="26"/>
      <c r="CA18" s="26">
        <v>1</v>
      </c>
      <c r="CB18" s="26"/>
      <c r="CC18" s="26">
        <v>1</v>
      </c>
      <c r="CG18" s="26"/>
      <c r="CH18" s="26">
        <v>1</v>
      </c>
      <c r="CI18" s="26"/>
      <c r="CJ18" s="26">
        <v>1</v>
      </c>
      <c r="CN18" s="26"/>
      <c r="CO18" s="26">
        <v>1</v>
      </c>
      <c r="CP18" s="26"/>
      <c r="CQ18" s="26">
        <v>1</v>
      </c>
      <c r="CU18" s="26"/>
      <c r="CV18" s="26">
        <v>1</v>
      </c>
      <c r="CW18" s="26"/>
      <c r="CX18" s="26">
        <v>1</v>
      </c>
      <c r="CY18" s="15" t="s">
        <v>143</v>
      </c>
      <c r="DB18" s="26"/>
      <c r="DC18" s="26">
        <v>1</v>
      </c>
      <c r="DD18" s="26"/>
      <c r="DE18" s="26">
        <v>1</v>
      </c>
      <c r="DI18" s="26"/>
      <c r="DJ18" s="26">
        <v>1</v>
      </c>
      <c r="DK18" s="26"/>
      <c r="DL18" s="26">
        <v>1</v>
      </c>
      <c r="DP18" s="26"/>
      <c r="DQ18" s="37">
        <v>1</v>
      </c>
      <c r="DR18" s="26"/>
      <c r="DS18" s="26">
        <v>1</v>
      </c>
      <c r="DW18" s="26"/>
      <c r="DX18" s="26">
        <v>1</v>
      </c>
      <c r="DY18" s="26"/>
      <c r="DZ18" s="26">
        <v>1</v>
      </c>
    </row>
    <row r="19" spans="2:130" outlineLevel="1">
      <c r="B19" s="15" t="s">
        <v>28</v>
      </c>
      <c r="C19" s="15" t="s">
        <v>129</v>
      </c>
      <c r="E19" s="29"/>
      <c r="F19" s="15" t="s">
        <v>131</v>
      </c>
      <c r="G19" s="26">
        <v>0</v>
      </c>
      <c r="I19" s="29">
        <f t="shared" si="1"/>
        <v>0</v>
      </c>
      <c r="J19" s="28" cm="1">
        <f t="array" ref="J19">MAX(IF($N$3:$EH$3=$J$3,N19:EH19))</f>
        <v>0</v>
      </c>
      <c r="K19" s="28" cm="1">
        <f t="array" ref="K19">MAX(IF($N$3:$EH$3=$J$3,N19:EH19))</f>
        <v>0</v>
      </c>
      <c r="L19" s="29"/>
      <c r="O19" s="26"/>
      <c r="P19" s="26"/>
      <c r="Q19" s="26"/>
      <c r="R19" s="26"/>
      <c r="V19" s="26"/>
      <c r="W19" s="26">
        <v>0.5</v>
      </c>
      <c r="X19" s="26"/>
      <c r="Y19" s="26">
        <v>0.5</v>
      </c>
      <c r="AC19" s="26"/>
      <c r="AD19" s="26">
        <v>0.5</v>
      </c>
      <c r="AE19" s="26"/>
      <c r="AF19" s="26">
        <v>0.5</v>
      </c>
      <c r="AJ19" s="26"/>
      <c r="AK19" s="26">
        <v>0.8</v>
      </c>
      <c r="AL19" s="26"/>
      <c r="AM19" s="26">
        <v>0.8</v>
      </c>
      <c r="AQ19" s="26"/>
      <c r="AR19" s="26">
        <v>0.8</v>
      </c>
      <c r="AS19" s="26"/>
      <c r="AT19" s="26">
        <v>0.8</v>
      </c>
      <c r="AX19" s="26"/>
      <c r="AY19" s="26">
        <v>0.8</v>
      </c>
      <c r="AZ19" s="26"/>
      <c r="BA19" s="26">
        <v>0.8</v>
      </c>
      <c r="BE19" s="26"/>
      <c r="BF19" s="26">
        <v>0.8</v>
      </c>
      <c r="BG19" s="26"/>
      <c r="BH19" s="26">
        <v>0.8</v>
      </c>
      <c r="BL19" s="26"/>
      <c r="BM19" s="26">
        <v>1</v>
      </c>
      <c r="BN19" s="26"/>
      <c r="BO19" s="26">
        <v>1</v>
      </c>
      <c r="BS19" s="26"/>
      <c r="BT19" s="26">
        <v>1</v>
      </c>
      <c r="BU19" s="26"/>
      <c r="BV19" s="26">
        <v>1</v>
      </c>
      <c r="BZ19" s="26"/>
      <c r="CA19" s="26">
        <v>1</v>
      </c>
      <c r="CB19" s="26"/>
      <c r="CC19" s="26">
        <v>1</v>
      </c>
      <c r="CG19" s="26"/>
      <c r="CH19" s="26">
        <v>1</v>
      </c>
      <c r="CI19" s="26"/>
      <c r="CJ19" s="26">
        <v>1</v>
      </c>
      <c r="CN19" s="26"/>
      <c r="CO19" s="26">
        <v>1</v>
      </c>
      <c r="CP19" s="26"/>
      <c r="CQ19" s="26">
        <v>1</v>
      </c>
      <c r="CU19" s="26"/>
      <c r="CV19" s="26">
        <v>1</v>
      </c>
      <c r="CW19" s="26"/>
      <c r="CX19" s="26">
        <v>1</v>
      </c>
      <c r="DB19" s="26"/>
      <c r="DC19" s="26">
        <v>1</v>
      </c>
      <c r="DD19" s="26"/>
      <c r="DE19" s="26">
        <v>1</v>
      </c>
      <c r="DI19" s="26"/>
      <c r="DJ19" s="26">
        <v>1</v>
      </c>
      <c r="DK19" s="26"/>
      <c r="DL19" s="26">
        <v>1</v>
      </c>
      <c r="DP19" s="26"/>
      <c r="DQ19" s="37">
        <v>1</v>
      </c>
      <c r="DR19" s="26"/>
      <c r="DS19" s="26">
        <v>1</v>
      </c>
      <c r="DW19" s="26"/>
      <c r="DX19" s="26">
        <v>1</v>
      </c>
      <c r="DY19" s="26"/>
      <c r="DZ19" s="26">
        <v>1</v>
      </c>
    </row>
    <row r="20" spans="2:130" outlineLevel="1">
      <c r="B20" s="15" t="s">
        <v>28</v>
      </c>
      <c r="C20" s="15" t="s">
        <v>129</v>
      </c>
      <c r="E20" s="29"/>
      <c r="F20" s="15" t="s">
        <v>132</v>
      </c>
      <c r="G20" s="26">
        <v>0</v>
      </c>
      <c r="I20" s="29">
        <f t="shared" si="1"/>
        <v>0</v>
      </c>
      <c r="J20" s="28" cm="1">
        <f t="array" ref="J20">MAX(IF($N$3:$EH$3=$J$3,N20:EH20))</f>
        <v>0</v>
      </c>
      <c r="K20" s="28" cm="1">
        <f t="array" ref="K20">MAX(IF($N$3:$EH$3=$J$3,N20:EH20))</f>
        <v>0</v>
      </c>
      <c r="L20" s="29"/>
      <c r="O20" s="26"/>
      <c r="P20" s="26"/>
      <c r="Q20" s="26"/>
      <c r="R20" s="26"/>
      <c r="V20" s="26"/>
      <c r="W20" s="26"/>
      <c r="X20" s="26"/>
      <c r="Y20" s="26"/>
      <c r="AC20" s="26"/>
      <c r="AD20" s="26"/>
      <c r="AE20" s="26"/>
      <c r="AF20" s="26"/>
      <c r="AJ20" s="26"/>
      <c r="AK20" s="26">
        <v>0.5</v>
      </c>
      <c r="AL20" s="26"/>
      <c r="AM20" s="26">
        <v>0.5</v>
      </c>
      <c r="AQ20" s="26"/>
      <c r="AR20" s="26">
        <v>0.5</v>
      </c>
      <c r="AS20" s="26"/>
      <c r="AT20" s="26">
        <v>0.5</v>
      </c>
      <c r="AU20" s="15">
        <v>2</v>
      </c>
      <c r="AX20" s="26"/>
      <c r="AY20" s="26">
        <v>0.8</v>
      </c>
      <c r="AZ20" s="26"/>
      <c r="BA20" s="26">
        <v>0.8</v>
      </c>
      <c r="BB20" s="15">
        <v>1</v>
      </c>
      <c r="BE20" s="26"/>
      <c r="BF20" s="26">
        <v>0.8</v>
      </c>
      <c r="BG20" s="26"/>
      <c r="BH20" s="26">
        <v>0.8</v>
      </c>
      <c r="BI20" s="15">
        <v>2</v>
      </c>
      <c r="BL20" s="26"/>
      <c r="BM20" s="26">
        <v>0.8</v>
      </c>
      <c r="BN20" s="26"/>
      <c r="BO20" s="26">
        <v>0.8</v>
      </c>
      <c r="BS20" s="26"/>
      <c r="BT20" s="26">
        <v>0.8</v>
      </c>
      <c r="BU20" s="26"/>
      <c r="BV20" s="26">
        <v>0.8</v>
      </c>
      <c r="BZ20" s="26"/>
      <c r="CA20" s="26">
        <v>1</v>
      </c>
      <c r="CB20" s="26"/>
      <c r="CC20" s="26">
        <v>1</v>
      </c>
      <c r="CG20" s="26"/>
      <c r="CH20" s="26">
        <v>1</v>
      </c>
      <c r="CI20" s="26"/>
      <c r="CJ20" s="26">
        <v>1</v>
      </c>
      <c r="CN20" s="26"/>
      <c r="CO20" s="26">
        <v>1</v>
      </c>
      <c r="CP20" s="26"/>
      <c r="CQ20" s="26">
        <v>1</v>
      </c>
      <c r="CU20" s="26"/>
      <c r="CV20" s="26">
        <v>1</v>
      </c>
      <c r="CW20" s="26"/>
      <c r="CX20" s="26">
        <v>1</v>
      </c>
      <c r="DB20" s="26"/>
      <c r="DC20" s="26">
        <v>1</v>
      </c>
      <c r="DD20" s="26"/>
      <c r="DE20" s="26">
        <v>1</v>
      </c>
      <c r="DI20" s="26"/>
      <c r="DJ20" s="26">
        <v>1</v>
      </c>
      <c r="DK20" s="26"/>
      <c r="DL20" s="26">
        <v>1</v>
      </c>
      <c r="DP20" s="26"/>
      <c r="DQ20" s="37">
        <v>1</v>
      </c>
      <c r="DR20" s="26"/>
      <c r="DS20" s="26">
        <v>1</v>
      </c>
      <c r="DW20" s="26"/>
      <c r="DX20" s="26">
        <v>1</v>
      </c>
      <c r="DY20" s="26"/>
      <c r="DZ20" s="26">
        <v>1</v>
      </c>
    </row>
    <row r="21" spans="2:130" outlineLevel="1">
      <c r="B21" s="15" t="s">
        <v>28</v>
      </c>
      <c r="C21" s="15" t="s">
        <v>129</v>
      </c>
      <c r="E21" s="29"/>
      <c r="F21" s="15" t="s">
        <v>133</v>
      </c>
      <c r="G21" s="26">
        <v>0</v>
      </c>
      <c r="I21" s="29">
        <f t="shared" si="1"/>
        <v>0</v>
      </c>
      <c r="J21" s="28" cm="1">
        <f t="array" ref="J21">MAX(IF($N$3:$EH$3=$J$3,N21:EH21))</f>
        <v>0</v>
      </c>
      <c r="K21" s="28" cm="1">
        <f t="array" ref="K21">MAX(IF($N$3:$EH$3=$J$3,N21:EH21))</f>
        <v>0</v>
      </c>
      <c r="L21" s="29"/>
      <c r="O21" s="26"/>
      <c r="P21" s="26"/>
      <c r="Q21" s="26"/>
      <c r="R21" s="26"/>
      <c r="V21" s="26"/>
      <c r="W21" s="26"/>
      <c r="X21" s="26"/>
      <c r="Y21" s="26"/>
      <c r="AC21" s="26"/>
      <c r="AD21" s="26"/>
      <c r="AE21" s="26"/>
      <c r="AF21" s="26"/>
      <c r="AJ21" s="26"/>
      <c r="AK21" s="26"/>
      <c r="AL21" s="26"/>
      <c r="AM21" s="26"/>
      <c r="AN21" s="15">
        <v>1</v>
      </c>
      <c r="AQ21" s="26"/>
      <c r="AR21" s="26">
        <v>0.5</v>
      </c>
      <c r="AS21" s="26"/>
      <c r="AT21" s="26">
        <v>0.5</v>
      </c>
      <c r="AX21" s="26"/>
      <c r="AY21" s="26">
        <v>0.5</v>
      </c>
      <c r="AZ21" s="26"/>
      <c r="BA21" s="26">
        <v>0.5</v>
      </c>
      <c r="BE21" s="26"/>
      <c r="BF21" s="26">
        <v>0.5</v>
      </c>
      <c r="BG21" s="26"/>
      <c r="BH21" s="26">
        <v>0.5</v>
      </c>
      <c r="BL21" s="26"/>
      <c r="BM21" s="26">
        <v>0.8</v>
      </c>
      <c r="BN21" s="26"/>
      <c r="BO21" s="26">
        <v>0.8</v>
      </c>
      <c r="BP21" s="15">
        <v>1</v>
      </c>
      <c r="BS21" s="26"/>
      <c r="BT21" s="26">
        <v>0.8</v>
      </c>
      <c r="BU21" s="26"/>
      <c r="BV21" s="26">
        <v>0.8</v>
      </c>
      <c r="BZ21" s="26"/>
      <c r="CA21" s="26">
        <v>0.8</v>
      </c>
      <c r="CB21" s="26"/>
      <c r="CC21" s="26">
        <v>0.8</v>
      </c>
      <c r="CG21" s="26"/>
      <c r="CH21" s="26">
        <v>0.8</v>
      </c>
      <c r="CI21" s="26"/>
      <c r="CJ21" s="26">
        <v>0.8</v>
      </c>
      <c r="CN21" s="26"/>
      <c r="CO21" s="26">
        <v>1</v>
      </c>
      <c r="CP21" s="26"/>
      <c r="CQ21" s="26">
        <v>1</v>
      </c>
      <c r="CU21" s="26"/>
      <c r="CV21" s="26">
        <v>1</v>
      </c>
      <c r="CW21" s="26"/>
      <c r="CX21" s="26">
        <v>1</v>
      </c>
      <c r="DB21" s="26"/>
      <c r="DC21" s="26">
        <v>1</v>
      </c>
      <c r="DD21" s="26"/>
      <c r="DE21" s="26">
        <v>1</v>
      </c>
      <c r="DI21" s="26"/>
      <c r="DJ21" s="26">
        <v>1</v>
      </c>
      <c r="DK21" s="26"/>
      <c r="DL21" s="26">
        <v>1</v>
      </c>
      <c r="DP21" s="26"/>
      <c r="DQ21" s="37">
        <v>1</v>
      </c>
      <c r="DR21" s="26"/>
      <c r="DS21" s="26">
        <v>1</v>
      </c>
      <c r="DW21" s="26"/>
      <c r="DX21" s="26">
        <v>1</v>
      </c>
      <c r="DY21" s="26"/>
      <c r="DZ21" s="26">
        <v>1</v>
      </c>
    </row>
    <row r="22" spans="2:130" outlineLevel="1">
      <c r="B22" s="15" t="s">
        <v>28</v>
      </c>
      <c r="C22" s="15" t="s">
        <v>129</v>
      </c>
      <c r="E22" s="29"/>
      <c r="F22" s="15" t="s">
        <v>134</v>
      </c>
      <c r="G22" s="26">
        <v>0</v>
      </c>
      <c r="I22" s="29">
        <f t="shared" si="1"/>
        <v>0</v>
      </c>
      <c r="J22" s="28" cm="1">
        <f t="array" ref="J22">MAX(IF($N$3:$EH$3=$J$3,N22:EH22))</f>
        <v>0</v>
      </c>
      <c r="K22" s="28" cm="1">
        <f t="array" ref="K22">MAX(IF($N$3:$EH$3=$J$3,N22:EH22))</f>
        <v>0</v>
      </c>
      <c r="L22" s="29"/>
      <c r="O22" s="26"/>
      <c r="P22" s="26"/>
      <c r="Q22" s="26"/>
      <c r="R22" s="26"/>
      <c r="V22" s="26"/>
      <c r="W22" s="26"/>
      <c r="X22" s="26"/>
      <c r="Y22" s="26"/>
      <c r="AC22" s="26"/>
      <c r="AD22" s="26"/>
      <c r="AE22" s="26"/>
      <c r="AF22" s="26"/>
      <c r="AJ22" s="26"/>
      <c r="AK22" s="26"/>
      <c r="AL22" s="26"/>
      <c r="AM22" s="26"/>
      <c r="AQ22" s="26"/>
      <c r="AR22" s="26"/>
      <c r="AS22" s="26"/>
      <c r="AT22" s="26"/>
      <c r="AX22" s="26"/>
      <c r="AY22" s="26"/>
      <c r="AZ22" s="26"/>
      <c r="BA22" s="26"/>
      <c r="BE22" s="26"/>
      <c r="BF22" s="26">
        <v>0.5</v>
      </c>
      <c r="BG22" s="26"/>
      <c r="BH22" s="26">
        <v>0.5</v>
      </c>
      <c r="BL22" s="26"/>
      <c r="BM22" s="26">
        <v>0.5</v>
      </c>
      <c r="BN22" s="26"/>
      <c r="BO22" s="26">
        <v>0.5</v>
      </c>
      <c r="BS22" s="26"/>
      <c r="BT22" s="26">
        <v>0.5</v>
      </c>
      <c r="BU22" s="26"/>
      <c r="BV22" s="26">
        <v>0.5</v>
      </c>
      <c r="BW22" s="15">
        <v>2</v>
      </c>
      <c r="BZ22" s="26"/>
      <c r="CA22" s="26">
        <v>0.8</v>
      </c>
      <c r="CB22" s="26"/>
      <c r="CC22" s="26">
        <v>0.8</v>
      </c>
      <c r="CG22" s="26"/>
      <c r="CH22" s="26">
        <v>0.8</v>
      </c>
      <c r="CI22" s="26"/>
      <c r="CJ22" s="26">
        <v>0.8</v>
      </c>
      <c r="CK22" s="15">
        <v>2</v>
      </c>
      <c r="CN22" s="26"/>
      <c r="CO22" s="26">
        <v>1</v>
      </c>
      <c r="CP22" s="26"/>
      <c r="CQ22" s="26">
        <v>1</v>
      </c>
      <c r="CR22" s="15">
        <v>1</v>
      </c>
      <c r="CU22" s="26"/>
      <c r="CV22" s="26">
        <v>1</v>
      </c>
      <c r="CW22" s="26"/>
      <c r="CX22" s="26">
        <v>1</v>
      </c>
      <c r="DB22" s="26"/>
      <c r="DC22" s="26">
        <v>1</v>
      </c>
      <c r="DD22" s="26"/>
      <c r="DE22" s="26">
        <v>1</v>
      </c>
      <c r="DI22" s="26"/>
      <c r="DJ22" s="26">
        <v>1</v>
      </c>
      <c r="DK22" s="26"/>
      <c r="DL22" s="26">
        <v>1</v>
      </c>
      <c r="DP22" s="26"/>
      <c r="DQ22" s="37">
        <v>1</v>
      </c>
      <c r="DR22" s="26"/>
      <c r="DS22" s="26">
        <v>1</v>
      </c>
      <c r="DW22" s="26"/>
      <c r="DX22" s="26">
        <v>1</v>
      </c>
      <c r="DY22" s="26"/>
      <c r="DZ22" s="26">
        <v>1</v>
      </c>
    </row>
    <row r="23" spans="2:130" outlineLevel="1">
      <c r="B23" s="15" t="s">
        <v>28</v>
      </c>
      <c r="C23" s="15" t="s">
        <v>129</v>
      </c>
      <c r="E23" s="29"/>
      <c r="F23" s="15" t="s">
        <v>135</v>
      </c>
      <c r="G23" s="26">
        <v>0</v>
      </c>
      <c r="I23" s="29">
        <f t="shared" si="1"/>
        <v>0</v>
      </c>
      <c r="J23" s="28" cm="1">
        <f t="array" ref="J23">MAX(IF($N$3:$EH$3=$J$3,N23:EH23))</f>
        <v>0</v>
      </c>
      <c r="K23" s="28" cm="1">
        <f t="array" ref="K23">MAX(IF($N$3:$EH$3=$J$3,N23:EH23))</f>
        <v>0</v>
      </c>
      <c r="L23" s="29"/>
      <c r="O23" s="26"/>
      <c r="P23" s="26"/>
      <c r="Q23" s="26"/>
      <c r="R23" s="26"/>
      <c r="V23" s="26"/>
      <c r="W23" s="26"/>
      <c r="X23" s="26"/>
      <c r="Y23" s="26"/>
      <c r="AC23" s="26"/>
      <c r="AD23" s="26"/>
      <c r="AE23" s="26"/>
      <c r="AF23" s="26"/>
      <c r="AJ23" s="26"/>
      <c r="AK23" s="26"/>
      <c r="AL23" s="26"/>
      <c r="AM23" s="26"/>
      <c r="AQ23" s="26"/>
      <c r="AR23" s="26"/>
      <c r="AS23" s="26"/>
      <c r="AT23" s="26"/>
      <c r="AX23" s="26"/>
      <c r="AY23" s="26"/>
      <c r="AZ23" s="26"/>
      <c r="BA23" s="26"/>
      <c r="BE23" s="26"/>
      <c r="BF23" s="26"/>
      <c r="BG23" s="26"/>
      <c r="BH23" s="26"/>
      <c r="BL23" s="26"/>
      <c r="BM23" s="26"/>
      <c r="BN23" s="26"/>
      <c r="BO23" s="26"/>
      <c r="BS23" s="26"/>
      <c r="BT23" s="26">
        <v>0.5</v>
      </c>
      <c r="BU23" s="26"/>
      <c r="BV23" s="26">
        <v>0.5</v>
      </c>
      <c r="BZ23" s="26"/>
      <c r="CA23" s="26">
        <v>0.5</v>
      </c>
      <c r="CB23" s="26"/>
      <c r="CC23" s="26">
        <v>0.5</v>
      </c>
      <c r="CD23" s="15">
        <v>1</v>
      </c>
      <c r="CG23" s="26"/>
      <c r="CH23" s="26">
        <v>0.8</v>
      </c>
      <c r="CI23" s="26"/>
      <c r="CJ23" s="26">
        <v>0.8</v>
      </c>
      <c r="CN23" s="26"/>
      <c r="CO23" s="26">
        <v>0.8</v>
      </c>
      <c r="CP23" s="26"/>
      <c r="CQ23" s="26">
        <v>0.8</v>
      </c>
      <c r="CU23" s="26"/>
      <c r="CV23" s="26">
        <v>1</v>
      </c>
      <c r="CW23" s="26"/>
      <c r="CX23" s="26">
        <v>1</v>
      </c>
      <c r="DB23" s="26"/>
      <c r="DC23" s="26">
        <v>1</v>
      </c>
      <c r="DD23" s="26"/>
      <c r="DE23" s="26">
        <v>1</v>
      </c>
      <c r="DI23" s="26"/>
      <c r="DJ23" s="26">
        <v>1</v>
      </c>
      <c r="DK23" s="26"/>
      <c r="DL23" s="26">
        <v>1</v>
      </c>
      <c r="DP23" s="26"/>
      <c r="DQ23" s="37">
        <v>1</v>
      </c>
      <c r="DR23" s="26"/>
      <c r="DS23" s="26">
        <v>1</v>
      </c>
      <c r="DW23" s="26"/>
      <c r="DX23" s="26">
        <v>1</v>
      </c>
      <c r="DY23" s="26"/>
      <c r="DZ23" s="26">
        <v>1</v>
      </c>
    </row>
    <row r="25" spans="2:130">
      <c r="B25" s="15" t="s">
        <v>27</v>
      </c>
      <c r="C25" s="15" t="s">
        <v>100</v>
      </c>
      <c r="D25" s="30">
        <v>45126</v>
      </c>
      <c r="E25" s="29">
        <v>6</v>
      </c>
      <c r="G25" s="26">
        <f>+SUM(G26:G32)</f>
        <v>0</v>
      </c>
      <c r="I25" s="27">
        <f>+SUM(I26:I32)</f>
        <v>0</v>
      </c>
      <c r="J25" s="28">
        <f>+SUMPRODUCT(G26:G32,J26:J32)</f>
        <v>0</v>
      </c>
      <c r="K25" s="28">
        <f>+SUMPRODUCT(G26:G32,K26:K32)</f>
        <v>0</v>
      </c>
      <c r="L25" s="29"/>
      <c r="N25" s="27">
        <f>+SUM(N26:N32)</f>
        <v>0</v>
      </c>
      <c r="U25" s="27">
        <f>+SUM(U26:U32)</f>
        <v>0</v>
      </c>
      <c r="AB25" s="27">
        <f>+SUM(AB26:AB32)</f>
        <v>0</v>
      </c>
      <c r="AI25" s="27">
        <f>+SUM(AI26:AI32)</f>
        <v>0</v>
      </c>
      <c r="AP25" s="27">
        <f>+SUM(AP26:AP32)</f>
        <v>0</v>
      </c>
    </row>
    <row r="26" spans="2:130" outlineLevel="1">
      <c r="B26" s="15" t="s">
        <v>28</v>
      </c>
      <c r="C26" s="15" t="s">
        <v>100</v>
      </c>
      <c r="E26" s="29"/>
      <c r="F26" s="16" t="s">
        <v>122</v>
      </c>
      <c r="G26" s="26">
        <v>0</v>
      </c>
      <c r="I26" s="29">
        <f>+SUMIF($N$3:$ZZ$3,I$3,$N26:$ZZ26)</f>
        <v>0</v>
      </c>
      <c r="J26" s="28" cm="1">
        <f t="array" ref="J26">MAX(IF($N$3:$EH$3=$J$3,N26:EH26))</f>
        <v>0</v>
      </c>
      <c r="K26" s="28" cm="1">
        <f t="array" ref="K26">MAX(IF($N$3:$EH$3=$J$3,N26:EH26))</f>
        <v>0</v>
      </c>
      <c r="L26" s="29"/>
      <c r="O26" s="26"/>
      <c r="P26" s="26">
        <v>0.8</v>
      </c>
      <c r="Q26" s="26"/>
      <c r="R26" s="26">
        <v>0.8</v>
      </c>
      <c r="V26" s="26"/>
      <c r="W26" s="26">
        <v>0.8</v>
      </c>
      <c r="X26" s="26"/>
      <c r="Y26" s="26">
        <v>0.8</v>
      </c>
      <c r="AC26" s="26"/>
      <c r="AD26" s="26">
        <v>0.8</v>
      </c>
      <c r="AE26" s="26"/>
      <c r="AF26" s="26">
        <v>0.8</v>
      </c>
      <c r="AJ26" s="26"/>
      <c r="AK26" s="26">
        <v>1</v>
      </c>
      <c r="AL26" s="26"/>
      <c r="AM26" s="26">
        <v>1</v>
      </c>
      <c r="AQ26" s="26"/>
      <c r="AR26" s="26">
        <v>1</v>
      </c>
      <c r="AS26" s="26"/>
      <c r="AT26" s="26">
        <v>1</v>
      </c>
      <c r="AX26" s="26"/>
      <c r="AY26" s="26">
        <v>1</v>
      </c>
      <c r="AZ26" s="26"/>
      <c r="BA26" s="26">
        <v>1</v>
      </c>
      <c r="BE26" s="26"/>
      <c r="BF26" s="26">
        <v>1</v>
      </c>
      <c r="BG26" s="26"/>
      <c r="BH26" s="26">
        <v>1</v>
      </c>
      <c r="BL26" s="26"/>
      <c r="BM26" s="26">
        <v>1</v>
      </c>
      <c r="BN26" s="26"/>
      <c r="BO26" s="26">
        <v>1</v>
      </c>
      <c r="BS26" s="26"/>
      <c r="BT26" s="26">
        <v>1</v>
      </c>
      <c r="BU26" s="26"/>
      <c r="BV26" s="26">
        <v>1</v>
      </c>
      <c r="BZ26" s="26"/>
      <c r="CA26" s="26">
        <v>1</v>
      </c>
      <c r="CB26" s="26"/>
      <c r="CC26" s="26">
        <v>1</v>
      </c>
      <c r="CG26" s="26"/>
      <c r="CH26" s="26">
        <v>1</v>
      </c>
      <c r="CI26" s="26"/>
      <c r="CJ26" s="26">
        <v>1</v>
      </c>
      <c r="CN26" s="26"/>
      <c r="CO26" s="26">
        <v>1</v>
      </c>
      <c r="CP26" s="26"/>
      <c r="CQ26" s="26">
        <v>1</v>
      </c>
      <c r="CR26" s="15" t="s">
        <v>143</v>
      </c>
      <c r="CU26" s="26"/>
      <c r="CV26" s="26">
        <v>1</v>
      </c>
      <c r="CW26" s="26"/>
      <c r="CX26" s="26">
        <v>1</v>
      </c>
      <c r="DB26" s="26"/>
      <c r="DC26" s="26">
        <v>1</v>
      </c>
      <c r="DD26" s="26"/>
      <c r="DE26" s="26">
        <v>1</v>
      </c>
      <c r="DI26" s="26"/>
      <c r="DJ26" s="26">
        <v>1</v>
      </c>
      <c r="DK26" s="26"/>
      <c r="DL26" s="26">
        <v>1</v>
      </c>
      <c r="DP26" s="26"/>
      <c r="DQ26" s="26">
        <v>1</v>
      </c>
      <c r="DR26" s="26"/>
      <c r="DS26" s="26">
        <v>1</v>
      </c>
      <c r="DW26" s="26"/>
      <c r="DX26" s="26">
        <v>1</v>
      </c>
      <c r="DY26" s="26"/>
      <c r="DZ26" s="26">
        <v>1</v>
      </c>
    </row>
    <row r="27" spans="2:130" outlineLevel="1">
      <c r="B27" s="15" t="s">
        <v>28</v>
      </c>
      <c r="C27" s="15" t="s">
        <v>100</v>
      </c>
      <c r="E27" s="29"/>
      <c r="F27" s="16" t="s">
        <v>123</v>
      </c>
      <c r="G27" s="26">
        <v>0</v>
      </c>
      <c r="I27" s="29">
        <f>+SUMIF($N$3:$ZZ$3,I$3,$N27:$ZZ27)</f>
        <v>0</v>
      </c>
      <c r="J27" s="28" cm="1">
        <f t="array" ref="J27">MAX(IF($N$3:$EH$3=$J$3,N27:EH27))</f>
        <v>0</v>
      </c>
      <c r="K27" s="28" cm="1">
        <f t="array" ref="K27">MAX(IF($N$3:$EH$3=$J$3,N27:EH27))</f>
        <v>0</v>
      </c>
      <c r="L27" s="29"/>
      <c r="O27" s="26"/>
      <c r="P27" s="26">
        <v>0.5</v>
      </c>
      <c r="Q27" s="26"/>
      <c r="R27" s="26">
        <v>0.5</v>
      </c>
      <c r="V27" s="26"/>
      <c r="W27" s="26">
        <v>0.8</v>
      </c>
      <c r="X27" s="26"/>
      <c r="Y27" s="26">
        <v>0.8</v>
      </c>
      <c r="AC27" s="26"/>
      <c r="AD27" s="26">
        <v>0.8</v>
      </c>
      <c r="AE27" s="26"/>
      <c r="AF27" s="26">
        <v>0.8</v>
      </c>
      <c r="AJ27" s="26"/>
      <c r="AK27" s="26">
        <v>0.8</v>
      </c>
      <c r="AL27" s="26"/>
      <c r="AM27" s="26">
        <v>0.8</v>
      </c>
      <c r="AN27" s="15">
        <v>2</v>
      </c>
      <c r="AQ27" s="26"/>
      <c r="AR27" s="26">
        <v>1</v>
      </c>
      <c r="AS27" s="26"/>
      <c r="AT27" s="26">
        <v>1</v>
      </c>
      <c r="AX27" s="26"/>
      <c r="AY27" s="26">
        <v>1</v>
      </c>
      <c r="AZ27" s="26"/>
      <c r="BA27" s="26">
        <v>1</v>
      </c>
      <c r="BE27" s="26"/>
      <c r="BF27" s="26">
        <v>1</v>
      </c>
      <c r="BG27" s="26"/>
      <c r="BH27" s="26">
        <v>1</v>
      </c>
      <c r="BL27" s="26"/>
      <c r="BM27" s="26">
        <v>1</v>
      </c>
      <c r="BN27" s="26"/>
      <c r="BO27" s="26">
        <v>1</v>
      </c>
      <c r="BS27" s="26"/>
      <c r="BT27" s="26">
        <v>1</v>
      </c>
      <c r="BU27" s="26"/>
      <c r="BV27" s="26">
        <v>1</v>
      </c>
      <c r="BZ27" s="26"/>
      <c r="CA27" s="26">
        <v>1</v>
      </c>
      <c r="CB27" s="26"/>
      <c r="CC27" s="26">
        <v>1</v>
      </c>
      <c r="CG27" s="26"/>
      <c r="CH27" s="26">
        <v>1</v>
      </c>
      <c r="CI27" s="26"/>
      <c r="CJ27" s="26">
        <v>1</v>
      </c>
      <c r="CN27" s="26"/>
      <c r="CO27" s="26">
        <v>1</v>
      </c>
      <c r="CP27" s="26"/>
      <c r="CQ27" s="26">
        <v>1</v>
      </c>
      <c r="CU27" s="26"/>
      <c r="CV27" s="26">
        <v>1</v>
      </c>
      <c r="CW27" s="26"/>
      <c r="CX27" s="26">
        <v>1</v>
      </c>
      <c r="DB27" s="26"/>
      <c r="DC27" s="26">
        <v>1</v>
      </c>
      <c r="DD27" s="26"/>
      <c r="DE27" s="26">
        <v>1</v>
      </c>
      <c r="DI27" s="26"/>
      <c r="DJ27" s="26">
        <v>1</v>
      </c>
      <c r="DK27" s="26"/>
      <c r="DL27" s="26">
        <v>1</v>
      </c>
      <c r="DP27" s="26"/>
      <c r="DQ27" s="26">
        <v>1</v>
      </c>
      <c r="DR27" s="26"/>
      <c r="DS27" s="26">
        <v>1</v>
      </c>
      <c r="DW27" s="26"/>
      <c r="DX27" s="26">
        <v>1</v>
      </c>
      <c r="DY27" s="26"/>
      <c r="DZ27" s="26">
        <v>1</v>
      </c>
    </row>
    <row r="28" spans="2:130" outlineLevel="1">
      <c r="B28" s="15" t="s">
        <v>28</v>
      </c>
      <c r="C28" s="15" t="s">
        <v>100</v>
      </c>
      <c r="E28" s="29"/>
      <c r="F28" s="16" t="s">
        <v>124</v>
      </c>
      <c r="G28" s="26">
        <v>0</v>
      </c>
      <c r="I28" s="29"/>
      <c r="J28" s="28" cm="1">
        <f t="array" ref="J28">MAX(IF($N$3:$EH$3=$J$3,N28:EH28))</f>
        <v>0</v>
      </c>
      <c r="K28" s="28" cm="1">
        <f t="array" ref="K28">MAX(IF($N$3:$EH$3=$J$3,N28:EH28))</f>
        <v>0</v>
      </c>
      <c r="L28" s="29"/>
      <c r="O28" s="26"/>
      <c r="P28" s="26">
        <v>0.5</v>
      </c>
      <c r="Q28" s="26"/>
      <c r="R28" s="26">
        <v>0.5</v>
      </c>
      <c r="V28" s="26"/>
      <c r="W28" s="26">
        <v>0.5</v>
      </c>
      <c r="X28" s="26"/>
      <c r="Y28" s="26">
        <v>0.5</v>
      </c>
      <c r="AC28" s="26"/>
      <c r="AD28" s="26">
        <v>0.8</v>
      </c>
      <c r="AE28" s="26"/>
      <c r="AF28" s="26">
        <v>0.8</v>
      </c>
      <c r="AJ28" s="26"/>
      <c r="AK28" s="26">
        <v>0.8</v>
      </c>
      <c r="AL28" s="26"/>
      <c r="AM28" s="26">
        <v>0.8</v>
      </c>
      <c r="AQ28" s="26"/>
      <c r="AR28" s="26">
        <v>0.8</v>
      </c>
      <c r="AS28" s="26"/>
      <c r="AT28" s="26">
        <v>0.8</v>
      </c>
      <c r="AX28" s="26"/>
      <c r="AY28" s="26">
        <v>0.8</v>
      </c>
      <c r="AZ28" s="26"/>
      <c r="BA28" s="26">
        <v>0.8</v>
      </c>
      <c r="BE28" s="26"/>
      <c r="BF28" s="26">
        <v>0.8</v>
      </c>
      <c r="BG28" s="26"/>
      <c r="BH28" s="26">
        <v>0.8</v>
      </c>
      <c r="BL28" s="26"/>
      <c r="BM28" s="26">
        <v>1</v>
      </c>
      <c r="BN28" s="26"/>
      <c r="BO28" s="26">
        <v>1</v>
      </c>
      <c r="BS28" s="26"/>
      <c r="BT28" s="26">
        <v>1</v>
      </c>
      <c r="BU28" s="26"/>
      <c r="BV28" s="26">
        <v>1</v>
      </c>
      <c r="BZ28" s="26"/>
      <c r="CA28" s="26">
        <v>1</v>
      </c>
      <c r="CB28" s="26"/>
      <c r="CC28" s="26">
        <v>1</v>
      </c>
      <c r="CG28" s="26"/>
      <c r="CH28" s="26">
        <v>1</v>
      </c>
      <c r="CI28" s="26"/>
      <c r="CJ28" s="26">
        <v>1</v>
      </c>
      <c r="CN28" s="26"/>
      <c r="CO28" s="26">
        <v>1</v>
      </c>
      <c r="CP28" s="26"/>
      <c r="CQ28" s="26">
        <v>1</v>
      </c>
      <c r="CU28" s="26"/>
      <c r="CV28" s="26">
        <v>1</v>
      </c>
      <c r="CW28" s="26"/>
      <c r="CX28" s="26">
        <v>1</v>
      </c>
      <c r="DB28" s="26"/>
      <c r="DC28" s="26">
        <v>1</v>
      </c>
      <c r="DD28" s="26"/>
      <c r="DE28" s="26">
        <v>1</v>
      </c>
      <c r="DI28" s="26"/>
      <c r="DJ28" s="26">
        <v>1</v>
      </c>
      <c r="DK28" s="26"/>
      <c r="DL28" s="26">
        <v>1</v>
      </c>
      <c r="DP28" s="26"/>
      <c r="DQ28" s="26">
        <v>1</v>
      </c>
      <c r="DR28" s="26"/>
      <c r="DS28" s="26">
        <v>1</v>
      </c>
      <c r="DW28" s="26"/>
      <c r="DX28" s="26">
        <v>1</v>
      </c>
      <c r="DY28" s="26"/>
      <c r="DZ28" s="26">
        <v>1</v>
      </c>
    </row>
    <row r="29" spans="2:130" outlineLevel="1">
      <c r="B29" s="15" t="s">
        <v>28</v>
      </c>
      <c r="C29" s="15" t="s">
        <v>100</v>
      </c>
      <c r="E29" s="29"/>
      <c r="F29" s="16" t="s">
        <v>125</v>
      </c>
      <c r="G29" s="26">
        <v>0</v>
      </c>
      <c r="I29" s="29"/>
      <c r="J29" s="28" cm="1">
        <f t="array" ref="J29">MAX(IF($N$3:$EH$3=$J$3,N29:EH29))</f>
        <v>0</v>
      </c>
      <c r="K29" s="28" cm="1">
        <f t="array" ref="K29">MAX(IF($N$3:$EH$3=$J$3,N29:EH29))</f>
        <v>0</v>
      </c>
      <c r="L29" s="29"/>
      <c r="O29" s="26"/>
      <c r="P29" s="26"/>
      <c r="Q29" s="26"/>
      <c r="R29" s="26"/>
      <c r="V29" s="26"/>
      <c r="W29" s="26">
        <v>0.5</v>
      </c>
      <c r="X29" s="26"/>
      <c r="Y29" s="26">
        <v>0.5</v>
      </c>
      <c r="AC29" s="26"/>
      <c r="AD29" s="26">
        <v>0.5</v>
      </c>
      <c r="AE29" s="26"/>
      <c r="AF29" s="26">
        <v>0.5</v>
      </c>
      <c r="AJ29" s="26"/>
      <c r="AK29" s="26">
        <v>0.5</v>
      </c>
      <c r="AL29" s="26"/>
      <c r="AM29" s="26">
        <v>0.5</v>
      </c>
      <c r="AQ29" s="26"/>
      <c r="AR29" s="26">
        <v>0.8</v>
      </c>
      <c r="AS29" s="26"/>
      <c r="AT29" s="26">
        <v>0.8</v>
      </c>
      <c r="AX29" s="26"/>
      <c r="AY29" s="26">
        <v>0.8</v>
      </c>
      <c r="AZ29" s="26"/>
      <c r="BA29" s="26">
        <v>0.8</v>
      </c>
      <c r="BE29" s="26"/>
      <c r="BF29" s="26">
        <v>0.8</v>
      </c>
      <c r="BG29" s="26"/>
      <c r="BH29" s="26">
        <v>0.8</v>
      </c>
      <c r="BL29" s="26"/>
      <c r="BM29" s="26">
        <v>0.8</v>
      </c>
      <c r="BN29" s="26"/>
      <c r="BO29" s="26">
        <v>0.8</v>
      </c>
      <c r="BS29" s="26"/>
      <c r="BT29" s="26">
        <v>1</v>
      </c>
      <c r="BU29" s="26"/>
      <c r="BV29" s="26">
        <v>1</v>
      </c>
      <c r="BZ29" s="26"/>
      <c r="CA29" s="26">
        <v>1</v>
      </c>
      <c r="CB29" s="26"/>
      <c r="CC29" s="26">
        <v>1</v>
      </c>
      <c r="CG29" s="26"/>
      <c r="CH29" s="26">
        <v>1</v>
      </c>
      <c r="CI29" s="26"/>
      <c r="CJ29" s="26">
        <v>1</v>
      </c>
      <c r="CN29" s="26"/>
      <c r="CO29" s="26">
        <v>1</v>
      </c>
      <c r="CP29" s="26"/>
      <c r="CQ29" s="26">
        <v>1</v>
      </c>
      <c r="CU29" s="26"/>
      <c r="CV29" s="26">
        <v>1</v>
      </c>
      <c r="CW29" s="26"/>
      <c r="CX29" s="26">
        <v>1</v>
      </c>
      <c r="DB29" s="26"/>
      <c r="DC29" s="26">
        <v>1</v>
      </c>
      <c r="DD29" s="26"/>
      <c r="DE29" s="26">
        <v>1</v>
      </c>
      <c r="DI29" s="26"/>
      <c r="DJ29" s="26">
        <v>1</v>
      </c>
      <c r="DK29" s="26"/>
      <c r="DL29" s="26">
        <v>1</v>
      </c>
      <c r="DP29" s="26"/>
      <c r="DQ29" s="26">
        <v>1</v>
      </c>
      <c r="DR29" s="26"/>
      <c r="DS29" s="26">
        <v>1</v>
      </c>
      <c r="DW29" s="26"/>
      <c r="DX29" s="26">
        <v>1</v>
      </c>
      <c r="DY29" s="26"/>
      <c r="DZ29" s="26">
        <v>1</v>
      </c>
    </row>
    <row r="30" spans="2:130" outlineLevel="1">
      <c r="B30" s="15" t="s">
        <v>28</v>
      </c>
      <c r="C30" s="15" t="s">
        <v>100</v>
      </c>
      <c r="E30" s="29"/>
      <c r="F30" s="16" t="s">
        <v>126</v>
      </c>
      <c r="G30" s="26">
        <v>0</v>
      </c>
      <c r="I30" s="29">
        <f>+SUMIF($N$3:$ZZ$3,I$3,$N30:$ZZ30)</f>
        <v>0</v>
      </c>
      <c r="J30" s="28" cm="1">
        <f t="array" ref="J30">MAX(IF($N$3:$EH$3=$J$3,N30:EH30))</f>
        <v>0</v>
      </c>
      <c r="K30" s="28" cm="1">
        <f t="array" ref="K30">MAX(IF($N$3:$EH$3=$J$3,N30:EH30))</f>
        <v>0</v>
      </c>
      <c r="L30" s="29"/>
      <c r="O30" s="26"/>
      <c r="P30" s="26"/>
      <c r="Q30" s="26"/>
      <c r="R30" s="26"/>
      <c r="V30" s="26"/>
      <c r="W30" s="26"/>
      <c r="X30" s="26"/>
      <c r="Y30" s="26"/>
      <c r="AC30" s="26"/>
      <c r="AD30" s="26">
        <v>0.5</v>
      </c>
      <c r="AE30" s="26"/>
      <c r="AF30" s="26">
        <v>0.5</v>
      </c>
      <c r="AJ30" s="26"/>
      <c r="AK30" s="26">
        <v>0.5</v>
      </c>
      <c r="AL30" s="26"/>
      <c r="AM30" s="26">
        <v>0.5</v>
      </c>
      <c r="AQ30" s="26"/>
      <c r="AR30" s="26">
        <v>0.5</v>
      </c>
      <c r="AS30" s="26"/>
      <c r="AT30" s="26">
        <v>0.5</v>
      </c>
      <c r="AX30" s="26"/>
      <c r="AY30" s="26">
        <v>0.5</v>
      </c>
      <c r="AZ30" s="26"/>
      <c r="BA30" s="26">
        <v>0.5</v>
      </c>
      <c r="BE30" s="26"/>
      <c r="BF30" s="26">
        <v>0.8</v>
      </c>
      <c r="BG30" s="26"/>
      <c r="BH30" s="26">
        <v>0.8</v>
      </c>
      <c r="BL30" s="26"/>
      <c r="BM30" s="26">
        <v>0.8</v>
      </c>
      <c r="BN30" s="26"/>
      <c r="BO30" s="26">
        <v>0.8</v>
      </c>
      <c r="BS30" s="26"/>
      <c r="BT30" s="26">
        <v>0.8</v>
      </c>
      <c r="BU30" s="26"/>
      <c r="BV30" s="26">
        <v>0.8</v>
      </c>
      <c r="BZ30" s="26"/>
      <c r="CA30" s="26">
        <v>0.8</v>
      </c>
      <c r="CB30" s="26"/>
      <c r="CC30" s="26">
        <v>0.8</v>
      </c>
      <c r="CG30" s="26"/>
      <c r="CH30" s="26">
        <v>1</v>
      </c>
      <c r="CI30" s="26"/>
      <c r="CJ30" s="26">
        <v>1</v>
      </c>
      <c r="CN30" s="26"/>
      <c r="CO30" s="26">
        <v>1</v>
      </c>
      <c r="CP30" s="26"/>
      <c r="CQ30" s="26">
        <v>1</v>
      </c>
      <c r="CU30" s="26"/>
      <c r="CV30" s="26">
        <v>1</v>
      </c>
      <c r="CW30" s="26"/>
      <c r="CX30" s="26">
        <v>1</v>
      </c>
      <c r="DB30" s="26"/>
      <c r="DC30" s="26">
        <v>1</v>
      </c>
      <c r="DD30" s="26"/>
      <c r="DE30" s="26">
        <v>1</v>
      </c>
      <c r="DI30" s="26"/>
      <c r="DJ30" s="26">
        <v>1</v>
      </c>
      <c r="DK30" s="26"/>
      <c r="DL30" s="26">
        <v>1</v>
      </c>
      <c r="DP30" s="26"/>
      <c r="DQ30" s="26">
        <v>1</v>
      </c>
      <c r="DR30" s="26"/>
      <c r="DS30" s="26">
        <v>1</v>
      </c>
      <c r="DW30" s="26"/>
      <c r="DX30" s="26">
        <v>1</v>
      </c>
      <c r="DY30" s="26"/>
      <c r="DZ30" s="26">
        <v>1</v>
      </c>
    </row>
    <row r="31" spans="2:130" outlineLevel="1">
      <c r="B31" s="15" t="s">
        <v>28</v>
      </c>
      <c r="C31" s="15" t="s">
        <v>100</v>
      </c>
      <c r="E31" s="29"/>
      <c r="F31" s="16" t="s">
        <v>127</v>
      </c>
      <c r="G31" s="26">
        <v>0</v>
      </c>
      <c r="I31" s="29"/>
      <c r="J31" s="28" cm="1">
        <f t="array" ref="J31">MAX(IF($N$3:$EH$3=$J$3,N31:EH31))</f>
        <v>0</v>
      </c>
      <c r="K31" s="28" cm="1">
        <f t="array" ref="K31">MAX(IF($N$3:$EH$3=$J$3,N31:EH31))</f>
        <v>0</v>
      </c>
      <c r="L31" s="29"/>
      <c r="O31" s="26"/>
      <c r="P31" s="26"/>
      <c r="Q31" s="26"/>
      <c r="R31" s="26"/>
      <c r="V31" s="26"/>
      <c r="W31" s="26"/>
      <c r="X31" s="26"/>
      <c r="Y31" s="26"/>
      <c r="AC31" s="26"/>
      <c r="AD31" s="26"/>
      <c r="AE31" s="26"/>
      <c r="AF31" s="26"/>
      <c r="AJ31" s="26"/>
      <c r="AK31" s="26"/>
      <c r="AL31" s="26"/>
      <c r="AM31" s="26"/>
      <c r="AQ31" s="26"/>
      <c r="AR31" s="26"/>
      <c r="AS31" s="26"/>
      <c r="AT31" s="26"/>
      <c r="AX31" s="26"/>
      <c r="AY31" s="26">
        <v>0.5</v>
      </c>
      <c r="AZ31" s="26"/>
      <c r="BA31" s="26">
        <v>0.5</v>
      </c>
      <c r="BE31" s="26"/>
      <c r="BF31" s="26">
        <v>0.5</v>
      </c>
      <c r="BG31" s="26"/>
      <c r="BH31" s="26">
        <v>0.5</v>
      </c>
      <c r="BL31" s="26"/>
      <c r="BM31" s="26">
        <v>0.5</v>
      </c>
      <c r="BN31" s="26"/>
      <c r="BO31" s="26">
        <v>0.8</v>
      </c>
      <c r="BS31" s="26"/>
      <c r="BT31" s="26">
        <v>0.8</v>
      </c>
      <c r="BU31" s="26"/>
      <c r="BV31" s="26">
        <v>0.8</v>
      </c>
      <c r="BZ31" s="26"/>
      <c r="CA31" s="26">
        <v>0.8</v>
      </c>
      <c r="CB31" s="26"/>
      <c r="CC31" s="26">
        <v>0.8</v>
      </c>
      <c r="CG31" s="26"/>
      <c r="CH31" s="26">
        <v>1</v>
      </c>
      <c r="CI31" s="26"/>
      <c r="CJ31" s="26">
        <v>1</v>
      </c>
      <c r="CN31" s="26"/>
      <c r="CO31" s="26">
        <v>1</v>
      </c>
      <c r="CP31" s="26"/>
      <c r="CQ31" s="26">
        <v>1</v>
      </c>
      <c r="CU31" s="26"/>
      <c r="CV31" s="26">
        <v>1</v>
      </c>
      <c r="CW31" s="26"/>
      <c r="CX31" s="26">
        <v>1</v>
      </c>
      <c r="DB31" s="26"/>
      <c r="DC31" s="26">
        <v>1</v>
      </c>
      <c r="DD31" s="26"/>
      <c r="DE31" s="26">
        <v>1</v>
      </c>
      <c r="DI31" s="26"/>
      <c r="DJ31" s="26">
        <v>1</v>
      </c>
      <c r="DK31" s="26"/>
      <c r="DL31" s="26">
        <v>1</v>
      </c>
      <c r="DP31" s="26"/>
      <c r="DQ31" s="26">
        <v>1</v>
      </c>
      <c r="DR31" s="26"/>
      <c r="DS31" s="26">
        <v>1</v>
      </c>
      <c r="DW31" s="26"/>
      <c r="DX31" s="26">
        <v>1</v>
      </c>
      <c r="DY31" s="26"/>
      <c r="DZ31" s="26">
        <v>1</v>
      </c>
    </row>
    <row r="32" spans="2:130" outlineLevel="1">
      <c r="B32" s="15" t="s">
        <v>28</v>
      </c>
      <c r="C32" s="15" t="s">
        <v>100</v>
      </c>
      <c r="E32" s="29"/>
      <c r="F32" s="16" t="s">
        <v>128</v>
      </c>
      <c r="G32" s="26">
        <v>0</v>
      </c>
      <c r="I32" s="29">
        <f>+SUMIF($N$3:$ZZ$3,I$3,$N32:$ZZ32)</f>
        <v>0</v>
      </c>
      <c r="J32" s="28" cm="1">
        <f t="array" ref="J32">MAX(IF($N$3:$EH$3=$J$3,N32:EH32))</f>
        <v>0</v>
      </c>
      <c r="K32" s="28" cm="1">
        <f t="array" ref="K32">MAX(IF($N$3:$EH$3=$J$3,N32:EH32))</f>
        <v>0</v>
      </c>
      <c r="L32" s="29"/>
      <c r="O32" s="26"/>
      <c r="P32" s="26"/>
      <c r="Q32" s="26"/>
      <c r="R32" s="26"/>
      <c r="V32" s="26"/>
      <c r="W32" s="26"/>
      <c r="X32" s="26"/>
      <c r="Y32" s="26"/>
      <c r="AC32" s="26"/>
      <c r="AD32" s="26"/>
      <c r="AE32" s="26"/>
      <c r="AF32" s="26"/>
      <c r="AJ32" s="26"/>
      <c r="AK32" s="26"/>
      <c r="AL32" s="26"/>
      <c r="AM32" s="26"/>
      <c r="AQ32" s="26"/>
      <c r="AR32" s="26"/>
      <c r="AS32" s="26"/>
      <c r="AT32" s="26"/>
      <c r="AX32" s="26"/>
      <c r="AY32" s="26"/>
      <c r="AZ32" s="26"/>
      <c r="BA32" s="26"/>
      <c r="BE32" s="26"/>
      <c r="BF32" s="26">
        <v>0.5</v>
      </c>
      <c r="BG32" s="26"/>
      <c r="BH32" s="26">
        <v>0.5</v>
      </c>
      <c r="BL32" s="26"/>
      <c r="BM32" s="26">
        <v>0.5</v>
      </c>
      <c r="BN32" s="26"/>
      <c r="BO32" s="26">
        <v>0.5</v>
      </c>
      <c r="BP32" s="15">
        <v>2</v>
      </c>
      <c r="BS32" s="26"/>
      <c r="BT32" s="26">
        <v>0.5</v>
      </c>
      <c r="BU32" s="26"/>
      <c r="BV32" s="26">
        <v>0.5</v>
      </c>
      <c r="BZ32" s="26"/>
      <c r="CA32" s="26">
        <v>0.8</v>
      </c>
      <c r="CB32" s="26"/>
      <c r="CC32" s="26">
        <v>0.8</v>
      </c>
      <c r="CG32" s="26"/>
      <c r="CH32" s="26">
        <v>0.8</v>
      </c>
      <c r="CI32" s="26"/>
      <c r="CJ32" s="26">
        <v>0.8</v>
      </c>
      <c r="CN32" s="26"/>
      <c r="CO32" s="26">
        <v>1</v>
      </c>
      <c r="CP32" s="26"/>
      <c r="CQ32" s="26">
        <v>1</v>
      </c>
      <c r="CU32" s="26"/>
      <c r="CV32" s="26">
        <v>1</v>
      </c>
      <c r="CW32" s="26"/>
      <c r="CX32" s="26">
        <v>1</v>
      </c>
      <c r="DB32" s="26"/>
      <c r="DC32" s="26">
        <v>1</v>
      </c>
      <c r="DD32" s="26"/>
      <c r="DE32" s="26">
        <v>1</v>
      </c>
      <c r="DI32" s="26"/>
      <c r="DJ32" s="26">
        <v>1</v>
      </c>
      <c r="DK32" s="26"/>
      <c r="DL32" s="26">
        <v>1</v>
      </c>
      <c r="DP32" s="26"/>
      <c r="DQ32" s="26">
        <v>1</v>
      </c>
      <c r="DR32" s="26"/>
      <c r="DS32" s="26">
        <v>1</v>
      </c>
      <c r="DW32" s="26"/>
      <c r="DX32" s="26">
        <v>1</v>
      </c>
      <c r="DY32" s="26"/>
      <c r="DZ32" s="26">
        <v>1</v>
      </c>
    </row>
    <row r="34" spans="2:130">
      <c r="B34" s="15" t="s">
        <v>27</v>
      </c>
      <c r="C34" s="15" t="s">
        <v>94</v>
      </c>
      <c r="D34" s="30">
        <v>45127</v>
      </c>
      <c r="E34" s="29">
        <v>6</v>
      </c>
      <c r="G34" s="26">
        <f>+SUM(G35:G41)</f>
        <v>0</v>
      </c>
      <c r="I34" s="27">
        <f>+SUM(I35:I41)</f>
        <v>0</v>
      </c>
      <c r="J34" s="28">
        <f>+SUMPRODUCT(G35:G41,J35:J41)</f>
        <v>0</v>
      </c>
      <c r="K34" s="28">
        <f>+SUMPRODUCT(G35:G41,K35:K41)</f>
        <v>0</v>
      </c>
      <c r="L34" s="29"/>
      <c r="N34" s="27">
        <f>+SUM(N35:N41)</f>
        <v>0</v>
      </c>
      <c r="U34" s="27">
        <f>+SUM(U35:U41)</f>
        <v>0</v>
      </c>
      <c r="AB34" s="27">
        <f>+SUM(AB35:AB41)</f>
        <v>0</v>
      </c>
      <c r="AI34" s="27">
        <f>+SUM(AI35:AI41)</f>
        <v>0</v>
      </c>
      <c r="AP34" s="27">
        <f>+SUM(AP35:AP41)</f>
        <v>0</v>
      </c>
    </row>
    <row r="35" spans="2:130" outlineLevel="1">
      <c r="B35" s="15" t="s">
        <v>28</v>
      </c>
      <c r="C35" s="15" t="s">
        <v>94</v>
      </c>
      <c r="E35" s="29"/>
      <c r="F35" s="15" t="s">
        <v>96</v>
      </c>
      <c r="G35" s="26">
        <v>0</v>
      </c>
      <c r="I35" s="29">
        <f t="shared" ref="I35:I41" si="2">+SUMIF($N$3:$ZZ$3,I$3,$N35:$ZZ35)</f>
        <v>0</v>
      </c>
      <c r="J35" s="28" cm="1">
        <f t="array" ref="J35">MAX(IF($N$3:$EH$3=$J$3,N35:EH35))</f>
        <v>0</v>
      </c>
      <c r="K35" s="28" cm="1">
        <f t="array" ref="K35">MAX(IF($N$3:$EH$3=$J$3,N35:EH35))</f>
        <v>0</v>
      </c>
      <c r="L35" s="29"/>
      <c r="O35" s="26"/>
      <c r="P35" s="26">
        <v>1</v>
      </c>
      <c r="Q35" s="26"/>
      <c r="R35" s="26">
        <v>1</v>
      </c>
      <c r="V35" s="26"/>
      <c r="W35" s="26">
        <v>1</v>
      </c>
      <c r="X35" s="26"/>
      <c r="Y35" s="26">
        <v>1</v>
      </c>
      <c r="AC35" s="26"/>
      <c r="AD35" s="26">
        <v>1</v>
      </c>
      <c r="AE35" s="26"/>
      <c r="AF35" s="26">
        <v>1</v>
      </c>
      <c r="AJ35" s="26"/>
      <c r="AK35" s="26">
        <v>1</v>
      </c>
      <c r="AL35" s="26"/>
      <c r="AM35" s="26">
        <v>1</v>
      </c>
      <c r="AQ35" s="26"/>
      <c r="AR35" s="26">
        <v>1</v>
      </c>
      <c r="AS35" s="26"/>
      <c r="AT35" s="26">
        <v>1</v>
      </c>
      <c r="AX35" s="26"/>
      <c r="AY35" s="26">
        <v>1</v>
      </c>
      <c r="AZ35" s="26"/>
      <c r="BA35" s="26">
        <v>1</v>
      </c>
      <c r="BE35" s="26"/>
      <c r="BF35" s="26">
        <v>1</v>
      </c>
      <c r="BG35" s="26"/>
      <c r="BH35" s="26">
        <v>1</v>
      </c>
      <c r="BL35" s="26"/>
      <c r="BM35" s="26">
        <v>1</v>
      </c>
      <c r="BN35" s="26"/>
      <c r="BO35" s="26">
        <v>1</v>
      </c>
      <c r="BS35" s="26"/>
      <c r="BT35" s="26">
        <v>1</v>
      </c>
      <c r="BU35" s="26"/>
      <c r="BV35" s="26">
        <v>1</v>
      </c>
      <c r="BZ35" s="26"/>
      <c r="CA35" s="26">
        <v>1</v>
      </c>
      <c r="CB35" s="26"/>
      <c r="CC35" s="26">
        <v>1</v>
      </c>
      <c r="CG35" s="26"/>
      <c r="CH35" s="26">
        <v>1</v>
      </c>
      <c r="CI35" s="26"/>
      <c r="CJ35" s="26">
        <v>1</v>
      </c>
      <c r="CN35" s="26"/>
      <c r="CO35" s="26">
        <v>1</v>
      </c>
      <c r="CP35" s="26"/>
      <c r="CQ35" s="26">
        <v>1</v>
      </c>
      <c r="CR35" s="15" t="s">
        <v>143</v>
      </c>
      <c r="CU35" s="26"/>
      <c r="CV35" s="26">
        <v>1</v>
      </c>
      <c r="CW35" s="26"/>
      <c r="CX35" s="26">
        <v>1</v>
      </c>
      <c r="DB35" s="26"/>
      <c r="DC35" s="26">
        <v>1</v>
      </c>
      <c r="DD35" s="26"/>
      <c r="DE35" s="26">
        <v>1</v>
      </c>
      <c r="DI35" s="26"/>
      <c r="DJ35" s="26">
        <v>1</v>
      </c>
      <c r="DK35" s="26"/>
      <c r="DL35" s="26">
        <v>1</v>
      </c>
      <c r="DP35" s="26"/>
      <c r="DQ35" s="26"/>
      <c r="DR35" s="26"/>
      <c r="DS35" s="26"/>
      <c r="DW35" s="26"/>
      <c r="DX35" s="26">
        <v>1</v>
      </c>
      <c r="DY35" s="26"/>
      <c r="DZ35" s="26">
        <v>1</v>
      </c>
    </row>
    <row r="36" spans="2:130" outlineLevel="1">
      <c r="B36" s="15" t="s">
        <v>28</v>
      </c>
      <c r="C36" s="15" t="s">
        <v>94</v>
      </c>
      <c r="E36" s="29"/>
      <c r="F36" s="15" t="s">
        <v>95</v>
      </c>
      <c r="G36" s="26">
        <v>0</v>
      </c>
      <c r="I36" s="29">
        <f t="shared" si="2"/>
        <v>0</v>
      </c>
      <c r="J36" s="28" cm="1">
        <f t="array" ref="J36">MAX(IF($N$3:$EH$3=$J$3,N36:EH36))</f>
        <v>0</v>
      </c>
      <c r="K36" s="28" cm="1">
        <f t="array" ref="K36">MAX(IF($N$3:$EH$3=$J$3,N36:EH36))</f>
        <v>0</v>
      </c>
      <c r="L36" s="29"/>
      <c r="O36" s="26"/>
      <c r="P36" s="26">
        <v>0.8</v>
      </c>
      <c r="Q36" s="26"/>
      <c r="R36" s="26">
        <v>0.8</v>
      </c>
      <c r="V36" s="26"/>
      <c r="W36" s="26">
        <v>0.8</v>
      </c>
      <c r="X36" s="26"/>
      <c r="Y36" s="26">
        <v>0.8</v>
      </c>
      <c r="AC36" s="26"/>
      <c r="AD36" s="26">
        <v>0.8</v>
      </c>
      <c r="AE36" s="26"/>
      <c r="AF36" s="26">
        <v>0.8</v>
      </c>
      <c r="AJ36" s="26"/>
      <c r="AK36" s="26">
        <v>0.8</v>
      </c>
      <c r="AL36" s="26"/>
      <c r="AM36" s="26">
        <v>0.8</v>
      </c>
      <c r="AQ36" s="26"/>
      <c r="AR36" s="26">
        <v>1</v>
      </c>
      <c r="AS36" s="26"/>
      <c r="AT36" s="26">
        <v>1</v>
      </c>
      <c r="AX36" s="26"/>
      <c r="AY36" s="26">
        <v>1</v>
      </c>
      <c r="AZ36" s="26"/>
      <c r="BA36" s="26">
        <v>1</v>
      </c>
      <c r="BE36" s="26"/>
      <c r="BF36" s="26">
        <v>1</v>
      </c>
      <c r="BG36" s="26"/>
      <c r="BH36" s="26">
        <v>1</v>
      </c>
      <c r="BL36" s="26"/>
      <c r="BM36" s="26">
        <v>1</v>
      </c>
      <c r="BN36" s="26"/>
      <c r="BO36" s="26">
        <v>1</v>
      </c>
      <c r="BS36" s="26"/>
      <c r="BT36" s="26">
        <v>1</v>
      </c>
      <c r="BU36" s="26"/>
      <c r="BV36" s="26">
        <v>1</v>
      </c>
      <c r="BZ36" s="26"/>
      <c r="CA36" s="26">
        <v>1</v>
      </c>
      <c r="CB36" s="26"/>
      <c r="CC36" s="26">
        <v>1</v>
      </c>
      <c r="CG36" s="26"/>
      <c r="CH36" s="26">
        <v>1</v>
      </c>
      <c r="CI36" s="26"/>
      <c r="CJ36" s="26">
        <v>1</v>
      </c>
      <c r="CN36" s="26"/>
      <c r="CO36" s="26">
        <v>1</v>
      </c>
      <c r="CP36" s="26"/>
      <c r="CQ36" s="26">
        <v>1</v>
      </c>
      <c r="CU36" s="26"/>
      <c r="CV36" s="26">
        <v>1</v>
      </c>
      <c r="CW36" s="26"/>
      <c r="CX36" s="26">
        <v>1</v>
      </c>
      <c r="DB36" s="26"/>
      <c r="DC36" s="26">
        <v>1</v>
      </c>
      <c r="DD36" s="26"/>
      <c r="DE36" s="26">
        <v>1</v>
      </c>
      <c r="DI36" s="26"/>
      <c r="DJ36" s="26">
        <v>1</v>
      </c>
      <c r="DK36" s="26"/>
      <c r="DL36" s="26">
        <v>1</v>
      </c>
      <c r="DP36" s="26"/>
      <c r="DQ36" s="26"/>
      <c r="DR36" s="26"/>
      <c r="DS36" s="26"/>
      <c r="DW36" s="26"/>
      <c r="DX36" s="26">
        <v>1</v>
      </c>
      <c r="DY36" s="26"/>
      <c r="DZ36" s="26">
        <v>1</v>
      </c>
    </row>
    <row r="37" spans="2:130" outlineLevel="1">
      <c r="B37" s="15" t="s">
        <v>28</v>
      </c>
      <c r="C37" s="15" t="s">
        <v>94</v>
      </c>
      <c r="E37" s="29"/>
      <c r="F37" s="15" t="s">
        <v>117</v>
      </c>
      <c r="G37" s="26">
        <v>0</v>
      </c>
      <c r="I37" s="29">
        <f t="shared" si="2"/>
        <v>0</v>
      </c>
      <c r="J37" s="28" cm="1">
        <f t="array" ref="J37">MAX(IF($N$3:$EH$3=$J$3,N37:EH37))</f>
        <v>0</v>
      </c>
      <c r="K37" s="28" cm="1">
        <f t="array" ref="K37">MAX(IF($N$3:$EH$3=$J$3,N37:EH37))</f>
        <v>0</v>
      </c>
      <c r="L37" s="29"/>
      <c r="O37" s="26"/>
      <c r="P37" s="26"/>
      <c r="Q37" s="26"/>
      <c r="R37" s="26"/>
      <c r="V37" s="26"/>
      <c r="W37" s="26">
        <v>0.5</v>
      </c>
      <c r="X37" s="26"/>
      <c r="Y37" s="26">
        <v>0.5</v>
      </c>
      <c r="AC37" s="26"/>
      <c r="AD37" s="26">
        <v>0.8</v>
      </c>
      <c r="AE37" s="26"/>
      <c r="AF37" s="26">
        <v>0.8</v>
      </c>
      <c r="AJ37" s="26"/>
      <c r="AK37" s="26">
        <v>0.8</v>
      </c>
      <c r="AL37" s="26"/>
      <c r="AM37" s="26">
        <v>0.8</v>
      </c>
      <c r="AQ37" s="26"/>
      <c r="AR37" s="26">
        <v>0.8</v>
      </c>
      <c r="AS37" s="26"/>
      <c r="AT37" s="26">
        <v>0.8</v>
      </c>
      <c r="AU37" s="15">
        <v>1</v>
      </c>
      <c r="AX37" s="26"/>
      <c r="AY37" s="26">
        <v>0.8</v>
      </c>
      <c r="AZ37" s="26"/>
      <c r="BA37" s="26">
        <v>0.8</v>
      </c>
      <c r="BE37" s="26"/>
      <c r="BF37" s="26">
        <v>1</v>
      </c>
      <c r="BG37" s="26"/>
      <c r="BH37" s="26">
        <v>1</v>
      </c>
      <c r="BL37" s="26"/>
      <c r="BM37" s="26">
        <v>1</v>
      </c>
      <c r="BN37" s="26"/>
      <c r="BO37" s="26">
        <v>1</v>
      </c>
      <c r="BS37" s="26"/>
      <c r="BT37" s="26">
        <v>1</v>
      </c>
      <c r="BU37" s="26"/>
      <c r="BV37" s="26">
        <v>1</v>
      </c>
      <c r="BZ37" s="26"/>
      <c r="CA37" s="26">
        <v>1</v>
      </c>
      <c r="CB37" s="26"/>
      <c r="CC37" s="26">
        <v>1</v>
      </c>
      <c r="CG37" s="26"/>
      <c r="CH37" s="26">
        <v>1</v>
      </c>
      <c r="CI37" s="26"/>
      <c r="CJ37" s="26">
        <v>1</v>
      </c>
      <c r="CN37" s="26"/>
      <c r="CO37" s="26">
        <v>1</v>
      </c>
      <c r="CP37" s="26"/>
      <c r="CQ37" s="26">
        <v>1</v>
      </c>
      <c r="CU37" s="26"/>
      <c r="CV37" s="26">
        <v>1</v>
      </c>
      <c r="CW37" s="26"/>
      <c r="CX37" s="26">
        <v>1</v>
      </c>
      <c r="DB37" s="26"/>
      <c r="DC37" s="26">
        <v>1</v>
      </c>
      <c r="DD37" s="26"/>
      <c r="DE37" s="26">
        <v>1</v>
      </c>
      <c r="DI37" s="26"/>
      <c r="DJ37" s="26">
        <v>1</v>
      </c>
      <c r="DK37" s="26"/>
      <c r="DL37" s="26">
        <v>1</v>
      </c>
      <c r="DP37" s="26"/>
      <c r="DQ37" s="26"/>
      <c r="DR37" s="26"/>
      <c r="DS37" s="26"/>
      <c r="DW37" s="26"/>
      <c r="DX37" s="26">
        <v>1</v>
      </c>
      <c r="DY37" s="26"/>
      <c r="DZ37" s="26">
        <v>1</v>
      </c>
    </row>
    <row r="38" spans="2:130" outlineLevel="1">
      <c r="B38" s="15" t="s">
        <v>28</v>
      </c>
      <c r="C38" s="15" t="s">
        <v>94</v>
      </c>
      <c r="E38" s="29"/>
      <c r="F38" s="15" t="s">
        <v>118</v>
      </c>
      <c r="G38" s="26">
        <v>0</v>
      </c>
      <c r="I38" s="29">
        <f t="shared" si="2"/>
        <v>0</v>
      </c>
      <c r="J38" s="28" cm="1">
        <f t="array" ref="J38">MAX(IF($N$3:$EH$3=$J$3,N38:EH38))</f>
        <v>0</v>
      </c>
      <c r="K38" s="28" cm="1">
        <f t="array" ref="K38">MAX(IF($N$3:$EH$3=$J$3,N38:EH38))</f>
        <v>0</v>
      </c>
      <c r="L38" s="29"/>
      <c r="O38" s="26"/>
      <c r="P38" s="26"/>
      <c r="Q38" s="26"/>
      <c r="R38" s="26"/>
      <c r="V38" s="26"/>
      <c r="W38" s="26"/>
      <c r="X38" s="26"/>
      <c r="Y38" s="26"/>
      <c r="AC38" s="26"/>
      <c r="AD38" s="26">
        <v>0.5</v>
      </c>
      <c r="AE38" s="26"/>
      <c r="AF38" s="26">
        <v>0.5</v>
      </c>
      <c r="AG38" s="15">
        <v>1</v>
      </c>
      <c r="AJ38" s="26"/>
      <c r="AK38" s="26">
        <v>0.5</v>
      </c>
      <c r="AL38" s="26"/>
      <c r="AM38" s="26">
        <v>0.5</v>
      </c>
      <c r="AN38" s="15">
        <v>2</v>
      </c>
      <c r="AQ38" s="26"/>
      <c r="AR38" s="26">
        <v>0.8</v>
      </c>
      <c r="AS38" s="26"/>
      <c r="AT38" s="26">
        <v>0.8</v>
      </c>
      <c r="AX38" s="26"/>
      <c r="AY38" s="26">
        <v>0.8</v>
      </c>
      <c r="AZ38" s="26"/>
      <c r="BA38" s="26">
        <v>0.8</v>
      </c>
      <c r="BB38" s="15">
        <v>2</v>
      </c>
      <c r="BE38" s="26"/>
      <c r="BF38" s="26">
        <v>0.8</v>
      </c>
      <c r="BG38" s="26"/>
      <c r="BH38" s="26">
        <v>0.8</v>
      </c>
      <c r="BL38" s="26"/>
      <c r="BM38" s="26">
        <v>0.8</v>
      </c>
      <c r="BN38" s="26"/>
      <c r="BO38" s="26">
        <v>0.8</v>
      </c>
      <c r="BS38" s="26"/>
      <c r="BT38" s="26">
        <v>1</v>
      </c>
      <c r="BU38" s="26"/>
      <c r="BV38" s="26">
        <v>1</v>
      </c>
      <c r="BZ38" s="26"/>
      <c r="CA38" s="26">
        <v>1</v>
      </c>
      <c r="CB38" s="26"/>
      <c r="CC38" s="26">
        <v>1</v>
      </c>
      <c r="CG38" s="26"/>
      <c r="CH38" s="26">
        <v>1</v>
      </c>
      <c r="CI38" s="26"/>
      <c r="CJ38" s="26">
        <v>1</v>
      </c>
      <c r="CN38" s="26"/>
      <c r="CO38" s="26">
        <v>1</v>
      </c>
      <c r="CP38" s="26"/>
      <c r="CQ38" s="26">
        <v>1</v>
      </c>
      <c r="CU38" s="26"/>
      <c r="CV38" s="26">
        <v>1</v>
      </c>
      <c r="CW38" s="26"/>
      <c r="CX38" s="26">
        <v>1</v>
      </c>
      <c r="DB38" s="26"/>
      <c r="DC38" s="26">
        <v>1</v>
      </c>
      <c r="DD38" s="26"/>
      <c r="DE38" s="26">
        <v>1</v>
      </c>
      <c r="DI38" s="26"/>
      <c r="DJ38" s="26">
        <v>1</v>
      </c>
      <c r="DK38" s="26"/>
      <c r="DL38" s="26">
        <v>1</v>
      </c>
      <c r="DP38" s="26"/>
      <c r="DQ38" s="26"/>
      <c r="DR38" s="26"/>
      <c r="DS38" s="26"/>
      <c r="DW38" s="26"/>
      <c r="DX38" s="26">
        <v>1</v>
      </c>
      <c r="DY38" s="26"/>
      <c r="DZ38" s="26">
        <v>1</v>
      </c>
    </row>
    <row r="39" spans="2:130" outlineLevel="1">
      <c r="B39" s="15" t="s">
        <v>28</v>
      </c>
      <c r="C39" s="15" t="s">
        <v>94</v>
      </c>
      <c r="E39" s="29"/>
      <c r="F39" s="15" t="s">
        <v>97</v>
      </c>
      <c r="G39" s="26">
        <v>0</v>
      </c>
      <c r="I39" s="29">
        <f t="shared" si="2"/>
        <v>0</v>
      </c>
      <c r="J39" s="28" cm="1">
        <f t="array" ref="J39">MAX(IF($N$3:$EH$3=$J$3,N39:EH39))</f>
        <v>0</v>
      </c>
      <c r="K39" s="28" cm="1">
        <f t="array" ref="K39">MAX(IF($N$3:$EH$3=$J$3,N39:EH39))</f>
        <v>0</v>
      </c>
      <c r="L39" s="29"/>
      <c r="O39" s="26"/>
      <c r="P39" s="26"/>
      <c r="Q39" s="26"/>
      <c r="R39" s="26"/>
      <c r="V39" s="26"/>
      <c r="W39" s="26"/>
      <c r="X39" s="26"/>
      <c r="Y39" s="26"/>
      <c r="AC39" s="26"/>
      <c r="AD39" s="26"/>
      <c r="AE39" s="26"/>
      <c r="AF39" s="26"/>
      <c r="AJ39" s="26"/>
      <c r="AK39" s="26">
        <v>0.5</v>
      </c>
      <c r="AL39" s="26"/>
      <c r="AM39" s="26">
        <v>0.5</v>
      </c>
      <c r="AQ39" s="26"/>
      <c r="AR39" s="26">
        <v>0.5</v>
      </c>
      <c r="AS39" s="26"/>
      <c r="AT39" s="26">
        <v>0.5</v>
      </c>
      <c r="AX39" s="26"/>
      <c r="AY39" s="26">
        <v>0.5</v>
      </c>
      <c r="AZ39" s="26"/>
      <c r="BA39" s="26">
        <v>0.5</v>
      </c>
      <c r="BE39" s="26"/>
      <c r="BF39" s="26">
        <v>0.8</v>
      </c>
      <c r="BG39" s="26"/>
      <c r="BH39" s="26">
        <v>0.8</v>
      </c>
      <c r="BL39" s="26"/>
      <c r="BM39" s="26">
        <v>0.8</v>
      </c>
      <c r="BN39" s="26"/>
      <c r="BO39" s="26">
        <v>0.8</v>
      </c>
      <c r="BS39" s="26"/>
      <c r="BT39" s="26">
        <v>0.8</v>
      </c>
      <c r="BU39" s="26"/>
      <c r="BV39" s="26">
        <v>0.8</v>
      </c>
      <c r="BZ39" s="26"/>
      <c r="CA39" s="26">
        <v>0.8</v>
      </c>
      <c r="CB39" s="26"/>
      <c r="CC39" s="26">
        <v>0.8</v>
      </c>
      <c r="CD39" s="15">
        <v>2</v>
      </c>
      <c r="CG39" s="26"/>
      <c r="CH39" s="26">
        <v>1</v>
      </c>
      <c r="CI39" s="26"/>
      <c r="CJ39" s="26">
        <v>1</v>
      </c>
      <c r="CN39" s="26"/>
      <c r="CO39" s="26">
        <v>1</v>
      </c>
      <c r="CP39" s="26"/>
      <c r="CQ39" s="26">
        <v>1</v>
      </c>
      <c r="CU39" s="26"/>
      <c r="CV39" s="26">
        <v>1</v>
      </c>
      <c r="CW39" s="26"/>
      <c r="CX39" s="26">
        <v>1</v>
      </c>
      <c r="DB39" s="26"/>
      <c r="DC39" s="26">
        <v>1</v>
      </c>
      <c r="DD39" s="26"/>
      <c r="DE39" s="26">
        <v>1</v>
      </c>
      <c r="DI39" s="26"/>
      <c r="DJ39" s="26">
        <v>1</v>
      </c>
      <c r="DK39" s="26"/>
      <c r="DL39" s="26">
        <v>1</v>
      </c>
      <c r="DP39" s="26"/>
      <c r="DQ39" s="26"/>
      <c r="DR39" s="26"/>
      <c r="DS39" s="26"/>
      <c r="DW39" s="26"/>
      <c r="DX39" s="26">
        <v>1</v>
      </c>
      <c r="DY39" s="26"/>
      <c r="DZ39" s="26">
        <v>1</v>
      </c>
    </row>
    <row r="40" spans="2:130" outlineLevel="1">
      <c r="B40" s="15" t="s">
        <v>28</v>
      </c>
      <c r="C40" s="15" t="s">
        <v>94</v>
      </c>
      <c r="E40" s="29"/>
      <c r="F40" s="15" t="s">
        <v>98</v>
      </c>
      <c r="G40" s="26">
        <v>0</v>
      </c>
      <c r="I40" s="29">
        <f t="shared" si="2"/>
        <v>0</v>
      </c>
      <c r="J40" s="28" cm="1">
        <f t="array" ref="J40">MAX(IF($N$3:$EH$3=$J$3,N40:EH40))</f>
        <v>0</v>
      </c>
      <c r="K40" s="28" cm="1">
        <f t="array" ref="K40">MAX(IF($N$3:$EH$3=$J$3,N40:EH40))</f>
        <v>0</v>
      </c>
      <c r="L40" s="29"/>
      <c r="O40" s="26"/>
      <c r="P40" s="26"/>
      <c r="Q40" s="26"/>
      <c r="R40" s="26"/>
      <c r="V40" s="26"/>
      <c r="W40" s="26"/>
      <c r="X40" s="26"/>
      <c r="Y40" s="26"/>
      <c r="AC40" s="26"/>
      <c r="AD40" s="26"/>
      <c r="AE40" s="26"/>
      <c r="AF40" s="26"/>
      <c r="AJ40" s="26"/>
      <c r="AK40" s="26"/>
      <c r="AL40" s="26"/>
      <c r="AM40" s="26"/>
      <c r="AQ40" s="26"/>
      <c r="AR40" s="26"/>
      <c r="AS40" s="26"/>
      <c r="AT40" s="26"/>
      <c r="AX40" s="26"/>
      <c r="AY40" s="26">
        <v>0.5</v>
      </c>
      <c r="AZ40" s="26"/>
      <c r="BA40" s="26">
        <v>0.5</v>
      </c>
      <c r="BE40" s="26"/>
      <c r="BF40" s="26">
        <v>0.5</v>
      </c>
      <c r="BG40" s="26"/>
      <c r="BH40" s="26">
        <v>0.5</v>
      </c>
      <c r="BI40" s="15">
        <v>1</v>
      </c>
      <c r="BL40" s="26"/>
      <c r="BM40" s="26">
        <v>0.5</v>
      </c>
      <c r="BN40" s="26"/>
      <c r="BO40" s="26">
        <v>0.5</v>
      </c>
      <c r="BS40" s="26"/>
      <c r="BT40" s="26">
        <v>0.8</v>
      </c>
      <c r="BU40" s="26"/>
      <c r="BV40" s="26">
        <v>0.8</v>
      </c>
      <c r="BW40" s="15">
        <v>1</v>
      </c>
      <c r="BZ40" s="26"/>
      <c r="CA40" s="26">
        <v>0.8</v>
      </c>
      <c r="CB40" s="26"/>
      <c r="CC40" s="26">
        <v>0.8</v>
      </c>
      <c r="CG40" s="26"/>
      <c r="CH40" s="26">
        <v>1</v>
      </c>
      <c r="CI40" s="26"/>
      <c r="CJ40" s="26">
        <v>1</v>
      </c>
      <c r="CN40" s="26"/>
      <c r="CO40" s="26">
        <v>1</v>
      </c>
      <c r="CP40" s="26"/>
      <c r="CQ40" s="26">
        <v>1</v>
      </c>
      <c r="CU40" s="26"/>
      <c r="CV40" s="26">
        <v>1</v>
      </c>
      <c r="CW40" s="26"/>
      <c r="CX40" s="26">
        <v>1</v>
      </c>
      <c r="DB40" s="26"/>
      <c r="DC40" s="26">
        <v>1</v>
      </c>
      <c r="DD40" s="26"/>
      <c r="DE40" s="26">
        <v>1</v>
      </c>
      <c r="DI40" s="26"/>
      <c r="DJ40" s="26">
        <v>1</v>
      </c>
      <c r="DK40" s="26"/>
      <c r="DL40" s="26">
        <v>1</v>
      </c>
      <c r="DP40" s="26"/>
      <c r="DQ40" s="26"/>
      <c r="DR40" s="26"/>
      <c r="DS40" s="26"/>
      <c r="DW40" s="26"/>
      <c r="DX40" s="26">
        <v>1</v>
      </c>
      <c r="DY40" s="26"/>
      <c r="DZ40" s="26">
        <v>1</v>
      </c>
    </row>
    <row r="41" spans="2:130" outlineLevel="1">
      <c r="B41" s="15" t="s">
        <v>28</v>
      </c>
      <c r="C41" s="15" t="s">
        <v>94</v>
      </c>
      <c r="E41" s="29"/>
      <c r="F41" s="15" t="s">
        <v>99</v>
      </c>
      <c r="G41" s="26">
        <v>0</v>
      </c>
      <c r="I41" s="29">
        <f t="shared" si="2"/>
        <v>0</v>
      </c>
      <c r="J41" s="28" cm="1">
        <f t="array" ref="J41">MAX(IF($N$3:$EH$3=$J$3,N41:EH41))</f>
        <v>0</v>
      </c>
      <c r="K41" s="28" cm="1">
        <f t="array" ref="K41">MAX(IF($N$3:$EH$3=$J$3,N41:EH41))</f>
        <v>0</v>
      </c>
      <c r="L41" s="29"/>
      <c r="O41" s="26"/>
      <c r="P41" s="26"/>
      <c r="Q41" s="26"/>
      <c r="R41" s="26"/>
      <c r="V41" s="26"/>
      <c r="W41" s="26"/>
      <c r="X41" s="26"/>
      <c r="Y41" s="26"/>
      <c r="AC41" s="26"/>
      <c r="AD41" s="26"/>
      <c r="AE41" s="26"/>
      <c r="AF41" s="26"/>
      <c r="AJ41" s="26"/>
      <c r="AK41" s="26"/>
      <c r="AL41" s="26"/>
      <c r="AM41" s="26"/>
      <c r="AQ41" s="26"/>
      <c r="AR41" s="26"/>
      <c r="AS41" s="26"/>
      <c r="AT41" s="26"/>
      <c r="AX41" s="26"/>
      <c r="AY41" s="26"/>
      <c r="AZ41" s="26"/>
      <c r="BA41" s="26"/>
      <c r="BE41" s="26"/>
      <c r="BF41" s="26"/>
      <c r="BG41" s="26"/>
      <c r="BH41" s="26"/>
      <c r="BL41" s="26"/>
      <c r="BM41" s="26">
        <v>0.5</v>
      </c>
      <c r="BN41" s="26"/>
      <c r="BO41" s="26">
        <v>0.5</v>
      </c>
      <c r="BP41" s="15">
        <v>2</v>
      </c>
      <c r="BS41" s="26"/>
      <c r="BT41" s="26">
        <v>0.5</v>
      </c>
      <c r="BU41" s="26"/>
      <c r="BV41" s="26">
        <v>0.5</v>
      </c>
      <c r="BZ41" s="26"/>
      <c r="CA41" s="26">
        <v>0.8</v>
      </c>
      <c r="CB41" s="26"/>
      <c r="CC41" s="26">
        <v>0.8</v>
      </c>
      <c r="CG41" s="26"/>
      <c r="CH41" s="26">
        <v>0.8</v>
      </c>
      <c r="CI41" s="26"/>
      <c r="CJ41" s="26">
        <v>0.8</v>
      </c>
      <c r="CK41" s="15">
        <v>1</v>
      </c>
      <c r="CN41" s="26"/>
      <c r="CO41" s="26">
        <v>1</v>
      </c>
      <c r="CP41" s="26"/>
      <c r="CQ41" s="26">
        <v>1</v>
      </c>
      <c r="CU41" s="26"/>
      <c r="CV41" s="26">
        <v>1</v>
      </c>
      <c r="CW41" s="26"/>
      <c r="CX41" s="26">
        <v>1</v>
      </c>
      <c r="DB41" s="26"/>
      <c r="DC41" s="26">
        <v>1</v>
      </c>
      <c r="DD41" s="26"/>
      <c r="DE41" s="26">
        <v>1</v>
      </c>
      <c r="DI41" s="26"/>
      <c r="DJ41" s="26">
        <v>1</v>
      </c>
      <c r="DK41" s="26"/>
      <c r="DL41" s="26">
        <v>1</v>
      </c>
      <c r="DP41" s="26"/>
      <c r="DQ41" s="26"/>
      <c r="DR41" s="26"/>
      <c r="DS41" s="26"/>
      <c r="DW41" s="26"/>
      <c r="DX41" s="26"/>
      <c r="DY41" s="26"/>
      <c r="DZ41" s="26"/>
    </row>
    <row r="1048576" spans="128:128">
      <c r="DX1048576" s="26">
        <v>1</v>
      </c>
    </row>
  </sheetData>
  <mergeCells count="17">
    <mergeCell ref="CM2:CR2"/>
    <mergeCell ref="DA2:DF2"/>
    <mergeCell ref="DH2:DM2"/>
    <mergeCell ref="DO2:DT2"/>
    <mergeCell ref="DV2:EA2"/>
    <mergeCell ref="N2:S2"/>
    <mergeCell ref="BD2:BI2"/>
    <mergeCell ref="U2:Z2"/>
    <mergeCell ref="AB2:AG2"/>
    <mergeCell ref="AI2:AN2"/>
    <mergeCell ref="AP2:AU2"/>
    <mergeCell ref="AW2:BB2"/>
    <mergeCell ref="CT2:CY2"/>
    <mergeCell ref="BK2:BP2"/>
    <mergeCell ref="BR2:BW2"/>
    <mergeCell ref="BY2:CD2"/>
    <mergeCell ref="CF2:CK2"/>
  </mergeCells>
  <conditionalFormatting sqref="Q39:Q41 O39:O41 X39:X41 V39:V41 AE40:AE41 AC40:AC41 AJ40:AJ41 AL40:AL41 AS41 AQ41 AX41 AZ41 CP35:CP41 CN35:CN41 Q9:Q14 AQ12:AQ14 AS12:AS14 BE13:BE14 BG13:BG14 V10:V14 X10:X14 AC10:AC14 AE10:AE14 AJ11:AJ14 AL11:AL14 AX12:AX14 AZ12:AZ14 BL14 BN14 O9:O14 BS14 BU14 AJ31:AJ32 AL31:AL32 Q30:Q32 O30:O32 X31:X32 V31:V32 AE31:AE32 AC31:AC32 AS32 AQ32 CP30:CP32 CN30:CN32 AJ23 AL23 Q22:Q23 O22:O23 X22:X23 V22:V23 AE23 AC23 AS23 AQ23">
    <cfRule type="expression" dxfId="296" priority="1019">
      <formula>OR(IF(O9&lt;P9,TRUE),IF(AND(P9="",O9&lt;&gt;""),TRUE))</formula>
    </cfRule>
    <cfRule type="expression" dxfId="295" priority="1020">
      <formula>IF(O9&gt;=P9,IF(O9="",FALSE,TRUE))</formula>
    </cfRule>
  </conditionalFormatting>
  <conditionalFormatting sqref="CN26:CN29">
    <cfRule type="expression" dxfId="294" priority="503">
      <formula>OR(IF(CN26&lt;CO26,TRUE),IF(AND(CO26="",CN26&lt;&gt;""),TRUE))</formula>
    </cfRule>
    <cfRule type="expression" dxfId="293" priority="504">
      <formula>IF(CN26&gt;=CO26,IF(CN26="",FALSE,TRUE))</formula>
    </cfRule>
  </conditionalFormatting>
  <conditionalFormatting sqref="CP26:CP29">
    <cfRule type="expression" dxfId="292" priority="501">
      <formula>OR(IF(CP26&lt;CQ26,TRUE),IF(AND(CQ26="",CP26&lt;&gt;""),TRUE))</formula>
    </cfRule>
    <cfRule type="expression" dxfId="291" priority="502">
      <formula>IF(CP26&gt;=CQ26,IF(CP26="",FALSE,TRUE))</formula>
    </cfRule>
  </conditionalFormatting>
  <conditionalFormatting sqref="J36:K41">
    <cfRule type="colorScale" priority="1278">
      <colorScale>
        <cfvo type="percent" val="0"/>
        <cfvo type="percent" val="100"/>
        <color rgb="FFFF231B"/>
        <color rgb="FF10FF07"/>
      </colorScale>
    </cfRule>
  </conditionalFormatting>
  <conditionalFormatting sqref="J35:J41">
    <cfRule type="colorScale" priority="1279">
      <colorScale>
        <cfvo type="percent" val="0"/>
        <cfvo type="percent" val="100"/>
        <color rgb="FFFF231B"/>
        <color rgb="FF10FF07"/>
      </colorScale>
    </cfRule>
  </conditionalFormatting>
  <conditionalFormatting sqref="K35:K41">
    <cfRule type="colorScale" priority="1280">
      <colorScale>
        <cfvo type="percent" val="0"/>
        <cfvo type="percent" val="100"/>
        <color rgb="FFFF231B"/>
        <color rgb="FF10FF07"/>
      </colorScale>
    </cfRule>
  </conditionalFormatting>
  <conditionalFormatting sqref="J6:K14">
    <cfRule type="colorScale" priority="1313">
      <colorScale>
        <cfvo type="percent" val="0"/>
        <cfvo type="percent" val="100"/>
        <color rgb="FFFF231B"/>
        <color rgb="FF10FF07"/>
      </colorScale>
    </cfRule>
  </conditionalFormatting>
  <conditionalFormatting sqref="J5:J14">
    <cfRule type="colorScale" priority="1314">
      <colorScale>
        <cfvo type="percent" val="0"/>
        <cfvo type="percent" val="100"/>
        <color rgb="FFFF231B"/>
        <color rgb="FF10FF07"/>
      </colorScale>
    </cfRule>
  </conditionalFormatting>
  <conditionalFormatting sqref="K5:K14">
    <cfRule type="colorScale" priority="1315">
      <colorScale>
        <cfvo type="percent" val="0"/>
        <cfvo type="percent" val="100"/>
        <color rgb="FFFF231B"/>
        <color rgb="FF10FF07"/>
      </colorScale>
    </cfRule>
  </conditionalFormatting>
  <conditionalFormatting sqref="J27:K32">
    <cfRule type="colorScale" priority="1348">
      <colorScale>
        <cfvo type="percent" val="0"/>
        <cfvo type="percent" val="100"/>
        <color rgb="FFFF231B"/>
        <color rgb="FF10FF07"/>
      </colorScale>
    </cfRule>
  </conditionalFormatting>
  <conditionalFormatting sqref="J26:J32">
    <cfRule type="colorScale" priority="1349">
      <colorScale>
        <cfvo type="percent" val="0"/>
        <cfvo type="percent" val="100"/>
        <color rgb="FFFF231B"/>
        <color rgb="FF10FF07"/>
      </colorScale>
    </cfRule>
  </conditionalFormatting>
  <conditionalFormatting sqref="K26:K32">
    <cfRule type="colorScale" priority="1350">
      <colorScale>
        <cfvo type="percent" val="0"/>
        <cfvo type="percent" val="100"/>
        <color rgb="FFFF231B"/>
        <color rgb="FF10FF07"/>
      </colorScale>
    </cfRule>
  </conditionalFormatting>
  <conditionalFormatting sqref="J19:K23">
    <cfRule type="colorScale" priority="1454">
      <colorScale>
        <cfvo type="percent" val="0"/>
        <cfvo type="percent" val="100"/>
        <color rgb="FFFF231B"/>
        <color rgb="FF10FF07"/>
      </colorScale>
    </cfRule>
  </conditionalFormatting>
  <conditionalFormatting sqref="J18:J23">
    <cfRule type="colorScale" priority="1455">
      <colorScale>
        <cfvo type="percent" val="0"/>
        <cfvo type="percent" val="100"/>
        <color rgb="FFFF231B"/>
        <color rgb="FF10FF07"/>
      </colorScale>
    </cfRule>
  </conditionalFormatting>
  <conditionalFormatting sqref="K18:K23">
    <cfRule type="colorScale" priority="1456">
      <colorScale>
        <cfvo type="percent" val="0"/>
        <cfvo type="percent" val="100"/>
        <color rgb="FFFF231B"/>
        <color rgb="FF10FF07"/>
      </colorScale>
    </cfRule>
  </conditionalFormatting>
  <conditionalFormatting sqref="CW35:CW41 CU35:CU41 CW30:CW32 CU30:CU32 CW20:CW23 CU20:CU23">
    <cfRule type="expression" dxfId="290" priority="423">
      <formula>OR(IF(CU20&lt;CV20,TRUE),IF(AND(CV20="",CU20&lt;&gt;""),TRUE))</formula>
    </cfRule>
    <cfRule type="expression" dxfId="289" priority="424">
      <formula>IF(CU20&gt;=CV20,IF(CU20="",FALSE,TRUE))</formula>
    </cfRule>
  </conditionalFormatting>
  <conditionalFormatting sqref="CU18:CU19">
    <cfRule type="expression" dxfId="288" priority="421">
      <formula>OR(IF(CU18&lt;CV18,TRUE),IF(AND(CV18="",CU18&lt;&gt;""),TRUE))</formula>
    </cfRule>
    <cfRule type="expression" dxfId="287" priority="422">
      <formula>IF(CU18&gt;=CV18,IF(CU18="",FALSE,TRUE))</formula>
    </cfRule>
  </conditionalFormatting>
  <conditionalFormatting sqref="CW18:CW19">
    <cfRule type="expression" dxfId="286" priority="419">
      <formula>OR(IF(CW18&lt;CX18,TRUE),IF(AND(CX18="",CW18&lt;&gt;""),TRUE))</formula>
    </cfRule>
    <cfRule type="expression" dxfId="285" priority="420">
      <formula>IF(CW18&gt;=CX18,IF(CW18="",FALSE,TRUE))</formula>
    </cfRule>
  </conditionalFormatting>
  <conditionalFormatting sqref="CU26:CU29">
    <cfRule type="expression" dxfId="284" priority="417">
      <formula>OR(IF(CU26&lt;CV26,TRUE),IF(AND(CV26="",CU26&lt;&gt;""),TRUE))</formula>
    </cfRule>
    <cfRule type="expression" dxfId="283" priority="418">
      <formula>IF(CU26&gt;=CV26,IF(CU26="",FALSE,TRUE))</formula>
    </cfRule>
  </conditionalFormatting>
  <conditionalFormatting sqref="CW26:CW29">
    <cfRule type="expression" dxfId="282" priority="415">
      <formula>OR(IF(CW26&lt;CX26,TRUE),IF(AND(CX26="",CW26&lt;&gt;""),TRUE))</formula>
    </cfRule>
    <cfRule type="expression" dxfId="281" priority="416">
      <formula>IF(CW26&gt;=CX26,IF(CW26="",FALSE,TRUE))</formula>
    </cfRule>
  </conditionalFormatting>
  <conditionalFormatting sqref="DD35:DD41 DB35:DB41 DB5:DB14 DD5:DD14 DD30:DD32 DB30:DB32 DD20:DD23 DB20:DB23">
    <cfRule type="expression" dxfId="280" priority="413">
      <formula>OR(IF(DB5&lt;DC5,TRUE),IF(AND(DC5="",DB5&lt;&gt;""),TRUE))</formula>
    </cfRule>
    <cfRule type="expression" dxfId="279" priority="414">
      <formula>IF(DB5&gt;=DC5,IF(DB5="",FALSE,TRUE))</formula>
    </cfRule>
  </conditionalFormatting>
  <conditionalFormatting sqref="DB18:DB19">
    <cfRule type="expression" dxfId="278" priority="411">
      <formula>OR(IF(DB18&lt;DC18,TRUE),IF(AND(DC18="",DB18&lt;&gt;""),TRUE))</formula>
    </cfRule>
    <cfRule type="expression" dxfId="277" priority="412">
      <formula>IF(DB18&gt;=DC18,IF(DB18="",FALSE,TRUE))</formula>
    </cfRule>
  </conditionalFormatting>
  <conditionalFormatting sqref="DD18:DD19">
    <cfRule type="expression" dxfId="276" priority="409">
      <formula>OR(IF(DD18&lt;DE18,TRUE),IF(AND(DE18="",DD18&lt;&gt;""),TRUE))</formula>
    </cfRule>
    <cfRule type="expression" dxfId="275" priority="410">
      <formula>IF(DD18&gt;=DE18,IF(DD18="",FALSE,TRUE))</formula>
    </cfRule>
  </conditionalFormatting>
  <conditionalFormatting sqref="DB26:DB29">
    <cfRule type="expression" dxfId="274" priority="407">
      <formula>OR(IF(DB26&lt;DC26,TRUE),IF(AND(DC26="",DB26&lt;&gt;""),TRUE))</formula>
    </cfRule>
    <cfRule type="expression" dxfId="273" priority="408">
      <formula>IF(DB26&gt;=DC26,IF(DB26="",FALSE,TRUE))</formula>
    </cfRule>
  </conditionalFormatting>
  <conditionalFormatting sqref="DD26:DD29">
    <cfRule type="expression" dxfId="272" priority="405">
      <formula>OR(IF(DD26&lt;DE26,TRUE),IF(AND(DE26="",DD26&lt;&gt;""),TRUE))</formula>
    </cfRule>
    <cfRule type="expression" dxfId="271" priority="406">
      <formula>IF(DD26&gt;=DE26,IF(DD26="",FALSE,TRUE))</formula>
    </cfRule>
  </conditionalFormatting>
  <conditionalFormatting sqref="DK35:DK41 DI35:DI41 DI5:DI14 DK5:DK14 DK30:DK32 DI30:DI32 DK20:DK23 DI20:DI23">
    <cfRule type="expression" dxfId="270" priority="403">
      <formula>OR(IF(DI5&lt;DJ5,TRUE),IF(AND(DJ5="",DI5&lt;&gt;""),TRUE))</formula>
    </cfRule>
    <cfRule type="expression" dxfId="269" priority="404">
      <formula>IF(DI5&gt;=DJ5,IF(DI5="",FALSE,TRUE))</formula>
    </cfRule>
  </conditionalFormatting>
  <conditionalFormatting sqref="DI18:DI19">
    <cfRule type="expression" dxfId="268" priority="401">
      <formula>OR(IF(DI18&lt;DJ18,TRUE),IF(AND(DJ18="",DI18&lt;&gt;""),TRUE))</formula>
    </cfRule>
    <cfRule type="expression" dxfId="267" priority="402">
      <formula>IF(DI18&gt;=DJ18,IF(DI18="",FALSE,TRUE))</formula>
    </cfRule>
  </conditionalFormatting>
  <conditionalFormatting sqref="DK18:DK19">
    <cfRule type="expression" dxfId="266" priority="399">
      <formula>OR(IF(DK18&lt;DL18,TRUE),IF(AND(DL18="",DK18&lt;&gt;""),TRUE))</formula>
    </cfRule>
    <cfRule type="expression" dxfId="265" priority="400">
      <formula>IF(DK18&gt;=DL18,IF(DK18="",FALSE,TRUE))</formula>
    </cfRule>
  </conditionalFormatting>
  <conditionalFormatting sqref="DI26:DI29">
    <cfRule type="expression" dxfId="264" priority="397">
      <formula>OR(IF(DI26&lt;DJ26,TRUE),IF(AND(DJ26="",DI26&lt;&gt;""),TRUE))</formula>
    </cfRule>
    <cfRule type="expression" dxfId="263" priority="398">
      <formula>IF(DI26&gt;=DJ26,IF(DI26="",FALSE,TRUE))</formula>
    </cfRule>
  </conditionalFormatting>
  <conditionalFormatting sqref="DK26:DK29">
    <cfRule type="expression" dxfId="262" priority="395">
      <formula>OR(IF(DK26&lt;DL26,TRUE),IF(AND(DL26="",DK26&lt;&gt;""),TRUE))</formula>
    </cfRule>
    <cfRule type="expression" dxfId="261" priority="396">
      <formula>IF(DK26&gt;=DL26,IF(DK26="",FALSE,TRUE))</formula>
    </cfRule>
  </conditionalFormatting>
  <conditionalFormatting sqref="DR35:DR41 DP35:DP41 DP5:DP14 DR5:DR14 DR30:DR32 DP30:DP32 DR20:DR23 DP20:DP23">
    <cfRule type="expression" dxfId="260" priority="393">
      <formula>OR(IF(DP5&lt;DQ5,TRUE),IF(AND(DQ5="",DP5&lt;&gt;""),TRUE))</formula>
    </cfRule>
    <cfRule type="expression" dxfId="259" priority="394">
      <formula>IF(DP5&gt;=DQ5,IF(DP5="",FALSE,TRUE))</formula>
    </cfRule>
  </conditionalFormatting>
  <conditionalFormatting sqref="DP18:DP19">
    <cfRule type="expression" dxfId="258" priority="391">
      <formula>OR(IF(DP18&lt;DQ18,TRUE),IF(AND(DQ18="",DP18&lt;&gt;""),TRUE))</formula>
    </cfRule>
    <cfRule type="expression" dxfId="257" priority="392">
      <formula>IF(DP18&gt;=DQ18,IF(DP18="",FALSE,TRUE))</formula>
    </cfRule>
  </conditionalFormatting>
  <conditionalFormatting sqref="DR18:DR19">
    <cfRule type="expression" dxfId="256" priority="389">
      <formula>OR(IF(DR18&lt;DS18,TRUE),IF(AND(DS18="",DR18&lt;&gt;""),TRUE))</formula>
    </cfRule>
    <cfRule type="expression" dxfId="255" priority="390">
      <formula>IF(DR18&gt;=DS18,IF(DR18="",FALSE,TRUE))</formula>
    </cfRule>
  </conditionalFormatting>
  <conditionalFormatting sqref="DP26:DP29">
    <cfRule type="expression" dxfId="254" priority="387">
      <formula>OR(IF(DP26&lt;DQ26,TRUE),IF(AND(DQ26="",DP26&lt;&gt;""),TRUE))</formula>
    </cfRule>
    <cfRule type="expression" dxfId="253" priority="388">
      <formula>IF(DP26&gt;=DQ26,IF(DP26="",FALSE,TRUE))</formula>
    </cfRule>
  </conditionalFormatting>
  <conditionalFormatting sqref="DR26:DR29">
    <cfRule type="expression" dxfId="252" priority="385">
      <formula>OR(IF(DR26&lt;DS26,TRUE),IF(AND(DS26="",DR26&lt;&gt;""),TRUE))</formula>
    </cfRule>
    <cfRule type="expression" dxfId="251" priority="386">
      <formula>IF(DR26&gt;=DS26,IF(DR26="",FALSE,TRUE))</formula>
    </cfRule>
  </conditionalFormatting>
  <conditionalFormatting sqref="DY35:DY41 DW35:DW41 DW5:DW14 DY5:DY14 DY30:DY32 DW30:DW32 DY20:DY23 DW20:DW23">
    <cfRule type="expression" dxfId="250" priority="383">
      <formula>OR(IF(DW5&lt;DX5,TRUE),IF(AND(DX5="",DW5&lt;&gt;""),TRUE))</formula>
    </cfRule>
    <cfRule type="expression" dxfId="249" priority="384">
      <formula>IF(DW5&gt;=DX5,IF(DW5="",FALSE,TRUE))</formula>
    </cfRule>
  </conditionalFormatting>
  <conditionalFormatting sqref="DW18:DW19">
    <cfRule type="expression" dxfId="248" priority="381">
      <formula>OR(IF(DW18&lt;DX18,TRUE),IF(AND(DX18="",DW18&lt;&gt;""),TRUE))</formula>
    </cfRule>
    <cfRule type="expression" dxfId="247" priority="382">
      <formula>IF(DW18&gt;=DX18,IF(DW18="",FALSE,TRUE))</formula>
    </cfRule>
  </conditionalFormatting>
  <conditionalFormatting sqref="DY18:DY19">
    <cfRule type="expression" dxfId="246" priority="379">
      <formula>OR(IF(DY18&lt;DZ18,TRUE),IF(AND(DZ18="",DY18&lt;&gt;""),TRUE))</formula>
    </cfRule>
    <cfRule type="expression" dxfId="245" priority="380">
      <formula>IF(DY18&gt;=DZ18,IF(DY18="",FALSE,TRUE))</formula>
    </cfRule>
  </conditionalFormatting>
  <conditionalFormatting sqref="DW26:DW29">
    <cfRule type="expression" dxfId="244" priority="377">
      <formula>OR(IF(DW26&lt;DX26,TRUE),IF(AND(DX26="",DW26&lt;&gt;""),TRUE))</formula>
    </cfRule>
    <cfRule type="expression" dxfId="243" priority="378">
      <formula>IF(DW26&gt;=DX26,IF(DW26="",FALSE,TRUE))</formula>
    </cfRule>
  </conditionalFormatting>
  <conditionalFormatting sqref="DY26:DY29">
    <cfRule type="expression" dxfId="242" priority="375">
      <formula>OR(IF(DY26&lt;DZ26,TRUE),IF(AND(DZ26="",DY26&lt;&gt;""),TRUE))</formula>
    </cfRule>
    <cfRule type="expression" dxfId="241" priority="376">
      <formula>IF(DY26&gt;=DZ26,IF(DY26="",FALSE,TRUE))</formula>
    </cfRule>
  </conditionalFormatting>
  <conditionalFormatting sqref="CU5:CU14 CW5:CW14">
    <cfRule type="expression" dxfId="240" priority="373">
      <formula>OR(IF(CU5&lt;CV5,TRUE),IF(AND(CV5="",CU5&lt;&gt;""),TRUE))</formula>
    </cfRule>
    <cfRule type="expression" dxfId="239" priority="374">
      <formula>IF(CU5&gt;=CV5,IF(CU5="",FALSE,TRUE))</formula>
    </cfRule>
  </conditionalFormatting>
  <conditionalFormatting sqref="AC5:AC9 AE5:AE9">
    <cfRule type="expression" dxfId="238" priority="297">
      <formula>OR(IF(AC5&lt;AD5,TRUE),IF(AND(AD5="",AC5&lt;&gt;""),TRUE))</formula>
    </cfRule>
    <cfRule type="expression" dxfId="237" priority="298">
      <formula>IF(AC5&gt;=AD5,IF(AC5="",FALSE,TRUE))</formula>
    </cfRule>
  </conditionalFormatting>
  <conditionalFormatting sqref="V9 X9">
    <cfRule type="expression" dxfId="236" priority="295">
      <formula>OR(IF(V9&lt;W9,TRUE),IF(AND(W9="",V9&lt;&gt;""),TRUE))</formula>
    </cfRule>
    <cfRule type="expression" dxfId="235" priority="296">
      <formula>IF(V9&gt;=W9,IF(V9="",FALSE,TRUE))</formula>
    </cfRule>
  </conditionalFormatting>
  <conditionalFormatting sqref="O8 Q8">
    <cfRule type="expression" dxfId="234" priority="293">
      <formula>OR(IF(O8&lt;P8,TRUE),IF(AND(P8="",O8&lt;&gt;""),TRUE))</formula>
    </cfRule>
    <cfRule type="expression" dxfId="233" priority="294">
      <formula>IF(O8&gt;=P8,IF(O8="",FALSE,TRUE))</formula>
    </cfRule>
  </conditionalFormatting>
  <conditionalFormatting sqref="CN5:CN14 CP5:CP14">
    <cfRule type="expression" dxfId="232" priority="291">
      <formula>OR(IF(CN5&lt;CO5,TRUE),IF(AND(CO5="",CN5&lt;&gt;""),TRUE))</formula>
    </cfRule>
    <cfRule type="expression" dxfId="231" priority="292">
      <formula>IF(CN5&gt;=CO5,IF(CN5="",FALSE,TRUE))</formula>
    </cfRule>
  </conditionalFormatting>
  <conditionalFormatting sqref="CG5:CG14 CI5:CI14">
    <cfRule type="expression" dxfId="230" priority="289">
      <formula>OR(IF(CG5&lt;CH5,TRUE),IF(AND(CH5="",CG5&lt;&gt;""),TRUE))</formula>
    </cfRule>
    <cfRule type="expression" dxfId="229" priority="290">
      <formula>IF(CG5&gt;=CH5,IF(CG5="",FALSE,TRUE))</formula>
    </cfRule>
  </conditionalFormatting>
  <conditionalFormatting sqref="BZ5:BZ14 CB5:CB14">
    <cfRule type="expression" dxfId="228" priority="287">
      <formula>OR(IF(BZ5&lt;CA5,TRUE),IF(AND(CA5="",BZ5&lt;&gt;""),TRUE))</formula>
    </cfRule>
    <cfRule type="expression" dxfId="227" priority="288">
      <formula>IF(BZ5&gt;=CA5,IF(BZ5="",FALSE,TRUE))</formula>
    </cfRule>
  </conditionalFormatting>
  <conditionalFormatting sqref="BS5:BS13 BU5:BU13">
    <cfRule type="expression" dxfId="226" priority="283">
      <formula>OR(IF(BS5&lt;BT5,TRUE),IF(AND(BT5="",BS5&lt;&gt;""),TRUE))</formula>
    </cfRule>
    <cfRule type="expression" dxfId="225" priority="284">
      <formula>IF(BS5&gt;=BT5,IF(BS5="",FALSE,TRUE))</formula>
    </cfRule>
  </conditionalFormatting>
  <conditionalFormatting sqref="BL5:BL13 BN5:BN13">
    <cfRule type="expression" dxfId="224" priority="281">
      <formula>OR(IF(BL5&lt;BM5,TRUE),IF(AND(BM5="",BL5&lt;&gt;""),TRUE))</formula>
    </cfRule>
    <cfRule type="expression" dxfId="223" priority="282">
      <formula>IF(BL5&gt;=BM5,IF(BL5="",FALSE,TRUE))</formula>
    </cfRule>
  </conditionalFormatting>
  <conditionalFormatting sqref="BE5:BE12 BG5:BG12">
    <cfRule type="expression" dxfId="222" priority="279">
      <formula>OR(IF(BE5&lt;BF5,TRUE),IF(AND(BF5="",BE5&lt;&gt;""),TRUE))</formula>
    </cfRule>
    <cfRule type="expression" dxfId="221" priority="280">
      <formula>IF(BE5&gt;=BF5,IF(BE5="",FALSE,TRUE))</formula>
    </cfRule>
  </conditionalFormatting>
  <conditionalFormatting sqref="AX5:AX11 AZ5:AZ11">
    <cfRule type="expression" dxfId="220" priority="277">
      <formula>OR(IF(AX5&lt;AY5,TRUE),IF(AND(AY5="",AX5&lt;&gt;""),TRUE))</formula>
    </cfRule>
    <cfRule type="expression" dxfId="219" priority="278">
      <formula>IF(AX5&gt;=AY5,IF(AX5="",FALSE,TRUE))</formula>
    </cfRule>
  </conditionalFormatting>
  <conditionalFormatting sqref="AQ5:AQ11 AS5:AS11">
    <cfRule type="expression" dxfId="218" priority="275">
      <formula>OR(IF(AQ5&lt;AR5,TRUE),IF(AND(AR5="",AQ5&lt;&gt;""),TRUE))</formula>
    </cfRule>
    <cfRule type="expression" dxfId="217" priority="276">
      <formula>IF(AQ5&gt;=AR5,IF(AQ5="",FALSE,TRUE))</formula>
    </cfRule>
  </conditionalFormatting>
  <conditionalFormatting sqref="AJ5:AJ10 AL5:AL10">
    <cfRule type="expression" dxfId="216" priority="273">
      <formula>OR(IF(AJ5&lt;AK5,TRUE),IF(AND(AK5="",AJ5&lt;&gt;""),TRUE))</formula>
    </cfRule>
    <cfRule type="expression" dxfId="215" priority="274">
      <formula>IF(AJ5&gt;=AK5,IF(AJ5="",FALSE,TRUE))</formula>
    </cfRule>
  </conditionalFormatting>
  <conditionalFormatting sqref="V5:V8 X5:X8">
    <cfRule type="expression" dxfId="214" priority="271">
      <formula>OR(IF(V5&lt;W5,TRUE),IF(AND(W5="",V5&lt;&gt;""),TRUE))</formula>
    </cfRule>
    <cfRule type="expression" dxfId="213" priority="272">
      <formula>IF(V5&gt;=W5,IF(V5="",FALSE,TRUE))</formula>
    </cfRule>
  </conditionalFormatting>
  <conditionalFormatting sqref="O5:O7 Q5:Q7">
    <cfRule type="expression" dxfId="212" priority="269">
      <formula>OR(IF(O5&lt;P5,TRUE),IF(AND(P5="",O5&lt;&gt;""),TRUE))</formula>
    </cfRule>
    <cfRule type="expression" dxfId="211" priority="270">
      <formula>IF(O5&gt;=P5,IF(O5="",FALSE,TRUE))</formula>
    </cfRule>
  </conditionalFormatting>
  <conditionalFormatting sqref="BG23 BE23">
    <cfRule type="expression" dxfId="210" priority="237">
      <formula>OR(IF(BE23&lt;BF23,TRUE),IF(AND(BF23="",BE23&lt;&gt;""),TRUE))</formula>
    </cfRule>
    <cfRule type="expression" dxfId="209" priority="238">
      <formula>IF(BE23&gt;=BF23,IF(BE23="",FALSE,TRUE))</formula>
    </cfRule>
  </conditionalFormatting>
  <conditionalFormatting sqref="AZ23 AX23">
    <cfRule type="expression" dxfId="208" priority="231">
      <formula>OR(IF(AX23&lt;AY23,TRUE),IF(AND(AY23="",AX23&lt;&gt;""),TRUE))</formula>
    </cfRule>
    <cfRule type="expression" dxfId="207" priority="232">
      <formula>IF(AX23&gt;=AY23,IF(AX23="",FALSE,TRUE))</formula>
    </cfRule>
  </conditionalFormatting>
  <conditionalFormatting sqref="AS22 AQ22">
    <cfRule type="expression" dxfId="206" priority="225">
      <formula>OR(IF(AQ22&lt;AR22,TRUE),IF(AND(AR22="",AQ22&lt;&gt;""),TRUE))</formula>
    </cfRule>
    <cfRule type="expression" dxfId="205" priority="226">
      <formula>IF(AQ22&gt;=AR22,IF(AQ22="",FALSE,TRUE))</formula>
    </cfRule>
  </conditionalFormatting>
  <conditionalFormatting sqref="AL22 AJ22">
    <cfRule type="expression" dxfId="204" priority="219">
      <formula>OR(IF(AJ22&lt;AK22,TRUE),IF(AND(AK22="",AJ22&lt;&gt;""),TRUE))</formula>
    </cfRule>
    <cfRule type="expression" dxfId="203" priority="220">
      <formula>IF(AJ22&gt;=AK22,IF(AJ22="",FALSE,TRUE))</formula>
    </cfRule>
  </conditionalFormatting>
  <conditionalFormatting sqref="AE22 AC22">
    <cfRule type="expression" dxfId="202" priority="213">
      <formula>OR(IF(AC22&lt;AD22,TRUE),IF(AND(AD22="",AC22&lt;&gt;""),TRUE))</formula>
    </cfRule>
    <cfRule type="expression" dxfId="201" priority="214">
      <formula>IF(AC22&gt;=AD22,IF(AC22="",FALSE,TRUE))</formula>
    </cfRule>
  </conditionalFormatting>
  <conditionalFormatting sqref="X20:X21 V20:V21">
    <cfRule type="expression" dxfId="200" priority="207">
      <formula>OR(IF(V20&lt;W20,TRUE),IF(AND(W20="",V20&lt;&gt;""),TRUE))</formula>
    </cfRule>
    <cfRule type="expression" dxfId="199" priority="208">
      <formula>IF(V20&gt;=W20,IF(V20="",FALSE,TRUE))</formula>
    </cfRule>
  </conditionalFormatting>
  <conditionalFormatting sqref="Q20:Q21 O20:O21">
    <cfRule type="expression" dxfId="198" priority="201">
      <formula>OR(IF(O20&lt;P20,TRUE),IF(AND(P20="",O20&lt;&gt;""),TRUE))</formula>
    </cfRule>
    <cfRule type="expression" dxfId="197" priority="202">
      <formula>IF(O20&gt;=P20,IF(O20="",FALSE,TRUE))</formula>
    </cfRule>
  </conditionalFormatting>
  <conditionalFormatting sqref="CI30:CI32 CG30:CG32">
    <cfRule type="expression" dxfId="196" priority="195">
      <formula>OR(IF(CG30&lt;CH30,TRUE),IF(AND(CH30="",CG30&lt;&gt;""),TRUE))</formula>
    </cfRule>
    <cfRule type="expression" dxfId="195" priority="196">
      <formula>IF(CG30&gt;=CH30,IF(CG30="",FALSE,TRUE))</formula>
    </cfRule>
  </conditionalFormatting>
  <conditionalFormatting sqref="CG26:CG29">
    <cfRule type="expression" dxfId="194" priority="193">
      <formula>OR(IF(CG26&lt;CH26,TRUE),IF(AND(CH26="",CG26&lt;&gt;""),TRUE))</formula>
    </cfRule>
    <cfRule type="expression" dxfId="193" priority="194">
      <formula>IF(CG26&gt;=CH26,IF(CG26="",FALSE,TRUE))</formula>
    </cfRule>
  </conditionalFormatting>
  <conditionalFormatting sqref="CI26:CI29">
    <cfRule type="expression" dxfId="192" priority="191">
      <formula>OR(IF(CI26&lt;CJ26,TRUE),IF(AND(CJ26="",CI26&lt;&gt;""),TRUE))</formula>
    </cfRule>
    <cfRule type="expression" dxfId="191" priority="192">
      <formula>IF(CI26&gt;=CJ26,IF(CI26="",FALSE,TRUE))</formula>
    </cfRule>
  </conditionalFormatting>
  <conditionalFormatting sqref="CB30:CB32 BZ30:BZ32">
    <cfRule type="expression" dxfId="190" priority="189">
      <formula>OR(IF(BZ30&lt;CA30,TRUE),IF(AND(CA30="",BZ30&lt;&gt;""),TRUE))</formula>
    </cfRule>
    <cfRule type="expression" dxfId="189" priority="190">
      <formula>IF(BZ30&gt;=CA30,IF(BZ30="",FALSE,TRUE))</formula>
    </cfRule>
  </conditionalFormatting>
  <conditionalFormatting sqref="BZ26:BZ29">
    <cfRule type="expression" dxfId="188" priority="187">
      <formula>OR(IF(BZ26&lt;CA26,TRUE),IF(AND(CA26="",BZ26&lt;&gt;""),TRUE))</formula>
    </cfRule>
    <cfRule type="expression" dxfId="187" priority="188">
      <formula>IF(BZ26&gt;=CA26,IF(BZ26="",FALSE,TRUE))</formula>
    </cfRule>
  </conditionalFormatting>
  <conditionalFormatting sqref="CB26:CB29">
    <cfRule type="expression" dxfId="186" priority="185">
      <formula>OR(IF(CB26&lt;CC26,TRUE),IF(AND(CC26="",CB26&lt;&gt;""),TRUE))</formula>
    </cfRule>
    <cfRule type="expression" dxfId="185" priority="186">
      <formula>IF(CB26&gt;=CC26,IF(CB26="",FALSE,TRUE))</formula>
    </cfRule>
  </conditionalFormatting>
  <conditionalFormatting sqref="BU30:BU32 BS30:BS32">
    <cfRule type="expression" dxfId="184" priority="183">
      <formula>OR(IF(BS30&lt;BT30,TRUE),IF(AND(BT30="",BS30&lt;&gt;""),TRUE))</formula>
    </cfRule>
    <cfRule type="expression" dxfId="183" priority="184">
      <formula>IF(BS30&gt;=BT30,IF(BS30="",FALSE,TRUE))</formula>
    </cfRule>
  </conditionalFormatting>
  <conditionalFormatting sqref="BS26:BS29">
    <cfRule type="expression" dxfId="182" priority="181">
      <formula>OR(IF(BS26&lt;BT26,TRUE),IF(AND(BT26="",BS26&lt;&gt;""),TRUE))</formula>
    </cfRule>
    <cfRule type="expression" dxfId="181" priority="182">
      <formula>IF(BS26&gt;=BT26,IF(BS26="",FALSE,TRUE))</formula>
    </cfRule>
  </conditionalFormatting>
  <conditionalFormatting sqref="BU26:BU29">
    <cfRule type="expression" dxfId="180" priority="179">
      <formula>OR(IF(BU26&lt;BV26,TRUE),IF(AND(BV26="",BU26&lt;&gt;""),TRUE))</formula>
    </cfRule>
    <cfRule type="expression" dxfId="179" priority="180">
      <formula>IF(BU26&gt;=BV26,IF(BU26="",FALSE,TRUE))</formula>
    </cfRule>
  </conditionalFormatting>
  <conditionalFormatting sqref="BN30:BN32 BL30:BL32">
    <cfRule type="expression" dxfId="178" priority="177">
      <formula>OR(IF(BL30&lt;BM30,TRUE),IF(AND(BM30="",BL30&lt;&gt;""),TRUE))</formula>
    </cfRule>
    <cfRule type="expression" dxfId="177" priority="178">
      <formula>IF(BL30&gt;=BM30,IF(BL30="",FALSE,TRUE))</formula>
    </cfRule>
  </conditionalFormatting>
  <conditionalFormatting sqref="BL26:BL29">
    <cfRule type="expression" dxfId="176" priority="175">
      <formula>OR(IF(BL26&lt;BM26,TRUE),IF(AND(BM26="",BL26&lt;&gt;""),TRUE))</formula>
    </cfRule>
    <cfRule type="expression" dxfId="175" priority="176">
      <formula>IF(BL26&gt;=BM26,IF(BL26="",FALSE,TRUE))</formula>
    </cfRule>
  </conditionalFormatting>
  <conditionalFormatting sqref="BN26:BN29">
    <cfRule type="expression" dxfId="174" priority="173">
      <formula>OR(IF(BN26&lt;BO26,TRUE),IF(AND(BO26="",BN26&lt;&gt;""),TRUE))</formula>
    </cfRule>
    <cfRule type="expression" dxfId="173" priority="174">
      <formula>IF(BN26&gt;=BO26,IF(BN26="",FALSE,TRUE))</formula>
    </cfRule>
  </conditionalFormatting>
  <conditionalFormatting sqref="BG30:BG32 BE30:BE32">
    <cfRule type="expression" dxfId="172" priority="171">
      <formula>OR(IF(BE30&lt;BF30,TRUE),IF(AND(BF30="",BE30&lt;&gt;""),TRUE))</formula>
    </cfRule>
    <cfRule type="expression" dxfId="171" priority="172">
      <formula>IF(BE30&gt;=BF30,IF(BE30="",FALSE,TRUE))</formula>
    </cfRule>
  </conditionalFormatting>
  <conditionalFormatting sqref="BE26:BE29">
    <cfRule type="expression" dxfId="170" priority="169">
      <formula>OR(IF(BE26&lt;BF26,TRUE),IF(AND(BF26="",BE26&lt;&gt;""),TRUE))</formula>
    </cfRule>
    <cfRule type="expression" dxfId="169" priority="170">
      <formula>IF(BE26&gt;=BF26,IF(BE26="",FALSE,TRUE))</formula>
    </cfRule>
  </conditionalFormatting>
  <conditionalFormatting sqref="BG26:BG29">
    <cfRule type="expression" dxfId="168" priority="167">
      <formula>OR(IF(BG26&lt;BH26,TRUE),IF(AND(BH26="",BG26&lt;&gt;""),TRUE))</formula>
    </cfRule>
    <cfRule type="expression" dxfId="167" priority="168">
      <formula>IF(BG26&gt;=BH26,IF(BG26="",FALSE,TRUE))</formula>
    </cfRule>
  </conditionalFormatting>
  <conditionalFormatting sqref="AZ30:AZ32 AX30:AX32">
    <cfRule type="expression" dxfId="166" priority="165">
      <formula>OR(IF(AX30&lt;AY30,TRUE),IF(AND(AY30="",AX30&lt;&gt;""),TRUE))</formula>
    </cfRule>
    <cfRule type="expression" dxfId="165" priority="166">
      <formula>IF(AX30&gt;=AY30,IF(AX30="",FALSE,TRUE))</formula>
    </cfRule>
  </conditionalFormatting>
  <conditionalFormatting sqref="AX26:AX29">
    <cfRule type="expression" dxfId="164" priority="163">
      <formula>OR(IF(AX26&lt;AY26,TRUE),IF(AND(AY26="",AX26&lt;&gt;""),TRUE))</formula>
    </cfRule>
    <cfRule type="expression" dxfId="163" priority="164">
      <formula>IF(AX26&gt;=AY26,IF(AX26="",FALSE,TRUE))</formula>
    </cfRule>
  </conditionalFormatting>
  <conditionalFormatting sqref="AZ26:AZ29">
    <cfRule type="expression" dxfId="162" priority="161">
      <formula>OR(IF(AZ26&lt;BA26,TRUE),IF(AND(BA26="",AZ26&lt;&gt;""),TRUE))</formula>
    </cfRule>
    <cfRule type="expression" dxfId="161" priority="162">
      <formula>IF(AZ26&gt;=BA26,IF(AZ26="",FALSE,TRUE))</formula>
    </cfRule>
  </conditionalFormatting>
  <conditionalFormatting sqref="AS30:AS31 AQ30:AQ31">
    <cfRule type="expression" dxfId="160" priority="159">
      <formula>OR(IF(AQ30&lt;AR30,TRUE),IF(AND(AR30="",AQ30&lt;&gt;""),TRUE))</formula>
    </cfRule>
    <cfRule type="expression" dxfId="159" priority="160">
      <formula>IF(AQ30&gt;=AR30,IF(AQ30="",FALSE,TRUE))</formula>
    </cfRule>
  </conditionalFormatting>
  <conditionalFormatting sqref="AQ26:AQ29">
    <cfRule type="expression" dxfId="158" priority="157">
      <formula>OR(IF(AQ26&lt;AR26,TRUE),IF(AND(AR26="",AQ26&lt;&gt;""),TRUE))</formula>
    </cfRule>
    <cfRule type="expression" dxfId="157" priority="158">
      <formula>IF(AQ26&gt;=AR26,IF(AQ26="",FALSE,TRUE))</formula>
    </cfRule>
  </conditionalFormatting>
  <conditionalFormatting sqref="AS26:AS29">
    <cfRule type="expression" dxfId="156" priority="155">
      <formula>OR(IF(AS26&lt;AT26,TRUE),IF(AND(AT26="",AS26&lt;&gt;""),TRUE))</formula>
    </cfRule>
    <cfRule type="expression" dxfId="155" priority="156">
      <formula>IF(AS26&gt;=AT26,IF(AS26="",FALSE,TRUE))</formula>
    </cfRule>
  </conditionalFormatting>
  <conditionalFormatting sqref="AL30 AJ30">
    <cfRule type="expression" dxfId="154" priority="153">
      <formula>OR(IF(AJ30&lt;AK30,TRUE),IF(AND(AK30="",AJ30&lt;&gt;""),TRUE))</formula>
    </cfRule>
    <cfRule type="expression" dxfId="153" priority="154">
      <formula>IF(AJ30&gt;=AK30,IF(AJ30="",FALSE,TRUE))</formula>
    </cfRule>
  </conditionalFormatting>
  <conditionalFormatting sqref="AJ26:AJ29">
    <cfRule type="expression" dxfId="152" priority="151">
      <formula>OR(IF(AJ26&lt;AK26,TRUE),IF(AND(AK26="",AJ26&lt;&gt;""),TRUE))</formula>
    </cfRule>
    <cfRule type="expression" dxfId="151" priority="152">
      <formula>IF(AJ26&gt;=AK26,IF(AJ26="",FALSE,TRUE))</formula>
    </cfRule>
  </conditionalFormatting>
  <conditionalFormatting sqref="AL26:AL29">
    <cfRule type="expression" dxfId="150" priority="149">
      <formula>OR(IF(AL26&lt;AM26,TRUE),IF(AND(AM26="",AL26&lt;&gt;""),TRUE))</formula>
    </cfRule>
    <cfRule type="expression" dxfId="149" priority="150">
      <formula>IF(AL26&gt;=AM26,IF(AL26="",FALSE,TRUE))</formula>
    </cfRule>
  </conditionalFormatting>
  <conditionalFormatting sqref="AE30 AC30">
    <cfRule type="expression" dxfId="148" priority="147">
      <formula>OR(IF(AC30&lt;AD30,TRUE),IF(AND(AD30="",AC30&lt;&gt;""),TRUE))</formula>
    </cfRule>
    <cfRule type="expression" dxfId="147" priority="148">
      <formula>IF(AC30&gt;=AD30,IF(AC30="",FALSE,TRUE))</formula>
    </cfRule>
  </conditionalFormatting>
  <conditionalFormatting sqref="AC26:AC29">
    <cfRule type="expression" dxfId="146" priority="145">
      <formula>OR(IF(AC26&lt;AD26,TRUE),IF(AND(AD26="",AC26&lt;&gt;""),TRUE))</formula>
    </cfRule>
    <cfRule type="expression" dxfId="145" priority="146">
      <formula>IF(AC26&gt;=AD26,IF(AC26="",FALSE,TRUE))</formula>
    </cfRule>
  </conditionalFormatting>
  <conditionalFormatting sqref="AE26:AE29">
    <cfRule type="expression" dxfId="144" priority="143">
      <formula>OR(IF(AE26&lt;AF26,TRUE),IF(AND(AF26="",AE26&lt;&gt;""),TRUE))</formula>
    </cfRule>
    <cfRule type="expression" dxfId="143" priority="144">
      <formula>IF(AE26&gt;=AF26,IF(AE26="",FALSE,TRUE))</formula>
    </cfRule>
  </conditionalFormatting>
  <conditionalFormatting sqref="X30 V30">
    <cfRule type="expression" dxfId="142" priority="141">
      <formula>OR(IF(V30&lt;W30,TRUE),IF(AND(W30="",V30&lt;&gt;""),TRUE))</formula>
    </cfRule>
    <cfRule type="expression" dxfId="141" priority="142">
      <formula>IF(V30&gt;=W30,IF(V30="",FALSE,TRUE))</formula>
    </cfRule>
  </conditionalFormatting>
  <conditionalFormatting sqref="V26:V29">
    <cfRule type="expression" dxfId="140" priority="139">
      <formula>OR(IF(V26&lt;W26,TRUE),IF(AND(W26="",V26&lt;&gt;""),TRUE))</formula>
    </cfRule>
    <cfRule type="expression" dxfId="139" priority="140">
      <formula>IF(V26&gt;=W26,IF(V26="",FALSE,TRUE))</formula>
    </cfRule>
  </conditionalFormatting>
  <conditionalFormatting sqref="X26:X29">
    <cfRule type="expression" dxfId="138" priority="137">
      <formula>OR(IF(X26&lt;Y26,TRUE),IF(AND(Y26="",X26&lt;&gt;""),TRUE))</formula>
    </cfRule>
    <cfRule type="expression" dxfId="137" priority="138">
      <formula>IF(X26&gt;=Y26,IF(X26="",FALSE,TRUE))</formula>
    </cfRule>
  </conditionalFormatting>
  <conditionalFormatting sqref="O26:O29">
    <cfRule type="expression" dxfId="136" priority="135">
      <formula>OR(IF(O26&lt;P26,TRUE),IF(AND(P26="",O26&lt;&gt;""),TRUE))</formula>
    </cfRule>
    <cfRule type="expression" dxfId="135" priority="136">
      <formula>IF(O26&gt;=P26,IF(O26="",FALSE,TRUE))</formula>
    </cfRule>
  </conditionalFormatting>
  <conditionalFormatting sqref="Q26:Q29">
    <cfRule type="expression" dxfId="134" priority="133">
      <formula>OR(IF(Q26&lt;R26,TRUE),IF(AND(R26="",Q26&lt;&gt;""),TRUE))</formula>
    </cfRule>
    <cfRule type="expression" dxfId="133" priority="134">
      <formula>IF(Q26&gt;=R26,IF(Q26="",FALSE,TRUE))</formula>
    </cfRule>
  </conditionalFormatting>
  <conditionalFormatting sqref="Q38 O38">
    <cfRule type="expression" dxfId="112" priority="105">
      <formula>OR(IF(O38&lt;P38,TRUE),IF(AND(P38="",O38&lt;&gt;""),TRUE))</formula>
    </cfRule>
    <cfRule type="expression" dxfId="111" priority="106">
      <formula>IF(O38&gt;=P38,IF(O38="",FALSE,TRUE))</formula>
    </cfRule>
  </conditionalFormatting>
  <conditionalFormatting sqref="CP20:CP23 CN20:CN23">
    <cfRule type="expression" dxfId="110" priority="103">
      <formula>OR(IF(CN20&lt;CO20,TRUE),IF(AND(CO20="",CN20&lt;&gt;""),TRUE))</formula>
    </cfRule>
    <cfRule type="expression" dxfId="109" priority="104">
      <formula>IF(CN20&gt;=CO20,IF(CN20="",FALSE,TRUE))</formula>
    </cfRule>
  </conditionalFormatting>
  <conditionalFormatting sqref="CN18:CN19">
    <cfRule type="expression" dxfId="108" priority="101">
      <formula>OR(IF(CN18&lt;CO18,TRUE),IF(AND(CO18="",CN18&lt;&gt;""),TRUE))</formula>
    </cfRule>
    <cfRule type="expression" dxfId="107" priority="102">
      <formula>IF(CN18&gt;=CO18,IF(CN18="",FALSE,TRUE))</formula>
    </cfRule>
  </conditionalFormatting>
  <conditionalFormatting sqref="CP18:CP19">
    <cfRule type="expression" dxfId="106" priority="99">
      <formula>OR(IF(CP18&lt;CQ18,TRUE),IF(AND(CQ18="",CP18&lt;&gt;""),TRUE))</formula>
    </cfRule>
    <cfRule type="expression" dxfId="105" priority="100">
      <formula>IF(CP18&gt;=CQ18,IF(CP18="",FALSE,TRUE))</formula>
    </cfRule>
  </conditionalFormatting>
  <conditionalFormatting sqref="CI20:CI23 CG20:CG23">
    <cfRule type="expression" dxfId="104" priority="97">
      <formula>OR(IF(CG20&lt;CH20,TRUE),IF(AND(CH20="",CG20&lt;&gt;""),TRUE))</formula>
    </cfRule>
    <cfRule type="expression" dxfId="103" priority="98">
      <formula>IF(CG20&gt;=CH20,IF(CG20="",FALSE,TRUE))</formula>
    </cfRule>
  </conditionalFormatting>
  <conditionalFormatting sqref="CG18:CG19">
    <cfRule type="expression" dxfId="102" priority="95">
      <formula>OR(IF(CG18&lt;CH18,TRUE),IF(AND(CH18="",CG18&lt;&gt;""),TRUE))</formula>
    </cfRule>
    <cfRule type="expression" dxfId="101" priority="96">
      <formula>IF(CG18&gt;=CH18,IF(CG18="",FALSE,TRUE))</formula>
    </cfRule>
  </conditionalFormatting>
  <conditionalFormatting sqref="CI18:CI19">
    <cfRule type="expression" dxfId="100" priority="93">
      <formula>OR(IF(CI18&lt;CJ18,TRUE),IF(AND(CJ18="",CI18&lt;&gt;""),TRUE))</formula>
    </cfRule>
    <cfRule type="expression" dxfId="99" priority="94">
      <formula>IF(CI18&gt;=CJ18,IF(CI18="",FALSE,TRUE))</formula>
    </cfRule>
  </conditionalFormatting>
  <conditionalFormatting sqref="CB20:CB23 BZ20:BZ23">
    <cfRule type="expression" dxfId="98" priority="91">
      <formula>OR(IF(BZ20&lt;CA20,TRUE),IF(AND(CA20="",BZ20&lt;&gt;""),TRUE))</formula>
    </cfRule>
    <cfRule type="expression" dxfId="97" priority="92">
      <formula>IF(BZ20&gt;=CA20,IF(BZ20="",FALSE,TRUE))</formula>
    </cfRule>
  </conditionalFormatting>
  <conditionalFormatting sqref="BZ18:BZ19">
    <cfRule type="expression" dxfId="96" priority="89">
      <formula>OR(IF(BZ18&lt;CA18,TRUE),IF(AND(CA18="",BZ18&lt;&gt;""),TRUE))</formula>
    </cfRule>
    <cfRule type="expression" dxfId="95" priority="90">
      <formula>IF(BZ18&gt;=CA18,IF(BZ18="",FALSE,TRUE))</formula>
    </cfRule>
  </conditionalFormatting>
  <conditionalFormatting sqref="CB18:CB19">
    <cfRule type="expression" dxfId="94" priority="87">
      <formula>OR(IF(CB18&lt;CC18,TRUE),IF(AND(CC18="",CB18&lt;&gt;""),TRUE))</formula>
    </cfRule>
    <cfRule type="expression" dxfId="93" priority="88">
      <formula>IF(CB18&gt;=CC18,IF(CB18="",FALSE,TRUE))</formula>
    </cfRule>
  </conditionalFormatting>
  <conditionalFormatting sqref="BU20:BU23 BS20:BS23">
    <cfRule type="expression" dxfId="92" priority="85">
      <formula>OR(IF(BS20&lt;BT20,TRUE),IF(AND(BT20="",BS20&lt;&gt;""),TRUE))</formula>
    </cfRule>
    <cfRule type="expression" dxfId="91" priority="86">
      <formula>IF(BS20&gt;=BT20,IF(BS20="",FALSE,TRUE))</formula>
    </cfRule>
  </conditionalFormatting>
  <conditionalFormatting sqref="BS18:BS19">
    <cfRule type="expression" dxfId="90" priority="83">
      <formula>OR(IF(BS18&lt;BT18,TRUE),IF(AND(BT18="",BS18&lt;&gt;""),TRUE))</formula>
    </cfRule>
    <cfRule type="expression" dxfId="89" priority="84">
      <formula>IF(BS18&gt;=BT18,IF(BS18="",FALSE,TRUE))</formula>
    </cfRule>
  </conditionalFormatting>
  <conditionalFormatting sqref="BU18:BU19">
    <cfRule type="expression" dxfId="88" priority="81">
      <formula>OR(IF(BU18&lt;BV18,TRUE),IF(AND(BV18="",BU18&lt;&gt;""),TRUE))</formula>
    </cfRule>
    <cfRule type="expression" dxfId="87" priority="82">
      <formula>IF(BU18&gt;=BV18,IF(BU18="",FALSE,TRUE))</formula>
    </cfRule>
  </conditionalFormatting>
  <conditionalFormatting sqref="BN20:BN23 BL20:BL23">
    <cfRule type="expression" dxfId="86" priority="79">
      <formula>OR(IF(BL20&lt;BM20,TRUE),IF(AND(BM20="",BL20&lt;&gt;""),TRUE))</formula>
    </cfRule>
    <cfRule type="expression" dxfId="85" priority="80">
      <formula>IF(BL20&gt;=BM20,IF(BL20="",FALSE,TRUE))</formula>
    </cfRule>
  </conditionalFormatting>
  <conditionalFormatting sqref="BL18:BL19">
    <cfRule type="expression" dxfId="84" priority="77">
      <formula>OR(IF(BL18&lt;BM18,TRUE),IF(AND(BM18="",BL18&lt;&gt;""),TRUE))</formula>
    </cfRule>
    <cfRule type="expression" dxfId="83" priority="78">
      <formula>IF(BL18&gt;=BM18,IF(BL18="",FALSE,TRUE))</formula>
    </cfRule>
  </conditionalFormatting>
  <conditionalFormatting sqref="BN18:BN19">
    <cfRule type="expression" dxfId="82" priority="75">
      <formula>OR(IF(BN18&lt;BO18,TRUE),IF(AND(BO18="",BN18&lt;&gt;""),TRUE))</formula>
    </cfRule>
    <cfRule type="expression" dxfId="81" priority="76">
      <formula>IF(BN18&gt;=BO18,IF(BN18="",FALSE,TRUE))</formula>
    </cfRule>
  </conditionalFormatting>
  <conditionalFormatting sqref="BG20:BG22 BE20:BE22">
    <cfRule type="expression" dxfId="80" priority="73">
      <formula>OR(IF(BE20&lt;BF20,TRUE),IF(AND(BF20="",BE20&lt;&gt;""),TRUE))</formula>
    </cfRule>
    <cfRule type="expression" dxfId="79" priority="74">
      <formula>IF(BE20&gt;=BF20,IF(BE20="",FALSE,TRUE))</formula>
    </cfRule>
  </conditionalFormatting>
  <conditionalFormatting sqref="BE18:BE19">
    <cfRule type="expression" dxfId="78" priority="71">
      <formula>OR(IF(BE18&lt;BF18,TRUE),IF(AND(BF18="",BE18&lt;&gt;""),TRUE))</formula>
    </cfRule>
    <cfRule type="expression" dxfId="77" priority="72">
      <formula>IF(BE18&gt;=BF18,IF(BE18="",FALSE,TRUE))</formula>
    </cfRule>
  </conditionalFormatting>
  <conditionalFormatting sqref="BG18:BG19">
    <cfRule type="expression" dxfId="76" priority="69">
      <formula>OR(IF(BG18&lt;BH18,TRUE),IF(AND(BH18="",BG18&lt;&gt;""),TRUE))</formula>
    </cfRule>
    <cfRule type="expression" dxfId="75" priority="70">
      <formula>IF(BG18&gt;=BH18,IF(BG18="",FALSE,TRUE))</formula>
    </cfRule>
  </conditionalFormatting>
  <conditionalFormatting sqref="AZ20:AZ22 AX20:AX22">
    <cfRule type="expression" dxfId="74" priority="67">
      <formula>OR(IF(AX20&lt;AY20,TRUE),IF(AND(AY20="",AX20&lt;&gt;""),TRUE))</formula>
    </cfRule>
    <cfRule type="expression" dxfId="73" priority="68">
      <formula>IF(AX20&gt;=AY20,IF(AX20="",FALSE,TRUE))</formula>
    </cfRule>
  </conditionalFormatting>
  <conditionalFormatting sqref="AX18:AX19">
    <cfRule type="expression" dxfId="72" priority="65">
      <formula>OR(IF(AX18&lt;AY18,TRUE),IF(AND(AY18="",AX18&lt;&gt;""),TRUE))</formula>
    </cfRule>
    <cfRule type="expression" dxfId="71" priority="66">
      <formula>IF(AX18&gt;=AY18,IF(AX18="",FALSE,TRUE))</formula>
    </cfRule>
  </conditionalFormatting>
  <conditionalFormatting sqref="AZ18:AZ19">
    <cfRule type="expression" dxfId="70" priority="63">
      <formula>OR(IF(AZ18&lt;BA18,TRUE),IF(AND(BA18="",AZ18&lt;&gt;""),TRUE))</formula>
    </cfRule>
    <cfRule type="expression" dxfId="69" priority="64">
      <formula>IF(AZ18&gt;=BA18,IF(AZ18="",FALSE,TRUE))</formula>
    </cfRule>
  </conditionalFormatting>
  <conditionalFormatting sqref="AS20:AS21 AQ20:AQ21">
    <cfRule type="expression" dxfId="68" priority="61">
      <formula>OR(IF(AQ20&lt;AR20,TRUE),IF(AND(AR20="",AQ20&lt;&gt;""),TRUE))</formula>
    </cfRule>
    <cfRule type="expression" dxfId="67" priority="62">
      <formula>IF(AQ20&gt;=AR20,IF(AQ20="",FALSE,TRUE))</formula>
    </cfRule>
  </conditionalFormatting>
  <conditionalFormatting sqref="AQ18:AQ19">
    <cfRule type="expression" dxfId="66" priority="59">
      <formula>OR(IF(AQ18&lt;AR18,TRUE),IF(AND(AR18="",AQ18&lt;&gt;""),TRUE))</formula>
    </cfRule>
    <cfRule type="expression" dxfId="65" priority="60">
      <formula>IF(AQ18&gt;=AR18,IF(AQ18="",FALSE,TRUE))</formula>
    </cfRule>
  </conditionalFormatting>
  <conditionalFormatting sqref="AS18:AS19">
    <cfRule type="expression" dxfId="64" priority="57">
      <formula>OR(IF(AS18&lt;AT18,TRUE),IF(AND(AT18="",AS18&lt;&gt;""),TRUE))</formula>
    </cfRule>
    <cfRule type="expression" dxfId="63" priority="58">
      <formula>IF(AS18&gt;=AT18,IF(AS18="",FALSE,TRUE))</formula>
    </cfRule>
  </conditionalFormatting>
  <conditionalFormatting sqref="AE21 AC21">
    <cfRule type="expression" dxfId="62" priority="49">
      <formula>OR(IF(AC21&lt;AD21,TRUE),IF(AND(AD21="",AC21&lt;&gt;""),TRUE))</formula>
    </cfRule>
    <cfRule type="expression" dxfId="61" priority="50">
      <formula>IF(AC21&gt;=AD21,IF(AC21="",FALSE,TRUE))</formula>
    </cfRule>
  </conditionalFormatting>
  <conditionalFormatting sqref="AL20:AL21 AJ20:AJ21">
    <cfRule type="expression" dxfId="60" priority="43">
      <formula>OR(IF(AJ20&lt;AK20,TRUE),IF(AND(AK20="",AJ20&lt;&gt;""),TRUE))</formula>
    </cfRule>
    <cfRule type="expression" dxfId="59" priority="44">
      <formula>IF(AJ20&gt;=AK20,IF(AJ20="",FALSE,TRUE))</formula>
    </cfRule>
  </conditionalFormatting>
  <conditionalFormatting sqref="AJ18:AJ19">
    <cfRule type="expression" dxfId="58" priority="41">
      <formula>OR(IF(AJ18&lt;AK18,TRUE),IF(AND(AK18="",AJ18&lt;&gt;""),TRUE))</formula>
    </cfRule>
    <cfRule type="expression" dxfId="57" priority="42">
      <formula>IF(AJ18&gt;=AK18,IF(AJ18="",FALSE,TRUE))</formula>
    </cfRule>
  </conditionalFormatting>
  <conditionalFormatting sqref="AL18:AL19">
    <cfRule type="expression" dxfId="56" priority="39">
      <formula>OR(IF(AL18&lt;AM18,TRUE),IF(AND(AM18="",AL18&lt;&gt;""),TRUE))</formula>
    </cfRule>
    <cfRule type="expression" dxfId="55" priority="40">
      <formula>IF(AL18&gt;=AM18,IF(AL18="",FALSE,TRUE))</formula>
    </cfRule>
  </conditionalFormatting>
  <conditionalFormatting sqref="AE20 AC20">
    <cfRule type="expression" dxfId="54" priority="37">
      <formula>OR(IF(AC20&lt;AD20,TRUE),IF(AND(AD20="",AC20&lt;&gt;""),TRUE))</formula>
    </cfRule>
    <cfRule type="expression" dxfId="53" priority="38">
      <formula>IF(AC20&gt;=AD20,IF(AC20="",FALSE,TRUE))</formula>
    </cfRule>
  </conditionalFormatting>
  <conditionalFormatting sqref="AC18:AC19">
    <cfRule type="expression" dxfId="52" priority="35">
      <formula>OR(IF(AC18&lt;AD18,TRUE),IF(AND(AD18="",AC18&lt;&gt;""),TRUE))</formula>
    </cfRule>
    <cfRule type="expression" dxfId="51" priority="36">
      <formula>IF(AC18&gt;=AD18,IF(AC18="",FALSE,TRUE))</formula>
    </cfRule>
  </conditionalFormatting>
  <conditionalFormatting sqref="AE18:AE19">
    <cfRule type="expression" dxfId="50" priority="33">
      <formula>OR(IF(AE18&lt;AF18,TRUE),IF(AND(AF18="",AE18&lt;&gt;""),TRUE))</formula>
    </cfRule>
    <cfRule type="expression" dxfId="49" priority="34">
      <formula>IF(AE18&gt;=AF18,IF(AE18="",FALSE,TRUE))</formula>
    </cfRule>
  </conditionalFormatting>
  <conditionalFormatting sqref="V18:V19">
    <cfRule type="expression" dxfId="48" priority="31">
      <formula>OR(IF(V18&lt;W18,TRUE),IF(AND(W18="",V18&lt;&gt;""),TRUE))</formula>
    </cfRule>
    <cfRule type="expression" dxfId="47" priority="32">
      <formula>IF(V18&gt;=W18,IF(V18="",FALSE,TRUE))</formula>
    </cfRule>
  </conditionalFormatting>
  <conditionalFormatting sqref="X18:X19">
    <cfRule type="expression" dxfId="46" priority="29">
      <formula>OR(IF(X18&lt;Y18,TRUE),IF(AND(Y18="",X18&lt;&gt;""),TRUE))</formula>
    </cfRule>
    <cfRule type="expression" dxfId="45" priority="30">
      <formula>IF(X18&gt;=Y18,IF(X18="",FALSE,TRUE))</formula>
    </cfRule>
  </conditionalFormatting>
  <conditionalFormatting sqref="O18:O19">
    <cfRule type="expression" dxfId="44" priority="27">
      <formula>OR(IF(O18&lt;P18,TRUE),IF(AND(P18="",O18&lt;&gt;""),TRUE))</formula>
    </cfRule>
    <cfRule type="expression" dxfId="43" priority="28">
      <formula>IF(O18&gt;=P18,IF(O18="",FALSE,TRUE))</formula>
    </cfRule>
  </conditionalFormatting>
  <conditionalFormatting sqref="Q18:Q19">
    <cfRule type="expression" dxfId="42" priority="25">
      <formula>OR(IF(Q18&lt;R18,TRUE),IF(AND(R18="",Q18&lt;&gt;""),TRUE))</formula>
    </cfRule>
    <cfRule type="expression" dxfId="41" priority="26">
      <formula>IF(Q18&gt;=R18,IF(Q18="",FALSE,TRUE))</formula>
    </cfRule>
  </conditionalFormatting>
  <conditionalFormatting sqref="CI35:CI41 CG35:CG41">
    <cfRule type="expression" dxfId="23" priority="23">
      <formula>OR(IF(CG35&lt;CH35,TRUE),IF(AND(CH35="",CG35&lt;&gt;""),TRUE))</formula>
    </cfRule>
    <cfRule type="expression" dxfId="22" priority="24">
      <formula>IF(CG35&gt;=CH35,IF(CG35="",FALSE,TRUE))</formula>
    </cfRule>
  </conditionalFormatting>
  <conditionalFormatting sqref="CB35:CB41 BZ35:BZ41">
    <cfRule type="expression" dxfId="21" priority="21">
      <formula>OR(IF(BZ35&lt;CA35,TRUE),IF(AND(CA35="",BZ35&lt;&gt;""),TRUE))</formula>
    </cfRule>
    <cfRule type="expression" dxfId="20" priority="22">
      <formula>IF(BZ35&gt;=CA35,IF(BZ35="",FALSE,TRUE))</formula>
    </cfRule>
  </conditionalFormatting>
  <conditionalFormatting sqref="BU35:BU41 BS35:BS41">
    <cfRule type="expression" dxfId="19" priority="19">
      <formula>OR(IF(BS35&lt;BT35,TRUE),IF(AND(BT35="",BS35&lt;&gt;""),TRUE))</formula>
    </cfRule>
    <cfRule type="expression" dxfId="18" priority="20">
      <formula>IF(BS35&gt;=BT35,IF(BS35="",FALSE,TRUE))</formula>
    </cfRule>
  </conditionalFormatting>
  <conditionalFormatting sqref="BN35:BN41 BL35:BL41">
    <cfRule type="expression" dxfId="17" priority="17">
      <formula>OR(IF(BL35&lt;BM35,TRUE),IF(AND(BM35="",BL35&lt;&gt;""),TRUE))</formula>
    </cfRule>
    <cfRule type="expression" dxfId="16" priority="18">
      <formula>IF(BL35&gt;=BM35,IF(BL35="",FALSE,TRUE))</formula>
    </cfRule>
  </conditionalFormatting>
  <conditionalFormatting sqref="BG35:BG41 BE35:BE41">
    <cfRule type="expression" dxfId="15" priority="15">
      <formula>OR(IF(BE35&lt;BF35,TRUE),IF(AND(BF35="",BE35&lt;&gt;""),TRUE))</formula>
    </cfRule>
    <cfRule type="expression" dxfId="14" priority="16">
      <formula>IF(BE35&gt;=BF35,IF(BE35="",FALSE,TRUE))</formula>
    </cfRule>
  </conditionalFormatting>
  <conditionalFormatting sqref="AZ35:AZ40 AX35:AX40">
    <cfRule type="expression" dxfId="13" priority="13">
      <formula>OR(IF(AX35&lt;AY35,TRUE),IF(AND(AY35="",AX35&lt;&gt;""),TRUE))</formula>
    </cfRule>
    <cfRule type="expression" dxfId="12" priority="14">
      <formula>IF(AX35&gt;=AY35,IF(AX35="",FALSE,TRUE))</formula>
    </cfRule>
  </conditionalFormatting>
  <conditionalFormatting sqref="AS35:AS40 AQ35:AQ40">
    <cfRule type="expression" dxfId="11" priority="11">
      <formula>OR(IF(AQ35&lt;AR35,TRUE),IF(AND(AR35="",AQ35&lt;&gt;""),TRUE))</formula>
    </cfRule>
    <cfRule type="expression" dxfId="10" priority="12">
      <formula>IF(AQ35&gt;=AR35,IF(AQ35="",FALSE,TRUE))</formula>
    </cfRule>
  </conditionalFormatting>
  <conditionalFormatting sqref="AL35:AL39 AJ35:AJ39">
    <cfRule type="expression" dxfId="9" priority="9">
      <formula>OR(IF(AJ35&lt;AK35,TRUE),IF(AND(AK35="",AJ35&lt;&gt;""),TRUE))</formula>
    </cfRule>
    <cfRule type="expression" dxfId="8" priority="10">
      <formula>IF(AJ35&gt;=AK35,IF(AJ35="",FALSE,TRUE))</formula>
    </cfRule>
  </conditionalFormatting>
  <conditionalFormatting sqref="AE35:AE39 AC35:AC39">
    <cfRule type="expression" dxfId="7" priority="7">
      <formula>OR(IF(AC35&lt;AD35,TRUE),IF(AND(AD35="",AC35&lt;&gt;""),TRUE))</formula>
    </cfRule>
    <cfRule type="expression" dxfId="6" priority="8">
      <formula>IF(AC35&gt;=AD35,IF(AC35="",FALSE,TRUE))</formula>
    </cfRule>
  </conditionalFormatting>
  <conditionalFormatting sqref="X35:X38 V35:V38">
    <cfRule type="expression" dxfId="3" priority="3">
      <formula>OR(IF(V35&lt;W35,TRUE),IF(AND(W35="",V35&lt;&gt;""),TRUE))</formula>
    </cfRule>
    <cfRule type="expression" dxfId="2" priority="4">
      <formula>IF(V35&gt;=W35,IF(V35="",FALSE,TRUE))</formula>
    </cfRule>
  </conditionalFormatting>
  <conditionalFormatting sqref="Q35:Q37 O35:O37">
    <cfRule type="expression" dxfId="1" priority="1">
      <formula>OR(IF(O35&lt;P35,TRUE),IF(AND(P35="",O35&lt;&gt;""),TRUE))</formula>
    </cfRule>
    <cfRule type="expression" dxfId="0" priority="2">
      <formula>IF(O35&gt;=P35,IF(O35="",FALSE,TRUE))</formula>
    </cfRule>
  </conditionalFormatting>
  <dataValidations count="1">
    <dataValidation type="list" allowBlank="1" showInputMessage="1" showErrorMessage="1" sqref="AX35:BA41 AQ5:AT14 AX5:BA14 BE5:BH14 BS5:BV14 BZ5:CC14 CG5:CJ14 CN5:CQ14 CU35:CX41 BZ18:CC23 DW18:DZ23 BL18:BO23 BL5:BO14 BE18:BH23 AX18:BA23 AQ18:AT23 AJ18:AM23 BS26:BV32 V26:Y32 BE26:BH32 BL26:BO32 AX26:BA32 AQ26:AT32 AJ26:AM32 AC26:AF32 BZ35:CC41 BL35:BO41 BS35:BV41 BE35:BH41 AQ35:AT41 AJ35:AM41 AC35:AF41 V5:Y14 AC18:AF23 DW5:DZ14 CN35:CQ41 DD5:DE14 CG18:CJ23 BZ26:CC32 CG35:CJ41 BS18:BV23 CU26:CX32 CN18:CQ23 CG26:CJ32 O18:R23 CU5:CX14 O5:R14 DW35:DZ41 CN26:CQ32 V35:Y41 V18:Y23 AC5:AF14 CU18:CX23 DI35:DL41 AJ5:AM14 DB18:DE23 DB26:DE32 DP26:DS32 DB35:DE41 O26:R32 DW26:DZ32 DI5:DL14 DI18:DL23 DP35:DS41 DI26:DL32 DP5:DS14 DR18:DS23 DB5:DB14 DC5:DC15 DP18:DP23 DX1048576 O35:R4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38</v>
      </c>
    </row>
    <row r="12" spans="2:2">
      <c r="B12" s="3" t="s">
        <v>17</v>
      </c>
    </row>
    <row r="13" spans="2:2" ht="140.4">
      <c r="B13" s="1" t="s">
        <v>18</v>
      </c>
    </row>
    <row r="15" spans="2:2">
      <c r="B15" s="3" t="s">
        <v>19</v>
      </c>
    </row>
    <row r="16" spans="2:2" ht="109.2">
      <c r="B16" s="1" t="s">
        <v>20</v>
      </c>
    </row>
    <row r="17" spans="2:2">
      <c r="B17" s="1"/>
    </row>
    <row r="18" spans="2:2">
      <c r="B18" s="3" t="s">
        <v>37</v>
      </c>
    </row>
    <row r="19" spans="2:2" ht="140.4">
      <c r="B19" s="1" t="s">
        <v>39</v>
      </c>
    </row>
    <row r="21" spans="2:2">
      <c r="B21" s="3" t="s">
        <v>21</v>
      </c>
    </row>
    <row r="22" spans="2:2" ht="124.8">
      <c r="B22" s="1" t="s">
        <v>40</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8" customWidth="1"/>
    <col min="2" max="2" width="19.19921875" style="8" customWidth="1"/>
    <col min="3" max="3" width="18.19921875" style="8" customWidth="1"/>
    <col min="4" max="4" width="19.5" style="8" customWidth="1"/>
    <col min="8" max="8" width="15.19921875" customWidth="1"/>
    <col min="10" max="10" width="42" customWidth="1"/>
    <col min="11" max="11" width="28.5" customWidth="1"/>
  </cols>
  <sheetData>
    <row r="1" spans="1:11" ht="31.2">
      <c r="A1" s="8" t="s">
        <v>47</v>
      </c>
      <c r="B1" s="10" t="s">
        <v>44</v>
      </c>
      <c r="C1" s="10" t="s">
        <v>45</v>
      </c>
      <c r="D1" s="10" t="s">
        <v>46</v>
      </c>
      <c r="E1" s="1" t="s">
        <v>48</v>
      </c>
      <c r="F1" s="1" t="s">
        <v>49</v>
      </c>
      <c r="G1" s="1" t="s">
        <v>50</v>
      </c>
      <c r="H1" s="1" t="s">
        <v>51</v>
      </c>
      <c r="I1" s="1" t="s">
        <v>52</v>
      </c>
      <c r="J1" s="1" t="s">
        <v>53</v>
      </c>
      <c r="K1" s="1" t="s">
        <v>54</v>
      </c>
    </row>
    <row r="2" spans="1:11">
      <c r="A2" s="9">
        <v>44118</v>
      </c>
      <c r="D2" s="11">
        <v>1</v>
      </c>
    </row>
    <row r="3" spans="1:11">
      <c r="A3" s="9">
        <v>44119</v>
      </c>
    </row>
    <row r="4" spans="1:11">
      <c r="A4" s="9">
        <v>44120</v>
      </c>
    </row>
    <row r="5" spans="1:11">
      <c r="A5" s="9">
        <v>44121</v>
      </c>
    </row>
    <row r="6" spans="1:11">
      <c r="A6" s="9">
        <v>44122</v>
      </c>
    </row>
    <row r="7" spans="1:11">
      <c r="A7" s="9">
        <v>44123</v>
      </c>
    </row>
    <row r="8" spans="1:11">
      <c r="A8" s="9">
        <v>44124</v>
      </c>
    </row>
    <row r="9" spans="1:11">
      <c r="A9" s="9">
        <v>44125</v>
      </c>
    </row>
    <row r="10" spans="1:11">
      <c r="A10" s="9">
        <v>44126</v>
      </c>
    </row>
    <row r="11" spans="1:11">
      <c r="A11" s="9">
        <v>44127</v>
      </c>
    </row>
    <row r="12" spans="1:11">
      <c r="A12" s="9">
        <v>44128</v>
      </c>
    </row>
    <row r="13" spans="1:11">
      <c r="A13" s="9">
        <v>44129</v>
      </c>
    </row>
    <row r="14" spans="1:11">
      <c r="A14" s="9">
        <v>44130</v>
      </c>
    </row>
    <row r="15" spans="1:11">
      <c r="A15" s="9">
        <v>44131</v>
      </c>
    </row>
    <row r="16" spans="1:11">
      <c r="A16" s="9">
        <v>44132</v>
      </c>
    </row>
    <row r="17" spans="1:1">
      <c r="A17" s="9">
        <v>44133</v>
      </c>
    </row>
    <row r="18" spans="1:1">
      <c r="A18" s="9">
        <v>44134</v>
      </c>
    </row>
    <row r="19" spans="1:1">
      <c r="A19" s="9">
        <v>44135</v>
      </c>
    </row>
    <row r="20" spans="1:1">
      <c r="A20" s="9">
        <v>44136</v>
      </c>
    </row>
    <row r="21" spans="1:1">
      <c r="A21" s="9">
        <v>44137</v>
      </c>
    </row>
    <row r="22" spans="1:1">
      <c r="A22" s="9">
        <v>44138</v>
      </c>
    </row>
    <row r="23" spans="1:1">
      <c r="A23" s="9">
        <v>44139</v>
      </c>
    </row>
    <row r="24" spans="1:1">
      <c r="A24" s="9">
        <v>44140</v>
      </c>
    </row>
    <row r="25" spans="1:1">
      <c r="A25" s="9">
        <v>44141</v>
      </c>
    </row>
    <row r="26" spans="1:1">
      <c r="A26" s="9">
        <v>44142</v>
      </c>
    </row>
    <row r="27" spans="1:1">
      <c r="A27" s="9">
        <v>44143</v>
      </c>
    </row>
    <row r="28" spans="1:1">
      <c r="A28" s="9">
        <v>44144</v>
      </c>
    </row>
    <row r="29" spans="1:1">
      <c r="A29" s="9">
        <v>44145</v>
      </c>
    </row>
    <row r="30" spans="1:1">
      <c r="A30" s="9">
        <v>44146</v>
      </c>
    </row>
    <row r="31" spans="1:1">
      <c r="A31" s="9">
        <v>44147</v>
      </c>
    </row>
    <row r="32" spans="1:1">
      <c r="A32" s="9">
        <v>44148</v>
      </c>
    </row>
    <row r="33" spans="1:1">
      <c r="A33" s="9">
        <v>44149</v>
      </c>
    </row>
    <row r="34" spans="1:1">
      <c r="A34" s="9">
        <v>44150</v>
      </c>
    </row>
    <row r="35" spans="1:1">
      <c r="A35" s="9">
        <v>44151</v>
      </c>
    </row>
    <row r="36" spans="1:1">
      <c r="A36" s="9">
        <v>44152</v>
      </c>
    </row>
    <row r="37" spans="1:1">
      <c r="A37" s="9">
        <v>44153</v>
      </c>
    </row>
    <row r="38" spans="1:1">
      <c r="A38" s="9">
        <v>44154</v>
      </c>
    </row>
    <row r="39" spans="1:1">
      <c r="A39" s="9">
        <v>44155</v>
      </c>
    </row>
    <row r="40" spans="1:1">
      <c r="A40" s="9">
        <v>44156</v>
      </c>
    </row>
    <row r="41" spans="1:1">
      <c r="A41" s="9">
        <v>44157</v>
      </c>
    </row>
    <row r="42" spans="1:1">
      <c r="A42" s="9">
        <v>44158</v>
      </c>
    </row>
    <row r="43" spans="1:1">
      <c r="A43" s="9">
        <v>44159</v>
      </c>
    </row>
    <row r="44" spans="1:1">
      <c r="A44" s="9">
        <v>44160</v>
      </c>
    </row>
    <row r="45" spans="1:1">
      <c r="A45" s="9">
        <v>44161</v>
      </c>
    </row>
    <row r="46" spans="1:1">
      <c r="A46" s="9">
        <v>44162</v>
      </c>
    </row>
  </sheetData>
  <conditionalFormatting sqref="B2:B46">
    <cfRule type="cellIs" dxfId="40" priority="14" operator="equal">
      <formula>"Ja"</formula>
    </cfRule>
    <cfRule type="cellIs" dxfId="39" priority="15" operator="equal">
      <formula>"Nein"</formula>
    </cfRule>
  </conditionalFormatting>
  <conditionalFormatting sqref="D2">
    <cfRule type="cellIs" dxfId="38" priority="6" operator="equal">
      <formula>1</formula>
    </cfRule>
    <cfRule type="cellIs" dxfId="37" priority="7" operator="equal">
      <formula>0.8</formula>
    </cfRule>
    <cfRule type="cellIs" dxfId="36" priority="8" operator="equal">
      <formula>0.6</formula>
    </cfRule>
    <cfRule type="cellIs" dxfId="35" priority="9" operator="equal">
      <formula>0.4</formula>
    </cfRule>
    <cfRule type="cellIs" dxfId="34" priority="10" operator="equal">
      <formula>0.2</formula>
    </cfRule>
    <cfRule type="cellIs" dxfId="33" priority="11" operator="equal">
      <formula>0</formula>
    </cfRule>
  </conditionalFormatting>
  <conditionalFormatting sqref="B2:B46">
    <cfRule type="cellIs" dxfId="32" priority="4" operator="equal">
      <formula>"Ja"</formula>
    </cfRule>
  </conditionalFormatting>
  <conditionalFormatting sqref="C2:C46">
    <cfRule type="cellIs" dxfId="31" priority="2" operator="equal">
      <formula>"Ja"</formula>
    </cfRule>
    <cfRule type="cellIs" dxfId="30" priority="3" operator="equal">
      <formula>"Nein"</formula>
    </cfRule>
  </conditionalFormatting>
  <conditionalFormatting sqref="C2:C46">
    <cfRule type="cellIs" dxfId="29"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3"/>
  <sheetViews>
    <sheetView topLeftCell="A4" zoomScaleNormal="100" workbookViewId="0">
      <selection activeCell="D18" sqref="D18"/>
    </sheetView>
  </sheetViews>
  <sheetFormatPr baseColWidth="10" defaultColWidth="10.69921875" defaultRowHeight="15.6"/>
  <cols>
    <col min="3" max="3" width="11" customWidth="1"/>
  </cols>
  <sheetData>
    <row r="1" spans="1:8" ht="24.6">
      <c r="B1" s="5" t="s">
        <v>25</v>
      </c>
    </row>
    <row r="4" spans="1:8">
      <c r="B4" s="3" t="s">
        <v>4</v>
      </c>
      <c r="C4" s="3" t="s">
        <v>5</v>
      </c>
      <c r="D4" s="3" t="s">
        <v>6</v>
      </c>
      <c r="E4" s="3" t="s">
        <v>7</v>
      </c>
      <c r="F4" s="3" t="s">
        <v>10</v>
      </c>
      <c r="G4" s="3" t="s">
        <v>8</v>
      </c>
      <c r="H4" s="3" t="s">
        <v>9</v>
      </c>
    </row>
    <row r="5" spans="1:8">
      <c r="A5" s="7">
        <v>0.33333333333333398</v>
      </c>
      <c r="B5" s="33"/>
      <c r="E5" s="36"/>
      <c r="F5" s="33"/>
    </row>
    <row r="6" spans="1:8">
      <c r="A6" s="7">
        <v>0.35416666666666702</v>
      </c>
      <c r="B6" s="33"/>
      <c r="C6" s="36"/>
      <c r="D6" s="6"/>
      <c r="E6" s="36"/>
      <c r="F6" s="33"/>
      <c r="H6" s="34"/>
    </row>
    <row r="7" spans="1:8">
      <c r="A7" s="7">
        <v>0.375</v>
      </c>
      <c r="B7" s="33"/>
      <c r="C7" s="36"/>
      <c r="D7" s="33" t="s">
        <v>119</v>
      </c>
      <c r="E7" s="36"/>
      <c r="F7" s="33"/>
      <c r="H7" s="34"/>
    </row>
    <row r="8" spans="1:8">
      <c r="A8" s="7">
        <v>0.39583333333333398</v>
      </c>
      <c r="B8" s="33"/>
      <c r="C8" s="36"/>
      <c r="D8" s="33" t="s">
        <v>119</v>
      </c>
      <c r="E8" s="36"/>
      <c r="F8" s="33"/>
      <c r="H8" s="34"/>
    </row>
    <row r="9" spans="1:8">
      <c r="A9" s="7">
        <v>0.41666666666666702</v>
      </c>
      <c r="B9" s="33"/>
      <c r="C9" s="36"/>
      <c r="D9" s="33" t="s">
        <v>119</v>
      </c>
      <c r="E9" s="36"/>
      <c r="F9" s="33"/>
      <c r="H9" s="34"/>
    </row>
    <row r="10" spans="1:8">
      <c r="A10" s="7">
        <v>0.4375</v>
      </c>
      <c r="B10" s="33"/>
      <c r="C10" s="36"/>
      <c r="D10" s="33" t="s">
        <v>119</v>
      </c>
      <c r="E10" s="36"/>
      <c r="F10" s="33"/>
      <c r="H10" s="34"/>
    </row>
    <row r="11" spans="1:8">
      <c r="A11" s="7">
        <v>0.45833333333333398</v>
      </c>
      <c r="B11" s="33"/>
      <c r="C11" s="36"/>
      <c r="E11" s="36"/>
      <c r="F11" s="33"/>
      <c r="H11" s="34"/>
    </row>
    <row r="12" spans="1:8">
      <c r="A12" s="7">
        <v>0.47916666666666702</v>
      </c>
      <c r="B12" s="33"/>
      <c r="C12" s="36"/>
      <c r="E12" s="36"/>
      <c r="F12" s="33"/>
      <c r="H12" s="34"/>
    </row>
    <row r="13" spans="1:8">
      <c r="A13" s="7">
        <v>0.5</v>
      </c>
      <c r="B13" s="33"/>
      <c r="C13" s="36"/>
      <c r="E13" s="36"/>
      <c r="H13" s="34"/>
    </row>
    <row r="14" spans="1:8">
      <c r="A14" s="7">
        <v>0.51041666666666663</v>
      </c>
      <c r="C14" s="36"/>
      <c r="H14" s="34"/>
    </row>
    <row r="15" spans="1:8">
      <c r="A15" s="7">
        <v>0.52083333333333404</v>
      </c>
      <c r="C15" s="36"/>
      <c r="H15" s="34"/>
    </row>
    <row r="16" spans="1:8">
      <c r="A16" s="7">
        <v>0.54166666666666696</v>
      </c>
      <c r="B16" s="35"/>
      <c r="C16" s="36"/>
      <c r="E16" s="34"/>
    </row>
    <row r="17" spans="1:8">
      <c r="A17" s="7">
        <v>0.5625</v>
      </c>
      <c r="B17" s="35"/>
      <c r="C17" s="36"/>
      <c r="E17" s="34"/>
    </row>
    <row r="18" spans="1:8">
      <c r="A18" s="7">
        <v>0.57291666666666663</v>
      </c>
      <c r="B18" s="35"/>
      <c r="C18" s="36"/>
      <c r="E18" s="34"/>
      <c r="F18" s="35"/>
      <c r="H18" s="36"/>
    </row>
    <row r="19" spans="1:8">
      <c r="A19" s="7">
        <v>0.58333333333333404</v>
      </c>
      <c r="B19" s="35"/>
      <c r="D19" s="35" t="s">
        <v>120</v>
      </c>
      <c r="E19" s="34"/>
      <c r="F19" s="35"/>
      <c r="H19" s="36"/>
    </row>
    <row r="20" spans="1:8">
      <c r="A20" s="7">
        <v>0.60416666666666696</v>
      </c>
      <c r="B20" s="35"/>
      <c r="D20" s="35" t="s">
        <v>120</v>
      </c>
      <c r="E20" s="34"/>
      <c r="F20" s="35"/>
      <c r="H20" s="36"/>
    </row>
    <row r="21" spans="1:8">
      <c r="A21" s="7">
        <v>0.61458333333333337</v>
      </c>
      <c r="B21" s="35"/>
      <c r="C21" s="34" t="s">
        <v>136</v>
      </c>
      <c r="D21" s="35"/>
      <c r="E21" s="34"/>
      <c r="F21" s="35"/>
      <c r="H21" s="36"/>
    </row>
    <row r="22" spans="1:8">
      <c r="A22" s="7">
        <v>0.625000000000001</v>
      </c>
      <c r="B22" s="35"/>
      <c r="C22" s="34" t="s">
        <v>136</v>
      </c>
      <c r="D22" s="35" t="s">
        <v>120</v>
      </c>
      <c r="E22" s="34"/>
      <c r="F22" s="35"/>
      <c r="H22" s="36"/>
    </row>
    <row r="23" spans="1:8">
      <c r="A23" s="7">
        <v>0.64583333333333404</v>
      </c>
      <c r="B23" s="35"/>
      <c r="C23" s="34" t="s">
        <v>136</v>
      </c>
      <c r="D23" s="35" t="s">
        <v>120</v>
      </c>
      <c r="E23" s="34"/>
      <c r="F23" s="35"/>
      <c r="H23" s="36"/>
    </row>
    <row r="24" spans="1:8">
      <c r="A24" s="7">
        <v>0.66666666666666696</v>
      </c>
      <c r="B24" s="35"/>
      <c r="C24" s="34" t="s">
        <v>136</v>
      </c>
      <c r="D24" s="6"/>
      <c r="E24" s="34"/>
      <c r="F24" s="35"/>
      <c r="H24" s="36"/>
    </row>
    <row r="25" spans="1:8">
      <c r="A25" s="7">
        <v>0.67708333333333337</v>
      </c>
      <c r="B25" s="35"/>
      <c r="C25" s="34" t="s">
        <v>136</v>
      </c>
      <c r="D25" s="36" t="s">
        <v>121</v>
      </c>
      <c r="E25" s="34"/>
      <c r="F25" s="35"/>
      <c r="H25" s="36"/>
    </row>
    <row r="26" spans="1:8">
      <c r="A26" s="7">
        <v>0.687500000000001</v>
      </c>
      <c r="B26" s="35"/>
      <c r="C26" s="34" t="s">
        <v>136</v>
      </c>
      <c r="D26" s="36" t="s">
        <v>121</v>
      </c>
      <c r="E26" s="34"/>
      <c r="F26" s="35"/>
      <c r="H26" s="36"/>
    </row>
    <row r="27" spans="1:8">
      <c r="A27" s="7">
        <v>0.70833333333333404</v>
      </c>
      <c r="B27" s="35"/>
      <c r="C27" s="34"/>
      <c r="D27" s="36" t="s">
        <v>121</v>
      </c>
      <c r="E27" s="34"/>
      <c r="F27" s="35"/>
      <c r="H27" s="36"/>
    </row>
    <row r="28" spans="1:8">
      <c r="A28" s="7">
        <v>0.72916666666666696</v>
      </c>
      <c r="C28" s="34"/>
      <c r="D28" s="36" t="s">
        <v>121</v>
      </c>
      <c r="E28" s="34"/>
      <c r="F28" s="35"/>
      <c r="H28" s="36"/>
    </row>
    <row r="29" spans="1:8">
      <c r="A29" s="7">
        <v>0.750000000000001</v>
      </c>
      <c r="C29" s="34"/>
      <c r="D29" s="6"/>
      <c r="E29" s="34"/>
      <c r="H29" s="36"/>
    </row>
    <row r="30" spans="1:8">
      <c r="A30" s="7">
        <v>0.77083333333333404</v>
      </c>
      <c r="C30" s="34"/>
    </row>
    <row r="31" spans="1:8">
      <c r="A31" s="7">
        <v>0.79166666666666696</v>
      </c>
      <c r="C31" s="34"/>
    </row>
    <row r="32" spans="1:8">
      <c r="A32" s="7">
        <v>0.812500000000001</v>
      </c>
    </row>
    <row r="33" spans="1:1">
      <c r="A33" s="7">
        <v>0.83333333333333404</v>
      </c>
    </row>
    <row r="34" spans="1:1">
      <c r="A34" s="7">
        <v>0.85416666666666696</v>
      </c>
    </row>
    <row r="35" spans="1:1">
      <c r="A35" s="7">
        <v>0.875000000000001</v>
      </c>
    </row>
    <row r="36" spans="1:1">
      <c r="A36" s="7">
        <v>0.89583333333333404</v>
      </c>
    </row>
    <row r="37" spans="1:1">
      <c r="A37" s="7">
        <v>0.91666666666666696</v>
      </c>
    </row>
    <row r="38" spans="1:1">
      <c r="A38" s="7">
        <v>0.937500000000001</v>
      </c>
    </row>
    <row r="39" spans="1:1">
      <c r="A39" s="7">
        <v>0.95833333333333404</v>
      </c>
    </row>
    <row r="40" spans="1:1">
      <c r="A40" s="7">
        <v>0.97916666666666696</v>
      </c>
    </row>
    <row r="41" spans="1:1">
      <c r="A41" s="7">
        <v>1</v>
      </c>
    </row>
    <row r="42" spans="1:1">
      <c r="A42" s="7">
        <v>1.0208333333333299</v>
      </c>
    </row>
    <row r="43" spans="1:1">
      <c r="A43" s="7">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5" t="s">
        <v>25</v>
      </c>
    </row>
    <row r="4" spans="1:8">
      <c r="B4" s="3" t="s">
        <v>4</v>
      </c>
      <c r="C4" s="3" t="s">
        <v>5</v>
      </c>
      <c r="D4" s="3" t="s">
        <v>6</v>
      </c>
      <c r="E4" s="3" t="s">
        <v>7</v>
      </c>
      <c r="F4" s="3" t="s">
        <v>10</v>
      </c>
      <c r="G4" s="3" t="s">
        <v>8</v>
      </c>
      <c r="H4" s="3" t="s">
        <v>9</v>
      </c>
    </row>
    <row r="5" spans="1:8">
      <c r="A5" s="7">
        <v>0.16666666666666666</v>
      </c>
    </row>
    <row r="6" spans="1:8">
      <c r="A6" s="7">
        <v>0.1875</v>
      </c>
    </row>
    <row r="7" spans="1:8">
      <c r="A7" s="7">
        <v>0.20833333333333301</v>
      </c>
    </row>
    <row r="8" spans="1:8">
      <c r="A8" s="7">
        <v>0.22916666666666699</v>
      </c>
    </row>
    <row r="9" spans="1:8">
      <c r="A9" s="7">
        <v>0.25</v>
      </c>
    </row>
    <row r="10" spans="1:8">
      <c r="A10" s="7">
        <v>0.27083333333333398</v>
      </c>
    </row>
    <row r="11" spans="1:8">
      <c r="A11" s="7">
        <v>0.29166666666666702</v>
      </c>
    </row>
    <row r="12" spans="1:8">
      <c r="A12" s="7">
        <v>0.3125</v>
      </c>
    </row>
    <row r="13" spans="1:8">
      <c r="A13" s="7">
        <v>0.33333333333333398</v>
      </c>
    </row>
    <row r="14" spans="1:8">
      <c r="A14" s="7">
        <v>0.35416666666666702</v>
      </c>
    </row>
    <row r="15" spans="1:8">
      <c r="A15" s="7">
        <v>0.375</v>
      </c>
    </row>
    <row r="16" spans="1:8">
      <c r="A16" s="7">
        <v>0.39583333333333398</v>
      </c>
    </row>
    <row r="17" spans="1:1">
      <c r="A17" s="7">
        <v>0.41666666666666702</v>
      </c>
    </row>
    <row r="18" spans="1:1">
      <c r="A18" s="7">
        <v>0.4375</v>
      </c>
    </row>
    <row r="19" spans="1:1">
      <c r="A19" s="7">
        <v>0.45833333333333398</v>
      </c>
    </row>
    <row r="20" spans="1:1">
      <c r="A20" s="7">
        <v>0.47916666666666702</v>
      </c>
    </row>
    <row r="21" spans="1:1">
      <c r="A21" s="7">
        <v>0.5</v>
      </c>
    </row>
    <row r="22" spans="1:1">
      <c r="A22" s="7">
        <v>0.52083333333333404</v>
      </c>
    </row>
    <row r="23" spans="1:1">
      <c r="A23" s="7">
        <v>0.54166666666666696</v>
      </c>
    </row>
    <row r="24" spans="1:1">
      <c r="A24" s="7">
        <v>0.5625</v>
      </c>
    </row>
    <row r="25" spans="1:1">
      <c r="A25" s="7">
        <v>0.58333333333333404</v>
      </c>
    </row>
    <row r="26" spans="1:1">
      <c r="A26" s="7">
        <v>0.60416666666666696</v>
      </c>
    </row>
    <row r="27" spans="1:1">
      <c r="A27" s="7">
        <v>0.625000000000001</v>
      </c>
    </row>
    <row r="28" spans="1:1">
      <c r="A28" s="7">
        <v>0.64583333333333404</v>
      </c>
    </row>
    <row r="29" spans="1:1">
      <c r="A29" s="7">
        <v>0.66666666666666696</v>
      </c>
    </row>
    <row r="30" spans="1:1">
      <c r="A30" s="7">
        <v>0.687500000000001</v>
      </c>
    </row>
    <row r="31" spans="1:1">
      <c r="A31" s="7">
        <v>0.70833333333333404</v>
      </c>
    </row>
    <row r="32" spans="1:1">
      <c r="A32" s="7">
        <v>0.72916666666666696</v>
      </c>
    </row>
    <row r="33" spans="1:1">
      <c r="A33" s="7">
        <v>0.750000000000001</v>
      </c>
    </row>
    <row r="34" spans="1:1">
      <c r="A34" s="7">
        <v>0.77083333333333404</v>
      </c>
    </row>
    <row r="35" spans="1:1">
      <c r="A35" s="7">
        <v>0.79166666666666696</v>
      </c>
    </row>
    <row r="36" spans="1:1">
      <c r="A36" s="7">
        <v>0.812500000000001</v>
      </c>
    </row>
    <row r="37" spans="1:1">
      <c r="A37" s="7">
        <v>0.83333333333333404</v>
      </c>
    </row>
    <row r="38" spans="1:1">
      <c r="A38" s="7">
        <v>0.85416666666666696</v>
      </c>
    </row>
    <row r="39" spans="1:1">
      <c r="A39" s="7">
        <v>0.875000000000001</v>
      </c>
    </row>
    <row r="40" spans="1:1">
      <c r="A40" s="7">
        <v>0.89583333333333404</v>
      </c>
    </row>
    <row r="41" spans="1:1">
      <c r="A41" s="7">
        <v>0.91666666666666696</v>
      </c>
    </row>
    <row r="42" spans="1:1">
      <c r="A42" s="7">
        <v>0.937500000000001</v>
      </c>
    </row>
    <row r="43" spans="1:1">
      <c r="A43" s="7">
        <v>0.95833333333333404</v>
      </c>
    </row>
    <row r="44" spans="1:1">
      <c r="A44" s="7">
        <v>0.97916666666666696</v>
      </c>
    </row>
    <row r="45" spans="1:1">
      <c r="A45" s="7">
        <v>1</v>
      </c>
    </row>
    <row r="46" spans="1:1">
      <c r="A46" s="7">
        <v>1.0208333333333299</v>
      </c>
    </row>
    <row r="47" spans="1:1">
      <c r="A47" s="7">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Stundenplan</vt:lpstr>
      <vt:lpstr>Wochenplan KW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arman zahedi</cp:lastModifiedBy>
  <dcterms:created xsi:type="dcterms:W3CDTF">2020-04-19T13:33:28Z</dcterms:created>
  <dcterms:modified xsi:type="dcterms:W3CDTF">2023-04-10T22:29:43Z</dcterms:modified>
</cp:coreProperties>
</file>