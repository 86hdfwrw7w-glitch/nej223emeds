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defaultThemeVersion="166925"/>
  <mc:AlternateContent xmlns:mc="http://schemas.openxmlformats.org/markup-compatibility/2006">
    <mc:Choice Requires="x15">
      <x15ac:absPath xmlns:x15ac="http://schemas.microsoft.com/office/spreadsheetml/2010/11/ac" url="/Users/timlee/Desktop/Mannheim 2025/2. Semester/"/>
    </mc:Choice>
  </mc:AlternateContent>
  <xr:revisionPtr revIDLastSave="0" documentId="8_{12A565D1-7F64-784A-B7D7-73E3E6A840C7}" xr6:coauthVersionLast="47" xr6:coauthVersionMax="47" xr10:uidLastSave="{00000000-0000-0000-0000-000000000000}"/>
  <bookViews>
    <workbookView xWindow="0" yWindow="0" windowWidth="28800" windowHeight="18000" activeTab="2" xr2:uid="{50F29292-BE80-0C47-A0D2-DD086CB3D310}"/>
  </bookViews>
  <sheets>
    <sheet name="ANLEITUNG" sheetId="10" r:id="rId1"/>
    <sheet name="Semesterplan (2)" sheetId="11" r:id="rId2"/>
    <sheet name="Semesterplan" sheetId="7" r:id="rId3"/>
    <sheet name="Best-Practices" sheetId="2" r:id="rId4"/>
    <sheet name="COMMITTMENT" sheetId="9" r:id="rId5"/>
    <sheet name="Wochenplan KW 19" sheetId="3" r:id="rId6"/>
    <sheet name="Wochenplan KW 20" sheetId="8" r:id="rId7"/>
  </sheets>
  <externalReferences>
    <externalReference r:id="rId8"/>
  </externalReferences>
  <definedNames>
    <definedName name="Lernpla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54" i="7" l="1" a="1"/>
  <c r="K54" i="7" s="1"/>
  <c r="J54" i="7" a="1"/>
  <c r="J54" i="7" s="1"/>
  <c r="I54" i="7"/>
  <c r="K49" i="7" a="1"/>
  <c r="K49" i="7" s="1"/>
  <c r="J46" i="7" a="1"/>
  <c r="J46" i="7" s="1"/>
  <c r="J47" i="7" a="1"/>
  <c r="J47" i="7" s="1"/>
  <c r="J48" i="7" a="1"/>
  <c r="J48" i="7" s="1"/>
  <c r="J49" i="7" a="1"/>
  <c r="J49" i="7" s="1"/>
  <c r="J50" i="7" a="1"/>
  <c r="J50" i="7" s="1"/>
  <c r="J51" i="7" a="1"/>
  <c r="J51" i="7" s="1"/>
  <c r="J52" i="7" a="1"/>
  <c r="J52" i="7" s="1"/>
  <c r="J53" i="7" a="1"/>
  <c r="J53" i="7" s="1"/>
  <c r="J55" i="7" a="1"/>
  <c r="J55" i="7" s="1"/>
  <c r="K46" i="7" a="1"/>
  <c r="K46" i="7" s="1"/>
  <c r="K47" i="7" a="1"/>
  <c r="K47" i="7" s="1"/>
  <c r="K48" i="7" a="1"/>
  <c r="K48" i="7" s="1"/>
  <c r="K50" i="7" a="1"/>
  <c r="K50" i="7" s="1"/>
  <c r="K51" i="7" a="1"/>
  <c r="K51" i="7" s="1"/>
  <c r="K52" i="7" a="1"/>
  <c r="K52" i="7" s="1"/>
  <c r="K53" i="7" a="1"/>
  <c r="K53" i="7" s="1"/>
  <c r="K55" i="7" a="1"/>
  <c r="K55" i="7" s="1"/>
  <c r="K35" i="7" a="1"/>
  <c r="K35" i="7" s="1"/>
  <c r="K36" i="7" a="1"/>
  <c r="K36" i="7" s="1"/>
  <c r="K37" i="7" a="1"/>
  <c r="K37" i="7" s="1"/>
  <c r="K38" i="7" a="1"/>
  <c r="K38" i="7" s="1"/>
  <c r="K39" i="7" a="1"/>
  <c r="K39" i="7" s="1"/>
  <c r="K40" i="7" a="1"/>
  <c r="K40" i="7" s="1"/>
  <c r="K41" i="7" a="1"/>
  <c r="K41" i="7" s="1"/>
  <c r="K42" i="7" a="1"/>
  <c r="K42" i="7" s="1"/>
  <c r="K43" i="7" a="1"/>
  <c r="K43" i="7" s="1"/>
  <c r="K34" i="7" a="1"/>
  <c r="K34" i="7" s="1"/>
  <c r="J20" i="7" a="1"/>
  <c r="J20" i="7" s="1"/>
  <c r="K5" i="7" a="1"/>
  <c r="K5" i="7" s="1"/>
  <c r="K6" i="7" a="1"/>
  <c r="K6" i="7" s="1"/>
  <c r="K7" i="7" a="1"/>
  <c r="K7" i="7" s="1"/>
  <c r="K8" i="7" a="1"/>
  <c r="K8" i="7" s="1"/>
  <c r="K9" i="7" a="1"/>
  <c r="K9" i="7" s="1"/>
  <c r="K10" i="7" a="1"/>
  <c r="K10" i="7" s="1"/>
  <c r="K11" i="7" a="1"/>
  <c r="K11" i="7" s="1"/>
  <c r="K12" i="7" a="1"/>
  <c r="K12" i="7" s="1"/>
  <c r="K13" i="7" a="1"/>
  <c r="K13" i="7" s="1"/>
  <c r="K14" i="7" a="1"/>
  <c r="K14" i="7" s="1"/>
  <c r="K15" i="7" a="1"/>
  <c r="K15" i="7" s="1"/>
  <c r="K16" i="7" a="1"/>
  <c r="K16" i="7" s="1"/>
  <c r="K17" i="7" a="1"/>
  <c r="K17" i="7" s="1"/>
  <c r="K18" i="7" a="1"/>
  <c r="K18" i="7" s="1"/>
  <c r="K19" i="7" a="1"/>
  <c r="K19" i="7" s="1"/>
  <c r="K21" i="7" a="1"/>
  <c r="K21" i="7" s="1"/>
  <c r="K22" i="7" a="1"/>
  <c r="K22" i="7" s="1"/>
  <c r="K23" i="7" a="1"/>
  <c r="K23" i="7" s="1"/>
  <c r="K24" i="7" a="1"/>
  <c r="K24" i="7" s="1"/>
  <c r="K25" i="7" a="1"/>
  <c r="K25" i="7" s="1"/>
  <c r="K26" i="7" a="1"/>
  <c r="K26" i="7" s="1"/>
  <c r="K27" i="7" a="1"/>
  <c r="K27" i="7" s="1"/>
  <c r="K28" i="7" a="1"/>
  <c r="K28" i="7" s="1"/>
  <c r="K29" i="7" a="1"/>
  <c r="K29" i="7" s="1"/>
  <c r="K30" i="7" a="1"/>
  <c r="K30" i="7" s="1"/>
  <c r="K31" i="7" a="1"/>
  <c r="K31" i="7" s="1"/>
  <c r="K20" i="7" a="1"/>
  <c r="K20" i="7" s="1"/>
  <c r="J41" i="7" a="1"/>
  <c r="J41" i="7" s="1"/>
  <c r="I41" i="7"/>
  <c r="J40" i="7" a="1"/>
  <c r="J40" i="7" s="1"/>
  <c r="I40" i="7"/>
  <c r="J39" i="7" a="1"/>
  <c r="J39" i="7" s="1"/>
  <c r="I39" i="7"/>
  <c r="G4" i="7"/>
  <c r="J30" i="7" a="1"/>
  <c r="J30" i="7" s="1"/>
  <c r="I30" i="7"/>
  <c r="J29" i="7" a="1"/>
  <c r="J29" i="7" s="1"/>
  <c r="I29" i="7"/>
  <c r="J31" i="7" a="1"/>
  <c r="J31" i="7" s="1"/>
  <c r="I31" i="7"/>
  <c r="J28" i="7" a="1"/>
  <c r="J28" i="7" s="1"/>
  <c r="I28" i="7"/>
  <c r="J26" i="7" a="1"/>
  <c r="J26" i="7" s="1"/>
  <c r="I26" i="7"/>
  <c r="J25" i="7" a="1"/>
  <c r="J25" i="7" s="1"/>
  <c r="I25" i="7"/>
  <c r="J24" i="7" a="1"/>
  <c r="J24" i="7" s="1"/>
  <c r="I24" i="7"/>
  <c r="J23" i="7" a="1"/>
  <c r="J23" i="7" s="1"/>
  <c r="I23" i="7"/>
  <c r="J22" i="7" a="1"/>
  <c r="J22" i="7" s="1"/>
  <c r="I22" i="7"/>
  <c r="J21" i="7" a="1"/>
  <c r="J21" i="7" s="1"/>
  <c r="I21" i="7"/>
  <c r="I20" i="7"/>
  <c r="J19" i="7" a="1"/>
  <c r="J19" i="7" s="1"/>
  <c r="I19" i="7"/>
  <c r="J18" i="7" a="1"/>
  <c r="J18" i="7" s="1"/>
  <c r="I18" i="7"/>
  <c r="J17" i="7" a="1"/>
  <c r="J17" i="7" s="1"/>
  <c r="I17" i="7"/>
  <c r="J16" i="7" a="1"/>
  <c r="J16" i="7" s="1"/>
  <c r="I16" i="7"/>
  <c r="J15" i="7" a="1"/>
  <c r="J15" i="7" s="1"/>
  <c r="I15" i="7"/>
  <c r="J14" i="7" a="1"/>
  <c r="J14" i="7" s="1"/>
  <c r="I14" i="7"/>
  <c r="J13" i="7" a="1"/>
  <c r="J13" i="7" s="1"/>
  <c r="I13" i="7"/>
  <c r="J12" i="7" a="1"/>
  <c r="J12" i="7" s="1"/>
  <c r="I12" i="7"/>
  <c r="J11" i="7" a="1"/>
  <c r="J11" i="7" s="1"/>
  <c r="I11" i="7"/>
  <c r="J10" i="7" a="1"/>
  <c r="J10" i="7" s="1"/>
  <c r="I10" i="7"/>
  <c r="J9" i="7" a="1"/>
  <c r="J9" i="7" s="1"/>
  <c r="I9" i="7"/>
  <c r="J8" i="7" a="1"/>
  <c r="J8" i="7" s="1"/>
  <c r="I8" i="7"/>
  <c r="CF4" i="7" l="1"/>
  <c r="BY4" i="7"/>
  <c r="BR4" i="7"/>
  <c r="J36" i="7" a="1"/>
  <c r="J36" i="7" s="1"/>
  <c r="I36" i="7"/>
  <c r="J35" i="7" a="1"/>
  <c r="J35" i="7" s="1"/>
  <c r="I35" i="7"/>
  <c r="BK4" i="7"/>
  <c r="C12" i="10"/>
  <c r="J43" i="7" a="1"/>
  <c r="J43" i="7" s="1"/>
  <c r="J42" i="7" a="1"/>
  <c r="J42" i="7" s="1"/>
  <c r="J38" i="7" a="1"/>
  <c r="J38" i="7" s="1"/>
  <c r="J37" i="7" a="1"/>
  <c r="J37" i="7" s="1"/>
  <c r="J34" i="7" a="1"/>
  <c r="J34" i="7" s="1"/>
  <c r="J27" i="7" a="1"/>
  <c r="J27" i="7" s="1"/>
  <c r="J7" i="7" a="1"/>
  <c r="J7" i="7" s="1"/>
  <c r="J6" i="7" a="1"/>
  <c r="J6" i="7" s="1"/>
  <c r="J5" i="7" a="1"/>
  <c r="J5" i="7" s="1"/>
  <c r="AB33" i="7"/>
  <c r="U33" i="7"/>
  <c r="BD4" i="7"/>
  <c r="AW4" i="7"/>
  <c r="AP4" i="7"/>
  <c r="AI4" i="7"/>
  <c r="AB4" i="7"/>
  <c r="U4" i="7"/>
  <c r="AI45" i="7"/>
  <c r="AB45" i="7"/>
  <c r="U45" i="7"/>
  <c r="I55" i="7"/>
  <c r="I53" i="7"/>
  <c r="I52" i="7"/>
  <c r="I51" i="7"/>
  <c r="I50" i="7"/>
  <c r="I49" i="7"/>
  <c r="I48" i="7"/>
  <c r="I47" i="7"/>
  <c r="I46" i="7"/>
  <c r="I43" i="7"/>
  <c r="I42" i="7"/>
  <c r="I38" i="7"/>
  <c r="I37" i="7"/>
  <c r="I34" i="7"/>
  <c r="I6" i="7"/>
  <c r="I7" i="7"/>
  <c r="I27" i="7"/>
  <c r="I5" i="7"/>
  <c r="N45" i="7"/>
  <c r="G45" i="7"/>
  <c r="G33" i="7"/>
  <c r="I45" i="7" l="1"/>
  <c r="J45" i="7"/>
  <c r="K45" i="7"/>
  <c r="I33" i="7"/>
  <c r="J33" i="7"/>
  <c r="K33"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<sst xmlns="http://schemas.openxmlformats.org/spreadsheetml/2006/main" count="616" uniqueCount="265">
  <si>
    <t>Semesterplan</t>
  </si>
  <si>
    <t>Fach</t>
  </si>
  <si>
    <t>Marketing</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</si>
  <si>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</si>
  <si>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</si>
  <si>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</si>
  <si>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</si>
  <si>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</si>
  <si>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</si>
  <si>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</si>
  <si>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</si>
  <si>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</si>
  <si>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</si>
  <si>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</si>
  <si>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</si>
  <si>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</si>
  <si>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</si>
  <si>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</si>
  <si>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</si>
  <si>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</si>
  <si>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</si>
  <si>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</si>
  <si>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</si>
  <si>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</si>
  <si>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</si>
  <si>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</si>
  <si>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</si>
  <si>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</si>
  <si>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</si>
  <si>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</si>
  <si>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</si>
  <si>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</si>
  <si>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</si>
  <si>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</si>
  <si>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</si>
  <si>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</si>
  <si>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</si>
  <si>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</si>
  <si>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</si>
  <si>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</si>
  <si>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</si>
  <si>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</si>
  <si>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</si>
  <si>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</si>
  <si>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</si>
  <si>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</si>
  <si>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</si>
  <si>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</si>
  <si>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</si>
  <si>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</si>
  <si>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</si>
  <si>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</si>
  <si>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</si>
  <si>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</si>
  <si>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</si>
  <si>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</si>
  <si>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</si>
  <si>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</si>
  <si>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</si>
  <si>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</si>
  <si>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</si>
  <si>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</si>
  <si>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</si>
  <si>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</si>
  <si>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</si>
  <si>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</si>
  <si>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</si>
  <si>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</si>
  <si>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</si>
  <si>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</si>
  <si>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</si>
  <si>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</si>
  <si>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</si>
  <si>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</si>
  <si>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</si>
  <si>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</si>
  <si>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</si>
  <si>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</si>
  <si>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</si>
  <si>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</si>
  <si>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</si>
  <si>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</si>
  <si>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</si>
  <si>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</si>
  <si>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</si>
  <si>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</si>
  <si>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</si>
  <si>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</si>
  <si>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Tut 11</t>
  </si>
  <si>
    <t>Recap</t>
  </si>
  <si>
    <t>Tut 10</t>
  </si>
  <si>
    <t>Gastvorlesung</t>
  </si>
  <si>
    <t>Tut 9</t>
  </si>
  <si>
    <t>4.4 Vertriebspolitik</t>
  </si>
  <si>
    <t>Tut 8</t>
  </si>
  <si>
    <t>4.3 Kommunikationspolitik</t>
  </si>
  <si>
    <t>Stand</t>
  </si>
  <si>
    <t>Tut 7</t>
  </si>
  <si>
    <t>4.2 Preispolitik (2)</t>
  </si>
  <si>
    <t>Tut 6</t>
  </si>
  <si>
    <t>Tut 5</t>
  </si>
  <si>
    <t>4.2 Preispolitik (1)</t>
  </si>
  <si>
    <t>Tut 4</t>
  </si>
  <si>
    <t>4.1 Produktpolitik (2)</t>
  </si>
  <si>
    <t>Stand Ostern</t>
  </si>
  <si>
    <t>Tut 3</t>
  </si>
  <si>
    <t>4.1 Produktpolitik (1)</t>
  </si>
  <si>
    <t>Tut 2</t>
  </si>
  <si>
    <t>3.3 Marktforschung</t>
  </si>
  <si>
    <t>Tut 1</t>
  </si>
  <si>
    <t>3.2 Marktforschung</t>
  </si>
  <si>
    <t>3.1 Marktforschung</t>
  </si>
  <si>
    <t>2.2 Konsumentenverhalten</t>
  </si>
  <si>
    <t>2.1 Konsumentenverhalten</t>
  </si>
  <si>
    <t>1. Grundlagen</t>
  </si>
  <si>
    <t>MKT</t>
  </si>
  <si>
    <t>Buchkapitel</t>
  </si>
  <si>
    <t>Tut</t>
  </si>
  <si>
    <t>Lecture (15)</t>
  </si>
  <si>
    <t>13.</t>
  </si>
  <si>
    <t>12.</t>
  </si>
  <si>
    <t>11.</t>
  </si>
  <si>
    <t>10.</t>
  </si>
  <si>
    <t>9.</t>
  </si>
  <si>
    <t xml:space="preserve"> ✅</t>
  </si>
  <si>
    <t>8.</t>
  </si>
  <si>
    <t>7.</t>
  </si>
  <si>
    <t>6.</t>
  </si>
  <si>
    <t>5.</t>
  </si>
  <si>
    <t>4.</t>
  </si>
  <si>
    <t>3.</t>
  </si>
  <si>
    <t>2.</t>
  </si>
  <si>
    <t>1.</t>
  </si>
  <si>
    <t>Exercise</t>
  </si>
  <si>
    <t>27.</t>
  </si>
  <si>
    <t>Ex 13</t>
  </si>
  <si>
    <t>26.</t>
  </si>
  <si>
    <t>25.</t>
  </si>
  <si>
    <t>Ex 12</t>
  </si>
  <si>
    <t>24.</t>
  </si>
  <si>
    <t>23.</t>
  </si>
  <si>
    <t>Ex 11</t>
  </si>
  <si>
    <t>22.</t>
  </si>
  <si>
    <t>21.</t>
  </si>
  <si>
    <t>Ex 10</t>
  </si>
  <si>
    <t>20.</t>
  </si>
  <si>
    <t>19.</t>
  </si>
  <si>
    <t>Ex 9</t>
  </si>
  <si>
    <t>18.</t>
  </si>
  <si>
    <t>17.</t>
  </si>
  <si>
    <t>Chapter 5 Start</t>
  </si>
  <si>
    <t>Ex 8</t>
  </si>
  <si>
    <t>16.</t>
  </si>
  <si>
    <t>15.</t>
  </si>
  <si>
    <t>Ostern</t>
  </si>
  <si>
    <t>Chapter 4</t>
  </si>
  <si>
    <t>Ex 7</t>
  </si>
  <si>
    <t>14.</t>
  </si>
  <si>
    <t>Ex 6</t>
  </si>
  <si>
    <t>Chapter 3</t>
  </si>
  <si>
    <t>Ex 5</t>
  </si>
  <si>
    <t>Ex 4</t>
  </si>
  <si>
    <t>Ex 3</t>
  </si>
  <si>
    <t>Chapter 2</t>
  </si>
  <si>
    <t>Ex 2</t>
  </si>
  <si>
    <t>Ex 1</t>
  </si>
  <si>
    <t>Chapter 1</t>
  </si>
  <si>
    <t>Statistik</t>
  </si>
  <si>
    <t>Chapter</t>
  </si>
  <si>
    <t>Lecture (27)</t>
  </si>
  <si>
    <t>Excel 3</t>
  </si>
  <si>
    <t>Excel 2</t>
  </si>
  <si>
    <t>Excel 1</t>
  </si>
  <si>
    <t>SQL: 06-07</t>
  </si>
  <si>
    <t>Case 4</t>
  </si>
  <si>
    <t>SQL: 01-05</t>
  </si>
  <si>
    <t>Case 3</t>
  </si>
  <si>
    <t>SQL 3</t>
  </si>
  <si>
    <t>!!!!</t>
  </si>
  <si>
    <t>mit Videos</t>
  </si>
  <si>
    <t>Case 2</t>
  </si>
  <si>
    <t>SQL 2</t>
  </si>
  <si>
    <t>6 Stück</t>
  </si>
  <si>
    <t>01-05 Video</t>
  </si>
  <si>
    <t>Case 1</t>
  </si>
  <si>
    <t>SQL 1</t>
  </si>
  <si>
    <t>IS 301</t>
  </si>
  <si>
    <t>SQL Exercise</t>
  </si>
  <si>
    <t>SQL Basics</t>
  </si>
  <si>
    <t>Exercise Case Study</t>
  </si>
  <si>
    <t>Lecture</t>
  </si>
  <si>
    <t>Anmerkung SQL</t>
  </si>
  <si>
    <t>Lecture (9)</t>
  </si>
  <si>
    <t>1. VL</t>
  </si>
  <si>
    <t>2. VL</t>
  </si>
  <si>
    <t>3. VL</t>
  </si>
  <si>
    <t>4. VL</t>
  </si>
  <si>
    <t>5. VL</t>
  </si>
  <si>
    <t>6. VL</t>
  </si>
  <si>
    <t>7. VL</t>
  </si>
  <si>
    <t>8. VL</t>
  </si>
  <si>
    <t>9. VL</t>
  </si>
  <si>
    <t>10. VL</t>
  </si>
  <si>
    <t>11. VL</t>
  </si>
  <si>
    <t>12. VL</t>
  </si>
  <si>
    <t>13. VL</t>
  </si>
  <si>
    <t>14. VL</t>
  </si>
  <si>
    <t>15. VL</t>
  </si>
  <si>
    <t>16. VL</t>
  </si>
  <si>
    <t>17. VL</t>
  </si>
  <si>
    <t>18. VL</t>
  </si>
  <si>
    <t>19. VL</t>
  </si>
  <si>
    <t>20. VL</t>
  </si>
  <si>
    <t>21. VL</t>
  </si>
  <si>
    <t>22. VL</t>
  </si>
  <si>
    <t>23. VL</t>
  </si>
  <si>
    <t>24. VL</t>
  </si>
  <si>
    <t>25. VL</t>
  </si>
  <si>
    <t>26. VL</t>
  </si>
  <si>
    <t>27. VL</t>
  </si>
  <si>
    <t>1. Allgemeine Grundlagen</t>
  </si>
  <si>
    <t>2. Theoretische Perspektive - Verhalten Konsumenten</t>
  </si>
  <si>
    <t>3. VL Teil1</t>
  </si>
  <si>
    <t>3. VL Teil 2</t>
  </si>
  <si>
    <t>4.1 Preispolitik I</t>
  </si>
  <si>
    <t>4.1 Preispolitik II</t>
  </si>
  <si>
    <t>4.2 Preispolitik I</t>
  </si>
  <si>
    <t>4.2 Preispolitik II</t>
  </si>
  <si>
    <t xml:space="preserve">IS </t>
  </si>
  <si>
    <t>KW 9</t>
  </si>
  <si>
    <t>Prüfungswoche</t>
  </si>
  <si>
    <t>KW 1</t>
  </si>
  <si>
    <t>KW 2</t>
  </si>
  <si>
    <t>KW 3</t>
  </si>
  <si>
    <t>KW 4</t>
  </si>
  <si>
    <t>KW 5</t>
  </si>
  <si>
    <t>KW 7</t>
  </si>
  <si>
    <t>KW 6</t>
  </si>
  <si>
    <t>KW 8</t>
  </si>
  <si>
    <t>Ressourcen</t>
  </si>
  <si>
    <t>Altklausur 2009-2021, T1 und T2</t>
  </si>
  <si>
    <t>28 Klausuren</t>
  </si>
  <si>
    <t>1. Wie Altklausuren für Statistik, Übung/Tut IS einbauen?</t>
  </si>
  <si>
    <t>2. Alle Altklausuren machen?</t>
  </si>
  <si>
    <t>3. Bug bei Levelups</t>
  </si>
  <si>
    <t>4. Wie viele Level Ups pro Tag realistisch</t>
  </si>
  <si>
    <t>Prüfungswoche: 21.08-27.08</t>
  </si>
  <si>
    <t>erst auf 80 alle VL, dann Altklausuren</t>
  </si>
  <si>
    <t>ja</t>
  </si>
  <si>
    <t>marketing, IS 100</t>
  </si>
  <si>
    <t>L</t>
  </si>
  <si>
    <t>l</t>
  </si>
  <si>
    <t>L: 7,5</t>
  </si>
  <si>
    <t>L:3,3</t>
  </si>
  <si>
    <t>L:2,6</t>
  </si>
  <si>
    <t>60 L</t>
  </si>
  <si>
    <t>Woche 8</t>
  </si>
  <si>
    <t>30 L</t>
  </si>
  <si>
    <t>Woche 9</t>
  </si>
  <si>
    <t>24 L</t>
  </si>
  <si>
    <t>2 Stunden morgens für 1 Levelup</t>
  </si>
  <si>
    <t>MO-Fr: 5 Levelups</t>
  </si>
  <si>
    <t>Wocheende 8 Srunden x 2</t>
  </si>
  <si>
    <t>1 1/2h Stunden für einen</t>
  </si>
  <si>
    <t>SA-SO: 8-10 Level 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</si>
</sst>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rgb="FFC00000"/>
      <name val="Calibri"/>
      <family val="2"/>
      <scheme val="minor"/>
    </font>
    <font>
      <sz val="12"/>
      <name val="Calibri"/>
      <family val="2"/>
      <scheme val="minor"/>
    </font>
    <font>
      <sz val="16"/>
      <color theme="1"/>
      <name val="Calibri"/>
      <family val="2"/>
      <scheme val="minor"/>
    </font>
    <font>
      <sz val="8"/>
      <name val="Calibri"/>
      <family val="2"/>
      <scheme val="minor"/>
    </font>
  </fonts>
  <fills count="12">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FF0000"/>
        <bgColor indexed="64"/>
      </patternFill>
    </fill>
    <fill>
      <patternFill patternType="solid">
        <fgColor rgb="FFFF231B"/>
        <bgColor indexed="64"/>
      </patternFill>
    </fill>
    <fill>
      <patternFill patternType="solid">
        <fgColor rgb="FF00B0F0"/>
        <bgColor indexed="64"/>
      </patternFill>
    </fill>
    <fill>
      <patternFill patternType="solid">
        <fgColor theme="9"/>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36">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xf numFmtId="16" fontId="0" fillId="0" borderId="0" xfId="0" applyNumberFormat="1"/>
    <xf numFmtId="0" fontId="1" fillId="4" borderId="0" xfId="0" applyFont="1" applyFill="1"/>
    <xf numFmtId="14" fontId="0" fillId="8" borderId="0" xfId="0" applyNumberFormat="1" applyFill="1"/>
    <xf numFmtId="0" fontId="1" fillId="9" borderId="0" xfId="0" applyFont="1" applyFill="1"/>
    <xf numFmtId="0" fontId="5" fillId="7" borderId="0" xfId="0" applyFont="1" applyFill="1"/>
    <xf numFmtId="0" fontId="5" fillId="0" borderId="0" xfId="0" applyFont="1"/>
    <xf numFmtId="0" fontId="6" fillId="7" borderId="0" xfId="0" applyFont="1" applyFill="1"/>
    <xf numFmtId="0" fontId="0" fillId="10" borderId="0" xfId="0" applyFill="1"/>
    <xf numFmtId="0" fontId="0" fillId="11" borderId="0" xfId="0" applyFill="1"/>
    <xf numFmtId="0" fontId="7" fillId="0" borderId="0" xfId="0" applyFont="1"/>
    <xf numFmtId="0" fontId="0" fillId="0" borderId="0" xfId="0" applyFill="1"/>
    <xf numFmtId="0" fontId="1" fillId="0" borderId="0" xfId="0" applyFont="1" applyFill="1"/>
    <xf numFmtId="0" fontId="1" fillId="0" borderId="0" xfId="0" applyFont="1" applyFill="1" applyAlignment="1">
      <alignment horizontal="center"/>
    </xf>
    <xf numFmtId="14" fontId="0" fillId="0" borderId="0" xfId="0" applyNumberFormat="1" applyFill="1"/>
    <xf numFmtId="16" fontId="0" fillId="0" borderId="0" xfId="0" applyNumberFormat="1" applyFill="1"/>
  </cellXfs>
  <cellStyles count="1">
    <cellStyle name="Standard" xfId="0" builtinId="0"/>
  </cellStyles>
  <dxfs count="143">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timlee/Desktop/Mannheim%202025/2.%20Semester/2.%20Semester.xlsx" TargetMode="External"/><Relationship Id="rId1" Type="http://schemas.openxmlformats.org/officeDocument/2006/relationships/externalLinkPath" Target="2.%20Seme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ernplan New (2)"/>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142">
  <autoFilter ref="A1:K46" xr:uid="{6E266E34-2786-2747-BCE7-51B74867A564}"/>
  <tableColumns count="11">
    <tableColumn id="1" xr3:uid="{95FD92F7-3DC8-704D-A103-A7EDDAB255AB}" name="Datum" dataDxfId="141"/>
    <tableColumn id="2" xr3:uid="{F464D510-8166-E740-A343-FB84BDEF877F}" name="Lerneinheiten durchgezogen" dataDxfId="140"/>
    <tableColumn id="3" xr3:uid="{75F52B08-1A00-0848-BBE6-1EDF7B31B1AD}" name="Tagesplan erstellt" dataDxfId="139"/>
    <tableColumn id="4" xr3:uid="{E6B18D89-E799-AD48-9DAA-37AEE1D29011}" name="Konzentrationslevel" dataDxfId="138"/>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14" sqref="C14"/>
    </sheetView>
  </sheetViews>
  <sheetFormatPr baseColWidth="10" defaultRowHeight="16" x14ac:dyDescent="0.2"/>
  <cols>
    <col min="1" max="1" width="11.83203125" customWidth="1"/>
    <col min="2" max="2" width="62.6640625" customWidth="1"/>
  </cols>
  <sheetData>
    <row r="2" spans="1:4" x14ac:dyDescent="0.2">
      <c r="C2" s="18" t="s">
        <v>72</v>
      </c>
    </row>
    <row r="3" spans="1:4" x14ac:dyDescent="0.2">
      <c r="C3" s="17" t="s">
        <v>57</v>
      </c>
    </row>
    <row r="4" spans="1:4" x14ac:dyDescent="0.2">
      <c r="C4" s="16" t="s">
        <v>71</v>
      </c>
    </row>
    <row r="5" spans="1:4" x14ac:dyDescent="0.2">
      <c r="A5" s="2" t="s">
        <v>54</v>
      </c>
      <c r="B5" s="2" t="s">
        <v>55</v>
      </c>
      <c r="C5" s="2" t="s">
        <v>56</v>
      </c>
      <c r="D5" s="2" t="s">
        <v>58</v>
      </c>
    </row>
    <row r="6" spans="1:4" x14ac:dyDescent="0.2">
      <c r="A6" t="s">
        <v>50</v>
      </c>
      <c r="B6" s="18" t="s">
        <v>53</v>
      </c>
      <c r="D6" t="s">
        <v>87</v>
      </c>
    </row>
    <row r="7" spans="1:4" x14ac:dyDescent="0.2">
      <c r="A7" t="s">
        <v>61</v>
      </c>
      <c r="B7" t="s">
        <v>62</v>
      </c>
      <c r="C7" s="16">
        <v>47</v>
      </c>
    </row>
    <row r="8" spans="1:4" x14ac:dyDescent="0.2">
      <c r="A8" t="s">
        <v>52</v>
      </c>
      <c r="B8" s="18" t="s">
        <v>51</v>
      </c>
      <c r="D8" t="s">
        <v>75</v>
      </c>
    </row>
    <row r="9" spans="1:4" x14ac:dyDescent="0.2">
      <c r="A9" t="s">
        <v>60</v>
      </c>
      <c r="B9" s="18" t="s">
        <v>73</v>
      </c>
      <c r="D9" t="s">
        <v>76</v>
      </c>
    </row>
    <row r="10" spans="1:4" x14ac:dyDescent="0.2">
      <c r="A10" t="s">
        <v>64</v>
      </c>
      <c r="B10" t="s">
        <v>63</v>
      </c>
      <c r="C10" s="16">
        <v>9</v>
      </c>
      <c r="D10" t="s">
        <v>59</v>
      </c>
    </row>
    <row r="11" spans="1:4" x14ac:dyDescent="0.2">
      <c r="A11" t="s">
        <v>65</v>
      </c>
      <c r="B11" t="s">
        <v>67</v>
      </c>
      <c r="C11" s="16">
        <v>105</v>
      </c>
      <c r="D11" t="s">
        <v>66</v>
      </c>
    </row>
    <row r="12" spans="1:4" x14ac:dyDescent="0.2">
      <c r="A12" t="s">
        <v>69</v>
      </c>
      <c r="B12" t="s">
        <v>68</v>
      </c>
      <c r="C12" s="17">
        <f>C11/C10</f>
        <v>11.666666666666666</v>
      </c>
    </row>
    <row r="13" spans="1:4" x14ac:dyDescent="0.2">
      <c r="A13" t="s">
        <v>74</v>
      </c>
      <c r="B13" t="s">
        <v>70</v>
      </c>
      <c r="D13" t="s">
        <v>77</v>
      </c>
    </row>
    <row r="14" spans="1:4" x14ac:dyDescent="0.2">
      <c r="A14" t="s">
        <v>78</v>
      </c>
      <c r="B14" t="s">
        <v>79</v>
      </c>
      <c r="D14" t="s">
        <v>80</v>
      </c>
    </row>
    <row r="15" spans="1:4" x14ac:dyDescent="0.2">
      <c r="A15" t="s">
        <v>81</v>
      </c>
      <c r="B15" s="18" t="s">
        <v>82</v>
      </c>
    </row>
    <row r="16" spans="1:4" x14ac:dyDescent="0.2">
      <c r="A16" t="s">
        <v>85</v>
      </c>
      <c r="B16" s="18" t="s">
        <v>83</v>
      </c>
    </row>
    <row r="17" spans="1:2" x14ac:dyDescent="0.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3DDEA-BBD8-F148-AC96-EF9F427540ED}">
  <dimension ref="A1:S79"/>
  <sheetViews>
    <sheetView topLeftCell="F1" zoomScale="132" zoomScaleNormal="120" workbookViewId="0">
      <selection activeCell="P13" sqref="P13"/>
    </sheetView>
  </sheetViews>
  <sheetFormatPr baseColWidth="10" defaultRowHeight="16" x14ac:dyDescent="0.2"/>
  <cols>
    <col min="1" max="1" width="22.33203125" customWidth="1"/>
    <col min="3" max="3" width="14.1640625" customWidth="1"/>
    <col min="4" max="4" width="21.33203125" customWidth="1"/>
    <col min="7" max="7" width="12.83203125" customWidth="1"/>
    <col min="8" max="8" width="13.6640625" customWidth="1"/>
    <col min="16" max="16" width="19" customWidth="1"/>
  </cols>
  <sheetData>
    <row r="1" spans="1:19" ht="34" x14ac:dyDescent="0.4">
      <c r="A1" s="30"/>
      <c r="B1" s="4" t="s">
        <v>0</v>
      </c>
    </row>
    <row r="2" spans="1:19" ht="21" x14ac:dyDescent="0.25">
      <c r="B2" s="30"/>
      <c r="J2" s="25"/>
      <c r="K2" s="29"/>
      <c r="L2" s="28"/>
    </row>
    <row r="3" spans="1:19" x14ac:dyDescent="0.2">
      <c r="B3" s="5" t="s">
        <v>1</v>
      </c>
      <c r="C3" s="5" t="s">
        <v>25</v>
      </c>
      <c r="D3" s="5" t="s">
        <v>192</v>
      </c>
      <c r="E3" s="5" t="s">
        <v>133</v>
      </c>
      <c r="F3" s="5" t="s">
        <v>117</v>
      </c>
      <c r="G3" s="6" t="s">
        <v>3</v>
      </c>
      <c r="H3" s="6" t="s">
        <v>4</v>
      </c>
      <c r="I3" s="5" t="s">
        <v>191</v>
      </c>
      <c r="N3" t="s">
        <v>190</v>
      </c>
      <c r="O3" t="s">
        <v>117</v>
      </c>
      <c r="P3" t="s">
        <v>189</v>
      </c>
      <c r="Q3" t="s">
        <v>188</v>
      </c>
      <c r="R3" t="s">
        <v>187</v>
      </c>
    </row>
    <row r="4" spans="1:19" x14ac:dyDescent="0.2">
      <c r="B4" s="24" t="s">
        <v>186</v>
      </c>
      <c r="C4" s="23">
        <v>45083</v>
      </c>
      <c r="D4" t="s">
        <v>132</v>
      </c>
      <c r="G4" s="27">
        <v>50</v>
      </c>
      <c r="H4" s="28"/>
      <c r="J4" t="s">
        <v>124</v>
      </c>
      <c r="N4" s="31">
        <v>1</v>
      </c>
      <c r="O4" s="31" t="s">
        <v>185</v>
      </c>
      <c r="P4" s="31" t="s">
        <v>184</v>
      </c>
      <c r="Q4" s="31" t="s">
        <v>183</v>
      </c>
      <c r="R4" s="31" t="s">
        <v>182</v>
      </c>
      <c r="S4" s="31" t="s">
        <v>178</v>
      </c>
    </row>
    <row r="5" spans="1:19" x14ac:dyDescent="0.2">
      <c r="D5" t="s">
        <v>131</v>
      </c>
      <c r="G5" s="27">
        <v>50</v>
      </c>
      <c r="H5" s="28"/>
      <c r="J5" t="s">
        <v>124</v>
      </c>
      <c r="N5" s="31">
        <v>2</v>
      </c>
      <c r="O5" s="31" t="s">
        <v>181</v>
      </c>
      <c r="P5" s="31"/>
      <c r="Q5" s="31"/>
      <c r="R5" s="31" t="s">
        <v>179</v>
      </c>
      <c r="S5" s="31" t="s">
        <v>178</v>
      </c>
    </row>
    <row r="6" spans="1:19" x14ac:dyDescent="0.2">
      <c r="D6" t="s">
        <v>130</v>
      </c>
      <c r="G6" s="27">
        <v>50</v>
      </c>
      <c r="H6" s="28"/>
      <c r="J6" t="s">
        <v>124</v>
      </c>
      <c r="N6" s="31">
        <v>3</v>
      </c>
      <c r="O6" s="31" t="s">
        <v>177</v>
      </c>
      <c r="P6" s="31"/>
      <c r="Q6" s="31"/>
      <c r="R6" s="31"/>
      <c r="S6" s="31"/>
    </row>
    <row r="7" spans="1:19" x14ac:dyDescent="0.2">
      <c r="D7" t="s">
        <v>129</v>
      </c>
      <c r="F7" t="s">
        <v>109</v>
      </c>
      <c r="G7" s="27">
        <v>50</v>
      </c>
      <c r="H7" s="29">
        <v>80</v>
      </c>
      <c r="I7" t="s">
        <v>175</v>
      </c>
      <c r="J7" t="s">
        <v>124</v>
      </c>
      <c r="N7" s="31">
        <v>4</v>
      </c>
      <c r="O7" s="31"/>
      <c r="P7" s="31" t="s">
        <v>180</v>
      </c>
      <c r="Q7" s="31"/>
      <c r="R7" s="31"/>
      <c r="S7" s="31"/>
    </row>
    <row r="8" spans="1:19" x14ac:dyDescent="0.2">
      <c r="B8" s="2"/>
      <c r="D8" t="s">
        <v>128</v>
      </c>
      <c r="E8" t="s">
        <v>165</v>
      </c>
      <c r="F8" t="s">
        <v>107</v>
      </c>
      <c r="G8" s="27">
        <v>50</v>
      </c>
      <c r="H8" s="29">
        <v>80</v>
      </c>
      <c r="I8" t="s">
        <v>173</v>
      </c>
      <c r="J8" t="s">
        <v>124</v>
      </c>
      <c r="N8" s="31">
        <v>5</v>
      </c>
      <c r="O8" s="31" t="s">
        <v>172</v>
      </c>
      <c r="P8" s="31"/>
      <c r="Q8" s="31"/>
      <c r="R8" s="31"/>
      <c r="S8" s="31"/>
    </row>
    <row r="9" spans="1:19" x14ac:dyDescent="0.2">
      <c r="B9" s="2"/>
      <c r="D9" t="s">
        <v>127</v>
      </c>
      <c r="F9" t="s">
        <v>105</v>
      </c>
      <c r="G9" s="27">
        <v>50</v>
      </c>
      <c r="H9" s="29">
        <v>80</v>
      </c>
      <c r="N9" s="31">
        <v>6</v>
      </c>
      <c r="O9" s="31" t="s">
        <v>171</v>
      </c>
      <c r="P9" s="31"/>
      <c r="Q9" s="31"/>
      <c r="R9" s="31"/>
      <c r="S9" s="31"/>
    </row>
    <row r="10" spans="1:19" x14ac:dyDescent="0.2">
      <c r="B10" s="22" t="s">
        <v>96</v>
      </c>
      <c r="C10" s="16"/>
      <c r="D10" t="s">
        <v>126</v>
      </c>
      <c r="E10" t="s">
        <v>164</v>
      </c>
      <c r="F10" t="s">
        <v>102</v>
      </c>
      <c r="G10" s="27">
        <v>50</v>
      </c>
      <c r="N10" s="31">
        <v>7</v>
      </c>
      <c r="O10" s="31" t="s">
        <v>170</v>
      </c>
      <c r="P10" s="31" t="s">
        <v>176</v>
      </c>
      <c r="Q10" s="31"/>
      <c r="R10" s="31"/>
      <c r="S10" s="31"/>
    </row>
    <row r="11" spans="1:19" x14ac:dyDescent="0.2">
      <c r="D11" t="s">
        <v>125</v>
      </c>
      <c r="E11" t="s">
        <v>162</v>
      </c>
      <c r="F11" t="s">
        <v>100</v>
      </c>
      <c r="G11" s="27">
        <v>50</v>
      </c>
      <c r="N11" s="31">
        <v>8</v>
      </c>
      <c r="O11" s="31"/>
      <c r="P11" s="31"/>
      <c r="Q11" s="31"/>
      <c r="R11" s="31"/>
      <c r="S11" s="31"/>
    </row>
    <row r="12" spans="1:19" x14ac:dyDescent="0.2">
      <c r="D12" t="s">
        <v>123</v>
      </c>
      <c r="E12" t="s">
        <v>161</v>
      </c>
      <c r="F12" t="s">
        <v>99</v>
      </c>
      <c r="G12" s="27">
        <v>50</v>
      </c>
      <c r="N12" s="31">
        <v>9</v>
      </c>
      <c r="O12" s="31"/>
      <c r="P12" s="31" t="s">
        <v>174</v>
      </c>
      <c r="Q12" s="31"/>
      <c r="R12" s="31"/>
      <c r="S12" s="31"/>
    </row>
    <row r="16" spans="1:19" x14ac:dyDescent="0.2">
      <c r="B16" s="5" t="s">
        <v>1</v>
      </c>
      <c r="C16" s="5" t="s">
        <v>25</v>
      </c>
      <c r="D16" s="5" t="s">
        <v>169</v>
      </c>
      <c r="E16" s="5" t="s">
        <v>133</v>
      </c>
      <c r="F16" s="5" t="s">
        <v>168</v>
      </c>
      <c r="G16" s="6" t="s">
        <v>3</v>
      </c>
      <c r="H16" s="6" t="s">
        <v>4</v>
      </c>
      <c r="N16" t="s">
        <v>239</v>
      </c>
    </row>
    <row r="17" spans="2:14" x14ac:dyDescent="0.2">
      <c r="B17" s="24" t="s">
        <v>167</v>
      </c>
      <c r="C17" s="23">
        <v>45086</v>
      </c>
      <c r="D17" t="s">
        <v>132</v>
      </c>
      <c r="F17" s="2" t="s">
        <v>166</v>
      </c>
      <c r="G17" s="26"/>
      <c r="H17" s="26"/>
      <c r="N17" t="s">
        <v>240</v>
      </c>
    </row>
    <row r="18" spans="2:14" x14ac:dyDescent="0.2">
      <c r="D18" t="s">
        <v>131</v>
      </c>
      <c r="E18" t="s">
        <v>165</v>
      </c>
      <c r="G18" s="25"/>
      <c r="H18" s="25"/>
    </row>
    <row r="19" spans="2:14" x14ac:dyDescent="0.2">
      <c r="D19" t="s">
        <v>130</v>
      </c>
      <c r="G19" s="25"/>
      <c r="H19" s="25"/>
      <c r="N19" t="s">
        <v>241</v>
      </c>
    </row>
    <row r="20" spans="2:14" x14ac:dyDescent="0.2">
      <c r="D20" t="s">
        <v>129</v>
      </c>
      <c r="E20" t="s">
        <v>164</v>
      </c>
      <c r="F20" s="2"/>
      <c r="G20" s="25"/>
      <c r="H20" s="25"/>
    </row>
    <row r="21" spans="2:14" x14ac:dyDescent="0.2">
      <c r="D21" t="s">
        <v>128</v>
      </c>
      <c r="F21" s="2" t="s">
        <v>163</v>
      </c>
      <c r="G21" s="25"/>
      <c r="H21" s="25"/>
    </row>
    <row r="22" spans="2:14" x14ac:dyDescent="0.2">
      <c r="D22" t="s">
        <v>127</v>
      </c>
      <c r="E22" t="s">
        <v>162</v>
      </c>
      <c r="G22" s="25"/>
      <c r="H22" s="25"/>
    </row>
    <row r="23" spans="2:14" x14ac:dyDescent="0.2">
      <c r="D23" t="s">
        <v>126</v>
      </c>
      <c r="G23" s="25"/>
      <c r="H23" s="25"/>
    </row>
    <row r="24" spans="2:14" x14ac:dyDescent="0.2">
      <c r="D24" t="s">
        <v>125</v>
      </c>
      <c r="E24" t="s">
        <v>161</v>
      </c>
      <c r="G24" s="25"/>
      <c r="H24" s="25"/>
    </row>
    <row r="25" spans="2:14" x14ac:dyDescent="0.2">
      <c r="D25" t="s">
        <v>123</v>
      </c>
      <c r="G25" s="25"/>
      <c r="H25" s="25"/>
    </row>
    <row r="26" spans="2:14" x14ac:dyDescent="0.2">
      <c r="D26" t="s">
        <v>122</v>
      </c>
      <c r="E26" t="s">
        <v>160</v>
      </c>
      <c r="G26" s="25"/>
      <c r="H26" s="25"/>
    </row>
    <row r="27" spans="2:14" x14ac:dyDescent="0.2">
      <c r="D27" t="s">
        <v>121</v>
      </c>
      <c r="F27" s="2" t="s">
        <v>159</v>
      </c>
      <c r="G27" s="25"/>
      <c r="H27" s="25"/>
    </row>
    <row r="28" spans="2:14" x14ac:dyDescent="0.2">
      <c r="D28" t="s">
        <v>120</v>
      </c>
      <c r="E28" t="s">
        <v>158</v>
      </c>
      <c r="F28" s="2"/>
      <c r="G28" s="25"/>
      <c r="H28" s="25"/>
    </row>
    <row r="29" spans="2:14" x14ac:dyDescent="0.2">
      <c r="D29" t="s">
        <v>119</v>
      </c>
      <c r="F29" s="2"/>
      <c r="G29" s="25"/>
      <c r="H29" s="25"/>
    </row>
    <row r="30" spans="2:14" x14ac:dyDescent="0.2">
      <c r="D30" t="s">
        <v>157</v>
      </c>
      <c r="E30" t="s">
        <v>156</v>
      </c>
      <c r="F30" s="2" t="s">
        <v>155</v>
      </c>
      <c r="G30" s="25"/>
      <c r="H30" s="25"/>
    </row>
    <row r="31" spans="2:14" x14ac:dyDescent="0.2">
      <c r="B31" s="2" t="s">
        <v>154</v>
      </c>
      <c r="D31" t="s">
        <v>153</v>
      </c>
      <c r="F31" s="2"/>
      <c r="G31" s="25"/>
      <c r="H31" s="25"/>
    </row>
    <row r="32" spans="2:14" x14ac:dyDescent="0.2">
      <c r="D32" t="s">
        <v>152</v>
      </c>
      <c r="E32" t="s">
        <v>151</v>
      </c>
      <c r="F32" s="2" t="s">
        <v>150</v>
      </c>
      <c r="G32" s="25"/>
    </row>
    <row r="33" spans="2:8" x14ac:dyDescent="0.2">
      <c r="B33" s="2"/>
      <c r="D33" t="s">
        <v>149</v>
      </c>
      <c r="G33" s="25"/>
    </row>
    <row r="34" spans="2:8" x14ac:dyDescent="0.2">
      <c r="D34" t="s">
        <v>148</v>
      </c>
      <c r="E34" t="s">
        <v>147</v>
      </c>
      <c r="G34" s="25"/>
    </row>
    <row r="35" spans="2:8" x14ac:dyDescent="0.2">
      <c r="B35" s="22" t="s">
        <v>96</v>
      </c>
      <c r="C35" s="16"/>
      <c r="D35" t="s">
        <v>146</v>
      </c>
      <c r="G35" s="25"/>
    </row>
    <row r="36" spans="2:8" x14ac:dyDescent="0.2">
      <c r="D36" t="s">
        <v>145</v>
      </c>
      <c r="E36" t="s">
        <v>144</v>
      </c>
      <c r="G36" s="25"/>
    </row>
    <row r="37" spans="2:8" x14ac:dyDescent="0.2">
      <c r="B37" s="22" t="s">
        <v>96</v>
      </c>
      <c r="C37" s="16"/>
      <c r="D37" t="s">
        <v>143</v>
      </c>
      <c r="G37" s="25"/>
    </row>
    <row r="38" spans="2:8" x14ac:dyDescent="0.2">
      <c r="D38" t="s">
        <v>142</v>
      </c>
      <c r="E38" t="s">
        <v>141</v>
      </c>
      <c r="G38" s="25"/>
    </row>
    <row r="39" spans="2:8" x14ac:dyDescent="0.2">
      <c r="D39" t="s">
        <v>140</v>
      </c>
      <c r="G39" s="25"/>
    </row>
    <row r="40" spans="2:8" x14ac:dyDescent="0.2">
      <c r="D40" t="s">
        <v>139</v>
      </c>
      <c r="E40" t="s">
        <v>138</v>
      </c>
      <c r="G40" s="25"/>
    </row>
    <row r="41" spans="2:8" x14ac:dyDescent="0.2">
      <c r="D41" t="s">
        <v>137</v>
      </c>
      <c r="G41" s="25"/>
    </row>
    <row r="42" spans="2:8" x14ac:dyDescent="0.2">
      <c r="D42" t="s">
        <v>136</v>
      </c>
      <c r="E42" t="s">
        <v>135</v>
      </c>
      <c r="G42" s="25"/>
    </row>
    <row r="43" spans="2:8" x14ac:dyDescent="0.2">
      <c r="D43" t="s">
        <v>134</v>
      </c>
      <c r="G43" s="25"/>
    </row>
    <row r="47" spans="2:8" x14ac:dyDescent="0.2">
      <c r="B47" s="5" t="s">
        <v>1</v>
      </c>
      <c r="C47" s="5" t="s">
        <v>25</v>
      </c>
      <c r="D47" s="5" t="s">
        <v>118</v>
      </c>
      <c r="E47" s="5" t="s">
        <v>117</v>
      </c>
      <c r="F47" s="5" t="s">
        <v>116</v>
      </c>
      <c r="G47" s="6" t="s">
        <v>3</v>
      </c>
      <c r="H47" s="6" t="s">
        <v>4</v>
      </c>
    </row>
    <row r="48" spans="2:8" x14ac:dyDescent="0.2">
      <c r="B48" s="24" t="s">
        <v>115</v>
      </c>
      <c r="C48" s="23">
        <v>45166</v>
      </c>
      <c r="D48" t="s">
        <v>114</v>
      </c>
    </row>
    <row r="49" spans="2:8" x14ac:dyDescent="0.2">
      <c r="D49" t="s">
        <v>113</v>
      </c>
    </row>
    <row r="50" spans="2:8" x14ac:dyDescent="0.2">
      <c r="D50" t="s">
        <v>112</v>
      </c>
    </row>
    <row r="51" spans="2:8" x14ac:dyDescent="0.2">
      <c r="D51" s="21" t="s">
        <v>111</v>
      </c>
    </row>
    <row r="52" spans="2:8" x14ac:dyDescent="0.2">
      <c r="D52" s="21" t="s">
        <v>110</v>
      </c>
      <c r="E52" t="s">
        <v>109</v>
      </c>
    </row>
    <row r="53" spans="2:8" x14ac:dyDescent="0.2">
      <c r="D53" s="21" t="s">
        <v>108</v>
      </c>
      <c r="E53" t="s">
        <v>107</v>
      </c>
    </row>
    <row r="54" spans="2:8" x14ac:dyDescent="0.2">
      <c r="D54" s="21" t="s">
        <v>106</v>
      </c>
      <c r="E54" t="s">
        <v>105</v>
      </c>
    </row>
    <row r="55" spans="2:8" x14ac:dyDescent="0.2">
      <c r="B55" s="22" t="s">
        <v>104</v>
      </c>
      <c r="C55" s="16"/>
      <c r="D55" s="21" t="s">
        <v>103</v>
      </c>
      <c r="E55" t="s">
        <v>102</v>
      </c>
    </row>
    <row r="56" spans="2:8" x14ac:dyDescent="0.2">
      <c r="D56" s="21" t="s">
        <v>101</v>
      </c>
      <c r="E56" t="s">
        <v>100</v>
      </c>
    </row>
    <row r="57" spans="2:8" x14ac:dyDescent="0.2">
      <c r="B57" s="22" t="s">
        <v>96</v>
      </c>
      <c r="C57" s="16"/>
      <c r="D57" s="21" t="s">
        <v>91</v>
      </c>
      <c r="E57" t="s">
        <v>99</v>
      </c>
    </row>
    <row r="58" spans="2:8" x14ac:dyDescent="0.2">
      <c r="D58" s="21" t="s">
        <v>98</v>
      </c>
      <c r="E58" t="s">
        <v>97</v>
      </c>
    </row>
    <row r="59" spans="2:8" x14ac:dyDescent="0.2">
      <c r="B59" s="22" t="s">
        <v>96</v>
      </c>
      <c r="C59" s="16"/>
      <c r="D59" s="21" t="s">
        <v>95</v>
      </c>
      <c r="E59" t="s">
        <v>94</v>
      </c>
    </row>
    <row r="60" spans="2:8" x14ac:dyDescent="0.2">
      <c r="D60" s="21" t="s">
        <v>93</v>
      </c>
      <c r="E60" t="s">
        <v>92</v>
      </c>
    </row>
    <row r="61" spans="2:8" x14ac:dyDescent="0.2">
      <c r="D61" s="21" t="s">
        <v>91</v>
      </c>
      <c r="E61" t="s">
        <v>90</v>
      </c>
    </row>
    <row r="62" spans="2:8" x14ac:dyDescent="0.2">
      <c r="D62" s="21" t="s">
        <v>89</v>
      </c>
      <c r="E62" t="s">
        <v>88</v>
      </c>
    </row>
    <row r="64" spans="2:8" x14ac:dyDescent="0.2">
      <c r="B64" s="32"/>
      <c r="C64" s="32"/>
      <c r="D64" s="32"/>
      <c r="E64" s="32"/>
      <c r="F64" s="32"/>
      <c r="G64" s="33"/>
      <c r="H64" s="33"/>
    </row>
    <row r="65" spans="2:8" x14ac:dyDescent="0.2">
      <c r="B65" s="32"/>
      <c r="C65" s="34"/>
      <c r="D65" s="31"/>
      <c r="E65" s="31"/>
      <c r="F65" s="31"/>
      <c r="G65" s="31"/>
      <c r="H65" s="31"/>
    </row>
    <row r="66" spans="2:8" x14ac:dyDescent="0.2">
      <c r="B66" s="31"/>
      <c r="C66" s="31"/>
      <c r="D66" s="31"/>
      <c r="E66" s="31"/>
      <c r="F66" s="31"/>
      <c r="G66" s="31"/>
      <c r="H66" s="31"/>
    </row>
    <row r="67" spans="2:8" x14ac:dyDescent="0.2">
      <c r="B67" s="31"/>
      <c r="C67" s="31"/>
      <c r="D67" s="31"/>
      <c r="E67" s="31"/>
      <c r="F67" s="31"/>
      <c r="G67" s="31"/>
      <c r="H67" s="31"/>
    </row>
    <row r="68" spans="2:8" x14ac:dyDescent="0.2">
      <c r="B68" s="31"/>
      <c r="C68" s="31"/>
      <c r="D68" s="35"/>
      <c r="E68" s="31"/>
      <c r="F68" s="31"/>
      <c r="G68" s="31"/>
      <c r="H68" s="31"/>
    </row>
    <row r="69" spans="2:8" x14ac:dyDescent="0.2">
      <c r="B69" s="31"/>
      <c r="C69" s="31"/>
      <c r="D69" s="35"/>
      <c r="E69" s="31"/>
      <c r="F69" s="31"/>
      <c r="G69" s="31"/>
      <c r="H69" s="31"/>
    </row>
    <row r="70" spans="2:8" x14ac:dyDescent="0.2">
      <c r="B70" s="31"/>
      <c r="C70" s="31"/>
      <c r="D70" s="35"/>
      <c r="E70" s="31"/>
      <c r="F70" s="31"/>
      <c r="G70" s="31"/>
      <c r="H70" s="31"/>
    </row>
    <row r="71" spans="2:8" x14ac:dyDescent="0.2">
      <c r="B71" s="31"/>
      <c r="C71" s="31"/>
      <c r="D71" s="35"/>
      <c r="E71" s="31"/>
      <c r="F71" s="31"/>
      <c r="G71" s="31"/>
      <c r="H71" s="31"/>
    </row>
    <row r="72" spans="2:8" x14ac:dyDescent="0.2">
      <c r="B72" s="32"/>
      <c r="C72" s="31"/>
      <c r="D72" s="35"/>
      <c r="E72" s="31"/>
      <c r="F72" s="31"/>
      <c r="G72" s="31"/>
      <c r="H72" s="31"/>
    </row>
    <row r="73" spans="2:8" x14ac:dyDescent="0.2">
      <c r="B73" s="31"/>
      <c r="C73" s="31"/>
      <c r="D73" s="35"/>
      <c r="E73" s="31"/>
      <c r="F73" s="31"/>
      <c r="G73" s="31"/>
      <c r="H73" s="31"/>
    </row>
    <row r="74" spans="2:8" x14ac:dyDescent="0.2">
      <c r="B74" s="32"/>
      <c r="C74" s="31"/>
      <c r="D74" s="35"/>
      <c r="E74" s="31"/>
      <c r="F74" s="31"/>
      <c r="G74" s="31"/>
      <c r="H74" s="31"/>
    </row>
    <row r="75" spans="2:8" x14ac:dyDescent="0.2">
      <c r="B75" s="31"/>
      <c r="C75" s="31"/>
      <c r="D75" s="35"/>
      <c r="E75" s="31"/>
      <c r="F75" s="31"/>
      <c r="G75" s="31"/>
      <c r="H75" s="31"/>
    </row>
    <row r="76" spans="2:8" x14ac:dyDescent="0.2">
      <c r="B76" s="32"/>
      <c r="C76" s="31"/>
      <c r="D76" s="35"/>
      <c r="E76" s="31"/>
      <c r="F76" s="31"/>
      <c r="G76" s="31"/>
      <c r="H76" s="31"/>
    </row>
    <row r="77" spans="2:8" x14ac:dyDescent="0.2">
      <c r="D77" s="21"/>
    </row>
    <row r="78" spans="2:8" x14ac:dyDescent="0.2">
      <c r="D78" s="21"/>
    </row>
    <row r="79" spans="2:8" x14ac:dyDescent="0.2">
      <c r="D79" s="21"/>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A1:CK69"/>
  <sheetViews>
    <sheetView showGridLines="0" tabSelected="1" topLeftCell="A17" zoomScale="75" zoomScaleNormal="110" workbookViewId="0">
      <pane xSplit="12" topLeftCell="M1" activePane="topRight" state="frozen"/>
      <selection pane="topRight" activeCell="K68" sqref="K68"/>
    </sheetView>
  </sheetViews>
  <sheetFormatPr baseColWidth="10" defaultColWidth="8.83203125" defaultRowHeight="16" outlineLevelRow="1" x14ac:dyDescent="0.2"/>
  <cols>
    <col min="1" max="1" width="9.83203125" customWidth="1"/>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s>
  <sheetData>
    <row r="1" spans="1:89" ht="34" x14ac:dyDescent="0.4">
      <c r="B1" s="4" t="s">
        <v>0</v>
      </c>
      <c r="D1" s="4"/>
      <c r="G1" s="13" t="s">
        <v>34</v>
      </c>
      <c r="I1" s="13" t="s">
        <v>34</v>
      </c>
      <c r="J1" s="13" t="s">
        <v>34</v>
      </c>
      <c r="K1" s="13" t="s">
        <v>34</v>
      </c>
    </row>
    <row r="2" spans="1:89" x14ac:dyDescent="0.2">
      <c r="I2" s="20" t="s">
        <v>28</v>
      </c>
      <c r="J2" s="20"/>
      <c r="K2" s="20"/>
      <c r="L2" s="20"/>
      <c r="N2" s="20" t="s">
        <v>231</v>
      </c>
      <c r="O2" s="20"/>
      <c r="P2" s="20"/>
      <c r="Q2" s="20"/>
      <c r="R2" s="20"/>
      <c r="S2" s="20"/>
      <c r="U2" s="20" t="s">
        <v>232</v>
      </c>
      <c r="V2" s="20"/>
      <c r="W2" s="20"/>
      <c r="X2" s="20"/>
      <c r="Y2" s="20"/>
      <c r="Z2" s="20"/>
      <c r="AB2" s="20" t="s">
        <v>233</v>
      </c>
      <c r="AC2" s="20"/>
      <c r="AD2" s="20"/>
      <c r="AE2" s="20"/>
      <c r="AF2" s="20"/>
      <c r="AG2" s="20"/>
      <c r="AI2" s="20" t="s">
        <v>234</v>
      </c>
      <c r="AJ2" s="20"/>
      <c r="AK2" s="20"/>
      <c r="AL2" s="20"/>
      <c r="AM2" s="20"/>
      <c r="AN2" s="20"/>
      <c r="AP2" s="20" t="s">
        <v>235</v>
      </c>
      <c r="AQ2" s="20"/>
      <c r="AR2" s="20"/>
      <c r="AS2" s="20"/>
      <c r="AT2" s="20"/>
      <c r="AU2" s="20"/>
      <c r="AW2" s="20" t="s">
        <v>237</v>
      </c>
      <c r="AX2" s="20"/>
      <c r="AY2" s="20"/>
      <c r="AZ2" s="20"/>
      <c r="BA2" s="20"/>
      <c r="BB2" s="20"/>
      <c r="BD2" s="20" t="s">
        <v>236</v>
      </c>
      <c r="BE2" s="20"/>
      <c r="BF2" s="20"/>
      <c r="BG2" s="20"/>
      <c r="BH2" s="20"/>
      <c r="BI2" s="20"/>
      <c r="BK2" s="20" t="s">
        <v>238</v>
      </c>
      <c r="BL2" s="20"/>
      <c r="BM2" s="20"/>
      <c r="BN2" s="20"/>
      <c r="BO2" s="20"/>
      <c r="BP2" s="20"/>
      <c r="BR2" s="20" t="s">
        <v>229</v>
      </c>
      <c r="BS2" s="20"/>
      <c r="BT2" s="20"/>
      <c r="BU2" s="20"/>
      <c r="BV2" s="20"/>
      <c r="BW2" s="20"/>
      <c r="BY2" s="20" t="s">
        <v>246</v>
      </c>
      <c r="BZ2" s="20"/>
      <c r="CA2" s="20"/>
      <c r="CB2" s="20"/>
      <c r="CC2" s="20"/>
      <c r="CD2" s="20"/>
      <c r="CF2" s="20" t="s">
        <v>230</v>
      </c>
      <c r="CG2" s="20"/>
      <c r="CH2" s="20"/>
      <c r="CI2" s="20"/>
      <c r="CJ2" s="20"/>
      <c r="CK2" s="20"/>
    </row>
    <row r="3" spans="1:89" x14ac:dyDescent="0.2">
      <c r="A3" t="s">
        <v>255</v>
      </c>
      <c r="B3" s="5" t="s">
        <v>27</v>
      </c>
      <c r="C3" s="5" t="s">
        <v>1</v>
      </c>
      <c r="D3" s="5" t="s">
        <v>25</v>
      </c>
      <c r="E3" s="6" t="s">
        <v>31</v>
      </c>
      <c r="F3" s="5" t="s">
        <v>30</v>
      </c>
      <c r="G3" s="5" t="s">
        <v>32</v>
      </c>
      <c r="I3" s="6" t="s">
        <v>12</v>
      </c>
      <c r="J3" s="6" t="s">
        <v>3</v>
      </c>
      <c r="K3" s="6" t="s">
        <v>4</v>
      </c>
      <c r="L3" s="6" t="s">
        <v>13</v>
      </c>
      <c r="N3" s="5" t="s">
        <v>12</v>
      </c>
      <c r="O3" s="5" t="s">
        <v>3</v>
      </c>
      <c r="P3" s="5" t="s">
        <v>33</v>
      </c>
      <c r="Q3" s="5" t="s">
        <v>4</v>
      </c>
      <c r="R3" s="5" t="s">
        <v>33</v>
      </c>
      <c r="S3" s="5" t="s">
        <v>13</v>
      </c>
      <c r="U3" s="5" t="s">
        <v>12</v>
      </c>
      <c r="V3" s="5" t="s">
        <v>3</v>
      </c>
      <c r="W3" s="5" t="s">
        <v>33</v>
      </c>
      <c r="X3" s="5" t="s">
        <v>4</v>
      </c>
      <c r="Y3" s="5" t="s">
        <v>33</v>
      </c>
      <c r="Z3" s="5" t="s">
        <v>13</v>
      </c>
      <c r="AB3" s="5" t="s">
        <v>12</v>
      </c>
      <c r="AC3" s="5" t="s">
        <v>3</v>
      </c>
      <c r="AD3" s="5" t="s">
        <v>33</v>
      </c>
      <c r="AE3" s="5" t="s">
        <v>4</v>
      </c>
      <c r="AF3" s="5" t="s">
        <v>33</v>
      </c>
      <c r="AG3" s="5" t="s">
        <v>13</v>
      </c>
      <c r="AI3" s="5" t="s">
        <v>12</v>
      </c>
      <c r="AJ3" s="5" t="s">
        <v>3</v>
      </c>
      <c r="AK3" s="5" t="s">
        <v>33</v>
      </c>
      <c r="AL3" s="5" t="s">
        <v>4</v>
      </c>
      <c r="AM3" s="5" t="s">
        <v>33</v>
      </c>
      <c r="AN3" s="5" t="s">
        <v>13</v>
      </c>
      <c r="AP3" s="5" t="s">
        <v>12</v>
      </c>
      <c r="AQ3" s="5" t="s">
        <v>3</v>
      </c>
      <c r="AR3" s="5" t="s">
        <v>33</v>
      </c>
      <c r="AS3" s="5" t="s">
        <v>4</v>
      </c>
      <c r="AT3" s="5" t="s">
        <v>33</v>
      </c>
      <c r="AU3" s="5" t="s">
        <v>13</v>
      </c>
      <c r="AW3" s="5" t="s">
        <v>12</v>
      </c>
      <c r="AX3" s="5" t="s">
        <v>3</v>
      </c>
      <c r="AY3" s="5" t="s">
        <v>33</v>
      </c>
      <c r="AZ3" s="5" t="s">
        <v>4</v>
      </c>
      <c r="BA3" s="5" t="s">
        <v>33</v>
      </c>
      <c r="BB3" s="5" t="s">
        <v>13</v>
      </c>
      <c r="BD3" s="5" t="s">
        <v>12</v>
      </c>
      <c r="BE3" s="5" t="s">
        <v>3</v>
      </c>
      <c r="BF3" s="5" t="s">
        <v>33</v>
      </c>
      <c r="BG3" s="5" t="s">
        <v>4</v>
      </c>
      <c r="BH3" s="5" t="s">
        <v>33</v>
      </c>
      <c r="BI3" s="5" t="s">
        <v>13</v>
      </c>
      <c r="BK3" s="5" t="s">
        <v>12</v>
      </c>
      <c r="BL3" s="5" t="s">
        <v>3</v>
      </c>
      <c r="BM3" s="5" t="s">
        <v>33</v>
      </c>
      <c r="BN3" s="5" t="s">
        <v>4</v>
      </c>
      <c r="BO3" s="5" t="s">
        <v>33</v>
      </c>
      <c r="BP3" s="5" t="s">
        <v>13</v>
      </c>
      <c r="BR3" s="5" t="s">
        <v>12</v>
      </c>
      <c r="BS3" s="5" t="s">
        <v>3</v>
      </c>
      <c r="BT3" s="5" t="s">
        <v>33</v>
      </c>
      <c r="BU3" s="5" t="s">
        <v>4</v>
      </c>
      <c r="BV3" s="5" t="s">
        <v>33</v>
      </c>
      <c r="BW3" s="5" t="s">
        <v>13</v>
      </c>
      <c r="BY3" s="5" t="s">
        <v>12</v>
      </c>
      <c r="BZ3" s="5" t="s">
        <v>3</v>
      </c>
      <c r="CA3" s="5" t="s">
        <v>33</v>
      </c>
      <c r="CB3" s="5" t="s">
        <v>4</v>
      </c>
      <c r="CC3" s="5" t="s">
        <v>33</v>
      </c>
      <c r="CD3" s="5" t="s">
        <v>13</v>
      </c>
      <c r="CF3" s="5" t="s">
        <v>12</v>
      </c>
      <c r="CG3" s="5" t="s">
        <v>3</v>
      </c>
      <c r="CH3" s="5" t="s">
        <v>33</v>
      </c>
      <c r="CI3" s="5" t="s">
        <v>4</v>
      </c>
      <c r="CJ3" s="5" t="s">
        <v>33</v>
      </c>
      <c r="CK3" s="5" t="s">
        <v>13</v>
      </c>
    </row>
    <row r="4" spans="1:89" x14ac:dyDescent="0.2">
      <c r="A4" t="s">
        <v>252</v>
      </c>
      <c r="B4" t="s">
        <v>28</v>
      </c>
      <c r="C4" t="s">
        <v>167</v>
      </c>
      <c r="D4" s="19">
        <v>45164</v>
      </c>
      <c r="E4" s="9">
        <v>6</v>
      </c>
      <c r="G4" s="10">
        <f>SUM(G5:G31)</f>
        <v>1.0000000000000002</v>
      </c>
      <c r="I4" s="12">
        <f>+SUM(I5:I31)</f>
        <v>0</v>
      </c>
      <c r="J4" s="11">
        <f>+SUMPRODUCT(G5:G31,J5:J31)</f>
        <v>0.4200000000000001</v>
      </c>
      <c r="K4" s="11">
        <f>+SUMPRODUCT(G5:G31,K5:K31)</f>
        <v>0.4200000000000001</v>
      </c>
      <c r="L4" s="9"/>
      <c r="N4" s="12"/>
      <c r="U4" s="12">
        <f>+SUM(U5:U31)</f>
        <v>0</v>
      </c>
      <c r="AB4" s="12">
        <f>+SUM(AB5:AB31)</f>
        <v>0</v>
      </c>
      <c r="AI4" s="12">
        <f>+SUM(AI5:AI31)</f>
        <v>0</v>
      </c>
      <c r="AP4" s="12">
        <f>+SUM(AP5:AP31)</f>
        <v>0</v>
      </c>
      <c r="AW4" s="12">
        <f>+SUM(AW5:AW31)</f>
        <v>0</v>
      </c>
      <c r="BD4" s="12">
        <f>+SUM(BD5:BD31)</f>
        <v>0</v>
      </c>
      <c r="BK4" s="12">
        <f>+SUM(BK5:BK31)</f>
        <v>0</v>
      </c>
      <c r="BR4" s="12">
        <f>+SUM(BR5:BR31)</f>
        <v>0</v>
      </c>
      <c r="BY4" s="12">
        <f>+SUM(BY5:BY31)</f>
        <v>0</v>
      </c>
      <c r="CF4" s="12">
        <f>+SUM(CF5:CF31)</f>
        <v>0</v>
      </c>
    </row>
    <row r="5" spans="1:89" outlineLevel="1" x14ac:dyDescent="0.2">
      <c r="A5" s="19" t="s">
        <v>256</v>
      </c>
      <c r="B5" t="s">
        <v>29</v>
      </c>
      <c r="C5" t="s">
        <v>167</v>
      </c>
      <c r="E5" s="9"/>
      <c r="F5" t="s">
        <v>193</v>
      </c>
      <c r="G5" s="10">
        <v>0.04</v>
      </c>
      <c r="I5" s="9">
        <f>+SUMIF($N$3:$ZE$3,I$3,$N5:$ZE5)</f>
        <v>0</v>
      </c>
      <c r="J5" s="11" cm="1">
        <f t="array" ref="J5">MAX(IF($N$3:$DM$3=$J$3,N5:DM5))</f>
        <v>0.5</v>
      </c>
      <c r="K5" s="11" cm="1">
        <f t="array" ref="K5">MAX(IF($N$3:$DM$3=$K$3,N5:DM5))</f>
        <v>0.5</v>
      </c>
      <c r="L5" s="9"/>
      <c r="N5" t="s">
        <v>250</v>
      </c>
      <c r="O5" s="10">
        <v>0.5</v>
      </c>
      <c r="P5" s="10">
        <v>0.8</v>
      </c>
      <c r="Q5" s="10">
        <v>0.5</v>
      </c>
      <c r="R5" s="10">
        <v>0.8</v>
      </c>
      <c r="V5" s="10">
        <v>0.5</v>
      </c>
      <c r="W5" s="10">
        <v>0.8</v>
      </c>
      <c r="X5" s="10">
        <v>0.5</v>
      </c>
      <c r="Y5" s="10">
        <v>0.8</v>
      </c>
      <c r="AB5" t="s">
        <v>250</v>
      </c>
      <c r="AC5" s="10"/>
      <c r="AD5" s="10">
        <v>0.8</v>
      </c>
      <c r="AE5" s="10"/>
      <c r="AF5" s="10">
        <v>0.8</v>
      </c>
      <c r="AJ5" s="10"/>
      <c r="AK5" s="10">
        <v>0.8</v>
      </c>
      <c r="AL5" s="10"/>
      <c r="AM5" s="10">
        <v>0.8</v>
      </c>
      <c r="AP5" t="s">
        <v>251</v>
      </c>
      <c r="AQ5" s="10"/>
      <c r="AR5" s="10">
        <v>1</v>
      </c>
      <c r="AS5" s="10"/>
      <c r="AT5" s="10">
        <v>1</v>
      </c>
      <c r="AX5" s="10"/>
      <c r="AY5" s="10">
        <v>1</v>
      </c>
      <c r="AZ5" s="10"/>
      <c r="BA5" s="10">
        <v>1</v>
      </c>
      <c r="BE5" s="10"/>
      <c r="BF5" s="10">
        <v>1</v>
      </c>
      <c r="BG5" s="10"/>
      <c r="BH5" s="10">
        <v>1</v>
      </c>
      <c r="BL5" s="10"/>
      <c r="BM5" s="10">
        <v>1</v>
      </c>
      <c r="BN5" s="10"/>
      <c r="BO5" s="10">
        <v>1</v>
      </c>
      <c r="BS5" s="10"/>
      <c r="BT5" s="10">
        <v>1</v>
      </c>
      <c r="BU5" s="10"/>
      <c r="BV5" s="10">
        <v>1</v>
      </c>
      <c r="BZ5" s="10"/>
      <c r="CA5" s="10">
        <v>1</v>
      </c>
      <c r="CB5" s="10"/>
      <c r="CC5" s="10">
        <v>1</v>
      </c>
      <c r="CG5" s="10"/>
      <c r="CH5" s="10">
        <v>1</v>
      </c>
      <c r="CI5" s="10"/>
      <c r="CJ5" s="10">
        <v>1</v>
      </c>
    </row>
    <row r="6" spans="1:89" outlineLevel="1" x14ac:dyDescent="0.2">
      <c r="B6" t="s">
        <v>29</v>
      </c>
      <c r="C6" t="s">
        <v>167</v>
      </c>
      <c r="E6" s="9"/>
      <c r="F6" t="s">
        <v>194</v>
      </c>
      <c r="G6" s="10">
        <v>0.04</v>
      </c>
      <c r="I6" s="9">
        <f>+SUMIF($N$3:$ZE$3,I$3,$N6:$ZE6)</f>
        <v>0</v>
      </c>
      <c r="J6" s="11" cm="1">
        <f t="array" ref="J6">MAX(IF($N$3:$DM$3=$J$3,N6:DM6))</f>
        <v>0.5</v>
      </c>
      <c r="K6" s="11" cm="1">
        <f t="array" ref="K6">MAX(IF($N$3:$DM$3=$K$3,N6:DM6))</f>
        <v>0.5</v>
      </c>
      <c r="L6" s="9"/>
      <c r="N6" t="s">
        <v>250</v>
      </c>
      <c r="O6" s="10">
        <v>0.5</v>
      </c>
      <c r="P6" s="10">
        <v>0.8</v>
      </c>
      <c r="Q6" s="10">
        <v>0.5</v>
      </c>
      <c r="R6" s="10">
        <v>0.8</v>
      </c>
      <c r="V6" s="10">
        <v>0.5</v>
      </c>
      <c r="W6" s="10">
        <v>0.8</v>
      </c>
      <c r="X6" s="10">
        <v>0.5</v>
      </c>
      <c r="Y6" s="10">
        <v>0.8</v>
      </c>
      <c r="AC6" s="10"/>
      <c r="AD6" s="10">
        <v>0.8</v>
      </c>
      <c r="AE6" s="10"/>
      <c r="AF6" s="10">
        <v>0.8</v>
      </c>
      <c r="AJ6" s="10"/>
      <c r="AK6" s="10">
        <v>0.8</v>
      </c>
      <c r="AL6" s="10"/>
      <c r="AM6" s="10">
        <v>0.8</v>
      </c>
      <c r="AP6" t="s">
        <v>251</v>
      </c>
      <c r="AQ6" s="10"/>
      <c r="AR6" s="10">
        <v>1</v>
      </c>
      <c r="AS6" s="10"/>
      <c r="AT6" s="10">
        <v>1</v>
      </c>
      <c r="AX6" s="10"/>
      <c r="AY6" s="10">
        <v>1</v>
      </c>
      <c r="AZ6" s="10"/>
      <c r="BA6" s="10">
        <v>1</v>
      </c>
      <c r="BE6" s="10"/>
      <c r="BF6" s="10">
        <v>1</v>
      </c>
      <c r="BG6" s="10"/>
      <c r="BH6" s="10">
        <v>1</v>
      </c>
      <c r="BL6" s="10"/>
      <c r="BM6" s="10">
        <v>1</v>
      </c>
      <c r="BN6" s="10"/>
      <c r="BO6" s="10">
        <v>1</v>
      </c>
      <c r="BS6" s="10"/>
      <c r="BT6" s="10">
        <v>1</v>
      </c>
      <c r="BU6" s="10"/>
      <c r="BV6" s="10">
        <v>1</v>
      </c>
      <c r="BZ6" s="10"/>
      <c r="CA6" s="10">
        <v>1</v>
      </c>
      <c r="CB6" s="10"/>
      <c r="CC6" s="10">
        <v>1</v>
      </c>
      <c r="CG6" s="10"/>
      <c r="CH6" s="10">
        <v>1</v>
      </c>
      <c r="CI6" s="10"/>
      <c r="CJ6" s="10">
        <v>1</v>
      </c>
    </row>
    <row r="7" spans="1:89" outlineLevel="1" x14ac:dyDescent="0.2">
      <c r="B7" t="s">
        <v>29</v>
      </c>
      <c r="C7" t="s">
        <v>167</v>
      </c>
      <c r="E7" s="9"/>
      <c r="F7" t="s">
        <v>195</v>
      </c>
      <c r="G7" s="10">
        <v>0.04</v>
      </c>
      <c r="I7" s="9">
        <f>+SUMIF($N$3:$ZE$3,I$3,$N7:$ZE7)</f>
        <v>0</v>
      </c>
      <c r="J7" s="11" cm="1">
        <f t="array" ref="J7">MAX(IF($N$3:$DM$3=$J$3,N7:DM7))</f>
        <v>0.5</v>
      </c>
      <c r="K7" s="11" cm="1">
        <f t="array" ref="K7">MAX(IF($N$3:$DM$3=$K$3,N7:DM7))</f>
        <v>0.5</v>
      </c>
      <c r="L7" s="9"/>
      <c r="N7" t="s">
        <v>250</v>
      </c>
      <c r="O7" s="10">
        <v>0.5</v>
      </c>
      <c r="P7" s="10">
        <v>0.8</v>
      </c>
      <c r="Q7" s="10">
        <v>0.5</v>
      </c>
      <c r="R7" s="10">
        <v>0.8</v>
      </c>
      <c r="V7" s="10">
        <v>0.5</v>
      </c>
      <c r="W7" s="10">
        <v>0.8</v>
      </c>
      <c r="X7" s="10">
        <v>0.5</v>
      </c>
      <c r="Y7" s="10">
        <v>0.8</v>
      </c>
      <c r="AC7" s="10"/>
      <c r="AD7" s="10">
        <v>0.8</v>
      </c>
      <c r="AE7" s="10"/>
      <c r="AF7" s="10">
        <v>0.8</v>
      </c>
      <c r="AJ7" s="10"/>
      <c r="AK7" s="10">
        <v>0.8</v>
      </c>
      <c r="AL7" s="10"/>
      <c r="AM7" s="10">
        <v>0.8</v>
      </c>
      <c r="AP7" t="s">
        <v>251</v>
      </c>
      <c r="AQ7" s="10"/>
      <c r="AR7" s="10">
        <v>1</v>
      </c>
      <c r="AS7" s="10"/>
      <c r="AT7" s="10">
        <v>1</v>
      </c>
      <c r="AX7" s="10"/>
      <c r="AY7" s="10">
        <v>1</v>
      </c>
      <c r="AZ7" s="10"/>
      <c r="BA7" s="10">
        <v>1</v>
      </c>
      <c r="BE7" s="10"/>
      <c r="BF7" s="10">
        <v>1</v>
      </c>
      <c r="BG7" s="10"/>
      <c r="BH7" s="10">
        <v>1</v>
      </c>
      <c r="BL7" s="10"/>
      <c r="BM7" s="10">
        <v>1</v>
      </c>
      <c r="BN7" s="10"/>
      <c r="BO7" s="10">
        <v>1</v>
      </c>
      <c r="BS7" s="10"/>
      <c r="BT7" s="10">
        <v>1</v>
      </c>
      <c r="BU7" s="10"/>
      <c r="BV7" s="10">
        <v>1</v>
      </c>
      <c r="BZ7" s="10"/>
      <c r="CA7" s="10">
        <v>1</v>
      </c>
      <c r="CB7" s="10"/>
      <c r="CC7" s="10">
        <v>1</v>
      </c>
      <c r="CG7" s="10"/>
      <c r="CH7" s="10">
        <v>1</v>
      </c>
      <c r="CI7" s="10"/>
      <c r="CJ7" s="10">
        <v>1</v>
      </c>
    </row>
    <row r="8" spans="1:89" outlineLevel="1" x14ac:dyDescent="0.2">
      <c r="B8" t="s">
        <v>29</v>
      </c>
      <c r="C8" t="s">
        <v>167</v>
      </c>
      <c r="E8" s="9"/>
      <c r="F8" t="s">
        <v>196</v>
      </c>
      <c r="G8" s="10">
        <v>0.04</v>
      </c>
      <c r="I8" s="9">
        <f>+SUMIF($N$3:$ZE$3,I$3,$N8:$ZE8)</f>
        <v>0</v>
      </c>
      <c r="J8" s="11" cm="1">
        <f t="array" ref="J8">MAX(IF($N$3:$DM$3=$J$3,N8:DM8))</f>
        <v>0.5</v>
      </c>
      <c r="K8" s="11" cm="1">
        <f t="array" ref="K8">MAX(IF($N$3:$DM$3=$K$3,N8:DM8))</f>
        <v>0.5</v>
      </c>
      <c r="L8" s="9"/>
      <c r="N8" t="s">
        <v>250</v>
      </c>
      <c r="O8" s="10">
        <v>0.5</v>
      </c>
      <c r="P8" s="10">
        <v>0.8</v>
      </c>
      <c r="Q8" s="10">
        <v>0.5</v>
      </c>
      <c r="R8" s="10">
        <v>0.8</v>
      </c>
      <c r="V8" s="10">
        <v>0.5</v>
      </c>
      <c r="W8" s="10">
        <v>0.8</v>
      </c>
      <c r="X8" s="10">
        <v>0.5</v>
      </c>
      <c r="Y8" s="10">
        <v>0.8</v>
      </c>
      <c r="AC8" s="10"/>
      <c r="AD8" s="10">
        <v>0.8</v>
      </c>
      <c r="AE8" s="10"/>
      <c r="AF8" s="10">
        <v>0.8</v>
      </c>
      <c r="AJ8" s="10"/>
      <c r="AK8" s="10">
        <v>0.8</v>
      </c>
      <c r="AL8" s="10"/>
      <c r="AM8" s="10">
        <v>0.8</v>
      </c>
      <c r="AP8" t="s">
        <v>251</v>
      </c>
      <c r="AQ8" s="10"/>
      <c r="AR8" s="10">
        <v>1</v>
      </c>
      <c r="AS8" s="10"/>
      <c r="AT8" s="10">
        <v>1</v>
      </c>
      <c r="AX8" s="10"/>
      <c r="AY8" s="10">
        <v>1</v>
      </c>
      <c r="AZ8" s="10"/>
      <c r="BA8" s="10">
        <v>1</v>
      </c>
      <c r="BE8" s="10"/>
      <c r="BF8" s="10">
        <v>1</v>
      </c>
      <c r="BG8" s="10"/>
      <c r="BH8" s="10">
        <v>1</v>
      </c>
      <c r="BL8" s="10"/>
      <c r="BM8" s="10">
        <v>1</v>
      </c>
      <c r="BN8" s="10"/>
      <c r="BO8" s="10">
        <v>1</v>
      </c>
      <c r="BS8" s="10"/>
      <c r="BT8" s="10">
        <v>1</v>
      </c>
      <c r="BU8" s="10"/>
      <c r="BV8" s="10">
        <v>1</v>
      </c>
      <c r="BZ8" s="10"/>
      <c r="CA8" s="10">
        <v>1</v>
      </c>
      <c r="CB8" s="10"/>
      <c r="CC8" s="10">
        <v>1</v>
      </c>
      <c r="CG8" s="10"/>
      <c r="CH8" s="10">
        <v>1</v>
      </c>
      <c r="CI8" s="10"/>
      <c r="CJ8" s="10">
        <v>1</v>
      </c>
    </row>
    <row r="9" spans="1:89" outlineLevel="1" x14ac:dyDescent="0.2">
      <c r="B9" t="s">
        <v>29</v>
      </c>
      <c r="C9" t="s">
        <v>167</v>
      </c>
      <c r="E9" s="9"/>
      <c r="F9" t="s">
        <v>197</v>
      </c>
      <c r="G9" s="10">
        <v>0.04</v>
      </c>
      <c r="I9" s="9">
        <f>+SUMIF($N$3:$ZE$3,I$3,$N9:$ZE9)</f>
        <v>0</v>
      </c>
      <c r="J9" s="11" cm="1">
        <f t="array" ref="J9">MAX(IF($N$3:$DM$3=$J$3,N9:DM9))</f>
        <v>0.5</v>
      </c>
      <c r="K9" s="11" cm="1">
        <f t="array" ref="K9">MAX(IF($N$3:$DM$3=$K$3,N9:DM9))</f>
        <v>0.5</v>
      </c>
      <c r="L9" s="9"/>
      <c r="N9" t="s">
        <v>250</v>
      </c>
      <c r="O9" s="10">
        <v>0.5</v>
      </c>
      <c r="P9" s="10">
        <v>0.5</v>
      </c>
      <c r="Q9" s="10">
        <v>0.5</v>
      </c>
      <c r="R9" s="10">
        <v>0.5</v>
      </c>
      <c r="U9" t="s">
        <v>251</v>
      </c>
      <c r="V9" s="10">
        <v>0.5</v>
      </c>
      <c r="W9" s="10">
        <v>0.8</v>
      </c>
      <c r="X9" s="10">
        <v>0.5</v>
      </c>
      <c r="Y9" s="10">
        <v>0.8</v>
      </c>
      <c r="AC9" s="10"/>
      <c r="AD9" s="10">
        <v>0.8</v>
      </c>
      <c r="AE9" s="10"/>
      <c r="AF9" s="10">
        <v>0.8</v>
      </c>
      <c r="AJ9" s="10"/>
      <c r="AK9" s="10">
        <v>0.8</v>
      </c>
      <c r="AL9" s="10"/>
      <c r="AM9" s="10">
        <v>0.8</v>
      </c>
      <c r="AQ9" s="10"/>
      <c r="AR9" s="10">
        <v>0.8</v>
      </c>
      <c r="AS9" s="10"/>
      <c r="AT9" s="10">
        <v>0.8</v>
      </c>
      <c r="AW9" t="s">
        <v>251</v>
      </c>
      <c r="AX9" s="10"/>
      <c r="AY9" s="10">
        <v>1</v>
      </c>
      <c r="AZ9" s="10"/>
      <c r="BA9" s="10">
        <v>1</v>
      </c>
      <c r="BE9" s="10"/>
      <c r="BF9" s="10">
        <v>1</v>
      </c>
      <c r="BG9" s="10"/>
      <c r="BH9" s="10">
        <v>1</v>
      </c>
      <c r="BL9" s="10"/>
      <c r="BM9" s="10">
        <v>1</v>
      </c>
      <c r="BN9" s="10"/>
      <c r="BO9" s="10">
        <v>1</v>
      </c>
      <c r="BS9" s="10"/>
      <c r="BT9" s="10">
        <v>1</v>
      </c>
      <c r="BU9" s="10"/>
      <c r="BV9" s="10">
        <v>1</v>
      </c>
      <c r="BZ9" s="10"/>
      <c r="CA9" s="10">
        <v>1</v>
      </c>
      <c r="CB9" s="10"/>
      <c r="CC9" s="10">
        <v>1</v>
      </c>
      <c r="CG9" s="10"/>
      <c r="CH9" s="10">
        <v>1</v>
      </c>
      <c r="CI9" s="10"/>
      <c r="CJ9" s="10">
        <v>1</v>
      </c>
    </row>
    <row r="10" spans="1:89" outlineLevel="1" x14ac:dyDescent="0.2">
      <c r="B10" t="s">
        <v>29</v>
      </c>
      <c r="C10" t="s">
        <v>167</v>
      </c>
      <c r="E10" s="9"/>
      <c r="F10" t="s">
        <v>198</v>
      </c>
      <c r="G10" s="10">
        <v>0.04</v>
      </c>
      <c r="I10" s="9">
        <f>+SUMIF($N$3:$ZE$3,I$3,$N10:$ZE10)</f>
        <v>0</v>
      </c>
      <c r="J10" s="11" cm="1">
        <f t="array" ref="J10">MAX(IF($N$3:$DM$3=$J$3,N10:DM10))</f>
        <v>0.5</v>
      </c>
      <c r="K10" s="11" cm="1">
        <f t="array" ref="K10">MAX(IF($N$3:$DM$3=$K$3,N10:DM10))</f>
        <v>0.5</v>
      </c>
      <c r="L10" s="9"/>
      <c r="O10" s="10">
        <v>0.5</v>
      </c>
      <c r="P10" s="10">
        <v>0.5</v>
      </c>
      <c r="Q10" s="10">
        <v>0.5</v>
      </c>
      <c r="R10" s="10">
        <v>0.5</v>
      </c>
      <c r="U10" t="s">
        <v>251</v>
      </c>
      <c r="V10" s="10">
        <v>0.5</v>
      </c>
      <c r="W10" s="10">
        <v>0.8</v>
      </c>
      <c r="X10" s="10">
        <v>0.5</v>
      </c>
      <c r="Y10" s="10">
        <v>0.8</v>
      </c>
      <c r="AC10" s="10"/>
      <c r="AD10" s="10">
        <v>0.8</v>
      </c>
      <c r="AE10" s="10"/>
      <c r="AF10" s="10">
        <v>0.8</v>
      </c>
      <c r="AJ10" s="10"/>
      <c r="AK10" s="10">
        <v>0.8</v>
      </c>
      <c r="AL10" s="10"/>
      <c r="AM10" s="10">
        <v>0.8</v>
      </c>
      <c r="AQ10" s="10"/>
      <c r="AR10" s="10">
        <v>0.8</v>
      </c>
      <c r="AS10" s="10"/>
      <c r="AT10" s="10">
        <v>0.8</v>
      </c>
      <c r="AW10" t="s">
        <v>251</v>
      </c>
      <c r="AX10" s="10"/>
      <c r="AY10" s="10">
        <v>1</v>
      </c>
      <c r="AZ10" s="10"/>
      <c r="BA10" s="10">
        <v>1</v>
      </c>
      <c r="BE10" s="10"/>
      <c r="BF10" s="10">
        <v>1</v>
      </c>
      <c r="BG10" s="10"/>
      <c r="BH10" s="10">
        <v>1</v>
      </c>
      <c r="BL10" s="10"/>
      <c r="BM10" s="10">
        <v>1</v>
      </c>
      <c r="BN10" s="10"/>
      <c r="BO10" s="10">
        <v>1</v>
      </c>
      <c r="BS10" s="10"/>
      <c r="BT10" s="10">
        <v>1</v>
      </c>
      <c r="BU10" s="10"/>
      <c r="BV10" s="10">
        <v>1</v>
      </c>
      <c r="BZ10" s="10"/>
      <c r="CA10" s="10">
        <v>1</v>
      </c>
      <c r="CB10" s="10"/>
      <c r="CC10" s="10">
        <v>1</v>
      </c>
      <c r="CG10" s="10"/>
      <c r="CH10" s="10">
        <v>1</v>
      </c>
      <c r="CI10" s="10"/>
      <c r="CJ10" s="10">
        <v>1</v>
      </c>
    </row>
    <row r="11" spans="1:89" outlineLevel="1" x14ac:dyDescent="0.2">
      <c r="B11" t="s">
        <v>29</v>
      </c>
      <c r="C11" t="s">
        <v>167</v>
      </c>
      <c r="E11" s="9"/>
      <c r="F11" t="s">
        <v>199</v>
      </c>
      <c r="G11" s="10">
        <v>0.04</v>
      </c>
      <c r="I11" s="9">
        <f>+SUMIF($N$3:$ZE$3,I$3,$N11:$ZE11)</f>
        <v>0</v>
      </c>
      <c r="J11" s="11" cm="1">
        <f t="array" ref="J11">MAX(IF($N$3:$DM$3=$J$3,N11:DM11))</f>
        <v>0.5</v>
      </c>
      <c r="K11" s="11" cm="1">
        <f t="array" ref="K11">MAX(IF($N$3:$DM$3=$K$3,N11:DM11))</f>
        <v>0.5</v>
      </c>
      <c r="L11" s="9"/>
      <c r="O11" s="10">
        <v>0.5</v>
      </c>
      <c r="P11" s="10">
        <v>0.5</v>
      </c>
      <c r="Q11" s="10">
        <v>0.5</v>
      </c>
      <c r="R11" s="10">
        <v>0.5</v>
      </c>
      <c r="U11" t="s">
        <v>251</v>
      </c>
      <c r="V11" s="10">
        <v>0.5</v>
      </c>
      <c r="W11" s="10">
        <v>0.8</v>
      </c>
      <c r="X11" s="10">
        <v>0.5</v>
      </c>
      <c r="Y11" s="10">
        <v>0.8</v>
      </c>
      <c r="AC11" s="10"/>
      <c r="AD11" s="10">
        <v>0.8</v>
      </c>
      <c r="AE11" s="10"/>
      <c r="AF11" s="10">
        <v>0.8</v>
      </c>
      <c r="AJ11" s="10"/>
      <c r="AK11" s="10">
        <v>0.8</v>
      </c>
      <c r="AL11" s="10"/>
      <c r="AM11" s="10">
        <v>0.8</v>
      </c>
      <c r="AQ11" s="10"/>
      <c r="AR11" s="10">
        <v>0.8</v>
      </c>
      <c r="AS11" s="10"/>
      <c r="AT11" s="10">
        <v>0.8</v>
      </c>
      <c r="AW11" t="s">
        <v>251</v>
      </c>
      <c r="AX11" s="10"/>
      <c r="AY11" s="10">
        <v>1</v>
      </c>
      <c r="AZ11" s="10"/>
      <c r="BA11" s="10">
        <v>1</v>
      </c>
      <c r="BE11" s="10"/>
      <c r="BF11" s="10">
        <v>1</v>
      </c>
      <c r="BG11" s="10"/>
      <c r="BH11" s="10">
        <v>1</v>
      </c>
      <c r="BL11" s="10"/>
      <c r="BM11" s="10">
        <v>1</v>
      </c>
      <c r="BN11" s="10"/>
      <c r="BO11" s="10">
        <v>1</v>
      </c>
      <c r="BS11" s="10"/>
      <c r="BT11" s="10">
        <v>1</v>
      </c>
      <c r="BU11" s="10"/>
      <c r="BV11" s="10">
        <v>1</v>
      </c>
      <c r="BZ11" s="10"/>
      <c r="CA11" s="10">
        <v>1</v>
      </c>
      <c r="CB11" s="10"/>
      <c r="CC11" s="10">
        <v>1</v>
      </c>
      <c r="CG11" s="10"/>
      <c r="CH11" s="10">
        <v>1</v>
      </c>
      <c r="CI11" s="10"/>
      <c r="CJ11" s="10">
        <v>1</v>
      </c>
    </row>
    <row r="12" spans="1:89" outlineLevel="1" x14ac:dyDescent="0.2">
      <c r="B12" t="s">
        <v>29</v>
      </c>
      <c r="C12" t="s">
        <v>167</v>
      </c>
      <c r="E12" s="9"/>
      <c r="F12" t="s">
        <v>200</v>
      </c>
      <c r="G12" s="10">
        <v>0.04</v>
      </c>
      <c r="I12" s="9">
        <f>+SUMIF($N$3:$ZE$3,I$3,$N12:$ZE12)</f>
        <v>0</v>
      </c>
      <c r="J12" s="11" cm="1">
        <f t="array" ref="J12">MAX(IF($N$3:$DM$3=$J$3,N12:DM12))</f>
        <v>0.5</v>
      </c>
      <c r="K12" s="11" cm="1">
        <f t="array" ref="K12">MAX(IF($N$3:$DM$3=$K$3,N12:DM12))</f>
        <v>0.5</v>
      </c>
      <c r="L12" s="9"/>
      <c r="O12" s="10">
        <v>0.5</v>
      </c>
      <c r="P12" s="10">
        <v>0.5</v>
      </c>
      <c r="Q12" s="10">
        <v>0.5</v>
      </c>
      <c r="R12" s="10">
        <v>0.5</v>
      </c>
      <c r="U12" t="s">
        <v>251</v>
      </c>
      <c r="V12" s="10">
        <v>0.5</v>
      </c>
      <c r="W12" s="10">
        <v>0.8</v>
      </c>
      <c r="X12" s="10">
        <v>0.5</v>
      </c>
      <c r="Y12" s="10">
        <v>0.8</v>
      </c>
      <c r="AC12" s="10"/>
      <c r="AD12" s="10">
        <v>0.8</v>
      </c>
      <c r="AE12" s="10"/>
      <c r="AF12" s="10">
        <v>0.8</v>
      </c>
      <c r="AJ12" s="10"/>
      <c r="AK12" s="10">
        <v>0.8</v>
      </c>
      <c r="AL12" s="10"/>
      <c r="AM12" s="10">
        <v>0.8</v>
      </c>
      <c r="AQ12" s="10"/>
      <c r="AR12" s="10">
        <v>0.8</v>
      </c>
      <c r="AS12" s="10"/>
      <c r="AT12" s="10">
        <v>0.8</v>
      </c>
      <c r="AW12" t="s">
        <v>251</v>
      </c>
      <c r="AX12" s="10"/>
      <c r="AY12" s="10">
        <v>1</v>
      </c>
      <c r="AZ12" s="10"/>
      <c r="BA12" s="10">
        <v>1</v>
      </c>
      <c r="BE12" s="10"/>
      <c r="BF12" s="10">
        <v>1</v>
      </c>
      <c r="BG12" s="10"/>
      <c r="BH12" s="10">
        <v>1</v>
      </c>
      <c r="BL12" s="10"/>
      <c r="BM12" s="10">
        <v>1</v>
      </c>
      <c r="BN12" s="10"/>
      <c r="BO12" s="10">
        <v>1</v>
      </c>
      <c r="BS12" s="10"/>
      <c r="BT12" s="10">
        <v>1</v>
      </c>
      <c r="BU12" s="10"/>
      <c r="BV12" s="10">
        <v>1</v>
      </c>
      <c r="BZ12" s="10"/>
      <c r="CA12" s="10">
        <v>1</v>
      </c>
      <c r="CB12" s="10"/>
      <c r="CC12" s="10">
        <v>1</v>
      </c>
      <c r="CG12" s="10"/>
      <c r="CH12" s="10">
        <v>1</v>
      </c>
      <c r="CI12" s="10"/>
      <c r="CJ12" s="10">
        <v>1</v>
      </c>
    </row>
    <row r="13" spans="1:89" outlineLevel="1" x14ac:dyDescent="0.2">
      <c r="B13" t="s">
        <v>29</v>
      </c>
      <c r="C13" t="s">
        <v>167</v>
      </c>
      <c r="E13" s="9"/>
      <c r="F13" t="s">
        <v>201</v>
      </c>
      <c r="G13" s="10">
        <v>0.04</v>
      </c>
      <c r="I13" s="9">
        <f>+SUMIF($N$3:$ZE$3,I$3,$N13:$ZE13)</f>
        <v>0</v>
      </c>
      <c r="J13" s="11" cm="1">
        <f t="array" ref="J13">MAX(IF($N$3:$DM$3=$J$3,N13:DM13))</f>
        <v>0.5</v>
      </c>
      <c r="K13" s="11" cm="1">
        <f t="array" ref="K13">MAX(IF($N$3:$DM$3=$K$3,N13:DM13))</f>
        <v>0.5</v>
      </c>
      <c r="L13" s="9"/>
      <c r="O13" s="10">
        <v>0.5</v>
      </c>
      <c r="P13" s="10">
        <v>0.5</v>
      </c>
      <c r="Q13" s="10">
        <v>0.5</v>
      </c>
      <c r="R13" s="10">
        <v>0.5</v>
      </c>
      <c r="V13" s="10">
        <v>0.5</v>
      </c>
      <c r="W13" s="10">
        <v>0.5</v>
      </c>
      <c r="X13" s="10">
        <v>0.5</v>
      </c>
      <c r="Y13" s="10">
        <v>0.5</v>
      </c>
      <c r="AB13" t="s">
        <v>251</v>
      </c>
      <c r="AC13" s="10"/>
      <c r="AD13" s="10">
        <v>0.8</v>
      </c>
      <c r="AE13" s="10"/>
      <c r="AF13" s="10">
        <v>0.8</v>
      </c>
      <c r="AJ13" s="10"/>
      <c r="AK13" s="10">
        <v>0.8</v>
      </c>
      <c r="AL13" s="10"/>
      <c r="AM13" s="10">
        <v>0.8</v>
      </c>
      <c r="AQ13" s="10"/>
      <c r="AR13" s="10">
        <v>0.8</v>
      </c>
      <c r="AS13" s="10"/>
      <c r="AT13" s="10">
        <v>0.8</v>
      </c>
      <c r="AW13" t="s">
        <v>251</v>
      </c>
      <c r="AX13" s="10"/>
      <c r="AY13" s="10">
        <v>1</v>
      </c>
      <c r="AZ13" s="10"/>
      <c r="BA13" s="10">
        <v>1</v>
      </c>
      <c r="BE13" s="10"/>
      <c r="BF13" s="10">
        <v>1</v>
      </c>
      <c r="BG13" s="10"/>
      <c r="BH13" s="10">
        <v>1</v>
      </c>
      <c r="BL13" s="10"/>
      <c r="BM13" s="10">
        <v>1</v>
      </c>
      <c r="BN13" s="10"/>
      <c r="BO13" s="10">
        <v>1</v>
      </c>
      <c r="BS13" s="10"/>
      <c r="BT13" s="10">
        <v>1</v>
      </c>
      <c r="BU13" s="10"/>
      <c r="BV13" s="10">
        <v>1</v>
      </c>
      <c r="BZ13" s="10"/>
      <c r="CA13" s="10">
        <v>1</v>
      </c>
      <c r="CB13" s="10"/>
      <c r="CC13" s="10">
        <v>1</v>
      </c>
      <c r="CG13" s="10"/>
      <c r="CH13" s="10">
        <v>1</v>
      </c>
      <c r="CI13" s="10"/>
      <c r="CJ13" s="10">
        <v>1</v>
      </c>
    </row>
    <row r="14" spans="1:89" outlineLevel="1" x14ac:dyDescent="0.2">
      <c r="B14" t="s">
        <v>29</v>
      </c>
      <c r="C14" t="s">
        <v>167</v>
      </c>
      <c r="E14" s="9"/>
      <c r="F14" t="s">
        <v>202</v>
      </c>
      <c r="G14" s="10">
        <v>0.04</v>
      </c>
      <c r="I14" s="9">
        <f>+SUMIF($N$3:$ZE$3,I$3,$N14:$ZE14)</f>
        <v>0</v>
      </c>
      <c r="J14" s="11" cm="1">
        <f t="array" ref="J14">MAX(IF($N$3:$DM$3=$J$3,N14:DM14))</f>
        <v>0.5</v>
      </c>
      <c r="K14" s="11" cm="1">
        <f t="array" ref="K14">MAX(IF($N$3:$DM$3=$K$3,N14:DM14))</f>
        <v>0.5</v>
      </c>
      <c r="L14" s="9"/>
      <c r="O14" s="10">
        <v>0.5</v>
      </c>
      <c r="P14" s="10">
        <v>0.5</v>
      </c>
      <c r="Q14" s="10">
        <v>0.5</v>
      </c>
      <c r="R14" s="10">
        <v>0.5</v>
      </c>
      <c r="V14" s="10">
        <v>0.5</v>
      </c>
      <c r="W14" s="10">
        <v>0.5</v>
      </c>
      <c r="X14" s="10">
        <v>0.5</v>
      </c>
      <c r="Y14" s="10">
        <v>0.5</v>
      </c>
      <c r="AB14" t="s">
        <v>251</v>
      </c>
      <c r="AC14" s="10"/>
      <c r="AD14" s="10">
        <v>0.8</v>
      </c>
      <c r="AE14" s="10"/>
      <c r="AF14" s="10">
        <v>0.8</v>
      </c>
      <c r="AJ14" s="10"/>
      <c r="AK14" s="10">
        <v>0.8</v>
      </c>
      <c r="AL14" s="10"/>
      <c r="AM14" s="10">
        <v>0.8</v>
      </c>
      <c r="AQ14" s="10"/>
      <c r="AR14" s="10">
        <v>0.8</v>
      </c>
      <c r="AS14" s="10"/>
      <c r="AT14" s="10">
        <v>0.8</v>
      </c>
      <c r="AW14" t="s">
        <v>251</v>
      </c>
      <c r="AX14" s="10"/>
      <c r="AY14" s="10">
        <v>1</v>
      </c>
      <c r="AZ14" s="10"/>
      <c r="BA14" s="10">
        <v>1</v>
      </c>
      <c r="BE14" s="10"/>
      <c r="BF14" s="10">
        <v>1</v>
      </c>
      <c r="BG14" s="10"/>
      <c r="BH14" s="10">
        <v>1</v>
      </c>
      <c r="BL14" s="10"/>
      <c r="BM14" s="10">
        <v>1</v>
      </c>
      <c r="BN14" s="10"/>
      <c r="BO14" s="10">
        <v>1</v>
      </c>
      <c r="BS14" s="10"/>
      <c r="BT14" s="10">
        <v>1</v>
      </c>
      <c r="BU14" s="10"/>
      <c r="BV14" s="10">
        <v>1</v>
      </c>
      <c r="BZ14" s="10"/>
      <c r="CA14" s="10">
        <v>1</v>
      </c>
      <c r="CB14" s="10"/>
      <c r="CC14" s="10">
        <v>1</v>
      </c>
      <c r="CG14" s="10"/>
      <c r="CH14" s="10">
        <v>1</v>
      </c>
      <c r="CI14" s="10"/>
      <c r="CJ14" s="10">
        <v>1</v>
      </c>
    </row>
    <row r="15" spans="1:89" outlineLevel="1" x14ac:dyDescent="0.2">
      <c r="B15" t="s">
        <v>29</v>
      </c>
      <c r="C15" t="s">
        <v>167</v>
      </c>
      <c r="E15" s="9"/>
      <c r="F15" t="s">
        <v>203</v>
      </c>
      <c r="G15" s="10">
        <v>0.04</v>
      </c>
      <c r="I15" s="9">
        <f>+SUMIF($N$3:$ZE$3,I$3,$N15:$ZE15)</f>
        <v>0</v>
      </c>
      <c r="J15" s="11" cm="1">
        <f t="array" ref="J15">MAX(IF($N$3:$DM$3=$J$3,N15:DM15))</f>
        <v>0.5</v>
      </c>
      <c r="K15" s="11" cm="1">
        <f t="array" ref="K15">MAX(IF($N$3:$DM$3=$K$3,N15:DM15))</f>
        <v>0.5</v>
      </c>
      <c r="L15" s="9"/>
      <c r="O15" s="10">
        <v>0.5</v>
      </c>
      <c r="P15" s="10">
        <v>0.5</v>
      </c>
      <c r="Q15" s="10">
        <v>0.5</v>
      </c>
      <c r="R15" s="10">
        <v>0.5</v>
      </c>
      <c r="V15" s="10">
        <v>0.5</v>
      </c>
      <c r="W15" s="10">
        <v>0.5</v>
      </c>
      <c r="X15" s="10">
        <v>0.5</v>
      </c>
      <c r="Y15" s="10">
        <v>0.5</v>
      </c>
      <c r="AB15" t="s">
        <v>251</v>
      </c>
      <c r="AC15" s="10"/>
      <c r="AD15" s="10">
        <v>0.8</v>
      </c>
      <c r="AE15" s="10"/>
      <c r="AF15" s="10">
        <v>0.8</v>
      </c>
      <c r="AJ15" s="10"/>
      <c r="AK15" s="10">
        <v>0.8</v>
      </c>
      <c r="AL15" s="10"/>
      <c r="AM15" s="10">
        <v>0.8</v>
      </c>
      <c r="AQ15" s="10"/>
      <c r="AR15" s="10">
        <v>0.8</v>
      </c>
      <c r="AS15" s="10"/>
      <c r="AT15" s="10">
        <v>0.8</v>
      </c>
      <c r="AW15" t="s">
        <v>251</v>
      </c>
      <c r="AX15" s="10"/>
      <c r="AY15" s="10">
        <v>1</v>
      </c>
      <c r="AZ15" s="10"/>
      <c r="BA15" s="10">
        <v>1</v>
      </c>
      <c r="BE15" s="10"/>
      <c r="BF15" s="10">
        <v>1</v>
      </c>
      <c r="BG15" s="10"/>
      <c r="BH15" s="10">
        <v>1</v>
      </c>
      <c r="BL15" s="10"/>
      <c r="BM15" s="10">
        <v>1</v>
      </c>
      <c r="BN15" s="10"/>
      <c r="BO15" s="10">
        <v>1</v>
      </c>
      <c r="BS15" s="10"/>
      <c r="BT15" s="10">
        <v>1</v>
      </c>
      <c r="BU15" s="10"/>
      <c r="BV15" s="10">
        <v>1</v>
      </c>
      <c r="BZ15" s="10"/>
      <c r="CA15" s="10">
        <v>1</v>
      </c>
      <c r="CB15" s="10"/>
      <c r="CC15" s="10">
        <v>1</v>
      </c>
      <c r="CG15" s="10"/>
      <c r="CH15" s="10">
        <v>1</v>
      </c>
      <c r="CI15" s="10"/>
      <c r="CJ15" s="10">
        <v>1</v>
      </c>
    </row>
    <row r="16" spans="1:89" outlineLevel="1" x14ac:dyDescent="0.2">
      <c r="B16" t="s">
        <v>29</v>
      </c>
      <c r="C16" t="s">
        <v>167</v>
      </c>
      <c r="E16" s="9"/>
      <c r="F16" t="s">
        <v>204</v>
      </c>
      <c r="G16" s="10">
        <v>0.04</v>
      </c>
      <c r="I16" s="9">
        <f>+SUMIF($N$3:$ZE$3,I$3,$N16:$ZE16)</f>
        <v>0</v>
      </c>
      <c r="J16" s="11" cm="1">
        <f t="array" ref="J16">MAX(IF($N$3:$DM$3=$J$3,N16:DM16))</f>
        <v>0.5</v>
      </c>
      <c r="K16" s="11" cm="1">
        <f t="array" ref="K16">MAX(IF($N$3:$DM$3=$K$3,N16:DM16))</f>
        <v>0.5</v>
      </c>
      <c r="L16" s="9"/>
      <c r="O16" s="10">
        <v>0.5</v>
      </c>
      <c r="P16" s="10">
        <v>0.5</v>
      </c>
      <c r="Q16" s="10">
        <v>0.5</v>
      </c>
      <c r="R16" s="10">
        <v>0.5</v>
      </c>
      <c r="V16" s="10">
        <v>0.5</v>
      </c>
      <c r="W16" s="10">
        <v>0.5</v>
      </c>
      <c r="X16" s="10">
        <v>0.5</v>
      </c>
      <c r="Y16" s="10">
        <v>0.5</v>
      </c>
      <c r="AB16" t="s">
        <v>251</v>
      </c>
      <c r="AC16" s="10"/>
      <c r="AD16" s="10">
        <v>0.8</v>
      </c>
      <c r="AE16" s="10"/>
      <c r="AF16" s="10">
        <v>0.8</v>
      </c>
      <c r="AJ16" s="10"/>
      <c r="AK16" s="10">
        <v>0.8</v>
      </c>
      <c r="AL16" s="10"/>
      <c r="AM16" s="10">
        <v>0.8</v>
      </c>
      <c r="AQ16" s="10"/>
      <c r="AR16" s="10">
        <v>0.8</v>
      </c>
      <c r="AS16" s="10"/>
      <c r="AT16" s="10">
        <v>0.8</v>
      </c>
      <c r="AW16" t="s">
        <v>251</v>
      </c>
      <c r="AX16" s="10"/>
      <c r="AY16" s="10">
        <v>1</v>
      </c>
      <c r="AZ16" s="10"/>
      <c r="BA16" s="10">
        <v>1</v>
      </c>
      <c r="BE16" s="10"/>
      <c r="BF16" s="10">
        <v>1</v>
      </c>
      <c r="BG16" s="10"/>
      <c r="BH16" s="10">
        <v>1</v>
      </c>
      <c r="BL16" s="10"/>
      <c r="BM16" s="10">
        <v>1</v>
      </c>
      <c r="BN16" s="10"/>
      <c r="BO16" s="10">
        <v>1</v>
      </c>
      <c r="BS16" s="10"/>
      <c r="BT16" s="10">
        <v>1</v>
      </c>
      <c r="BU16" s="10"/>
      <c r="BV16" s="10">
        <v>1</v>
      </c>
      <c r="BZ16" s="10"/>
      <c r="CA16" s="10">
        <v>1</v>
      </c>
      <c r="CB16" s="10"/>
      <c r="CC16" s="10">
        <v>1</v>
      </c>
      <c r="CG16" s="10"/>
      <c r="CH16" s="10">
        <v>1</v>
      </c>
      <c r="CI16" s="10"/>
      <c r="CJ16" s="10">
        <v>1</v>
      </c>
    </row>
    <row r="17" spans="2:88" outlineLevel="1" x14ac:dyDescent="0.2">
      <c r="B17" t="s">
        <v>29</v>
      </c>
      <c r="C17" t="s">
        <v>167</v>
      </c>
      <c r="E17" s="9"/>
      <c r="F17" t="s">
        <v>205</v>
      </c>
      <c r="G17" s="10">
        <v>0.04</v>
      </c>
      <c r="I17" s="9">
        <f>+SUMIF($N$3:$ZE$3,I$3,$N17:$ZE17)</f>
        <v>0</v>
      </c>
      <c r="J17" s="11" cm="1">
        <f t="array" ref="J17">MAX(IF($N$3:$DM$3=$J$3,N17:DM17))</f>
        <v>0.5</v>
      </c>
      <c r="K17" s="11" cm="1">
        <f t="array" ref="K17">MAX(IF($N$3:$DM$3=$K$3,N17:DM17))</f>
        <v>0.5</v>
      </c>
      <c r="L17" s="9"/>
      <c r="O17" s="10">
        <v>0.5</v>
      </c>
      <c r="P17" s="10">
        <v>0.5</v>
      </c>
      <c r="Q17" s="10">
        <v>0.5</v>
      </c>
      <c r="R17" s="10">
        <v>0.5</v>
      </c>
      <c r="V17" s="10">
        <v>0.5</v>
      </c>
      <c r="W17" s="10">
        <v>0.5</v>
      </c>
      <c r="X17" s="10">
        <v>0.5</v>
      </c>
      <c r="Y17" s="10">
        <v>0.5</v>
      </c>
      <c r="AB17" t="s">
        <v>251</v>
      </c>
      <c r="AC17" s="10"/>
      <c r="AD17" s="10">
        <v>0.8</v>
      </c>
      <c r="AE17" s="10"/>
      <c r="AF17" s="10">
        <v>0.8</v>
      </c>
      <c r="AJ17" s="10"/>
      <c r="AK17" s="10">
        <v>0.8</v>
      </c>
      <c r="AL17" s="10"/>
      <c r="AM17" s="10">
        <v>0.8</v>
      </c>
      <c r="AQ17" s="10"/>
      <c r="AR17" s="10">
        <v>0.8</v>
      </c>
      <c r="AS17" s="10"/>
      <c r="AT17" s="10">
        <v>0.8</v>
      </c>
      <c r="AX17" s="10"/>
      <c r="AY17" s="10">
        <v>0.8</v>
      </c>
      <c r="AZ17" s="10"/>
      <c r="BA17" s="10">
        <v>0.8</v>
      </c>
      <c r="BD17" t="s">
        <v>251</v>
      </c>
      <c r="BE17" s="10"/>
      <c r="BF17" s="10">
        <v>1</v>
      </c>
      <c r="BG17" s="10"/>
      <c r="BH17" s="10">
        <v>1</v>
      </c>
      <c r="BL17" s="10"/>
      <c r="BM17" s="10">
        <v>1</v>
      </c>
      <c r="BN17" s="10"/>
      <c r="BO17" s="10">
        <v>1</v>
      </c>
      <c r="BS17" s="10"/>
      <c r="BT17" s="10">
        <v>1</v>
      </c>
      <c r="BU17" s="10"/>
      <c r="BV17" s="10">
        <v>1</v>
      </c>
      <c r="BZ17" s="10"/>
      <c r="CA17" s="10">
        <v>1</v>
      </c>
      <c r="CB17" s="10"/>
      <c r="CC17" s="10">
        <v>1</v>
      </c>
      <c r="CG17" s="10"/>
      <c r="CH17" s="10">
        <v>1</v>
      </c>
      <c r="CI17" s="10"/>
      <c r="CJ17" s="10">
        <v>1</v>
      </c>
    </row>
    <row r="18" spans="2:88" outlineLevel="1" x14ac:dyDescent="0.2">
      <c r="B18" t="s">
        <v>29</v>
      </c>
      <c r="C18" t="s">
        <v>167</v>
      </c>
      <c r="E18" s="9"/>
      <c r="F18" t="s">
        <v>206</v>
      </c>
      <c r="G18" s="10">
        <v>0.04</v>
      </c>
      <c r="I18" s="9">
        <f>+SUMIF($N$3:$ZE$3,I$3,$N18:$ZE18)</f>
        <v>0</v>
      </c>
      <c r="J18" s="11" cm="1">
        <f t="array" ref="J18">MAX(IF($N$3:$DM$3=$J$3,N18:DM18))</f>
        <v>0.5</v>
      </c>
      <c r="K18" s="11" cm="1">
        <f t="array" ref="K18">MAX(IF($N$3:$DM$3=$K$3,N18:DM18))</f>
        <v>0.5</v>
      </c>
      <c r="L18" s="9"/>
      <c r="O18" s="10">
        <v>0.5</v>
      </c>
      <c r="P18" s="10">
        <v>0.5</v>
      </c>
      <c r="Q18" s="10">
        <v>0.5</v>
      </c>
      <c r="R18" s="10">
        <v>0.5</v>
      </c>
      <c r="V18" s="10">
        <v>0.5</v>
      </c>
      <c r="W18" s="10">
        <v>0.5</v>
      </c>
      <c r="X18" s="10">
        <v>0.5</v>
      </c>
      <c r="Y18" s="10">
        <v>0.5</v>
      </c>
      <c r="AB18" t="s">
        <v>251</v>
      </c>
      <c r="AC18" s="10"/>
      <c r="AD18" s="10">
        <v>0.8</v>
      </c>
      <c r="AE18" s="10"/>
      <c r="AF18" s="10">
        <v>0.8</v>
      </c>
      <c r="AJ18" s="10"/>
      <c r="AK18" s="10">
        <v>0.8</v>
      </c>
      <c r="AL18" s="10"/>
      <c r="AM18" s="10">
        <v>0.8</v>
      </c>
      <c r="AQ18" s="10"/>
      <c r="AR18" s="10">
        <v>0.8</v>
      </c>
      <c r="AS18" s="10"/>
      <c r="AT18" s="10">
        <v>0.8</v>
      </c>
      <c r="AX18" s="10"/>
      <c r="AY18" s="10">
        <v>0.8</v>
      </c>
      <c r="AZ18" s="10"/>
      <c r="BA18" s="10">
        <v>0.8</v>
      </c>
      <c r="BD18" t="s">
        <v>251</v>
      </c>
      <c r="BE18" s="10"/>
      <c r="BF18" s="10">
        <v>1</v>
      </c>
      <c r="BG18" s="10"/>
      <c r="BH18" s="10">
        <v>1</v>
      </c>
      <c r="BL18" s="10"/>
      <c r="BM18" s="10">
        <v>1</v>
      </c>
      <c r="BN18" s="10"/>
      <c r="BO18" s="10">
        <v>1</v>
      </c>
      <c r="BS18" s="10"/>
      <c r="BT18" s="10">
        <v>1</v>
      </c>
      <c r="BU18" s="10"/>
      <c r="BV18" s="10">
        <v>1</v>
      </c>
      <c r="BZ18" s="10"/>
      <c r="CA18" s="10">
        <v>1</v>
      </c>
      <c r="CB18" s="10"/>
      <c r="CC18" s="10">
        <v>1</v>
      </c>
      <c r="CG18" s="10"/>
      <c r="CH18" s="10">
        <v>1</v>
      </c>
      <c r="CI18" s="10"/>
      <c r="CJ18" s="10">
        <v>1</v>
      </c>
    </row>
    <row r="19" spans="2:88" outlineLevel="1" x14ac:dyDescent="0.2">
      <c r="B19" t="s">
        <v>29</v>
      </c>
      <c r="C19" t="s">
        <v>167</v>
      </c>
      <c r="E19" s="9"/>
      <c r="F19" t="s">
        <v>207</v>
      </c>
      <c r="G19" s="10">
        <v>0.04</v>
      </c>
      <c r="I19" s="9">
        <f>+SUMIF($N$3:$ZE$3,I$3,$N19:$ZE19)</f>
        <v>0</v>
      </c>
      <c r="J19" s="11" cm="1">
        <f t="array" ref="J19">MAX(IF($N$3:$DM$3=$J$3,N19:DM19))</f>
        <v>0.5</v>
      </c>
      <c r="K19" s="11" cm="1">
        <f t="array" ref="K19">MAX(IF($N$3:$DM$3=$K$3,N19:DM19))</f>
        <v>0.5</v>
      </c>
      <c r="L19" s="9"/>
      <c r="O19" s="10">
        <v>0.5</v>
      </c>
      <c r="P19" s="10">
        <v>0.5</v>
      </c>
      <c r="Q19" s="10">
        <v>0.5</v>
      </c>
      <c r="R19" s="10">
        <v>0.5</v>
      </c>
      <c r="V19" s="10">
        <v>0.5</v>
      </c>
      <c r="W19" s="10">
        <v>0.5</v>
      </c>
      <c r="X19" s="10">
        <v>0.5</v>
      </c>
      <c r="Y19" s="10">
        <v>0.5</v>
      </c>
      <c r="AB19" t="s">
        <v>251</v>
      </c>
      <c r="AC19" s="10"/>
      <c r="AD19" s="10">
        <v>0.8</v>
      </c>
      <c r="AE19" s="10"/>
      <c r="AF19" s="10">
        <v>0.8</v>
      </c>
      <c r="AJ19" s="10"/>
      <c r="AK19" s="10">
        <v>0.8</v>
      </c>
      <c r="AL19" s="10"/>
      <c r="AM19" s="10">
        <v>0.8</v>
      </c>
      <c r="AQ19" s="10"/>
      <c r="AR19" s="10">
        <v>0.8</v>
      </c>
      <c r="AS19" s="10"/>
      <c r="AT19" s="10">
        <v>0.8</v>
      </c>
      <c r="AX19" s="10"/>
      <c r="AY19" s="10">
        <v>0.8</v>
      </c>
      <c r="AZ19" s="10"/>
      <c r="BA19" s="10">
        <v>0.8</v>
      </c>
      <c r="BD19" t="s">
        <v>251</v>
      </c>
      <c r="BE19" s="10"/>
      <c r="BF19" s="10">
        <v>1</v>
      </c>
      <c r="BG19" s="10"/>
      <c r="BH19" s="10">
        <v>1</v>
      </c>
      <c r="BL19" s="10"/>
      <c r="BM19" s="10">
        <v>1</v>
      </c>
      <c r="BN19" s="10"/>
      <c r="BO19" s="10">
        <v>1</v>
      </c>
      <c r="BS19" s="10"/>
      <c r="BT19" s="10">
        <v>1</v>
      </c>
      <c r="BU19" s="10"/>
      <c r="BV19" s="10">
        <v>1</v>
      </c>
      <c r="BZ19" s="10"/>
      <c r="CA19" s="10">
        <v>1</v>
      </c>
      <c r="CB19" s="10"/>
      <c r="CC19" s="10">
        <v>1</v>
      </c>
      <c r="CG19" s="10"/>
      <c r="CH19" s="10">
        <v>1</v>
      </c>
      <c r="CI19" s="10"/>
      <c r="CJ19" s="10">
        <v>1</v>
      </c>
    </row>
    <row r="20" spans="2:88" outlineLevel="1" x14ac:dyDescent="0.2">
      <c r="B20" t="s">
        <v>29</v>
      </c>
      <c r="C20" t="s">
        <v>167</v>
      </c>
      <c r="E20" s="9"/>
      <c r="F20" t="s">
        <v>208</v>
      </c>
      <c r="G20" s="10">
        <v>0.04</v>
      </c>
      <c r="I20" s="9">
        <f>+SUMIF($N$3:$ZE$3,I$3,$N20:$ZE20)</f>
        <v>0</v>
      </c>
      <c r="J20" s="11" cm="1">
        <f t="array" ref="J20">MAX(IF($N$3:$DM$3=$J$3,N20:DM20))</f>
        <v>0.3</v>
      </c>
      <c r="K20" s="11" cm="1">
        <f t="array" ref="K20">MAX(IF($N$3:$DM$3=$K$3,N20:DM20))</f>
        <v>0.3</v>
      </c>
      <c r="L20" s="9"/>
      <c r="N20" t="s">
        <v>250</v>
      </c>
      <c r="O20" s="10">
        <v>0.3</v>
      </c>
      <c r="P20" s="10">
        <v>0.5</v>
      </c>
      <c r="Q20" s="10">
        <v>0.3</v>
      </c>
      <c r="R20" s="10">
        <v>0.5</v>
      </c>
      <c r="V20" s="10">
        <v>0.3</v>
      </c>
      <c r="W20" s="10">
        <v>0.5</v>
      </c>
      <c r="X20" s="10">
        <v>0.3</v>
      </c>
      <c r="Y20" s="10">
        <v>0.5</v>
      </c>
      <c r="AB20" t="s">
        <v>251</v>
      </c>
      <c r="AC20" s="10"/>
      <c r="AD20" s="10">
        <v>0.8</v>
      </c>
      <c r="AE20" s="10"/>
      <c r="AF20" s="10">
        <v>0.8</v>
      </c>
      <c r="AJ20" s="10"/>
      <c r="AK20" s="10">
        <v>0.8</v>
      </c>
      <c r="AL20" s="10"/>
      <c r="AM20" s="10">
        <v>0.8</v>
      </c>
      <c r="AQ20" s="10"/>
      <c r="AR20" s="10">
        <v>0.8</v>
      </c>
      <c r="AS20" s="10"/>
      <c r="AT20" s="10">
        <v>0.8</v>
      </c>
      <c r="AX20" s="10"/>
      <c r="AY20" s="10">
        <v>0.8</v>
      </c>
      <c r="AZ20" s="10"/>
      <c r="BA20" s="10">
        <v>0.8</v>
      </c>
      <c r="BD20" t="s">
        <v>251</v>
      </c>
      <c r="BE20" s="10"/>
      <c r="BF20" s="10">
        <v>1</v>
      </c>
      <c r="BG20" s="10"/>
      <c r="BH20" s="10">
        <v>1</v>
      </c>
      <c r="BL20" s="10"/>
      <c r="BM20" s="10">
        <v>1</v>
      </c>
      <c r="BN20" s="10"/>
      <c r="BO20" s="10">
        <v>1</v>
      </c>
      <c r="BS20" s="10"/>
      <c r="BT20" s="10">
        <v>1</v>
      </c>
      <c r="BU20" s="10"/>
      <c r="BV20" s="10">
        <v>1</v>
      </c>
      <c r="BZ20" s="10"/>
      <c r="CA20" s="10">
        <v>1</v>
      </c>
      <c r="CB20" s="10"/>
      <c r="CC20" s="10">
        <v>1</v>
      </c>
      <c r="CG20" s="10"/>
      <c r="CH20" s="10">
        <v>1</v>
      </c>
      <c r="CI20" s="10"/>
      <c r="CJ20" s="10">
        <v>1</v>
      </c>
    </row>
    <row r="21" spans="2:88" outlineLevel="1" x14ac:dyDescent="0.2">
      <c r="B21" t="s">
        <v>29</v>
      </c>
      <c r="C21" t="s">
        <v>167</v>
      </c>
      <c r="E21" s="9"/>
      <c r="F21" t="s">
        <v>209</v>
      </c>
      <c r="G21" s="10">
        <v>0.04</v>
      </c>
      <c r="I21" s="9">
        <f>+SUMIF($N$3:$ZE$3,I$3,$N21:$ZE21)</f>
        <v>0</v>
      </c>
      <c r="J21" s="11" cm="1">
        <f t="array" ref="J21">MAX(IF($N$3:$DM$3=$J$3,N21:DM21))</f>
        <v>0.3</v>
      </c>
      <c r="K21" s="11" cm="1">
        <f t="array" ref="K21">MAX(IF($N$3:$DM$3=$K$3,N21:DM21))</f>
        <v>0.3</v>
      </c>
      <c r="L21" s="9"/>
      <c r="N21" t="s">
        <v>250</v>
      </c>
      <c r="O21" s="10">
        <v>0.3</v>
      </c>
      <c r="P21" s="10">
        <v>0.5</v>
      </c>
      <c r="Q21" s="10">
        <v>0.3</v>
      </c>
      <c r="R21" s="10">
        <v>0.5</v>
      </c>
      <c r="V21" s="10">
        <v>0.3</v>
      </c>
      <c r="W21" s="10">
        <v>0.5</v>
      </c>
      <c r="X21" s="10">
        <v>0.3</v>
      </c>
      <c r="Y21" s="10">
        <v>0.5</v>
      </c>
      <c r="AC21" s="10"/>
      <c r="AD21" s="10">
        <v>0.5</v>
      </c>
      <c r="AE21" s="10"/>
      <c r="AF21" s="10">
        <v>0.5</v>
      </c>
      <c r="AI21" t="s">
        <v>251</v>
      </c>
      <c r="AJ21" s="10"/>
      <c r="AK21" s="10">
        <v>0.8</v>
      </c>
      <c r="AL21" s="10"/>
      <c r="AM21" s="10">
        <v>0.8</v>
      </c>
      <c r="AQ21" s="10"/>
      <c r="AR21" s="10">
        <v>0.8</v>
      </c>
      <c r="AS21" s="10"/>
      <c r="AT21" s="10">
        <v>0.8</v>
      </c>
      <c r="AX21" s="10"/>
      <c r="AY21" s="10">
        <v>0.8</v>
      </c>
      <c r="AZ21" s="10"/>
      <c r="BA21" s="10">
        <v>0.8</v>
      </c>
      <c r="BD21" t="s">
        <v>251</v>
      </c>
      <c r="BE21" s="10"/>
      <c r="BF21" s="10">
        <v>1</v>
      </c>
      <c r="BG21" s="10"/>
      <c r="BH21" s="10">
        <v>1</v>
      </c>
      <c r="BL21" s="10"/>
      <c r="BM21" s="10">
        <v>1</v>
      </c>
      <c r="BN21" s="10"/>
      <c r="BO21" s="10">
        <v>1</v>
      </c>
      <c r="BS21" s="10"/>
      <c r="BT21" s="10">
        <v>1</v>
      </c>
      <c r="BU21" s="10"/>
      <c r="BV21" s="10">
        <v>1</v>
      </c>
      <c r="BZ21" s="10"/>
      <c r="CA21" s="10">
        <v>1</v>
      </c>
      <c r="CB21" s="10"/>
      <c r="CC21" s="10">
        <v>1</v>
      </c>
      <c r="CG21" s="10"/>
      <c r="CH21" s="10">
        <v>1</v>
      </c>
      <c r="CI21" s="10"/>
      <c r="CJ21" s="10">
        <v>1</v>
      </c>
    </row>
    <row r="22" spans="2:88" outlineLevel="1" x14ac:dyDescent="0.2">
      <c r="B22" t="s">
        <v>29</v>
      </c>
      <c r="C22" t="s">
        <v>167</v>
      </c>
      <c r="E22" s="9"/>
      <c r="F22" t="s">
        <v>210</v>
      </c>
      <c r="G22" s="10">
        <v>0.04</v>
      </c>
      <c r="I22" s="9">
        <f>+SUMIF($N$3:$ZE$3,I$3,$N22:$ZE22)</f>
        <v>0</v>
      </c>
      <c r="J22" s="11" cm="1">
        <f t="array" ref="J22">MAX(IF($N$3:$DM$3=$J$3,N22:DM22))</f>
        <v>0.3</v>
      </c>
      <c r="K22" s="11" cm="1">
        <f t="array" ref="K22">MAX(IF($N$3:$DM$3=$K$3,N22:DM22))</f>
        <v>0.3</v>
      </c>
      <c r="L22" s="9"/>
      <c r="N22" t="s">
        <v>250</v>
      </c>
      <c r="O22" s="10">
        <v>0.3</v>
      </c>
      <c r="P22" s="10">
        <v>0.5</v>
      </c>
      <c r="Q22" s="10">
        <v>0.3</v>
      </c>
      <c r="R22" s="10">
        <v>0.5</v>
      </c>
      <c r="V22" s="10">
        <v>0.3</v>
      </c>
      <c r="W22" s="10">
        <v>0.5</v>
      </c>
      <c r="X22" s="10">
        <v>0.3</v>
      </c>
      <c r="Y22" s="10">
        <v>0.5</v>
      </c>
      <c r="AC22" s="10"/>
      <c r="AD22" s="10">
        <v>0.5</v>
      </c>
      <c r="AE22" s="10"/>
      <c r="AF22" s="10">
        <v>0.5</v>
      </c>
      <c r="AI22" t="s">
        <v>251</v>
      </c>
      <c r="AJ22" s="10"/>
      <c r="AK22" s="10">
        <v>0.8</v>
      </c>
      <c r="AL22" s="10"/>
      <c r="AM22" s="10">
        <v>0.8</v>
      </c>
      <c r="AQ22" s="10"/>
      <c r="AR22" s="10">
        <v>0.8</v>
      </c>
      <c r="AS22" s="10"/>
      <c r="AT22" s="10">
        <v>0.8</v>
      </c>
      <c r="AX22" s="10"/>
      <c r="AY22" s="10">
        <v>0.8</v>
      </c>
      <c r="AZ22" s="10"/>
      <c r="BA22" s="10">
        <v>0.8</v>
      </c>
      <c r="BD22" t="s">
        <v>251</v>
      </c>
      <c r="BE22" s="10"/>
      <c r="BF22" s="10">
        <v>1</v>
      </c>
      <c r="BG22" s="10"/>
      <c r="BH22" s="10">
        <v>1</v>
      </c>
      <c r="BL22" s="10"/>
      <c r="BM22" s="10">
        <v>1</v>
      </c>
      <c r="BN22" s="10"/>
      <c r="BO22" s="10">
        <v>1</v>
      </c>
      <c r="BS22" s="10"/>
      <c r="BT22" s="10">
        <v>1</v>
      </c>
      <c r="BU22" s="10"/>
      <c r="BV22" s="10">
        <v>1</v>
      </c>
      <c r="BZ22" s="10"/>
      <c r="CA22" s="10">
        <v>1</v>
      </c>
      <c r="CB22" s="10"/>
      <c r="CC22" s="10">
        <v>1</v>
      </c>
      <c r="CG22" s="10"/>
      <c r="CH22" s="10">
        <v>1</v>
      </c>
      <c r="CI22" s="10"/>
      <c r="CJ22" s="10">
        <v>1</v>
      </c>
    </row>
    <row r="23" spans="2:88" outlineLevel="1" x14ac:dyDescent="0.2">
      <c r="B23" t="s">
        <v>29</v>
      </c>
      <c r="C23" t="s">
        <v>167</v>
      </c>
      <c r="E23" s="9"/>
      <c r="F23" t="s">
        <v>211</v>
      </c>
      <c r="G23" s="10">
        <v>0.04</v>
      </c>
      <c r="I23" s="9">
        <f>+SUMIF($N$3:$ZE$3,I$3,$N23:$ZE23)</f>
        <v>0</v>
      </c>
      <c r="J23" s="11" cm="1">
        <f t="array" ref="J23">MAX(IF($N$3:$DM$3=$J$3,N23:DM23))</f>
        <v>0.3</v>
      </c>
      <c r="K23" s="11" cm="1">
        <f t="array" ref="K23">MAX(IF($N$3:$DM$3=$K$3,N23:DM23))</f>
        <v>0.3</v>
      </c>
      <c r="L23" s="9"/>
      <c r="N23" t="s">
        <v>250</v>
      </c>
      <c r="O23" s="10">
        <v>0.3</v>
      </c>
      <c r="P23" s="10">
        <v>0.5</v>
      </c>
      <c r="Q23" s="10">
        <v>0.3</v>
      </c>
      <c r="R23" s="10">
        <v>0.5</v>
      </c>
      <c r="V23" s="10">
        <v>0.3</v>
      </c>
      <c r="W23" s="10">
        <v>0.5</v>
      </c>
      <c r="X23" s="10">
        <v>0.3</v>
      </c>
      <c r="Y23" s="10">
        <v>0.5</v>
      </c>
      <c r="AC23" s="10"/>
      <c r="AD23" s="10">
        <v>0.5</v>
      </c>
      <c r="AE23" s="10"/>
      <c r="AF23" s="10">
        <v>0.5</v>
      </c>
      <c r="AI23" t="s">
        <v>251</v>
      </c>
      <c r="AJ23" s="10"/>
      <c r="AK23" s="10">
        <v>0.8</v>
      </c>
      <c r="AL23" s="10"/>
      <c r="AM23" s="10">
        <v>0.8</v>
      </c>
      <c r="AQ23" s="10"/>
      <c r="AR23" s="10">
        <v>0.8</v>
      </c>
      <c r="AS23" s="10"/>
      <c r="AT23" s="10">
        <v>0.8</v>
      </c>
      <c r="AX23" s="10"/>
      <c r="AY23" s="10">
        <v>0.8</v>
      </c>
      <c r="AZ23" s="10"/>
      <c r="BA23" s="10">
        <v>0.8</v>
      </c>
      <c r="BD23" t="s">
        <v>251</v>
      </c>
      <c r="BE23" s="10"/>
      <c r="BF23" s="10">
        <v>1</v>
      </c>
      <c r="BG23" s="10"/>
      <c r="BH23" s="10">
        <v>1</v>
      </c>
      <c r="BL23" s="10"/>
      <c r="BM23" s="10">
        <v>1</v>
      </c>
      <c r="BN23" s="10"/>
      <c r="BO23" s="10">
        <v>1</v>
      </c>
      <c r="BS23" s="10"/>
      <c r="BT23" s="10">
        <v>1</v>
      </c>
      <c r="BU23" s="10"/>
      <c r="BV23" s="10">
        <v>1</v>
      </c>
      <c r="BZ23" s="10"/>
      <c r="CA23" s="10">
        <v>1</v>
      </c>
      <c r="CB23" s="10"/>
      <c r="CC23" s="10">
        <v>1</v>
      </c>
      <c r="CG23" s="10"/>
      <c r="CH23" s="10">
        <v>1</v>
      </c>
      <c r="CI23" s="10"/>
      <c r="CJ23" s="10">
        <v>1</v>
      </c>
    </row>
    <row r="24" spans="2:88" outlineLevel="1" x14ac:dyDescent="0.2">
      <c r="B24" t="s">
        <v>29</v>
      </c>
      <c r="C24" t="s">
        <v>167</v>
      </c>
      <c r="E24" s="9"/>
      <c r="F24" t="s">
        <v>212</v>
      </c>
      <c r="G24" s="10">
        <v>0.03</v>
      </c>
      <c r="I24" s="9">
        <f>+SUMIF($N$3:$ZE$3,I$3,$N24:$ZE24)</f>
        <v>0</v>
      </c>
      <c r="J24" s="11" cm="1">
        <f t="array" ref="J24">MAX(IF($N$3:$DM$3=$J$3,N24:DM24))</f>
        <v>0.3</v>
      </c>
      <c r="K24" s="11" cm="1">
        <f t="array" ref="K24">MAX(IF($N$3:$DM$3=$K$3,N24:DM24))</f>
        <v>0.3</v>
      </c>
      <c r="L24" s="9"/>
      <c r="N24" t="s">
        <v>250</v>
      </c>
      <c r="O24" s="10">
        <v>0.3</v>
      </c>
      <c r="P24" s="10">
        <v>0.5</v>
      </c>
      <c r="Q24" s="10">
        <v>0.3</v>
      </c>
      <c r="R24" s="10">
        <v>0.5</v>
      </c>
      <c r="V24" s="10">
        <v>0.3</v>
      </c>
      <c r="W24" s="10">
        <v>0.5</v>
      </c>
      <c r="X24" s="10">
        <v>0.3</v>
      </c>
      <c r="Y24" s="10">
        <v>0.5</v>
      </c>
      <c r="AC24" s="10"/>
      <c r="AD24" s="10">
        <v>0.5</v>
      </c>
      <c r="AE24" s="10"/>
      <c r="AF24" s="10">
        <v>0.5</v>
      </c>
      <c r="AI24" t="s">
        <v>251</v>
      </c>
      <c r="AJ24" s="10"/>
      <c r="AK24" s="10">
        <v>0.8</v>
      </c>
      <c r="AL24" s="10"/>
      <c r="AM24" s="10">
        <v>0.8</v>
      </c>
      <c r="AQ24" s="10"/>
      <c r="AR24" s="10">
        <v>0.8</v>
      </c>
      <c r="AS24" s="10"/>
      <c r="AT24" s="10">
        <v>0.8</v>
      </c>
      <c r="AX24" s="10"/>
      <c r="AY24" s="10">
        <v>0.8</v>
      </c>
      <c r="AZ24" s="10"/>
      <c r="BA24" s="10">
        <v>0.8</v>
      </c>
      <c r="BD24" t="s">
        <v>251</v>
      </c>
      <c r="BE24" s="10"/>
      <c r="BF24" s="10">
        <v>1</v>
      </c>
      <c r="BG24" s="10"/>
      <c r="BH24" s="10">
        <v>1</v>
      </c>
      <c r="BL24" s="10"/>
      <c r="BM24" s="10">
        <v>1</v>
      </c>
      <c r="BN24" s="10"/>
      <c r="BO24" s="10">
        <v>1</v>
      </c>
      <c r="BS24" s="10"/>
      <c r="BT24" s="10">
        <v>1</v>
      </c>
      <c r="BU24" s="10"/>
      <c r="BV24" s="10">
        <v>1</v>
      </c>
      <c r="BZ24" s="10"/>
      <c r="CA24" s="10">
        <v>1</v>
      </c>
      <c r="CB24" s="10"/>
      <c r="CC24" s="10">
        <v>1</v>
      </c>
      <c r="CG24" s="10"/>
      <c r="CH24" s="10">
        <v>1</v>
      </c>
      <c r="CI24" s="10"/>
      <c r="CJ24" s="10">
        <v>1</v>
      </c>
    </row>
    <row r="25" spans="2:88" outlineLevel="1" x14ac:dyDescent="0.2">
      <c r="B25" t="s">
        <v>29</v>
      </c>
      <c r="C25" t="s">
        <v>167</v>
      </c>
      <c r="E25" s="9"/>
      <c r="F25" t="s">
        <v>213</v>
      </c>
      <c r="G25" s="10">
        <v>0.03</v>
      </c>
      <c r="I25" s="9">
        <f>+SUMIF($N$3:$ZE$3,I$3,$N25:$ZE25)</f>
        <v>0</v>
      </c>
      <c r="J25" s="11" cm="1">
        <f t="array" ref="J25">MAX(IF($N$3:$DM$3=$J$3,N25:DM25))</f>
        <v>0.3</v>
      </c>
      <c r="K25" s="11" cm="1">
        <f t="array" ref="K25">MAX(IF($N$3:$DM$3=$K$3,N25:DM25))</f>
        <v>0.3</v>
      </c>
      <c r="L25" s="9"/>
      <c r="N25" t="s">
        <v>250</v>
      </c>
      <c r="O25" s="10">
        <v>0.3</v>
      </c>
      <c r="P25" s="10">
        <v>0.5</v>
      </c>
      <c r="Q25" s="10">
        <v>0.3</v>
      </c>
      <c r="R25" s="10">
        <v>0.5</v>
      </c>
      <c r="V25" s="10">
        <v>0.3</v>
      </c>
      <c r="W25" s="10">
        <v>0.5</v>
      </c>
      <c r="X25" s="10">
        <v>0.3</v>
      </c>
      <c r="Y25" s="10">
        <v>0.5</v>
      </c>
      <c r="AC25" s="10"/>
      <c r="AD25" s="10">
        <v>0.5</v>
      </c>
      <c r="AE25" s="10"/>
      <c r="AF25" s="10">
        <v>0.5</v>
      </c>
      <c r="AI25" t="s">
        <v>251</v>
      </c>
      <c r="AJ25" s="10"/>
      <c r="AK25" s="10">
        <v>0.8</v>
      </c>
      <c r="AL25" s="10"/>
      <c r="AM25" s="10">
        <v>0.8</v>
      </c>
      <c r="AQ25" s="10"/>
      <c r="AR25" s="10">
        <v>0.8</v>
      </c>
      <c r="AS25" s="10"/>
      <c r="AT25" s="10">
        <v>0.8</v>
      </c>
      <c r="AX25" s="10"/>
      <c r="AY25" s="10">
        <v>0.8</v>
      </c>
      <c r="AZ25" s="10"/>
      <c r="BA25" s="10">
        <v>0.8</v>
      </c>
      <c r="BE25" s="10"/>
      <c r="BF25" s="10">
        <v>0.8</v>
      </c>
      <c r="BG25" s="10"/>
      <c r="BH25" s="10">
        <v>0.8</v>
      </c>
      <c r="BK25" t="s">
        <v>251</v>
      </c>
      <c r="BL25" s="10"/>
      <c r="BM25" s="10">
        <v>1</v>
      </c>
      <c r="BN25" s="10"/>
      <c r="BO25" s="10">
        <v>1</v>
      </c>
      <c r="BS25" s="10"/>
      <c r="BT25" s="10">
        <v>1</v>
      </c>
      <c r="BU25" s="10"/>
      <c r="BV25" s="10">
        <v>1</v>
      </c>
      <c r="BZ25" s="10"/>
      <c r="CA25" s="10">
        <v>1</v>
      </c>
      <c r="CB25" s="10"/>
      <c r="CC25" s="10">
        <v>1</v>
      </c>
      <c r="CG25" s="10"/>
      <c r="CH25" s="10">
        <v>1</v>
      </c>
      <c r="CI25" s="10"/>
      <c r="CJ25" s="10">
        <v>1</v>
      </c>
    </row>
    <row r="26" spans="2:88" outlineLevel="1" x14ac:dyDescent="0.2">
      <c r="B26" t="s">
        <v>29</v>
      </c>
      <c r="C26" t="s">
        <v>167</v>
      </c>
      <c r="E26" s="9"/>
      <c r="F26" t="s">
        <v>214</v>
      </c>
      <c r="G26" s="10">
        <v>0.03</v>
      </c>
      <c r="I26" s="9">
        <f>+SUMIF($N$3:$ZE$3,I$3,$N26:$ZE26)</f>
        <v>0</v>
      </c>
      <c r="J26" s="11" cm="1">
        <f t="array" ref="J26">MAX(IF($N$3:$DM$3=$J$3,N26:DM26))</f>
        <v>0.3</v>
      </c>
      <c r="K26" s="11" cm="1">
        <f t="array" ref="K26">MAX(IF($N$3:$DM$3=$K$3,N26:DM26))</f>
        <v>0.3</v>
      </c>
      <c r="L26" s="9"/>
      <c r="O26" s="10">
        <v>0.3</v>
      </c>
      <c r="P26" s="10"/>
      <c r="Q26" s="10">
        <v>0.3</v>
      </c>
      <c r="R26" s="10"/>
      <c r="U26" t="s">
        <v>251</v>
      </c>
      <c r="V26" s="10">
        <v>0.3</v>
      </c>
      <c r="W26" s="10">
        <v>0.5</v>
      </c>
      <c r="X26" s="10">
        <v>0.3</v>
      </c>
      <c r="Y26" s="10">
        <v>0.5</v>
      </c>
      <c r="AC26" s="10"/>
      <c r="AD26" s="10">
        <v>0.5</v>
      </c>
      <c r="AE26" s="10"/>
      <c r="AF26" s="10">
        <v>0.5</v>
      </c>
      <c r="AI26" t="s">
        <v>251</v>
      </c>
      <c r="AJ26" s="10"/>
      <c r="AK26" s="10">
        <v>0.8</v>
      </c>
      <c r="AL26" s="10"/>
      <c r="AM26" s="10">
        <v>0.8</v>
      </c>
      <c r="AQ26" s="10"/>
      <c r="AR26" s="10">
        <v>0.8</v>
      </c>
      <c r="AS26" s="10"/>
      <c r="AT26" s="10">
        <v>0.8</v>
      </c>
      <c r="AX26" s="10"/>
      <c r="AY26" s="10">
        <v>0.8</v>
      </c>
      <c r="AZ26" s="10"/>
      <c r="BA26" s="10">
        <v>0.8</v>
      </c>
      <c r="BE26" s="10"/>
      <c r="BF26" s="10">
        <v>0.8</v>
      </c>
      <c r="BG26" s="10"/>
      <c r="BH26" s="10">
        <v>0.8</v>
      </c>
      <c r="BK26" t="s">
        <v>251</v>
      </c>
      <c r="BL26" s="10"/>
      <c r="BM26" s="10">
        <v>1</v>
      </c>
      <c r="BN26" s="10"/>
      <c r="BO26" s="10">
        <v>1</v>
      </c>
      <c r="BS26" s="10"/>
      <c r="BT26" s="10">
        <v>1</v>
      </c>
      <c r="BU26" s="10"/>
      <c r="BV26" s="10">
        <v>1</v>
      </c>
      <c r="BZ26" s="10"/>
      <c r="CA26" s="10">
        <v>1</v>
      </c>
      <c r="CB26" s="10"/>
      <c r="CC26" s="10">
        <v>1</v>
      </c>
      <c r="CG26" s="10"/>
      <c r="CH26" s="10">
        <v>1</v>
      </c>
      <c r="CI26" s="10"/>
      <c r="CJ26" s="10">
        <v>1</v>
      </c>
    </row>
    <row r="27" spans="2:88" outlineLevel="1" x14ac:dyDescent="0.2">
      <c r="B27" t="s">
        <v>29</v>
      </c>
      <c r="C27" t="s">
        <v>167</v>
      </c>
      <c r="E27" s="9"/>
      <c r="F27" t="s">
        <v>215</v>
      </c>
      <c r="G27" s="10">
        <v>0.03</v>
      </c>
      <c r="I27" s="9">
        <f>+SUMIF($N$3:$ZE$3,I$3,$N27:$ZE27)</f>
        <v>0</v>
      </c>
      <c r="J27" s="11" cm="1">
        <f t="array" ref="J27">MAX(IF($N$3:$DM$3=$J$3,N27:DM27))</f>
        <v>0.3</v>
      </c>
      <c r="K27" s="11" cm="1">
        <f t="array" ref="K27">MAX(IF($N$3:$DM$3=$K$3,N27:DM27))</f>
        <v>0.3</v>
      </c>
      <c r="L27" s="9"/>
      <c r="O27" s="10">
        <v>0.3</v>
      </c>
      <c r="P27" s="10"/>
      <c r="Q27" s="10">
        <v>0.3</v>
      </c>
      <c r="R27" s="10"/>
      <c r="U27" t="s">
        <v>251</v>
      </c>
      <c r="V27" s="10">
        <v>0.3</v>
      </c>
      <c r="W27" s="10">
        <v>0.5</v>
      </c>
      <c r="X27" s="10">
        <v>0.3</v>
      </c>
      <c r="Y27" s="10">
        <v>0.5</v>
      </c>
      <c r="AC27" s="10"/>
      <c r="AD27" s="10">
        <v>0.5</v>
      </c>
      <c r="AE27" s="10"/>
      <c r="AF27" s="10">
        <v>0.5</v>
      </c>
      <c r="AI27" t="s">
        <v>251</v>
      </c>
      <c r="AJ27" s="10"/>
      <c r="AK27" s="10">
        <v>0.8</v>
      </c>
      <c r="AL27" s="10"/>
      <c r="AM27" s="10">
        <v>0.8</v>
      </c>
      <c r="AQ27" s="10"/>
      <c r="AR27" s="10">
        <v>0.8</v>
      </c>
      <c r="AS27" s="10"/>
      <c r="AT27" s="10">
        <v>0.8</v>
      </c>
      <c r="AX27" s="10"/>
      <c r="AY27" s="10">
        <v>0.8</v>
      </c>
      <c r="AZ27" s="10"/>
      <c r="BA27" s="10">
        <v>0.8</v>
      </c>
      <c r="BE27" s="10"/>
      <c r="BF27" s="10">
        <v>0.8</v>
      </c>
      <c r="BG27" s="10"/>
      <c r="BH27" s="10">
        <v>0.8</v>
      </c>
      <c r="BK27" t="s">
        <v>251</v>
      </c>
      <c r="BL27" s="10"/>
      <c r="BM27" s="10">
        <v>1</v>
      </c>
      <c r="BN27" s="10"/>
      <c r="BO27" s="10">
        <v>1</v>
      </c>
      <c r="BS27" s="10"/>
      <c r="BT27" s="10">
        <v>1</v>
      </c>
      <c r="BU27" s="10"/>
      <c r="BV27" s="10">
        <v>1</v>
      </c>
      <c r="BZ27" s="10"/>
      <c r="CA27" s="10">
        <v>1</v>
      </c>
      <c r="CB27" s="10"/>
      <c r="CC27" s="10">
        <v>1</v>
      </c>
      <c r="CG27" s="10"/>
      <c r="CH27" s="10">
        <v>1</v>
      </c>
      <c r="CI27" s="10"/>
      <c r="CJ27" s="10">
        <v>1</v>
      </c>
    </row>
    <row r="28" spans="2:88" outlineLevel="1" x14ac:dyDescent="0.2">
      <c r="B28" t="s">
        <v>29</v>
      </c>
      <c r="C28" t="s">
        <v>167</v>
      </c>
      <c r="E28" s="9"/>
      <c r="F28" t="s">
        <v>216</v>
      </c>
      <c r="G28" s="10">
        <v>0.03</v>
      </c>
      <c r="I28" s="9">
        <f>+SUMIF($N$3:$ZE$3,I$3,$N28:$ZE28)</f>
        <v>0</v>
      </c>
      <c r="J28" s="11" cm="1">
        <f t="array" ref="J28">MAX(IF($N$3:$DM$3=$J$3,N28:DM28))</f>
        <v>0.3</v>
      </c>
      <c r="K28" s="11" cm="1">
        <f t="array" ref="K28">MAX(IF($N$3:$DM$3=$K$3,N28:DM28))</f>
        <v>0.3</v>
      </c>
      <c r="L28" s="9"/>
      <c r="O28" s="10">
        <v>0.3</v>
      </c>
      <c r="P28" s="10"/>
      <c r="Q28" s="10">
        <v>0.3</v>
      </c>
      <c r="R28" s="10"/>
      <c r="U28" t="s">
        <v>251</v>
      </c>
      <c r="V28" s="10">
        <v>0.3</v>
      </c>
      <c r="W28" s="10">
        <v>0.5</v>
      </c>
      <c r="X28" s="10">
        <v>0.3</v>
      </c>
      <c r="Y28" s="10">
        <v>0.5</v>
      </c>
      <c r="AC28" s="10"/>
      <c r="AD28" s="10">
        <v>0.5</v>
      </c>
      <c r="AE28" s="10"/>
      <c r="AF28" s="10">
        <v>0.5</v>
      </c>
      <c r="AI28" t="s">
        <v>251</v>
      </c>
      <c r="AJ28" s="10"/>
      <c r="AK28" s="10">
        <v>0.8</v>
      </c>
      <c r="AL28" s="10"/>
      <c r="AM28" s="10">
        <v>0.8</v>
      </c>
      <c r="AQ28" s="10"/>
      <c r="AR28" s="10">
        <v>0.8</v>
      </c>
      <c r="AS28" s="10"/>
      <c r="AT28" s="10">
        <v>0.8</v>
      </c>
      <c r="AX28" s="10"/>
      <c r="AY28" s="10">
        <v>0.8</v>
      </c>
      <c r="AZ28" s="10"/>
      <c r="BA28" s="10">
        <v>0.8</v>
      </c>
      <c r="BE28" s="10"/>
      <c r="BF28" s="10">
        <v>0.8</v>
      </c>
      <c r="BG28" s="10"/>
      <c r="BH28" s="10">
        <v>0.8</v>
      </c>
      <c r="BK28" t="s">
        <v>251</v>
      </c>
      <c r="BL28" s="10"/>
      <c r="BM28" s="10">
        <v>1</v>
      </c>
      <c r="BN28" s="10"/>
      <c r="BO28" s="10">
        <v>1</v>
      </c>
      <c r="BS28" s="10"/>
      <c r="BT28" s="10">
        <v>1</v>
      </c>
      <c r="BU28" s="10"/>
      <c r="BV28" s="10">
        <v>1</v>
      </c>
      <c r="BZ28" s="10"/>
      <c r="CA28" s="10">
        <v>1</v>
      </c>
      <c r="CB28" s="10"/>
      <c r="CC28" s="10">
        <v>1</v>
      </c>
      <c r="CG28" s="10"/>
      <c r="CH28" s="10">
        <v>1</v>
      </c>
      <c r="CI28" s="10"/>
      <c r="CJ28" s="10">
        <v>1</v>
      </c>
    </row>
    <row r="29" spans="2:88" outlineLevel="1" x14ac:dyDescent="0.2">
      <c r="B29" t="s">
        <v>29</v>
      </c>
      <c r="C29" t="s">
        <v>167</v>
      </c>
      <c r="E29" s="9"/>
      <c r="F29" t="s">
        <v>217</v>
      </c>
      <c r="G29" s="10">
        <v>0.03</v>
      </c>
      <c r="I29" s="9">
        <f>+SUMIF($N$3:$ZE$3,I$3,$N29:$ZE29)</f>
        <v>0</v>
      </c>
      <c r="J29" s="11" cm="1">
        <f t="array" ref="J29">MAX(IF($N$3:$DM$3=$J$3,N29:DM29))</f>
        <v>0.3</v>
      </c>
      <c r="K29" s="11" cm="1">
        <f t="array" ref="K29">MAX(IF($N$3:$DM$3=$K$3,N29:DM29))</f>
        <v>0.3</v>
      </c>
      <c r="L29" s="9"/>
      <c r="O29" s="10">
        <v>0.3</v>
      </c>
      <c r="P29" s="10"/>
      <c r="Q29" s="10">
        <v>0.3</v>
      </c>
      <c r="R29" s="10"/>
      <c r="U29" t="s">
        <v>251</v>
      </c>
      <c r="V29" s="10">
        <v>0.3</v>
      </c>
      <c r="W29" s="10">
        <v>0.5</v>
      </c>
      <c r="X29" s="10">
        <v>0.3</v>
      </c>
      <c r="Y29" s="10">
        <v>0.5</v>
      </c>
      <c r="AC29" s="10"/>
      <c r="AD29" s="10">
        <v>0.5</v>
      </c>
      <c r="AE29" s="10"/>
      <c r="AF29" s="10">
        <v>0.5</v>
      </c>
      <c r="AJ29" s="10"/>
      <c r="AK29" s="10">
        <v>0.5</v>
      </c>
      <c r="AL29" s="10"/>
      <c r="AM29" s="10">
        <v>0.5</v>
      </c>
      <c r="AP29" t="s">
        <v>251</v>
      </c>
      <c r="AQ29" s="10"/>
      <c r="AR29" s="10">
        <v>0.8</v>
      </c>
      <c r="AS29" s="10"/>
      <c r="AT29" s="10">
        <v>0.8</v>
      </c>
      <c r="AX29" s="10"/>
      <c r="AY29" s="10">
        <v>0.8</v>
      </c>
      <c r="AZ29" s="10"/>
      <c r="BA29" s="10">
        <v>0.8</v>
      </c>
      <c r="BE29" s="10"/>
      <c r="BF29" s="10">
        <v>0.8</v>
      </c>
      <c r="BG29" s="10"/>
      <c r="BH29" s="10">
        <v>0.8</v>
      </c>
      <c r="BK29" t="s">
        <v>251</v>
      </c>
      <c r="BL29" s="10"/>
      <c r="BM29" s="10">
        <v>1</v>
      </c>
      <c r="BN29" s="10"/>
      <c r="BO29" s="10">
        <v>1</v>
      </c>
      <c r="BS29" s="10"/>
      <c r="BT29" s="10">
        <v>1</v>
      </c>
      <c r="BU29" s="10"/>
      <c r="BV29" s="10">
        <v>1</v>
      </c>
      <c r="BZ29" s="10"/>
      <c r="CA29" s="10">
        <v>1</v>
      </c>
      <c r="CB29" s="10"/>
      <c r="CC29" s="10">
        <v>1</v>
      </c>
      <c r="CG29" s="10"/>
      <c r="CH29" s="10">
        <v>1</v>
      </c>
      <c r="CI29" s="10"/>
      <c r="CJ29" s="10">
        <v>1</v>
      </c>
    </row>
    <row r="30" spans="2:88" outlineLevel="1" x14ac:dyDescent="0.2">
      <c r="B30" t="s">
        <v>29</v>
      </c>
      <c r="C30" t="s">
        <v>167</v>
      </c>
      <c r="E30" s="9"/>
      <c r="F30" t="s">
        <v>218</v>
      </c>
      <c r="G30" s="10">
        <v>0.03</v>
      </c>
      <c r="I30" s="9">
        <f>+SUMIF($N$3:$ZE$3,I$3,$N30:$ZE30)</f>
        <v>0</v>
      </c>
      <c r="J30" s="11" cm="1">
        <f t="array" ref="J30">MAX(IF($N$3:$DM$3=$J$3,N30:DM30))</f>
        <v>0.3</v>
      </c>
      <c r="K30" s="11" cm="1">
        <f t="array" ref="K30">MAX(IF($N$3:$DM$3=$K$3,N30:DM30))</f>
        <v>0.3</v>
      </c>
      <c r="L30" s="9"/>
      <c r="O30" s="10">
        <v>0.3</v>
      </c>
      <c r="P30" s="10"/>
      <c r="Q30" s="10">
        <v>0.3</v>
      </c>
      <c r="R30" s="10"/>
      <c r="U30" t="s">
        <v>251</v>
      </c>
      <c r="V30" s="10">
        <v>0.3</v>
      </c>
      <c r="W30" s="10">
        <v>0.5</v>
      </c>
      <c r="X30" s="10">
        <v>0.3</v>
      </c>
      <c r="Y30" s="10">
        <v>0.5</v>
      </c>
      <c r="AC30" s="10"/>
      <c r="AD30" s="10">
        <v>0.5</v>
      </c>
      <c r="AE30" s="10"/>
      <c r="AF30" s="10">
        <v>0.5</v>
      </c>
      <c r="AJ30" s="10"/>
      <c r="AK30" s="10">
        <v>0.5</v>
      </c>
      <c r="AL30" s="10"/>
      <c r="AM30" s="10">
        <v>0.5</v>
      </c>
      <c r="AP30" t="s">
        <v>251</v>
      </c>
      <c r="AQ30" s="10"/>
      <c r="AR30" s="10">
        <v>0.8</v>
      </c>
      <c r="AS30" s="10"/>
      <c r="AT30" s="10">
        <v>0.8</v>
      </c>
      <c r="AX30" s="10"/>
      <c r="AY30" s="10">
        <v>0.8</v>
      </c>
      <c r="AZ30" s="10"/>
      <c r="BA30" s="10">
        <v>0.8</v>
      </c>
      <c r="BE30" s="10"/>
      <c r="BF30" s="10">
        <v>0.8</v>
      </c>
      <c r="BG30" s="10"/>
      <c r="BH30" s="10">
        <v>0.8</v>
      </c>
      <c r="BK30" t="s">
        <v>251</v>
      </c>
      <c r="BL30" s="10"/>
      <c r="BM30" s="10">
        <v>1</v>
      </c>
      <c r="BN30" s="10"/>
      <c r="BO30" s="10">
        <v>1</v>
      </c>
      <c r="BS30" s="10"/>
      <c r="BT30" s="10">
        <v>1</v>
      </c>
      <c r="BU30" s="10"/>
      <c r="BV30" s="10">
        <v>1</v>
      </c>
      <c r="BZ30" s="10"/>
      <c r="CA30" s="10">
        <v>1</v>
      </c>
      <c r="CB30" s="10"/>
      <c r="CC30" s="10">
        <v>1</v>
      </c>
      <c r="CG30" s="10"/>
      <c r="CH30" s="10">
        <v>1</v>
      </c>
      <c r="CI30" s="10"/>
      <c r="CJ30" s="10">
        <v>1</v>
      </c>
    </row>
    <row r="31" spans="2:88" outlineLevel="1" x14ac:dyDescent="0.2">
      <c r="B31" t="s">
        <v>29</v>
      </c>
      <c r="C31" t="s">
        <v>167</v>
      </c>
      <c r="E31" s="9"/>
      <c r="F31" t="s">
        <v>219</v>
      </c>
      <c r="G31" s="10">
        <v>0.03</v>
      </c>
      <c r="I31" s="9">
        <f>+SUMIF($N$3:$ZE$3,I$3,$N31:$ZE31)</f>
        <v>0</v>
      </c>
      <c r="J31" s="11" cm="1">
        <f t="array" ref="J31">MAX(IF($N$3:$DM$3=$J$3,N31:DM31))</f>
        <v>0.3</v>
      </c>
      <c r="K31" s="11" cm="1">
        <f t="array" ref="K31">MAX(IF($N$3:$DM$3=$K$3,N31:DM31))</f>
        <v>0.3</v>
      </c>
      <c r="L31" s="9"/>
      <c r="O31" s="10">
        <v>0.3</v>
      </c>
      <c r="P31" s="10"/>
      <c r="Q31" s="10">
        <v>0.3</v>
      </c>
      <c r="R31" s="10"/>
      <c r="U31" t="s">
        <v>251</v>
      </c>
      <c r="V31" s="10">
        <v>0.3</v>
      </c>
      <c r="W31" s="10">
        <v>0.5</v>
      </c>
      <c r="X31" s="10">
        <v>0.3</v>
      </c>
      <c r="Y31" s="10">
        <v>0.5</v>
      </c>
      <c r="AC31" s="10"/>
      <c r="AD31" s="10">
        <v>0.5</v>
      </c>
      <c r="AE31" s="10"/>
      <c r="AF31" s="10">
        <v>0.5</v>
      </c>
      <c r="AJ31" s="10"/>
      <c r="AK31" s="10">
        <v>0.5</v>
      </c>
      <c r="AL31" s="10"/>
      <c r="AM31" s="10">
        <v>0.5</v>
      </c>
      <c r="AP31" t="s">
        <v>251</v>
      </c>
      <c r="AQ31" s="10"/>
      <c r="AR31" s="10">
        <v>0.8</v>
      </c>
      <c r="AS31" s="10"/>
      <c r="AT31" s="10">
        <v>0.8</v>
      </c>
      <c r="AX31" s="10"/>
      <c r="AY31" s="10">
        <v>0.8</v>
      </c>
      <c r="AZ31" s="10"/>
      <c r="BA31" s="10">
        <v>0.8</v>
      </c>
      <c r="BE31" s="10"/>
      <c r="BF31" s="10">
        <v>0.8</v>
      </c>
      <c r="BG31" s="10"/>
      <c r="BH31" s="10">
        <v>0.8</v>
      </c>
      <c r="BK31" t="s">
        <v>251</v>
      </c>
      <c r="BL31" s="10"/>
      <c r="BM31" s="10">
        <v>1</v>
      </c>
      <c r="BN31" s="10"/>
      <c r="BO31" s="10">
        <v>1</v>
      </c>
      <c r="BS31" s="10"/>
      <c r="BT31" s="10">
        <v>1</v>
      </c>
      <c r="BU31" s="10"/>
      <c r="BV31" s="10">
        <v>1</v>
      </c>
      <c r="BZ31" s="10"/>
      <c r="CA31" s="10">
        <v>1</v>
      </c>
      <c r="CB31" s="10"/>
      <c r="CC31" s="10">
        <v>1</v>
      </c>
      <c r="CG31" s="10"/>
      <c r="CH31" s="10">
        <v>1</v>
      </c>
      <c r="CI31" s="10"/>
      <c r="CJ31" s="10">
        <v>1</v>
      </c>
    </row>
    <row r="33" spans="1:88" x14ac:dyDescent="0.2">
      <c r="A33" t="s">
        <v>257</v>
      </c>
      <c r="B33" t="s">
        <v>28</v>
      </c>
      <c r="C33" t="s">
        <v>2</v>
      </c>
      <c r="D33" s="19">
        <v>45166</v>
      </c>
      <c r="E33" s="9">
        <v>6</v>
      </c>
      <c r="G33" s="10">
        <f>+SUM(G34:G43)</f>
        <v>0.94999999999999984</v>
      </c>
      <c r="I33" s="12">
        <f>+SUM(I34:I43)</f>
        <v>0</v>
      </c>
      <c r="J33" s="11">
        <f>+SUMPRODUCT(G34:G43,J34:J43)</f>
        <v>0</v>
      </c>
      <c r="K33" s="11">
        <f>+SUMPRODUCT(G34:G43,K34:K43)</f>
        <v>0</v>
      </c>
      <c r="L33" s="9"/>
      <c r="N33" s="12"/>
      <c r="U33" s="12">
        <f>+SUM(U34:U43)</f>
        <v>0</v>
      </c>
      <c r="AB33" s="12">
        <f>+SUM(AB34:AB43)</f>
        <v>0</v>
      </c>
      <c r="AI33" s="12"/>
      <c r="AP33" s="12"/>
    </row>
    <row r="34" spans="1:88" outlineLevel="1" x14ac:dyDescent="0.2">
      <c r="A34" t="s">
        <v>253</v>
      </c>
      <c r="B34" t="s">
        <v>29</v>
      </c>
      <c r="C34" t="s">
        <v>2</v>
      </c>
      <c r="E34" s="9"/>
      <c r="F34" t="s">
        <v>220</v>
      </c>
      <c r="G34" s="10">
        <v>0.05</v>
      </c>
      <c r="I34" s="9">
        <f>+SUMIF($N$3:$ZE$3,I$3,$N34:$ZE34)</f>
        <v>0</v>
      </c>
      <c r="J34" s="11" cm="1">
        <f t="array" ref="J34">MAX(IF($N$3:$DM$3=$J$3,N34:DM34))</f>
        <v>0</v>
      </c>
      <c r="K34" s="11" cm="1">
        <f t="array" ref="K34">MAX(IF($N$3:$DM$3=$K$3,N34:DM34))</f>
        <v>0</v>
      </c>
      <c r="L34" s="9"/>
      <c r="N34" t="s">
        <v>251</v>
      </c>
      <c r="O34" s="10"/>
      <c r="P34" s="10">
        <v>0.5</v>
      </c>
      <c r="Q34" s="10"/>
      <c r="R34" s="10">
        <v>0.5</v>
      </c>
      <c r="V34" s="10"/>
      <c r="W34" s="10">
        <v>0.5</v>
      </c>
      <c r="X34" s="10"/>
      <c r="Y34" s="10">
        <v>0.5</v>
      </c>
      <c r="AC34" s="10"/>
      <c r="AD34" s="10">
        <v>0.5</v>
      </c>
      <c r="AE34" s="10"/>
      <c r="AF34" s="10">
        <v>0.5</v>
      </c>
      <c r="AI34" t="s">
        <v>251</v>
      </c>
      <c r="AJ34" s="10"/>
      <c r="AK34" s="10">
        <v>0.8</v>
      </c>
      <c r="AL34" s="10"/>
      <c r="AM34" s="10">
        <v>0.8</v>
      </c>
      <c r="AQ34" s="10"/>
      <c r="AR34" s="10">
        <v>0.8</v>
      </c>
      <c r="AS34" s="10"/>
      <c r="AT34" s="10">
        <v>0.8</v>
      </c>
      <c r="AX34" s="10"/>
      <c r="AY34" s="10">
        <v>0.8</v>
      </c>
      <c r="AZ34" s="10"/>
      <c r="BA34" s="10">
        <v>0.8</v>
      </c>
      <c r="BD34" t="s">
        <v>251</v>
      </c>
      <c r="BE34" s="10"/>
      <c r="BF34" s="10">
        <v>1</v>
      </c>
      <c r="BG34" s="10"/>
      <c r="BH34" s="10">
        <v>1</v>
      </c>
      <c r="BL34" s="10"/>
      <c r="BM34" s="10">
        <v>1</v>
      </c>
      <c r="BN34" s="10"/>
      <c r="BO34" s="10">
        <v>1</v>
      </c>
      <c r="BS34" s="10"/>
      <c r="BT34" s="10">
        <v>1</v>
      </c>
      <c r="BU34" s="10"/>
      <c r="BV34" s="10">
        <v>1</v>
      </c>
      <c r="BZ34" s="10"/>
      <c r="CA34" s="10">
        <v>1</v>
      </c>
      <c r="CB34" s="10"/>
      <c r="CC34" s="10">
        <v>1</v>
      </c>
      <c r="CG34" s="10"/>
      <c r="CH34" s="10">
        <v>1</v>
      </c>
      <c r="CI34" s="10"/>
      <c r="CJ34" s="10">
        <v>1</v>
      </c>
    </row>
    <row r="35" spans="1:88" outlineLevel="1" x14ac:dyDescent="0.2">
      <c r="A35" t="s">
        <v>258</v>
      </c>
      <c r="B35" t="s">
        <v>29</v>
      </c>
      <c r="C35" t="s">
        <v>2</v>
      </c>
      <c r="E35" s="9"/>
      <c r="F35" t="s">
        <v>221</v>
      </c>
      <c r="G35" s="10">
        <v>0.1</v>
      </c>
      <c r="I35" s="9">
        <f>+SUMIF($N$3:$ZE$3,I$3,$N35:$ZE35)</f>
        <v>0</v>
      </c>
      <c r="J35" s="11" cm="1">
        <f t="array" ref="J35">MAX(IF($N$3:$DM$3=$J$3,N35:DM35))</f>
        <v>0</v>
      </c>
      <c r="K35" s="11" cm="1">
        <f t="array" ref="K35">MAX(IF($N$3:$DM$3=$K$3,N35:DM35))</f>
        <v>0</v>
      </c>
      <c r="L35" s="9"/>
      <c r="N35" t="s">
        <v>251</v>
      </c>
      <c r="O35" s="10"/>
      <c r="P35" s="10">
        <v>0.5</v>
      </c>
      <c r="Q35" s="10"/>
      <c r="R35" s="10">
        <v>0.5</v>
      </c>
      <c r="V35" s="10"/>
      <c r="W35" s="10">
        <v>0.5</v>
      </c>
      <c r="X35" s="10"/>
      <c r="Y35" s="10">
        <v>0.5</v>
      </c>
      <c r="AC35" s="10"/>
      <c r="AD35" s="10">
        <v>0.5</v>
      </c>
      <c r="AE35" s="10"/>
      <c r="AF35" s="10">
        <v>0.5</v>
      </c>
      <c r="AI35" t="s">
        <v>251</v>
      </c>
      <c r="AJ35" s="10"/>
      <c r="AK35" s="10">
        <v>0.8</v>
      </c>
      <c r="AL35" s="10"/>
      <c r="AM35" s="10">
        <v>0.8</v>
      </c>
      <c r="AQ35" s="10"/>
      <c r="AR35" s="10">
        <v>0.8</v>
      </c>
      <c r="AS35" s="10"/>
      <c r="AT35" s="10">
        <v>0.8</v>
      </c>
      <c r="AX35" s="10"/>
      <c r="AY35" s="10">
        <v>0.8</v>
      </c>
      <c r="AZ35" s="10"/>
      <c r="BA35" s="10">
        <v>0.8</v>
      </c>
      <c r="BD35" t="s">
        <v>251</v>
      </c>
      <c r="BE35" s="10"/>
      <c r="BF35" s="10">
        <v>1</v>
      </c>
      <c r="BG35" s="10"/>
      <c r="BH35" s="10">
        <v>1</v>
      </c>
      <c r="BL35" s="10"/>
      <c r="BM35" s="10">
        <v>1</v>
      </c>
      <c r="BN35" s="10"/>
      <c r="BO35" s="10">
        <v>1</v>
      </c>
      <c r="BS35" s="10"/>
      <c r="BT35" s="10">
        <v>1</v>
      </c>
      <c r="BU35" s="10"/>
      <c r="BV35" s="10">
        <v>1</v>
      </c>
      <c r="BZ35" s="10"/>
      <c r="CA35" s="10">
        <v>1</v>
      </c>
      <c r="CB35" s="10"/>
      <c r="CC35" s="10">
        <v>1</v>
      </c>
      <c r="CG35" s="10"/>
      <c r="CH35" s="10">
        <v>1</v>
      </c>
      <c r="CI35" s="10"/>
      <c r="CJ35" s="10">
        <v>1</v>
      </c>
    </row>
    <row r="36" spans="1:88" outlineLevel="1" x14ac:dyDescent="0.2">
      <c r="B36" t="s">
        <v>29</v>
      </c>
      <c r="C36" t="s">
        <v>2</v>
      </c>
      <c r="E36" s="9"/>
      <c r="F36" s="21" t="s">
        <v>222</v>
      </c>
      <c r="G36" s="10">
        <v>0.1</v>
      </c>
      <c r="I36" s="9">
        <f>+SUMIF($N$3:$ZE$3,I$3,$N36:$ZE36)</f>
        <v>0</v>
      </c>
      <c r="J36" s="11" cm="1">
        <f t="array" ref="J36">MAX(IF($N$3:$DM$3=$J$3,N36:DM36))</f>
        <v>0</v>
      </c>
      <c r="K36" s="11" cm="1">
        <f t="array" ref="K36">MAX(IF($N$3:$DM$3=$K$3,N36:DM36))</f>
        <v>0</v>
      </c>
      <c r="L36" s="9"/>
      <c r="N36" t="s">
        <v>251</v>
      </c>
      <c r="O36" s="10"/>
      <c r="P36" s="10">
        <v>0.5</v>
      </c>
      <c r="Q36" s="10"/>
      <c r="R36" s="10">
        <v>0.5</v>
      </c>
      <c r="V36" s="10"/>
      <c r="W36" s="10">
        <v>0.5</v>
      </c>
      <c r="X36" s="10"/>
      <c r="Y36" s="10">
        <v>0.5</v>
      </c>
      <c r="AC36" s="10"/>
      <c r="AD36" s="10">
        <v>0.5</v>
      </c>
      <c r="AE36" s="10"/>
      <c r="AF36" s="10">
        <v>0.5</v>
      </c>
      <c r="AI36" t="s">
        <v>251</v>
      </c>
      <c r="AJ36" s="10"/>
      <c r="AK36" s="10">
        <v>0.8</v>
      </c>
      <c r="AL36" s="10"/>
      <c r="AM36" s="10">
        <v>0.8</v>
      </c>
      <c r="AQ36" s="10"/>
      <c r="AR36" s="10">
        <v>0.8</v>
      </c>
      <c r="AS36" s="10"/>
      <c r="AT36" s="10">
        <v>0.8</v>
      </c>
      <c r="AX36" s="10"/>
      <c r="AY36" s="10">
        <v>0.8</v>
      </c>
      <c r="AZ36" s="10"/>
      <c r="BA36" s="10">
        <v>0.8</v>
      </c>
      <c r="BD36" t="s">
        <v>251</v>
      </c>
      <c r="BE36" s="10"/>
      <c r="BF36" s="10">
        <v>1</v>
      </c>
      <c r="BG36" s="10"/>
      <c r="BH36" s="10">
        <v>1</v>
      </c>
      <c r="BL36" s="10"/>
      <c r="BM36" s="10">
        <v>1</v>
      </c>
      <c r="BN36" s="10"/>
      <c r="BO36" s="10">
        <v>1</v>
      </c>
      <c r="BS36" s="10"/>
      <c r="BT36" s="10">
        <v>1</v>
      </c>
      <c r="BU36" s="10"/>
      <c r="BV36" s="10">
        <v>1</v>
      </c>
      <c r="BZ36" s="10"/>
      <c r="CA36" s="10">
        <v>1</v>
      </c>
      <c r="CB36" s="10"/>
      <c r="CC36" s="10">
        <v>1</v>
      </c>
      <c r="CG36" s="10"/>
      <c r="CH36" s="10">
        <v>1</v>
      </c>
      <c r="CI36" s="10"/>
      <c r="CJ36" s="10">
        <v>1</v>
      </c>
    </row>
    <row r="37" spans="1:88" outlineLevel="1" x14ac:dyDescent="0.2">
      <c r="B37" t="s">
        <v>29</v>
      </c>
      <c r="C37" t="s">
        <v>2</v>
      </c>
      <c r="E37" s="9"/>
      <c r="F37" t="s">
        <v>223</v>
      </c>
      <c r="G37" s="10">
        <v>0.1</v>
      </c>
      <c r="I37" s="9">
        <f>+SUMIF($N$3:$ZE$3,I$3,$N37:$ZE37)</f>
        <v>0</v>
      </c>
      <c r="J37" s="11" cm="1">
        <f t="array" ref="J37">MAX(IF($N$3:$DM$3=$J$3,N37:DM37))</f>
        <v>0</v>
      </c>
      <c r="K37" s="11" cm="1">
        <f t="array" ref="K37">MAX(IF($N$3:$DM$3=$K$3,N37:DM37))</f>
        <v>0</v>
      </c>
      <c r="L37" s="9"/>
      <c r="P37" s="10"/>
      <c r="Q37" s="10"/>
      <c r="R37" s="10"/>
      <c r="U37" t="s">
        <v>251</v>
      </c>
      <c r="V37" s="10"/>
      <c r="W37" s="10">
        <v>0.5</v>
      </c>
      <c r="X37" s="10"/>
      <c r="Y37" s="10">
        <v>0.5</v>
      </c>
      <c r="AC37" s="10"/>
      <c r="AD37" s="10">
        <v>0.5</v>
      </c>
      <c r="AE37" s="10"/>
      <c r="AF37" s="10">
        <v>0.5</v>
      </c>
      <c r="AJ37" s="10"/>
      <c r="AK37" s="10">
        <v>0.5</v>
      </c>
      <c r="AL37" s="10"/>
      <c r="AM37" s="10">
        <v>0.5</v>
      </c>
      <c r="AP37" t="s">
        <v>251</v>
      </c>
      <c r="AQ37" s="10"/>
      <c r="AR37" s="10">
        <v>0.8</v>
      </c>
      <c r="AS37" s="10"/>
      <c r="AT37" s="10">
        <v>0.8</v>
      </c>
      <c r="AX37" s="10"/>
      <c r="AY37" s="10">
        <v>0.8</v>
      </c>
      <c r="AZ37" s="10"/>
      <c r="BA37" s="10">
        <v>0.8</v>
      </c>
      <c r="BE37" s="10"/>
      <c r="BF37" s="10">
        <v>0.8</v>
      </c>
      <c r="BG37" s="10"/>
      <c r="BH37" s="10">
        <v>0.8</v>
      </c>
      <c r="BK37" t="s">
        <v>251</v>
      </c>
      <c r="BL37" s="10"/>
      <c r="BM37" s="10">
        <v>1</v>
      </c>
      <c r="BN37" s="10"/>
      <c r="BO37" s="10">
        <v>1</v>
      </c>
      <c r="BS37" s="10"/>
      <c r="BT37" s="10">
        <v>1</v>
      </c>
      <c r="BU37" s="10"/>
      <c r="BV37" s="10">
        <v>1</v>
      </c>
      <c r="BZ37" s="10"/>
      <c r="CA37" s="10">
        <v>1</v>
      </c>
      <c r="CB37" s="10"/>
      <c r="CC37" s="10">
        <v>1</v>
      </c>
      <c r="CG37" s="10"/>
      <c r="CH37" s="10">
        <v>1</v>
      </c>
      <c r="CI37" s="10"/>
      <c r="CJ37" s="10">
        <v>1</v>
      </c>
    </row>
    <row r="38" spans="1:88" outlineLevel="1" x14ac:dyDescent="0.2">
      <c r="B38" t="s">
        <v>29</v>
      </c>
      <c r="C38" t="s">
        <v>2</v>
      </c>
      <c r="E38" s="9"/>
      <c r="F38" t="s">
        <v>224</v>
      </c>
      <c r="G38" s="10">
        <v>0.1</v>
      </c>
      <c r="I38" s="9">
        <f>+SUMIF($N$3:$ZE$3,I$3,$N38:$ZE38)</f>
        <v>0</v>
      </c>
      <c r="J38" s="11" cm="1">
        <f t="array" ref="J38">MAX(IF($N$3:$DM$3=$J$3,N38:DM38))</f>
        <v>0</v>
      </c>
      <c r="K38" s="11" cm="1">
        <f t="array" ref="K38">MAX(IF($N$3:$DM$3=$K$3,N38:DM38))</f>
        <v>0</v>
      </c>
      <c r="L38" s="9"/>
      <c r="P38" s="10"/>
      <c r="Q38" s="10"/>
      <c r="R38" s="10"/>
      <c r="U38" t="s">
        <v>251</v>
      </c>
      <c r="V38" s="10"/>
      <c r="W38" s="10">
        <v>0.5</v>
      </c>
      <c r="X38" s="10"/>
      <c r="Y38" s="10">
        <v>0.5</v>
      </c>
      <c r="AC38" s="10"/>
      <c r="AD38" s="10">
        <v>0.5</v>
      </c>
      <c r="AE38" s="10"/>
      <c r="AF38" s="10">
        <v>0.5</v>
      </c>
      <c r="AJ38" s="10"/>
      <c r="AK38" s="10">
        <v>0.5</v>
      </c>
      <c r="AL38" s="10"/>
      <c r="AM38" s="10">
        <v>0.5</v>
      </c>
      <c r="AP38" t="s">
        <v>251</v>
      </c>
      <c r="AQ38" s="10"/>
      <c r="AR38" s="10">
        <v>0.8</v>
      </c>
      <c r="AS38" s="10"/>
      <c r="AT38" s="10">
        <v>0.8</v>
      </c>
      <c r="AX38" s="10"/>
      <c r="AY38" s="10">
        <v>0.8</v>
      </c>
      <c r="AZ38" s="10"/>
      <c r="BA38" s="10">
        <v>0.8</v>
      </c>
      <c r="BE38" s="10"/>
      <c r="BF38" s="10">
        <v>0.8</v>
      </c>
      <c r="BG38" s="10"/>
      <c r="BH38" s="10">
        <v>0.8</v>
      </c>
      <c r="BK38" t="s">
        <v>251</v>
      </c>
      <c r="BL38" s="10"/>
      <c r="BM38" s="10">
        <v>1</v>
      </c>
      <c r="BN38" s="10"/>
      <c r="BO38" s="10">
        <v>1</v>
      </c>
      <c r="BS38" s="10"/>
      <c r="BT38" s="10">
        <v>1</v>
      </c>
      <c r="BU38" s="10"/>
      <c r="BV38" s="10">
        <v>1</v>
      </c>
      <c r="BZ38" s="10"/>
      <c r="CA38" s="10">
        <v>1</v>
      </c>
      <c r="CB38" s="10"/>
      <c r="CC38" s="10">
        <v>1</v>
      </c>
      <c r="CG38" s="10"/>
      <c r="CH38" s="10">
        <v>1</v>
      </c>
      <c r="CI38" s="10"/>
      <c r="CJ38" s="10">
        <v>1</v>
      </c>
    </row>
    <row r="39" spans="1:88" outlineLevel="1" x14ac:dyDescent="0.2">
      <c r="B39" t="s">
        <v>29</v>
      </c>
      <c r="C39" t="s">
        <v>2</v>
      </c>
      <c r="E39" s="9"/>
      <c r="F39" t="s">
        <v>225</v>
      </c>
      <c r="G39" s="10">
        <v>0.1</v>
      </c>
      <c r="I39" s="9">
        <f>+SUMIF($N$3:$ZE$3,I$3,$N39:$ZE39)</f>
        <v>0</v>
      </c>
      <c r="J39" s="11" cm="1">
        <f t="array" ref="J39">MAX(IF($N$3:$DM$3=$J$3,N39:DM39))</f>
        <v>0</v>
      </c>
      <c r="K39" s="11" cm="1">
        <f t="array" ref="K39">MAX(IF($N$3:$DM$3=$K$3,N39:DM39))</f>
        <v>0</v>
      </c>
      <c r="L39" s="9"/>
      <c r="P39" s="10"/>
      <c r="Q39" s="10"/>
      <c r="R39" s="10"/>
      <c r="U39" t="s">
        <v>251</v>
      </c>
      <c r="V39" s="10"/>
      <c r="W39" s="10">
        <v>0.5</v>
      </c>
      <c r="X39" s="10"/>
      <c r="Y39" s="10">
        <v>0.5</v>
      </c>
      <c r="AC39" s="10"/>
      <c r="AD39" s="10">
        <v>0.5</v>
      </c>
      <c r="AE39" s="10"/>
      <c r="AF39" s="10">
        <v>0.5</v>
      </c>
      <c r="AJ39" s="10"/>
      <c r="AK39" s="10">
        <v>0.5</v>
      </c>
      <c r="AL39" s="10"/>
      <c r="AM39" s="10">
        <v>0.5</v>
      </c>
      <c r="AP39" t="s">
        <v>251</v>
      </c>
      <c r="AQ39" s="10"/>
      <c r="AR39" s="10">
        <v>0.8</v>
      </c>
      <c r="AS39" s="10"/>
      <c r="AT39" s="10">
        <v>0.8</v>
      </c>
      <c r="AX39" s="10"/>
      <c r="AY39" s="10">
        <v>0.8</v>
      </c>
      <c r="AZ39" s="10"/>
      <c r="BA39" s="10">
        <v>0.8</v>
      </c>
      <c r="BE39" s="10"/>
      <c r="BF39" s="10">
        <v>0.8</v>
      </c>
      <c r="BG39" s="10"/>
      <c r="BH39" s="10">
        <v>0.8</v>
      </c>
      <c r="BK39" t="s">
        <v>251</v>
      </c>
      <c r="BL39" s="10"/>
      <c r="BM39" s="10">
        <v>1</v>
      </c>
      <c r="BN39" s="10"/>
      <c r="BO39" s="10">
        <v>1</v>
      </c>
      <c r="BS39" s="10"/>
      <c r="BT39" s="10">
        <v>1</v>
      </c>
      <c r="BU39" s="10"/>
      <c r="BV39" s="10">
        <v>1</v>
      </c>
      <c r="BZ39" s="10"/>
      <c r="CA39" s="10">
        <v>1</v>
      </c>
      <c r="CB39" s="10"/>
      <c r="CC39" s="10">
        <v>1</v>
      </c>
      <c r="CG39" s="10"/>
      <c r="CH39" s="10">
        <v>1</v>
      </c>
      <c r="CI39" s="10"/>
      <c r="CJ39" s="10">
        <v>1</v>
      </c>
    </row>
    <row r="40" spans="1:88" outlineLevel="1" x14ac:dyDescent="0.2">
      <c r="B40" t="s">
        <v>29</v>
      </c>
      <c r="C40" t="s">
        <v>2</v>
      </c>
      <c r="E40" s="9"/>
      <c r="F40" t="s">
        <v>226</v>
      </c>
      <c r="G40" s="10">
        <v>0.1</v>
      </c>
      <c r="I40" s="9">
        <f>+SUMIF($N$3:$ZE$3,I$3,$N40:$ZE40)</f>
        <v>0</v>
      </c>
      <c r="J40" s="11" cm="1">
        <f t="array" ref="J40">MAX(IF($N$3:$DM$3=$J$3,N40:DM40))</f>
        <v>0</v>
      </c>
      <c r="K40" s="11" cm="1">
        <f t="array" ref="K40">MAX(IF($N$3:$DM$3=$K$3,N40:DM40))</f>
        <v>0</v>
      </c>
      <c r="L40" s="9"/>
      <c r="P40" s="10"/>
      <c r="Q40" s="10"/>
      <c r="R40" s="10"/>
      <c r="V40" s="10"/>
      <c r="W40" s="10"/>
      <c r="X40" s="10"/>
      <c r="Y40" s="10"/>
      <c r="AB40" t="s">
        <v>251</v>
      </c>
      <c r="AC40" s="10"/>
      <c r="AD40" s="10">
        <v>0.5</v>
      </c>
      <c r="AE40" s="10"/>
      <c r="AF40" s="10">
        <v>0.5</v>
      </c>
      <c r="AJ40" s="10"/>
      <c r="AK40" s="10">
        <v>0.5</v>
      </c>
      <c r="AL40" s="10"/>
      <c r="AM40" s="10">
        <v>0.5</v>
      </c>
      <c r="AQ40" s="10"/>
      <c r="AR40" s="10">
        <v>0.5</v>
      </c>
      <c r="AS40" s="10"/>
      <c r="AT40" s="10">
        <v>0.5</v>
      </c>
      <c r="AW40" t="s">
        <v>251</v>
      </c>
      <c r="AX40" s="10"/>
      <c r="AY40" s="10">
        <v>0.8</v>
      </c>
      <c r="AZ40" s="10"/>
      <c r="BA40" s="10">
        <v>0.8</v>
      </c>
      <c r="BE40" s="10"/>
      <c r="BF40" s="10">
        <v>0.8</v>
      </c>
      <c r="BG40" s="10"/>
      <c r="BH40" s="10">
        <v>0.8</v>
      </c>
      <c r="BL40" s="10"/>
      <c r="BM40" s="10">
        <v>0.8</v>
      </c>
      <c r="BN40" s="10"/>
      <c r="BO40" s="10">
        <v>0.8</v>
      </c>
      <c r="BR40" t="s">
        <v>251</v>
      </c>
      <c r="BS40" s="10"/>
      <c r="BT40" s="10">
        <v>1</v>
      </c>
      <c r="BU40" s="10"/>
      <c r="BV40" s="10">
        <v>1</v>
      </c>
      <c r="BZ40" s="10"/>
      <c r="CA40" s="10">
        <v>1</v>
      </c>
      <c r="CB40" s="10"/>
      <c r="CC40" s="10">
        <v>1</v>
      </c>
      <c r="CG40" s="10"/>
      <c r="CH40" s="10">
        <v>1</v>
      </c>
      <c r="CI40" s="10"/>
      <c r="CJ40" s="10">
        <v>1</v>
      </c>
    </row>
    <row r="41" spans="1:88" outlineLevel="1" x14ac:dyDescent="0.2">
      <c r="B41" t="s">
        <v>29</v>
      </c>
      <c r="C41" t="s">
        <v>2</v>
      </c>
      <c r="E41" s="9"/>
      <c r="F41" t="s">
        <v>227</v>
      </c>
      <c r="G41" s="10">
        <v>0.1</v>
      </c>
      <c r="I41" s="9">
        <f>+SUMIF($N$3:$ZE$3,I$3,$N41:$ZE41)</f>
        <v>0</v>
      </c>
      <c r="J41" s="11" cm="1">
        <f t="array" ref="J41">MAX(IF($N$3:$DM$3=$J$3,N41:DM41))</f>
        <v>0</v>
      </c>
      <c r="K41" s="11" cm="1">
        <f t="array" ref="K41">MAX(IF($N$3:$DM$3=$K$3,N41:DM41))</f>
        <v>0</v>
      </c>
      <c r="L41" s="9"/>
      <c r="P41" s="10"/>
      <c r="Q41" s="10"/>
      <c r="R41" s="10"/>
      <c r="V41" s="10"/>
      <c r="W41" s="10"/>
      <c r="X41" s="10"/>
      <c r="Y41" s="10"/>
      <c r="AB41" t="s">
        <v>251</v>
      </c>
      <c r="AC41" s="10"/>
      <c r="AD41" s="10">
        <v>0.5</v>
      </c>
      <c r="AE41" s="10"/>
      <c r="AF41" s="10">
        <v>0.5</v>
      </c>
      <c r="AJ41" s="10"/>
      <c r="AK41" s="10">
        <v>0.5</v>
      </c>
      <c r="AL41" s="10"/>
      <c r="AM41" s="10">
        <v>0.5</v>
      </c>
      <c r="AQ41" s="10"/>
      <c r="AR41" s="10">
        <v>0.5</v>
      </c>
      <c r="AS41" s="10"/>
      <c r="AT41" s="10">
        <v>0.5</v>
      </c>
      <c r="AW41" t="s">
        <v>251</v>
      </c>
      <c r="AX41" s="10"/>
      <c r="AY41" s="10">
        <v>0.8</v>
      </c>
      <c r="AZ41" s="10"/>
      <c r="BA41" s="10">
        <v>0.8</v>
      </c>
      <c r="BE41" s="10"/>
      <c r="BF41" s="10">
        <v>0.8</v>
      </c>
      <c r="BG41" s="10"/>
      <c r="BH41" s="10">
        <v>0.8</v>
      </c>
      <c r="BL41" s="10"/>
      <c r="BM41" s="10">
        <v>0.8</v>
      </c>
      <c r="BN41" s="10"/>
      <c r="BO41" s="10">
        <v>0.8</v>
      </c>
      <c r="BR41" t="s">
        <v>251</v>
      </c>
      <c r="BS41" s="10"/>
      <c r="BT41" s="10">
        <v>1</v>
      </c>
      <c r="BU41" s="10"/>
      <c r="BV41" s="10">
        <v>1</v>
      </c>
      <c r="BZ41" s="10"/>
      <c r="CA41" s="10">
        <v>1</v>
      </c>
      <c r="CB41" s="10"/>
      <c r="CC41" s="10">
        <v>1</v>
      </c>
      <c r="CG41" s="10"/>
      <c r="CH41" s="10">
        <v>1</v>
      </c>
      <c r="CI41" s="10"/>
      <c r="CJ41" s="10">
        <v>1</v>
      </c>
    </row>
    <row r="42" spans="1:88" outlineLevel="1" x14ac:dyDescent="0.2">
      <c r="B42" t="s">
        <v>29</v>
      </c>
      <c r="C42" t="s">
        <v>2</v>
      </c>
      <c r="E42" s="9"/>
      <c r="F42" t="s">
        <v>95</v>
      </c>
      <c r="G42" s="10">
        <v>0.1</v>
      </c>
      <c r="I42" s="9">
        <f>+SUMIF($N$3:$ZE$3,I$3,$N42:$ZE42)</f>
        <v>0</v>
      </c>
      <c r="J42" s="11" cm="1">
        <f t="array" ref="J42">MAX(IF($N$3:$DM$3=$J$3,N42:DM42))</f>
        <v>0</v>
      </c>
      <c r="K42" s="11" cm="1">
        <f t="array" ref="K42">MAX(IF($N$3:$DM$3=$K$3,N42:DM42))</f>
        <v>0</v>
      </c>
      <c r="L42" s="9"/>
      <c r="P42" s="10"/>
      <c r="Q42" s="10"/>
      <c r="R42" s="10"/>
      <c r="V42" s="10"/>
      <c r="W42" s="10"/>
      <c r="X42" s="10"/>
      <c r="Y42" s="10"/>
      <c r="AB42" t="s">
        <v>251</v>
      </c>
      <c r="AC42" s="10"/>
      <c r="AD42" s="10">
        <v>0.5</v>
      </c>
      <c r="AE42" s="10"/>
      <c r="AF42" s="10">
        <v>0.5</v>
      </c>
      <c r="AJ42" s="10"/>
      <c r="AK42" s="10">
        <v>0.5</v>
      </c>
      <c r="AL42" s="10"/>
      <c r="AM42" s="10">
        <v>0.5</v>
      </c>
      <c r="AQ42" s="10"/>
      <c r="AR42" s="10">
        <v>0.5</v>
      </c>
      <c r="AS42" s="10"/>
      <c r="AT42" s="10">
        <v>0.5</v>
      </c>
      <c r="AW42" t="s">
        <v>251</v>
      </c>
      <c r="AX42" s="10"/>
      <c r="AY42" s="10">
        <v>0.8</v>
      </c>
      <c r="AZ42" s="10"/>
      <c r="BA42" s="10">
        <v>0.8</v>
      </c>
      <c r="BE42" s="10"/>
      <c r="BF42" s="10">
        <v>0.8</v>
      </c>
      <c r="BG42" s="10"/>
      <c r="BH42" s="10">
        <v>0.8</v>
      </c>
      <c r="BL42" s="10"/>
      <c r="BM42" s="10">
        <v>0.8</v>
      </c>
      <c r="BN42" s="10"/>
      <c r="BO42" s="10">
        <v>0.8</v>
      </c>
      <c r="BR42" t="s">
        <v>251</v>
      </c>
      <c r="BS42" s="10"/>
      <c r="BT42" s="10">
        <v>1</v>
      </c>
      <c r="BU42" s="10"/>
      <c r="BV42" s="10">
        <v>1</v>
      </c>
      <c r="BZ42" s="10"/>
      <c r="CA42" s="10">
        <v>1</v>
      </c>
      <c r="CB42" s="10"/>
      <c r="CC42" s="10">
        <v>1</v>
      </c>
      <c r="CG42" s="10"/>
      <c r="CH42" s="10">
        <v>1</v>
      </c>
      <c r="CI42" s="10"/>
      <c r="CJ42" s="10">
        <v>1</v>
      </c>
    </row>
    <row r="43" spans="1:88" outlineLevel="1" x14ac:dyDescent="0.2">
      <c r="B43" t="s">
        <v>29</v>
      </c>
      <c r="C43" t="s">
        <v>2</v>
      </c>
      <c r="E43" s="9"/>
      <c r="F43" t="s">
        <v>93</v>
      </c>
      <c r="G43" s="10">
        <v>0.1</v>
      </c>
      <c r="I43" s="9">
        <f>+SUMIF($N$3:$ZE$3,I$3,$N43:$ZE43)</f>
        <v>0</v>
      </c>
      <c r="J43" s="11" cm="1">
        <f t="array" ref="J43">MAX(IF($N$3:$DM$3=$J$3,N43:DM43))</f>
        <v>0</v>
      </c>
      <c r="K43" s="11" cm="1">
        <f t="array" ref="K43">MAX(IF($N$3:$DM$3=$K$3,N43:DM43))</f>
        <v>0</v>
      </c>
      <c r="L43" s="9"/>
      <c r="P43" s="10"/>
      <c r="Q43" s="10"/>
      <c r="R43" s="10"/>
      <c r="V43" s="10"/>
      <c r="W43" s="10"/>
      <c r="X43" s="10"/>
      <c r="Y43" s="10"/>
      <c r="AB43" t="s">
        <v>251</v>
      </c>
      <c r="AC43" s="10"/>
      <c r="AD43" s="10">
        <v>0.5</v>
      </c>
      <c r="AE43" s="10"/>
      <c r="AF43" s="10">
        <v>0.5</v>
      </c>
      <c r="AJ43" s="10"/>
      <c r="AK43" s="10">
        <v>0.5</v>
      </c>
      <c r="AL43" s="10"/>
      <c r="AM43" s="10">
        <v>0.5</v>
      </c>
      <c r="AQ43" s="10"/>
      <c r="AR43" s="10">
        <v>0.5</v>
      </c>
      <c r="AS43" s="10"/>
      <c r="AT43" s="10">
        <v>0.5</v>
      </c>
      <c r="AW43" t="s">
        <v>251</v>
      </c>
      <c r="AX43" s="10"/>
      <c r="AY43" s="10">
        <v>0.8</v>
      </c>
      <c r="AZ43" s="10"/>
      <c r="BA43" s="10">
        <v>0.8</v>
      </c>
      <c r="BE43" s="10"/>
      <c r="BF43" s="10">
        <v>0.8</v>
      </c>
      <c r="BG43" s="10"/>
      <c r="BH43" s="10">
        <v>0.8</v>
      </c>
      <c r="BL43" s="10"/>
      <c r="BM43" s="10">
        <v>0.8</v>
      </c>
      <c r="BN43" s="10"/>
      <c r="BO43" s="10">
        <v>0.8</v>
      </c>
      <c r="BR43" t="s">
        <v>251</v>
      </c>
      <c r="BS43" s="10"/>
      <c r="BT43" s="10">
        <v>1</v>
      </c>
      <c r="BU43" s="10"/>
      <c r="BV43" s="10">
        <v>1</v>
      </c>
      <c r="BZ43" s="10"/>
      <c r="CA43" s="10">
        <v>1</v>
      </c>
      <c r="CB43" s="10"/>
      <c r="CC43" s="10">
        <v>1</v>
      </c>
      <c r="CG43" s="10"/>
      <c r="CH43" s="10">
        <v>1</v>
      </c>
      <c r="CI43" s="10"/>
      <c r="CJ43" s="10">
        <v>1</v>
      </c>
    </row>
    <row r="45" spans="1:88" x14ac:dyDescent="0.2">
      <c r="A45" t="s">
        <v>259</v>
      </c>
      <c r="B45" t="s">
        <v>28</v>
      </c>
      <c r="C45" t="s">
        <v>228</v>
      </c>
      <c r="D45" s="19">
        <v>45168</v>
      </c>
      <c r="E45" s="9">
        <v>12</v>
      </c>
      <c r="G45" s="10">
        <f>+SUM(G46:G55)</f>
        <v>1.1000000000000001</v>
      </c>
      <c r="I45" s="12">
        <f>+SUM(I46:I55)</f>
        <v>0</v>
      </c>
      <c r="J45" s="11">
        <f>+SUMPRODUCT(G46:G55,J46:J55)</f>
        <v>0.35</v>
      </c>
      <c r="K45" s="11">
        <f>+SUMPRODUCT(G46:G55,K46:K55)</f>
        <v>0.35</v>
      </c>
      <c r="L45" s="9"/>
      <c r="N45" s="12">
        <f>+SUM(N46:N55)</f>
        <v>0</v>
      </c>
      <c r="U45" s="12">
        <f>+SUM(U46:U55)</f>
        <v>0</v>
      </c>
      <c r="AB45" s="12">
        <f>+SUM(AB46:AB55)</f>
        <v>0</v>
      </c>
      <c r="AI45" s="12">
        <f>+SUM(AI46:AI55)</f>
        <v>0</v>
      </c>
      <c r="AP45" s="12"/>
    </row>
    <row r="46" spans="1:88" outlineLevel="1" x14ac:dyDescent="0.2">
      <c r="A46" t="s">
        <v>254</v>
      </c>
      <c r="B46" t="s">
        <v>29</v>
      </c>
      <c r="C46" t="s">
        <v>228</v>
      </c>
      <c r="E46" s="9"/>
      <c r="F46" t="s">
        <v>184</v>
      </c>
      <c r="G46" s="10">
        <v>0.1</v>
      </c>
      <c r="I46" s="9">
        <f>+SUMIF($N$3:$ZE$3,I$3,$N46:$ZE46)</f>
        <v>0</v>
      </c>
      <c r="J46" s="11" cm="1">
        <f t="array" ref="J46">MAX(IF($N$3:$DM$3=$J$3,N46:DM46))</f>
        <v>0</v>
      </c>
      <c r="K46" s="11" cm="1">
        <f t="array" ref="K46">MAX(IF($N$3:$DM$3=$K$3,N46:DM46))</f>
        <v>0</v>
      </c>
      <c r="L46" s="9"/>
      <c r="N46" t="s">
        <v>251</v>
      </c>
      <c r="O46" s="10"/>
      <c r="P46" s="10">
        <v>0.5</v>
      </c>
      <c r="Q46" s="10"/>
      <c r="R46" s="10">
        <v>0.5</v>
      </c>
      <c r="V46" s="10"/>
      <c r="W46" s="10">
        <v>0.5</v>
      </c>
      <c r="X46" s="10"/>
      <c r="Y46" s="10">
        <v>0.5</v>
      </c>
      <c r="AC46" s="10"/>
      <c r="AD46" s="10">
        <v>0.5</v>
      </c>
      <c r="AE46" s="10"/>
      <c r="AF46" s="10">
        <v>0.5</v>
      </c>
      <c r="AJ46" s="10"/>
      <c r="AK46" s="10">
        <v>0.5</v>
      </c>
      <c r="AL46" s="10"/>
      <c r="AM46" s="10">
        <v>0.5</v>
      </c>
      <c r="AP46" t="s">
        <v>251</v>
      </c>
      <c r="AQ46" s="10"/>
      <c r="AR46" s="10">
        <v>0.8</v>
      </c>
      <c r="AS46" s="10"/>
      <c r="AT46" s="10">
        <v>0.8</v>
      </c>
      <c r="AX46" s="10"/>
      <c r="AY46" s="10">
        <v>0.8</v>
      </c>
      <c r="AZ46" s="10"/>
      <c r="BA46" s="10">
        <v>0.8</v>
      </c>
      <c r="BD46" t="s">
        <v>251</v>
      </c>
      <c r="BE46" s="10"/>
      <c r="BF46" s="10">
        <v>1</v>
      </c>
      <c r="BG46" s="10"/>
      <c r="BH46" s="10">
        <v>1</v>
      </c>
      <c r="BL46" s="10"/>
      <c r="BM46" s="10">
        <v>1</v>
      </c>
      <c r="BN46" s="10"/>
      <c r="BO46" s="10">
        <v>1</v>
      </c>
      <c r="BS46" s="10"/>
      <c r="BT46" s="10">
        <v>1</v>
      </c>
      <c r="BU46" s="10"/>
      <c r="BV46" s="10">
        <v>1</v>
      </c>
      <c r="BZ46" s="10"/>
      <c r="CA46" s="10">
        <v>1</v>
      </c>
      <c r="CB46" s="10"/>
      <c r="CC46" s="10">
        <v>1</v>
      </c>
      <c r="CG46" s="10"/>
      <c r="CH46" s="10">
        <v>1</v>
      </c>
      <c r="CI46" s="10"/>
      <c r="CJ46" s="10">
        <v>1</v>
      </c>
    </row>
    <row r="47" spans="1:88" outlineLevel="1" x14ac:dyDescent="0.2">
      <c r="A47" t="s">
        <v>258</v>
      </c>
      <c r="B47" t="s">
        <v>29</v>
      </c>
      <c r="C47" t="s">
        <v>228</v>
      </c>
      <c r="E47" s="9"/>
      <c r="F47" t="s">
        <v>180</v>
      </c>
      <c r="G47" s="10">
        <v>0.1</v>
      </c>
      <c r="I47" s="9">
        <f>+SUMIF($N$3:$ZE$3,I$3,$N47:$ZE47)</f>
        <v>0</v>
      </c>
      <c r="J47" s="11" cm="1">
        <f t="array" ref="J47">MAX(IF($N$3:$DM$3=$J$3,N47:DM47))</f>
        <v>0</v>
      </c>
      <c r="K47" s="11" cm="1">
        <f t="array" ref="K47">MAX(IF($N$3:$DM$3=$K$3,N47:DM47))</f>
        <v>0</v>
      </c>
      <c r="L47" s="9"/>
      <c r="N47" t="s">
        <v>251</v>
      </c>
      <c r="O47" s="10"/>
      <c r="P47" s="10">
        <v>0.5</v>
      </c>
      <c r="Q47" s="10"/>
      <c r="R47" s="10">
        <v>0.5</v>
      </c>
      <c r="V47" s="10"/>
      <c r="W47" s="10">
        <v>0.5</v>
      </c>
      <c r="X47" s="10"/>
      <c r="Y47" s="10">
        <v>0.5</v>
      </c>
      <c r="AC47" s="10"/>
      <c r="AD47" s="10">
        <v>0.5</v>
      </c>
      <c r="AE47" s="10"/>
      <c r="AF47" s="10">
        <v>0.5</v>
      </c>
      <c r="AJ47" s="10"/>
      <c r="AK47" s="10">
        <v>0.5</v>
      </c>
      <c r="AL47" s="10"/>
      <c r="AM47" s="10">
        <v>0.5</v>
      </c>
      <c r="AP47" t="s">
        <v>251</v>
      </c>
      <c r="AQ47" s="10"/>
      <c r="AR47" s="10">
        <v>0.8</v>
      </c>
      <c r="AS47" s="10"/>
      <c r="AT47" s="10">
        <v>0.8</v>
      </c>
      <c r="AX47" s="10"/>
      <c r="AY47" s="10">
        <v>0.8</v>
      </c>
      <c r="AZ47" s="10"/>
      <c r="BA47" s="10">
        <v>0.8</v>
      </c>
      <c r="BD47" t="s">
        <v>251</v>
      </c>
      <c r="BE47" s="10"/>
      <c r="BF47" s="10">
        <v>1</v>
      </c>
      <c r="BG47" s="10"/>
      <c r="BH47" s="10">
        <v>1</v>
      </c>
      <c r="BL47" s="10"/>
      <c r="BM47" s="10">
        <v>1</v>
      </c>
      <c r="BN47" s="10"/>
      <c r="BO47" s="10">
        <v>1</v>
      </c>
      <c r="BS47" s="10"/>
      <c r="BT47" s="10">
        <v>1</v>
      </c>
      <c r="BU47" s="10"/>
      <c r="BV47" s="10">
        <v>1</v>
      </c>
      <c r="BZ47" s="10"/>
      <c r="CA47" s="10">
        <v>1</v>
      </c>
      <c r="CB47" s="10"/>
      <c r="CC47" s="10">
        <v>1</v>
      </c>
      <c r="CG47" s="10"/>
      <c r="CH47" s="10">
        <v>1</v>
      </c>
      <c r="CI47" s="10"/>
      <c r="CJ47" s="10">
        <v>1</v>
      </c>
    </row>
    <row r="48" spans="1:88" outlineLevel="1" x14ac:dyDescent="0.2">
      <c r="B48" t="s">
        <v>29</v>
      </c>
      <c r="C48" t="s">
        <v>228</v>
      </c>
      <c r="E48" s="9"/>
      <c r="F48" t="s">
        <v>176</v>
      </c>
      <c r="G48" s="10">
        <v>0.1</v>
      </c>
      <c r="I48" s="9">
        <f>+SUMIF($N$3:$ZE$3,I$3,$N48:$ZE48)</f>
        <v>0</v>
      </c>
      <c r="J48" s="11" cm="1">
        <f t="array" ref="J48">MAX(IF($N$3:$DM$3=$J$3,N48:DM48))</f>
        <v>0</v>
      </c>
      <c r="K48" s="11" cm="1">
        <f t="array" ref="K48">MAX(IF($N$3:$DM$3=$K$3,N48:DM48))</f>
        <v>0</v>
      </c>
      <c r="L48" s="9"/>
      <c r="O48" s="10"/>
      <c r="P48" s="10"/>
      <c r="Q48" s="10"/>
      <c r="R48" s="10"/>
      <c r="U48" t="s">
        <v>251</v>
      </c>
      <c r="V48" s="10"/>
      <c r="W48" s="10">
        <v>0.5</v>
      </c>
      <c r="X48" s="10"/>
      <c r="Y48" s="10">
        <v>0.5</v>
      </c>
      <c r="AC48" s="10"/>
      <c r="AD48" s="10">
        <v>0.5</v>
      </c>
      <c r="AE48" s="10"/>
      <c r="AF48" s="10">
        <v>0.5</v>
      </c>
      <c r="AJ48" s="10"/>
      <c r="AK48" s="10">
        <v>0.5</v>
      </c>
      <c r="AL48" s="10"/>
      <c r="AM48" s="10">
        <v>0.5</v>
      </c>
      <c r="AQ48" s="10"/>
      <c r="AR48" s="10">
        <v>0.5</v>
      </c>
      <c r="AS48" s="10"/>
      <c r="AT48" s="10">
        <v>0.5</v>
      </c>
      <c r="AW48" t="s">
        <v>251</v>
      </c>
      <c r="AX48" s="10"/>
      <c r="AY48" s="10">
        <v>0.8</v>
      </c>
      <c r="AZ48" s="10"/>
      <c r="BA48" s="10">
        <v>0.8</v>
      </c>
      <c r="BE48" s="10"/>
      <c r="BF48" s="10">
        <v>0.8</v>
      </c>
      <c r="BG48" s="10"/>
      <c r="BH48" s="10">
        <v>0.8</v>
      </c>
      <c r="BK48" t="s">
        <v>251</v>
      </c>
      <c r="BL48" s="10"/>
      <c r="BM48" s="10">
        <v>1</v>
      </c>
      <c r="BN48" s="10"/>
      <c r="BO48" s="10">
        <v>1</v>
      </c>
      <c r="BS48" s="10"/>
      <c r="BT48" s="10">
        <v>1</v>
      </c>
      <c r="BU48" s="10"/>
      <c r="BV48" s="10">
        <v>1</v>
      </c>
      <c r="BZ48" s="10"/>
      <c r="CA48" s="10">
        <v>1</v>
      </c>
      <c r="CB48" s="10"/>
      <c r="CC48" s="10">
        <v>1</v>
      </c>
      <c r="CG48" s="10"/>
      <c r="CH48" s="10">
        <v>1</v>
      </c>
      <c r="CI48" s="10"/>
      <c r="CJ48" s="10">
        <v>1</v>
      </c>
    </row>
    <row r="49" spans="2:88" outlineLevel="1" x14ac:dyDescent="0.2">
      <c r="B49" t="s">
        <v>29</v>
      </c>
      <c r="C49" t="s">
        <v>228</v>
      </c>
      <c r="E49" s="9"/>
      <c r="F49" t="s">
        <v>174</v>
      </c>
      <c r="G49" s="10">
        <v>0.1</v>
      </c>
      <c r="I49" s="9">
        <f>+SUMIF($N$3:$ZE$3,I$3,$N49:$ZE49)</f>
        <v>0</v>
      </c>
      <c r="J49" s="11" cm="1">
        <f t="array" ref="J49">MAX(IF($N$3:$DM$3=$J$3,N49:DM49))</f>
        <v>0</v>
      </c>
      <c r="K49" s="11" cm="1">
        <f t="array" ref="K49">MAX(IF($N$3:$DM$3=$K$3,N49:DM49))</f>
        <v>0</v>
      </c>
      <c r="L49" s="9"/>
      <c r="O49" s="10"/>
      <c r="P49" s="10"/>
      <c r="Q49" s="10"/>
      <c r="R49" s="10"/>
      <c r="U49" t="s">
        <v>251</v>
      </c>
      <c r="V49" s="10"/>
      <c r="W49" s="10">
        <v>0.5</v>
      </c>
      <c r="X49" s="10"/>
      <c r="Y49" s="10">
        <v>0.5</v>
      </c>
      <c r="AC49" s="10"/>
      <c r="AD49" s="10">
        <v>0.5</v>
      </c>
      <c r="AE49" s="10"/>
      <c r="AF49" s="10">
        <v>0.5</v>
      </c>
      <c r="AJ49" s="10"/>
      <c r="AK49" s="10">
        <v>0.5</v>
      </c>
      <c r="AL49" s="10"/>
      <c r="AM49" s="10">
        <v>0.5</v>
      </c>
      <c r="AQ49" s="10"/>
      <c r="AR49" s="10">
        <v>0.5</v>
      </c>
      <c r="AS49" s="10"/>
      <c r="AT49" s="10">
        <v>0.5</v>
      </c>
      <c r="AW49" t="s">
        <v>251</v>
      </c>
      <c r="AX49" s="10"/>
      <c r="AY49" s="10">
        <v>0.8</v>
      </c>
      <c r="AZ49" s="10"/>
      <c r="BA49" s="10">
        <v>0.8</v>
      </c>
      <c r="BE49" s="10"/>
      <c r="BF49" s="10">
        <v>0.8</v>
      </c>
      <c r="BG49" s="10"/>
      <c r="BH49" s="10">
        <v>0.8</v>
      </c>
      <c r="BL49" s="10"/>
      <c r="BM49" s="10">
        <v>0.8</v>
      </c>
      <c r="BN49" s="10"/>
      <c r="BO49" s="10">
        <v>0.8</v>
      </c>
      <c r="BR49" t="s">
        <v>251</v>
      </c>
      <c r="BS49" s="10"/>
      <c r="BT49" s="10">
        <v>1</v>
      </c>
      <c r="BU49" s="10"/>
      <c r="BV49" s="10">
        <v>1</v>
      </c>
      <c r="BZ49" s="10"/>
      <c r="CA49" s="10">
        <v>1</v>
      </c>
      <c r="CB49" s="10"/>
      <c r="CC49" s="10">
        <v>1</v>
      </c>
      <c r="CG49" s="10"/>
      <c r="CH49" s="10">
        <v>1</v>
      </c>
      <c r="CI49" s="10"/>
      <c r="CJ49" s="10">
        <v>1</v>
      </c>
    </row>
    <row r="50" spans="2:88" outlineLevel="1" x14ac:dyDescent="0.2">
      <c r="B50" t="s">
        <v>29</v>
      </c>
      <c r="C50" t="s">
        <v>228</v>
      </c>
      <c r="E50" s="9"/>
      <c r="F50" t="s">
        <v>185</v>
      </c>
      <c r="G50" s="10">
        <v>0.15</v>
      </c>
      <c r="I50" s="9">
        <f>+SUMIF($N$3:$ZE$3,I$3,$N50:$ZE50)</f>
        <v>0</v>
      </c>
      <c r="J50" s="11" cm="1">
        <f t="array" ref="J50">MAX(IF($N$3:$DM$3=$J$3,N50:DM50))</f>
        <v>0.5</v>
      </c>
      <c r="K50" s="11" cm="1">
        <f t="array" ref="K50">MAX(IF($N$3:$DM$3=$K$3,N50:DM50))</f>
        <v>0.5</v>
      </c>
      <c r="L50" s="9"/>
      <c r="O50" s="10">
        <v>0.5</v>
      </c>
      <c r="P50" s="10">
        <v>0.5</v>
      </c>
      <c r="Q50" s="10">
        <v>0.5</v>
      </c>
      <c r="R50" s="10">
        <v>0.5</v>
      </c>
      <c r="V50" s="10">
        <v>0.5</v>
      </c>
      <c r="W50" s="10">
        <v>0.5</v>
      </c>
      <c r="X50" s="10">
        <v>0.5</v>
      </c>
      <c r="Y50" s="10">
        <v>0.5</v>
      </c>
      <c r="AB50" t="s">
        <v>251</v>
      </c>
      <c r="AC50" s="10">
        <v>0.5</v>
      </c>
      <c r="AD50" s="10">
        <v>0.8</v>
      </c>
      <c r="AE50" s="10">
        <v>0.5</v>
      </c>
      <c r="AF50" s="10">
        <v>0.8</v>
      </c>
      <c r="AJ50" s="10">
        <v>0.5</v>
      </c>
      <c r="AK50" s="10">
        <v>0.8</v>
      </c>
      <c r="AL50" s="10">
        <v>0.5</v>
      </c>
      <c r="AM50" s="10">
        <v>0.8</v>
      </c>
      <c r="AQ50" s="10"/>
      <c r="AR50" s="10">
        <v>0.8</v>
      </c>
      <c r="AS50" s="10"/>
      <c r="AT50" s="10">
        <v>0.8</v>
      </c>
      <c r="AW50" t="s">
        <v>251</v>
      </c>
      <c r="AX50" s="10"/>
      <c r="AY50" s="10">
        <v>1</v>
      </c>
      <c r="AZ50" s="10"/>
      <c r="BA50" s="10">
        <v>1</v>
      </c>
      <c r="BE50" s="10"/>
      <c r="BF50" s="10">
        <v>1</v>
      </c>
      <c r="BG50" s="10"/>
      <c r="BH50" s="10">
        <v>1</v>
      </c>
      <c r="BL50" s="10"/>
      <c r="BM50" s="10">
        <v>1</v>
      </c>
      <c r="BN50" s="10"/>
      <c r="BO50" s="10">
        <v>1</v>
      </c>
      <c r="BS50" s="10"/>
      <c r="BT50" s="10">
        <v>1</v>
      </c>
      <c r="BU50" s="10"/>
      <c r="BV50" s="10">
        <v>1</v>
      </c>
      <c r="BZ50" s="10"/>
      <c r="CA50" s="10">
        <v>1</v>
      </c>
      <c r="CB50" s="10"/>
      <c r="CC50" s="10">
        <v>1</v>
      </c>
      <c r="CG50" s="10"/>
      <c r="CH50" s="10">
        <v>1</v>
      </c>
      <c r="CI50" s="10"/>
      <c r="CJ50" s="10">
        <v>1</v>
      </c>
    </row>
    <row r="51" spans="2:88" outlineLevel="1" x14ac:dyDescent="0.2">
      <c r="B51" t="s">
        <v>29</v>
      </c>
      <c r="C51" t="s">
        <v>228</v>
      </c>
      <c r="E51" s="9"/>
      <c r="F51" t="s">
        <v>181</v>
      </c>
      <c r="G51" s="10">
        <v>0.15</v>
      </c>
      <c r="I51" s="9">
        <f>+SUMIF($N$3:$ZE$3,I$3,$N51:$ZE51)</f>
        <v>0</v>
      </c>
      <c r="J51" s="11" cm="1">
        <f t="array" ref="J51">MAX(IF($N$3:$DM$3=$J$3,N51:DM51))</f>
        <v>0.5</v>
      </c>
      <c r="K51" s="11" cm="1">
        <f t="array" ref="K51">MAX(IF($N$3:$DM$3=$K$3,N51:DM51))</f>
        <v>0.5</v>
      </c>
      <c r="L51" s="9"/>
      <c r="O51" s="10">
        <v>0.5</v>
      </c>
      <c r="P51" s="10">
        <v>0.5</v>
      </c>
      <c r="Q51" s="10">
        <v>0.5</v>
      </c>
      <c r="R51" s="10">
        <v>0.5</v>
      </c>
      <c r="V51" s="10">
        <v>0.5</v>
      </c>
      <c r="W51" s="10">
        <v>0.5</v>
      </c>
      <c r="X51" s="10">
        <v>0.5</v>
      </c>
      <c r="Y51" s="10">
        <v>0.5</v>
      </c>
      <c r="AB51" t="s">
        <v>251</v>
      </c>
      <c r="AC51" s="10">
        <v>0.5</v>
      </c>
      <c r="AD51" s="10">
        <v>0.8</v>
      </c>
      <c r="AE51" s="10">
        <v>0.5</v>
      </c>
      <c r="AF51" s="10">
        <v>0.8</v>
      </c>
      <c r="AJ51" s="10">
        <v>0.5</v>
      </c>
      <c r="AK51" s="10">
        <v>0.8</v>
      </c>
      <c r="AL51" s="10">
        <v>0.5</v>
      </c>
      <c r="AM51" s="10">
        <v>0.8</v>
      </c>
      <c r="AQ51" s="10"/>
      <c r="AR51" s="10">
        <v>0.8</v>
      </c>
      <c r="AS51" s="10"/>
      <c r="AT51" s="10">
        <v>0.8</v>
      </c>
      <c r="AX51" s="10"/>
      <c r="AY51" s="10">
        <v>0.8</v>
      </c>
      <c r="AZ51" s="10"/>
      <c r="BA51" s="10">
        <v>0.8</v>
      </c>
      <c r="BD51" t="s">
        <v>251</v>
      </c>
      <c r="BE51" s="10"/>
      <c r="BF51" s="10">
        <v>1</v>
      </c>
      <c r="BG51" s="10"/>
      <c r="BH51" s="10">
        <v>1</v>
      </c>
      <c r="BL51" s="10"/>
      <c r="BM51" s="10">
        <v>1</v>
      </c>
      <c r="BN51" s="10"/>
      <c r="BO51" s="10">
        <v>1</v>
      </c>
      <c r="BS51" s="10"/>
      <c r="BT51" s="10">
        <v>1</v>
      </c>
      <c r="BU51" s="10"/>
      <c r="BV51" s="10">
        <v>1</v>
      </c>
      <c r="BZ51" s="10"/>
      <c r="CA51" s="10">
        <v>1</v>
      </c>
      <c r="CB51" s="10"/>
      <c r="CC51" s="10">
        <v>1</v>
      </c>
      <c r="CG51" s="10"/>
      <c r="CH51" s="10">
        <v>1</v>
      </c>
      <c r="CI51" s="10"/>
      <c r="CJ51" s="10">
        <v>1</v>
      </c>
    </row>
    <row r="52" spans="2:88" outlineLevel="1" x14ac:dyDescent="0.2">
      <c r="B52" t="s">
        <v>29</v>
      </c>
      <c r="C52" t="s">
        <v>228</v>
      </c>
      <c r="E52" s="9"/>
      <c r="F52" t="s">
        <v>177</v>
      </c>
      <c r="G52" s="10">
        <v>0.1</v>
      </c>
      <c r="I52" s="9">
        <f>+SUMIF($N$3:$ZE$3,I$3,$N52:$ZE52)</f>
        <v>0</v>
      </c>
      <c r="J52" s="11" cm="1">
        <f t="array" ref="J52">MAX(IF($N$3:$DM$3=$J$3,N52:DM52))</f>
        <v>0.5</v>
      </c>
      <c r="K52" s="11" cm="1">
        <f t="array" ref="K52">MAX(IF($N$3:$DM$3=$K$3,N52:DM52))</f>
        <v>0.5</v>
      </c>
      <c r="L52" s="9"/>
      <c r="O52" s="10">
        <v>0.5</v>
      </c>
      <c r="P52" s="10">
        <v>0.5</v>
      </c>
      <c r="Q52" s="10">
        <v>0.5</v>
      </c>
      <c r="R52" s="10">
        <v>0.5</v>
      </c>
      <c r="V52" s="10">
        <v>0.5</v>
      </c>
      <c r="W52" s="10">
        <v>0.5</v>
      </c>
      <c r="X52" s="10">
        <v>0.5</v>
      </c>
      <c r="Y52" s="10">
        <v>0.5</v>
      </c>
      <c r="AB52" t="s">
        <v>251</v>
      </c>
      <c r="AC52" s="10">
        <v>0.5</v>
      </c>
      <c r="AD52" s="10">
        <v>0.8</v>
      </c>
      <c r="AE52" s="10">
        <v>0.5</v>
      </c>
      <c r="AF52" s="10">
        <v>0.8</v>
      </c>
      <c r="AJ52" s="10">
        <v>0.5</v>
      </c>
      <c r="AK52" s="10">
        <v>0.8</v>
      </c>
      <c r="AL52" s="10">
        <v>0.5</v>
      </c>
      <c r="AM52" s="10">
        <v>0.8</v>
      </c>
      <c r="AQ52" s="10"/>
      <c r="AR52" s="10">
        <v>0.8</v>
      </c>
      <c r="AS52" s="10"/>
      <c r="AT52" s="10">
        <v>0.8</v>
      </c>
      <c r="AX52" s="10"/>
      <c r="AY52" s="10">
        <v>0.8</v>
      </c>
      <c r="AZ52" s="10"/>
      <c r="BA52" s="10">
        <v>0.8</v>
      </c>
      <c r="BE52" s="10"/>
      <c r="BF52" s="10">
        <v>0.8</v>
      </c>
      <c r="BG52" s="10"/>
      <c r="BH52" s="10">
        <v>0.8</v>
      </c>
      <c r="BK52" t="s">
        <v>251</v>
      </c>
      <c r="BL52" s="10"/>
      <c r="BM52" s="10">
        <v>1</v>
      </c>
      <c r="BN52" s="10"/>
      <c r="BO52" s="10">
        <v>1</v>
      </c>
      <c r="BS52" s="10"/>
      <c r="BT52" s="10">
        <v>1</v>
      </c>
      <c r="BU52" s="10"/>
      <c r="BV52" s="10">
        <v>1</v>
      </c>
      <c r="BZ52" s="10"/>
      <c r="CA52" s="10">
        <v>1</v>
      </c>
      <c r="CB52" s="10"/>
      <c r="CC52" s="10">
        <v>1</v>
      </c>
      <c r="CG52" s="10"/>
      <c r="CH52" s="10">
        <v>1</v>
      </c>
      <c r="CI52" s="10"/>
      <c r="CJ52" s="10">
        <v>1</v>
      </c>
    </row>
    <row r="53" spans="2:88" outlineLevel="1" x14ac:dyDescent="0.2">
      <c r="B53" t="s">
        <v>29</v>
      </c>
      <c r="C53" t="s">
        <v>228</v>
      </c>
      <c r="E53" s="9"/>
      <c r="F53" t="s">
        <v>172</v>
      </c>
      <c r="G53" s="10">
        <v>0.1</v>
      </c>
      <c r="I53" s="9">
        <f>+SUMIF($N$3:$ZE$3,I$3,$N53:$ZE53)</f>
        <v>0</v>
      </c>
      <c r="J53" s="11" cm="1">
        <f t="array" ref="J53">MAX(IF($N$3:$DM$3=$J$3,N53:DM53))</f>
        <v>0.5</v>
      </c>
      <c r="K53" s="11" cm="1">
        <f t="array" ref="K53">MAX(IF($N$3:$DM$3=$K$3,N53:DM53))</f>
        <v>0.5</v>
      </c>
      <c r="L53" s="9"/>
      <c r="O53" s="10">
        <v>0.5</v>
      </c>
      <c r="P53" s="10">
        <v>0.5</v>
      </c>
      <c r="Q53" s="10">
        <v>0.5</v>
      </c>
      <c r="R53" s="10">
        <v>0.5</v>
      </c>
      <c r="V53" s="10">
        <v>0.5</v>
      </c>
      <c r="W53" s="10">
        <v>0.5</v>
      </c>
      <c r="X53" s="10">
        <v>0.5</v>
      </c>
      <c r="Y53" s="10">
        <v>0.5</v>
      </c>
      <c r="AC53" s="10">
        <v>0.5</v>
      </c>
      <c r="AD53" s="10">
        <v>0.5</v>
      </c>
      <c r="AE53" s="10">
        <v>0.5</v>
      </c>
      <c r="AF53" s="10">
        <v>0.5</v>
      </c>
      <c r="AI53" t="s">
        <v>251</v>
      </c>
      <c r="AJ53" s="10">
        <v>0.5</v>
      </c>
      <c r="AK53" s="10">
        <v>0.8</v>
      </c>
      <c r="AL53" s="10">
        <v>0.5</v>
      </c>
      <c r="AM53" s="10">
        <v>0.8</v>
      </c>
      <c r="AQ53" s="10"/>
      <c r="AR53" s="10">
        <v>0.8</v>
      </c>
      <c r="AS53" s="10"/>
      <c r="AT53" s="10">
        <v>0.8</v>
      </c>
      <c r="AX53" s="10"/>
      <c r="AY53" s="10">
        <v>0.8</v>
      </c>
      <c r="AZ53" s="10"/>
      <c r="BA53" s="10">
        <v>0.8</v>
      </c>
      <c r="BE53" s="10"/>
      <c r="BF53" s="10">
        <v>0.8</v>
      </c>
      <c r="BG53" s="10"/>
      <c r="BH53" s="10">
        <v>0.8</v>
      </c>
      <c r="BK53" t="s">
        <v>251</v>
      </c>
      <c r="BL53" s="10"/>
      <c r="BM53" s="10">
        <v>1</v>
      </c>
      <c r="BN53" s="10"/>
      <c r="BO53" s="10">
        <v>1</v>
      </c>
      <c r="BS53" s="10"/>
      <c r="BT53" s="10">
        <v>1</v>
      </c>
      <c r="BU53" s="10"/>
      <c r="BV53" s="10">
        <v>1</v>
      </c>
      <c r="BZ53" s="10"/>
      <c r="CA53" s="10">
        <v>1</v>
      </c>
      <c r="CB53" s="10"/>
      <c r="CC53" s="10">
        <v>1</v>
      </c>
      <c r="CG53" s="10"/>
      <c r="CH53" s="10">
        <v>1</v>
      </c>
      <c r="CI53" s="10"/>
      <c r="CJ53" s="10">
        <v>1</v>
      </c>
    </row>
    <row r="54" spans="2:88" outlineLevel="1" x14ac:dyDescent="0.2">
      <c r="B54" t="s">
        <v>29</v>
      </c>
      <c r="C54" t="s">
        <v>228</v>
      </c>
      <c r="E54" s="9"/>
      <c r="F54" t="s">
        <v>171</v>
      </c>
      <c r="G54" s="10">
        <v>0.1</v>
      </c>
      <c r="I54" s="9">
        <f>+SUMIF($N$3:$ZE$3,I$3,$N54:$ZE54)</f>
        <v>0</v>
      </c>
      <c r="J54" s="11" cm="1">
        <f t="array" ref="J54">MAX(IF($N$3:$DM$3=$J$3,N54:DM54))</f>
        <v>0.5</v>
      </c>
      <c r="K54" s="11" cm="1">
        <f t="array" ref="K54">MAX(IF($N$3:$DM$3=$K$3,N54:DM54))</f>
        <v>0.5</v>
      </c>
      <c r="L54" s="9"/>
      <c r="O54" s="10">
        <v>0.5</v>
      </c>
      <c r="P54" s="10">
        <v>0.5</v>
      </c>
      <c r="Q54" s="10">
        <v>0.5</v>
      </c>
      <c r="R54" s="10">
        <v>0.5</v>
      </c>
      <c r="V54" s="10">
        <v>0.5</v>
      </c>
      <c r="W54" s="10">
        <v>0.5</v>
      </c>
      <c r="X54" s="10">
        <v>0.5</v>
      </c>
      <c r="Y54" s="10">
        <v>0.5</v>
      </c>
      <c r="AC54" s="10">
        <v>0.5</v>
      </c>
      <c r="AD54" s="10">
        <v>0.5</v>
      </c>
      <c r="AE54" s="10">
        <v>0.5</v>
      </c>
      <c r="AF54" s="10">
        <v>0.5</v>
      </c>
      <c r="AI54" t="s">
        <v>251</v>
      </c>
      <c r="AJ54" s="10">
        <v>0.5</v>
      </c>
      <c r="AK54" s="10">
        <v>0.8</v>
      </c>
      <c r="AL54" s="10">
        <v>0.5</v>
      </c>
      <c r="AM54" s="10">
        <v>0.8</v>
      </c>
      <c r="AQ54" s="10"/>
      <c r="AR54" s="10">
        <v>0.8</v>
      </c>
      <c r="AS54" s="10"/>
      <c r="AT54" s="10">
        <v>0.8</v>
      </c>
      <c r="AX54" s="10"/>
      <c r="AY54" s="10">
        <v>0.8</v>
      </c>
      <c r="AZ54" s="10"/>
      <c r="BA54" s="10">
        <v>0.8</v>
      </c>
      <c r="BE54" s="10"/>
      <c r="BF54" s="10">
        <v>0.8</v>
      </c>
      <c r="BG54" s="10"/>
      <c r="BH54" s="10">
        <v>0.8</v>
      </c>
      <c r="BL54" s="10"/>
      <c r="BM54" s="10">
        <v>0.8</v>
      </c>
      <c r="BN54" s="10"/>
      <c r="BO54" s="10">
        <v>0.8</v>
      </c>
      <c r="BR54" t="s">
        <v>251</v>
      </c>
      <c r="BS54" s="10"/>
      <c r="BT54" s="10">
        <v>1</v>
      </c>
      <c r="BU54" s="10"/>
      <c r="BV54" s="10">
        <v>1</v>
      </c>
      <c r="BZ54" s="10"/>
      <c r="CA54" s="10">
        <v>1</v>
      </c>
      <c r="CB54" s="10"/>
      <c r="CC54" s="10">
        <v>1</v>
      </c>
      <c r="CG54" s="10"/>
      <c r="CH54" s="10">
        <v>1</v>
      </c>
      <c r="CI54" s="10"/>
      <c r="CJ54" s="10">
        <v>1</v>
      </c>
    </row>
    <row r="55" spans="2:88" outlineLevel="1" x14ac:dyDescent="0.2">
      <c r="B55" t="s">
        <v>29</v>
      </c>
      <c r="C55" t="s">
        <v>228</v>
      </c>
      <c r="E55" s="9"/>
      <c r="F55" t="s">
        <v>170</v>
      </c>
      <c r="G55" s="10">
        <v>0.1</v>
      </c>
      <c r="I55" s="9">
        <f>+SUMIF($N$3:$ZE$3,I$3,$N55:$ZE55)</f>
        <v>0</v>
      </c>
      <c r="J55" s="11" cm="1">
        <f t="array" ref="J55">MAX(IF($N$3:$DM$3=$J$3,N55:DM55))</f>
        <v>0.5</v>
      </c>
      <c r="K55" s="11" cm="1">
        <f t="array" ref="K55">MAX(IF($N$3:$DM$3=$K$3,N55:DM55))</f>
        <v>0.5</v>
      </c>
      <c r="L55" s="9"/>
      <c r="O55" s="10">
        <v>0.5</v>
      </c>
      <c r="P55" s="10">
        <v>0.5</v>
      </c>
      <c r="Q55" s="10">
        <v>0.5</v>
      </c>
      <c r="R55" s="10">
        <v>0.5</v>
      </c>
      <c r="V55" s="10">
        <v>0.5</v>
      </c>
      <c r="W55" s="10">
        <v>0.5</v>
      </c>
      <c r="X55" s="10">
        <v>0.5</v>
      </c>
      <c r="Y55" s="10">
        <v>0.5</v>
      </c>
      <c r="AC55" s="10">
        <v>0.5</v>
      </c>
      <c r="AD55" s="10">
        <v>0.5</v>
      </c>
      <c r="AE55" s="10">
        <v>0.5</v>
      </c>
      <c r="AF55" s="10">
        <v>0.5</v>
      </c>
      <c r="AI55" t="s">
        <v>251</v>
      </c>
      <c r="AJ55" s="10">
        <v>0.5</v>
      </c>
      <c r="AK55" s="10">
        <v>0.8</v>
      </c>
      <c r="AL55" s="10">
        <v>0.5</v>
      </c>
      <c r="AM55" s="10">
        <v>0.8</v>
      </c>
      <c r="AQ55" s="10"/>
      <c r="AR55" s="10">
        <v>0.8</v>
      </c>
      <c r="AS55" s="10"/>
      <c r="AT55" s="10">
        <v>0.8</v>
      </c>
      <c r="AX55" s="10"/>
      <c r="AY55" s="10">
        <v>0.8</v>
      </c>
      <c r="AZ55" s="10"/>
      <c r="BA55" s="10">
        <v>0.8</v>
      </c>
      <c r="BE55" s="10"/>
      <c r="BF55" s="10">
        <v>0.8</v>
      </c>
      <c r="BG55" s="10"/>
      <c r="BH55" s="10">
        <v>0.8</v>
      </c>
      <c r="BL55" s="10"/>
      <c r="BM55" s="10">
        <v>0.8</v>
      </c>
      <c r="BN55" s="10"/>
      <c r="BO55" s="10">
        <v>0.8</v>
      </c>
      <c r="BR55" t="s">
        <v>251</v>
      </c>
      <c r="BS55" s="10"/>
      <c r="BT55" s="10">
        <v>1</v>
      </c>
      <c r="BU55" s="10"/>
      <c r="BV55" s="10">
        <v>1</v>
      </c>
      <c r="BZ55" s="10"/>
      <c r="CA55" s="10">
        <v>1</v>
      </c>
      <c r="CB55" s="10"/>
      <c r="CC55" s="10">
        <v>1</v>
      </c>
      <c r="CG55" s="10"/>
      <c r="CH55" s="10">
        <v>1</v>
      </c>
      <c r="CI55" s="10"/>
      <c r="CJ55" s="10">
        <v>1</v>
      </c>
    </row>
    <row r="60" spans="2:88" x14ac:dyDescent="0.2">
      <c r="BT60" t="s">
        <v>249</v>
      </c>
    </row>
    <row r="61" spans="2:88" x14ac:dyDescent="0.2">
      <c r="B61" t="s">
        <v>242</v>
      </c>
      <c r="G61" t="s">
        <v>247</v>
      </c>
    </row>
    <row r="62" spans="2:88" x14ac:dyDescent="0.2">
      <c r="B62" t="s">
        <v>243</v>
      </c>
      <c r="G62" t="s">
        <v>248</v>
      </c>
    </row>
    <row r="63" spans="2:88" x14ac:dyDescent="0.2">
      <c r="B63" t="s">
        <v>244</v>
      </c>
    </row>
    <row r="64" spans="2:88" x14ac:dyDescent="0.2">
      <c r="B64" t="s">
        <v>245</v>
      </c>
    </row>
    <row r="66" spans="7:11" x14ac:dyDescent="0.2">
      <c r="G66" t="s">
        <v>260</v>
      </c>
      <c r="K66" t="s">
        <v>261</v>
      </c>
    </row>
    <row r="67" spans="7:11" x14ac:dyDescent="0.2">
      <c r="G67" t="s">
        <v>262</v>
      </c>
      <c r="K67" t="s">
        <v>264</v>
      </c>
    </row>
    <row r="69" spans="7:11" x14ac:dyDescent="0.2">
      <c r="K69" t="s">
        <v>263</v>
      </c>
    </row>
  </sheetData>
  <mergeCells count="12">
    <mergeCell ref="I2:L2"/>
    <mergeCell ref="N2:S2"/>
    <mergeCell ref="BD2:BI2"/>
    <mergeCell ref="U2:Z2"/>
    <mergeCell ref="AB2:AG2"/>
    <mergeCell ref="AI2:AN2"/>
    <mergeCell ref="AP2:AU2"/>
    <mergeCell ref="AW2:BB2"/>
    <mergeCell ref="BK2:BP2"/>
    <mergeCell ref="BR2:BW2"/>
    <mergeCell ref="BY2:CD2"/>
    <mergeCell ref="CF2:CK2"/>
  </mergeCells>
  <phoneticPr fontId="8" type="noConversion"/>
  <conditionalFormatting sqref="Q34 CB5:CB31 AQ5:AQ31 AS5:AS31 BE5:BE31 BG5:BG31 AC5:AC31 AE5:AE31 AJ5:AJ31 AL5:AL31 AX5:AX31 AZ5:AZ31 BL5:BL31 BN5:BN31 BS5:BS31 BU5:BU31 BZ5:BZ31 CG5:CG31 CI5:CI31 Q37:Q43 O5:O31 Q5:Q31 AJ48:AJ49 AL48:AL49 AX48:AX55 AZ48:AZ55 BG48:BG55 X48:X49 V48:V49 AE48:AE49 AC48:AC49 AS48:AS55 AQ48:AQ55 BE48:BE55 BN48:BN55 BL48:BL55 CB48:CB55 BZ48:BZ55 CI48:CI55 CG48:CG55 BU48:BU55 BS48:BS55 V5:V31 X5:X31 O34:O36">
    <cfRule type="expression" dxfId="137" priority="589">
      <formula>OR(IF(O5&lt;P5,TRUE),IF(AND(P5="",O5&lt;&gt;""),TRUE))</formula>
    </cfRule>
    <cfRule type="expression" dxfId="136" priority="590">
      <formula>IF(O5&gt;=P5,IF(O5="",FALSE,TRUE))</formula>
    </cfRule>
  </conditionalFormatting>
  <conditionalFormatting sqref="AQ34 AS34 AS37:AS43 AQ37:AQ43">
    <cfRule type="expression" dxfId="135" priority="456">
      <formula>OR(IF(AQ34&lt;AR34,TRUE),IF(AND(AR34="",AQ34&lt;&gt;""),TRUE))</formula>
    </cfRule>
    <cfRule type="expression" dxfId="134" priority="457">
      <formula>IF(AQ34&gt;=AR34,IF(AQ34="",FALSE,TRUE))</formula>
    </cfRule>
  </conditionalFormatting>
  <conditionalFormatting sqref="O50:O55">
    <cfRule type="expression" dxfId="133" priority="530">
      <formula>OR(IF(O50&lt;P50,TRUE),IF(AND(P50="",O50&lt;&gt;""),TRUE))</formula>
    </cfRule>
    <cfRule type="expression" dxfId="132" priority="531">
      <formula>IF(O50&gt;=P50,IF(O50="",FALSE,TRUE))</formula>
    </cfRule>
  </conditionalFormatting>
  <conditionalFormatting sqref="Q50:Q55">
    <cfRule type="expression" dxfId="131" priority="528">
      <formula>OR(IF(Q50&lt;R50,TRUE),IF(AND(R50="",Q50&lt;&gt;""),TRUE))</formula>
    </cfRule>
    <cfRule type="expression" dxfId="130" priority="529">
      <formula>IF(Q50&gt;=R50,IF(Q50="",FALSE,TRUE))</formula>
    </cfRule>
  </conditionalFormatting>
  <conditionalFormatting sqref="BE34 BG34 BG37:BG43 BE37:BE43">
    <cfRule type="expression" dxfId="129" priority="424">
      <formula>OR(IF(BE34&lt;BF34,TRUE),IF(AND(BF34="",BE34&lt;&gt;""),TRUE))</formula>
    </cfRule>
    <cfRule type="expression" dxfId="128" priority="425">
      <formula>IF(BE34&gt;=BF34,IF(BE34="",FALSE,TRUE))</formula>
    </cfRule>
  </conditionalFormatting>
  <conditionalFormatting sqref="BE46:BE47">
    <cfRule type="expression" dxfId="127" priority="420">
      <formula>OR(IF(BE46&lt;BF46,TRUE),IF(AND(BF46="",BE46&lt;&gt;""),TRUE))</formula>
    </cfRule>
    <cfRule type="expression" dxfId="126" priority="421">
      <formula>IF(BE46&gt;=BF46,IF(BE46="",FALSE,TRUE))</formula>
    </cfRule>
  </conditionalFormatting>
  <conditionalFormatting sqref="V34 X34 X37:X43 V37:V43">
    <cfRule type="expression" dxfId="125" priority="504">
      <formula>OR(IF(V34&lt;W34,TRUE),IF(AND(W34="",V34&lt;&gt;""),TRUE))</formula>
    </cfRule>
    <cfRule type="expression" dxfId="124" priority="505">
      <formula>IF(V34&gt;=W34,IF(V34="",FALSE,TRUE))</formula>
    </cfRule>
  </conditionalFormatting>
  <conditionalFormatting sqref="V46:V47">
    <cfRule type="expression" dxfId="123" priority="500">
      <formula>OR(IF(V46&lt;W46,TRUE),IF(AND(W46="",V46&lt;&gt;""),TRUE))</formula>
    </cfRule>
    <cfRule type="expression" dxfId="122" priority="501">
      <formula>IF(V46&gt;=W46,IF(V46="",FALSE,TRUE))</formula>
    </cfRule>
  </conditionalFormatting>
  <conditionalFormatting sqref="X46:X47">
    <cfRule type="expression" dxfId="121" priority="498">
      <formula>OR(IF(X46&lt;Y46,TRUE),IF(AND(Y46="",X46&lt;&gt;""),TRUE))</formula>
    </cfRule>
    <cfRule type="expression" dxfId="120" priority="499">
      <formula>IF(X46&gt;=Y46,IF(X46="",FALSE,TRUE))</formula>
    </cfRule>
  </conditionalFormatting>
  <conditionalFormatting sqref="AC34 AE34 AE37:AE43 AC37:AC43">
    <cfRule type="expression" dxfId="119" priority="488">
      <formula>OR(IF(AC34&lt;AD34,TRUE),IF(AND(AD34="",AC34&lt;&gt;""),TRUE))</formula>
    </cfRule>
    <cfRule type="expression" dxfId="118" priority="489">
      <formula>IF(AC34&gt;=AD34,IF(AC34="",FALSE,TRUE))</formula>
    </cfRule>
  </conditionalFormatting>
  <conditionalFormatting sqref="AC46:AC47">
    <cfRule type="expression" dxfId="117" priority="484">
      <formula>OR(IF(AC46&lt;AD46,TRUE),IF(AND(AD46="",AC46&lt;&gt;""),TRUE))</formula>
    </cfRule>
    <cfRule type="expression" dxfId="116" priority="485">
      <formula>IF(AC46&gt;=AD46,IF(AC46="",FALSE,TRUE))</formula>
    </cfRule>
  </conditionalFormatting>
  <conditionalFormatting sqref="AE46:AE47">
    <cfRule type="expression" dxfId="115" priority="482">
      <formula>OR(IF(AE46&lt;AF46,TRUE),IF(AND(AF46="",AE46&lt;&gt;""),TRUE))</formula>
    </cfRule>
    <cfRule type="expression" dxfId="114" priority="483">
      <formula>IF(AE46&gt;=AF46,IF(AE46="",FALSE,TRUE))</formula>
    </cfRule>
  </conditionalFormatting>
  <conditionalFormatting sqref="AJ34 AL34 AL37:AL43 AJ37:AJ43">
    <cfRule type="expression" dxfId="113" priority="472">
      <formula>OR(IF(AJ34&lt;AK34,TRUE),IF(AND(AK34="",AJ34&lt;&gt;""),TRUE))</formula>
    </cfRule>
    <cfRule type="expression" dxfId="112" priority="473">
      <formula>IF(AJ34&gt;=AK34,IF(AJ34="",FALSE,TRUE))</formula>
    </cfRule>
  </conditionalFormatting>
  <conditionalFormatting sqref="AJ46:AJ47">
    <cfRule type="expression" dxfId="111" priority="468">
      <formula>OR(IF(AJ46&lt;AK46,TRUE),IF(AND(AK46="",AJ46&lt;&gt;""),TRUE))</formula>
    </cfRule>
    <cfRule type="expression" dxfId="110" priority="469">
      <formula>IF(AJ46&gt;=AK46,IF(AJ46="",FALSE,TRUE))</formula>
    </cfRule>
  </conditionalFormatting>
  <conditionalFormatting sqref="AL46:AL47">
    <cfRule type="expression" dxfId="109" priority="466">
      <formula>OR(IF(AL46&lt;AM46,TRUE),IF(AND(AM46="",AL46&lt;&gt;""),TRUE))</formula>
    </cfRule>
    <cfRule type="expression" dxfId="108" priority="467">
      <formula>IF(AL46&gt;=AM46,IF(AL46="",FALSE,TRUE))</formula>
    </cfRule>
  </conditionalFormatting>
  <conditionalFormatting sqref="AQ46:AQ47">
    <cfRule type="expression" dxfId="107" priority="452">
      <formula>OR(IF(AQ46&lt;AR46,TRUE),IF(AND(AR46="",AQ46&lt;&gt;""),TRUE))</formula>
    </cfRule>
    <cfRule type="expression" dxfId="106" priority="453">
      <formula>IF(AQ46&gt;=AR46,IF(AQ46="",FALSE,TRUE))</formula>
    </cfRule>
  </conditionalFormatting>
  <conditionalFormatting sqref="AS46:AS47">
    <cfRule type="expression" dxfId="105" priority="450">
      <formula>OR(IF(AS46&lt;AT46,TRUE),IF(AND(AT46="",AS46&lt;&gt;""),TRUE))</formula>
    </cfRule>
    <cfRule type="expression" dxfId="104" priority="451">
      <formula>IF(AS46&gt;=AT46,IF(AS46="",FALSE,TRUE))</formula>
    </cfRule>
  </conditionalFormatting>
  <conditionalFormatting sqref="AX34 AZ34 AZ37:AZ43 AX37:AX43">
    <cfRule type="expression" dxfId="103" priority="440">
      <formula>OR(IF(AX34&lt;AY34,TRUE),IF(AND(AY34="",AX34&lt;&gt;""),TRUE))</formula>
    </cfRule>
    <cfRule type="expression" dxfId="102" priority="441">
      <formula>IF(AX34&gt;=AY34,IF(AX34="",FALSE,TRUE))</formula>
    </cfRule>
  </conditionalFormatting>
  <conditionalFormatting sqref="AX46:AX47">
    <cfRule type="expression" dxfId="101" priority="436">
      <formula>OR(IF(AX46&lt;AY46,TRUE),IF(AND(AY46="",AX46&lt;&gt;""),TRUE))</formula>
    </cfRule>
    <cfRule type="expression" dxfId="100" priority="437">
      <formula>IF(AX46&gt;=AY46,IF(AX46="",FALSE,TRUE))</formula>
    </cfRule>
  </conditionalFormatting>
  <conditionalFormatting sqref="AZ46:AZ47">
    <cfRule type="expression" dxfId="99" priority="434">
      <formula>OR(IF(AZ46&lt;BA46,TRUE),IF(AND(BA46="",AZ46&lt;&gt;""),TRUE))</formula>
    </cfRule>
    <cfRule type="expression" dxfId="98" priority="435">
      <formula>IF(AZ46&gt;=BA46,IF(AZ46="",FALSE,TRUE))</formula>
    </cfRule>
  </conditionalFormatting>
  <conditionalFormatting sqref="BG46:BG47">
    <cfRule type="expression" dxfId="97" priority="418">
      <formula>OR(IF(BG46&lt;BH46,TRUE),IF(AND(BH46="",BG46&lt;&gt;""),TRUE))</formula>
    </cfRule>
    <cfRule type="expression" dxfId="96" priority="419">
      <formula>IF(BG46&gt;=BH46,IF(BG46="",FALSE,TRUE))</formula>
    </cfRule>
  </conditionalFormatting>
  <conditionalFormatting sqref="BL34 BN34 BN37:BN43 BL37:BL43">
    <cfRule type="expression" dxfId="95" priority="400">
      <formula>OR(IF(BL34&lt;BM34,TRUE),IF(AND(BM34="",BL34&lt;&gt;""),TRUE))</formula>
    </cfRule>
    <cfRule type="expression" dxfId="94" priority="401">
      <formula>IF(BL34&gt;=BM34,IF(BL34="",FALSE,TRUE))</formula>
    </cfRule>
  </conditionalFormatting>
  <conditionalFormatting sqref="BL46:BL47">
    <cfRule type="expression" dxfId="93" priority="396">
      <formula>OR(IF(BL46&lt;BM46,TRUE),IF(AND(BM46="",BL46&lt;&gt;""),TRUE))</formula>
    </cfRule>
    <cfRule type="expression" dxfId="92" priority="397">
      <formula>IF(BL46&gt;=BM46,IF(BL46="",FALSE,TRUE))</formula>
    </cfRule>
  </conditionalFormatting>
  <conditionalFormatting sqref="BN46:BN47">
    <cfRule type="expression" dxfId="91" priority="394">
      <formula>OR(IF(BN46&lt;BO46,TRUE),IF(AND(BO46="",BN46&lt;&gt;""),TRUE))</formula>
    </cfRule>
    <cfRule type="expression" dxfId="90" priority="395">
      <formula>IF(BN46&gt;=BO46,IF(BN46="",FALSE,TRUE))</formula>
    </cfRule>
  </conditionalFormatting>
  <conditionalFormatting sqref="Q35">
    <cfRule type="expression" dxfId="89" priority="183">
      <formula>OR(IF(Q35&lt;R35,TRUE),IF(AND(R35="",Q35&lt;&gt;""),TRUE))</formula>
    </cfRule>
    <cfRule type="expression" dxfId="88" priority="184">
      <formula>IF(Q35&gt;=R35,IF(Q35="",FALSE,TRUE))</formula>
    </cfRule>
  </conditionalFormatting>
  <conditionalFormatting sqref="AQ35 AS35">
    <cfRule type="expression" dxfId="87" priority="175">
      <formula>OR(IF(AQ35&lt;AR35,TRUE),IF(AND(AR35="",AQ35&lt;&gt;""),TRUE))</formula>
    </cfRule>
    <cfRule type="expression" dxfId="86" priority="176">
      <formula>IF(AQ35&gt;=AR35,IF(AQ35="",FALSE,TRUE))</formula>
    </cfRule>
  </conditionalFormatting>
  <conditionalFormatting sqref="BE35 BG35">
    <cfRule type="expression" dxfId="85" priority="171">
      <formula>OR(IF(BE35&lt;BF35,TRUE),IF(AND(BF35="",BE35&lt;&gt;""),TRUE))</formula>
    </cfRule>
    <cfRule type="expression" dxfId="84" priority="172">
      <formula>IF(BE35&gt;=BF35,IF(BE35="",FALSE,TRUE))</formula>
    </cfRule>
  </conditionalFormatting>
  <conditionalFormatting sqref="V35 X35">
    <cfRule type="expression" dxfId="83" priority="181">
      <formula>OR(IF(V35&lt;W35,TRUE),IF(AND(W35="",V35&lt;&gt;""),TRUE))</formula>
    </cfRule>
    <cfRule type="expression" dxfId="82" priority="182">
      <formula>IF(V35&gt;=W35,IF(V35="",FALSE,TRUE))</formula>
    </cfRule>
  </conditionalFormatting>
  <conditionalFormatting sqref="AC35 AE35">
    <cfRule type="expression" dxfId="81" priority="179">
      <formula>OR(IF(AC35&lt;AD35,TRUE),IF(AND(AD35="",AC35&lt;&gt;""),TRUE))</formula>
    </cfRule>
    <cfRule type="expression" dxfId="80" priority="180">
      <formula>IF(AC35&gt;=AD35,IF(AC35="",FALSE,TRUE))</formula>
    </cfRule>
  </conditionalFormatting>
  <conditionalFormatting sqref="AJ35 AL35">
    <cfRule type="expression" dxfId="79" priority="177">
      <formula>OR(IF(AJ35&lt;AK35,TRUE),IF(AND(AK35="",AJ35&lt;&gt;""),TRUE))</formula>
    </cfRule>
    <cfRule type="expression" dxfId="78" priority="178">
      <formula>IF(AJ35&gt;=AK35,IF(AJ35="",FALSE,TRUE))</formula>
    </cfRule>
  </conditionalFormatting>
  <conditionalFormatting sqref="AX35 AZ35">
    <cfRule type="expression" dxfId="77" priority="173">
      <formula>OR(IF(AX35&lt;AY35,TRUE),IF(AND(AY35="",AX35&lt;&gt;""),TRUE))</formula>
    </cfRule>
    <cfRule type="expression" dxfId="76" priority="174">
      <formula>IF(AX35&gt;=AY35,IF(AX35="",FALSE,TRUE))</formula>
    </cfRule>
  </conditionalFormatting>
  <conditionalFormatting sqref="J35">
    <cfRule type="colorScale" priority="170">
      <colorScale>
        <cfvo type="percent" val="0"/>
        <cfvo type="percent" val="100"/>
        <color rgb="FFFF231B"/>
        <color rgb="FF10FF07"/>
      </colorScale>
    </cfRule>
  </conditionalFormatting>
  <conditionalFormatting sqref="J35">
    <cfRule type="colorScale" priority="169">
      <colorScale>
        <cfvo type="percent" val="0"/>
        <cfvo type="percent" val="100"/>
        <color rgb="FFFF231B"/>
        <color rgb="FF10FF07"/>
      </colorScale>
    </cfRule>
  </conditionalFormatting>
  <conditionalFormatting sqref="BL35 BN35">
    <cfRule type="expression" dxfId="75" priority="166">
      <formula>OR(IF(BL35&lt;BM35,TRUE),IF(AND(BM35="",BL35&lt;&gt;""),TRUE))</formula>
    </cfRule>
    <cfRule type="expression" dxfId="74" priority="167">
      <formula>IF(BL35&gt;=BM35,IF(BL35="",FALSE,TRUE))</formula>
    </cfRule>
  </conditionalFormatting>
  <conditionalFormatting sqref="Q36">
    <cfRule type="expression" dxfId="73" priority="164">
      <formula>OR(IF(Q36&lt;R36,TRUE),IF(AND(R36="",Q36&lt;&gt;""),TRUE))</formula>
    </cfRule>
    <cfRule type="expression" dxfId="72" priority="165">
      <formula>IF(Q36&gt;=R36,IF(Q36="",FALSE,TRUE))</formula>
    </cfRule>
  </conditionalFormatting>
  <conditionalFormatting sqref="AS36 AQ36">
    <cfRule type="expression" dxfId="71" priority="156">
      <formula>OR(IF(AQ36&lt;AR36,TRUE),IF(AND(AR36="",AQ36&lt;&gt;""),TRUE))</formula>
    </cfRule>
    <cfRule type="expression" dxfId="70" priority="157">
      <formula>IF(AQ36&gt;=AR36,IF(AQ36="",FALSE,TRUE))</formula>
    </cfRule>
  </conditionalFormatting>
  <conditionalFormatting sqref="BG36 BE36">
    <cfRule type="expression" dxfId="69" priority="152">
      <formula>OR(IF(BE36&lt;BF36,TRUE),IF(AND(BF36="",BE36&lt;&gt;""),TRUE))</formula>
    </cfRule>
    <cfRule type="expression" dxfId="68" priority="153">
      <formula>IF(BE36&gt;=BF36,IF(BE36="",FALSE,TRUE))</formula>
    </cfRule>
  </conditionalFormatting>
  <conditionalFormatting sqref="X36 V36">
    <cfRule type="expression" dxfId="67" priority="162">
      <formula>OR(IF(V36&lt;W36,TRUE),IF(AND(W36="",V36&lt;&gt;""),TRUE))</formula>
    </cfRule>
    <cfRule type="expression" dxfId="66" priority="163">
      <formula>IF(V36&gt;=W36,IF(V36="",FALSE,TRUE))</formula>
    </cfRule>
  </conditionalFormatting>
  <conditionalFormatting sqref="AE36 AC36">
    <cfRule type="expression" dxfId="65" priority="160">
      <formula>OR(IF(AC36&lt;AD36,TRUE),IF(AND(AD36="",AC36&lt;&gt;""),TRUE))</formula>
    </cfRule>
    <cfRule type="expression" dxfId="64" priority="161">
      <formula>IF(AC36&gt;=AD36,IF(AC36="",FALSE,TRUE))</formula>
    </cfRule>
  </conditionalFormatting>
  <conditionalFormatting sqref="AL36 AJ36">
    <cfRule type="expression" dxfId="63" priority="158">
      <formula>OR(IF(AJ36&lt;AK36,TRUE),IF(AND(AK36="",AJ36&lt;&gt;""),TRUE))</formula>
    </cfRule>
    <cfRule type="expression" dxfId="62" priority="159">
      <formula>IF(AJ36&gt;=AK36,IF(AJ36="",FALSE,TRUE))</formula>
    </cfRule>
  </conditionalFormatting>
  <conditionalFormatting sqref="AZ36 AX36">
    <cfRule type="expression" dxfId="61" priority="154">
      <formula>OR(IF(AX36&lt;AY36,TRUE),IF(AND(AY36="",AX36&lt;&gt;""),TRUE))</formula>
    </cfRule>
    <cfRule type="expression" dxfId="60" priority="155">
      <formula>IF(AX36&gt;=AY36,IF(AX36="",FALSE,TRUE))</formula>
    </cfRule>
  </conditionalFormatting>
  <conditionalFormatting sqref="J36">
    <cfRule type="colorScale" priority="151">
      <colorScale>
        <cfvo type="percent" val="0"/>
        <cfvo type="percent" val="100"/>
        <color rgb="FFFF231B"/>
        <color rgb="FF10FF07"/>
      </colorScale>
    </cfRule>
  </conditionalFormatting>
  <conditionalFormatting sqref="J36">
    <cfRule type="colorScale" priority="150">
      <colorScale>
        <cfvo type="percent" val="0"/>
        <cfvo type="percent" val="100"/>
        <color rgb="FFFF231B"/>
        <color rgb="FF10FF07"/>
      </colorScale>
    </cfRule>
  </conditionalFormatting>
  <conditionalFormatting sqref="BN36 BL36">
    <cfRule type="expression" dxfId="59" priority="147">
      <formula>OR(IF(BL36&lt;BM36,TRUE),IF(AND(BM36="",BL36&lt;&gt;""),TRUE))</formula>
    </cfRule>
    <cfRule type="expression" dxfId="58" priority="148">
      <formula>IF(BL36&gt;=BM36,IF(BL36="",FALSE,TRUE))</formula>
    </cfRule>
  </conditionalFormatting>
  <conditionalFormatting sqref="BS34 BU34 BU37:BU43 BS37:BS43">
    <cfRule type="expression" dxfId="57" priority="143">
      <formula>OR(IF(BS34&lt;BT34,TRUE),IF(AND(BT34="",BS34&lt;&gt;""),TRUE))</formula>
    </cfRule>
    <cfRule type="expression" dxfId="56" priority="144">
      <formula>IF(BS34&gt;=BT34,IF(BS34="",FALSE,TRUE))</formula>
    </cfRule>
  </conditionalFormatting>
  <conditionalFormatting sqref="BS35 BU35">
    <cfRule type="expression" dxfId="55" priority="129">
      <formula>OR(IF(BS35&lt;BT35,TRUE),IF(AND(BT35="",BS35&lt;&gt;""),TRUE))</formula>
    </cfRule>
    <cfRule type="expression" dxfId="54" priority="130">
      <formula>IF(BS35&gt;=BT35,IF(BS35="",FALSE,TRUE))</formula>
    </cfRule>
  </conditionalFormatting>
  <conditionalFormatting sqref="BU36 BS36">
    <cfRule type="expression" dxfId="53" priority="127">
      <formula>OR(IF(BS36&lt;BT36,TRUE),IF(AND(BT36="",BS36&lt;&gt;""),TRUE))</formula>
    </cfRule>
    <cfRule type="expression" dxfId="52" priority="128">
      <formula>IF(BS36&gt;=BT36,IF(BS36="",FALSE,TRUE))</formula>
    </cfRule>
  </conditionalFormatting>
  <conditionalFormatting sqref="BZ34 CB34 CB37:CB43 BZ37:BZ43">
    <cfRule type="expression" dxfId="51" priority="123">
      <formula>OR(IF(BZ34&lt;CA34,TRUE),IF(AND(CA34="",BZ34&lt;&gt;""),TRUE))</formula>
    </cfRule>
    <cfRule type="expression" dxfId="50" priority="124">
      <formula>IF(BZ34&gt;=CA34,IF(BZ34="",FALSE,TRUE))</formula>
    </cfRule>
  </conditionalFormatting>
  <conditionalFormatting sqref="BZ46:BZ47">
    <cfRule type="expression" dxfId="49" priority="121">
      <formula>OR(IF(BZ46&lt;CA46,TRUE),IF(AND(CA46="",BZ46&lt;&gt;""),TRUE))</formula>
    </cfRule>
    <cfRule type="expression" dxfId="48" priority="122">
      <formula>IF(BZ46&gt;=CA46,IF(BZ46="",FALSE,TRUE))</formula>
    </cfRule>
  </conditionalFormatting>
  <conditionalFormatting sqref="CB46:CB47">
    <cfRule type="expression" dxfId="47" priority="119">
      <formula>OR(IF(CB46&lt;CC46,TRUE),IF(AND(CC46="",CB46&lt;&gt;""),TRUE))</formula>
    </cfRule>
    <cfRule type="expression" dxfId="46" priority="120">
      <formula>IF(CB46&gt;=CC46,IF(CB46="",FALSE,TRUE))</formula>
    </cfRule>
  </conditionalFormatting>
  <conditionalFormatting sqref="BZ35 CB35">
    <cfRule type="expression" dxfId="45" priority="109">
      <formula>OR(IF(BZ35&lt;CA35,TRUE),IF(AND(CA35="",BZ35&lt;&gt;""),TRUE))</formula>
    </cfRule>
    <cfRule type="expression" dxfId="44" priority="110">
      <formula>IF(BZ35&gt;=CA35,IF(BZ35="",FALSE,TRUE))</formula>
    </cfRule>
  </conditionalFormatting>
  <conditionalFormatting sqref="CB36 BZ36">
    <cfRule type="expression" dxfId="43" priority="107">
      <formula>OR(IF(BZ36&lt;CA36,TRUE),IF(AND(CA36="",BZ36&lt;&gt;""),TRUE))</formula>
    </cfRule>
    <cfRule type="expression" dxfId="42" priority="108">
      <formula>IF(BZ36&gt;=CA36,IF(BZ36="",FALSE,TRUE))</formula>
    </cfRule>
  </conditionalFormatting>
  <conditionalFormatting sqref="CG34 CI34 CI37:CI43 CG37:CG43">
    <cfRule type="expression" dxfId="41" priority="103">
      <formula>OR(IF(CG34&lt;CH34,TRUE),IF(AND(CH34="",CG34&lt;&gt;""),TRUE))</formula>
    </cfRule>
    <cfRule type="expression" dxfId="40" priority="104">
      <formula>IF(CG34&gt;=CH34,IF(CG34="",FALSE,TRUE))</formula>
    </cfRule>
  </conditionalFormatting>
  <conditionalFormatting sqref="CG46:CG47">
    <cfRule type="expression" dxfId="39" priority="101">
      <formula>OR(IF(CG46&lt;CH46,TRUE),IF(AND(CH46="",CG46&lt;&gt;""),TRUE))</formula>
    </cfRule>
    <cfRule type="expression" dxfId="38" priority="102">
      <formula>IF(CG46&gt;=CH46,IF(CG46="",FALSE,TRUE))</formula>
    </cfRule>
  </conditionalFormatting>
  <conditionalFormatting sqref="CI46:CI47">
    <cfRule type="expression" dxfId="37" priority="99">
      <formula>OR(IF(CI46&lt;CJ46,TRUE),IF(AND(CJ46="",CI46&lt;&gt;""),TRUE))</formula>
    </cfRule>
    <cfRule type="expression" dxfId="36" priority="100">
      <formula>IF(CI46&gt;=CJ46,IF(CI46="",FALSE,TRUE))</formula>
    </cfRule>
  </conditionalFormatting>
  <conditionalFormatting sqref="CG35 CI35">
    <cfRule type="expression" dxfId="35" priority="89">
      <formula>OR(IF(CG35&lt;CH35,TRUE),IF(AND(CH35="",CG35&lt;&gt;""),TRUE))</formula>
    </cfRule>
    <cfRule type="expression" dxfId="34" priority="90">
      <formula>IF(CG35&gt;=CH35,IF(CG35="",FALSE,TRUE))</formula>
    </cfRule>
  </conditionalFormatting>
  <conditionalFormatting sqref="CI36 CG36">
    <cfRule type="expression" dxfId="33" priority="87">
      <formula>OR(IF(CG36&lt;CH36,TRUE),IF(AND(CH36="",CG36&lt;&gt;""),TRUE))</formula>
    </cfRule>
    <cfRule type="expression" dxfId="32" priority="88">
      <formula>IF(CG36&gt;=CH36,IF(CG36="",FALSE,TRUE))</formula>
    </cfRule>
  </conditionalFormatting>
  <conditionalFormatting sqref="K5:K19 J6:K31">
    <cfRule type="colorScale" priority="912">
      <colorScale>
        <cfvo type="percent" val="0"/>
        <cfvo type="percent" val="100"/>
        <color rgb="FFFF231B"/>
        <color rgb="FF10FF07"/>
      </colorScale>
    </cfRule>
  </conditionalFormatting>
  <conditionalFormatting sqref="J5:J31">
    <cfRule type="colorScale" priority="913">
      <colorScale>
        <cfvo type="percent" val="0"/>
        <cfvo type="percent" val="100"/>
        <color rgb="FFFF231B"/>
        <color rgb="FF10FF07"/>
      </colorScale>
    </cfRule>
  </conditionalFormatting>
  <conditionalFormatting sqref="K5:K31">
    <cfRule type="colorScale" priority="914">
      <colorScale>
        <cfvo type="percent" val="0"/>
        <cfvo type="percent" val="100"/>
        <color rgb="FFFF231B"/>
        <color rgb="FF10FF07"/>
      </colorScale>
    </cfRule>
  </conditionalFormatting>
  <conditionalFormatting sqref="J47:K55">
    <cfRule type="colorScale" priority="947">
      <colorScale>
        <cfvo type="percent" val="0"/>
        <cfvo type="percent" val="100"/>
        <color rgb="FFFF231B"/>
        <color rgb="FF10FF07"/>
      </colorScale>
    </cfRule>
  </conditionalFormatting>
  <conditionalFormatting sqref="J46:J55">
    <cfRule type="colorScale" priority="948">
      <colorScale>
        <cfvo type="percent" val="0"/>
        <cfvo type="percent" val="100"/>
        <color rgb="FFFF231B"/>
        <color rgb="FF10FF07"/>
      </colorScale>
    </cfRule>
  </conditionalFormatting>
  <conditionalFormatting sqref="K46:K55">
    <cfRule type="colorScale" priority="949">
      <colorScale>
        <cfvo type="percent" val="0"/>
        <cfvo type="percent" val="100"/>
        <color rgb="FFFF231B"/>
        <color rgb="FF10FF07"/>
      </colorScale>
    </cfRule>
  </conditionalFormatting>
  <conditionalFormatting sqref="BS46:BS47">
    <cfRule type="expression" dxfId="31" priority="19">
      <formula>OR(IF(BS46&lt;BT46,TRUE),IF(AND(BT46="",BS46&lt;&gt;""),TRUE))</formula>
    </cfRule>
    <cfRule type="expression" dxfId="30" priority="20">
      <formula>IF(BS46&gt;=BT46,IF(BS46="",FALSE,TRUE))</formula>
    </cfRule>
  </conditionalFormatting>
  <conditionalFormatting sqref="BU46:BU47">
    <cfRule type="expression" dxfId="29" priority="17">
      <formula>OR(IF(BU46&lt;BV46,TRUE),IF(AND(BV46="",BU46&lt;&gt;""),TRUE))</formula>
    </cfRule>
    <cfRule type="expression" dxfId="28" priority="18">
      <formula>IF(BU46&gt;=BV46,IF(BU46="",FALSE,TRUE))</formula>
    </cfRule>
  </conditionalFormatting>
  <conditionalFormatting sqref="J37:J43">
    <cfRule type="colorScale" priority="950">
      <colorScale>
        <cfvo type="percent" val="0"/>
        <cfvo type="percent" val="100"/>
        <color rgb="FFFF231B"/>
        <color rgb="FF10FF07"/>
      </colorScale>
    </cfRule>
  </conditionalFormatting>
  <conditionalFormatting sqref="J37:J43 J34">
    <cfRule type="colorScale" priority="951">
      <colorScale>
        <cfvo type="percent" val="0"/>
        <cfvo type="percent" val="100"/>
        <color rgb="FFFF231B"/>
        <color rgb="FF10FF07"/>
      </colorScale>
    </cfRule>
  </conditionalFormatting>
  <conditionalFormatting sqref="K34:K43">
    <cfRule type="colorScale" priority="953">
      <colorScale>
        <cfvo type="percent" val="0"/>
        <cfvo type="percent" val="100"/>
        <color rgb="FFFF231B"/>
        <color rgb="FF10FF07"/>
      </colorScale>
    </cfRule>
  </conditionalFormatting>
  <conditionalFormatting sqref="O46:O49">
    <cfRule type="expression" dxfId="27" priority="15">
      <formula>OR(IF(O46&lt;P46,TRUE),IF(AND(P46="",O46&lt;&gt;""),TRUE))</formula>
    </cfRule>
    <cfRule type="expression" dxfId="26" priority="16">
      <formula>IF(O46&gt;=P46,IF(O46="",FALSE,TRUE))</formula>
    </cfRule>
  </conditionalFormatting>
  <conditionalFormatting sqref="Q46:Q49">
    <cfRule type="expression" dxfId="25" priority="13">
      <formula>OR(IF(Q46&lt;R46,TRUE),IF(AND(R46="",Q46&lt;&gt;""),TRUE))</formula>
    </cfRule>
    <cfRule type="expression" dxfId="24" priority="14">
      <formula>IF(Q46&gt;=R46,IF(Q46="",FALSE,TRUE))</formula>
    </cfRule>
  </conditionalFormatting>
  <conditionalFormatting sqref="V50:V55">
    <cfRule type="expression" dxfId="23" priority="11">
      <formula>OR(IF(V50&lt;W50,TRUE),IF(AND(W50="",V50&lt;&gt;""),TRUE))</formula>
    </cfRule>
    <cfRule type="expression" dxfId="22" priority="12">
      <formula>IF(V50&gt;=W50,IF(V50="",FALSE,TRUE))</formula>
    </cfRule>
  </conditionalFormatting>
  <conditionalFormatting sqref="X50:X55">
    <cfRule type="expression" dxfId="21" priority="9">
      <formula>OR(IF(X50&lt;Y50,TRUE),IF(AND(Y50="",X50&lt;&gt;""),TRUE))</formula>
    </cfRule>
    <cfRule type="expression" dxfId="20" priority="10">
      <formula>IF(X50&gt;=Y50,IF(X50="",FALSE,TRUE))</formula>
    </cfRule>
  </conditionalFormatting>
  <conditionalFormatting sqref="AC50:AC55">
    <cfRule type="expression" dxfId="19" priority="7">
      <formula>OR(IF(AC50&lt;AD50,TRUE),IF(AND(AD50="",AC50&lt;&gt;""),TRUE))</formula>
    </cfRule>
    <cfRule type="expression" dxfId="18" priority="8">
      <formula>IF(AC50&gt;=AD50,IF(AC50="",FALSE,TRUE))</formula>
    </cfRule>
  </conditionalFormatting>
  <conditionalFormatting sqref="AE50:AE55">
    <cfRule type="expression" dxfId="17" priority="5">
      <formula>OR(IF(AE50&lt;AF50,TRUE),IF(AND(AF50="",AE50&lt;&gt;""),TRUE))</formula>
    </cfRule>
    <cfRule type="expression" dxfId="16" priority="6">
      <formula>IF(AE50&gt;=AF50,IF(AE50="",FALSE,TRUE))</formula>
    </cfRule>
  </conditionalFormatting>
  <conditionalFormatting sqref="AJ50:AJ55">
    <cfRule type="expression" dxfId="15" priority="3">
      <formula>OR(IF(AJ50&lt;AK50,TRUE),IF(AND(AK50="",AJ50&lt;&gt;""),TRUE))</formula>
    </cfRule>
    <cfRule type="expression" dxfId="14" priority="4">
      <formula>IF(AJ50&gt;=AK50,IF(AJ50="",FALSE,TRUE))</formula>
    </cfRule>
  </conditionalFormatting>
  <conditionalFormatting sqref="AL50:AL55">
    <cfRule type="expression" dxfId="13" priority="1">
      <formula>OR(IF(AL50&lt;AM50,TRUE),IF(AND(AM50="",AL50&lt;&gt;""),TRUE))</formula>
    </cfRule>
    <cfRule type="expression" dxfId="12" priority="2">
      <formula>IF(AL50&gt;=AM50,IF(AL50="",FALSE,TRUE))</formula>
    </cfRule>
  </conditionalFormatting>
  <dataValidations count="1">
    <dataValidation type="list" allowBlank="1" showInputMessage="1" showErrorMessage="1" sqref="BE34:BH43 AJ5:AM31 CG5:CJ31 O5:R31 BZ5:CC31 BS5:BV31 CG46:CJ55 AX5:BA31 AQ5:AT31 AC5:AF31 V5:Y31 BE5:BH31 BL34:BO43 O46:R55 CG34:CJ43 O34:O36 AX34:BA43 AQ34:AT43 AJ34:AM43 AC34:AF43 BL5:BO31 V34:Y43 AX46:BA55 BZ46:CC55 BS34:BV43 BL46:BO55 BZ34:CC43 V46:Y55 AC46:AF55 AJ46:AM55 AQ46:AT55 BE46:BH55 P34:R43 BS46:BV55" xr:uid="{DF46768B-76BD-4AD1-BDD9-05E5E50A35C8}">
      <formula1>"10%,20%,30%,40%,50%,60%,70%,80%,90%,100%"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17</v>
      </c>
    </row>
    <row r="6" spans="2:2" x14ac:dyDescent="0.2">
      <c r="B6" s="2" t="s">
        <v>14</v>
      </c>
    </row>
    <row r="7" spans="2:2" ht="51" x14ac:dyDescent="0.2">
      <c r="B7" s="1" t="s">
        <v>15</v>
      </c>
    </row>
    <row r="9" spans="2:2" x14ac:dyDescent="0.2">
      <c r="B9" s="2" t="s">
        <v>16</v>
      </c>
    </row>
    <row r="10" spans="2:2" ht="68" x14ac:dyDescent="0.2">
      <c r="B10" s="1" t="s">
        <v>36</v>
      </c>
    </row>
    <row r="12" spans="2:2" x14ac:dyDescent="0.2">
      <c r="B12" s="2" t="s">
        <v>18</v>
      </c>
    </row>
    <row r="13" spans="2:2" ht="153" x14ac:dyDescent="0.2">
      <c r="B13" s="1" t="s">
        <v>19</v>
      </c>
    </row>
    <row r="15" spans="2:2" x14ac:dyDescent="0.2">
      <c r="B15" s="2" t="s">
        <v>20</v>
      </c>
    </row>
    <row r="16" spans="2:2" ht="119" x14ac:dyDescent="0.2">
      <c r="B16" s="1" t="s">
        <v>21</v>
      </c>
    </row>
    <row r="17" spans="2:2" x14ac:dyDescent="0.2">
      <c r="B17" s="1"/>
    </row>
    <row r="18" spans="2:2" x14ac:dyDescent="0.2">
      <c r="B18" s="2" t="s">
        <v>35</v>
      </c>
    </row>
    <row r="19" spans="2:2" ht="153" x14ac:dyDescent="0.2">
      <c r="B19" s="1" t="s">
        <v>37</v>
      </c>
    </row>
    <row r="21" spans="2:2" x14ac:dyDescent="0.2">
      <c r="B21" s="2" t="s">
        <v>22</v>
      </c>
    </row>
    <row r="22" spans="2:2" ht="136" x14ac:dyDescent="0.2">
      <c r="B22" s="1" t="s">
        <v>38</v>
      </c>
    </row>
    <row r="24" spans="2:2" x14ac:dyDescent="0.2">
      <c r="B24" s="2" t="s">
        <v>23</v>
      </c>
    </row>
    <row r="25" spans="2:2" ht="136" x14ac:dyDescent="0.2">
      <c r="B25" s="1"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42</v>
      </c>
      <c r="B1" s="15" t="s">
        <v>39</v>
      </c>
      <c r="C1" s="15" t="s">
        <v>40</v>
      </c>
      <c r="D1" s="15" t="s">
        <v>41</v>
      </c>
      <c r="E1" s="1" t="s">
        <v>43</v>
      </c>
      <c r="F1" s="1" t="s">
        <v>44</v>
      </c>
      <c r="G1" s="1" t="s">
        <v>45</v>
      </c>
      <c r="H1" s="1" t="s">
        <v>46</v>
      </c>
      <c r="I1" s="1" t="s">
        <v>47</v>
      </c>
      <c r="J1" s="1" t="s">
        <v>48</v>
      </c>
      <c r="K1" s="1" t="s">
        <v>49</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11" priority="14" operator="equal">
      <formula>"Ja"</formula>
    </cfRule>
    <cfRule type="cellIs" dxfId="10" priority="15" operator="equal">
      <formula>"Nein"</formula>
    </cfRule>
  </conditionalFormatting>
  <conditionalFormatting sqref="D2">
    <cfRule type="cellIs" dxfId="9" priority="6" operator="equal">
      <formula>1</formula>
    </cfRule>
    <cfRule type="cellIs" dxfId="8" priority="7" operator="equal">
      <formula>0.8</formula>
    </cfRule>
    <cfRule type="cellIs" dxfId="7" priority="8" operator="equal">
      <formula>0.6</formula>
    </cfRule>
    <cfRule type="cellIs" dxfId="6" priority="9" operator="equal">
      <formula>0.4</formula>
    </cfRule>
    <cfRule type="cellIs" dxfId="5" priority="10" operator="equal">
      <formula>0.2</formula>
    </cfRule>
    <cfRule type="cellIs" dxfId="4" priority="11" operator="equal">
      <formula>0</formula>
    </cfRule>
  </conditionalFormatting>
  <conditionalFormatting sqref="B2:B46">
    <cfRule type="cellIs" dxfId="3" priority="4" operator="equal">
      <formula>"Ja"</formula>
    </cfRule>
  </conditionalFormatting>
  <conditionalFormatting sqref="C2:C46">
    <cfRule type="cellIs" dxfId="2" priority="2" operator="equal">
      <formula>"Ja"</formula>
    </cfRule>
    <cfRule type="cellIs" dxfId="1" priority="3" operator="equal">
      <formula>"Nein"</formula>
    </cfRule>
  </conditionalFormatting>
  <conditionalFormatting sqref="C2:C46">
    <cfRule type="cellIs" dxfId="0"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7" t="s">
        <v>26</v>
      </c>
    </row>
    <row r="4" spans="1:8" x14ac:dyDescent="0.2">
      <c r="B4" s="2" t="s">
        <v>5</v>
      </c>
      <c r="C4" s="2" t="s">
        <v>6</v>
      </c>
      <c r="D4" s="2" t="s">
        <v>7</v>
      </c>
      <c r="E4" s="2" t="s">
        <v>8</v>
      </c>
      <c r="F4" s="2" t="s">
        <v>11</v>
      </c>
      <c r="G4" s="2" t="s">
        <v>9</v>
      </c>
      <c r="H4" s="2" t="s">
        <v>10</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26</v>
      </c>
    </row>
    <row r="4" spans="1:8" x14ac:dyDescent="0.2">
      <c r="B4" s="2" t="s">
        <v>5</v>
      </c>
      <c r="C4" s="2" t="s">
        <v>6</v>
      </c>
      <c r="D4" s="2" t="s">
        <v>7</v>
      </c>
      <c r="E4" s="2" t="s">
        <v>8</v>
      </c>
      <c r="F4" s="2" t="s">
        <v>11</v>
      </c>
      <c r="G4" s="2" t="s">
        <v>9</v>
      </c>
      <c r="H4" s="2" t="s">
        <v>10</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7</vt:i4>
      </vt:variant>
    </vt:vector>
  </HeadingPairs>
  <TitlesOfParts>
    <vt:vector size="7" baseType="lpstr">
      <vt:lpstr>ANLEITUNG</vt:lpstr>
      <vt:lpstr>Semesterplan (2)</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2023-06-17T19:15:10Z</dcterms:modified>
</cp:coreProperties>
</file>