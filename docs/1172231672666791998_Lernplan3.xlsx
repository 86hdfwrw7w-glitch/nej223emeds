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D:\eigeneDaten\Download\"/>
    </mc:Choice>
  </mc:AlternateContent>
  <xr:revisionPtr revIDLastSave="0" documentId="13_ncr:1_{85479591-F39F-4B37-809F-66CDD72EAA20}" xr6:coauthVersionLast="47" xr6:coauthVersionMax="47" xr10:uidLastSave="{00000000-0000-0000-0000-000000000000}"/>
  <bookViews>
    <workbookView xWindow="-120" yWindow="-120"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3" i="7" l="1"/>
  <c r="AI13" i="7"/>
  <c r="AB13" i="7"/>
  <c r="U13" i="7"/>
  <c r="N13" i="7"/>
  <c r="G13" i="7"/>
  <c r="K14" i="7" a="1"/>
  <c r="K14" i="7" s="1"/>
  <c r="J14" i="7" a="1"/>
  <c r="J14" i="7" s="1"/>
  <c r="I14" i="7"/>
  <c r="I15" i="7"/>
  <c r="J15" i="7" a="1"/>
  <c r="J15" i="7" s="1"/>
  <c r="K15" i="7" a="1"/>
  <c r="K15" i="7" s="1"/>
  <c r="I16" i="7"/>
  <c r="J16" i="7" a="1"/>
  <c r="J16" i="7" s="1"/>
  <c r="K16" i="7" a="1"/>
  <c r="K16" i="7" s="1"/>
  <c r="DO4" i="7"/>
  <c r="J22" i="7" a="1"/>
  <c r="J22" i="7" s="1"/>
  <c r="K22" i="7" a="1"/>
  <c r="K22" i="7" s="1"/>
  <c r="G4" i="7"/>
  <c r="N4" i="7"/>
  <c r="U4" i="7"/>
  <c r="AB4" i="7"/>
  <c r="AI4" i="7"/>
  <c r="AP4" i="7"/>
  <c r="AW4" i="7"/>
  <c r="BD4" i="7"/>
  <c r="BK4" i="7"/>
  <c r="BR4" i="7"/>
  <c r="BY4" i="7"/>
  <c r="CF4" i="7"/>
  <c r="CM4" i="7"/>
  <c r="CT4" i="7"/>
  <c r="DA4" i="7"/>
  <c r="DH4" i="7"/>
  <c r="A6" i="7"/>
  <c r="C12" i="10"/>
  <c r="C11" i="10"/>
  <c r="K89" i="7" a="1"/>
  <c r="K89" i="7" s="1"/>
  <c r="J89" i="7" a="1"/>
  <c r="J89" i="7" s="1"/>
  <c r="I89" i="7"/>
  <c r="K88" i="7" a="1"/>
  <c r="K88" i="7" s="1"/>
  <c r="J88" i="7" a="1"/>
  <c r="J88" i="7" s="1"/>
  <c r="I88" i="7"/>
  <c r="K87" i="7" a="1"/>
  <c r="K87" i="7" s="1"/>
  <c r="J87" i="7" a="1"/>
  <c r="J87" i="7" s="1"/>
  <c r="I87" i="7"/>
  <c r="K86" i="7" a="1"/>
  <c r="K86" i="7" s="1"/>
  <c r="J86" i="7" a="1"/>
  <c r="J86" i="7" s="1"/>
  <c r="I86" i="7"/>
  <c r="K85" i="7" a="1"/>
  <c r="K85" i="7" s="1"/>
  <c r="J85" i="7" a="1"/>
  <c r="J85" i="7" s="1"/>
  <c r="I85" i="7"/>
  <c r="K84" i="7" a="1"/>
  <c r="K84" i="7" s="1"/>
  <c r="J84" i="7" a="1"/>
  <c r="J84" i="7" s="1"/>
  <c r="I84" i="7"/>
  <c r="K83" i="7" a="1"/>
  <c r="K83" i="7" s="1"/>
  <c r="J83" i="7" a="1"/>
  <c r="J83" i="7" s="1"/>
  <c r="I83" i="7"/>
  <c r="K82" i="7" a="1"/>
  <c r="K82" i="7" s="1"/>
  <c r="J82" i="7" a="1"/>
  <c r="J82" i="7" s="1"/>
  <c r="I82" i="7"/>
  <c r="K81" i="7" a="1"/>
  <c r="K81" i="7" s="1"/>
  <c r="J81" i="7" a="1"/>
  <c r="J81" i="7" s="1"/>
  <c r="I81" i="7"/>
  <c r="K80" i="7" a="1"/>
  <c r="K80" i="7" s="1"/>
  <c r="J80" i="7" a="1"/>
  <c r="J80" i="7" s="1"/>
  <c r="I80" i="7"/>
  <c r="K79" i="7" a="1"/>
  <c r="K79" i="7" s="1"/>
  <c r="J79" i="7" a="1"/>
  <c r="J79" i="7" s="1"/>
  <c r="I79" i="7"/>
  <c r="K78" i="7" a="1"/>
  <c r="K78" i="7" s="1"/>
  <c r="J78" i="7" a="1"/>
  <c r="J78" i="7" s="1"/>
  <c r="I78" i="7"/>
  <c r="K77" i="7" a="1"/>
  <c r="K77" i="7" s="1"/>
  <c r="J77" i="7" a="1"/>
  <c r="J77" i="7" s="1"/>
  <c r="I77" i="7"/>
  <c r="K76" i="7" a="1"/>
  <c r="K76" i="7" s="1"/>
  <c r="J76" i="7" a="1"/>
  <c r="J76" i="7" s="1"/>
  <c r="I76" i="7"/>
  <c r="K75" i="7" a="1"/>
  <c r="K75" i="7" s="1"/>
  <c r="J75" i="7" a="1"/>
  <c r="J75" i="7" s="1"/>
  <c r="I75" i="7"/>
  <c r="AP74" i="7"/>
  <c r="AI74" i="7"/>
  <c r="AB74" i="7"/>
  <c r="U74" i="7"/>
  <c r="N69" i="7"/>
  <c r="K70" i="7" s="1" a="1"/>
  <c r="K70" i="7" s="1"/>
  <c r="G74" i="7"/>
  <c r="I22" i="7"/>
  <c r="I23" i="7"/>
  <c r="J23" i="7" a="1"/>
  <c r="J23" i="7" s="1"/>
  <c r="K23" i="7" a="1"/>
  <c r="K23" i="7" s="1"/>
  <c r="I26" i="7"/>
  <c r="K26" i="7" a="1"/>
  <c r="K26" i="7" s="1"/>
  <c r="I27" i="7"/>
  <c r="J27" i="7" a="1"/>
  <c r="J27" i="7" s="1"/>
  <c r="K27" i="7" a="1"/>
  <c r="K27" i="7" s="1"/>
  <c r="K28" i="7" a="1"/>
  <c r="K28" i="7" s="1"/>
  <c r="K72" i="7" a="1"/>
  <c r="K72" i="7" s="1"/>
  <c r="J72" i="7" a="1"/>
  <c r="J72" i="7" s="1"/>
  <c r="I72" i="7"/>
  <c r="K71" i="7" a="1"/>
  <c r="K71" i="7" s="1"/>
  <c r="J71" i="7" a="1"/>
  <c r="J71" i="7" s="1"/>
  <c r="I71"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AP60" i="7"/>
  <c r="AI60" i="7"/>
  <c r="AB60" i="7"/>
  <c r="U60" i="7"/>
  <c r="N55" i="7"/>
  <c r="I58" i="7" s="1"/>
  <c r="G60" i="7"/>
  <c r="K58" i="7" a="1"/>
  <c r="K58" i="7" s="1"/>
  <c r="J58" i="7" a="1"/>
  <c r="J58" i="7" s="1"/>
  <c r="K57" i="7" a="1"/>
  <c r="K57" i="7" s="1"/>
  <c r="J57" i="7" a="1"/>
  <c r="J57" i="7" s="1"/>
  <c r="I57" i="7"/>
  <c r="J56" i="7" a="1"/>
  <c r="J56" i="7" s="1"/>
  <c r="K55" i="7" a="1"/>
  <c r="K55"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AP45" i="7"/>
  <c r="AI45" i="7"/>
  <c r="AB45" i="7"/>
  <c r="U45" i="7"/>
  <c r="N40" i="7"/>
  <c r="J39" i="7" s="1" a="1"/>
  <c r="J39" i="7" s="1"/>
  <c r="G45" i="7"/>
  <c r="K43" i="7" a="1"/>
  <c r="K43" i="7" s="1"/>
  <c r="J43" i="7" a="1"/>
  <c r="J43" i="7" s="1"/>
  <c r="I43" i="7"/>
  <c r="J31" i="7" a="1"/>
  <c r="J31" i="7" s="1"/>
  <c r="K42" i="7" a="1"/>
  <c r="K42" i="7" s="1"/>
  <c r="J42" i="7" a="1"/>
  <c r="J42" i="7" s="1"/>
  <c r="I42" i="7"/>
  <c r="K41" i="7" a="1"/>
  <c r="K41" i="7" s="1"/>
  <c r="J41" i="7" a="1"/>
  <c r="J41" i="7" s="1"/>
  <c r="I41"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K32" i="7" a="1"/>
  <c r="K32" i="7" s="1"/>
  <c r="J32" i="7" a="1"/>
  <c r="J32" i="7" s="1"/>
  <c r="I32" i="7"/>
  <c r="K31" i="7" a="1"/>
  <c r="K31" i="7" s="1"/>
  <c r="I31" i="7"/>
  <c r="AP30" i="7"/>
  <c r="AI30" i="7"/>
  <c r="AB30" i="7"/>
  <c r="U30" i="7"/>
  <c r="N25" i="7"/>
  <c r="I28" i="7" s="1"/>
  <c r="G30" i="7"/>
  <c r="K21" i="7" a="1"/>
  <c r="K21" i="7" s="1"/>
  <c r="J21" i="7" a="1"/>
  <c r="J21" i="7" s="1"/>
  <c r="K20" i="7" a="1"/>
  <c r="K20" i="7" s="1"/>
  <c r="J20" i="7" a="1"/>
  <c r="J20" i="7" s="1"/>
  <c r="K19" i="7" a="1"/>
  <c r="K19" i="7" s="1"/>
  <c r="J19" i="7" a="1"/>
  <c r="J19" i="7" s="1"/>
  <c r="K18" i="7" a="1"/>
  <c r="K18" i="7" s="1"/>
  <c r="J18" i="7" a="1"/>
  <c r="J18" i="7" s="1"/>
  <c r="K17" i="7" a="1"/>
  <c r="K17" i="7" s="1"/>
  <c r="J17" i="7" a="1"/>
  <c r="J17" i="7" s="1"/>
  <c r="I21" i="7"/>
  <c r="I20" i="7"/>
  <c r="I19" i="7"/>
  <c r="I18" i="7"/>
  <c r="I17" i="7"/>
  <c r="J55" i="7" l="1" a="1"/>
  <c r="J55" i="7" s="1"/>
  <c r="J13" i="7"/>
  <c r="K13" i="7"/>
  <c r="I13" i="7"/>
  <c r="I69" i="7"/>
  <c r="J69" i="7" a="1"/>
  <c r="J69" i="7" s="1"/>
  <c r="K69" i="7" a="1"/>
  <c r="K69" i="7" s="1"/>
  <c r="K60" i="7" s="1"/>
  <c r="I40" i="7"/>
  <c r="J40" i="7" a="1"/>
  <c r="J40" i="7" s="1"/>
  <c r="J30" i="7" s="1"/>
  <c r="K40" i="7" a="1"/>
  <c r="K40" i="7" s="1"/>
  <c r="I55" i="7"/>
  <c r="I45" i="7" s="1"/>
  <c r="K39" i="7" a="1"/>
  <c r="K39" i="7" s="1"/>
  <c r="I39" i="7"/>
  <c r="K54" i="7" a="1"/>
  <c r="K54" i="7" s="1"/>
  <c r="K45" i="7" s="1"/>
  <c r="K24" i="7" a="1"/>
  <c r="K24" i="7" s="1"/>
  <c r="J24" i="7" a="1"/>
  <c r="J24" i="7" s="1"/>
  <c r="J54" i="7" a="1"/>
  <c r="J54" i="7" s="1"/>
  <c r="I24" i="7"/>
  <c r="J25" i="7" a="1"/>
  <c r="J25" i="7" s="1"/>
  <c r="I25" i="7"/>
  <c r="K25" i="7" a="1"/>
  <c r="K25" i="7" s="1"/>
  <c r="I56" i="7"/>
  <c r="J26" i="7" a="1"/>
  <c r="J26" i="7" s="1"/>
  <c r="I70" i="7"/>
  <c r="K56" i="7" a="1"/>
  <c r="K56" i="7" s="1"/>
  <c r="J70" i="7" a="1"/>
  <c r="J70" i="7" s="1"/>
  <c r="J28" i="7" a="1"/>
  <c r="J28" i="7" s="1"/>
  <c r="I74" i="7"/>
  <c r="K74" i="7"/>
  <c r="J74" i="7"/>
  <c r="J45" i="7" l="1"/>
  <c r="K30" i="7"/>
  <c r="I60" i="7"/>
  <c r="I30" i="7"/>
  <c r="J60" i="7"/>
  <c r="K11" i="7" a="1"/>
  <c r="K11" i="7" s="1"/>
  <c r="J11" i="7" a="1"/>
  <c r="J11" i="7" s="1"/>
  <c r="I11" i="7"/>
  <c r="K10" i="7" l="1" a="1"/>
  <c r="K10" i="7" s="1"/>
  <c r="J10" i="7" a="1"/>
  <c r="J10" i="7" s="1"/>
  <c r="I10" i="7"/>
  <c r="K9" i="7" l="1" a="1"/>
  <c r="K9" i="7" s="1"/>
  <c r="I9" i="7"/>
  <c r="J9" i="7" a="1"/>
  <c r="J9" i="7" s="1"/>
  <c r="I8" i="7" l="1"/>
  <c r="J8" i="7" a="1"/>
  <c r="J8" i="7" s="1"/>
  <c r="K8" i="7" a="1"/>
  <c r="K8" i="7" s="1"/>
  <c r="K7" i="7" l="1" a="1"/>
  <c r="K7" i="7" s="1"/>
  <c r="I7" i="7"/>
  <c r="J7" i="7" a="1"/>
  <c r="J7" i="7" s="1"/>
  <c r="I6" i="7" l="1"/>
  <c r="K6" i="7" a="1"/>
  <c r="K6" i="7" s="1"/>
  <c r="J6" i="7" a="1"/>
  <c r="J6" i="7" s="1"/>
  <c r="K5" i="7" l="1" a="1"/>
  <c r="K5" i="7" s="1"/>
  <c r="K4" i="7" s="1"/>
  <c r="J5" i="7" a="1"/>
  <c r="J5" i="7" s="1"/>
  <c r="J4" i="7" s="1"/>
  <c r="I5" i="7"/>
  <c r="I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<sst xmlns="http://schemas.openxmlformats.org/spreadsheetml/2006/main" count="444" uniqueCount="183">
  <si>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</si>
  <si>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</si>
  <si>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</si>
  <si>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</si>
  <si>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</si>
  <si>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</si>
  <si>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</si>
  <si>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</si>
  <si>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</si>
  <si>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</si>
  <si>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</si>
  <si>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</si>
  <si>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</si>
  <si>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</si>
  <si>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</si>
  <si>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</si>
  <si>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</si>
  <si>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</si>
  <si>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</si>
  <si>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</si>
  <si>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</si>
  <si>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</si>
  <si>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</si>
  <si>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</si>
  <si>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</si>
  <si>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</si>
  <si>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</si>
  <si>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</si>
  <si>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</si>
  <si>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</si>
  <si>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</si>
  <si>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</si>
  <si>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</si>
  <si>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</si>
  <si>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</si>
  <si>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</si>
  <si>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</si>
  <si>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</si>
  <si>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Semesterplan</t>
  </si>
  <si>
    <t>(Übersicht-Zelle muss angepasst werden)</t>
  </si>
  <si>
    <t>Übersicht</t>
  </si>
  <si>
    <t>KW 19</t>
  </si>
  <si>
    <t>Typ</t>
  </si>
  <si>
    <t>Fach</t>
  </si>
  <si>
    <t>Klausurdatum</t>
  </si>
  <si>
    <t>ECTS</t>
  </si>
  <si>
    <t>Fachgebiet</t>
  </si>
  <si>
    <t>Anteil an Klausur</t>
  </si>
  <si>
    <t>Stunden</t>
  </si>
  <si>
    <t>Skript Niveau</t>
  </si>
  <si>
    <t>Rechnen Niveau</t>
  </si>
  <si>
    <t>Bemerkungen</t>
  </si>
  <si>
    <t>Ziel</t>
  </si>
  <si>
    <t>Blockchain</t>
  </si>
  <si>
    <t>Thema</t>
  </si>
  <si>
    <t>1) Blockchain 101</t>
  </si>
  <si>
    <t>2) Crypto-Primer</t>
  </si>
  <si>
    <t>3) Basic-Terms</t>
  </si>
  <si>
    <t>4) Bitcoin</t>
  </si>
  <si>
    <t>5)  Ethereum &amp; Smart Contracts</t>
  </si>
  <si>
    <t>6) Proof-of-Work vs. Proof-of-Stake</t>
  </si>
  <si>
    <t>7) Token und NFT</t>
  </si>
  <si>
    <t>Unternehmensrechnung</t>
  </si>
  <si>
    <t>1) Grundlagen der Buchführung</t>
  </si>
  <si>
    <t>2) Technik der Buchhaltung</t>
  </si>
  <si>
    <t>3) Verbuchung laufender Geschäftsvorfälle im Handelsbetrieb</t>
  </si>
  <si>
    <t>4) Verbuchung laufender Geschäftsvorfälle im Industriebetrieb</t>
  </si>
  <si>
    <t>(5) Vorbereitende Abschlussbuchungen für den 
Jahresabschluss</t>
  </si>
  <si>
    <t>6) HGB und IFRS im Vergleich</t>
  </si>
  <si>
    <t>7) Gastvortrag</t>
  </si>
  <si>
    <t>8) Internes Rechnungswesen</t>
  </si>
  <si>
    <t>9) Internes Rechnungswesen</t>
  </si>
  <si>
    <t>10) Internes Rechnungswesen</t>
  </si>
  <si>
    <t>11) Internes Rechnungswesen</t>
  </si>
  <si>
    <t>12) Internes Rechnungswesen</t>
  </si>
  <si>
    <t>13) Internes Rechnungswesen</t>
  </si>
  <si>
    <t>14) Internes Rechnungswesen</t>
  </si>
  <si>
    <t>15) Internes Rechnungswesen</t>
  </si>
  <si>
    <t>Anwendungsentwicklung</t>
  </si>
  <si>
    <t>1) Sprachelemente und Kontrollstrukturen</t>
  </si>
  <si>
    <t>2) Klasse, Objekt, Kapselung und Konstruktoren</t>
  </si>
  <si>
    <t>3) Vererbung, finale Klassen, abstrakte Klassen</t>
  </si>
  <si>
    <t>4) Interfaces, Adapterklassen</t>
  </si>
  <si>
    <t>5) Fehlerbehandlung</t>
  </si>
  <si>
    <t>6) Arrays</t>
  </si>
  <si>
    <t>7) Collections- Frameworks</t>
  </si>
  <si>
    <t>8) Generics</t>
  </si>
  <si>
    <t>9) Funktionale Programmierung</t>
  </si>
  <si>
    <t>10) Stream-API</t>
  </si>
  <si>
    <t>11) Design Patterns</t>
  </si>
  <si>
    <t>12) Database Connection</t>
  </si>
  <si>
    <t>13) ORM-Hibernate</t>
  </si>
  <si>
    <t>Business Analytics</t>
  </si>
  <si>
    <t>1) Einführung</t>
  </si>
  <si>
    <t>2) BI-Strategie und Management</t>
  </si>
  <si>
    <t>3) Data-Warehouses and OLAP</t>
  </si>
  <si>
    <t>4) ETL-Prozesse und Tools</t>
  </si>
  <si>
    <t>5) Kommunikation und Visualisierung</t>
  </si>
  <si>
    <t>6) Dashboards und Self-Service BI</t>
  </si>
  <si>
    <t>7) Vorgehensmodelle BA</t>
  </si>
  <si>
    <t>8) Klassifikation Verfahren 1</t>
  </si>
  <si>
    <t>9) Klassifikation Verfahren 2</t>
  </si>
  <si>
    <t>10) Wirkungsprognosen</t>
  </si>
  <si>
    <t>11) Modellbeurteilung und ML-Pipelines</t>
  </si>
  <si>
    <t>12) Zeitreihenanalyse und –vorhersage</t>
  </si>
  <si>
    <t>13) Nichtüberwachte Verfahren</t>
  </si>
  <si>
    <t>Standardsoftware</t>
  </si>
  <si>
    <t>1) Fallstudie</t>
  </si>
  <si>
    <t>2) ABAP-erste Schritte</t>
  </si>
  <si>
    <t>3) ABAP-Daten und Kontrollstrukturen</t>
  </si>
  <si>
    <t>4) ABAP-(interne Tabellen)</t>
  </si>
  <si>
    <t>5) ABAP-Modularisierung</t>
  </si>
  <si>
    <t>6) ABAP-Reserve</t>
  </si>
  <si>
    <t>7) SAP Fallstudie revisited</t>
  </si>
  <si>
    <t>8) BSS zeitliche Perspektive</t>
  </si>
  <si>
    <t>9) BSS Lebenszyklus</t>
  </si>
  <si>
    <t>10) Management von BSS</t>
  </si>
  <si>
    <t>11) Ethische Perspektive</t>
  </si>
  <si>
    <t>12) BSS Projekte</t>
  </si>
  <si>
    <t>Statistik</t>
  </si>
  <si>
    <t>1) Messgrößen</t>
  </si>
  <si>
    <t>2) Histogramme</t>
  </si>
  <si>
    <t>3) Dichteschätzung</t>
  </si>
  <si>
    <t>4) Maßzahlen</t>
  </si>
  <si>
    <t>5) Kombinatorik</t>
  </si>
  <si>
    <t>6) W-Räume</t>
  </si>
  <si>
    <t>7) Dichten</t>
  </si>
  <si>
    <t>8) bedingte Wahrscheinlichkeit</t>
  </si>
  <si>
    <t>9) Verteilungsfunktion</t>
  </si>
  <si>
    <t>10) Erwartungswert</t>
  </si>
  <si>
    <t>11) Varianz</t>
  </si>
  <si>
    <t>12) Unabhängigkeit</t>
  </si>
  <si>
    <t>13) Punktschätzung</t>
  </si>
  <si>
    <t>14) Bereichsschätzung</t>
  </si>
  <si>
    <t>15) Zentraler Grenzwert</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</si>
  <si>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</si>
  <si>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</si>
  <si>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</si>
  <si>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</si>
  <si>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</si>
  <si>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</si>
  <si>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</si>
  <si>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</si>
  <si>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</si>
  <si>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</si>
  <si>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</si>
  <si>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</si>
  <si>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</si>
  <si>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</si>
  <si>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</si>
  <si>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</si>
  <si>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</si>
  <si>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</si>
  <si>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</si>
  <si>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</si>
  <si>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</si>
  <si>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</si>
  <si>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</si>
  <si>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</si>
  <si>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</si>
  <si>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</si>
  <si>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</si>
  <si>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</si>
  <si>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</si>
  <si>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</si>
  <si>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</si>
  <si>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</si>
  <si>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</si>
  <si>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</si>
  <si>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Klausur FRÜH</t>
  </si>
  <si>
    <t>Klausuren</t>
  </si>
  <si>
    <t>13-19.11</t>
  </si>
  <si>
    <t>20-26.11</t>
  </si>
  <si>
    <t>11-17.12</t>
  </si>
  <si>
    <t>18-24.12</t>
  </si>
  <si>
    <t>25-31.12</t>
  </si>
  <si>
    <t>8-14.01</t>
  </si>
  <si>
    <t>15-21.01</t>
  </si>
  <si>
    <t>22-28.01</t>
  </si>
  <si>
    <t>01-07.01.2024</t>
  </si>
  <si>
    <t>6-12.11.2023</t>
  </si>
  <si>
    <t>27-03.12.2023</t>
  </si>
  <si>
    <t>29-04.02.2024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</si>
</sst>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charset val="1"/>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xf numFmtId="9" fontId="0" fillId="7" borderId="0" xfId="0" applyNumberFormat="1" applyFill="1"/>
    <xf numFmtId="9" fontId="0" fillId="8" borderId="0" xfId="0" applyNumberFormat="1" applyFill="1"/>
    <xf numFmtId="0" fontId="1" fillId="2" borderId="0" xfId="0" applyFont="1" applyFill="1" applyAlignment="1">
      <alignment horizontal="center"/>
    </xf>
    <xf numFmtId="14" fontId="1" fillId="2" borderId="0" xfId="0" applyNumberFormat="1" applyFont="1" applyFill="1" applyAlignment="1">
      <alignment horizontal="center"/>
    </xf>
  </cellXfs>
  <cellStyles count="1">
    <cellStyle name="Standard" xfId="0" builtinId="0"/>
  </cellStyles>
  <dxfs count="18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86">
  <autoFilter ref="A1:K46" xr:uid="{6E266E34-2786-2747-BCE7-51B74867A564}"/>
  <tableColumns count="11">
    <tableColumn id="1" xr3:uid="{95FD92F7-3DC8-704D-A103-A7EDDAB255AB}" name="Datum" dataDxfId="185"/>
    <tableColumn id="2" xr3:uid="{F464D510-8166-E740-A343-FB84BDEF877F}" name="Lerneinheiten durchgezogen" dataDxfId="184"/>
    <tableColumn id="3" xr3:uid="{75F52B08-1A00-0848-BBE6-1EDF7B31B1AD}" name="Tagesplan erstellt" dataDxfId="183"/>
    <tableColumn id="4" xr3:uid="{E6B18D89-E799-AD48-9DAA-37AEE1D29011}" name="Konzentrationslevel" dataDxfId="18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12" sqref="D12"/>
    </sheetView>
  </sheetViews>
  <sheetFormatPr baseColWidth="10" defaultColWidth="11" defaultRowHeight="15.75"/>
  <cols>
    <col min="1" max="1" width="11.875" customWidth="1"/>
    <col min="2" max="2" width="62.625" customWidth="1"/>
  </cols>
  <sheetData>
    <row r="2" spans="1:4">
      <c r="C2" s="18" t="s">
        <v>0</v>
      </c>
    </row>
    <row r="3" spans="1:4">
      <c r="C3" s="17" t="s">
        <v>1</v>
      </c>
    </row>
    <row r="4" spans="1:4">
      <c r="C4" s="16" t="s">
        <v>2</v>
      </c>
    </row>
    <row r="5" spans="1:4">
      <c r="A5" s="2" t="s">
        <v>3</v>
      </c>
      <c r="B5" s="2" t="s">
        <v>4</v>
      </c>
      <c r="C5" s="2" t="s">
        <v>5</v>
      </c>
      <c r="D5" s="2" t="s">
        <v>6</v>
      </c>
    </row>
    <row r="6" spans="1:4">
      <c r="A6" t="s">
        <v>7</v>
      </c>
      <c r="B6" s="18" t="s">
        <v>8</v>
      </c>
      <c r="D6" t="s">
        <v>9</v>
      </c>
    </row>
    <row r="7" spans="1:4">
      <c r="A7" t="s">
        <v>10</v>
      </c>
      <c r="B7" t="s">
        <v>11</v>
      </c>
      <c r="C7" s="16">
        <v>76</v>
      </c>
    </row>
    <row r="8" spans="1:4">
      <c r="A8" t="s">
        <v>12</v>
      </c>
      <c r="B8" s="18" t="s">
        <v>13</v>
      </c>
      <c r="D8" t="s">
        <v>14</v>
      </c>
    </row>
    <row r="9" spans="1:4">
      <c r="A9" t="s">
        <v>15</v>
      </c>
      <c r="B9" s="18" t="s">
        <v>16</v>
      </c>
      <c r="D9" t="s">
        <v>17</v>
      </c>
    </row>
    <row r="10" spans="1:4">
      <c r="A10" t="s">
        <v>18</v>
      </c>
      <c r="B10" t="s">
        <v>19</v>
      </c>
      <c r="C10" s="16">
        <v>15</v>
      </c>
      <c r="D10" t="s">
        <v>20</v>
      </c>
    </row>
    <row r="11" spans="1:4">
      <c r="A11" t="s">
        <v>21</v>
      </c>
      <c r="B11" t="s">
        <v>22</v>
      </c>
      <c r="C11" s="16">
        <f>76*3</f>
        <v>228</v>
      </c>
      <c r="D11" t="s">
        <v>23</v>
      </c>
    </row>
    <row r="12" spans="1:4">
      <c r="A12" t="s">
        <v>24</v>
      </c>
      <c r="B12" t="s">
        <v>25</v>
      </c>
      <c r="C12" s="17">
        <f>C11/C10</f>
        <v>15.2</v>
      </c>
    </row>
    <row r="13" spans="1:4">
      <c r="A13" t="s">
        <v>26</v>
      </c>
      <c r="B13" t="s">
        <v>27</v>
      </c>
      <c r="D13" t="s">
        <v>28</v>
      </c>
    </row>
    <row r="14" spans="1:4">
      <c r="A14" t="s">
        <v>29</v>
      </c>
      <c r="B14" t="s">
        <v>30</v>
      </c>
      <c r="D14" t="s">
        <v>31</v>
      </c>
    </row>
    <row r="15" spans="1:4">
      <c r="A15" t="s">
        <v>32</v>
      </c>
      <c r="B15" s="18" t="s">
        <v>33</v>
      </c>
    </row>
    <row r="16" spans="1:4">
      <c r="A16" t="s">
        <v>34</v>
      </c>
      <c r="B16" s="18" t="s">
        <v>35</v>
      </c>
    </row>
    <row r="17" spans="1:2">
      <c r="A17" t="s">
        <v>36</v>
      </c>
      <c r="B17" t="s">
        <v>37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DU90"/>
  <sheetViews>
    <sheetView showGridLines="0" tabSelected="1" topLeftCell="CQ1" zoomScale="72" zoomScaleNormal="84" workbookViewId="0">
      <selection activeCell="DA3" sqref="DA3"/>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2" max="112" width="9"/>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s>
  <sheetData>
    <row r="1" spans="1:125" ht="33.75">
      <c r="B1" s="4" t="s">
        <v>38</v>
      </c>
      <c r="D1" s="4"/>
      <c r="G1" s="13" t="s">
        <v>39</v>
      </c>
      <c r="I1" s="13" t="s">
        <v>39</v>
      </c>
      <c r="J1" s="13" t="s">
        <v>39</v>
      </c>
      <c r="K1" s="13" t="s">
        <v>39</v>
      </c>
      <c r="O1">
        <v>13</v>
      </c>
      <c r="P1">
        <v>15</v>
      </c>
      <c r="Q1">
        <v>4</v>
      </c>
    </row>
    <row r="2" spans="1:125" ht="15.95" customHeight="1">
      <c r="I2" s="23" t="s">
        <v>40</v>
      </c>
      <c r="J2" s="23"/>
      <c r="K2" s="23"/>
      <c r="L2" s="23"/>
      <c r="N2" s="23" t="s">
        <v>41</v>
      </c>
      <c r="O2" s="23"/>
      <c r="P2" s="23"/>
      <c r="Q2" s="23"/>
      <c r="R2" s="23"/>
      <c r="S2" s="23"/>
      <c r="U2" s="24" t="s">
        <v>180</v>
      </c>
      <c r="V2" s="23"/>
      <c r="W2" s="23"/>
      <c r="X2" s="23"/>
      <c r="Y2" s="23"/>
      <c r="Z2" s="23"/>
      <c r="AB2" s="23" t="s">
        <v>171</v>
      </c>
      <c r="AC2" s="23"/>
      <c r="AD2" s="23"/>
      <c r="AE2" s="23"/>
      <c r="AF2" s="23"/>
      <c r="AG2" s="23"/>
      <c r="AI2" s="23" t="s">
        <v>172</v>
      </c>
      <c r="AJ2" s="23"/>
      <c r="AK2" s="23"/>
      <c r="AL2" s="23"/>
      <c r="AM2" s="23"/>
      <c r="AN2" s="23"/>
      <c r="AP2" s="24" t="s">
        <v>181</v>
      </c>
      <c r="AQ2" s="23"/>
      <c r="AR2" s="23"/>
      <c r="AS2" s="23"/>
      <c r="AT2" s="23"/>
      <c r="AU2" s="23"/>
      <c r="AW2" s="23" t="s">
        <v>169</v>
      </c>
      <c r="AX2" s="23"/>
      <c r="AY2" s="23"/>
      <c r="AZ2" s="23"/>
      <c r="BA2" s="23"/>
      <c r="BB2" s="23"/>
      <c r="BD2" s="23" t="s">
        <v>173</v>
      </c>
      <c r="BE2" s="23"/>
      <c r="BF2" s="23"/>
      <c r="BG2" s="23"/>
      <c r="BH2" s="23"/>
      <c r="BI2" s="23"/>
      <c r="BK2" s="23" t="s">
        <v>174</v>
      </c>
      <c r="BL2" s="23"/>
      <c r="BM2" s="23"/>
      <c r="BN2" s="23"/>
      <c r="BO2" s="23"/>
      <c r="BP2" s="23"/>
      <c r="BR2" s="23" t="s">
        <v>175</v>
      </c>
      <c r="BS2" s="23"/>
      <c r="BT2" s="23"/>
      <c r="BU2" s="23"/>
      <c r="BV2" s="23"/>
      <c r="BW2" s="23"/>
      <c r="BY2" s="24" t="s">
        <v>179</v>
      </c>
      <c r="BZ2" s="23"/>
      <c r="CA2" s="23"/>
      <c r="CB2" s="23"/>
      <c r="CC2" s="23"/>
      <c r="CD2" s="23"/>
      <c r="CF2" s="23" t="s">
        <v>176</v>
      </c>
      <c r="CG2" s="23"/>
      <c r="CH2" s="23"/>
      <c r="CI2" s="23"/>
      <c r="CJ2" s="23"/>
      <c r="CK2" s="23"/>
      <c r="CM2" s="23" t="s">
        <v>177</v>
      </c>
      <c r="CN2" s="23"/>
      <c r="CO2" s="23"/>
      <c r="CP2" s="23"/>
      <c r="CQ2" s="23"/>
      <c r="CR2" s="23"/>
      <c r="CT2" s="23" t="s">
        <v>178</v>
      </c>
      <c r="CU2" s="23"/>
      <c r="CV2" s="23"/>
      <c r="CW2" s="23"/>
      <c r="CX2" s="23"/>
      <c r="CY2" s="23"/>
      <c r="DA2" s="24" t="s">
        <v>182</v>
      </c>
      <c r="DB2" s="23"/>
      <c r="DC2" s="23"/>
      <c r="DD2" s="23"/>
      <c r="DE2" s="23"/>
      <c r="DF2" s="23"/>
      <c r="DH2" s="23">
        <v>14</v>
      </c>
      <c r="DI2" s="23"/>
      <c r="DJ2" s="23"/>
      <c r="DK2" s="23"/>
      <c r="DL2" s="23"/>
      <c r="DM2" s="23"/>
      <c r="DO2" s="23" t="s">
        <v>170</v>
      </c>
      <c r="DP2" s="23"/>
      <c r="DQ2" s="23"/>
      <c r="DR2" s="23"/>
      <c r="DS2" s="23"/>
      <c r="DT2" s="23"/>
    </row>
    <row r="3" spans="1:125">
      <c r="B3" s="5" t="s">
        <v>42</v>
      </c>
      <c r="C3" s="5" t="s">
        <v>43</v>
      </c>
      <c r="D3" s="5" t="s">
        <v>44</v>
      </c>
      <c r="E3" s="6" t="s">
        <v>45</v>
      </c>
      <c r="F3" s="5" t="s">
        <v>46</v>
      </c>
      <c r="G3" s="5" t="s">
        <v>47</v>
      </c>
      <c r="I3" s="6" t="s">
        <v>48</v>
      </c>
      <c r="J3" s="6" t="s">
        <v>49</v>
      </c>
      <c r="K3" s="6" t="s">
        <v>50</v>
      </c>
      <c r="L3" s="6" t="s">
        <v>51</v>
      </c>
      <c r="N3" s="5" t="s">
        <v>48</v>
      </c>
      <c r="O3" s="5" t="s">
        <v>49</v>
      </c>
      <c r="P3" s="5" t="s">
        <v>52</v>
      </c>
      <c r="Q3" s="5" t="s">
        <v>50</v>
      </c>
      <c r="R3" s="5" t="s">
        <v>52</v>
      </c>
      <c r="S3" s="5" t="s">
        <v>51</v>
      </c>
      <c r="U3" s="5" t="s">
        <v>48</v>
      </c>
      <c r="V3" s="5" t="s">
        <v>49</v>
      </c>
      <c r="W3" s="5" t="s">
        <v>52</v>
      </c>
      <c r="X3" s="5" t="s">
        <v>50</v>
      </c>
      <c r="Y3" s="5" t="s">
        <v>52</v>
      </c>
      <c r="Z3" s="5" t="s">
        <v>51</v>
      </c>
      <c r="AB3" s="5" t="s">
        <v>48</v>
      </c>
      <c r="AC3" s="5" t="s">
        <v>49</v>
      </c>
      <c r="AD3" s="5" t="s">
        <v>52</v>
      </c>
      <c r="AE3" s="5" t="s">
        <v>50</v>
      </c>
      <c r="AF3" s="5" t="s">
        <v>52</v>
      </c>
      <c r="AG3" s="5" t="s">
        <v>51</v>
      </c>
      <c r="AI3" s="5" t="s">
        <v>48</v>
      </c>
      <c r="AJ3" s="5" t="s">
        <v>49</v>
      </c>
      <c r="AK3" s="5" t="s">
        <v>52</v>
      </c>
      <c r="AL3" s="5" t="s">
        <v>50</v>
      </c>
      <c r="AM3" s="5" t="s">
        <v>52</v>
      </c>
      <c r="AN3" s="5" t="s">
        <v>51</v>
      </c>
      <c r="AP3" s="5" t="s">
        <v>48</v>
      </c>
      <c r="AQ3" s="5" t="s">
        <v>49</v>
      </c>
      <c r="AR3" s="5" t="s">
        <v>52</v>
      </c>
      <c r="AS3" s="5" t="s">
        <v>50</v>
      </c>
      <c r="AT3" s="5" t="s">
        <v>52</v>
      </c>
      <c r="AU3" s="5" t="s">
        <v>51</v>
      </c>
      <c r="AW3" s="5" t="s">
        <v>48</v>
      </c>
      <c r="AX3" s="5" t="s">
        <v>49</v>
      </c>
      <c r="AY3" s="5" t="s">
        <v>52</v>
      </c>
      <c r="AZ3" s="5" t="s">
        <v>50</v>
      </c>
      <c r="BA3" s="5" t="s">
        <v>52</v>
      </c>
      <c r="BB3" s="5" t="s">
        <v>51</v>
      </c>
      <c r="BD3" s="5" t="s">
        <v>48</v>
      </c>
      <c r="BE3" s="5" t="s">
        <v>49</v>
      </c>
      <c r="BF3" s="5" t="s">
        <v>52</v>
      </c>
      <c r="BG3" s="5" t="s">
        <v>50</v>
      </c>
      <c r="BH3" s="5" t="s">
        <v>52</v>
      </c>
      <c r="BI3" s="5" t="s">
        <v>51</v>
      </c>
      <c r="BK3" s="5" t="s">
        <v>48</v>
      </c>
      <c r="BL3" s="5" t="s">
        <v>49</v>
      </c>
      <c r="BM3" s="5" t="s">
        <v>52</v>
      </c>
      <c r="BN3" s="5" t="s">
        <v>50</v>
      </c>
      <c r="BO3" s="5" t="s">
        <v>52</v>
      </c>
      <c r="BP3" s="5" t="s">
        <v>51</v>
      </c>
      <c r="BR3" s="5" t="s">
        <v>48</v>
      </c>
      <c r="BS3" s="5" t="s">
        <v>49</v>
      </c>
      <c r="BT3" s="5" t="s">
        <v>52</v>
      </c>
      <c r="BU3" s="5" t="s">
        <v>50</v>
      </c>
      <c r="BV3" s="5" t="s">
        <v>52</v>
      </c>
      <c r="BW3" s="5" t="s">
        <v>51</v>
      </c>
      <c r="BY3" s="5" t="s">
        <v>48</v>
      </c>
      <c r="BZ3" s="5" t="s">
        <v>49</v>
      </c>
      <c r="CA3" s="5" t="s">
        <v>52</v>
      </c>
      <c r="CB3" s="5" t="s">
        <v>50</v>
      </c>
      <c r="CC3" s="5" t="s">
        <v>52</v>
      </c>
      <c r="CD3" s="5" t="s">
        <v>51</v>
      </c>
      <c r="CF3" s="5" t="s">
        <v>48</v>
      </c>
      <c r="CG3" s="5" t="s">
        <v>49</v>
      </c>
      <c r="CH3" s="5" t="s">
        <v>52</v>
      </c>
      <c r="CI3" s="5" t="s">
        <v>50</v>
      </c>
      <c r="CJ3" s="5" t="s">
        <v>52</v>
      </c>
      <c r="CK3" s="5" t="s">
        <v>51</v>
      </c>
      <c r="CM3" s="5" t="s">
        <v>48</v>
      </c>
      <c r="CN3" s="5" t="s">
        <v>49</v>
      </c>
      <c r="CO3" s="5" t="s">
        <v>52</v>
      </c>
      <c r="CP3" s="5" t="s">
        <v>50</v>
      </c>
      <c r="CQ3" s="5" t="s">
        <v>52</v>
      </c>
      <c r="CR3" s="5" t="s">
        <v>51</v>
      </c>
      <c r="CT3" s="5" t="s">
        <v>48</v>
      </c>
      <c r="CU3" s="5" t="s">
        <v>49</v>
      </c>
      <c r="CV3" s="5" t="s">
        <v>52</v>
      </c>
      <c r="CW3" s="5" t="s">
        <v>50</v>
      </c>
      <c r="CX3" s="5" t="s">
        <v>52</v>
      </c>
      <c r="CY3" s="5" t="s">
        <v>51</v>
      </c>
      <c r="DA3" s="5" t="s">
        <v>48</v>
      </c>
      <c r="DB3" s="5" t="s">
        <v>49</v>
      </c>
      <c r="DC3" s="5" t="s">
        <v>52</v>
      </c>
      <c r="DD3" s="5" t="s">
        <v>50</v>
      </c>
      <c r="DE3" s="5" t="s">
        <v>52</v>
      </c>
      <c r="DF3" s="5" t="s">
        <v>51</v>
      </c>
      <c r="DH3" s="5" t="s">
        <v>48</v>
      </c>
      <c r="DI3" s="5" t="s">
        <v>49</v>
      </c>
      <c r="DJ3" s="5" t="s">
        <v>52</v>
      </c>
      <c r="DK3" s="5" t="s">
        <v>50</v>
      </c>
      <c r="DL3" s="5" t="s">
        <v>52</v>
      </c>
      <c r="DM3" s="5" t="s">
        <v>51</v>
      </c>
      <c r="DO3" s="5" t="s">
        <v>48</v>
      </c>
      <c r="DP3" s="5" t="s">
        <v>49</v>
      </c>
      <c r="DQ3" s="5" t="s">
        <v>52</v>
      </c>
      <c r="DR3" s="5" t="s">
        <v>50</v>
      </c>
      <c r="DS3" s="5" t="s">
        <v>52</v>
      </c>
      <c r="DT3" s="5" t="s">
        <v>51</v>
      </c>
    </row>
    <row r="4" spans="1:125">
      <c r="A4">
        <v>24</v>
      </c>
      <c r="B4" t="s">
        <v>40</v>
      </c>
      <c r="C4" t="s">
        <v>53</v>
      </c>
      <c r="D4" s="19">
        <v>45266</v>
      </c>
      <c r="E4" s="9">
        <v>5</v>
      </c>
      <c r="G4" s="10">
        <f>+SUM(G5:G10)</f>
        <v>0.4</v>
      </c>
      <c r="I4" s="12">
        <f ca="1">+SUM(I5:I10)</f>
        <v>3.5</v>
      </c>
      <c r="J4" s="11" t="e">
        <f>+SUMPRODUCT(G5:G10,J5:J10)</f>
        <v>#N/A</v>
      </c>
      <c r="K4" s="11" t="e">
        <f>+SUMPRODUCT(G5:G10,K5:K10)</f>
        <v>#N/A</v>
      </c>
      <c r="L4" s="9"/>
      <c r="N4" s="12">
        <f>+SUM(N5:N10)</f>
        <v>3.5</v>
      </c>
      <c r="U4" s="12">
        <f>+SUM(U5:U10)</f>
        <v>0</v>
      </c>
      <c r="AB4" s="12">
        <f>+SUM(AB5:AB10)</f>
        <v>0</v>
      </c>
      <c r="AI4" s="12">
        <f>+SUM(AI5:AI10)</f>
        <v>0</v>
      </c>
      <c r="AP4" s="12">
        <f>+SUM(AP5:AP10)</f>
        <v>0</v>
      </c>
      <c r="AW4" s="12">
        <f>+SUM(AW5:AW10)</f>
        <v>0</v>
      </c>
      <c r="AX4" s="22"/>
      <c r="BD4" s="12">
        <f>+SUM(BD5:BD10)</f>
        <v>0</v>
      </c>
      <c r="BK4" s="12">
        <f>+SUM(BK5:BK10)</f>
        <v>0</v>
      </c>
      <c r="BR4" s="12">
        <f>+SUM(BR5:BR10)</f>
        <v>0</v>
      </c>
      <c r="BY4" s="12">
        <f>+SUM(BY5:BY10)</f>
        <v>0</v>
      </c>
      <c r="CF4" s="12">
        <f>+SUM(CF5:CF10)</f>
        <v>0</v>
      </c>
      <c r="CM4" s="12">
        <f>+SUM(CM5:CM10)</f>
        <v>0</v>
      </c>
      <c r="CT4" s="12">
        <f>+SUM(CT5:CT10)</f>
        <v>0</v>
      </c>
      <c r="DA4" s="12">
        <f>+SUM(DA5:DA10)</f>
        <v>0</v>
      </c>
      <c r="DH4" s="12">
        <f>+SUM(DH5:DH10)</f>
        <v>0</v>
      </c>
      <c r="DO4" s="12">
        <f>+SUM(DO5:DO10)</f>
        <v>0</v>
      </c>
    </row>
    <row r="5" spans="1:125" outlineLevel="1">
      <c r="A5">
        <v>19</v>
      </c>
      <c r="B5" t="s">
        <v>54</v>
      </c>
      <c r="C5" t="s">
        <v>53</v>
      </c>
      <c r="E5" s="9"/>
      <c r="F5" t="s">
        <v>55</v>
      </c>
      <c r="G5" s="10">
        <v>0.1</v>
      </c>
      <c r="I5" s="9">
        <f>+SUMIF($N$3:$ZH$3,I$3,$N5:$ZH5)</f>
        <v>2</v>
      </c>
      <c r="J5" s="11" cm="1">
        <f t="array" ref="J5">MAX(IF($N$3:$DP$3=$J$3,N5:DP5))</f>
        <v>1</v>
      </c>
      <c r="K5" s="11" cm="1">
        <f t="array" ref="K5">MAX(IF($N$3:$DP$3=$J$3,N5:DP5))</f>
        <v>1</v>
      </c>
      <c r="L5" s="9"/>
      <c r="N5">
        <v>2</v>
      </c>
      <c r="O5" s="10">
        <v>1</v>
      </c>
      <c r="P5" s="10">
        <v>0.8</v>
      </c>
      <c r="Q5" s="10">
        <v>1</v>
      </c>
      <c r="R5" s="10">
        <v>0.8</v>
      </c>
      <c r="V5" s="10">
        <v>1</v>
      </c>
      <c r="W5" s="10">
        <v>1</v>
      </c>
      <c r="X5" s="10">
        <v>1</v>
      </c>
      <c r="Y5" s="10">
        <v>1</v>
      </c>
      <c r="AC5" s="10"/>
      <c r="AD5" s="10">
        <v>1</v>
      </c>
      <c r="AE5" s="10"/>
      <c r="AF5" s="10">
        <v>1</v>
      </c>
      <c r="AJ5" s="10"/>
      <c r="AK5" s="10">
        <v>1</v>
      </c>
      <c r="AL5" s="10"/>
      <c r="AM5" s="10">
        <v>1</v>
      </c>
      <c r="AQ5" s="10"/>
      <c r="AR5" s="10">
        <v>1</v>
      </c>
      <c r="AS5" s="10"/>
      <c r="AT5" s="10">
        <v>1</v>
      </c>
      <c r="AX5" s="10"/>
      <c r="AY5" s="10">
        <v>1</v>
      </c>
      <c r="AZ5" s="21"/>
      <c r="BA5" s="10">
        <v>1</v>
      </c>
      <c r="BE5" s="10"/>
      <c r="BF5" s="10"/>
      <c r="BG5" s="10"/>
      <c r="BH5" s="10"/>
      <c r="BL5" s="10"/>
      <c r="BM5" s="10"/>
      <c r="BN5" s="10"/>
      <c r="BO5" s="10"/>
      <c r="BS5" s="10"/>
      <c r="BT5" s="10"/>
      <c r="BU5" s="10"/>
      <c r="BV5" s="10"/>
      <c r="BW5" s="10"/>
      <c r="BX5" s="10"/>
      <c r="BY5" s="10"/>
      <c r="BZ5" s="10"/>
      <c r="CA5" s="10"/>
      <c r="CB5" s="10"/>
      <c r="CC5" s="10"/>
      <c r="CD5" s="10"/>
      <c r="CE5" s="10"/>
      <c r="CF5" s="10"/>
      <c r="CG5" s="10"/>
      <c r="CH5" s="10"/>
      <c r="CI5" s="10"/>
      <c r="CJ5" s="10"/>
      <c r="CN5" s="10"/>
      <c r="CO5" s="10"/>
      <c r="CP5" s="10"/>
      <c r="CQ5" s="10"/>
      <c r="CU5" s="10"/>
      <c r="CV5" s="10"/>
      <c r="CW5" s="10"/>
      <c r="CX5" s="10"/>
      <c r="DB5" s="10"/>
      <c r="DC5" s="10"/>
      <c r="DD5" s="10"/>
      <c r="DE5" s="10"/>
      <c r="DI5" s="10"/>
      <c r="DJ5" s="10"/>
      <c r="DK5" s="10"/>
      <c r="DL5" s="10"/>
      <c r="DP5" s="10"/>
      <c r="DQ5" s="10"/>
      <c r="DR5" s="10"/>
      <c r="DS5" s="10"/>
    </row>
    <row r="6" spans="1:125" outlineLevel="1">
      <c r="A6">
        <f>19/4</f>
        <v>4.75</v>
      </c>
      <c r="B6" t="s">
        <v>54</v>
      </c>
      <c r="C6" s="2" t="s">
        <v>53</v>
      </c>
      <c r="E6" s="9"/>
      <c r="F6" t="s">
        <v>56</v>
      </c>
      <c r="G6" s="10">
        <v>0.05</v>
      </c>
      <c r="I6" s="9">
        <f>+SUMIF($N$3:$ZH$3,I$3,$N6:$ZH6)</f>
        <v>1.5</v>
      </c>
      <c r="J6" s="11" cm="1">
        <f t="array" ref="J6">MAX(IF($N$3:$DP$3=$J$3,N6:DP6))</f>
        <v>0.8</v>
      </c>
      <c r="K6" s="11" cm="1">
        <f t="array" ref="K6">MAX(IF($N$3:$DP$3=$J$3,N6:DP6))</f>
        <v>0.8</v>
      </c>
      <c r="L6" s="9"/>
      <c r="N6">
        <v>1.5</v>
      </c>
      <c r="O6" s="10">
        <v>0.8</v>
      </c>
      <c r="P6" s="10">
        <v>0.5</v>
      </c>
      <c r="Q6" s="10">
        <v>0.8</v>
      </c>
      <c r="R6" s="10">
        <v>0.5</v>
      </c>
      <c r="V6" s="10">
        <v>0.8</v>
      </c>
      <c r="W6" s="10">
        <v>0.8</v>
      </c>
      <c r="X6" s="10">
        <v>0.8</v>
      </c>
      <c r="Y6" s="10">
        <v>0.8</v>
      </c>
      <c r="AC6" s="10"/>
      <c r="AD6" s="10">
        <v>0.8</v>
      </c>
      <c r="AE6" s="10"/>
      <c r="AF6" s="10">
        <v>0.8</v>
      </c>
      <c r="AJ6" s="10"/>
      <c r="AK6" s="10">
        <v>1</v>
      </c>
      <c r="AL6" s="10"/>
      <c r="AM6" s="10">
        <v>1</v>
      </c>
      <c r="AQ6" s="10"/>
      <c r="AR6" s="10">
        <v>1</v>
      </c>
      <c r="AS6" s="10"/>
      <c r="AT6" s="10">
        <v>1</v>
      </c>
      <c r="AX6" s="10"/>
      <c r="AY6" s="10">
        <v>1</v>
      </c>
      <c r="AZ6" s="21"/>
      <c r="BA6" s="10">
        <v>1</v>
      </c>
      <c r="BE6" s="10"/>
      <c r="BF6" s="10"/>
      <c r="BG6" s="10"/>
      <c r="BH6" s="10"/>
      <c r="BL6" s="10"/>
      <c r="BM6" s="10"/>
      <c r="BN6" s="10"/>
      <c r="BO6" s="10"/>
      <c r="BS6" s="10"/>
      <c r="BT6" s="10"/>
      <c r="BU6" s="10"/>
      <c r="BV6" s="10"/>
      <c r="BW6" s="10"/>
      <c r="BX6" s="10"/>
      <c r="BY6" s="10"/>
      <c r="BZ6" s="10"/>
      <c r="CA6" s="10"/>
      <c r="CB6" s="10"/>
      <c r="CC6" s="10"/>
      <c r="CD6" s="10"/>
      <c r="CE6" s="10"/>
      <c r="CF6" s="10"/>
      <c r="CJ6" s="10"/>
      <c r="CN6" s="10"/>
      <c r="CO6" s="10"/>
      <c r="CP6" s="10"/>
      <c r="CQ6" s="10"/>
      <c r="CU6" s="10"/>
      <c r="CV6" s="10"/>
      <c r="CW6" s="10"/>
      <c r="CX6" s="10"/>
      <c r="DB6" s="10"/>
      <c r="DC6" s="10"/>
      <c r="DD6" s="10"/>
      <c r="DE6" s="10"/>
      <c r="DI6" s="10"/>
      <c r="DJ6" s="10"/>
      <c r="DK6" s="10"/>
      <c r="DL6" s="10"/>
      <c r="DP6" s="10"/>
      <c r="DQ6" s="10"/>
      <c r="DR6" s="10"/>
      <c r="DS6" s="10"/>
    </row>
    <row r="7" spans="1:125" outlineLevel="1">
      <c r="B7" t="s">
        <v>54</v>
      </c>
      <c r="C7" s="2" t="s">
        <v>53</v>
      </c>
      <c r="E7" s="9"/>
      <c r="F7" t="s">
        <v>57</v>
      </c>
      <c r="G7" s="10">
        <v>0.05</v>
      </c>
      <c r="I7" s="9">
        <f ca="1">+SUMIF($N$3:$ZH$3,I$3,$N7:$ZA7)</f>
        <v>0</v>
      </c>
      <c r="J7" s="11" t="e" cm="1">
        <f t="array" ref="J7">MAX(IF($N$3:$DP$3=$J$3,N7:DO7))</f>
        <v>#N/A</v>
      </c>
      <c r="K7" s="11" t="e" cm="1">
        <f t="array" ref="K7">MAX(IF($N$3:$DP$3=$J$3,N7:DO7))</f>
        <v>#N/A</v>
      </c>
      <c r="L7" s="9"/>
      <c r="O7" s="10"/>
      <c r="P7" s="10"/>
      <c r="Q7" s="10"/>
      <c r="R7" s="10"/>
      <c r="V7" s="10">
        <v>0.8</v>
      </c>
      <c r="W7" s="10">
        <v>0.8</v>
      </c>
      <c r="X7" s="10">
        <v>0.8</v>
      </c>
      <c r="Y7" s="10">
        <v>0.8</v>
      </c>
      <c r="AC7" s="10"/>
      <c r="AD7" s="10">
        <v>0.8</v>
      </c>
      <c r="AE7" s="10"/>
      <c r="AF7" s="10">
        <v>0.8</v>
      </c>
      <c r="AJ7" s="10"/>
      <c r="AK7" s="10">
        <v>1</v>
      </c>
      <c r="AL7" s="10"/>
      <c r="AM7" s="10">
        <v>1</v>
      </c>
      <c r="AQ7" s="10"/>
      <c r="AR7" s="10">
        <v>1</v>
      </c>
      <c r="AS7" s="10"/>
      <c r="AT7" s="10">
        <v>1</v>
      </c>
      <c r="AX7" s="10"/>
      <c r="AY7" s="10">
        <v>1</v>
      </c>
      <c r="AZ7" s="21"/>
      <c r="BA7" s="10">
        <v>1</v>
      </c>
      <c r="BE7" s="10"/>
      <c r="BF7" s="10"/>
      <c r="BG7" s="10"/>
      <c r="BH7" s="10"/>
      <c r="BL7" s="10"/>
      <c r="BM7" s="10"/>
      <c r="BN7" s="10"/>
      <c r="BO7" s="10"/>
      <c r="BS7" s="10"/>
      <c r="BT7" s="10"/>
      <c r="BU7" s="10"/>
      <c r="BV7" s="10"/>
      <c r="BW7" s="10"/>
      <c r="BX7" s="10"/>
      <c r="BY7" s="10"/>
      <c r="BZ7" s="10"/>
      <c r="CA7" s="10"/>
      <c r="CB7" s="10"/>
      <c r="CC7" s="10"/>
      <c r="CG7" s="10"/>
      <c r="CH7" s="10"/>
      <c r="CI7" s="10"/>
      <c r="CJ7" s="10"/>
      <c r="CN7" s="10"/>
      <c r="CO7" s="10"/>
      <c r="CP7" s="10"/>
      <c r="CQ7" s="10"/>
      <c r="CU7" s="10"/>
      <c r="CV7" s="10"/>
      <c r="CW7" s="10"/>
      <c r="CX7" s="10"/>
      <c r="DB7" s="10"/>
      <c r="DC7" s="10"/>
      <c r="DD7" s="10"/>
      <c r="DE7" s="10"/>
      <c r="DI7" s="10"/>
      <c r="DJ7" s="10"/>
      <c r="DK7" s="10"/>
      <c r="DL7" s="10"/>
      <c r="DP7" s="10"/>
      <c r="DQ7" s="10"/>
      <c r="DR7" s="10"/>
      <c r="DS7" s="10"/>
    </row>
    <row r="8" spans="1:125" outlineLevel="1">
      <c r="B8" t="s">
        <v>54</v>
      </c>
      <c r="C8" s="2" t="s">
        <v>53</v>
      </c>
      <c r="E8" s="9"/>
      <c r="F8" t="s">
        <v>58</v>
      </c>
      <c r="G8" s="10">
        <v>0.05</v>
      </c>
      <c r="I8" s="9">
        <f ca="1">+SUMIF($N$3:$ZH$3,I$3,$N8:$ZF8)</f>
        <v>0</v>
      </c>
      <c r="J8" s="11" cm="1">
        <f t="array" ref="J8">MAX(IF($N$3:$DP$3=$J$3,N8:DP8))</f>
        <v>0</v>
      </c>
      <c r="K8" s="11" cm="1">
        <f t="array" ref="K8">MAX(IF($N$3:$DP$3=$J$3,N8:DP8))</f>
        <v>0</v>
      </c>
      <c r="L8" s="9"/>
      <c r="O8" s="10"/>
      <c r="P8" s="10"/>
      <c r="Q8" s="10"/>
      <c r="R8" s="10"/>
      <c r="V8" s="10"/>
      <c r="W8" s="10">
        <v>0.5</v>
      </c>
      <c r="X8" s="10"/>
      <c r="Y8" s="10">
        <v>0.5</v>
      </c>
      <c r="AC8" s="10"/>
      <c r="AD8" s="10">
        <v>0.8</v>
      </c>
      <c r="AE8" s="10"/>
      <c r="AF8" s="10">
        <v>0.8</v>
      </c>
      <c r="AJ8" s="10"/>
      <c r="AK8" s="10">
        <v>0.8</v>
      </c>
      <c r="AL8" s="10"/>
      <c r="AM8" s="10">
        <v>0.8</v>
      </c>
      <c r="AQ8" s="10"/>
      <c r="AR8" s="10">
        <v>1</v>
      </c>
      <c r="AS8" s="10"/>
      <c r="AT8" s="10">
        <v>1</v>
      </c>
      <c r="AX8" s="10"/>
      <c r="AY8" s="10">
        <v>1</v>
      </c>
      <c r="AZ8" s="21"/>
      <c r="BA8" s="10">
        <v>1</v>
      </c>
      <c r="BE8" s="10"/>
      <c r="BF8" s="10"/>
      <c r="BG8" s="10"/>
      <c r="BH8" s="10"/>
      <c r="BL8" s="10"/>
      <c r="BM8" s="10"/>
      <c r="BN8" s="10"/>
      <c r="BO8" s="10"/>
      <c r="BS8" s="10"/>
      <c r="BT8" s="10"/>
      <c r="BU8" s="10"/>
      <c r="BV8" s="10"/>
      <c r="BW8" s="10"/>
      <c r="BX8" s="10"/>
      <c r="BY8" s="10"/>
      <c r="BZ8" s="10"/>
      <c r="CA8" s="10"/>
      <c r="CC8" s="10"/>
      <c r="CD8" s="10"/>
      <c r="CE8" s="10"/>
      <c r="CF8" s="10"/>
      <c r="CG8" s="10"/>
      <c r="CH8" s="10"/>
      <c r="CL8" s="10"/>
      <c r="CM8" s="10"/>
      <c r="CN8" s="10"/>
      <c r="CO8" s="10"/>
      <c r="CS8" s="10"/>
      <c r="CT8" s="10"/>
      <c r="CU8" s="10"/>
      <c r="CV8" s="10"/>
      <c r="CZ8" s="10"/>
      <c r="DA8" s="10"/>
      <c r="DB8" s="10"/>
      <c r="DC8" s="10"/>
      <c r="DG8" s="10"/>
      <c r="DH8" s="10"/>
      <c r="DI8" s="10"/>
      <c r="DJ8" s="10"/>
      <c r="DN8" s="10"/>
      <c r="DO8" s="10"/>
      <c r="DP8" s="10"/>
      <c r="DQ8" s="10"/>
      <c r="DU8" s="10"/>
    </row>
    <row r="9" spans="1:125" outlineLevel="1">
      <c r="B9" t="s">
        <v>54</v>
      </c>
      <c r="C9" s="2" t="s">
        <v>53</v>
      </c>
      <c r="E9" s="9"/>
      <c r="F9" s="1" t="s">
        <v>59</v>
      </c>
      <c r="G9" s="10">
        <v>0.05</v>
      </c>
      <c r="I9" s="9">
        <f>+SUMIF($N$3:$ZH$3,I$3,$N9:$ZH9)</f>
        <v>0</v>
      </c>
      <c r="J9" s="11" cm="1">
        <f t="array" ref="J9">MAX(IF($N$3:$DP$3=$J$3,N9:DP9))</f>
        <v>0</v>
      </c>
      <c r="K9" s="11" cm="1">
        <f t="array" ref="K9">MAX(IF($N$3:$DP$3=$J$3,N9:DP9))</f>
        <v>0</v>
      </c>
      <c r="L9" s="9"/>
      <c r="O9" s="10"/>
      <c r="P9" s="10"/>
      <c r="Q9" s="10"/>
      <c r="R9" s="10"/>
      <c r="V9" s="10"/>
      <c r="W9" s="10">
        <v>0.5</v>
      </c>
      <c r="X9" s="10"/>
      <c r="Y9" s="10">
        <v>0.5</v>
      </c>
      <c r="AC9" s="10"/>
      <c r="AD9" s="10">
        <v>0.8</v>
      </c>
      <c r="AE9" s="10"/>
      <c r="AF9" s="10">
        <v>0.8</v>
      </c>
      <c r="AJ9" s="10"/>
      <c r="AK9" s="10">
        <v>0.8</v>
      </c>
      <c r="AL9" s="10"/>
      <c r="AM9" s="10">
        <v>0.8</v>
      </c>
      <c r="AQ9" s="10"/>
      <c r="AR9" s="10">
        <v>1</v>
      </c>
      <c r="AS9" s="10"/>
      <c r="AT9" s="10">
        <v>1</v>
      </c>
      <c r="AX9" s="10"/>
      <c r="AY9" s="10">
        <v>1</v>
      </c>
      <c r="AZ9" s="21"/>
      <c r="BA9" s="10">
        <v>1</v>
      </c>
      <c r="BE9" s="10"/>
      <c r="BF9" s="10"/>
      <c r="BG9" s="10"/>
      <c r="BH9" s="10"/>
      <c r="BL9" s="10"/>
      <c r="BM9" s="10"/>
      <c r="BN9" s="10"/>
      <c r="BO9" s="10"/>
      <c r="BS9" s="10"/>
      <c r="BT9" s="10"/>
      <c r="BU9" s="10"/>
      <c r="BV9" s="10"/>
      <c r="BW9" s="10"/>
      <c r="BX9" s="10"/>
      <c r="BY9" s="10"/>
      <c r="BZ9" s="10"/>
      <c r="CA9" s="10"/>
      <c r="CB9" s="10"/>
      <c r="CC9" s="10"/>
      <c r="CD9" s="10"/>
      <c r="CE9" s="10"/>
      <c r="CF9" s="10"/>
      <c r="CG9" s="10"/>
      <c r="CH9" s="10"/>
      <c r="CI9" s="10"/>
      <c r="CJ9" s="10"/>
      <c r="CN9" s="10"/>
      <c r="CO9" s="10"/>
      <c r="CP9" s="10"/>
      <c r="CQ9" s="10"/>
      <c r="CU9" s="10"/>
      <c r="CV9" s="10"/>
      <c r="CW9" s="10"/>
      <c r="CX9" s="10"/>
      <c r="DB9" s="10"/>
      <c r="DC9" s="10"/>
      <c r="DD9" s="10"/>
      <c r="DE9" s="10"/>
      <c r="DI9" s="10"/>
      <c r="DJ9" s="10"/>
      <c r="DK9" s="10"/>
      <c r="DL9" s="10"/>
      <c r="DP9" s="10"/>
      <c r="DQ9" s="10"/>
      <c r="DR9" s="10"/>
      <c r="DS9" s="10"/>
    </row>
    <row r="10" spans="1:125" outlineLevel="1">
      <c r="B10" t="s">
        <v>54</v>
      </c>
      <c r="C10" s="2" t="s">
        <v>53</v>
      </c>
      <c r="E10" s="9"/>
      <c r="F10" t="s">
        <v>60</v>
      </c>
      <c r="G10" s="10">
        <v>0.1</v>
      </c>
      <c r="I10" s="9">
        <f ca="1">+SUMIF($N$3:$ZH$3,I$3,$N10:$ZF10)</f>
        <v>0</v>
      </c>
      <c r="J10" s="11" cm="1">
        <f t="array" ref="J10">MAX(IF($N$3:$DP$3=$J$3,N10:DP10))</f>
        <v>0</v>
      </c>
      <c r="K10" s="11" cm="1">
        <f t="array" ref="K10">MAX(IF($N$3:$DP$3=$J$3,N10:DP10))</f>
        <v>0</v>
      </c>
      <c r="L10" s="9"/>
      <c r="O10" s="10"/>
      <c r="P10" s="10"/>
      <c r="Q10" s="10"/>
      <c r="R10" s="10"/>
      <c r="V10" s="10"/>
      <c r="W10" s="10">
        <v>0.5</v>
      </c>
      <c r="X10" s="10"/>
      <c r="Y10" s="10">
        <v>0.5</v>
      </c>
      <c r="AC10" s="10"/>
      <c r="AD10" s="10">
        <v>0.5</v>
      </c>
      <c r="AE10" s="10"/>
      <c r="AF10" s="10">
        <v>0.5</v>
      </c>
      <c r="AJ10" s="10"/>
      <c r="AK10" s="10">
        <v>0.8</v>
      </c>
      <c r="AL10" s="10"/>
      <c r="AM10" s="10">
        <v>0.8</v>
      </c>
      <c r="AQ10" s="10"/>
      <c r="AR10" s="10">
        <v>1</v>
      </c>
      <c r="AS10" s="10"/>
      <c r="AT10" s="10">
        <v>1</v>
      </c>
      <c r="AX10" s="10"/>
      <c r="AY10" s="10">
        <v>1</v>
      </c>
      <c r="AZ10" s="21"/>
      <c r="BA10" s="10">
        <v>1</v>
      </c>
      <c r="BE10" s="10"/>
      <c r="BF10" s="10"/>
      <c r="BG10" s="10"/>
      <c r="BH10" s="10"/>
      <c r="BL10" s="10"/>
      <c r="BM10" s="10"/>
      <c r="BN10" s="10"/>
      <c r="BO10" s="10"/>
      <c r="BS10" s="10"/>
      <c r="BT10" s="10"/>
      <c r="BU10" s="10"/>
      <c r="BV10" s="10"/>
      <c r="BZ10" s="10"/>
      <c r="CA10" s="10"/>
      <c r="CB10" s="10"/>
      <c r="CC10" s="10"/>
      <c r="CD10" s="10"/>
      <c r="CE10" s="10"/>
      <c r="CF10" s="10"/>
      <c r="CG10" s="10"/>
      <c r="CH10" s="10"/>
      <c r="CL10" s="10"/>
      <c r="CM10" s="10"/>
      <c r="CN10" s="10"/>
      <c r="CO10" s="10"/>
      <c r="CS10" s="10"/>
      <c r="CT10" s="10"/>
      <c r="CU10" s="10"/>
      <c r="CV10" s="10"/>
      <c r="CZ10" s="10"/>
      <c r="DA10" s="10"/>
      <c r="DB10" s="10"/>
      <c r="DC10" s="10"/>
      <c r="DG10" s="10"/>
      <c r="DH10" s="10"/>
      <c r="DI10" s="10"/>
      <c r="DJ10" s="10"/>
      <c r="DN10" s="10"/>
      <c r="DO10" s="10"/>
      <c r="DP10" s="10"/>
      <c r="DQ10" s="10"/>
      <c r="DU10" s="10"/>
    </row>
    <row r="11" spans="1:125" outlineLevel="1">
      <c r="B11" t="s">
        <v>54</v>
      </c>
      <c r="C11" s="2" t="s">
        <v>53</v>
      </c>
      <c r="E11" s="9"/>
      <c r="F11" t="s">
        <v>61</v>
      </c>
      <c r="G11" s="10">
        <v>0.1</v>
      </c>
      <c r="I11" s="9">
        <f ca="1">+SUMIF($N$3:$ZH$3,I$3,$N11:$ZE11)</f>
        <v>0</v>
      </c>
      <c r="J11" s="11" cm="1">
        <f t="array" ref="J11">MAX(IF($N$3:$DP$3=$J$3,N11:DP11))</f>
        <v>0</v>
      </c>
      <c r="K11" s="11" cm="1">
        <f t="array" ref="K11">MAX(IF($N$3:$DP$3=$J$3,N11:DP11))</f>
        <v>0</v>
      </c>
      <c r="L11" s="9"/>
      <c r="O11" s="10"/>
      <c r="P11" s="10"/>
      <c r="Q11" s="10"/>
      <c r="R11" s="10"/>
      <c r="V11" s="10"/>
      <c r="W11" s="10"/>
      <c r="X11" s="10"/>
      <c r="Y11" s="10"/>
      <c r="AC11" s="10"/>
      <c r="AD11" s="10">
        <v>0.5</v>
      </c>
      <c r="AE11" s="10"/>
      <c r="AF11" s="10">
        <v>0.5</v>
      </c>
      <c r="AJ11" s="10"/>
      <c r="AK11" s="10">
        <v>0.8</v>
      </c>
      <c r="AL11" s="10"/>
      <c r="AM11" s="10">
        <v>0.8</v>
      </c>
      <c r="AQ11" s="10"/>
      <c r="AR11" s="10">
        <v>1</v>
      </c>
      <c r="AS11" s="10"/>
      <c r="AT11" s="10">
        <v>1</v>
      </c>
      <c r="AX11" s="21"/>
      <c r="AY11" s="10">
        <v>1</v>
      </c>
      <c r="AZ11" s="21"/>
      <c r="BA11" s="10">
        <v>1</v>
      </c>
      <c r="BE11" s="10"/>
      <c r="BF11" s="10"/>
      <c r="BG11" s="10"/>
      <c r="BH11" s="10"/>
      <c r="BL11" s="10"/>
      <c r="BM11" s="10"/>
      <c r="BN11" s="10"/>
      <c r="BO11" s="10"/>
      <c r="BS11" s="10"/>
      <c r="BT11" s="10"/>
      <c r="BU11" s="10"/>
      <c r="BV11" s="10"/>
      <c r="BZ11" s="10"/>
      <c r="CA11" s="10"/>
      <c r="CB11" s="10"/>
      <c r="CE11" s="10"/>
      <c r="CF11" s="10"/>
      <c r="CG11" s="10"/>
      <c r="CK11" s="10"/>
      <c r="CL11" s="10"/>
      <c r="CM11" s="10"/>
      <c r="CN11" s="10"/>
      <c r="CR11" s="10"/>
      <c r="CS11" s="10"/>
      <c r="CT11" s="10"/>
      <c r="CU11" s="10"/>
      <c r="CY11" s="10"/>
      <c r="CZ11" s="10"/>
      <c r="DA11" s="10"/>
      <c r="DB11" s="10"/>
      <c r="DF11" s="10"/>
      <c r="DG11" s="10"/>
      <c r="DH11" s="10"/>
      <c r="DI11" s="10"/>
      <c r="DM11" s="10"/>
      <c r="DN11" s="10"/>
      <c r="DO11" s="10"/>
      <c r="DP11" s="10"/>
      <c r="DT11" s="10"/>
      <c r="DU11" s="10"/>
    </row>
    <row r="13" spans="1:125">
      <c r="B13" t="s">
        <v>40</v>
      </c>
      <c r="C13" t="s">
        <v>62</v>
      </c>
      <c r="D13" s="19">
        <v>45334</v>
      </c>
      <c r="E13" s="9">
        <v>5</v>
      </c>
      <c r="G13" s="10">
        <f>+SUM(G14:G21)</f>
        <v>1.4</v>
      </c>
      <c r="I13" s="12">
        <f>+SUM(I14:I21)</f>
        <v>11</v>
      </c>
      <c r="J13" s="11">
        <f>+SUMPRODUCT(G14:G21,J14:J21)</f>
        <v>0.26</v>
      </c>
      <c r="K13" s="11">
        <f>+SUMPRODUCT(G14:G21,K14:K21)</f>
        <v>0.26</v>
      </c>
      <c r="L13" s="9"/>
      <c r="N13" s="12">
        <f>+SUM(N14:N21)</f>
        <v>11</v>
      </c>
      <c r="U13" s="12">
        <f>+SUM(U14:U21)</f>
        <v>0</v>
      </c>
      <c r="AB13" s="12">
        <f>+SUM(AB14:AB21)</f>
        <v>0</v>
      </c>
      <c r="AI13" s="12">
        <f>+SUM(AI14:AI21)</f>
        <v>0</v>
      </c>
      <c r="AP13" s="12">
        <f>+SUM(AP14:AP21)</f>
        <v>0</v>
      </c>
      <c r="CC13" s="10"/>
    </row>
    <row r="14" spans="1:125" outlineLevel="1">
      <c r="B14" t="s">
        <v>54</v>
      </c>
      <c r="C14" t="s">
        <v>62</v>
      </c>
      <c r="E14" s="9"/>
      <c r="F14" t="s">
        <v>63</v>
      </c>
      <c r="G14" s="10">
        <v>0.1</v>
      </c>
      <c r="I14" s="9">
        <f t="shared" ref="I14:I21" si="0">+SUMIF($N$3:$ZH$3,I$3,$N14:$ZH14)</f>
        <v>7</v>
      </c>
      <c r="J14" s="11" cm="1">
        <f t="array" ref="J14">MAX(IF($N$3:$DP$3=$J$3,N14:DP14))</f>
        <v>1</v>
      </c>
      <c r="K14" s="11" cm="1">
        <f t="array" ref="K14">MAX(IF($N$3:$DP$3=$J$3,N14:DP14))</f>
        <v>1</v>
      </c>
      <c r="L14" s="9"/>
      <c r="N14">
        <v>7</v>
      </c>
      <c r="O14" s="10">
        <v>1</v>
      </c>
      <c r="P14" s="10">
        <v>0.8</v>
      </c>
      <c r="Q14" s="10">
        <v>1</v>
      </c>
      <c r="R14" s="10">
        <v>0.8</v>
      </c>
      <c r="V14" s="10"/>
      <c r="W14" s="10">
        <v>1</v>
      </c>
      <c r="X14" s="10"/>
      <c r="Y14" s="10">
        <v>1</v>
      </c>
      <c r="AC14" s="10"/>
      <c r="AD14" s="10">
        <v>1</v>
      </c>
      <c r="AE14" s="10"/>
      <c r="AF14" s="10">
        <v>1</v>
      </c>
      <c r="AJ14" s="10"/>
      <c r="AK14" s="10">
        <v>1</v>
      </c>
      <c r="AL14" s="10"/>
      <c r="AM14" s="10">
        <v>1</v>
      </c>
      <c r="AQ14" s="10"/>
      <c r="AR14" s="10">
        <v>1</v>
      </c>
      <c r="AS14" s="10"/>
      <c r="AT14" s="10">
        <v>1</v>
      </c>
      <c r="AX14" s="10"/>
      <c r="AY14" s="10">
        <v>1</v>
      </c>
      <c r="AZ14" s="10"/>
      <c r="BA14" s="10">
        <v>1</v>
      </c>
      <c r="BE14" s="10"/>
      <c r="BF14" s="10">
        <v>1</v>
      </c>
      <c r="BG14" s="10"/>
      <c r="BH14" s="10">
        <v>1</v>
      </c>
      <c r="BL14" s="10"/>
      <c r="BM14" s="10">
        <v>1</v>
      </c>
      <c r="BN14" s="10"/>
      <c r="BO14" s="10">
        <v>1</v>
      </c>
      <c r="BS14" s="10"/>
      <c r="BT14" s="10">
        <v>1</v>
      </c>
      <c r="BU14" s="10"/>
      <c r="BV14" s="10">
        <v>1</v>
      </c>
      <c r="BZ14" s="10"/>
      <c r="CA14" s="10">
        <v>1</v>
      </c>
      <c r="CB14" s="21"/>
      <c r="CC14" s="10">
        <v>1</v>
      </c>
      <c r="CG14" s="10"/>
      <c r="CH14" s="10">
        <v>1</v>
      </c>
      <c r="CI14" s="10"/>
      <c r="CJ14" s="10">
        <v>1</v>
      </c>
      <c r="CN14" s="10"/>
      <c r="CO14" s="10">
        <v>1</v>
      </c>
      <c r="CP14" s="10"/>
      <c r="CQ14" s="10">
        <v>1</v>
      </c>
      <c r="CU14" s="10"/>
      <c r="CV14" s="10">
        <v>1</v>
      </c>
      <c r="CW14" s="10"/>
      <c r="CX14" s="10">
        <v>1</v>
      </c>
      <c r="DB14" s="10"/>
      <c r="DC14" s="10">
        <v>1</v>
      </c>
      <c r="DD14" s="10"/>
      <c r="DE14" s="10">
        <v>1</v>
      </c>
      <c r="DI14" s="10"/>
      <c r="DJ14" s="10">
        <v>1</v>
      </c>
      <c r="DK14" s="10"/>
      <c r="DL14" s="10">
        <v>1</v>
      </c>
      <c r="DP14" s="10"/>
      <c r="DQ14" s="10">
        <v>1</v>
      </c>
      <c r="DR14" s="10"/>
      <c r="DS14" s="10">
        <v>1</v>
      </c>
    </row>
    <row r="15" spans="1:125" outlineLevel="1">
      <c r="B15" t="s">
        <v>54</v>
      </c>
      <c r="C15" t="s">
        <v>62</v>
      </c>
      <c r="E15" s="9"/>
      <c r="F15" t="s">
        <v>64</v>
      </c>
      <c r="G15" s="10">
        <v>0.2</v>
      </c>
      <c r="I15" s="9">
        <f t="shared" si="0"/>
        <v>4</v>
      </c>
      <c r="J15" s="11" cm="1">
        <f t="array" ref="J15">MAX(IF($N$3:$DP$3=$J$3,N15:DP15))</f>
        <v>0.8</v>
      </c>
      <c r="K15" s="11" cm="1">
        <f t="array" ref="K15">MAX(IF($N$3:$DP$3=$J$3,N15:DP15))</f>
        <v>0.8</v>
      </c>
      <c r="L15" s="9"/>
      <c r="N15">
        <v>4</v>
      </c>
      <c r="O15" s="10">
        <v>0.8</v>
      </c>
      <c r="P15" s="10">
        <v>0.5</v>
      </c>
      <c r="Q15" s="10">
        <v>0.6</v>
      </c>
      <c r="R15" s="10">
        <v>0.5</v>
      </c>
      <c r="V15" s="10"/>
      <c r="W15" s="10">
        <v>1</v>
      </c>
      <c r="X15" s="10"/>
      <c r="Y15" s="10">
        <v>1</v>
      </c>
      <c r="AC15" s="10"/>
      <c r="AD15" s="10">
        <v>1</v>
      </c>
      <c r="AE15" s="10"/>
      <c r="AF15" s="10">
        <v>1</v>
      </c>
      <c r="AJ15" s="10"/>
      <c r="AK15" s="10">
        <v>1</v>
      </c>
      <c r="AL15" s="10"/>
      <c r="AM15" s="10">
        <v>1</v>
      </c>
      <c r="AQ15" s="10"/>
      <c r="AR15" s="10">
        <v>1</v>
      </c>
      <c r="AS15" s="10"/>
      <c r="AT15" s="10">
        <v>1</v>
      </c>
      <c r="AX15" s="10"/>
      <c r="AY15" s="10">
        <v>1</v>
      </c>
      <c r="AZ15" s="10"/>
      <c r="BA15" s="10">
        <v>1</v>
      </c>
      <c r="BE15" s="10"/>
      <c r="BF15" s="10">
        <v>1</v>
      </c>
      <c r="BG15" s="10"/>
      <c r="BH15" s="10">
        <v>1</v>
      </c>
      <c r="BL15" s="10"/>
      <c r="BM15" s="10">
        <v>1</v>
      </c>
      <c r="BN15" s="10"/>
      <c r="BO15" s="10">
        <v>1</v>
      </c>
      <c r="BS15" s="10"/>
      <c r="BT15" s="10">
        <v>1</v>
      </c>
      <c r="BU15" s="10"/>
      <c r="BV15" s="10">
        <v>1</v>
      </c>
      <c r="BZ15" s="10"/>
      <c r="CA15" s="10">
        <v>1</v>
      </c>
      <c r="CB15" s="10"/>
      <c r="CC15" s="10">
        <v>1</v>
      </c>
      <c r="CG15" s="10"/>
      <c r="CH15" s="10">
        <v>1</v>
      </c>
      <c r="CI15" s="10"/>
      <c r="CJ15" s="10">
        <v>1</v>
      </c>
      <c r="CN15" s="10"/>
      <c r="CO15" s="10">
        <v>1</v>
      </c>
      <c r="CP15" s="10"/>
      <c r="CQ15" s="10">
        <v>1</v>
      </c>
      <c r="CU15" s="10"/>
      <c r="CV15" s="10">
        <v>1</v>
      </c>
      <c r="CW15" s="10"/>
      <c r="CX15" s="10">
        <v>1</v>
      </c>
      <c r="DB15" s="10"/>
      <c r="DC15" s="10">
        <v>1</v>
      </c>
      <c r="DD15" s="10"/>
      <c r="DE15" s="10">
        <v>1</v>
      </c>
      <c r="DI15" s="10"/>
      <c r="DJ15" s="10">
        <v>1</v>
      </c>
      <c r="DK15" s="10"/>
      <c r="DL15" s="10">
        <v>1</v>
      </c>
      <c r="DP15" s="10"/>
      <c r="DQ15" s="10">
        <v>1</v>
      </c>
      <c r="DR15" s="10"/>
      <c r="DS15" s="10">
        <v>1</v>
      </c>
    </row>
    <row r="16" spans="1:125" outlineLevel="1">
      <c r="B16" t="s">
        <v>54</v>
      </c>
      <c r="C16" t="s">
        <v>62</v>
      </c>
      <c r="E16" s="9"/>
      <c r="F16" t="s">
        <v>65</v>
      </c>
      <c r="G16" s="10">
        <v>0.2</v>
      </c>
      <c r="I16" s="9">
        <f t="shared" si="0"/>
        <v>0</v>
      </c>
      <c r="J16" s="11" cm="1">
        <f t="array" ref="J16">MAX(IF($N$3:$DP$3=$J$3,N16:DP16))</f>
        <v>0</v>
      </c>
      <c r="K16" s="11" cm="1">
        <f t="array" ref="K16">MAX(IF($N$3:$DP$3=$J$3,N16:DP16))</f>
        <v>0</v>
      </c>
      <c r="L16" s="9"/>
      <c r="O16" s="10"/>
      <c r="P16" s="10"/>
      <c r="Q16" s="10"/>
      <c r="R16" s="10"/>
      <c r="V16" s="10"/>
      <c r="W16" s="10">
        <v>1</v>
      </c>
      <c r="X16" s="10"/>
      <c r="Y16" s="10">
        <v>1</v>
      </c>
      <c r="AC16" s="10"/>
      <c r="AD16" s="10">
        <v>1</v>
      </c>
      <c r="AE16" s="10"/>
      <c r="AF16" s="10">
        <v>1</v>
      </c>
      <c r="AJ16" s="10"/>
      <c r="AK16" s="10">
        <v>1</v>
      </c>
      <c r="AL16" s="10"/>
      <c r="AM16" s="10">
        <v>1</v>
      </c>
      <c r="AQ16" s="10"/>
      <c r="AR16" s="10">
        <v>1</v>
      </c>
      <c r="AS16" s="10"/>
      <c r="AT16" s="10">
        <v>1</v>
      </c>
      <c r="AX16" s="10"/>
      <c r="AY16" s="10">
        <v>1</v>
      </c>
      <c r="AZ16" s="10"/>
      <c r="BA16" s="10">
        <v>1</v>
      </c>
      <c r="BE16" s="10"/>
      <c r="BF16" s="10">
        <v>1</v>
      </c>
      <c r="BG16" s="10"/>
      <c r="BH16" s="10">
        <v>1</v>
      </c>
      <c r="BL16" s="10"/>
      <c r="BM16" s="10">
        <v>1</v>
      </c>
      <c r="BN16" s="10"/>
      <c r="BO16" s="10">
        <v>1</v>
      </c>
      <c r="BS16" s="10"/>
      <c r="BT16" s="10">
        <v>1</v>
      </c>
      <c r="BU16" s="10"/>
      <c r="BV16" s="10">
        <v>1</v>
      </c>
      <c r="BZ16" s="10"/>
      <c r="CA16" s="10">
        <v>1</v>
      </c>
      <c r="CB16" s="10"/>
      <c r="CC16" s="10">
        <v>1</v>
      </c>
      <c r="CG16" s="10"/>
      <c r="CH16" s="10">
        <v>1</v>
      </c>
      <c r="CI16" s="10"/>
      <c r="CJ16" s="10">
        <v>1</v>
      </c>
      <c r="CN16" s="10"/>
      <c r="CO16" s="10">
        <v>1</v>
      </c>
      <c r="CP16" s="10"/>
      <c r="CQ16" s="10">
        <v>1</v>
      </c>
      <c r="CU16" s="10"/>
      <c r="CV16" s="10">
        <v>1</v>
      </c>
      <c r="CW16" s="10"/>
      <c r="CX16" s="10">
        <v>1</v>
      </c>
      <c r="DB16" s="10"/>
      <c r="DC16" s="10">
        <v>1</v>
      </c>
      <c r="DD16" s="10"/>
      <c r="DE16" s="10">
        <v>1</v>
      </c>
      <c r="DI16" s="10"/>
      <c r="DJ16" s="10">
        <v>1</v>
      </c>
      <c r="DK16" s="10"/>
      <c r="DL16" s="10">
        <v>1</v>
      </c>
      <c r="DP16" s="10"/>
      <c r="DQ16" s="10">
        <v>1</v>
      </c>
      <c r="DR16" s="10"/>
      <c r="DS16" s="10">
        <v>1</v>
      </c>
    </row>
    <row r="17" spans="1:123" outlineLevel="1">
      <c r="B17" t="s">
        <v>54</v>
      </c>
      <c r="C17" t="s">
        <v>62</v>
      </c>
      <c r="E17" s="9"/>
      <c r="F17" t="s">
        <v>66</v>
      </c>
      <c r="G17" s="10">
        <v>0.2</v>
      </c>
      <c r="I17" s="9">
        <f t="shared" si="0"/>
        <v>0</v>
      </c>
      <c r="J17" s="11" cm="1">
        <f t="array" ref="J17">MAX(IF($N$3:$DP$3=$J$3,N17:DP17))</f>
        <v>0</v>
      </c>
      <c r="K17" s="11" cm="1">
        <f t="array" ref="K17">MAX(IF($N$3:$DP$3=$J$3,N17:DP17))</f>
        <v>0</v>
      </c>
      <c r="L17" s="9"/>
      <c r="O17" s="10"/>
      <c r="P17" s="10"/>
      <c r="Q17" s="10"/>
      <c r="R17" s="10"/>
      <c r="V17" s="10"/>
      <c r="W17" s="10"/>
      <c r="X17" s="10"/>
      <c r="Y17" s="10"/>
      <c r="AC17" s="10"/>
      <c r="AD17" s="10">
        <v>1</v>
      </c>
      <c r="AE17" s="10"/>
      <c r="AF17" s="10">
        <v>1</v>
      </c>
      <c r="AJ17" s="10"/>
      <c r="AK17" s="10">
        <v>1</v>
      </c>
      <c r="AL17" s="10"/>
      <c r="AM17" s="10">
        <v>1</v>
      </c>
      <c r="AQ17" s="10"/>
      <c r="AR17" s="10">
        <v>1</v>
      </c>
      <c r="AS17" s="10"/>
      <c r="AT17" s="10">
        <v>1</v>
      </c>
      <c r="AX17" s="10"/>
      <c r="AY17" s="10">
        <v>1</v>
      </c>
      <c r="AZ17" s="10"/>
      <c r="BA17" s="10">
        <v>1</v>
      </c>
      <c r="BE17" s="10"/>
      <c r="BF17" s="10">
        <v>1</v>
      </c>
      <c r="BG17" s="10"/>
      <c r="BH17" s="10">
        <v>1</v>
      </c>
      <c r="BL17" s="10"/>
      <c r="BM17" s="10">
        <v>1</v>
      </c>
      <c r="BN17" s="10"/>
      <c r="BO17" s="10">
        <v>1</v>
      </c>
      <c r="BS17" s="10"/>
      <c r="BT17" s="10">
        <v>1</v>
      </c>
      <c r="BU17" s="10"/>
      <c r="BV17" s="10">
        <v>1</v>
      </c>
      <c r="BZ17" s="10"/>
      <c r="CA17" s="10">
        <v>1</v>
      </c>
      <c r="CB17" s="10"/>
      <c r="CC17" s="10">
        <v>1</v>
      </c>
      <c r="CG17" s="10"/>
      <c r="CH17" s="10">
        <v>1</v>
      </c>
      <c r="CI17" s="10"/>
      <c r="CJ17" s="10">
        <v>1</v>
      </c>
      <c r="CN17" s="10"/>
      <c r="CO17" s="10">
        <v>1</v>
      </c>
      <c r="CP17" s="10"/>
      <c r="CQ17" s="10">
        <v>1</v>
      </c>
      <c r="CU17" s="10"/>
      <c r="CV17" s="10">
        <v>1</v>
      </c>
      <c r="CW17" s="10"/>
      <c r="CX17" s="10">
        <v>1</v>
      </c>
      <c r="DB17" s="10"/>
      <c r="DC17" s="10">
        <v>1</v>
      </c>
      <c r="DD17" s="10"/>
      <c r="DE17" s="10">
        <v>1</v>
      </c>
      <c r="DI17" s="10"/>
      <c r="DJ17" s="10">
        <v>1</v>
      </c>
      <c r="DK17" s="10"/>
      <c r="DL17" s="10">
        <v>1</v>
      </c>
      <c r="DP17" s="10"/>
      <c r="DQ17" s="10">
        <v>1</v>
      </c>
      <c r="DR17" s="10"/>
      <c r="DS17" s="10">
        <v>1</v>
      </c>
    </row>
    <row r="18" spans="1:123" ht="31.5" outlineLevel="1">
      <c r="B18" t="s">
        <v>54</v>
      </c>
      <c r="C18" t="s">
        <v>62</v>
      </c>
      <c r="E18" s="9"/>
      <c r="F18" s="1" t="s">
        <v>67</v>
      </c>
      <c r="G18" s="10">
        <v>0.15</v>
      </c>
      <c r="I18" s="9">
        <f t="shared" si="0"/>
        <v>0</v>
      </c>
      <c r="J18" s="11" cm="1">
        <f t="array" ref="J18">MAX(IF($N$3:$DP$3=$J$3,N18:DP18))</f>
        <v>0</v>
      </c>
      <c r="K18" s="11" cm="1">
        <f t="array" ref="K18">MAX(IF($N$3:$DP$3=$J$3,N18:DP18))</f>
        <v>0</v>
      </c>
      <c r="L18" s="9"/>
      <c r="O18" s="10"/>
      <c r="P18" s="10"/>
      <c r="Q18" s="10"/>
      <c r="R18" s="10"/>
      <c r="V18" s="10"/>
      <c r="W18" s="10"/>
      <c r="X18" s="10"/>
      <c r="Y18" s="10"/>
      <c r="AC18" s="10"/>
      <c r="AD18" s="10"/>
      <c r="AE18" s="10"/>
      <c r="AF18" s="10"/>
      <c r="AJ18" s="10"/>
      <c r="AK18" s="10">
        <v>1</v>
      </c>
      <c r="AL18" s="10"/>
      <c r="AM18" s="10">
        <v>1</v>
      </c>
      <c r="AQ18" s="10"/>
      <c r="AR18" s="10">
        <v>1</v>
      </c>
      <c r="AS18" s="10"/>
      <c r="AT18" s="10">
        <v>1</v>
      </c>
      <c r="AX18" s="10"/>
      <c r="AY18" s="10">
        <v>1</v>
      </c>
      <c r="AZ18" s="10"/>
      <c r="BA18" s="10">
        <v>1</v>
      </c>
      <c r="BE18" s="10"/>
      <c r="BF18" s="10">
        <v>1</v>
      </c>
      <c r="BG18" s="10"/>
      <c r="BH18" s="10">
        <v>1</v>
      </c>
      <c r="BL18" s="10"/>
      <c r="BM18" s="10">
        <v>1</v>
      </c>
      <c r="BN18" s="10"/>
      <c r="BO18" s="10">
        <v>1</v>
      </c>
      <c r="BS18" s="10"/>
      <c r="BT18" s="10">
        <v>1</v>
      </c>
      <c r="BU18" s="10"/>
      <c r="BV18" s="10">
        <v>1</v>
      </c>
      <c r="BZ18" s="10"/>
      <c r="CA18" s="10">
        <v>1</v>
      </c>
      <c r="CB18" s="10"/>
      <c r="CC18" s="10">
        <v>1</v>
      </c>
      <c r="CG18" s="10"/>
      <c r="CH18" s="10">
        <v>1</v>
      </c>
      <c r="CI18" s="10"/>
      <c r="CJ18" s="10">
        <v>1</v>
      </c>
      <c r="CN18" s="10"/>
      <c r="CO18" s="10">
        <v>1</v>
      </c>
      <c r="CP18" s="10"/>
      <c r="CQ18" s="10">
        <v>1</v>
      </c>
      <c r="CU18" s="10"/>
      <c r="CV18" s="10">
        <v>1</v>
      </c>
      <c r="CW18" s="10"/>
      <c r="CX18" s="10">
        <v>1</v>
      </c>
      <c r="DB18" s="10"/>
      <c r="DC18" s="10">
        <v>1</v>
      </c>
      <c r="DD18" s="10"/>
      <c r="DE18" s="10">
        <v>1</v>
      </c>
      <c r="DI18" s="10"/>
      <c r="DJ18" s="10">
        <v>1</v>
      </c>
      <c r="DK18" s="10"/>
      <c r="DL18" s="10">
        <v>1</v>
      </c>
      <c r="DP18" s="10"/>
      <c r="DQ18" s="10">
        <v>1</v>
      </c>
      <c r="DR18" s="10"/>
      <c r="DS18" s="10">
        <v>1</v>
      </c>
    </row>
    <row r="19" spans="1:123" outlineLevel="1">
      <c r="B19" t="s">
        <v>54</v>
      </c>
      <c r="C19" t="s">
        <v>62</v>
      </c>
      <c r="E19" s="9"/>
      <c r="F19" t="s">
        <v>68</v>
      </c>
      <c r="G19" s="10">
        <v>0.15</v>
      </c>
      <c r="I19" s="9">
        <f t="shared" si="0"/>
        <v>0</v>
      </c>
      <c r="J19" s="11" cm="1">
        <f t="array" ref="J19">MAX(IF($N$3:$DP$3=$J$3,N19:DP19))</f>
        <v>0</v>
      </c>
      <c r="K19" s="11" cm="1">
        <f t="array" ref="K19">MAX(IF($N$3:$DP$3=$J$3,N19:DP19))</f>
        <v>0</v>
      </c>
      <c r="L19" s="9"/>
      <c r="O19" s="10"/>
      <c r="P19" s="10"/>
      <c r="Q19" s="10"/>
      <c r="R19" s="10"/>
      <c r="V19" s="10"/>
      <c r="W19" s="10"/>
      <c r="X19" s="10"/>
      <c r="Y19" s="10"/>
      <c r="AC19" s="10"/>
      <c r="AD19" s="10"/>
      <c r="AE19" s="10"/>
      <c r="AF19" s="10"/>
      <c r="AJ19" s="10"/>
      <c r="AK19" s="10"/>
      <c r="AL19" s="10"/>
      <c r="AM19" s="10"/>
      <c r="AQ19" s="10"/>
      <c r="AR19" s="10">
        <v>1</v>
      </c>
      <c r="AS19" s="10"/>
      <c r="AT19" s="10">
        <v>1</v>
      </c>
      <c r="AX19" s="10"/>
      <c r="AY19" s="10">
        <v>1</v>
      </c>
      <c r="AZ19" s="10"/>
      <c r="BA19" s="10">
        <v>1</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v>1</v>
      </c>
      <c r="DD19" s="10"/>
      <c r="DE19" s="10">
        <v>1</v>
      </c>
      <c r="DI19" s="10"/>
      <c r="DJ19" s="10">
        <v>1</v>
      </c>
      <c r="DK19" s="10"/>
      <c r="DL19" s="10">
        <v>1</v>
      </c>
      <c r="DP19" s="10"/>
      <c r="DQ19" s="10">
        <v>1</v>
      </c>
      <c r="DR19" s="10"/>
      <c r="DS19" s="10">
        <v>1</v>
      </c>
    </row>
    <row r="20" spans="1:123" outlineLevel="1">
      <c r="B20" t="s">
        <v>54</v>
      </c>
      <c r="C20" t="s">
        <v>62</v>
      </c>
      <c r="E20" s="9"/>
      <c r="F20" t="s">
        <v>69</v>
      </c>
      <c r="G20" s="10">
        <v>0.2</v>
      </c>
      <c r="I20" s="9">
        <f t="shared" si="0"/>
        <v>0</v>
      </c>
      <c r="J20" s="11" cm="1">
        <f t="array" ref="J20">MAX(IF($N$3:$DP$3=$J$3,N20:DP20))</f>
        <v>0</v>
      </c>
      <c r="K20" s="11" cm="1">
        <f t="array" ref="K20">MAX(IF($N$3:$DP$3=$J$3,N20:DP20))</f>
        <v>0</v>
      </c>
      <c r="L20" s="9"/>
      <c r="O20" s="10"/>
      <c r="P20" s="10"/>
      <c r="Q20" s="10"/>
      <c r="R20" s="10"/>
      <c r="V20" s="10"/>
      <c r="W20" s="10"/>
      <c r="X20" s="10"/>
      <c r="Y20" s="10"/>
      <c r="AC20" s="10"/>
      <c r="AD20" s="10"/>
      <c r="AE20" s="10"/>
      <c r="AF20" s="10"/>
      <c r="AJ20" s="10"/>
      <c r="AK20" s="10"/>
      <c r="AL20" s="10"/>
      <c r="AM20" s="10"/>
      <c r="AQ20" s="10"/>
      <c r="AR20" s="10"/>
      <c r="AS20" s="10"/>
      <c r="AT20" s="10"/>
      <c r="AX20" s="10"/>
      <c r="AY20" s="10">
        <v>1</v>
      </c>
      <c r="AZ20" s="10"/>
      <c r="BA20" s="10">
        <v>1</v>
      </c>
      <c r="BE20" s="10"/>
      <c r="BF20" s="10">
        <v>1</v>
      </c>
      <c r="BG20" s="10"/>
      <c r="BH20" s="10">
        <v>1</v>
      </c>
      <c r="BL20" s="10"/>
      <c r="BM20" s="10">
        <v>1</v>
      </c>
      <c r="BN20" s="10"/>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v>1</v>
      </c>
      <c r="DD20" s="10"/>
      <c r="DE20" s="10">
        <v>1</v>
      </c>
      <c r="DI20" s="10"/>
      <c r="DJ20" s="10">
        <v>1</v>
      </c>
      <c r="DK20" s="10"/>
      <c r="DL20" s="10">
        <v>1</v>
      </c>
      <c r="DP20" s="10"/>
      <c r="DQ20" s="10">
        <v>1</v>
      </c>
      <c r="DR20" s="10"/>
      <c r="DS20" s="10">
        <v>1</v>
      </c>
    </row>
    <row r="21" spans="1:123" outlineLevel="1">
      <c r="B21" t="s">
        <v>54</v>
      </c>
      <c r="C21" t="s">
        <v>62</v>
      </c>
      <c r="E21" s="9"/>
      <c r="F21" t="s">
        <v>70</v>
      </c>
      <c r="G21" s="10">
        <v>0.2</v>
      </c>
      <c r="I21" s="9">
        <f t="shared" si="0"/>
        <v>0</v>
      </c>
      <c r="J21" s="11" cm="1">
        <f t="array" ref="J21">MAX(IF($N$3:$DP$3=$J$3,N21:DP21))</f>
        <v>0</v>
      </c>
      <c r="K21" s="11" cm="1">
        <f t="array" ref="K21">MAX(IF($N$3:$DP$3=$J$3,N21:DP21))</f>
        <v>0</v>
      </c>
      <c r="L21" s="9"/>
      <c r="O21" s="10"/>
      <c r="P21" s="10"/>
      <c r="Q21" s="10"/>
      <c r="R21" s="10"/>
      <c r="V21" s="10"/>
      <c r="W21" s="10"/>
      <c r="X21" s="10"/>
      <c r="Y21" s="10"/>
      <c r="AC21" s="10"/>
      <c r="AD21" s="10"/>
      <c r="AE21" s="10"/>
      <c r="AF21" s="10"/>
      <c r="AJ21" s="10"/>
      <c r="AK21" s="10"/>
      <c r="AL21" s="10"/>
      <c r="AM21" s="10"/>
      <c r="AQ21" s="10"/>
      <c r="AR21" s="10"/>
      <c r="AS21" s="10"/>
      <c r="AT21" s="10"/>
      <c r="AX21" s="10"/>
      <c r="AY21" s="10"/>
      <c r="AZ21" s="10"/>
      <c r="BA21" s="10"/>
      <c r="BE21" s="10"/>
      <c r="BF21" s="10">
        <v>1</v>
      </c>
      <c r="BG21" s="10"/>
      <c r="BH21" s="10">
        <v>1</v>
      </c>
      <c r="BL21" s="10"/>
      <c r="BM21" s="10">
        <v>1</v>
      </c>
      <c r="BN21" s="10"/>
      <c r="BO21" s="10">
        <v>1</v>
      </c>
      <c r="BS21" s="10"/>
      <c r="BT21" s="10">
        <v>1</v>
      </c>
      <c r="BU21" s="10"/>
      <c r="BV21" s="10">
        <v>1</v>
      </c>
      <c r="BZ21" s="10"/>
      <c r="CA21" s="10">
        <v>1</v>
      </c>
      <c r="CB21" s="10"/>
      <c r="CC21" s="10">
        <v>1</v>
      </c>
      <c r="CG21" s="10"/>
      <c r="CH21" s="10">
        <v>1</v>
      </c>
      <c r="CI21" s="10"/>
      <c r="CJ21" s="10">
        <v>1</v>
      </c>
      <c r="CN21" s="10"/>
      <c r="CO21" s="10">
        <v>1</v>
      </c>
      <c r="CP21" s="10"/>
      <c r="CQ21" s="10">
        <v>1</v>
      </c>
      <c r="CU21" s="10"/>
      <c r="CV21" s="10">
        <v>1</v>
      </c>
      <c r="CW21" s="10"/>
      <c r="CX21" s="10">
        <v>1</v>
      </c>
      <c r="DB21" s="10"/>
      <c r="DC21" s="10">
        <v>1</v>
      </c>
      <c r="DD21" s="10"/>
      <c r="DE21" s="10">
        <v>1</v>
      </c>
      <c r="DI21" s="10"/>
      <c r="DJ21" s="10">
        <v>1</v>
      </c>
      <c r="DK21" s="10"/>
      <c r="DL21" s="10">
        <v>1</v>
      </c>
      <c r="DP21" s="10"/>
      <c r="DQ21" s="10">
        <v>1</v>
      </c>
      <c r="DR21" s="10"/>
      <c r="DS21" s="10">
        <v>1</v>
      </c>
    </row>
    <row r="22" spans="1:123" outlineLevel="1">
      <c r="B22" t="s">
        <v>54</v>
      </c>
      <c r="C22" t="s">
        <v>62</v>
      </c>
      <c r="E22" s="9"/>
      <c r="F22" s="20" t="s">
        <v>71</v>
      </c>
      <c r="G22" s="10">
        <v>0.1</v>
      </c>
      <c r="I22" s="9">
        <f ca="1">+SUMIF($N$3:$ZH$3,I$3,$O22:$ZH22)</f>
        <v>0</v>
      </c>
      <c r="J22" s="11" cm="1">
        <f t="array" ref="J22">MAX(IF($N$3:$DP$3=$J$3,N22:DP22))</f>
        <v>0</v>
      </c>
      <c r="K22" s="11" cm="1">
        <f t="array" ref="K22">MAX(IF($N$3:$DP$3=$J$3,N22:DP22))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L22" s="10"/>
      <c r="BM22" s="10">
        <v>1</v>
      </c>
      <c r="BN22" s="10"/>
      <c r="BO22" s="10">
        <v>1</v>
      </c>
      <c r="BS22" s="10"/>
      <c r="BT22" s="10">
        <v>1</v>
      </c>
      <c r="BU22" s="10"/>
      <c r="BV22" s="10">
        <v>1</v>
      </c>
      <c r="BZ22" s="10"/>
      <c r="CA22" s="10">
        <v>1</v>
      </c>
      <c r="CB22" s="10"/>
      <c r="CC22" s="10">
        <v>1</v>
      </c>
      <c r="CG22" s="10"/>
      <c r="CH22" s="10">
        <v>1</v>
      </c>
      <c r="CI22" s="10"/>
      <c r="CJ22" s="10">
        <v>1</v>
      </c>
      <c r="CN22" s="10"/>
      <c r="CO22" s="10">
        <v>1</v>
      </c>
      <c r="CP22" s="10"/>
      <c r="CQ22" s="10">
        <v>1</v>
      </c>
      <c r="CU22" s="10"/>
      <c r="CV22" s="10">
        <v>1</v>
      </c>
      <c r="CW22" s="10"/>
      <c r="CX22" s="10">
        <v>1</v>
      </c>
      <c r="DB22" s="10"/>
      <c r="DC22" s="10">
        <v>1</v>
      </c>
      <c r="DD22" s="10"/>
      <c r="DE22" s="10">
        <v>1</v>
      </c>
      <c r="DI22" s="10"/>
      <c r="DJ22" s="10">
        <v>1</v>
      </c>
      <c r="DK22" s="10"/>
      <c r="DL22" s="10">
        <v>1</v>
      </c>
      <c r="DP22" s="10"/>
      <c r="DQ22" s="10">
        <v>1</v>
      </c>
      <c r="DR22" s="10"/>
      <c r="DS22" s="10">
        <v>1</v>
      </c>
    </row>
    <row r="23" spans="1:123" outlineLevel="1">
      <c r="B23" t="s">
        <v>54</v>
      </c>
      <c r="C23" t="s">
        <v>62</v>
      </c>
      <c r="E23" s="9"/>
      <c r="F23" t="s">
        <v>72</v>
      </c>
      <c r="G23" s="10">
        <v>0.2</v>
      </c>
      <c r="I23" s="9">
        <f t="shared" ref="I23:I28" si="1">+SUMIF($N$3:$ZH$3,I$3,$N23:$ZH23)</f>
        <v>0</v>
      </c>
      <c r="J23" s="11" cm="1">
        <f t="array" ref="J23">MAX(IF($N$3:$DP$3=$J$3,N23:DP23))</f>
        <v>0</v>
      </c>
      <c r="K23" s="11" cm="1">
        <f t="array" ref="K23">MAX(IF($N$3:$DP$3=$J$3,N23:DP23))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c r="BU23" s="10"/>
      <c r="BV23" s="10"/>
      <c r="BZ23" s="10"/>
      <c r="CA23" s="10">
        <v>1</v>
      </c>
      <c r="CB23" s="10"/>
      <c r="CC23" s="10">
        <v>1</v>
      </c>
      <c r="CG23" s="10"/>
      <c r="CH23" s="10">
        <v>1</v>
      </c>
      <c r="CI23" s="10"/>
      <c r="CJ23" s="10">
        <v>1</v>
      </c>
      <c r="CN23" s="10"/>
      <c r="CO23" s="10">
        <v>1</v>
      </c>
      <c r="CP23" s="10"/>
      <c r="CQ23" s="10">
        <v>1</v>
      </c>
      <c r="CU23" s="10"/>
      <c r="CV23" s="10">
        <v>1</v>
      </c>
      <c r="CW23" s="10"/>
      <c r="CX23" s="10">
        <v>1</v>
      </c>
      <c r="DB23" s="10"/>
      <c r="DC23" s="10">
        <v>1</v>
      </c>
      <c r="DD23" s="10"/>
      <c r="DE23" s="10">
        <v>1</v>
      </c>
      <c r="DI23" s="10"/>
      <c r="DJ23" s="10">
        <v>1</v>
      </c>
      <c r="DK23" s="10"/>
      <c r="DL23" s="10">
        <v>1</v>
      </c>
      <c r="DP23" s="10"/>
      <c r="DQ23" s="10">
        <v>1</v>
      </c>
      <c r="DR23" s="10"/>
      <c r="DS23" s="10">
        <v>1</v>
      </c>
    </row>
    <row r="24" spans="1:123" outlineLevel="1">
      <c r="B24" t="s">
        <v>54</v>
      </c>
      <c r="C24" t="s">
        <v>62</v>
      </c>
      <c r="E24" s="9"/>
      <c r="F24" t="s">
        <v>73</v>
      </c>
      <c r="G24" s="10">
        <v>0.2</v>
      </c>
      <c r="I24" s="9">
        <f t="shared" si="1"/>
        <v>0</v>
      </c>
      <c r="J24" s="11" cm="1">
        <f t="array" ref="J24">MAX(IF($N$3:$DP$3=$J$3,N24:DP24))</f>
        <v>0</v>
      </c>
      <c r="K24" s="11" cm="1">
        <f t="array" ref="K24">MAX(IF($N$3:$DP$3=$J$3,N24:DP24))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c r="BG24" s="10"/>
      <c r="BH24" s="10"/>
      <c r="BL24" s="10"/>
      <c r="BM24" s="10"/>
      <c r="BN24" s="10"/>
      <c r="BO24" s="10"/>
      <c r="BS24" s="10"/>
      <c r="BT24" s="10"/>
      <c r="BU24" s="10"/>
      <c r="BV24" s="10"/>
      <c r="BZ24" s="10"/>
      <c r="CA24" s="10"/>
      <c r="CC24" s="10"/>
      <c r="CG24" s="10"/>
      <c r="CH24" s="10">
        <v>1</v>
      </c>
      <c r="CI24" s="10"/>
      <c r="CJ24" s="10">
        <v>1</v>
      </c>
      <c r="CN24" s="10"/>
      <c r="CO24" s="10">
        <v>1</v>
      </c>
      <c r="CP24" s="10"/>
      <c r="CQ24" s="10">
        <v>1</v>
      </c>
      <c r="CU24" s="10"/>
      <c r="CV24" s="10">
        <v>1</v>
      </c>
      <c r="CW24" s="10"/>
      <c r="CX24" s="10">
        <v>1</v>
      </c>
      <c r="DB24" s="10"/>
      <c r="DC24" s="10">
        <v>1</v>
      </c>
      <c r="DD24" s="10"/>
      <c r="DE24" s="10">
        <v>1</v>
      </c>
      <c r="DI24" s="10"/>
      <c r="DJ24" s="10">
        <v>1</v>
      </c>
      <c r="DK24" s="10"/>
      <c r="DL24" s="10">
        <v>1</v>
      </c>
      <c r="DP24" s="10"/>
      <c r="DQ24" s="10">
        <v>1</v>
      </c>
      <c r="DR24" s="10"/>
      <c r="DS24" s="10">
        <v>1</v>
      </c>
    </row>
    <row r="25" spans="1:123" outlineLevel="1">
      <c r="B25" t="s">
        <v>54</v>
      </c>
      <c r="C25" t="s">
        <v>62</v>
      </c>
      <c r="E25" s="9"/>
      <c r="F25" t="s">
        <v>74</v>
      </c>
      <c r="G25" s="10">
        <v>0.2</v>
      </c>
      <c r="I25" s="9">
        <f t="shared" si="1"/>
        <v>0</v>
      </c>
      <c r="J25" s="11" cm="1">
        <f t="array" ref="J25">MAX(IF($N$3:$DP$3=$J$3,N25:DP25))</f>
        <v>0</v>
      </c>
      <c r="K25" s="11" cm="1">
        <f t="array" ref="K25">MAX(IF($N$3:$DP$3=$J$3,N25:DP25))</f>
        <v>0</v>
      </c>
      <c r="L25" s="9"/>
      <c r="N25" s="12">
        <f>+SUM(N26:N35)</f>
        <v>0</v>
      </c>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M25" s="10"/>
      <c r="BN25" s="10"/>
      <c r="BO25" s="10"/>
      <c r="BS25" s="10"/>
      <c r="BT25" s="10"/>
      <c r="BU25" s="10"/>
      <c r="BV25" s="10"/>
      <c r="BZ25" s="10"/>
      <c r="CA25" s="10"/>
      <c r="CC25" s="10"/>
      <c r="CG25" s="10"/>
      <c r="CH25" s="10"/>
      <c r="CI25" s="10"/>
      <c r="CJ25" s="10"/>
      <c r="CN25" s="10"/>
      <c r="CO25" s="10">
        <v>1</v>
      </c>
      <c r="CP25" s="10"/>
      <c r="CQ25" s="10">
        <v>1</v>
      </c>
      <c r="CU25" s="10"/>
      <c r="CV25" s="10">
        <v>1</v>
      </c>
      <c r="CW25" s="10"/>
      <c r="CX25" s="10">
        <v>1</v>
      </c>
      <c r="DB25" s="10"/>
      <c r="DC25" s="10">
        <v>1</v>
      </c>
      <c r="DD25" s="10"/>
      <c r="DE25" s="10">
        <v>1</v>
      </c>
      <c r="DI25" s="10"/>
      <c r="DJ25" s="10">
        <v>1</v>
      </c>
      <c r="DK25" s="10"/>
      <c r="DL25" s="10">
        <v>1</v>
      </c>
      <c r="DP25" s="10"/>
      <c r="DQ25" s="10">
        <v>1</v>
      </c>
      <c r="DR25" s="10"/>
      <c r="DS25" s="10">
        <v>1</v>
      </c>
    </row>
    <row r="26" spans="1:123" outlineLevel="1">
      <c r="B26" t="s">
        <v>54</v>
      </c>
      <c r="C26" t="s">
        <v>62</v>
      </c>
      <c r="E26" s="9"/>
      <c r="F26" s="1" t="s">
        <v>75</v>
      </c>
      <c r="G26" s="10">
        <v>0.15</v>
      </c>
      <c r="I26" s="9">
        <f t="shared" si="1"/>
        <v>0</v>
      </c>
      <c r="J26" s="11" cm="1">
        <f t="array" ref="J26">MAX(IF($N$3:$DP$3=$J$3,N26:DP26))</f>
        <v>0</v>
      </c>
      <c r="K26" s="11" cm="1">
        <f t="array" ref="K26">MAX(IF($N$3:$DP$3=$J$3,N26:DP26))</f>
        <v>0</v>
      </c>
      <c r="L26" s="9"/>
      <c r="O26" s="10"/>
      <c r="P26" s="10"/>
      <c r="Q26" s="10"/>
      <c r="R26" s="10"/>
      <c r="V26" s="10"/>
      <c r="W26" s="10"/>
      <c r="X26" s="10"/>
      <c r="Y26" s="10"/>
      <c r="AC26" s="10"/>
      <c r="AD26" s="10"/>
      <c r="AE26" s="10"/>
      <c r="AF26" s="10"/>
      <c r="AJ26" s="10"/>
      <c r="AK26" s="10"/>
      <c r="AL26" s="10"/>
      <c r="AM26" s="10"/>
      <c r="AQ26" s="10"/>
      <c r="AR26" s="10"/>
      <c r="AS26" s="10"/>
      <c r="AT26" s="10"/>
      <c r="AX26" s="10"/>
      <c r="AY26" s="10"/>
      <c r="AZ26" s="10"/>
      <c r="BA26" s="10"/>
      <c r="BE26" s="10"/>
      <c r="BF26" s="10"/>
      <c r="BG26" s="10"/>
      <c r="BH26" s="10"/>
      <c r="BL26" s="10"/>
      <c r="BM26" s="10"/>
      <c r="BN26" s="10"/>
      <c r="BO26" s="10"/>
      <c r="BS26" s="10"/>
      <c r="BT26" s="10"/>
      <c r="BU26" s="10"/>
      <c r="BV26" s="10"/>
      <c r="BZ26" s="10"/>
      <c r="CA26" s="10"/>
      <c r="CB26" s="10"/>
      <c r="CC26" s="10"/>
      <c r="CG26" s="10"/>
      <c r="CH26" s="10"/>
      <c r="CI26" s="10"/>
      <c r="CJ26" s="10"/>
      <c r="CN26" s="10"/>
      <c r="CO26" s="10"/>
      <c r="CP26" s="10"/>
      <c r="CQ26" s="10"/>
      <c r="CU26" s="10"/>
      <c r="CV26" s="10">
        <v>1</v>
      </c>
      <c r="CW26" s="10"/>
      <c r="CX26" s="10">
        <v>1</v>
      </c>
      <c r="DB26" s="10"/>
      <c r="DC26" s="10">
        <v>1</v>
      </c>
      <c r="DD26" s="10"/>
      <c r="DE26" s="10">
        <v>1</v>
      </c>
      <c r="DI26" s="10"/>
      <c r="DJ26" s="10">
        <v>1</v>
      </c>
      <c r="DK26" s="10"/>
      <c r="DL26" s="10">
        <v>1</v>
      </c>
      <c r="DP26" s="10"/>
      <c r="DQ26" s="10">
        <v>1</v>
      </c>
      <c r="DR26" s="10"/>
      <c r="DS26" s="10">
        <v>1</v>
      </c>
    </row>
    <row r="27" spans="1:123" outlineLevel="1">
      <c r="B27" t="s">
        <v>54</v>
      </c>
      <c r="C27" t="s">
        <v>62</v>
      </c>
      <c r="E27" s="9"/>
      <c r="F27" t="s">
        <v>76</v>
      </c>
      <c r="G27" s="10">
        <v>0.15</v>
      </c>
      <c r="I27" s="9">
        <f t="shared" si="1"/>
        <v>0</v>
      </c>
      <c r="J27" s="11" cm="1">
        <f t="array" ref="J27">MAX(IF($N$3:$DP$3=$J$3,N27:DP27))</f>
        <v>0</v>
      </c>
      <c r="K27" s="11" cm="1">
        <f t="array" ref="K27">MAX(IF($N$3:$DP$3=$J$3,N27:DP27))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v>1</v>
      </c>
      <c r="DD27" s="10"/>
      <c r="DE27" s="10">
        <v>1</v>
      </c>
      <c r="DI27" s="10"/>
      <c r="DJ27" s="10">
        <v>1</v>
      </c>
      <c r="DK27" s="10"/>
      <c r="DL27" s="10">
        <v>1</v>
      </c>
      <c r="DP27" s="10"/>
      <c r="DQ27" s="10">
        <v>1</v>
      </c>
      <c r="DR27" s="10"/>
      <c r="DS27" s="10">
        <v>1</v>
      </c>
    </row>
    <row r="28" spans="1:123" outlineLevel="1">
      <c r="B28" t="s">
        <v>54</v>
      </c>
      <c r="C28" t="s">
        <v>62</v>
      </c>
      <c r="E28" s="9"/>
      <c r="F28" t="s">
        <v>77</v>
      </c>
      <c r="G28" s="10">
        <v>0.2</v>
      </c>
      <c r="I28" s="9">
        <f t="shared" si="1"/>
        <v>0</v>
      </c>
      <c r="J28" s="11" cm="1">
        <f t="array" ref="J28">MAX(IF($N$3:$DP$3=$J$3,N28:DP28))</f>
        <v>0</v>
      </c>
      <c r="K28" s="11" cm="1">
        <f t="array" ref="K28">MAX(IF($N$3:$DP$3=$J$3,N28:DP28))</f>
        <v>0</v>
      </c>
      <c r="L28" s="9"/>
      <c r="O28" s="10"/>
      <c r="P28" s="10"/>
      <c r="Q28" s="10"/>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c r="DD28" s="10"/>
      <c r="DE28" s="10"/>
      <c r="DI28" s="10"/>
      <c r="DJ28" s="10">
        <v>1</v>
      </c>
      <c r="DK28" s="10"/>
      <c r="DL28" s="10">
        <v>1</v>
      </c>
      <c r="DP28" s="10"/>
      <c r="DQ28" s="10">
        <v>1</v>
      </c>
      <c r="DR28" s="10"/>
      <c r="DS28" s="10">
        <v>1</v>
      </c>
    </row>
    <row r="30" spans="1:123">
      <c r="B30" t="s">
        <v>40</v>
      </c>
      <c r="C30" t="s">
        <v>78</v>
      </c>
      <c r="D30" s="19">
        <v>45334</v>
      </c>
      <c r="E30" s="9">
        <v>5</v>
      </c>
      <c r="G30" s="10">
        <f>+SUM(G31:G40)</f>
        <v>0.99999999999999989</v>
      </c>
      <c r="I30" s="12">
        <f>+SUM(I31:I40)</f>
        <v>0</v>
      </c>
      <c r="J30" s="11">
        <f>+SUMPRODUCT(G31:G40,J31:J40)</f>
        <v>0.92999999999999994</v>
      </c>
      <c r="K30" s="11">
        <f>+SUMPRODUCT(G31:G40,K31:K40)</f>
        <v>0.92999999999999994</v>
      </c>
      <c r="L30" s="9"/>
      <c r="U30" s="12">
        <f>+SUM(U31:U40)</f>
        <v>0</v>
      </c>
      <c r="AB30" s="12">
        <f>+SUM(AB31:AB40)</f>
        <v>0</v>
      </c>
      <c r="AI30" s="12">
        <f>+SUM(AI31:AI40)</f>
        <v>0</v>
      </c>
      <c r="AP30" s="12">
        <f>+SUM(AP31:AP40)</f>
        <v>0</v>
      </c>
      <c r="CH30" s="10"/>
      <c r="CJ30" s="10"/>
    </row>
    <row r="31" spans="1:123" outlineLevel="1">
      <c r="B31" t="s">
        <v>54</v>
      </c>
      <c r="C31" t="s">
        <v>78</v>
      </c>
      <c r="E31" s="9"/>
      <c r="F31" t="s">
        <v>79</v>
      </c>
      <c r="G31" s="10">
        <v>0.1</v>
      </c>
      <c r="I31" s="9">
        <f t="shared" ref="I31:I43" si="2">+SUMIF($N$3:$ZH$3,I$3,$N31:$ZH31)</f>
        <v>0</v>
      </c>
      <c r="J31" s="11" cm="1">
        <f t="array" ref="J31">MAX(IF($N$3:$DP$3=$J$3,N31:DP31))</f>
        <v>1</v>
      </c>
      <c r="K31" s="11" cm="1">
        <f t="array" ref="K31">MAX(IF($N$3:$DP$3=$J$3,N31:DP31))</f>
        <v>1</v>
      </c>
      <c r="L31" s="9"/>
      <c r="O31" s="10">
        <v>1</v>
      </c>
      <c r="P31" s="10">
        <v>0.5</v>
      </c>
      <c r="Q31" s="10"/>
      <c r="R31" s="10">
        <v>0.5</v>
      </c>
      <c r="V31" s="10"/>
      <c r="W31" s="10">
        <v>1</v>
      </c>
      <c r="X31" s="10"/>
      <c r="Y31" s="10">
        <v>1</v>
      </c>
      <c r="AC31" s="21"/>
      <c r="AD31" s="10">
        <v>1</v>
      </c>
      <c r="AE31" s="10"/>
      <c r="AF31" s="10">
        <v>1</v>
      </c>
      <c r="AJ31" s="10"/>
      <c r="AK31" s="10">
        <v>1</v>
      </c>
      <c r="AL31" s="10"/>
      <c r="AM31" s="10">
        <v>1</v>
      </c>
      <c r="AQ31" s="10"/>
      <c r="AR31" s="10">
        <v>1</v>
      </c>
      <c r="AS31" s="10"/>
      <c r="AT31" s="10">
        <v>1</v>
      </c>
      <c r="AX31" s="10"/>
      <c r="AY31" s="10">
        <v>1</v>
      </c>
      <c r="AZ31" s="10"/>
      <c r="BA31" s="10">
        <v>1</v>
      </c>
      <c r="BE31" s="10"/>
      <c r="BF31" s="10">
        <v>1</v>
      </c>
      <c r="BG31" s="10"/>
      <c r="BH31" s="10">
        <v>1</v>
      </c>
      <c r="BL31" s="10"/>
      <c r="BM31" s="10">
        <v>1</v>
      </c>
      <c r="BN31" s="10"/>
      <c r="BO31" s="10">
        <v>1</v>
      </c>
      <c r="BS31" s="10"/>
      <c r="BT31" s="10">
        <v>1</v>
      </c>
      <c r="BU31" s="21"/>
      <c r="BV31" s="10">
        <v>1</v>
      </c>
      <c r="BZ31" s="10"/>
      <c r="CA31" s="10">
        <v>1</v>
      </c>
      <c r="CB31" s="10"/>
      <c r="CC31" s="10">
        <v>1</v>
      </c>
      <c r="CG31" s="10"/>
      <c r="CH31" s="10">
        <v>1</v>
      </c>
      <c r="CI31" s="10"/>
      <c r="CJ31" s="10">
        <v>1</v>
      </c>
      <c r="CN31" s="10"/>
      <c r="CO31" s="10">
        <v>1</v>
      </c>
      <c r="CP31" s="10"/>
      <c r="CQ31" s="10">
        <v>1</v>
      </c>
      <c r="CU31" s="21"/>
      <c r="CV31" s="10">
        <v>1</v>
      </c>
      <c r="CW31" s="10"/>
      <c r="CX31" s="10">
        <v>1</v>
      </c>
      <c r="DB31" s="10"/>
      <c r="DC31" s="10">
        <v>1</v>
      </c>
      <c r="DD31" s="10"/>
      <c r="DE31" s="10">
        <v>1</v>
      </c>
      <c r="DI31" s="10"/>
      <c r="DJ31" s="10">
        <v>1</v>
      </c>
      <c r="DK31" s="10"/>
      <c r="DL31" s="10">
        <v>1</v>
      </c>
      <c r="DP31" s="21"/>
      <c r="DQ31" s="10">
        <v>1</v>
      </c>
      <c r="DR31" s="10"/>
      <c r="DS31" s="10">
        <v>1</v>
      </c>
    </row>
    <row r="32" spans="1:123" outlineLevel="1">
      <c r="A32">
        <v>12</v>
      </c>
      <c r="B32" t="s">
        <v>54</v>
      </c>
      <c r="C32" t="s">
        <v>78</v>
      </c>
      <c r="E32" s="9"/>
      <c r="F32" t="s">
        <v>80</v>
      </c>
      <c r="G32" s="10">
        <v>0.1</v>
      </c>
      <c r="I32" s="9">
        <f t="shared" si="2"/>
        <v>0</v>
      </c>
      <c r="J32" s="11" cm="1">
        <f t="array" ref="J32">MAX(IF($N$3:$DP$3=$J$3,N32:DP32))</f>
        <v>1</v>
      </c>
      <c r="K32" s="11" cm="1">
        <f t="array" ref="K32">MAX(IF($N$3:$DP$3=$J$3,N32:DP32))</f>
        <v>1</v>
      </c>
      <c r="L32" s="9"/>
      <c r="O32" s="10">
        <v>1</v>
      </c>
      <c r="P32" s="10">
        <v>0.5</v>
      </c>
      <c r="Q32" s="10"/>
      <c r="R32" s="10">
        <v>0.5</v>
      </c>
      <c r="V32" s="10"/>
      <c r="W32" s="10">
        <v>1</v>
      </c>
      <c r="X32" s="10"/>
      <c r="Y32" s="10">
        <v>1</v>
      </c>
      <c r="AC32" s="10"/>
      <c r="AD32" s="10">
        <v>1</v>
      </c>
      <c r="AE32" s="10"/>
      <c r="AF32" s="10">
        <v>1</v>
      </c>
      <c r="AJ32" s="10"/>
      <c r="AK32" s="10">
        <v>1</v>
      </c>
      <c r="AL32" s="10"/>
      <c r="AM32" s="10">
        <v>1</v>
      </c>
      <c r="AQ32" s="10"/>
      <c r="AR32" s="10">
        <v>1</v>
      </c>
      <c r="AS32" s="10"/>
      <c r="AT32" s="10">
        <v>1</v>
      </c>
      <c r="AX32" s="10"/>
      <c r="AY32" s="10">
        <v>1</v>
      </c>
      <c r="AZ32" s="10"/>
      <c r="BA32" s="10">
        <v>1</v>
      </c>
      <c r="BE32" s="10"/>
      <c r="BF32" s="10">
        <v>1</v>
      </c>
      <c r="BG32" s="10"/>
      <c r="BH32" s="10">
        <v>1</v>
      </c>
      <c r="BL32" s="10"/>
      <c r="BM32" s="10">
        <v>1</v>
      </c>
      <c r="BN32" s="10"/>
      <c r="BO32" s="10">
        <v>1</v>
      </c>
      <c r="BS32" s="10"/>
      <c r="BT32" s="10">
        <v>1</v>
      </c>
      <c r="BU32" s="10"/>
      <c r="BV32" s="10">
        <v>1</v>
      </c>
      <c r="BZ32" s="10"/>
      <c r="CA32" s="10">
        <v>1</v>
      </c>
      <c r="CB32" s="10"/>
      <c r="CC32" s="10">
        <v>1</v>
      </c>
      <c r="CG32" s="10"/>
      <c r="CH32" s="10">
        <v>1</v>
      </c>
      <c r="CI32" s="10"/>
      <c r="CJ32" s="10">
        <v>1</v>
      </c>
      <c r="CN32" s="10"/>
      <c r="CO32" s="10">
        <v>1</v>
      </c>
      <c r="CP32" s="10"/>
      <c r="CQ32" s="10">
        <v>1</v>
      </c>
      <c r="CU32" s="10"/>
      <c r="CV32" s="10">
        <v>1</v>
      </c>
      <c r="CW32" s="10"/>
      <c r="CX32" s="10">
        <v>1</v>
      </c>
      <c r="DB32" s="10"/>
      <c r="DC32" s="10">
        <v>1</v>
      </c>
      <c r="DD32" s="10"/>
      <c r="DE32" s="10">
        <v>1</v>
      </c>
      <c r="DI32" s="10"/>
      <c r="DJ32" s="10">
        <v>1</v>
      </c>
      <c r="DK32" s="10"/>
      <c r="DL32" s="10">
        <v>1</v>
      </c>
      <c r="DP32" s="10"/>
      <c r="DQ32" s="10">
        <v>1</v>
      </c>
      <c r="DR32" s="10"/>
      <c r="DS32" s="10">
        <v>1</v>
      </c>
    </row>
    <row r="33" spans="1:123" outlineLevel="1">
      <c r="A33">
        <v>13</v>
      </c>
      <c r="B33" t="s">
        <v>54</v>
      </c>
      <c r="C33" s="2" t="s">
        <v>78</v>
      </c>
      <c r="E33" s="9"/>
      <c r="F33" t="s">
        <v>81</v>
      </c>
      <c r="G33" s="10">
        <v>0.1</v>
      </c>
      <c r="I33" s="9">
        <f t="shared" si="2"/>
        <v>0</v>
      </c>
      <c r="J33" s="11" cm="1">
        <f t="array" ref="J33">MAX(IF($N$3:$DP$3=$J$3,N33:DP33))</f>
        <v>1</v>
      </c>
      <c r="K33" s="11" cm="1">
        <f t="array" ref="K33">MAX(IF($N$3:$DP$3=$J$3,N33:DP33))</f>
        <v>1</v>
      </c>
      <c r="L33" s="9"/>
      <c r="O33" s="10">
        <v>1</v>
      </c>
      <c r="P33" s="10">
        <v>0.5</v>
      </c>
      <c r="Q33" s="10"/>
      <c r="R33" s="10">
        <v>0.5</v>
      </c>
      <c r="V33" s="10"/>
      <c r="W33" s="10">
        <v>1</v>
      </c>
      <c r="X33" s="10"/>
      <c r="Y33" s="10">
        <v>1</v>
      </c>
      <c r="AC33" s="10"/>
      <c r="AD33" s="10">
        <v>1</v>
      </c>
      <c r="AE33" s="10"/>
      <c r="AF33" s="10">
        <v>1</v>
      </c>
      <c r="AJ33" s="10"/>
      <c r="AK33" s="10">
        <v>1</v>
      </c>
      <c r="AL33" s="10"/>
      <c r="AM33" s="10">
        <v>1</v>
      </c>
      <c r="AQ33" s="10"/>
      <c r="AR33" s="10">
        <v>1</v>
      </c>
      <c r="AS33" s="10"/>
      <c r="AT33" s="10">
        <v>1</v>
      </c>
      <c r="AX33" s="10"/>
      <c r="AY33" s="10">
        <v>1</v>
      </c>
      <c r="AZ33" s="10"/>
      <c r="BA33" s="10">
        <v>1</v>
      </c>
      <c r="BE33" s="10"/>
      <c r="BF33" s="10">
        <v>1</v>
      </c>
      <c r="BG33" s="10"/>
      <c r="BH33" s="10">
        <v>1</v>
      </c>
      <c r="BL33" s="10"/>
      <c r="BM33" s="10">
        <v>1</v>
      </c>
      <c r="BN33" s="10"/>
      <c r="BO33" s="10">
        <v>1</v>
      </c>
      <c r="BS33" s="10"/>
      <c r="BT33" s="10">
        <v>1</v>
      </c>
      <c r="BU33" s="10"/>
      <c r="BV33" s="10">
        <v>1</v>
      </c>
      <c r="BZ33" s="10"/>
      <c r="CA33" s="10">
        <v>1</v>
      </c>
      <c r="CB33" s="10"/>
      <c r="CC33" s="10">
        <v>1</v>
      </c>
      <c r="CG33" s="10"/>
      <c r="CH33" s="10">
        <v>1</v>
      </c>
      <c r="CI33" s="10"/>
      <c r="CJ33" s="10">
        <v>1</v>
      </c>
      <c r="CN33" s="10"/>
      <c r="CO33" s="10">
        <v>1</v>
      </c>
      <c r="CP33" s="10"/>
      <c r="CQ33" s="10">
        <v>1</v>
      </c>
      <c r="CU33" s="10"/>
      <c r="CV33" s="10">
        <v>1</v>
      </c>
      <c r="CW33" s="10"/>
      <c r="CX33" s="10">
        <v>1</v>
      </c>
      <c r="DB33" s="10"/>
      <c r="DC33" s="10">
        <v>1</v>
      </c>
      <c r="DD33" s="10"/>
      <c r="DE33" s="10">
        <v>1</v>
      </c>
      <c r="DI33" s="10"/>
      <c r="DJ33" s="10">
        <v>1</v>
      </c>
      <c r="DK33" s="10"/>
      <c r="DL33" s="10">
        <v>1</v>
      </c>
      <c r="DP33" s="10"/>
      <c r="DQ33" s="10">
        <v>1</v>
      </c>
      <c r="DR33" s="10"/>
      <c r="DS33" s="10">
        <v>1</v>
      </c>
    </row>
    <row r="34" spans="1:123" outlineLevel="1">
      <c r="B34" t="s">
        <v>54</v>
      </c>
      <c r="C34" s="2" t="s">
        <v>78</v>
      </c>
      <c r="E34" s="9"/>
      <c r="F34" t="s">
        <v>82</v>
      </c>
      <c r="G34" s="10">
        <v>0.1</v>
      </c>
      <c r="I34" s="9">
        <f t="shared" si="2"/>
        <v>0</v>
      </c>
      <c r="J34" s="11" cm="1">
        <f t="array" ref="J34">MAX(IF($N$3:$DP$3=$J$3,N34:DP34))</f>
        <v>1</v>
      </c>
      <c r="K34" s="11" cm="1">
        <f t="array" ref="K34">MAX(IF($N$3:$DP$3=$J$3,N34:DP34))</f>
        <v>1</v>
      </c>
      <c r="L34" s="9"/>
      <c r="O34" s="10">
        <v>1</v>
      </c>
      <c r="P34" s="10">
        <v>0.5</v>
      </c>
      <c r="Q34" s="10"/>
      <c r="R34" s="10">
        <v>0.5</v>
      </c>
      <c r="V34" s="10"/>
      <c r="W34" s="10">
        <v>1</v>
      </c>
      <c r="X34" s="10"/>
      <c r="Y34" s="10">
        <v>1</v>
      </c>
      <c r="AC34" s="10"/>
      <c r="AD34" s="10">
        <v>1</v>
      </c>
      <c r="AE34" s="10"/>
      <c r="AF34" s="10">
        <v>1</v>
      </c>
      <c r="AJ34" s="10"/>
      <c r="AK34" s="10">
        <v>1</v>
      </c>
      <c r="AL34" s="10"/>
      <c r="AM34" s="10">
        <v>1</v>
      </c>
      <c r="AQ34" s="10"/>
      <c r="AR34" s="10">
        <v>1</v>
      </c>
      <c r="AS34" s="10"/>
      <c r="AT34" s="10">
        <v>1</v>
      </c>
      <c r="AX34" s="10"/>
      <c r="AY34" s="10">
        <v>1</v>
      </c>
      <c r="AZ34" s="10"/>
      <c r="BA34" s="10">
        <v>1</v>
      </c>
      <c r="BE34" s="10"/>
      <c r="BF34" s="10">
        <v>1</v>
      </c>
      <c r="BG34" s="10"/>
      <c r="BH34" s="10">
        <v>1</v>
      </c>
      <c r="BL34" s="10"/>
      <c r="BM34" s="10">
        <v>1</v>
      </c>
      <c r="BN34" s="10"/>
      <c r="BO34" s="10">
        <v>1</v>
      </c>
      <c r="BS34" s="10"/>
      <c r="BT34" s="10">
        <v>1</v>
      </c>
      <c r="BU34" s="10"/>
      <c r="BV34" s="10">
        <v>1</v>
      </c>
      <c r="BZ34" s="10"/>
      <c r="CA34" s="10">
        <v>1</v>
      </c>
      <c r="CB34" s="10"/>
      <c r="CC34" s="10">
        <v>1</v>
      </c>
      <c r="CG34" s="10"/>
      <c r="CH34" s="10">
        <v>1</v>
      </c>
      <c r="CI34" s="10"/>
      <c r="CJ34" s="10">
        <v>1</v>
      </c>
      <c r="CN34" s="10"/>
      <c r="CO34" s="10">
        <v>1</v>
      </c>
      <c r="CP34" s="10"/>
      <c r="CQ34" s="10">
        <v>1</v>
      </c>
      <c r="CU34" s="10"/>
      <c r="CV34" s="10">
        <v>1</v>
      </c>
      <c r="CW34" s="10"/>
      <c r="CX34" s="10">
        <v>1</v>
      </c>
      <c r="DB34" s="10"/>
      <c r="DC34" s="10">
        <v>1</v>
      </c>
      <c r="DD34" s="10"/>
      <c r="DE34" s="10">
        <v>1</v>
      </c>
      <c r="DI34" s="10"/>
      <c r="DJ34" s="10">
        <v>1</v>
      </c>
      <c r="DK34" s="10"/>
      <c r="DL34" s="10">
        <v>1</v>
      </c>
      <c r="DP34" s="10"/>
      <c r="DQ34" s="10">
        <v>1</v>
      </c>
      <c r="DR34" s="10"/>
      <c r="DS34" s="10">
        <v>1</v>
      </c>
    </row>
    <row r="35" spans="1:123" outlineLevel="1">
      <c r="B35" t="s">
        <v>54</v>
      </c>
      <c r="C35" s="2" t="s">
        <v>78</v>
      </c>
      <c r="E35" s="9"/>
      <c r="F35" t="s">
        <v>83</v>
      </c>
      <c r="G35" s="10">
        <v>0.1</v>
      </c>
      <c r="I35" s="9">
        <f t="shared" si="2"/>
        <v>0</v>
      </c>
      <c r="J35" s="11" cm="1">
        <f t="array" ref="J35">MAX(IF($N$3:$DP$3=$J$3,N35:DP35))</f>
        <v>1</v>
      </c>
      <c r="K35" s="11" cm="1">
        <f t="array" ref="K35">MAX(IF($N$3:$DP$3=$J$3,N35:DP35))</f>
        <v>1</v>
      </c>
      <c r="L35" s="9"/>
      <c r="M35">
        <v>5</v>
      </c>
      <c r="O35" s="10">
        <v>1</v>
      </c>
      <c r="P35" s="10"/>
      <c r="Q35" s="10"/>
      <c r="R35" s="10"/>
      <c r="V35" s="10"/>
      <c r="W35" s="10">
        <v>1</v>
      </c>
      <c r="X35" s="10"/>
      <c r="Y35" s="10">
        <v>1</v>
      </c>
      <c r="AC35" s="10"/>
      <c r="AD35" s="10">
        <v>1</v>
      </c>
      <c r="AE35" s="10"/>
      <c r="AF35" s="10">
        <v>1</v>
      </c>
      <c r="AJ35" s="10"/>
      <c r="AK35" s="10">
        <v>1</v>
      </c>
      <c r="AL35" s="10"/>
      <c r="AM35" s="10">
        <v>1</v>
      </c>
      <c r="AQ35" s="10"/>
      <c r="AR35" s="10">
        <v>1</v>
      </c>
      <c r="AS35" s="10"/>
      <c r="AT35" s="10">
        <v>1</v>
      </c>
      <c r="AX35" s="10"/>
      <c r="AY35" s="10">
        <v>1</v>
      </c>
      <c r="AZ35" s="10"/>
      <c r="BA35" s="10">
        <v>1</v>
      </c>
      <c r="BE35" s="10"/>
      <c r="BF35" s="10">
        <v>1</v>
      </c>
      <c r="BG35" s="10"/>
      <c r="BH35" s="10">
        <v>1</v>
      </c>
      <c r="BL35" s="10"/>
      <c r="BM35" s="10">
        <v>1</v>
      </c>
      <c r="BN35" s="10"/>
      <c r="BO35" s="10">
        <v>1</v>
      </c>
      <c r="BS35" s="10"/>
      <c r="BT35" s="10">
        <v>1</v>
      </c>
      <c r="BU35" s="10"/>
      <c r="BV35" s="10">
        <v>1</v>
      </c>
      <c r="BZ35" s="10"/>
      <c r="CA35" s="10">
        <v>1</v>
      </c>
      <c r="CB35" s="10"/>
      <c r="CC35" s="10">
        <v>1</v>
      </c>
      <c r="CG35" s="10"/>
      <c r="CH35" s="10">
        <v>1</v>
      </c>
      <c r="CI35" s="10"/>
      <c r="CJ35" s="10">
        <v>1</v>
      </c>
      <c r="CN35" s="10"/>
      <c r="CO35" s="10">
        <v>1</v>
      </c>
      <c r="CP35" s="10"/>
      <c r="CQ35" s="10">
        <v>1</v>
      </c>
      <c r="CU35" s="10"/>
      <c r="CV35" s="10">
        <v>1</v>
      </c>
      <c r="CW35" s="10"/>
      <c r="CX35" s="10">
        <v>1</v>
      </c>
      <c r="DB35" s="10"/>
      <c r="DC35" s="10">
        <v>1</v>
      </c>
      <c r="DD35" s="10"/>
      <c r="DE35" s="10">
        <v>1</v>
      </c>
      <c r="DI35" s="10"/>
      <c r="DJ35" s="10">
        <v>1</v>
      </c>
      <c r="DK35" s="10"/>
      <c r="DL35" s="10">
        <v>1</v>
      </c>
      <c r="DP35" s="10"/>
      <c r="DQ35" s="10">
        <v>1</v>
      </c>
      <c r="DR35" s="10"/>
      <c r="DS35" s="10">
        <v>1</v>
      </c>
    </row>
    <row r="36" spans="1:123" outlineLevel="1">
      <c r="B36" t="s">
        <v>54</v>
      </c>
      <c r="C36" s="2" t="s">
        <v>78</v>
      </c>
      <c r="E36" s="9"/>
      <c r="F36" t="s">
        <v>84</v>
      </c>
      <c r="G36" s="10">
        <v>0.1</v>
      </c>
      <c r="I36" s="9">
        <f t="shared" si="2"/>
        <v>0</v>
      </c>
      <c r="J36" s="11" cm="1">
        <f t="array" ref="J36">MAX(IF($N$3:$DP$3=$J$3,N36:DP36))</f>
        <v>1</v>
      </c>
      <c r="K36" s="11" cm="1">
        <f t="array" ref="K36">MAX(IF($N$3:$DP$3=$J$3,N36:DP36))</f>
        <v>1</v>
      </c>
      <c r="L36" s="9"/>
      <c r="O36" s="10">
        <v>1</v>
      </c>
      <c r="P36" s="10"/>
      <c r="Q36" s="10"/>
      <c r="R36" s="10"/>
      <c r="V36" s="10"/>
      <c r="W36" s="10">
        <v>1</v>
      </c>
      <c r="X36" s="10"/>
      <c r="Y36" s="10">
        <v>1</v>
      </c>
      <c r="AC36" s="10"/>
      <c r="AD36" s="10">
        <v>1</v>
      </c>
      <c r="AE36" s="10"/>
      <c r="AF36" s="10">
        <v>1</v>
      </c>
      <c r="AJ36" s="10"/>
      <c r="AK36" s="10">
        <v>1</v>
      </c>
      <c r="AL36" s="10"/>
      <c r="AM36" s="10">
        <v>1</v>
      </c>
      <c r="AQ36" s="10"/>
      <c r="AR36" s="10">
        <v>1</v>
      </c>
      <c r="AS36" s="10"/>
      <c r="AT36" s="10">
        <v>1</v>
      </c>
      <c r="AX36" s="10"/>
      <c r="AY36" s="10">
        <v>1</v>
      </c>
      <c r="AZ36" s="10"/>
      <c r="BA36" s="10">
        <v>1</v>
      </c>
      <c r="BE36" s="10"/>
      <c r="BF36" s="10">
        <v>1</v>
      </c>
      <c r="BG36" s="10"/>
      <c r="BH36" s="10">
        <v>1</v>
      </c>
      <c r="BL36" s="10"/>
      <c r="BM36" s="10">
        <v>1</v>
      </c>
      <c r="BN36" s="10"/>
      <c r="BO36" s="10">
        <v>1</v>
      </c>
      <c r="BS36" s="10"/>
      <c r="BT36" s="10">
        <v>1</v>
      </c>
      <c r="BU36" s="10"/>
      <c r="BV36" s="10">
        <v>1</v>
      </c>
      <c r="BZ36" s="10"/>
      <c r="CA36" s="10">
        <v>1</v>
      </c>
      <c r="CB36" s="10"/>
      <c r="CC36" s="10">
        <v>1</v>
      </c>
      <c r="CG36" s="10"/>
      <c r="CH36" s="10">
        <v>1</v>
      </c>
      <c r="CI36" s="10"/>
      <c r="CJ36" s="10">
        <v>1</v>
      </c>
      <c r="CN36" s="10"/>
      <c r="CO36" s="10">
        <v>1</v>
      </c>
      <c r="CP36" s="10"/>
      <c r="CQ36" s="10">
        <v>1</v>
      </c>
      <c r="CU36" s="10"/>
      <c r="CV36" s="10">
        <v>1</v>
      </c>
      <c r="CW36" s="10"/>
      <c r="CX36" s="10">
        <v>1</v>
      </c>
      <c r="DB36" s="10"/>
      <c r="DC36" s="10">
        <v>1</v>
      </c>
      <c r="DD36" s="10"/>
      <c r="DE36" s="10">
        <v>1</v>
      </c>
      <c r="DI36" s="10"/>
      <c r="DJ36" s="10">
        <v>1</v>
      </c>
      <c r="DK36" s="10"/>
      <c r="DL36" s="10">
        <v>1</v>
      </c>
      <c r="DP36" s="10"/>
      <c r="DQ36" s="10">
        <v>1</v>
      </c>
      <c r="DR36" s="10"/>
      <c r="DS36" s="10">
        <v>1</v>
      </c>
    </row>
    <row r="37" spans="1:123" outlineLevel="1">
      <c r="B37" t="s">
        <v>54</v>
      </c>
      <c r="C37" s="2" t="s">
        <v>78</v>
      </c>
      <c r="E37" s="9"/>
      <c r="F37" t="s">
        <v>85</v>
      </c>
      <c r="G37" s="10">
        <v>0.1</v>
      </c>
      <c r="I37" s="9">
        <f t="shared" si="2"/>
        <v>0</v>
      </c>
      <c r="J37" s="11" cm="1">
        <f t="array" ref="J37">MAX(IF($N$3:$DP$3=$J$3,N37:DP37))</f>
        <v>1</v>
      </c>
      <c r="K37" s="11" cm="1">
        <f t="array" ref="K37">MAX(IF($N$3:$DP$3=$J$3,N37:DP37))</f>
        <v>1</v>
      </c>
      <c r="L37" s="9"/>
      <c r="O37" s="10">
        <v>1</v>
      </c>
      <c r="P37" s="10"/>
      <c r="Q37" s="10"/>
      <c r="R37" s="10"/>
      <c r="V37" s="10"/>
      <c r="W37" s="10">
        <v>1</v>
      </c>
      <c r="X37" s="10"/>
      <c r="Y37" s="10">
        <v>1</v>
      </c>
      <c r="AC37" s="10"/>
      <c r="AD37" s="10">
        <v>1</v>
      </c>
      <c r="AE37" s="10"/>
      <c r="AF37" s="10">
        <v>1</v>
      </c>
      <c r="AJ37" s="10"/>
      <c r="AK37" s="10">
        <v>1</v>
      </c>
      <c r="AL37" s="10"/>
      <c r="AM37" s="10">
        <v>1</v>
      </c>
      <c r="AQ37" s="10"/>
      <c r="AR37" s="10">
        <v>1</v>
      </c>
      <c r="AS37" s="10"/>
      <c r="AT37" s="10">
        <v>1</v>
      </c>
      <c r="AX37" s="10"/>
      <c r="AY37" s="10">
        <v>1</v>
      </c>
      <c r="AZ37" s="10"/>
      <c r="BA37" s="10">
        <v>1</v>
      </c>
      <c r="BE37" s="10"/>
      <c r="BF37" s="10">
        <v>1</v>
      </c>
      <c r="BG37" s="10"/>
      <c r="BH37" s="10">
        <v>1</v>
      </c>
      <c r="BL37" s="10"/>
      <c r="BM37" s="10">
        <v>1</v>
      </c>
      <c r="BN37" s="10"/>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v>1</v>
      </c>
      <c r="CW37" s="10"/>
      <c r="CX37" s="10">
        <v>1</v>
      </c>
      <c r="DB37" s="10"/>
      <c r="DC37" s="10">
        <v>1</v>
      </c>
      <c r="DD37" s="10"/>
      <c r="DE37" s="10">
        <v>1</v>
      </c>
      <c r="DI37" s="10"/>
      <c r="DJ37" s="10">
        <v>1</v>
      </c>
      <c r="DK37" s="10"/>
      <c r="DL37" s="10">
        <v>1</v>
      </c>
      <c r="DP37" s="10"/>
      <c r="DQ37" s="10">
        <v>1</v>
      </c>
      <c r="DR37" s="10"/>
      <c r="DS37" s="10">
        <v>1</v>
      </c>
    </row>
    <row r="38" spans="1:123" outlineLevel="1">
      <c r="B38" t="s">
        <v>54</v>
      </c>
      <c r="C38" s="2" t="s">
        <v>78</v>
      </c>
      <c r="E38" s="9"/>
      <c r="F38" t="s">
        <v>86</v>
      </c>
      <c r="G38" s="10">
        <v>0.1</v>
      </c>
      <c r="I38" s="9">
        <f t="shared" si="2"/>
        <v>0</v>
      </c>
      <c r="J38" s="11" cm="1">
        <f t="array" ref="J38">MAX(IF($N$3:$DP$3=$J$3,N38:DP38))</f>
        <v>1</v>
      </c>
      <c r="K38" s="11" cm="1">
        <f t="array" ref="K38">MAX(IF($N$3:$DP$3=$J$3,N38:DP38))</f>
        <v>1</v>
      </c>
      <c r="L38" s="9"/>
      <c r="O38" s="10">
        <v>1</v>
      </c>
      <c r="P38" s="10"/>
      <c r="Q38" s="10"/>
      <c r="R38" s="10"/>
      <c r="V38" s="10"/>
      <c r="W38" s="10">
        <v>1</v>
      </c>
      <c r="X38" s="10"/>
      <c r="Y38" s="10">
        <v>1</v>
      </c>
      <c r="AC38" s="10"/>
      <c r="AD38" s="10">
        <v>1</v>
      </c>
      <c r="AE38" s="10"/>
      <c r="AF38" s="10">
        <v>1</v>
      </c>
      <c r="AJ38" s="10"/>
      <c r="AK38" s="10">
        <v>1</v>
      </c>
      <c r="AL38" s="10"/>
      <c r="AM38" s="10">
        <v>1</v>
      </c>
      <c r="AQ38" s="10"/>
      <c r="AR38" s="10">
        <v>1</v>
      </c>
      <c r="AS38" s="10"/>
      <c r="AT38" s="10">
        <v>1</v>
      </c>
      <c r="AX38" s="10"/>
      <c r="AY38" s="10">
        <v>1</v>
      </c>
      <c r="AZ38" s="10"/>
      <c r="BA38" s="10">
        <v>1</v>
      </c>
      <c r="BE38" s="10"/>
      <c r="BF38" s="10">
        <v>1</v>
      </c>
      <c r="BG38" s="10"/>
      <c r="BH38" s="10">
        <v>1</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v>1</v>
      </c>
      <c r="DD38" s="10"/>
      <c r="DE38" s="10">
        <v>1</v>
      </c>
      <c r="DI38" s="10"/>
      <c r="DJ38" s="10">
        <v>1</v>
      </c>
      <c r="DK38" s="10"/>
      <c r="DL38" s="10">
        <v>1</v>
      </c>
      <c r="DP38" s="10"/>
      <c r="DQ38" s="10">
        <v>1</v>
      </c>
      <c r="DR38" s="10"/>
      <c r="DS38" s="10">
        <v>1</v>
      </c>
    </row>
    <row r="39" spans="1:123" outlineLevel="1">
      <c r="B39" t="s">
        <v>54</v>
      </c>
      <c r="C39" s="2" t="s">
        <v>78</v>
      </c>
      <c r="E39" s="9"/>
      <c r="F39" t="s">
        <v>87</v>
      </c>
      <c r="G39" s="10">
        <v>0.1</v>
      </c>
      <c r="I39" s="9">
        <f t="shared" si="2"/>
        <v>0</v>
      </c>
      <c r="J39" s="11" cm="1">
        <f t="array" ref="J39">MAX(IF($N$3:$DP$3=$J$3,N39:DP39))</f>
        <v>0.8</v>
      </c>
      <c r="K39" s="11" cm="1">
        <f t="array" ref="K39">MAX(IF($N$3:$DP$3=$J$3,N39:DP39))</f>
        <v>0.8</v>
      </c>
      <c r="L39" s="9"/>
      <c r="O39" s="10">
        <v>0.8</v>
      </c>
      <c r="P39" s="10"/>
      <c r="Q39" s="10"/>
      <c r="R39" s="10"/>
      <c r="V39" s="10"/>
      <c r="W39" s="10">
        <v>0.8</v>
      </c>
      <c r="X39" s="10"/>
      <c r="Y39" s="10">
        <v>0.8</v>
      </c>
      <c r="AC39" s="10"/>
      <c r="AD39" s="10">
        <v>0.8</v>
      </c>
      <c r="AE39" s="10"/>
      <c r="AF39" s="10">
        <v>0.8</v>
      </c>
      <c r="AJ39" s="10"/>
      <c r="AK39" s="10">
        <v>0.8</v>
      </c>
      <c r="AL39" s="21"/>
      <c r="AM39" s="10">
        <v>0.8</v>
      </c>
      <c r="AQ39" s="10"/>
      <c r="AR39" s="10">
        <v>0.8</v>
      </c>
      <c r="AS39" s="10"/>
      <c r="AT39" s="10">
        <v>0.8</v>
      </c>
      <c r="AX39" s="10"/>
      <c r="AY39" s="10">
        <v>0.8</v>
      </c>
      <c r="AZ39" s="10"/>
      <c r="BA39" s="10">
        <v>0.8</v>
      </c>
      <c r="BE39" s="10"/>
      <c r="BF39" s="10">
        <v>0.8</v>
      </c>
      <c r="BG39" s="10"/>
      <c r="BH39" s="10">
        <v>0.8</v>
      </c>
      <c r="BL39" s="10"/>
      <c r="BM39" s="10">
        <v>0.8</v>
      </c>
      <c r="BN39" s="10"/>
      <c r="BO39" s="10">
        <v>0.8</v>
      </c>
      <c r="BS39" s="10"/>
      <c r="BT39" s="10">
        <v>1</v>
      </c>
      <c r="BU39" s="10"/>
      <c r="BV39" s="10">
        <v>1</v>
      </c>
      <c r="BZ39" s="21"/>
      <c r="CA39" s="10">
        <v>1</v>
      </c>
      <c r="CB39" s="10"/>
      <c r="CC39" s="10">
        <v>1</v>
      </c>
      <c r="CG39" s="10"/>
      <c r="CH39" s="10">
        <v>1</v>
      </c>
      <c r="CI39" s="10"/>
      <c r="CJ39" s="10">
        <v>1</v>
      </c>
      <c r="CN39" s="10"/>
      <c r="CO39" s="10">
        <v>1</v>
      </c>
      <c r="CP39" s="10"/>
      <c r="CQ39" s="10">
        <v>1</v>
      </c>
      <c r="CU39" s="10"/>
      <c r="CV39" s="10">
        <v>1</v>
      </c>
      <c r="CW39" s="10"/>
      <c r="CX39" s="10">
        <v>1</v>
      </c>
      <c r="DB39" s="10"/>
      <c r="DC39" s="10">
        <v>1</v>
      </c>
      <c r="DD39" s="10"/>
      <c r="DE39" s="10">
        <v>1</v>
      </c>
      <c r="DI39" s="10"/>
      <c r="DJ39" s="10">
        <v>1</v>
      </c>
      <c r="DK39" s="10"/>
      <c r="DL39" s="10">
        <v>1</v>
      </c>
      <c r="DP39" s="10"/>
      <c r="DQ39" s="10">
        <v>1</v>
      </c>
      <c r="DR39" s="10"/>
      <c r="DS39" s="10">
        <v>1</v>
      </c>
    </row>
    <row r="40" spans="1:123" outlineLevel="1">
      <c r="B40" t="s">
        <v>54</v>
      </c>
      <c r="C40" s="2" t="s">
        <v>78</v>
      </c>
      <c r="E40" s="9"/>
      <c r="F40" t="s">
        <v>88</v>
      </c>
      <c r="G40" s="10">
        <v>0.1</v>
      </c>
      <c r="I40" s="9">
        <f t="shared" si="2"/>
        <v>0</v>
      </c>
      <c r="J40" s="11" cm="1">
        <f t="array" ref="J40">MAX(IF($N$3:$DP$3=$J$3,N40:DP40))</f>
        <v>0.5</v>
      </c>
      <c r="K40" s="11" cm="1">
        <f t="array" ref="K40">MAX(IF($N$3:$DP$3=$J$3,N40:DP40))</f>
        <v>0.5</v>
      </c>
      <c r="L40" s="9"/>
      <c r="N40" s="12">
        <f>+SUM(N41:N50)</f>
        <v>0</v>
      </c>
      <c r="O40" s="10">
        <v>0.5</v>
      </c>
      <c r="P40" s="10"/>
      <c r="Q40" s="10"/>
      <c r="R40" s="10"/>
      <c r="V40" s="10"/>
      <c r="W40" s="10">
        <v>0.5</v>
      </c>
      <c r="X40" s="10"/>
      <c r="Y40" s="10">
        <v>0.5</v>
      </c>
      <c r="AC40" s="10"/>
      <c r="AD40" s="10">
        <v>0.5</v>
      </c>
      <c r="AE40" s="10"/>
      <c r="AF40" s="10">
        <v>0.5</v>
      </c>
      <c r="AJ40" s="10"/>
      <c r="AK40" s="10">
        <v>0.5</v>
      </c>
      <c r="AL40" s="10"/>
      <c r="AM40" s="10">
        <v>0.5</v>
      </c>
      <c r="AQ40" s="10"/>
      <c r="AR40" s="10">
        <v>0.8</v>
      </c>
      <c r="AS40" s="10"/>
      <c r="AT40" s="10">
        <v>0.8</v>
      </c>
      <c r="AX40" s="10"/>
      <c r="AY40" s="10">
        <v>0.8</v>
      </c>
      <c r="AZ40" s="10"/>
      <c r="BA40" s="10">
        <v>0.8</v>
      </c>
      <c r="BE40" s="10"/>
      <c r="BF40" s="10">
        <v>0.8</v>
      </c>
      <c r="BG40" s="10"/>
      <c r="BH40" s="10">
        <v>0.8</v>
      </c>
      <c r="BL40" s="10"/>
      <c r="BM40" s="10">
        <v>0.8</v>
      </c>
      <c r="BN40" s="10"/>
      <c r="BO40" s="10">
        <v>0.8</v>
      </c>
      <c r="BS40" s="10"/>
      <c r="BT40" s="10">
        <v>0.8</v>
      </c>
      <c r="BU40" s="10"/>
      <c r="BV40" s="10">
        <v>0.8</v>
      </c>
      <c r="BZ40" s="10"/>
      <c r="CA40" s="10">
        <v>0.8</v>
      </c>
      <c r="CB40" s="10"/>
      <c r="CC40" s="10">
        <v>0.8</v>
      </c>
      <c r="CG40" s="10"/>
      <c r="CH40" s="10">
        <v>0.8</v>
      </c>
      <c r="CI40" s="10"/>
      <c r="CJ40" s="10">
        <v>0.8</v>
      </c>
      <c r="CN40" s="10"/>
      <c r="CO40" s="10">
        <v>1</v>
      </c>
      <c r="CP40" s="10"/>
      <c r="CQ40" s="10">
        <v>1</v>
      </c>
      <c r="CU40" s="10"/>
      <c r="CV40" s="10">
        <v>1</v>
      </c>
      <c r="CW40" s="10"/>
      <c r="CX40" s="10">
        <v>1</v>
      </c>
      <c r="DB40" s="10"/>
      <c r="DC40" s="10">
        <v>1</v>
      </c>
      <c r="DD40" s="10"/>
      <c r="DE40" s="10">
        <v>1</v>
      </c>
      <c r="DI40" s="10"/>
      <c r="DJ40" s="10">
        <v>1</v>
      </c>
      <c r="DK40" s="10"/>
      <c r="DL40" s="10">
        <v>1</v>
      </c>
      <c r="DP40" s="10"/>
      <c r="DQ40" s="10">
        <v>1</v>
      </c>
      <c r="DR40" s="10"/>
      <c r="DS40" s="10">
        <v>1</v>
      </c>
    </row>
    <row r="41" spans="1:123" outlineLevel="1">
      <c r="B41" t="s">
        <v>54</v>
      </c>
      <c r="C41" s="2" t="s">
        <v>78</v>
      </c>
      <c r="E41" s="9"/>
      <c r="F41" t="s">
        <v>89</v>
      </c>
      <c r="G41" s="10">
        <v>0.1</v>
      </c>
      <c r="I41" s="9">
        <f t="shared" si="2"/>
        <v>0</v>
      </c>
      <c r="J41" s="11" cm="1">
        <f t="array" ref="J41">MAX(IF($N$3:$DP$3=$J$3,N41:DP41))</f>
        <v>0</v>
      </c>
      <c r="K41" s="11" cm="1">
        <f t="array" ref="K41">MAX(IF($N$3:$DP$3=$J$3,N41:DP41))</f>
        <v>0</v>
      </c>
      <c r="L41" s="9"/>
      <c r="O41" s="10"/>
      <c r="P41" s="10"/>
      <c r="Q41" s="10"/>
      <c r="R41" s="10"/>
      <c r="V41" s="10"/>
      <c r="W41" s="10">
        <v>0.5</v>
      </c>
      <c r="X41" s="10"/>
      <c r="Y41" s="10">
        <v>0.5</v>
      </c>
      <c r="AC41" s="10"/>
      <c r="AD41" s="10">
        <v>0.5</v>
      </c>
      <c r="AE41" s="10"/>
      <c r="AF41" s="10">
        <v>0.5</v>
      </c>
      <c r="AJ41" s="10"/>
      <c r="AK41" s="10">
        <v>0.5</v>
      </c>
      <c r="AL41" s="10"/>
      <c r="AM41" s="10">
        <v>0.5</v>
      </c>
      <c r="AQ41" s="10"/>
      <c r="AR41" s="10">
        <v>0.5</v>
      </c>
      <c r="AS41" s="10"/>
      <c r="AT41" s="10">
        <v>0.5</v>
      </c>
      <c r="AX41" s="10"/>
      <c r="AY41" s="10">
        <v>0.8</v>
      </c>
      <c r="AZ41" s="10"/>
      <c r="BA41" s="10">
        <v>0.8</v>
      </c>
      <c r="BE41" s="10"/>
      <c r="BF41" s="10">
        <v>0.8</v>
      </c>
      <c r="BG41" s="10"/>
      <c r="BH41" s="10">
        <v>0.8</v>
      </c>
      <c r="BL41" s="10"/>
      <c r="BM41" s="10">
        <v>0.8</v>
      </c>
      <c r="BN41" s="10"/>
      <c r="BO41" s="10">
        <v>0.8</v>
      </c>
      <c r="BS41" s="10"/>
      <c r="BT41" s="10">
        <v>0.8</v>
      </c>
      <c r="BU41" s="10"/>
      <c r="BV41" s="10">
        <v>0.8</v>
      </c>
      <c r="BZ41" s="10"/>
      <c r="CA41" s="10">
        <v>0.8</v>
      </c>
      <c r="CB41" s="10"/>
      <c r="CC41" s="10">
        <v>0.8</v>
      </c>
      <c r="CG41" s="10"/>
      <c r="CH41" s="10">
        <v>0.8</v>
      </c>
      <c r="CI41" s="10"/>
      <c r="CJ41" s="10">
        <v>0.8</v>
      </c>
      <c r="CN41" s="10"/>
      <c r="CO41" s="10">
        <v>1</v>
      </c>
      <c r="CP41" s="10"/>
      <c r="CQ41" s="10">
        <v>1</v>
      </c>
      <c r="CU41" s="10"/>
      <c r="CV41" s="10">
        <v>1</v>
      </c>
      <c r="CW41" s="10"/>
      <c r="CX41" s="10">
        <v>1</v>
      </c>
      <c r="DB41" s="10"/>
      <c r="DC41" s="10">
        <v>1</v>
      </c>
      <c r="DD41" s="10"/>
      <c r="DE41" s="10">
        <v>1</v>
      </c>
      <c r="DI41" s="10"/>
      <c r="DJ41" s="10">
        <v>1</v>
      </c>
      <c r="DK41" s="10"/>
      <c r="DL41" s="10">
        <v>1</v>
      </c>
      <c r="DP41" s="10"/>
      <c r="DQ41" s="10">
        <v>1</v>
      </c>
      <c r="DR41" s="10"/>
      <c r="DS41" s="10">
        <v>1</v>
      </c>
    </row>
    <row r="42" spans="1:123" outlineLevel="1">
      <c r="B42" t="s">
        <v>54</v>
      </c>
      <c r="C42" t="s">
        <v>78</v>
      </c>
      <c r="E42" s="9"/>
      <c r="F42" t="s">
        <v>90</v>
      </c>
      <c r="G42" s="10">
        <v>0.1</v>
      </c>
      <c r="I42" s="9">
        <f t="shared" si="2"/>
        <v>0</v>
      </c>
      <c r="J42" s="11" cm="1">
        <f t="array" ref="J42">MAX(IF($N$3:$DP$3=$J$3,N42:DP42))</f>
        <v>0</v>
      </c>
      <c r="K42" s="11" cm="1">
        <f t="array" ref="K42">MAX(IF($N$3:$DP$3=$J$3,N42:DP42))</f>
        <v>0</v>
      </c>
      <c r="L42" s="9"/>
      <c r="O42" s="10"/>
      <c r="P42" s="10"/>
      <c r="Q42" s="10"/>
      <c r="R42" s="10"/>
      <c r="V42" s="10"/>
      <c r="W42" s="10"/>
      <c r="X42" s="10"/>
      <c r="Y42" s="10"/>
      <c r="AC42" s="10"/>
      <c r="AD42" s="10"/>
      <c r="AE42" s="10"/>
      <c r="AF42" s="10"/>
      <c r="AJ42" s="10"/>
      <c r="AK42" s="10">
        <v>0.5</v>
      </c>
      <c r="AL42" s="10"/>
      <c r="AM42" s="10">
        <v>0.5</v>
      </c>
      <c r="AQ42" s="10"/>
      <c r="AR42" s="10">
        <v>0.5</v>
      </c>
      <c r="AS42" s="10"/>
      <c r="AT42" s="10">
        <v>0.5</v>
      </c>
      <c r="AX42" s="10"/>
      <c r="AY42" s="10">
        <v>0.5</v>
      </c>
      <c r="AZ42" s="10"/>
      <c r="BA42" s="10">
        <v>0.5</v>
      </c>
      <c r="BE42" s="10"/>
      <c r="BF42" s="10">
        <v>0.5</v>
      </c>
      <c r="BG42" s="10"/>
      <c r="BH42" s="10">
        <v>0.5</v>
      </c>
      <c r="BL42" s="10"/>
      <c r="BM42" s="10">
        <v>0.8</v>
      </c>
      <c r="BN42" s="10"/>
      <c r="BO42" s="10">
        <v>0.8</v>
      </c>
      <c r="BS42" s="10"/>
      <c r="BT42" s="10">
        <v>0.8</v>
      </c>
      <c r="BU42" s="10"/>
      <c r="BV42" s="10">
        <v>0.8</v>
      </c>
      <c r="BZ42" s="10"/>
      <c r="CA42" s="10">
        <v>0.8</v>
      </c>
      <c r="CB42" s="10"/>
      <c r="CC42" s="10">
        <v>0.8</v>
      </c>
      <c r="CG42" s="10"/>
      <c r="CH42" s="10">
        <v>0.8</v>
      </c>
      <c r="CI42" s="10"/>
      <c r="CJ42" s="10">
        <v>0.8</v>
      </c>
      <c r="CN42" s="10"/>
      <c r="CO42" s="10">
        <v>0.8</v>
      </c>
      <c r="CP42" s="10"/>
      <c r="CQ42" s="10">
        <v>0.8</v>
      </c>
      <c r="CU42" s="10"/>
      <c r="CV42" s="10">
        <v>1</v>
      </c>
      <c r="CW42" s="10"/>
      <c r="CX42" s="10">
        <v>1</v>
      </c>
      <c r="DB42" s="10"/>
      <c r="DC42" s="10">
        <v>1</v>
      </c>
      <c r="DD42" s="10"/>
      <c r="DE42" s="10">
        <v>1</v>
      </c>
      <c r="DI42" s="10"/>
      <c r="DJ42" s="10">
        <v>1</v>
      </c>
      <c r="DK42" s="10"/>
      <c r="DL42" s="10">
        <v>1</v>
      </c>
      <c r="DP42" s="10"/>
      <c r="DQ42" s="10">
        <v>1</v>
      </c>
      <c r="DR42" s="10"/>
      <c r="DS42" s="10">
        <v>1</v>
      </c>
    </row>
    <row r="43" spans="1:123" outlineLevel="1">
      <c r="B43" t="s">
        <v>54</v>
      </c>
      <c r="C43" t="s">
        <v>78</v>
      </c>
      <c r="E43" s="9"/>
      <c r="F43" t="s">
        <v>91</v>
      </c>
      <c r="G43" s="10">
        <v>0.1</v>
      </c>
      <c r="I43" s="9">
        <f t="shared" si="2"/>
        <v>0</v>
      </c>
      <c r="J43" s="11" cm="1">
        <f t="array" ref="J43">MAX(IF($N$3:$DP$3=$J$3,N43:DP43))</f>
        <v>0</v>
      </c>
      <c r="K43" s="11" cm="1">
        <f t="array" ref="K43">MAX(IF($N$3:$DP$3=$J$3,N43:DP43))</f>
        <v>0</v>
      </c>
      <c r="L43" s="9"/>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c r="BG43" s="10"/>
      <c r="BH43" s="10"/>
      <c r="BL43" s="10"/>
      <c r="BM43" s="10"/>
      <c r="BN43" s="10"/>
      <c r="BO43" s="10"/>
      <c r="BS43" s="10"/>
      <c r="BT43" s="10"/>
      <c r="BU43" s="10"/>
      <c r="BV43" s="10"/>
      <c r="BZ43" s="10"/>
      <c r="CA43" s="10"/>
      <c r="CC43" s="10"/>
      <c r="CG43" s="10"/>
      <c r="CH43" s="10"/>
      <c r="CI43" s="10"/>
      <c r="CJ43" s="10"/>
      <c r="CN43" s="10"/>
      <c r="CO43" s="10">
        <v>0.8</v>
      </c>
      <c r="CP43" s="10"/>
      <c r="CQ43" s="10">
        <v>0.8</v>
      </c>
      <c r="CU43" s="10"/>
      <c r="CV43" s="10">
        <v>1</v>
      </c>
      <c r="CW43" s="10"/>
      <c r="CX43" s="10">
        <v>0.8</v>
      </c>
      <c r="DB43" s="10"/>
      <c r="DC43" s="10">
        <v>1</v>
      </c>
      <c r="DD43" s="10"/>
      <c r="DE43" s="10">
        <v>1</v>
      </c>
      <c r="DI43" s="10"/>
      <c r="DJ43" s="10">
        <v>1</v>
      </c>
      <c r="DK43" s="10"/>
      <c r="DL43" s="10">
        <v>1</v>
      </c>
      <c r="DP43" s="10"/>
      <c r="DQ43" s="10">
        <v>1</v>
      </c>
      <c r="DR43" s="10"/>
      <c r="DS43" s="10">
        <v>1</v>
      </c>
    </row>
    <row r="45" spans="1:123">
      <c r="B45" t="s">
        <v>40</v>
      </c>
      <c r="C45" t="s">
        <v>92</v>
      </c>
      <c r="D45" s="19">
        <v>45334</v>
      </c>
      <c r="E45" s="9">
        <v>5</v>
      </c>
      <c r="G45" s="10">
        <f>+SUM(G46:G55)</f>
        <v>0.99999999999999989</v>
      </c>
      <c r="I45" s="12">
        <f>+SUM(I46:I55)</f>
        <v>0</v>
      </c>
      <c r="J45" s="11">
        <f>+SUMPRODUCT(G46:G55,J46:J55)</f>
        <v>0.23000000000000004</v>
      </c>
      <c r="K45" s="11">
        <f>+SUMPRODUCT(G46:G55,K46:K55)</f>
        <v>0.23000000000000004</v>
      </c>
      <c r="L45" s="9"/>
      <c r="U45" s="12">
        <f>+SUM(U46:U55)</f>
        <v>0</v>
      </c>
      <c r="AB45" s="12">
        <f>+SUM(AB46:AB55)</f>
        <v>0</v>
      </c>
      <c r="AI45" s="12">
        <f>+SUM(AI46:AI55)</f>
        <v>0</v>
      </c>
      <c r="AP45" s="12">
        <f>+SUM(AP46:AP55)</f>
        <v>0</v>
      </c>
      <c r="CC45" s="10"/>
    </row>
    <row r="46" spans="1:123" outlineLevel="1">
      <c r="B46" t="s">
        <v>54</v>
      </c>
      <c r="C46" t="s">
        <v>92</v>
      </c>
      <c r="E46" s="9"/>
      <c r="F46" t="s">
        <v>93</v>
      </c>
      <c r="G46" s="10">
        <v>0.1</v>
      </c>
      <c r="I46" s="9">
        <f t="shared" ref="I46:I58" si="3">+SUMIF($N$3:$ZH$3,I$3,$N46:$ZH46)</f>
        <v>0</v>
      </c>
      <c r="J46" s="11" cm="1">
        <f t="array" ref="J46">MAX(IF($N$3:$DP$3=$J$3,N46:DP46))</f>
        <v>1</v>
      </c>
      <c r="K46" s="11" cm="1">
        <f t="array" ref="K46">MAX(IF($N$3:$DP$3=$J$3,N46:DP46))</f>
        <v>1</v>
      </c>
      <c r="L46" s="9"/>
      <c r="O46" s="10">
        <v>1</v>
      </c>
      <c r="P46" s="10">
        <v>0.5</v>
      </c>
      <c r="Q46" s="10"/>
      <c r="R46" s="10">
        <v>0.5</v>
      </c>
      <c r="V46" s="10"/>
      <c r="W46" s="10">
        <v>1</v>
      </c>
      <c r="X46" s="10"/>
      <c r="Y46" s="10">
        <v>1</v>
      </c>
      <c r="AC46" s="10"/>
      <c r="AD46" s="10">
        <v>1</v>
      </c>
      <c r="AE46" s="10"/>
      <c r="AF46" s="10">
        <v>1</v>
      </c>
      <c r="AJ46" s="10"/>
      <c r="AK46" s="10">
        <v>1</v>
      </c>
      <c r="AL46" s="10"/>
      <c r="AM46" s="10">
        <v>1</v>
      </c>
      <c r="AQ46" s="10"/>
      <c r="AR46" s="10">
        <v>1</v>
      </c>
      <c r="AS46" s="10"/>
      <c r="AT46" s="10">
        <v>1</v>
      </c>
      <c r="AX46" s="10"/>
      <c r="AY46" s="10">
        <v>1</v>
      </c>
      <c r="AZ46" s="10"/>
      <c r="BA46" s="10">
        <v>1</v>
      </c>
      <c r="BE46" s="10"/>
      <c r="BF46" s="10">
        <v>1</v>
      </c>
      <c r="BG46" s="10"/>
      <c r="BH46" s="10">
        <v>1</v>
      </c>
      <c r="BL46" s="10"/>
      <c r="BM46" s="10">
        <v>1</v>
      </c>
      <c r="BN46" s="10"/>
      <c r="BO46" s="10">
        <v>1</v>
      </c>
      <c r="BS46" s="10"/>
      <c r="BT46" s="10">
        <v>1</v>
      </c>
      <c r="BU46" s="10"/>
      <c r="BV46" s="10">
        <v>1</v>
      </c>
      <c r="BZ46" s="10"/>
      <c r="CA46" s="10">
        <v>1</v>
      </c>
      <c r="CB46" s="10"/>
      <c r="CC46" s="10">
        <v>1</v>
      </c>
      <c r="CG46" s="10"/>
      <c r="CH46" s="10">
        <v>1</v>
      </c>
      <c r="CI46" s="21"/>
      <c r="CJ46" s="10">
        <v>1</v>
      </c>
      <c r="CN46" s="10"/>
      <c r="CO46" s="10">
        <v>1</v>
      </c>
      <c r="CP46" s="10"/>
      <c r="CQ46" s="10">
        <v>1</v>
      </c>
      <c r="CU46" s="10"/>
      <c r="CV46" s="10">
        <v>1</v>
      </c>
      <c r="CW46" s="10"/>
      <c r="CX46" s="10">
        <v>1</v>
      </c>
      <c r="DB46" s="10"/>
      <c r="DC46" s="10">
        <v>1</v>
      </c>
      <c r="DD46" s="10"/>
      <c r="DE46" s="10">
        <v>1</v>
      </c>
      <c r="DI46" s="10"/>
      <c r="DJ46" s="10">
        <v>1</v>
      </c>
      <c r="DK46" s="10"/>
      <c r="DL46" s="10">
        <v>1</v>
      </c>
      <c r="DP46" s="10"/>
      <c r="DQ46" s="10"/>
      <c r="DR46" s="10"/>
      <c r="DS46" s="10"/>
    </row>
    <row r="47" spans="1:123" outlineLevel="1">
      <c r="B47" t="s">
        <v>54</v>
      </c>
      <c r="C47" t="s">
        <v>92</v>
      </c>
      <c r="E47" s="9"/>
      <c r="F47" t="s">
        <v>94</v>
      </c>
      <c r="G47" s="10">
        <v>0.1</v>
      </c>
      <c r="I47" s="9">
        <f t="shared" si="3"/>
        <v>0</v>
      </c>
      <c r="J47" s="11" cm="1">
        <f t="array" ref="J47">MAX(IF($N$3:$DP$3=$J$3,N47:DP47))</f>
        <v>0.8</v>
      </c>
      <c r="K47" s="11" cm="1">
        <f t="array" ref="K47">MAX(IF($N$3:$DP$3=$J$3,N47:DP47))</f>
        <v>0.8</v>
      </c>
      <c r="L47" s="9"/>
      <c r="O47" s="10">
        <v>0.8</v>
      </c>
      <c r="P47" s="10">
        <v>0.5</v>
      </c>
      <c r="Q47" s="10"/>
      <c r="R47" s="10">
        <v>0.5</v>
      </c>
      <c r="V47" s="10"/>
      <c r="W47" s="10">
        <v>1</v>
      </c>
      <c r="X47" s="10"/>
      <c r="Y47" s="10">
        <v>1</v>
      </c>
      <c r="AC47" s="10"/>
      <c r="AD47" s="10">
        <v>1</v>
      </c>
      <c r="AE47" s="10"/>
      <c r="AF47" s="10">
        <v>1</v>
      </c>
      <c r="AJ47" s="10"/>
      <c r="AK47" s="10">
        <v>1</v>
      </c>
      <c r="AL47" s="10"/>
      <c r="AM47" s="10">
        <v>1</v>
      </c>
      <c r="AQ47" s="10"/>
      <c r="AR47" s="10">
        <v>1</v>
      </c>
      <c r="AS47" s="10"/>
      <c r="AT47" s="10">
        <v>1</v>
      </c>
      <c r="AX47" s="10"/>
      <c r="AY47" s="10">
        <v>1</v>
      </c>
      <c r="AZ47" s="10"/>
      <c r="BA47" s="10">
        <v>1</v>
      </c>
      <c r="BE47" s="10"/>
      <c r="BF47" s="10">
        <v>1</v>
      </c>
      <c r="BG47" s="10"/>
      <c r="BH47" s="10">
        <v>1</v>
      </c>
      <c r="BL47" s="10"/>
      <c r="BM47" s="10">
        <v>1</v>
      </c>
      <c r="BN47" s="10"/>
      <c r="BO47" s="10">
        <v>1</v>
      </c>
      <c r="BS47" s="10"/>
      <c r="BT47" s="10">
        <v>1</v>
      </c>
      <c r="BU47" s="10"/>
      <c r="BV47" s="10">
        <v>1</v>
      </c>
      <c r="BZ47" s="10"/>
      <c r="CA47" s="10">
        <v>1</v>
      </c>
      <c r="CB47" s="10"/>
      <c r="CC47" s="10">
        <v>1</v>
      </c>
      <c r="CG47" s="10"/>
      <c r="CH47" s="10">
        <v>1</v>
      </c>
      <c r="CI47" s="10"/>
      <c r="CJ47" s="10">
        <v>1</v>
      </c>
      <c r="CN47" s="10"/>
      <c r="CO47" s="10">
        <v>1</v>
      </c>
      <c r="CP47" s="10"/>
      <c r="CQ47" s="10">
        <v>1</v>
      </c>
      <c r="CU47" s="10"/>
      <c r="CV47" s="10">
        <v>1</v>
      </c>
      <c r="CW47" s="10"/>
      <c r="CX47" s="10">
        <v>1</v>
      </c>
      <c r="DB47" s="10"/>
      <c r="DC47" s="10">
        <v>1</v>
      </c>
      <c r="DD47" s="10"/>
      <c r="DE47" s="10">
        <v>1</v>
      </c>
      <c r="DI47" s="10"/>
      <c r="DJ47" s="10">
        <v>1</v>
      </c>
      <c r="DK47" s="10"/>
      <c r="DL47" s="10">
        <v>1</v>
      </c>
      <c r="DP47" s="10"/>
      <c r="DQ47" s="10">
        <v>1</v>
      </c>
      <c r="DR47" s="10"/>
      <c r="DS47" s="10">
        <v>1</v>
      </c>
    </row>
    <row r="48" spans="1:123" outlineLevel="1">
      <c r="B48" t="s">
        <v>54</v>
      </c>
      <c r="C48" t="s">
        <v>92</v>
      </c>
      <c r="E48" s="9"/>
      <c r="F48" t="s">
        <v>95</v>
      </c>
      <c r="G48" s="10">
        <v>0.1</v>
      </c>
      <c r="I48" s="9">
        <f t="shared" si="3"/>
        <v>0</v>
      </c>
      <c r="J48" s="11" cm="1">
        <f t="array" ref="J48">MAX(IF($N$3:$DP$3=$J$3,N48:DP48))</f>
        <v>0.5</v>
      </c>
      <c r="K48" s="11" cm="1">
        <f t="array" ref="K48">MAX(IF($N$3:$DP$3=$J$3,N48:DP48))</f>
        <v>0.5</v>
      </c>
      <c r="L48" s="9"/>
      <c r="O48" s="10">
        <v>0.5</v>
      </c>
      <c r="P48" s="10">
        <v>0.5</v>
      </c>
      <c r="Q48" s="10"/>
      <c r="R48" s="10">
        <v>0.5</v>
      </c>
      <c r="V48" s="10"/>
      <c r="W48" s="10">
        <v>1</v>
      </c>
      <c r="X48" s="10"/>
      <c r="Y48" s="10">
        <v>1</v>
      </c>
      <c r="AC48" s="10"/>
      <c r="AD48" s="10">
        <v>1</v>
      </c>
      <c r="AE48" s="10"/>
      <c r="AF48" s="10">
        <v>1</v>
      </c>
      <c r="AJ48" s="10"/>
      <c r="AK48" s="10">
        <v>1</v>
      </c>
      <c r="AL48" s="10"/>
      <c r="AM48" s="10">
        <v>1</v>
      </c>
      <c r="AQ48" s="10"/>
      <c r="AR48" s="10">
        <v>1</v>
      </c>
      <c r="AS48" s="10"/>
      <c r="AT48" s="10">
        <v>1</v>
      </c>
      <c r="AX48" s="10"/>
      <c r="AY48" s="10">
        <v>1</v>
      </c>
      <c r="AZ48" s="10"/>
      <c r="BA48" s="10">
        <v>1</v>
      </c>
      <c r="BE48" s="10"/>
      <c r="BF48" s="10">
        <v>1</v>
      </c>
      <c r="BG48" s="10"/>
      <c r="BH48" s="10">
        <v>1</v>
      </c>
      <c r="BL48" s="10"/>
      <c r="BM48" s="10">
        <v>1</v>
      </c>
      <c r="BN48" s="10"/>
      <c r="BO48" s="10">
        <v>1</v>
      </c>
      <c r="BS48" s="10"/>
      <c r="BT48" s="10">
        <v>1</v>
      </c>
      <c r="BU48" s="10"/>
      <c r="BV48" s="10">
        <v>1</v>
      </c>
      <c r="BZ48" s="10"/>
      <c r="CA48" s="10">
        <v>1</v>
      </c>
      <c r="CB48" s="10"/>
      <c r="CC48" s="10">
        <v>1</v>
      </c>
      <c r="CG48" s="10"/>
      <c r="CH48" s="10">
        <v>1</v>
      </c>
      <c r="CI48" s="10"/>
      <c r="CJ48" s="10">
        <v>1</v>
      </c>
      <c r="CN48" s="10"/>
      <c r="CO48" s="10">
        <v>1</v>
      </c>
      <c r="CP48" s="10"/>
      <c r="CQ48" s="10">
        <v>1</v>
      </c>
      <c r="CU48" s="10"/>
      <c r="CV48" s="10">
        <v>1</v>
      </c>
      <c r="CW48" s="10"/>
      <c r="CX48" s="10">
        <v>1</v>
      </c>
      <c r="DB48" s="10"/>
      <c r="DC48" s="10">
        <v>1</v>
      </c>
      <c r="DD48" s="10"/>
      <c r="DE48" s="10">
        <v>1</v>
      </c>
      <c r="DI48" s="10"/>
      <c r="DJ48" s="10">
        <v>1</v>
      </c>
      <c r="DK48" s="10"/>
      <c r="DL48" s="10">
        <v>1</v>
      </c>
      <c r="DP48" s="10"/>
      <c r="DQ48" s="10">
        <v>1</v>
      </c>
      <c r="DR48" s="10"/>
      <c r="DS48" s="10">
        <v>1</v>
      </c>
    </row>
    <row r="49" spans="2:123" outlineLevel="1">
      <c r="B49" t="s">
        <v>54</v>
      </c>
      <c r="C49" t="s">
        <v>92</v>
      </c>
      <c r="E49" s="9"/>
      <c r="F49" t="s">
        <v>96</v>
      </c>
      <c r="G49" s="10">
        <v>0.1</v>
      </c>
      <c r="I49" s="9">
        <f t="shared" si="3"/>
        <v>0</v>
      </c>
      <c r="J49" s="11" cm="1">
        <f t="array" ref="J49">MAX(IF($N$3:$DP$3=$J$3,N49:DP49))</f>
        <v>0</v>
      </c>
      <c r="K49" s="11" cm="1">
        <f t="array" ref="K49">MAX(IF($N$3:$DP$3=$J$3,N49:DP49))</f>
        <v>0</v>
      </c>
      <c r="L49" s="9"/>
      <c r="O49" s="10"/>
      <c r="P49" s="10"/>
      <c r="Q49" s="10"/>
      <c r="R49" s="10">
        <v>0.5</v>
      </c>
      <c r="V49" s="10"/>
      <c r="W49" s="10">
        <v>1</v>
      </c>
      <c r="X49" s="10"/>
      <c r="Y49" s="10">
        <v>1</v>
      </c>
      <c r="AC49" s="10"/>
      <c r="AD49" s="10">
        <v>1</v>
      </c>
      <c r="AE49" s="10"/>
      <c r="AF49" s="10">
        <v>1</v>
      </c>
      <c r="AJ49" s="10"/>
      <c r="AK49" s="10">
        <v>1</v>
      </c>
      <c r="AL49" s="10"/>
      <c r="AM49" s="10">
        <v>1</v>
      </c>
      <c r="AQ49" s="10"/>
      <c r="AR49" s="10">
        <v>1</v>
      </c>
      <c r="AS49" s="10"/>
      <c r="AT49" s="10">
        <v>1</v>
      </c>
      <c r="AX49" s="10"/>
      <c r="AY49" s="10">
        <v>1</v>
      </c>
      <c r="AZ49" s="10"/>
      <c r="BA49" s="10">
        <v>1</v>
      </c>
      <c r="BE49" s="10"/>
      <c r="BF49" s="10">
        <v>1</v>
      </c>
      <c r="BG49" s="10"/>
      <c r="BH49" s="10">
        <v>1</v>
      </c>
      <c r="BL49" s="10"/>
      <c r="BM49" s="10">
        <v>1</v>
      </c>
      <c r="BN49" s="10"/>
      <c r="BO49" s="10">
        <v>1</v>
      </c>
      <c r="BS49" s="10"/>
      <c r="BT49" s="10">
        <v>1</v>
      </c>
      <c r="BU49" s="10"/>
      <c r="BV49" s="10">
        <v>1</v>
      </c>
      <c r="BZ49" s="10"/>
      <c r="CA49" s="10">
        <v>1</v>
      </c>
      <c r="CB49" s="10"/>
      <c r="CC49" s="10">
        <v>1</v>
      </c>
      <c r="CG49" s="10"/>
      <c r="CH49" s="10">
        <v>1</v>
      </c>
      <c r="CI49" s="10"/>
      <c r="CJ49" s="10">
        <v>1</v>
      </c>
      <c r="CN49" s="10"/>
      <c r="CO49" s="10">
        <v>1</v>
      </c>
      <c r="CP49" s="10"/>
      <c r="CQ49" s="10">
        <v>1</v>
      </c>
      <c r="CU49" s="10"/>
      <c r="CV49" s="10">
        <v>1</v>
      </c>
      <c r="CW49" s="10"/>
      <c r="CX49" s="10">
        <v>1</v>
      </c>
      <c r="DB49" s="10"/>
      <c r="DC49" s="10">
        <v>1</v>
      </c>
      <c r="DD49" s="10"/>
      <c r="DE49" s="10">
        <v>1</v>
      </c>
      <c r="DI49" s="10"/>
      <c r="DJ49" s="10">
        <v>1</v>
      </c>
      <c r="DK49" s="10"/>
      <c r="DL49" s="10">
        <v>1</v>
      </c>
      <c r="DP49" s="10"/>
      <c r="DQ49" s="10">
        <v>1</v>
      </c>
      <c r="DR49" s="10"/>
      <c r="DS49" s="10">
        <v>1</v>
      </c>
    </row>
    <row r="50" spans="2:123" outlineLevel="1">
      <c r="B50" t="s">
        <v>54</v>
      </c>
      <c r="C50" t="s">
        <v>92</v>
      </c>
      <c r="E50" s="9"/>
      <c r="F50" t="s">
        <v>97</v>
      </c>
      <c r="G50" s="10">
        <v>0.1</v>
      </c>
      <c r="I50" s="9">
        <f t="shared" si="3"/>
        <v>0</v>
      </c>
      <c r="J50" s="11" cm="1">
        <f t="array" ref="J50">MAX(IF($N$3:$DP$3=$J$3,N50:DP50))</f>
        <v>0</v>
      </c>
      <c r="K50" s="11" cm="1">
        <f t="array" ref="K50">MAX(IF($N$3:$DP$3=$J$3,N50:DP50))</f>
        <v>0</v>
      </c>
      <c r="L50" s="9"/>
      <c r="M50">
        <v>5</v>
      </c>
      <c r="O50" s="10"/>
      <c r="P50" s="10"/>
      <c r="Q50" s="10"/>
      <c r="R50" s="10"/>
      <c r="V50" s="10"/>
      <c r="W50" s="10"/>
      <c r="X50" s="10"/>
      <c r="Y50" s="10"/>
      <c r="AC50" s="10"/>
      <c r="AD50" s="10">
        <v>1</v>
      </c>
      <c r="AE50" s="10"/>
      <c r="AF50" s="10">
        <v>1</v>
      </c>
      <c r="AJ50" s="10"/>
      <c r="AK50" s="10">
        <v>1</v>
      </c>
      <c r="AL50" s="10"/>
      <c r="AM50" s="10">
        <v>1</v>
      </c>
      <c r="AQ50" s="10"/>
      <c r="AR50" s="10">
        <v>1</v>
      </c>
      <c r="AS50" s="10"/>
      <c r="AT50" s="10">
        <v>1</v>
      </c>
      <c r="AX50" s="10"/>
      <c r="AY50" s="10">
        <v>1</v>
      </c>
      <c r="AZ50" s="10"/>
      <c r="BA50" s="10">
        <v>1</v>
      </c>
      <c r="BE50" s="10"/>
      <c r="BF50" s="10">
        <v>1</v>
      </c>
      <c r="BG50" s="10"/>
      <c r="BH50" s="10">
        <v>1</v>
      </c>
      <c r="BL50" s="10"/>
      <c r="BM50" s="10">
        <v>1</v>
      </c>
      <c r="BN50" s="10"/>
      <c r="BO50" s="10">
        <v>1</v>
      </c>
      <c r="BS50" s="10"/>
      <c r="BT50" s="10">
        <v>1</v>
      </c>
      <c r="BU50" s="10"/>
      <c r="BV50" s="10">
        <v>1</v>
      </c>
      <c r="BZ50" s="10"/>
      <c r="CA50" s="10">
        <v>1</v>
      </c>
      <c r="CB50" s="10"/>
      <c r="CC50" s="10">
        <v>1</v>
      </c>
      <c r="CG50" s="10"/>
      <c r="CH50" s="10">
        <v>1</v>
      </c>
      <c r="CI50" s="10"/>
      <c r="CJ50" s="10">
        <v>1</v>
      </c>
      <c r="CN50" s="10"/>
      <c r="CO50" s="10">
        <v>1</v>
      </c>
      <c r="CP50" s="10"/>
      <c r="CQ50" s="10">
        <v>1</v>
      </c>
      <c r="CU50" s="10"/>
      <c r="CV50" s="10">
        <v>1</v>
      </c>
      <c r="CW50" s="10"/>
      <c r="CX50" s="10">
        <v>1</v>
      </c>
      <c r="DB50" s="10"/>
      <c r="DC50" s="10">
        <v>1</v>
      </c>
      <c r="DD50" s="10"/>
      <c r="DE50" s="10">
        <v>1</v>
      </c>
      <c r="DI50" s="10"/>
      <c r="DJ50" s="10">
        <v>1</v>
      </c>
      <c r="DK50" s="10"/>
      <c r="DL50" s="10">
        <v>1</v>
      </c>
      <c r="DP50" s="10"/>
      <c r="DQ50" s="10">
        <v>1</v>
      </c>
      <c r="DR50" s="10"/>
      <c r="DS50" s="10">
        <v>1</v>
      </c>
    </row>
    <row r="51" spans="2:123" outlineLevel="1">
      <c r="B51" t="s">
        <v>54</v>
      </c>
      <c r="C51" t="s">
        <v>92</v>
      </c>
      <c r="E51" s="9"/>
      <c r="F51" t="s">
        <v>98</v>
      </c>
      <c r="G51" s="10">
        <v>0.1</v>
      </c>
      <c r="I51" s="9">
        <f t="shared" si="3"/>
        <v>0</v>
      </c>
      <c r="J51" s="11" cm="1">
        <f t="array" ref="J51">MAX(IF($N$3:$DP$3=$J$3,N51:DP51))</f>
        <v>0</v>
      </c>
      <c r="K51" s="11" cm="1">
        <f t="array" ref="K51">MAX(IF($N$3:$DP$3=$J$3,N51:DP51))</f>
        <v>0</v>
      </c>
      <c r="L51" s="9"/>
      <c r="O51" s="10"/>
      <c r="P51" s="10"/>
      <c r="Q51" s="10"/>
      <c r="R51" s="10"/>
      <c r="V51" s="10"/>
      <c r="W51" s="10"/>
      <c r="X51" s="10"/>
      <c r="Y51" s="10"/>
      <c r="AC51" s="10"/>
      <c r="AD51" s="10"/>
      <c r="AE51" s="10"/>
      <c r="AF51" s="10"/>
      <c r="AJ51" s="10"/>
      <c r="AK51" s="10">
        <v>1</v>
      </c>
      <c r="AL51" s="10"/>
      <c r="AM51" s="10">
        <v>1</v>
      </c>
      <c r="AQ51" s="10"/>
      <c r="AR51" s="10">
        <v>1</v>
      </c>
      <c r="AS51" s="10"/>
      <c r="AT51" s="10">
        <v>1</v>
      </c>
      <c r="AX51" s="10"/>
      <c r="AY51" s="10">
        <v>1</v>
      </c>
      <c r="AZ51" s="10"/>
      <c r="BA51" s="10">
        <v>1</v>
      </c>
      <c r="BE51" s="10"/>
      <c r="BF51" s="10">
        <v>1</v>
      </c>
      <c r="BG51" s="10"/>
      <c r="BH51" s="10">
        <v>1</v>
      </c>
      <c r="BL51" s="10"/>
      <c r="BM51" s="10">
        <v>1</v>
      </c>
      <c r="BN51" s="10"/>
      <c r="BO51" s="10">
        <v>1</v>
      </c>
      <c r="BS51" s="10"/>
      <c r="BT51" s="10">
        <v>1</v>
      </c>
      <c r="BU51" s="10"/>
      <c r="BV51" s="10">
        <v>1</v>
      </c>
      <c r="BZ51" s="10"/>
      <c r="CA51" s="10">
        <v>1</v>
      </c>
      <c r="CB51" s="10"/>
      <c r="CC51" s="10">
        <v>1</v>
      </c>
      <c r="CG51" s="10"/>
      <c r="CH51" s="10">
        <v>1</v>
      </c>
      <c r="CI51" s="10"/>
      <c r="CJ51" s="10">
        <v>1</v>
      </c>
      <c r="CN51" s="10"/>
      <c r="CO51" s="10">
        <v>1</v>
      </c>
      <c r="CP51" s="10"/>
      <c r="CQ51" s="10">
        <v>1</v>
      </c>
      <c r="CU51" s="10"/>
      <c r="CV51" s="10">
        <v>1</v>
      </c>
      <c r="CW51" s="10"/>
      <c r="CX51" s="10">
        <v>1</v>
      </c>
      <c r="DB51" s="10"/>
      <c r="DC51" s="10">
        <v>1</v>
      </c>
      <c r="DD51" s="10"/>
      <c r="DE51" s="10">
        <v>1</v>
      </c>
      <c r="DI51" s="10"/>
      <c r="DJ51" s="10">
        <v>1</v>
      </c>
      <c r="DK51" s="10"/>
      <c r="DL51" s="10">
        <v>1</v>
      </c>
      <c r="DP51" s="10"/>
      <c r="DQ51" s="10">
        <v>1</v>
      </c>
      <c r="DR51" s="10"/>
      <c r="DS51" s="10">
        <v>1</v>
      </c>
    </row>
    <row r="52" spans="2:123" outlineLevel="1">
      <c r="B52" t="s">
        <v>54</v>
      </c>
      <c r="C52" t="s">
        <v>92</v>
      </c>
      <c r="E52" s="9"/>
      <c r="F52" t="s">
        <v>99</v>
      </c>
      <c r="G52" s="10">
        <v>0.1</v>
      </c>
      <c r="I52" s="9">
        <f t="shared" si="3"/>
        <v>0</v>
      </c>
      <c r="J52" s="11" cm="1">
        <f t="array" ref="J52">MAX(IF($N$3:$DP$3=$J$3,N52:DP52))</f>
        <v>0</v>
      </c>
      <c r="K52" s="11" cm="1">
        <f t="array" ref="K52">MAX(IF($N$3:$DP$3=$J$3,N52:DP52))</f>
        <v>0</v>
      </c>
      <c r="L52" s="9"/>
      <c r="O52" s="10"/>
      <c r="P52" s="10"/>
      <c r="Q52" s="10"/>
      <c r="R52" s="10"/>
      <c r="V52" s="10"/>
      <c r="W52" s="10"/>
      <c r="X52" s="10"/>
      <c r="Y52" s="10"/>
      <c r="AC52" s="10"/>
      <c r="AD52" s="10"/>
      <c r="AE52" s="10"/>
      <c r="AF52" s="10"/>
      <c r="AJ52" s="10"/>
      <c r="AK52" s="10"/>
      <c r="AL52" s="10"/>
      <c r="AM52" s="10"/>
      <c r="AQ52" s="10"/>
      <c r="AR52" s="10">
        <v>1</v>
      </c>
      <c r="AS52" s="10"/>
      <c r="AT52" s="10">
        <v>1</v>
      </c>
      <c r="AX52" s="10"/>
      <c r="AY52" s="10">
        <v>1</v>
      </c>
      <c r="AZ52" s="10"/>
      <c r="BA52" s="10">
        <v>1</v>
      </c>
      <c r="BE52" s="10"/>
      <c r="BF52" s="10">
        <v>1</v>
      </c>
      <c r="BG52" s="10"/>
      <c r="BH52" s="10">
        <v>1</v>
      </c>
      <c r="BL52" s="10"/>
      <c r="BM52" s="10">
        <v>1</v>
      </c>
      <c r="BN52" s="10"/>
      <c r="BO52" s="10">
        <v>1</v>
      </c>
      <c r="BS52" s="10"/>
      <c r="BT52" s="10">
        <v>1</v>
      </c>
      <c r="BU52" s="10"/>
      <c r="BV52" s="10">
        <v>1</v>
      </c>
      <c r="BZ52" s="10"/>
      <c r="CA52" s="10">
        <v>1</v>
      </c>
      <c r="CB52" s="10"/>
      <c r="CC52" s="10">
        <v>1</v>
      </c>
      <c r="CG52" s="10"/>
      <c r="CH52" s="10">
        <v>1</v>
      </c>
      <c r="CI52" s="10"/>
      <c r="CJ52" s="10">
        <v>1</v>
      </c>
      <c r="CN52" s="10"/>
      <c r="CO52" s="10">
        <v>1</v>
      </c>
      <c r="CP52" s="10"/>
      <c r="CQ52" s="10">
        <v>1</v>
      </c>
      <c r="CU52" s="10"/>
      <c r="CV52" s="10">
        <v>1</v>
      </c>
      <c r="CW52" s="10"/>
      <c r="CX52" s="10">
        <v>1</v>
      </c>
      <c r="DB52" s="10"/>
      <c r="DC52" s="10">
        <v>1</v>
      </c>
      <c r="DD52" s="10"/>
      <c r="DE52" s="10">
        <v>1</v>
      </c>
      <c r="DI52" s="10"/>
      <c r="DJ52" s="10">
        <v>1</v>
      </c>
      <c r="DK52" s="10"/>
      <c r="DL52" s="10">
        <v>1</v>
      </c>
      <c r="DP52" s="10"/>
      <c r="DQ52" s="10">
        <v>1</v>
      </c>
      <c r="DR52" s="10"/>
      <c r="DS52" s="10">
        <v>1</v>
      </c>
    </row>
    <row r="53" spans="2:123" outlineLevel="1">
      <c r="B53" t="s">
        <v>54</v>
      </c>
      <c r="C53" t="s">
        <v>92</v>
      </c>
      <c r="E53" s="9"/>
      <c r="F53" t="s">
        <v>100</v>
      </c>
      <c r="G53" s="10">
        <v>0.1</v>
      </c>
      <c r="I53" s="9">
        <f t="shared" si="3"/>
        <v>0</v>
      </c>
      <c r="J53" s="11" cm="1">
        <f t="array" ref="J53">MAX(IF($N$3:$DP$3=$J$3,N53:DP53))</f>
        <v>0</v>
      </c>
      <c r="K53" s="11" cm="1">
        <f t="array" ref="K53">MAX(IF($N$3:$DP$3=$J$3,N53:DP53))</f>
        <v>0</v>
      </c>
      <c r="L53" s="9"/>
      <c r="O53" s="10"/>
      <c r="P53" s="10"/>
      <c r="Q53" s="10"/>
      <c r="R53" s="10"/>
      <c r="V53" s="10"/>
      <c r="W53" s="10"/>
      <c r="X53" s="10"/>
      <c r="Y53" s="10"/>
      <c r="AC53" s="10"/>
      <c r="AD53" s="10"/>
      <c r="AE53" s="10"/>
      <c r="AF53" s="10"/>
      <c r="AJ53" s="10"/>
      <c r="AK53" s="10"/>
      <c r="AL53" s="10"/>
      <c r="AM53" s="10"/>
      <c r="AQ53" s="10"/>
      <c r="AR53" s="10"/>
      <c r="AS53" s="10"/>
      <c r="AT53" s="10"/>
      <c r="AX53" s="10"/>
      <c r="AY53" s="10">
        <v>1</v>
      </c>
      <c r="AZ53" s="10"/>
      <c r="BA53" s="10">
        <v>1</v>
      </c>
      <c r="BE53" s="10"/>
      <c r="BF53" s="10">
        <v>1</v>
      </c>
      <c r="BG53" s="10"/>
      <c r="BH53" s="10">
        <v>1</v>
      </c>
      <c r="BL53" s="10"/>
      <c r="BM53" s="10">
        <v>1</v>
      </c>
      <c r="BN53" s="10"/>
      <c r="BO53" s="10">
        <v>1</v>
      </c>
      <c r="BS53" s="10"/>
      <c r="BT53" s="10">
        <v>1</v>
      </c>
      <c r="BU53" s="10"/>
      <c r="BV53" s="10">
        <v>1</v>
      </c>
      <c r="BZ53" s="10"/>
      <c r="CA53" s="10">
        <v>1</v>
      </c>
      <c r="CB53" s="10"/>
      <c r="CC53" s="10">
        <v>1</v>
      </c>
      <c r="CG53" s="10"/>
      <c r="CH53" s="10">
        <v>1</v>
      </c>
      <c r="CI53" s="10"/>
      <c r="CJ53" s="10">
        <v>1</v>
      </c>
      <c r="CN53" s="10"/>
      <c r="CO53" s="10">
        <v>1</v>
      </c>
      <c r="CP53" s="10"/>
      <c r="CQ53" s="10">
        <v>1</v>
      </c>
      <c r="CU53" s="10"/>
      <c r="CV53" s="10">
        <v>1</v>
      </c>
      <c r="CW53" s="10"/>
      <c r="CX53" s="10">
        <v>1</v>
      </c>
      <c r="DB53" s="10"/>
      <c r="DC53" s="10">
        <v>1</v>
      </c>
      <c r="DD53" s="10"/>
      <c r="DE53" s="10">
        <v>1</v>
      </c>
      <c r="DI53" s="10"/>
      <c r="DJ53" s="10">
        <v>1</v>
      </c>
      <c r="DK53" s="10"/>
      <c r="DL53" s="10">
        <v>1</v>
      </c>
      <c r="DP53" s="10"/>
      <c r="DQ53" s="10">
        <v>1</v>
      </c>
      <c r="DR53" s="10"/>
      <c r="DS53" s="10">
        <v>1</v>
      </c>
    </row>
    <row r="54" spans="2:123" outlineLevel="1">
      <c r="B54" t="s">
        <v>54</v>
      </c>
      <c r="C54" t="s">
        <v>92</v>
      </c>
      <c r="E54" s="9"/>
      <c r="F54" t="s">
        <v>101</v>
      </c>
      <c r="G54" s="10">
        <v>0.1</v>
      </c>
      <c r="I54" s="9">
        <f t="shared" si="3"/>
        <v>0</v>
      </c>
      <c r="J54" s="11" cm="1">
        <f t="array" ref="J54">MAX(IF($N$3:$DP$3=$J$3,N54:DP54))</f>
        <v>0</v>
      </c>
      <c r="K54" s="11" cm="1">
        <f t="array" ref="K54">MAX(IF($N$3:$DP$3=$J$3,N54:DP54))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v>1</v>
      </c>
      <c r="BG54" s="10"/>
      <c r="BH54" s="10">
        <v>1</v>
      </c>
      <c r="BL54" s="10"/>
      <c r="BM54" s="10">
        <v>1</v>
      </c>
      <c r="BN54" s="10"/>
      <c r="BO54" s="10">
        <v>1</v>
      </c>
      <c r="BS54" s="10"/>
      <c r="BT54" s="10">
        <v>1</v>
      </c>
      <c r="BU54" s="10"/>
      <c r="BV54" s="10">
        <v>1</v>
      </c>
      <c r="BZ54" s="10"/>
      <c r="CA54" s="10">
        <v>1</v>
      </c>
      <c r="CB54" s="10"/>
      <c r="CC54" s="10">
        <v>1</v>
      </c>
      <c r="CG54" s="10"/>
      <c r="CH54" s="10">
        <v>1</v>
      </c>
      <c r="CI54" s="10"/>
      <c r="CJ54" s="10">
        <v>1</v>
      </c>
      <c r="CN54" s="10"/>
      <c r="CO54" s="10">
        <v>1</v>
      </c>
      <c r="CP54" s="10"/>
      <c r="CQ54" s="10">
        <v>1</v>
      </c>
      <c r="CU54" s="10"/>
      <c r="CV54" s="10">
        <v>1</v>
      </c>
      <c r="CW54" s="10"/>
      <c r="CX54" s="10">
        <v>1</v>
      </c>
      <c r="DB54" s="10"/>
      <c r="DC54" s="10">
        <v>1</v>
      </c>
      <c r="DD54" s="10"/>
      <c r="DE54" s="10">
        <v>1</v>
      </c>
      <c r="DI54" s="10"/>
      <c r="DJ54" s="10">
        <v>1</v>
      </c>
      <c r="DK54" s="10"/>
      <c r="DL54" s="10">
        <v>1</v>
      </c>
      <c r="DP54" s="10"/>
      <c r="DQ54" s="10">
        <v>1</v>
      </c>
      <c r="DR54" s="10"/>
      <c r="DS54" s="10">
        <v>1</v>
      </c>
    </row>
    <row r="55" spans="2:123" outlineLevel="1">
      <c r="B55" t="s">
        <v>54</v>
      </c>
      <c r="C55" t="s">
        <v>92</v>
      </c>
      <c r="E55" s="9"/>
      <c r="F55" t="s">
        <v>102</v>
      </c>
      <c r="G55" s="10">
        <v>0.1</v>
      </c>
      <c r="I55" s="9">
        <f t="shared" si="3"/>
        <v>0</v>
      </c>
      <c r="J55" s="11" cm="1">
        <f t="array" ref="J55">MAX(IF($N$3:$DP$3=$J$3,N55:DP55))</f>
        <v>0</v>
      </c>
      <c r="K55" s="11" cm="1">
        <f t="array" ref="K55">MAX(IF($N$3:$DP$3=$J$3,N55:DP55))</f>
        <v>0</v>
      </c>
      <c r="L55" s="9"/>
      <c r="N55" s="12">
        <f>+SUM(N56:N65)</f>
        <v>0</v>
      </c>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v>1</v>
      </c>
      <c r="BN55" s="10"/>
      <c r="BO55" s="10">
        <v>1</v>
      </c>
      <c r="BS55" s="10"/>
      <c r="BT55" s="10">
        <v>1</v>
      </c>
      <c r="BU55" s="21"/>
      <c r="BV55" s="10">
        <v>1</v>
      </c>
      <c r="BZ55" s="10"/>
      <c r="CA55" s="10">
        <v>1</v>
      </c>
      <c r="CB55" s="10"/>
      <c r="CC55" s="10">
        <v>1</v>
      </c>
      <c r="CG55" s="10"/>
      <c r="CH55" s="10">
        <v>1</v>
      </c>
      <c r="CI55" s="10"/>
      <c r="CJ55" s="10">
        <v>1</v>
      </c>
      <c r="CN55" s="10"/>
      <c r="CO55" s="10">
        <v>1</v>
      </c>
      <c r="CP55" s="10"/>
      <c r="CQ55" s="10">
        <v>1</v>
      </c>
      <c r="CU55" s="10"/>
      <c r="CV55" s="10">
        <v>1</v>
      </c>
      <c r="CW55" s="10"/>
      <c r="CX55" s="10">
        <v>1</v>
      </c>
      <c r="DB55" s="10"/>
      <c r="DC55" s="10">
        <v>1</v>
      </c>
      <c r="DD55" s="10"/>
      <c r="DE55" s="10">
        <v>1</v>
      </c>
      <c r="DI55" s="10"/>
      <c r="DJ55" s="10">
        <v>1</v>
      </c>
      <c r="DK55" s="10"/>
      <c r="DL55" s="10">
        <v>1</v>
      </c>
      <c r="DP55" s="10"/>
      <c r="DQ55" s="10">
        <v>1</v>
      </c>
      <c r="DR55" s="10"/>
      <c r="DS55" s="10">
        <v>1</v>
      </c>
    </row>
    <row r="56" spans="2:123" outlineLevel="1">
      <c r="B56" t="s">
        <v>54</v>
      </c>
      <c r="C56" t="s">
        <v>92</v>
      </c>
      <c r="E56" s="9"/>
      <c r="F56" t="s">
        <v>103</v>
      </c>
      <c r="G56" s="10">
        <v>0.1</v>
      </c>
      <c r="I56" s="9">
        <f t="shared" si="3"/>
        <v>0</v>
      </c>
      <c r="J56" s="11" cm="1">
        <f t="array" ref="J56">MAX(IF($N$3:$DP$3=$J$3,N56:DP56))</f>
        <v>0</v>
      </c>
      <c r="K56" s="11" cm="1">
        <f t="array" ref="K56">MAX(IF($N$3:$DP$3=$J$3,N56:DP56))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T56" s="10"/>
      <c r="BV56" s="10"/>
      <c r="BZ56" s="10"/>
      <c r="CA56" s="10"/>
      <c r="CC56" s="10"/>
      <c r="CG56" s="10"/>
      <c r="CH56" s="10">
        <v>1</v>
      </c>
      <c r="CI56" s="10"/>
      <c r="CJ56" s="10">
        <v>1</v>
      </c>
      <c r="CN56" s="10"/>
      <c r="CO56" s="10">
        <v>1</v>
      </c>
      <c r="CP56" s="10"/>
      <c r="CQ56" s="10">
        <v>1</v>
      </c>
      <c r="CU56" s="10"/>
      <c r="CV56" s="10">
        <v>1</v>
      </c>
      <c r="CW56" s="10"/>
      <c r="CX56" s="10">
        <v>1</v>
      </c>
      <c r="DB56" s="10"/>
      <c r="DC56" s="10">
        <v>1</v>
      </c>
      <c r="DD56" s="10"/>
      <c r="DE56" s="10">
        <v>1</v>
      </c>
      <c r="DI56" s="10"/>
      <c r="DJ56" s="10">
        <v>1</v>
      </c>
      <c r="DK56" s="10"/>
      <c r="DL56" s="10">
        <v>1</v>
      </c>
      <c r="DP56" s="10"/>
      <c r="DQ56" s="10">
        <v>1</v>
      </c>
      <c r="DR56" s="10"/>
      <c r="DS56" s="10">
        <v>1</v>
      </c>
    </row>
    <row r="57" spans="2:123" outlineLevel="1">
      <c r="B57" t="s">
        <v>54</v>
      </c>
      <c r="C57" t="s">
        <v>92</v>
      </c>
      <c r="E57" s="9"/>
      <c r="F57" t="s">
        <v>104</v>
      </c>
      <c r="G57" s="10">
        <v>0.1</v>
      </c>
      <c r="I57" s="9">
        <f t="shared" si="3"/>
        <v>0</v>
      </c>
      <c r="J57" s="11" cm="1">
        <f t="array" ref="J57">MAX(IF($N$3:$DP$3=$J$3,N57:DP57))</f>
        <v>0</v>
      </c>
      <c r="K57" s="11" cm="1">
        <f t="array" ref="K57">MAX(IF($N$3:$DP$3=$J$3,N57:DP57))</f>
        <v>0</v>
      </c>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c r="BG57" s="10"/>
      <c r="BH57" s="10"/>
      <c r="BL57" s="10"/>
      <c r="BM57" s="10"/>
      <c r="BN57" s="10"/>
      <c r="BO57" s="10"/>
      <c r="BT57" s="10"/>
      <c r="BU57" s="10"/>
      <c r="BV57" s="10"/>
      <c r="BZ57" s="10"/>
      <c r="CA57" s="10"/>
      <c r="CB57" s="10"/>
      <c r="CC57" s="10"/>
      <c r="CG57" s="10"/>
      <c r="CH57" s="10"/>
      <c r="CI57" s="10"/>
      <c r="CJ57" s="10"/>
      <c r="CN57" s="10"/>
      <c r="CO57" s="10">
        <v>1</v>
      </c>
      <c r="CP57" s="10"/>
      <c r="CQ57" s="10">
        <v>1</v>
      </c>
      <c r="CU57" s="10"/>
      <c r="CV57" s="10">
        <v>1</v>
      </c>
      <c r="CW57" s="10"/>
      <c r="CX57" s="10">
        <v>1</v>
      </c>
      <c r="DB57" s="10"/>
      <c r="DC57" s="10">
        <v>1</v>
      </c>
      <c r="DD57" s="10"/>
      <c r="DE57" s="10">
        <v>1</v>
      </c>
      <c r="DI57" s="10"/>
      <c r="DJ57" s="10">
        <v>1</v>
      </c>
      <c r="DK57" s="10"/>
      <c r="DL57" s="10">
        <v>1</v>
      </c>
      <c r="DP57" s="10"/>
      <c r="DQ57" s="10">
        <v>1</v>
      </c>
      <c r="DR57" s="10"/>
      <c r="DS57" s="10">
        <v>1</v>
      </c>
    </row>
    <row r="58" spans="2:123" outlineLevel="1">
      <c r="B58" t="s">
        <v>54</v>
      </c>
      <c r="C58" t="s">
        <v>92</v>
      </c>
      <c r="E58" s="9"/>
      <c r="F58" t="s">
        <v>105</v>
      </c>
      <c r="G58" s="10">
        <v>0.1</v>
      </c>
      <c r="I58" s="9">
        <f t="shared" si="3"/>
        <v>0</v>
      </c>
      <c r="J58" s="11" cm="1">
        <f t="array" ref="J58">MAX(IF($N$3:$DP$3=$J$3,N58:DP58))</f>
        <v>0</v>
      </c>
      <c r="K58" s="11" cm="1">
        <f t="array" ref="K58">MAX(IF($N$3:$DP$3=$J$3,N58:DP58))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c r="BN58" s="10"/>
      <c r="BO58" s="10"/>
      <c r="BS58" s="10"/>
      <c r="BT58" s="10"/>
      <c r="BV58" s="10"/>
      <c r="BZ58" s="10"/>
      <c r="CA58" s="10"/>
      <c r="CC58" s="10"/>
      <c r="CG58" s="10"/>
      <c r="CH58" s="10"/>
      <c r="CI58" s="10"/>
      <c r="CJ58" s="10"/>
      <c r="CN58" s="10"/>
      <c r="CO58" s="10"/>
      <c r="CP58" s="10"/>
      <c r="CQ58" s="10"/>
      <c r="CU58" s="10"/>
      <c r="CV58" s="10">
        <v>1</v>
      </c>
      <c r="CW58" s="10"/>
      <c r="CX58" s="10">
        <v>1</v>
      </c>
      <c r="DB58" s="10"/>
      <c r="DC58" s="10">
        <v>1</v>
      </c>
      <c r="DD58" s="10"/>
      <c r="DE58" s="10">
        <v>1</v>
      </c>
      <c r="DI58" s="10"/>
      <c r="DJ58" s="10">
        <v>1</v>
      </c>
      <c r="DK58" s="10"/>
      <c r="DL58" s="10">
        <v>1</v>
      </c>
      <c r="DP58" s="10"/>
      <c r="DQ58" s="10">
        <v>1</v>
      </c>
      <c r="DR58" s="10"/>
      <c r="DS58" s="10">
        <v>1</v>
      </c>
    </row>
    <row r="59" spans="2:123">
      <c r="DQ59" s="10">
        <v>1</v>
      </c>
      <c r="DS59" s="10">
        <v>1</v>
      </c>
    </row>
    <row r="60" spans="2:123">
      <c r="B60" t="s">
        <v>40</v>
      </c>
      <c r="C60" t="s">
        <v>106</v>
      </c>
      <c r="D60" s="19">
        <v>44959</v>
      </c>
      <c r="E60" s="9">
        <v>5</v>
      </c>
      <c r="G60" s="10">
        <f>+SUM(G61:G70)</f>
        <v>0.99999999999999989</v>
      </c>
      <c r="I60" s="12">
        <f>+SUM(I61:I70)</f>
        <v>0</v>
      </c>
      <c r="J60" s="11">
        <f>+SUMPRODUCT(G61:G70,J61:J70)</f>
        <v>0</v>
      </c>
      <c r="K60" s="11">
        <f>+SUMPRODUCT(G61:G70,K61:K70)</f>
        <v>0</v>
      </c>
      <c r="L60" s="9"/>
      <c r="U60" s="12">
        <f>+SUM(U61:U70)</f>
        <v>0</v>
      </c>
      <c r="AB60" s="12">
        <f>+SUM(AB61:AB70)</f>
        <v>0</v>
      </c>
      <c r="AI60" s="12">
        <f>+SUM(AI61:AI70)</f>
        <v>0</v>
      </c>
      <c r="AP60" s="12">
        <f>+SUM(AP61:AP70)</f>
        <v>0</v>
      </c>
      <c r="CC60" s="10"/>
      <c r="CO60" s="10"/>
    </row>
    <row r="61" spans="2:123" outlineLevel="1">
      <c r="B61" t="s">
        <v>54</v>
      </c>
      <c r="C61" t="s">
        <v>106</v>
      </c>
      <c r="E61" s="9"/>
      <c r="F61" t="s">
        <v>107</v>
      </c>
      <c r="G61" s="10">
        <v>0.1</v>
      </c>
      <c r="I61" s="9">
        <f t="shared" ref="I61:I72" si="4">+SUMIF($N$3:$ZH$3,I$3,$N61:$ZH61)</f>
        <v>0</v>
      </c>
      <c r="J61" s="11" cm="1">
        <f t="array" ref="J61">MAX(IF($N$3:$DP$3=$J$3,N61:DP61))</f>
        <v>0</v>
      </c>
      <c r="K61" s="11" cm="1">
        <f t="array" ref="K61">MAX(IF($N$3:$DP$3=$J$3,N61:DP61))</f>
        <v>0</v>
      </c>
      <c r="L61" s="9"/>
      <c r="O61" s="10"/>
      <c r="P61" s="10"/>
      <c r="Q61" s="10"/>
      <c r="R61" s="10"/>
      <c r="V61" s="10"/>
      <c r="W61" s="10">
        <v>1</v>
      </c>
      <c r="X61" s="21"/>
      <c r="Y61" s="10">
        <v>1</v>
      </c>
      <c r="AC61" s="10"/>
      <c r="AD61" s="10">
        <v>1</v>
      </c>
      <c r="AE61" s="10"/>
      <c r="AF61" s="10">
        <v>1</v>
      </c>
      <c r="AJ61" s="10"/>
      <c r="AK61" s="10">
        <v>1</v>
      </c>
      <c r="AL61" s="10"/>
      <c r="AM61" s="10">
        <v>1</v>
      </c>
      <c r="AQ61" s="10"/>
      <c r="AR61" s="10">
        <v>1</v>
      </c>
      <c r="AS61" s="10"/>
      <c r="AT61" s="10">
        <v>1</v>
      </c>
      <c r="AX61" s="10"/>
      <c r="AY61" s="10">
        <v>1</v>
      </c>
      <c r="AZ61" s="10"/>
      <c r="BA61" s="10">
        <v>1</v>
      </c>
      <c r="BE61" s="10"/>
      <c r="BF61" s="10">
        <v>1</v>
      </c>
      <c r="BG61" s="10"/>
      <c r="BH61" s="10">
        <v>1</v>
      </c>
      <c r="BL61" s="10"/>
      <c r="BM61" s="10">
        <v>1</v>
      </c>
      <c r="BN61" s="10"/>
      <c r="BO61" s="10">
        <v>1</v>
      </c>
      <c r="BS61" s="10"/>
      <c r="BT61" s="10">
        <v>1</v>
      </c>
      <c r="BU61" s="10"/>
      <c r="BV61" s="10">
        <v>1</v>
      </c>
      <c r="BZ61" s="10"/>
      <c r="CA61" s="10">
        <v>1</v>
      </c>
      <c r="CB61" s="21"/>
      <c r="CC61" s="10">
        <v>1</v>
      </c>
      <c r="CG61" s="10"/>
      <c r="CH61" s="10">
        <v>1</v>
      </c>
      <c r="CI61" s="10"/>
      <c r="CJ61" s="10">
        <v>1</v>
      </c>
      <c r="CN61" s="21"/>
      <c r="CO61" s="10">
        <v>1</v>
      </c>
      <c r="CP61" s="10"/>
      <c r="CQ61" s="10">
        <v>1</v>
      </c>
      <c r="CU61" s="10"/>
      <c r="CV61" s="10">
        <v>1</v>
      </c>
      <c r="CW61" s="10"/>
      <c r="CX61" s="10">
        <v>1</v>
      </c>
      <c r="DB61" s="10"/>
      <c r="DC61" s="10">
        <v>1</v>
      </c>
      <c r="DD61" s="10"/>
      <c r="DE61" s="10">
        <v>1</v>
      </c>
      <c r="DI61" s="10"/>
      <c r="DJ61" s="10">
        <v>1</v>
      </c>
      <c r="DK61" s="10"/>
      <c r="DL61" s="10">
        <v>1</v>
      </c>
      <c r="DP61" s="10"/>
      <c r="DQ61" s="10"/>
      <c r="DR61" s="10"/>
      <c r="DS61" s="10"/>
    </row>
    <row r="62" spans="2:123" outlineLevel="1">
      <c r="B62" t="s">
        <v>54</v>
      </c>
      <c r="C62" t="s">
        <v>106</v>
      </c>
      <c r="E62" s="9"/>
      <c r="F62" t="s">
        <v>108</v>
      </c>
      <c r="G62" s="10">
        <v>0.1</v>
      </c>
      <c r="I62" s="9">
        <f t="shared" si="4"/>
        <v>0</v>
      </c>
      <c r="J62" s="11" cm="1">
        <f t="array" ref="J62">MAX(IF($N$3:$DP$3=$J$3,N62:DP62))</f>
        <v>0</v>
      </c>
      <c r="K62" s="11" cm="1">
        <f t="array" ref="K62">MAX(IF($N$3:$DP$3=$J$3,N62:DP62))</f>
        <v>0</v>
      </c>
      <c r="L62" s="9"/>
      <c r="O62" s="10"/>
      <c r="P62" s="10"/>
      <c r="Q62" s="10"/>
      <c r="R62" s="10"/>
      <c r="V62" s="10"/>
      <c r="W62" s="10">
        <v>1</v>
      </c>
      <c r="X62" s="10"/>
      <c r="Y62" s="10">
        <v>1</v>
      </c>
      <c r="AC62" s="10"/>
      <c r="AD62" s="10">
        <v>1</v>
      </c>
      <c r="AE62" s="10"/>
      <c r="AF62" s="10">
        <v>1</v>
      </c>
      <c r="AJ62" s="10"/>
      <c r="AK62" s="10">
        <v>1</v>
      </c>
      <c r="AL62" s="10"/>
      <c r="AM62" s="10">
        <v>1</v>
      </c>
      <c r="AQ62" s="10"/>
      <c r="AR62" s="10">
        <v>1</v>
      </c>
      <c r="AS62" s="10"/>
      <c r="AT62" s="10">
        <v>1</v>
      </c>
      <c r="AX62" s="10"/>
      <c r="AY62" s="10">
        <v>1</v>
      </c>
      <c r="AZ62" s="10"/>
      <c r="BA62" s="10">
        <v>1</v>
      </c>
      <c r="BE62" s="10"/>
      <c r="BF62" s="10">
        <v>1</v>
      </c>
      <c r="BG62" s="10"/>
      <c r="BH62" s="10">
        <v>1</v>
      </c>
      <c r="BL62" s="10"/>
      <c r="BM62" s="10">
        <v>1</v>
      </c>
      <c r="BN62" s="10"/>
      <c r="BO62" s="10">
        <v>1</v>
      </c>
      <c r="BS62" s="10"/>
      <c r="BT62" s="10">
        <v>1</v>
      </c>
      <c r="BU62" s="10"/>
      <c r="BV62" s="10">
        <v>1</v>
      </c>
      <c r="BZ62" s="10"/>
      <c r="CA62" s="10">
        <v>1</v>
      </c>
      <c r="CB62" s="10"/>
      <c r="CC62" s="10">
        <v>1</v>
      </c>
      <c r="CG62" s="10"/>
      <c r="CH62" s="10">
        <v>1</v>
      </c>
      <c r="CI62" s="10"/>
      <c r="CJ62" s="10">
        <v>1</v>
      </c>
      <c r="CN62" s="10"/>
      <c r="CO62" s="10">
        <v>1</v>
      </c>
      <c r="CP62" s="10"/>
      <c r="CQ62" s="10">
        <v>1</v>
      </c>
      <c r="CU62" s="10"/>
      <c r="CV62" s="10">
        <v>1</v>
      </c>
      <c r="CW62" s="10"/>
      <c r="CX62" s="10">
        <v>1</v>
      </c>
      <c r="DB62" s="10"/>
      <c r="DC62" s="10">
        <v>1</v>
      </c>
      <c r="DD62" s="10"/>
      <c r="DE62" s="10">
        <v>1</v>
      </c>
      <c r="DI62" s="10"/>
      <c r="DJ62" s="10">
        <v>1</v>
      </c>
      <c r="DK62" s="10"/>
      <c r="DL62" s="10">
        <v>1</v>
      </c>
      <c r="DP62" s="10"/>
      <c r="DQ62" s="10"/>
      <c r="DR62" s="10"/>
      <c r="DS62" s="10"/>
    </row>
    <row r="63" spans="2:123" outlineLevel="1">
      <c r="B63" t="s">
        <v>54</v>
      </c>
      <c r="C63" t="s">
        <v>106</v>
      </c>
      <c r="E63" s="9"/>
      <c r="F63" t="s">
        <v>109</v>
      </c>
      <c r="G63" s="10">
        <v>0.1</v>
      </c>
      <c r="I63" s="9">
        <f t="shared" si="4"/>
        <v>0</v>
      </c>
      <c r="J63" s="11" cm="1">
        <f t="array" ref="J63">MAX(IF($N$3:$DP$3=$J$3,N63:DP63))</f>
        <v>0</v>
      </c>
      <c r="K63" s="11" cm="1">
        <f t="array" ref="K63">MAX(IF($N$3:$DP$3=$J$3,N63:DP63))</f>
        <v>0</v>
      </c>
      <c r="L63" s="9"/>
      <c r="O63" s="10"/>
      <c r="P63" s="10"/>
      <c r="Q63" s="10"/>
      <c r="R63" s="10"/>
      <c r="V63" s="10"/>
      <c r="W63" s="10">
        <v>1</v>
      </c>
      <c r="X63" s="10"/>
      <c r="Y63" s="10">
        <v>1</v>
      </c>
      <c r="AC63" s="10"/>
      <c r="AD63" s="10">
        <v>1</v>
      </c>
      <c r="AE63" s="10"/>
      <c r="AF63" s="10">
        <v>1</v>
      </c>
      <c r="AJ63" s="10"/>
      <c r="AK63" s="10">
        <v>1</v>
      </c>
      <c r="AL63" s="10"/>
      <c r="AM63" s="10">
        <v>1</v>
      </c>
      <c r="AQ63" s="10"/>
      <c r="AR63" s="10">
        <v>1</v>
      </c>
      <c r="AS63" s="10"/>
      <c r="AT63" s="10">
        <v>1</v>
      </c>
      <c r="AX63" s="10"/>
      <c r="AY63" s="10">
        <v>1</v>
      </c>
      <c r="AZ63" s="10"/>
      <c r="BA63" s="10">
        <v>1</v>
      </c>
      <c r="BE63" s="10"/>
      <c r="BF63" s="10">
        <v>1</v>
      </c>
      <c r="BG63" s="10"/>
      <c r="BH63" s="10">
        <v>1</v>
      </c>
      <c r="BL63" s="10"/>
      <c r="BM63" s="10">
        <v>1</v>
      </c>
      <c r="BN63" s="10"/>
      <c r="BO63" s="10">
        <v>1</v>
      </c>
      <c r="BS63" s="10"/>
      <c r="BT63" s="10">
        <v>1</v>
      </c>
      <c r="BU63" s="10"/>
      <c r="BV63" s="10">
        <v>1</v>
      </c>
      <c r="BZ63" s="10"/>
      <c r="CA63" s="10">
        <v>1</v>
      </c>
      <c r="CB63" s="10"/>
      <c r="CC63" s="10">
        <v>1</v>
      </c>
      <c r="CG63" s="10"/>
      <c r="CH63" s="10">
        <v>1</v>
      </c>
      <c r="CI63" s="10"/>
      <c r="CJ63" s="10">
        <v>1</v>
      </c>
      <c r="CN63" s="10"/>
      <c r="CO63" s="10">
        <v>1</v>
      </c>
      <c r="CP63" s="10"/>
      <c r="CQ63" s="10">
        <v>1</v>
      </c>
      <c r="CU63" s="10"/>
      <c r="CV63" s="10">
        <v>1</v>
      </c>
      <c r="CW63" s="10"/>
      <c r="CX63" s="10">
        <v>1</v>
      </c>
      <c r="DB63" s="10"/>
      <c r="DC63" s="10">
        <v>1</v>
      </c>
      <c r="DD63" s="10"/>
      <c r="DE63" s="10">
        <v>1</v>
      </c>
      <c r="DI63" s="10"/>
      <c r="DJ63" s="10">
        <v>1</v>
      </c>
      <c r="DK63" s="10"/>
      <c r="DL63" s="10">
        <v>1</v>
      </c>
      <c r="DP63" s="10"/>
      <c r="DQ63" s="10"/>
      <c r="DR63" s="10"/>
      <c r="DS63" s="10"/>
    </row>
    <row r="64" spans="2:123" outlineLevel="1">
      <c r="B64" t="s">
        <v>54</v>
      </c>
      <c r="C64" t="s">
        <v>106</v>
      </c>
      <c r="E64" s="9"/>
      <c r="F64" t="s">
        <v>110</v>
      </c>
      <c r="G64" s="10">
        <v>0.1</v>
      </c>
      <c r="I64" s="9">
        <f t="shared" si="4"/>
        <v>0</v>
      </c>
      <c r="J64" s="11" cm="1">
        <f t="array" ref="J64">MAX(IF($N$3:$DP$3=$J$3,N64:DP64))</f>
        <v>0</v>
      </c>
      <c r="K64" s="11" cm="1">
        <f t="array" ref="K64">MAX(IF($N$3:$DP$3=$J$3,N64:DP64))</f>
        <v>0</v>
      </c>
      <c r="L64" s="9"/>
      <c r="O64" s="10"/>
      <c r="P64" s="10"/>
      <c r="Q64" s="10"/>
      <c r="R64" s="10"/>
      <c r="V64" s="10"/>
      <c r="W64" s="10"/>
      <c r="X64" s="10"/>
      <c r="Y64" s="10"/>
      <c r="AC64" s="10"/>
      <c r="AD64" s="10">
        <v>1</v>
      </c>
      <c r="AE64" s="10"/>
      <c r="AF64" s="10">
        <v>1</v>
      </c>
      <c r="AJ64" s="10"/>
      <c r="AK64" s="10">
        <v>1</v>
      </c>
      <c r="AL64" s="10"/>
      <c r="AM64" s="10">
        <v>1</v>
      </c>
      <c r="AQ64" s="10"/>
      <c r="AR64" s="10">
        <v>1</v>
      </c>
      <c r="AS64" s="10"/>
      <c r="AT64" s="10">
        <v>1</v>
      </c>
      <c r="AX64" s="10"/>
      <c r="AY64" s="10">
        <v>1</v>
      </c>
      <c r="AZ64" s="10"/>
      <c r="BA64" s="10">
        <v>1</v>
      </c>
      <c r="BE64" s="10"/>
      <c r="BF64" s="10">
        <v>1</v>
      </c>
      <c r="BG64" s="10"/>
      <c r="BH64" s="10">
        <v>1</v>
      </c>
      <c r="BL64" s="10"/>
      <c r="BM64" s="10">
        <v>1</v>
      </c>
      <c r="BN64" s="10"/>
      <c r="BO64" s="10">
        <v>1</v>
      </c>
      <c r="BS64" s="10"/>
      <c r="BT64" s="10">
        <v>1</v>
      </c>
      <c r="BU64" s="10"/>
      <c r="BV64" s="10">
        <v>1</v>
      </c>
      <c r="BZ64" s="10"/>
      <c r="CA64" s="10">
        <v>1</v>
      </c>
      <c r="CB64" s="10"/>
      <c r="CC64" s="10">
        <v>1</v>
      </c>
      <c r="CG64" s="10"/>
      <c r="CH64" s="10">
        <v>1</v>
      </c>
      <c r="CI64" s="10"/>
      <c r="CJ64" s="10">
        <v>1</v>
      </c>
      <c r="CN64" s="10"/>
      <c r="CO64" s="10">
        <v>1</v>
      </c>
      <c r="CP64" s="10"/>
      <c r="CQ64" s="10">
        <v>1</v>
      </c>
      <c r="CU64" s="10"/>
      <c r="CV64" s="10">
        <v>1</v>
      </c>
      <c r="CW64" s="10"/>
      <c r="CX64" s="10">
        <v>1</v>
      </c>
      <c r="DB64" s="10"/>
      <c r="DC64" s="10">
        <v>1</v>
      </c>
      <c r="DD64" s="10"/>
      <c r="DE64" s="10">
        <v>1</v>
      </c>
      <c r="DI64" s="10"/>
      <c r="DJ64" s="10">
        <v>1</v>
      </c>
      <c r="DK64" s="10"/>
      <c r="DL64" s="10">
        <v>1</v>
      </c>
      <c r="DP64" s="10"/>
      <c r="DQ64" s="10"/>
      <c r="DR64" s="10"/>
      <c r="DS64" s="10"/>
    </row>
    <row r="65" spans="1:123" outlineLevel="1">
      <c r="B65" t="s">
        <v>54</v>
      </c>
      <c r="C65" t="s">
        <v>106</v>
      </c>
      <c r="E65" s="9"/>
      <c r="F65" t="s">
        <v>111</v>
      </c>
      <c r="G65" s="10">
        <v>0.1</v>
      </c>
      <c r="I65" s="9">
        <f t="shared" si="4"/>
        <v>0</v>
      </c>
      <c r="J65" s="11" cm="1">
        <f t="array" ref="J65">MAX(IF($N$3:$DP$3=$J$3,N65:DP65))</f>
        <v>0</v>
      </c>
      <c r="K65" s="11" cm="1">
        <f t="array" ref="K65">MAX(IF($N$3:$DP$3=$J$3,N65:DP65))</f>
        <v>0</v>
      </c>
      <c r="L65" s="9"/>
      <c r="M65">
        <v>5</v>
      </c>
      <c r="O65" s="10"/>
      <c r="P65" s="10"/>
      <c r="Q65" s="10"/>
      <c r="R65" s="10"/>
      <c r="V65" s="10"/>
      <c r="W65" s="10"/>
      <c r="X65" s="10"/>
      <c r="Y65" s="10"/>
      <c r="AC65" s="10"/>
      <c r="AD65" s="10"/>
      <c r="AE65" s="10"/>
      <c r="AF65" s="10"/>
      <c r="AJ65" s="10"/>
      <c r="AK65" s="10">
        <v>1</v>
      </c>
      <c r="AL65" s="10"/>
      <c r="AM65" s="10">
        <v>1</v>
      </c>
      <c r="AQ65" s="10"/>
      <c r="AR65" s="10">
        <v>1</v>
      </c>
      <c r="AS65" s="10"/>
      <c r="AT65" s="10">
        <v>1</v>
      </c>
      <c r="AX65" s="10"/>
      <c r="AY65" s="10">
        <v>1</v>
      </c>
      <c r="AZ65" s="10"/>
      <c r="BA65" s="10">
        <v>1</v>
      </c>
      <c r="BE65" s="10"/>
      <c r="BF65" s="10">
        <v>1</v>
      </c>
      <c r="BG65" s="10"/>
      <c r="BH65" s="10">
        <v>1</v>
      </c>
      <c r="BL65" s="10"/>
      <c r="BM65" s="10">
        <v>1</v>
      </c>
      <c r="BN65" s="10"/>
      <c r="BO65" s="10">
        <v>1</v>
      </c>
      <c r="BS65" s="10"/>
      <c r="BT65" s="10">
        <v>1</v>
      </c>
      <c r="BU65" s="10"/>
      <c r="BV65" s="10">
        <v>1</v>
      </c>
      <c r="BZ65" s="10"/>
      <c r="CA65" s="10">
        <v>1</v>
      </c>
      <c r="CB65" s="10"/>
      <c r="CC65" s="10">
        <v>1</v>
      </c>
      <c r="CG65" s="10"/>
      <c r="CH65" s="10">
        <v>1</v>
      </c>
      <c r="CI65" s="10"/>
      <c r="CJ65" s="10">
        <v>1</v>
      </c>
      <c r="CN65" s="10"/>
      <c r="CO65" s="10">
        <v>1</v>
      </c>
      <c r="CP65" s="10"/>
      <c r="CQ65" s="10">
        <v>1</v>
      </c>
      <c r="CU65" s="10"/>
      <c r="CV65" s="10">
        <v>1</v>
      </c>
      <c r="CW65" s="10"/>
      <c r="CX65" s="10">
        <v>1</v>
      </c>
      <c r="DB65" s="10"/>
      <c r="DC65" s="10">
        <v>1</v>
      </c>
      <c r="DD65" s="10"/>
      <c r="DE65" s="10">
        <v>1</v>
      </c>
      <c r="DI65" s="10"/>
      <c r="DJ65" s="10">
        <v>1</v>
      </c>
      <c r="DK65" s="10"/>
      <c r="DL65" s="10">
        <v>1</v>
      </c>
      <c r="DP65" s="10"/>
      <c r="DQ65" s="10"/>
      <c r="DR65" s="10"/>
      <c r="DS65" s="10"/>
    </row>
    <row r="66" spans="1:123" outlineLevel="1">
      <c r="B66" t="s">
        <v>54</v>
      </c>
      <c r="C66" t="s">
        <v>106</v>
      </c>
      <c r="E66" s="9"/>
      <c r="F66" t="s">
        <v>112</v>
      </c>
      <c r="G66" s="10">
        <v>0.1</v>
      </c>
      <c r="I66" s="9">
        <f t="shared" si="4"/>
        <v>0</v>
      </c>
      <c r="J66" s="11" cm="1">
        <f t="array" ref="J66">MAX(IF($N$3:$DP$3=$J$3,N66:DP66))</f>
        <v>0</v>
      </c>
      <c r="K66" s="11" cm="1">
        <f t="array" ref="K66">MAX(IF($N$3:$DP$3=$J$3,N66:DP66))</f>
        <v>0</v>
      </c>
      <c r="L66" s="9"/>
      <c r="O66" s="10"/>
      <c r="P66" s="10"/>
      <c r="Q66" s="10"/>
      <c r="R66" s="10"/>
      <c r="V66" s="10"/>
      <c r="W66" s="10"/>
      <c r="X66" s="10"/>
      <c r="Y66" s="10"/>
      <c r="AC66" s="10"/>
      <c r="AD66" s="10"/>
      <c r="AE66" s="10"/>
      <c r="AF66" s="10"/>
      <c r="AJ66" s="10"/>
      <c r="AK66" s="10"/>
      <c r="AL66" s="10"/>
      <c r="AM66" s="10"/>
      <c r="AQ66" s="10"/>
      <c r="AR66" s="10">
        <v>1</v>
      </c>
      <c r="AS66" s="10"/>
      <c r="AT66" s="10">
        <v>1</v>
      </c>
      <c r="AX66" s="10"/>
      <c r="AY66" s="10">
        <v>1</v>
      </c>
      <c r="AZ66" s="10"/>
      <c r="BA66" s="10">
        <v>1</v>
      </c>
      <c r="BE66" s="10"/>
      <c r="BF66" s="10">
        <v>1</v>
      </c>
      <c r="BG66" s="10"/>
      <c r="BH66" s="10">
        <v>1</v>
      </c>
      <c r="BL66" s="10"/>
      <c r="BM66" s="10">
        <v>1</v>
      </c>
      <c r="BN66" s="10"/>
      <c r="BO66" s="10">
        <v>1</v>
      </c>
      <c r="BS66" s="10"/>
      <c r="BT66" s="10">
        <v>1</v>
      </c>
      <c r="BU66" s="10"/>
      <c r="BV66" s="10">
        <v>1</v>
      </c>
      <c r="BZ66" s="10"/>
      <c r="CA66" s="10">
        <v>1</v>
      </c>
      <c r="CB66" s="10"/>
      <c r="CC66" s="10">
        <v>1</v>
      </c>
      <c r="CG66" s="10"/>
      <c r="CH66" s="10">
        <v>1</v>
      </c>
      <c r="CI66" s="10"/>
      <c r="CJ66" s="10">
        <v>1</v>
      </c>
      <c r="CN66" s="10"/>
      <c r="CO66" s="10">
        <v>1</v>
      </c>
      <c r="CP66" s="10"/>
      <c r="CQ66" s="10">
        <v>1</v>
      </c>
      <c r="CU66" s="10"/>
      <c r="CV66" s="10">
        <v>1</v>
      </c>
      <c r="CW66" s="10"/>
      <c r="CX66" s="10">
        <v>1</v>
      </c>
      <c r="DB66" s="10"/>
      <c r="DC66" s="10">
        <v>1</v>
      </c>
      <c r="DD66" s="10"/>
      <c r="DE66" s="10">
        <v>1</v>
      </c>
      <c r="DI66" s="10"/>
      <c r="DJ66" s="10">
        <v>1</v>
      </c>
      <c r="DK66" s="10"/>
      <c r="DL66" s="10">
        <v>1</v>
      </c>
      <c r="DP66" s="10"/>
      <c r="DQ66" s="10"/>
      <c r="DR66" s="10"/>
      <c r="DS66" s="10"/>
    </row>
    <row r="67" spans="1:123" outlineLevel="1">
      <c r="B67" t="s">
        <v>54</v>
      </c>
      <c r="C67" t="s">
        <v>106</v>
      </c>
      <c r="E67" s="9"/>
      <c r="F67" t="s">
        <v>113</v>
      </c>
      <c r="G67" s="10">
        <v>0.1</v>
      </c>
      <c r="I67" s="9">
        <f t="shared" si="4"/>
        <v>0</v>
      </c>
      <c r="J67" s="11" cm="1">
        <f t="array" ref="J67">MAX(IF($N$3:$DP$3=$J$3,N67:DP67))</f>
        <v>0</v>
      </c>
      <c r="K67" s="11" cm="1">
        <f t="array" ref="K67">MAX(IF($N$3:$DP$3=$J$3,N67:DP67))</f>
        <v>0</v>
      </c>
      <c r="L67" s="9"/>
      <c r="O67" s="10"/>
      <c r="P67" s="10"/>
      <c r="Q67" s="10"/>
      <c r="R67" s="10"/>
      <c r="V67" s="10"/>
      <c r="W67" s="10"/>
      <c r="X67" s="10"/>
      <c r="Y67" s="10"/>
      <c r="AC67" s="10"/>
      <c r="AD67" s="10"/>
      <c r="AE67" s="10"/>
      <c r="AF67" s="10"/>
      <c r="AJ67" s="10"/>
      <c r="AK67" s="10"/>
      <c r="AL67" s="10"/>
      <c r="AM67" s="10"/>
      <c r="AQ67" s="10"/>
      <c r="AR67" s="10"/>
      <c r="AS67" s="10"/>
      <c r="AT67" s="10"/>
      <c r="AX67" s="10"/>
      <c r="AY67" s="10">
        <v>1</v>
      </c>
      <c r="AZ67" s="10"/>
      <c r="BA67" s="10">
        <v>1</v>
      </c>
      <c r="BE67" s="10"/>
      <c r="BF67" s="10">
        <v>1</v>
      </c>
      <c r="BG67" s="10"/>
      <c r="BH67" s="10">
        <v>1</v>
      </c>
      <c r="BL67" s="10"/>
      <c r="BM67" s="10">
        <v>1</v>
      </c>
      <c r="BN67" s="10"/>
      <c r="BO67" s="10">
        <v>1</v>
      </c>
      <c r="BS67" s="10"/>
      <c r="BT67" s="10">
        <v>1</v>
      </c>
      <c r="BU67" s="10"/>
      <c r="BV67" s="10">
        <v>1</v>
      </c>
      <c r="BZ67" s="10"/>
      <c r="CA67" s="10">
        <v>1</v>
      </c>
      <c r="CB67" s="10"/>
      <c r="CC67" s="10">
        <v>1</v>
      </c>
      <c r="CG67" s="10"/>
      <c r="CH67" s="10">
        <v>1</v>
      </c>
      <c r="CI67" s="10"/>
      <c r="CJ67" s="10">
        <v>1</v>
      </c>
      <c r="CN67" s="10"/>
      <c r="CO67" s="10">
        <v>1</v>
      </c>
      <c r="CP67" s="10"/>
      <c r="CQ67" s="10">
        <v>1</v>
      </c>
      <c r="CU67" s="10"/>
      <c r="CV67" s="10">
        <v>1</v>
      </c>
      <c r="CW67" s="10"/>
      <c r="CX67" s="10">
        <v>1</v>
      </c>
      <c r="DB67" s="10"/>
      <c r="DC67" s="10">
        <v>1</v>
      </c>
      <c r="DD67" s="10"/>
      <c r="DE67" s="10">
        <v>1</v>
      </c>
      <c r="DI67" s="10"/>
      <c r="DJ67" s="10">
        <v>1</v>
      </c>
      <c r="DK67" s="10"/>
      <c r="DL67" s="10">
        <v>1</v>
      </c>
      <c r="DP67" s="10"/>
      <c r="DQ67" s="10"/>
      <c r="DR67" s="10"/>
      <c r="DS67" s="10"/>
    </row>
    <row r="68" spans="1:123" outlineLevel="1">
      <c r="B68" t="s">
        <v>54</v>
      </c>
      <c r="C68" t="s">
        <v>106</v>
      </c>
      <c r="E68" s="9"/>
      <c r="F68" t="s">
        <v>114</v>
      </c>
      <c r="G68" s="10">
        <v>0.1</v>
      </c>
      <c r="I68" s="9">
        <f t="shared" si="4"/>
        <v>0</v>
      </c>
      <c r="J68" s="11" cm="1">
        <f t="array" ref="J68">MAX(IF($N$3:$DP$3=$J$3,N68:DP68))</f>
        <v>0</v>
      </c>
      <c r="K68" s="11" cm="1">
        <f t="array" ref="K68">MAX(IF($N$3:$DP$3=$J$3,N68:DP68))</f>
        <v>0</v>
      </c>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v>1</v>
      </c>
      <c r="BG68" s="10"/>
      <c r="BH68" s="10">
        <v>1</v>
      </c>
      <c r="BL68" s="10"/>
      <c r="BM68" s="10">
        <v>1</v>
      </c>
      <c r="BN68" s="10"/>
      <c r="BO68" s="10">
        <v>1</v>
      </c>
      <c r="BS68" s="10"/>
      <c r="BT68" s="10">
        <v>1</v>
      </c>
      <c r="BU68" s="10"/>
      <c r="BV68" s="10">
        <v>1</v>
      </c>
      <c r="BZ68" s="10"/>
      <c r="CA68" s="10">
        <v>1</v>
      </c>
      <c r="CB68" s="10"/>
      <c r="CC68" s="10">
        <v>1</v>
      </c>
      <c r="CG68" s="10"/>
      <c r="CH68" s="10">
        <v>1</v>
      </c>
      <c r="CI68" s="10"/>
      <c r="CJ68" s="10">
        <v>1</v>
      </c>
      <c r="CN68" s="10"/>
      <c r="CO68" s="10">
        <v>1</v>
      </c>
      <c r="CP68" s="10"/>
      <c r="CQ68" s="10">
        <v>1</v>
      </c>
      <c r="CU68" s="10"/>
      <c r="CV68" s="10">
        <v>1</v>
      </c>
      <c r="CW68" s="10"/>
      <c r="CX68" s="10">
        <v>1</v>
      </c>
      <c r="DB68" s="10"/>
      <c r="DC68" s="10">
        <v>1</v>
      </c>
      <c r="DD68" s="10"/>
      <c r="DE68" s="10">
        <v>1</v>
      </c>
      <c r="DI68" s="10"/>
      <c r="DJ68" s="10">
        <v>1</v>
      </c>
      <c r="DK68" s="10"/>
      <c r="DL68" s="10">
        <v>1</v>
      </c>
      <c r="DP68" s="10"/>
      <c r="DQ68" s="10"/>
      <c r="DR68" s="10"/>
      <c r="DS68" s="10"/>
    </row>
    <row r="69" spans="1:123" outlineLevel="1">
      <c r="B69" t="s">
        <v>54</v>
      </c>
      <c r="C69" t="s">
        <v>106</v>
      </c>
      <c r="E69" s="9"/>
      <c r="F69" t="s">
        <v>115</v>
      </c>
      <c r="G69" s="10">
        <v>0.1</v>
      </c>
      <c r="I69" s="9">
        <f t="shared" si="4"/>
        <v>0</v>
      </c>
      <c r="J69" s="11" cm="1">
        <f t="array" ref="J69">MAX(IF($N$3:$DP$3=$J$3,N69:DP69))</f>
        <v>0</v>
      </c>
      <c r="K69" s="11" cm="1">
        <f t="array" ref="K69">MAX(IF($N$3:$DP$3=$J$3,N69:DP69))</f>
        <v>0</v>
      </c>
      <c r="L69" s="9"/>
      <c r="N69" s="12">
        <f>+SUM(N70:N79)</f>
        <v>0</v>
      </c>
      <c r="O69" s="10"/>
      <c r="P69" s="10"/>
      <c r="Q69" s="10"/>
      <c r="R69" s="10"/>
      <c r="V69" s="10"/>
      <c r="W69" s="10"/>
      <c r="X69" s="10"/>
      <c r="Y69" s="10"/>
      <c r="AC69" s="10"/>
      <c r="AD69" s="10"/>
      <c r="AE69" s="10"/>
      <c r="AF69" s="10"/>
      <c r="AJ69" s="10"/>
      <c r="AK69" s="10"/>
      <c r="AL69" s="10"/>
      <c r="AM69" s="10"/>
      <c r="AQ69" s="10"/>
      <c r="AR69" s="10"/>
      <c r="AS69" s="10"/>
      <c r="AT69" s="10"/>
      <c r="AX69" s="10"/>
      <c r="AY69" s="10"/>
      <c r="AZ69" s="10"/>
      <c r="BA69" s="10"/>
      <c r="BE69" s="10"/>
      <c r="BF69" s="10"/>
      <c r="BG69" s="10"/>
      <c r="BH69" s="10"/>
      <c r="BL69" s="10"/>
      <c r="BM69" s="10"/>
      <c r="BN69" s="10"/>
      <c r="BO69" s="10"/>
      <c r="BS69" s="10"/>
      <c r="BT69" s="10"/>
      <c r="BU69" s="10"/>
      <c r="BV69" s="10"/>
      <c r="BZ69" s="10"/>
      <c r="CA69" s="10">
        <v>1</v>
      </c>
      <c r="CB69" s="10"/>
      <c r="CC69" s="10">
        <v>1</v>
      </c>
      <c r="CG69" s="10"/>
      <c r="CH69" s="10">
        <v>1</v>
      </c>
      <c r="CI69" s="10"/>
      <c r="CJ69" s="10">
        <v>1</v>
      </c>
      <c r="CN69" s="10"/>
      <c r="CO69" s="10">
        <v>1</v>
      </c>
      <c r="CP69" s="10"/>
      <c r="CQ69" s="10">
        <v>1</v>
      </c>
      <c r="CU69" s="10"/>
      <c r="CV69" s="10">
        <v>1</v>
      </c>
      <c r="CW69" s="10"/>
      <c r="CX69" s="10">
        <v>1</v>
      </c>
      <c r="DB69" s="10"/>
      <c r="DC69" s="10">
        <v>1</v>
      </c>
      <c r="DD69" s="10"/>
      <c r="DE69" s="10">
        <v>1</v>
      </c>
      <c r="DI69" s="10"/>
      <c r="DJ69" s="10">
        <v>1</v>
      </c>
      <c r="DK69" s="10"/>
      <c r="DL69" s="10">
        <v>1</v>
      </c>
      <c r="DP69" s="10"/>
      <c r="DQ69" s="10"/>
      <c r="DR69" s="10"/>
      <c r="DS69" s="10"/>
    </row>
    <row r="70" spans="1:123" outlineLevel="1">
      <c r="B70" t="s">
        <v>54</v>
      </c>
      <c r="C70" t="s">
        <v>106</v>
      </c>
      <c r="E70" s="9"/>
      <c r="F70" t="s">
        <v>116</v>
      </c>
      <c r="G70" s="10">
        <v>0.1</v>
      </c>
      <c r="I70" s="9">
        <f t="shared" si="4"/>
        <v>0</v>
      </c>
      <c r="J70" s="11" cm="1">
        <f t="array" ref="J70">MAX(IF($N$3:$DP$3=$J$3,N70:DP70))</f>
        <v>0</v>
      </c>
      <c r="K70" s="11" cm="1">
        <f t="array" ref="K70">MAX(IF($N$3:$DP$3=$J$3,N70:DP70))</f>
        <v>0</v>
      </c>
      <c r="L70" s="9"/>
      <c r="O70" s="10"/>
      <c r="P70" s="10"/>
      <c r="Q70" s="10"/>
      <c r="R70" s="10"/>
      <c r="V70" s="10"/>
      <c r="W70" s="10"/>
      <c r="X70" s="10"/>
      <c r="Y70" s="10"/>
      <c r="AC70" s="10"/>
      <c r="AD70" s="10"/>
      <c r="AE70" s="10"/>
      <c r="AF70" s="10"/>
      <c r="AJ70" s="10"/>
      <c r="AK70" s="10"/>
      <c r="AL70" s="10"/>
      <c r="AM70" s="10"/>
      <c r="AQ70" s="10"/>
      <c r="AR70" s="10"/>
      <c r="AS70" s="10"/>
      <c r="AT70" s="10"/>
      <c r="AX70" s="10"/>
      <c r="AY70" s="10"/>
      <c r="AZ70" s="10"/>
      <c r="BA70" s="10"/>
      <c r="BE70" s="10"/>
      <c r="BF70" s="10"/>
      <c r="BG70" s="10"/>
      <c r="BH70" s="10"/>
      <c r="BL70" s="10"/>
      <c r="BM70" s="10"/>
      <c r="BN70" s="10"/>
      <c r="BO70" s="10"/>
      <c r="BS70" s="10"/>
      <c r="BT70" s="10"/>
      <c r="BU70" s="10"/>
      <c r="BV70" s="10"/>
      <c r="BZ70" s="10"/>
      <c r="CA70" s="10"/>
      <c r="CB70" s="10"/>
      <c r="CC70" s="10"/>
      <c r="CG70" s="10"/>
      <c r="CH70" s="10">
        <v>1</v>
      </c>
      <c r="CI70" s="10"/>
      <c r="CJ70" s="10">
        <v>1</v>
      </c>
      <c r="CN70" s="10"/>
      <c r="CO70" s="10">
        <v>1</v>
      </c>
      <c r="CP70" s="10"/>
      <c r="CQ70" s="10">
        <v>1</v>
      </c>
      <c r="CU70" s="10"/>
      <c r="CV70" s="10">
        <v>1</v>
      </c>
      <c r="CW70" s="10"/>
      <c r="CX70" s="10">
        <v>1</v>
      </c>
      <c r="DB70" s="10"/>
      <c r="DC70" s="10">
        <v>1</v>
      </c>
      <c r="DD70" s="10"/>
      <c r="DE70" s="10">
        <v>1</v>
      </c>
      <c r="DI70" s="10"/>
      <c r="DJ70" s="10">
        <v>1</v>
      </c>
      <c r="DK70" s="10"/>
      <c r="DL70" s="10">
        <v>1</v>
      </c>
      <c r="DP70" s="10"/>
      <c r="DQ70" s="10"/>
      <c r="DR70" s="10"/>
      <c r="DS70" s="10"/>
    </row>
    <row r="71" spans="1:123" outlineLevel="1">
      <c r="B71" t="s">
        <v>54</v>
      </c>
      <c r="C71" t="s">
        <v>106</v>
      </c>
      <c r="E71" s="9"/>
      <c r="F71" t="s">
        <v>117</v>
      </c>
      <c r="G71" s="10">
        <v>0.1</v>
      </c>
      <c r="I71" s="9">
        <f t="shared" si="4"/>
        <v>0</v>
      </c>
      <c r="J71" s="11" cm="1">
        <f t="array" ref="J71">MAX(IF($N$3:$DP$3=$J$3,N71:DP71))</f>
        <v>0</v>
      </c>
      <c r="K71" s="11" cm="1">
        <f t="array" ref="K71">MAX(IF($N$3:$DP$3=$J$3,N71:DP71))</f>
        <v>0</v>
      </c>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C71" s="10"/>
      <c r="CG71" s="10"/>
      <c r="CH71" s="10"/>
      <c r="CI71" s="10"/>
      <c r="CJ71" s="10"/>
      <c r="CN71" s="10"/>
      <c r="CO71" s="10">
        <v>1</v>
      </c>
      <c r="CP71" s="10"/>
      <c r="CQ71" s="10">
        <v>1</v>
      </c>
      <c r="CU71" s="10"/>
      <c r="CV71" s="10">
        <v>1</v>
      </c>
      <c r="CW71" s="10"/>
      <c r="CX71" s="10">
        <v>1</v>
      </c>
      <c r="DB71" s="10"/>
      <c r="DC71" s="10">
        <v>1</v>
      </c>
      <c r="DD71" s="10"/>
      <c r="DE71" s="10">
        <v>1</v>
      </c>
      <c r="DI71" s="10"/>
      <c r="DJ71" s="10">
        <v>1</v>
      </c>
      <c r="DK71" s="10"/>
      <c r="DL71" s="10">
        <v>1</v>
      </c>
      <c r="DP71" s="10"/>
      <c r="DQ71" s="10"/>
      <c r="DR71" s="10"/>
      <c r="DS71" s="10"/>
    </row>
    <row r="72" spans="1:123" outlineLevel="1">
      <c r="B72" t="s">
        <v>54</v>
      </c>
      <c r="C72" t="s">
        <v>106</v>
      </c>
      <c r="E72" s="9"/>
      <c r="F72" t="s">
        <v>118</v>
      </c>
      <c r="G72" s="10">
        <v>0.1</v>
      </c>
      <c r="I72" s="9">
        <f t="shared" si="4"/>
        <v>0</v>
      </c>
      <c r="J72" s="11" cm="1">
        <f t="array" ref="J72">MAX(IF($N$3:$DP$3=$J$3,N72:DP72))</f>
        <v>0</v>
      </c>
      <c r="K72" s="11" cm="1">
        <f t="array" ref="K72">MAX(IF($N$3:$DP$3=$J$3,N72:DP72))</f>
        <v>0</v>
      </c>
      <c r="L72" s="9"/>
      <c r="O72" s="10"/>
      <c r="P72" s="10"/>
      <c r="Q72" s="10"/>
      <c r="R72" s="10"/>
      <c r="V72" s="10"/>
      <c r="W72" s="10"/>
      <c r="X72" s="10"/>
      <c r="Y72" s="10"/>
      <c r="AC72" s="10"/>
      <c r="AD72" s="10"/>
      <c r="AE72" s="10"/>
      <c r="AF72" s="10"/>
      <c r="AJ72" s="10"/>
      <c r="AK72" s="10"/>
      <c r="AL72" s="10"/>
      <c r="AM72" s="10"/>
      <c r="AQ72" s="10"/>
      <c r="AR72" s="10"/>
      <c r="AS72" s="10"/>
      <c r="AT72" s="10"/>
      <c r="AX72" s="10"/>
      <c r="AY72" s="10"/>
      <c r="AZ72" s="10"/>
      <c r="BA72" s="10"/>
      <c r="BE72" s="10"/>
      <c r="BF72" s="10"/>
      <c r="BG72" s="10"/>
      <c r="BH72" s="10"/>
      <c r="BL72" s="10"/>
      <c r="BM72" s="10"/>
      <c r="BN72" s="10"/>
      <c r="BO72" s="10"/>
      <c r="BS72" s="10"/>
      <c r="BT72" s="10"/>
      <c r="BU72" s="10"/>
      <c r="BV72" s="10"/>
      <c r="BZ72" s="10"/>
      <c r="CA72" s="10"/>
      <c r="CC72" s="10"/>
      <c r="CG72" s="10"/>
      <c r="CH72" s="10"/>
      <c r="CI72" s="10"/>
      <c r="CJ72" s="10"/>
      <c r="CN72" s="10"/>
      <c r="CO72" s="10"/>
      <c r="CP72" s="10"/>
      <c r="CQ72" s="10"/>
      <c r="CU72" s="10"/>
      <c r="CV72" s="10">
        <v>1</v>
      </c>
      <c r="CW72" s="10"/>
      <c r="CX72" s="10">
        <v>1</v>
      </c>
      <c r="DB72" s="10"/>
      <c r="DC72" s="10">
        <v>1</v>
      </c>
      <c r="DD72" s="10"/>
      <c r="DE72" s="10">
        <v>1</v>
      </c>
      <c r="DI72" s="10"/>
      <c r="DJ72" s="10">
        <v>1</v>
      </c>
      <c r="DK72" s="10"/>
      <c r="DL72" s="10">
        <v>1</v>
      </c>
      <c r="DP72" s="10"/>
      <c r="DQ72" s="10"/>
      <c r="DR72" s="10"/>
      <c r="DS72" s="10"/>
    </row>
    <row r="74" spans="1:123">
      <c r="B74" t="s">
        <v>40</v>
      </c>
      <c r="C74" t="s">
        <v>119</v>
      </c>
      <c r="D74" s="19">
        <v>44969</v>
      </c>
      <c r="E74" s="9">
        <v>5</v>
      </c>
      <c r="G74" s="10">
        <f>+SUM(G75:G84)</f>
        <v>0.99999999999999989</v>
      </c>
      <c r="I74" s="12">
        <f>+SUM(I75:I84)</f>
        <v>0</v>
      </c>
      <c r="J74" s="11">
        <f>+SUMPRODUCT(G75:G84,J75:J84)</f>
        <v>0.3</v>
      </c>
      <c r="K74" s="11">
        <f>+SUMPRODUCT(G75:G84,K75:K84)</f>
        <v>0.3</v>
      </c>
      <c r="L74" s="9"/>
      <c r="U74" s="12">
        <f>+SUM(U75:U84)</f>
        <v>0</v>
      </c>
      <c r="AB74" s="12">
        <f>+SUM(AB75:AB84)</f>
        <v>0</v>
      </c>
      <c r="AI74" s="12">
        <f>+SUM(AI75:AI84)</f>
        <v>0</v>
      </c>
      <c r="AP74" s="12">
        <f>+SUM(AP75:AP84)</f>
        <v>0</v>
      </c>
    </row>
    <row r="75" spans="1:123" outlineLevel="1">
      <c r="B75" t="s">
        <v>54</v>
      </c>
      <c r="C75" t="s">
        <v>119</v>
      </c>
      <c r="E75" s="9"/>
      <c r="F75" t="s">
        <v>120</v>
      </c>
      <c r="G75" s="10">
        <v>0.1</v>
      </c>
      <c r="I75" s="9">
        <f t="shared" ref="I75:I89" si="5">+SUMIF($N$3:$ZH$3,I$3,$N75:$ZH75)</f>
        <v>0</v>
      </c>
      <c r="J75" s="11" cm="1">
        <f t="array" ref="J75">MAX(IF($N$3:$DP$3=$J$3,N75:DP75))</f>
        <v>1</v>
      </c>
      <c r="K75" s="11" cm="1">
        <f t="array" ref="K75">MAX(IF($N$3:$DP$3=$J$3,N75:DP75))</f>
        <v>1</v>
      </c>
      <c r="L75" s="9"/>
      <c r="O75" s="10">
        <v>1</v>
      </c>
      <c r="P75" s="10">
        <v>0.5</v>
      </c>
      <c r="Q75" s="10"/>
      <c r="R75" s="10">
        <v>0.5</v>
      </c>
      <c r="V75" s="10"/>
      <c r="W75" s="10">
        <v>1</v>
      </c>
      <c r="X75" s="10"/>
      <c r="Y75" s="10">
        <v>1</v>
      </c>
      <c r="AC75" s="10"/>
      <c r="AD75" s="10">
        <v>1</v>
      </c>
      <c r="AE75" s="10"/>
      <c r="AF75" s="10">
        <v>1</v>
      </c>
      <c r="AJ75" s="10"/>
      <c r="AK75" s="10">
        <v>1</v>
      </c>
      <c r="AL75" s="10"/>
      <c r="AM75" s="10">
        <v>1</v>
      </c>
      <c r="AQ75" s="10"/>
      <c r="AR75" s="10">
        <v>1</v>
      </c>
      <c r="AS75" s="10"/>
      <c r="AT75" s="10">
        <v>1</v>
      </c>
      <c r="AX75" s="10"/>
      <c r="AY75" s="10">
        <v>1</v>
      </c>
      <c r="AZ75" s="10"/>
      <c r="BA75" s="10">
        <v>1</v>
      </c>
      <c r="BE75" s="10"/>
      <c r="BF75" s="10">
        <v>1</v>
      </c>
      <c r="BG75" s="10"/>
      <c r="BH75" s="10">
        <v>1</v>
      </c>
      <c r="BL75" s="10"/>
      <c r="BM75" s="10">
        <v>1</v>
      </c>
      <c r="BN75" s="10"/>
      <c r="BO75" s="10">
        <v>1</v>
      </c>
      <c r="BS75" s="10"/>
      <c r="BT75" s="10">
        <v>1</v>
      </c>
      <c r="BU75" s="10"/>
      <c r="BV75" s="10">
        <v>1</v>
      </c>
      <c r="BZ75" s="10"/>
      <c r="CA75" s="10">
        <v>1</v>
      </c>
      <c r="CB75" s="21"/>
      <c r="CC75" s="10">
        <v>1</v>
      </c>
      <c r="CG75" s="10"/>
      <c r="CH75" s="10">
        <v>1</v>
      </c>
      <c r="CI75" s="10"/>
      <c r="CJ75" s="10">
        <v>1</v>
      </c>
      <c r="CN75" s="10"/>
      <c r="CO75" s="10">
        <v>1</v>
      </c>
      <c r="CP75" s="10"/>
      <c r="CQ75" s="10">
        <v>1</v>
      </c>
      <c r="CU75" s="10"/>
      <c r="CV75" s="10">
        <v>1</v>
      </c>
      <c r="CW75" s="10"/>
      <c r="CX75" s="10">
        <v>1</v>
      </c>
      <c r="DB75" s="10"/>
      <c r="DC75" s="10">
        <v>1</v>
      </c>
      <c r="DD75" s="10"/>
      <c r="DE75" s="10">
        <v>1</v>
      </c>
      <c r="DI75" s="10"/>
      <c r="DJ75" s="10">
        <v>1</v>
      </c>
      <c r="DK75" s="10"/>
      <c r="DL75" s="10">
        <v>1</v>
      </c>
      <c r="DP75" s="10"/>
      <c r="DQ75" s="10">
        <v>1</v>
      </c>
      <c r="DR75" s="10"/>
      <c r="DS75" s="10">
        <v>1</v>
      </c>
    </row>
    <row r="76" spans="1:123" outlineLevel="1">
      <c r="A76">
        <v>13</v>
      </c>
      <c r="B76" t="s">
        <v>54</v>
      </c>
      <c r="C76" s="2" t="s">
        <v>119</v>
      </c>
      <c r="E76" s="9"/>
      <c r="F76" t="s">
        <v>121</v>
      </c>
      <c r="G76" s="10">
        <v>0.1</v>
      </c>
      <c r="I76" s="9">
        <f t="shared" si="5"/>
        <v>0</v>
      </c>
      <c r="J76" s="11" cm="1">
        <f t="array" ref="J76">MAX(IF($N$3:$DP$3=$J$3,N76:DP76))</f>
        <v>1</v>
      </c>
      <c r="K76" s="11" cm="1">
        <f t="array" ref="K76">MAX(IF($N$3:$DP$3=$J$3,N76:DP76))</f>
        <v>1</v>
      </c>
      <c r="L76" s="9"/>
      <c r="O76" s="10">
        <v>1</v>
      </c>
      <c r="P76" s="10">
        <v>0.5</v>
      </c>
      <c r="Q76" s="10"/>
      <c r="R76" s="10">
        <v>0.5</v>
      </c>
      <c r="V76" s="10"/>
      <c r="W76" s="10">
        <v>1</v>
      </c>
      <c r="X76" s="10"/>
      <c r="Y76" s="10">
        <v>1</v>
      </c>
      <c r="AC76" s="10"/>
      <c r="AD76" s="10">
        <v>1</v>
      </c>
      <c r="AE76" s="10"/>
      <c r="AF76" s="10">
        <v>1</v>
      </c>
      <c r="AJ76" s="10"/>
      <c r="AK76" s="10">
        <v>1</v>
      </c>
      <c r="AL76" s="10"/>
      <c r="AM76" s="10">
        <v>1</v>
      </c>
      <c r="AQ76" s="10"/>
      <c r="AR76" s="10">
        <v>1</v>
      </c>
      <c r="AS76" s="10"/>
      <c r="AT76" s="10">
        <v>1</v>
      </c>
      <c r="AX76" s="10"/>
      <c r="AY76" s="10">
        <v>1</v>
      </c>
      <c r="AZ76" s="10"/>
      <c r="BA76" s="10">
        <v>1</v>
      </c>
      <c r="BE76" s="10"/>
      <c r="BF76" s="10">
        <v>1</v>
      </c>
      <c r="BG76" s="10"/>
      <c r="BH76" s="10">
        <v>1</v>
      </c>
      <c r="BL76" s="10"/>
      <c r="BM76" s="10">
        <v>1</v>
      </c>
      <c r="BN76" s="10"/>
      <c r="BO76" s="10">
        <v>1</v>
      </c>
      <c r="BS76" s="10"/>
      <c r="BT76" s="10">
        <v>1</v>
      </c>
      <c r="BU76" s="10"/>
      <c r="BV76" s="10">
        <v>1</v>
      </c>
      <c r="BZ76" s="10"/>
      <c r="CA76" s="10">
        <v>1</v>
      </c>
      <c r="CB76" s="21"/>
      <c r="CC76" s="10">
        <v>1</v>
      </c>
      <c r="CG76" s="10"/>
      <c r="CH76" s="10">
        <v>1</v>
      </c>
      <c r="CI76" s="10"/>
      <c r="CJ76" s="10">
        <v>1</v>
      </c>
      <c r="CN76" s="10"/>
      <c r="CO76" s="10">
        <v>1</v>
      </c>
      <c r="CP76" s="10"/>
      <c r="CQ76" s="10">
        <v>1</v>
      </c>
      <c r="CU76" s="10"/>
      <c r="CV76" s="10">
        <v>1</v>
      </c>
      <c r="CW76" s="10"/>
      <c r="CX76" s="10">
        <v>1</v>
      </c>
      <c r="DB76" s="10"/>
      <c r="DC76" s="10">
        <v>1</v>
      </c>
      <c r="DD76" s="10"/>
      <c r="DE76" s="10">
        <v>1</v>
      </c>
      <c r="DI76" s="10"/>
      <c r="DJ76" s="10">
        <v>1</v>
      </c>
      <c r="DK76" s="10"/>
      <c r="DL76" s="10">
        <v>1</v>
      </c>
      <c r="DP76" s="10"/>
      <c r="DQ76" s="10">
        <v>1</v>
      </c>
      <c r="DR76" s="10"/>
      <c r="DS76" s="10">
        <v>1</v>
      </c>
    </row>
    <row r="77" spans="1:123" outlineLevel="1">
      <c r="A77">
        <v>39</v>
      </c>
      <c r="B77" t="s">
        <v>54</v>
      </c>
      <c r="C77" s="2" t="s">
        <v>119</v>
      </c>
      <c r="E77" s="9"/>
      <c r="F77" t="s">
        <v>122</v>
      </c>
      <c r="G77" s="10">
        <v>0.1</v>
      </c>
      <c r="I77" s="9">
        <f t="shared" si="5"/>
        <v>0</v>
      </c>
      <c r="J77" s="11" cm="1">
        <f t="array" ref="J77">MAX(IF($N$3:$DP$3=$J$3,N77:DP77))</f>
        <v>0.5</v>
      </c>
      <c r="K77" s="11" cm="1">
        <f t="array" ref="K77">MAX(IF($N$3:$DP$3=$J$3,N77:DP77))</f>
        <v>0.5</v>
      </c>
      <c r="L77" s="9"/>
      <c r="O77" s="10">
        <v>0.5</v>
      </c>
      <c r="P77" s="10">
        <v>0.5</v>
      </c>
      <c r="Q77" s="10"/>
      <c r="R77" s="10">
        <v>0.5</v>
      </c>
      <c r="V77" s="10"/>
      <c r="W77" s="10">
        <v>0.5</v>
      </c>
      <c r="X77" s="10"/>
      <c r="Y77" s="10">
        <v>0.5</v>
      </c>
      <c r="AC77" s="10"/>
      <c r="AD77" s="10">
        <v>0.5</v>
      </c>
      <c r="AE77" s="10"/>
      <c r="AF77" s="10">
        <v>0.5</v>
      </c>
      <c r="AJ77" s="10"/>
      <c r="AK77" s="10">
        <v>0.8</v>
      </c>
      <c r="AL77" s="10"/>
      <c r="AM77" s="10">
        <v>0.8</v>
      </c>
      <c r="AQ77" s="10"/>
      <c r="AR77" s="10">
        <v>0.8</v>
      </c>
      <c r="AS77" s="10"/>
      <c r="AT77" s="10">
        <v>0.8</v>
      </c>
      <c r="AX77" s="10"/>
      <c r="AY77" s="10">
        <v>0.8</v>
      </c>
      <c r="AZ77" s="10"/>
      <c r="BA77" s="10">
        <v>0.8</v>
      </c>
      <c r="BE77" s="10"/>
      <c r="BF77" s="10">
        <v>0.8</v>
      </c>
      <c r="BG77" s="10"/>
      <c r="BH77" s="10">
        <v>0.8</v>
      </c>
      <c r="BL77" s="10"/>
      <c r="BM77" s="10">
        <v>1</v>
      </c>
      <c r="BN77" s="10"/>
      <c r="BO77" s="10">
        <v>1</v>
      </c>
      <c r="BS77" s="10"/>
      <c r="BT77" s="10">
        <v>1</v>
      </c>
      <c r="BU77" s="10"/>
      <c r="BV77" s="10">
        <v>1</v>
      </c>
      <c r="BZ77" s="10"/>
      <c r="CA77" s="10">
        <v>1</v>
      </c>
      <c r="CB77" s="10"/>
      <c r="CC77" s="10">
        <v>1</v>
      </c>
      <c r="CG77" s="10"/>
      <c r="CH77" s="10">
        <v>1</v>
      </c>
      <c r="CI77" s="10"/>
      <c r="CJ77" s="10">
        <v>1</v>
      </c>
      <c r="CN77" s="10"/>
      <c r="CO77" s="10">
        <v>1</v>
      </c>
      <c r="CP77" s="10"/>
      <c r="CQ77" s="10">
        <v>1</v>
      </c>
      <c r="CU77" s="10"/>
      <c r="CV77" s="10">
        <v>1</v>
      </c>
      <c r="CW77" s="10"/>
      <c r="CX77" s="10">
        <v>1</v>
      </c>
      <c r="DB77" s="10"/>
      <c r="DC77" s="10">
        <v>1</v>
      </c>
      <c r="DD77" s="10"/>
      <c r="DE77" s="10">
        <v>1</v>
      </c>
      <c r="DI77" s="10"/>
      <c r="DJ77" s="10">
        <v>1</v>
      </c>
      <c r="DK77" s="10"/>
      <c r="DL77" s="10">
        <v>1</v>
      </c>
      <c r="DP77" s="10"/>
      <c r="DQ77" s="10">
        <v>1</v>
      </c>
      <c r="DR77" s="10"/>
      <c r="DS77" s="10">
        <v>1</v>
      </c>
    </row>
    <row r="78" spans="1:123" outlineLevel="1">
      <c r="B78" t="s">
        <v>54</v>
      </c>
      <c r="C78" s="2" t="s">
        <v>119</v>
      </c>
      <c r="E78" s="9"/>
      <c r="F78" t="s">
        <v>123</v>
      </c>
      <c r="G78" s="10">
        <v>0.1</v>
      </c>
      <c r="I78" s="9">
        <f t="shared" si="5"/>
        <v>0</v>
      </c>
      <c r="J78" s="11" cm="1">
        <f t="array" ref="J78">MAX(IF($N$3:$DP$3=$J$3,N78:DP78))</f>
        <v>0.5</v>
      </c>
      <c r="K78" s="11" cm="1">
        <f t="array" ref="K78">MAX(IF($N$3:$DP$3=$J$3,N78:DP78))</f>
        <v>0.5</v>
      </c>
      <c r="L78" s="9"/>
      <c r="O78" s="10">
        <v>0.5</v>
      </c>
      <c r="P78" s="10"/>
      <c r="Q78" s="10"/>
      <c r="R78" s="10"/>
      <c r="V78" s="10"/>
      <c r="W78" s="10">
        <v>0.5</v>
      </c>
      <c r="X78" s="10"/>
      <c r="Y78" s="10">
        <v>0.5</v>
      </c>
      <c r="AC78" s="10"/>
      <c r="AD78" s="10">
        <v>0.5</v>
      </c>
      <c r="AE78" s="10"/>
      <c r="AF78" s="10">
        <v>0.5</v>
      </c>
      <c r="AJ78" s="10"/>
      <c r="AK78" s="10">
        <v>0.5</v>
      </c>
      <c r="AL78" s="10"/>
      <c r="AM78" s="10">
        <v>0.5</v>
      </c>
      <c r="AQ78" s="10"/>
      <c r="AR78" s="10">
        <v>0.8</v>
      </c>
      <c r="AS78" s="10"/>
      <c r="AT78" s="10">
        <v>0.8</v>
      </c>
      <c r="AX78" s="10"/>
      <c r="AY78" s="10">
        <v>0.8</v>
      </c>
      <c r="AZ78" s="10"/>
      <c r="BA78" s="10">
        <v>0.8</v>
      </c>
      <c r="BE78" s="10"/>
      <c r="BF78" s="10">
        <v>0.8</v>
      </c>
      <c r="BG78" s="10"/>
      <c r="BH78" s="10">
        <v>0.8</v>
      </c>
      <c r="BL78" s="10"/>
      <c r="BM78" s="10">
        <v>0.8</v>
      </c>
      <c r="BN78" s="10"/>
      <c r="BO78" s="10">
        <v>0.8</v>
      </c>
      <c r="BS78" s="10"/>
      <c r="BT78" s="10">
        <v>0.8</v>
      </c>
      <c r="BU78" s="10"/>
      <c r="BV78" s="10">
        <v>0.8</v>
      </c>
      <c r="BZ78" s="10"/>
      <c r="CA78" s="10">
        <v>1</v>
      </c>
      <c r="CB78" s="10"/>
      <c r="CC78" s="10">
        <v>1</v>
      </c>
      <c r="CG78" s="10"/>
      <c r="CH78" s="10">
        <v>1</v>
      </c>
      <c r="CI78" s="10"/>
      <c r="CJ78" s="10">
        <v>1</v>
      </c>
      <c r="CN78" s="10"/>
      <c r="CO78" s="10">
        <v>1</v>
      </c>
      <c r="CP78" s="10"/>
      <c r="CQ78" s="10">
        <v>1</v>
      </c>
      <c r="CU78" s="10"/>
      <c r="CV78" s="10">
        <v>1</v>
      </c>
      <c r="CW78" s="10"/>
      <c r="CX78" s="10">
        <v>1</v>
      </c>
      <c r="DB78" s="10"/>
      <c r="DC78" s="10">
        <v>1</v>
      </c>
      <c r="DD78" s="10"/>
      <c r="DE78" s="10">
        <v>1</v>
      </c>
      <c r="DI78" s="10"/>
      <c r="DJ78" s="10">
        <v>1</v>
      </c>
      <c r="DK78" s="10"/>
      <c r="DL78" s="10">
        <v>1</v>
      </c>
      <c r="DP78" s="10"/>
      <c r="DQ78" s="10">
        <v>1</v>
      </c>
      <c r="DR78" s="10"/>
      <c r="DS78" s="10">
        <v>1</v>
      </c>
    </row>
    <row r="79" spans="1:123" outlineLevel="1">
      <c r="B79" t="s">
        <v>54</v>
      </c>
      <c r="C79" s="2" t="s">
        <v>119</v>
      </c>
      <c r="E79" s="9"/>
      <c r="F79" t="s">
        <v>124</v>
      </c>
      <c r="G79" s="10">
        <v>0.1</v>
      </c>
      <c r="I79" s="9">
        <f t="shared" si="5"/>
        <v>0</v>
      </c>
      <c r="J79" s="11" cm="1">
        <f t="array" ref="J79">MAX(IF($N$3:$DP$3=$J$3,N79:DP79))</f>
        <v>0</v>
      </c>
      <c r="K79" s="11" cm="1">
        <f t="array" ref="K79">MAX(IF($N$3:$DP$3=$J$3,N79:DP79))</f>
        <v>0</v>
      </c>
      <c r="L79" s="9"/>
      <c r="M79">
        <v>5</v>
      </c>
      <c r="O79" s="10"/>
      <c r="P79" s="10"/>
      <c r="Q79" s="10"/>
      <c r="R79" s="10"/>
      <c r="V79" s="10"/>
      <c r="W79" s="10"/>
      <c r="X79" s="10"/>
      <c r="Y79" s="10"/>
      <c r="AC79" s="10"/>
      <c r="AD79" s="10">
        <v>0.5</v>
      </c>
      <c r="AE79" s="10"/>
      <c r="AF79" s="10">
        <v>0.5</v>
      </c>
      <c r="AJ79" s="10"/>
      <c r="AK79" s="10">
        <v>0.5</v>
      </c>
      <c r="AL79" s="10"/>
      <c r="AM79" s="10">
        <v>0.5</v>
      </c>
      <c r="AQ79" s="10"/>
      <c r="AR79" s="10">
        <v>0.8</v>
      </c>
      <c r="AS79" s="10"/>
      <c r="AT79" s="10">
        <v>0.8</v>
      </c>
      <c r="AX79" s="10"/>
      <c r="AY79" s="10">
        <v>0.8</v>
      </c>
      <c r="AZ79" s="10"/>
      <c r="BA79" s="10">
        <v>0.8</v>
      </c>
      <c r="BE79" s="10"/>
      <c r="BF79" s="10">
        <v>0.8</v>
      </c>
      <c r="BG79" s="10"/>
      <c r="BH79" s="10">
        <v>0.8</v>
      </c>
      <c r="BL79" s="10"/>
      <c r="BM79" s="10">
        <v>0.8</v>
      </c>
      <c r="BN79" s="10"/>
      <c r="BO79" s="10">
        <v>0.8</v>
      </c>
      <c r="BS79" s="10"/>
      <c r="BT79" s="10">
        <v>0.8</v>
      </c>
      <c r="BU79" s="10"/>
      <c r="BV79" s="10">
        <v>0.8</v>
      </c>
      <c r="BZ79" s="10"/>
      <c r="CA79" s="10">
        <v>1</v>
      </c>
      <c r="CB79" s="10"/>
      <c r="CC79" s="10">
        <v>1</v>
      </c>
      <c r="CG79" s="10"/>
      <c r="CH79" s="10">
        <v>1</v>
      </c>
      <c r="CI79" s="10"/>
      <c r="CJ79" s="10">
        <v>1</v>
      </c>
      <c r="CN79" s="10"/>
      <c r="CO79" s="10">
        <v>1</v>
      </c>
      <c r="CP79" s="10"/>
      <c r="CQ79" s="10">
        <v>1</v>
      </c>
      <c r="CU79" s="10"/>
      <c r="CV79" s="10">
        <v>1</v>
      </c>
      <c r="CW79" s="10"/>
      <c r="CX79" s="10">
        <v>1</v>
      </c>
      <c r="DB79" s="10"/>
      <c r="DC79" s="10">
        <v>1</v>
      </c>
      <c r="DD79" s="10"/>
      <c r="DE79" s="10">
        <v>1</v>
      </c>
      <c r="DI79" s="10"/>
      <c r="DJ79" s="10">
        <v>1</v>
      </c>
      <c r="DK79" s="10"/>
      <c r="DL79" s="10">
        <v>1</v>
      </c>
      <c r="DP79" s="10"/>
      <c r="DQ79" s="10">
        <v>1</v>
      </c>
      <c r="DR79" s="10"/>
      <c r="DS79" s="10">
        <v>1</v>
      </c>
    </row>
    <row r="80" spans="1:123" outlineLevel="1">
      <c r="B80" t="s">
        <v>54</v>
      </c>
      <c r="C80" s="2" t="s">
        <v>119</v>
      </c>
      <c r="E80" s="9"/>
      <c r="F80" t="s">
        <v>125</v>
      </c>
      <c r="G80" s="10">
        <v>0.1</v>
      </c>
      <c r="I80" s="9">
        <f t="shared" si="5"/>
        <v>0</v>
      </c>
      <c r="J80" s="11" cm="1">
        <f t="array" ref="J80">MAX(IF($N$3:$DP$3=$J$3,N80:DP80))</f>
        <v>0</v>
      </c>
      <c r="K80" s="11" cm="1">
        <f t="array" ref="K80">MAX(IF($N$3:$DP$3=$J$3,N80:DP80))</f>
        <v>0</v>
      </c>
      <c r="L80" s="9"/>
      <c r="O80" s="10"/>
      <c r="P80" s="10"/>
      <c r="Q80" s="10"/>
      <c r="R80" s="10"/>
      <c r="V80" s="10"/>
      <c r="W80" s="10"/>
      <c r="X80" s="10"/>
      <c r="Y80" s="10"/>
      <c r="AC80" s="10"/>
      <c r="AD80" s="10">
        <v>0.5</v>
      </c>
      <c r="AE80" s="10"/>
      <c r="AF80" s="10">
        <v>0.5</v>
      </c>
      <c r="AJ80" s="10"/>
      <c r="AK80" s="10">
        <v>0.5</v>
      </c>
      <c r="AL80" s="10"/>
      <c r="AM80" s="10">
        <v>0.5</v>
      </c>
      <c r="AQ80" s="10"/>
      <c r="AR80" s="10">
        <v>0.5</v>
      </c>
      <c r="AS80" s="10"/>
      <c r="AT80" s="10">
        <v>0.5</v>
      </c>
      <c r="AX80" s="10"/>
      <c r="AY80" s="10">
        <v>0.8</v>
      </c>
      <c r="AZ80" s="10"/>
      <c r="BA80" s="10">
        <v>0.8</v>
      </c>
      <c r="BE80" s="10"/>
      <c r="BF80" s="10">
        <v>0.8</v>
      </c>
      <c r="BG80" s="10"/>
      <c r="BH80" s="10">
        <v>0.8</v>
      </c>
      <c r="BL80" s="10"/>
      <c r="BM80" s="10">
        <v>0.8</v>
      </c>
      <c r="BN80" s="10"/>
      <c r="BO80" s="10">
        <v>0.8</v>
      </c>
      <c r="BS80" s="10"/>
      <c r="BT80" s="10">
        <v>0.8</v>
      </c>
      <c r="BU80" s="10"/>
      <c r="BV80" s="10">
        <v>0.8</v>
      </c>
      <c r="BZ80" s="10"/>
      <c r="CA80" s="10">
        <v>0.8</v>
      </c>
      <c r="CB80" s="10"/>
      <c r="CC80" s="10">
        <v>0.8</v>
      </c>
      <c r="CG80" s="10"/>
      <c r="CH80" s="10">
        <v>1</v>
      </c>
      <c r="CI80" s="10"/>
      <c r="CJ80" s="10">
        <v>1</v>
      </c>
      <c r="CN80" s="10"/>
      <c r="CO80" s="10">
        <v>1</v>
      </c>
      <c r="CP80" s="10"/>
      <c r="CQ80" s="10">
        <v>1</v>
      </c>
      <c r="CU80" s="10"/>
      <c r="CV80" s="10">
        <v>1</v>
      </c>
      <c r="CW80" s="10"/>
      <c r="CX80" s="10">
        <v>1</v>
      </c>
      <c r="DB80" s="10"/>
      <c r="DC80" s="10">
        <v>1</v>
      </c>
      <c r="DD80" s="10"/>
      <c r="DE80" s="10">
        <v>1</v>
      </c>
      <c r="DI80" s="10"/>
      <c r="DJ80" s="10">
        <v>1</v>
      </c>
      <c r="DK80" s="10"/>
      <c r="DL80" s="10">
        <v>1</v>
      </c>
      <c r="DP80" s="10"/>
      <c r="DQ80" s="10">
        <v>1</v>
      </c>
      <c r="DR80" s="10"/>
      <c r="DS80" s="10">
        <v>1</v>
      </c>
    </row>
    <row r="81" spans="2:123" outlineLevel="1">
      <c r="B81" t="s">
        <v>54</v>
      </c>
      <c r="C81" s="2" t="s">
        <v>119</v>
      </c>
      <c r="E81" s="9"/>
      <c r="F81" t="s">
        <v>126</v>
      </c>
      <c r="G81" s="10">
        <v>0.1</v>
      </c>
      <c r="I81" s="9">
        <f t="shared" si="5"/>
        <v>0</v>
      </c>
      <c r="J81" s="11" cm="1">
        <f t="array" ref="J81">MAX(IF($N$3:$DP$3=$J$3,N81:DP81))</f>
        <v>0</v>
      </c>
      <c r="K81" s="11" cm="1">
        <f t="array" ref="K81">MAX(IF($N$3:$DP$3=$J$3,N81:DP81))</f>
        <v>0</v>
      </c>
      <c r="L81" s="9"/>
      <c r="O81" s="10"/>
      <c r="P81" s="10"/>
      <c r="Q81" s="10"/>
      <c r="R81" s="10"/>
      <c r="V81" s="10"/>
      <c r="W81" s="10"/>
      <c r="X81" s="10"/>
      <c r="Y81" s="10"/>
      <c r="AC81" s="10"/>
      <c r="AD81" s="10">
        <v>0.5</v>
      </c>
      <c r="AE81" s="10"/>
      <c r="AF81" s="10">
        <v>0.5</v>
      </c>
      <c r="AJ81" s="10"/>
      <c r="AK81" s="10">
        <v>0.5</v>
      </c>
      <c r="AL81" s="10"/>
      <c r="AM81" s="10">
        <v>0.5</v>
      </c>
      <c r="AQ81" s="10"/>
      <c r="AR81" s="10">
        <v>0.5</v>
      </c>
      <c r="AS81" s="10"/>
      <c r="AT81" s="10">
        <v>0.5</v>
      </c>
      <c r="AX81" s="10"/>
      <c r="AY81" s="10">
        <v>0.5</v>
      </c>
      <c r="AZ81" s="10"/>
      <c r="BA81" s="10">
        <v>0.5</v>
      </c>
      <c r="BE81" s="10"/>
      <c r="BF81" s="10">
        <v>0.8</v>
      </c>
      <c r="BG81" s="10"/>
      <c r="BH81" s="10">
        <v>0.8</v>
      </c>
      <c r="BL81" s="10"/>
      <c r="BM81" s="10">
        <v>0.8</v>
      </c>
      <c r="BN81" s="10"/>
      <c r="BO81" s="10">
        <v>0.8</v>
      </c>
      <c r="BS81" s="10"/>
      <c r="BT81" s="10">
        <v>0.8</v>
      </c>
      <c r="BU81" s="10"/>
      <c r="BV81" s="10">
        <v>0.8</v>
      </c>
      <c r="BZ81" s="10"/>
      <c r="CA81" s="10">
        <v>0.8</v>
      </c>
      <c r="CB81" s="10"/>
      <c r="CC81" s="10">
        <v>0.8</v>
      </c>
      <c r="CG81" s="10"/>
      <c r="CH81" s="10">
        <v>0.8</v>
      </c>
      <c r="CI81" s="10"/>
      <c r="CJ81" s="10">
        <v>0.8</v>
      </c>
      <c r="CN81" s="10"/>
      <c r="CO81" s="10">
        <v>1</v>
      </c>
      <c r="CP81" s="10"/>
      <c r="CQ81" s="10">
        <v>1</v>
      </c>
      <c r="CU81" s="10"/>
      <c r="CV81" s="10">
        <v>1</v>
      </c>
      <c r="CW81" s="10"/>
      <c r="CX81" s="10">
        <v>1</v>
      </c>
      <c r="DB81" s="10"/>
      <c r="DC81" s="10">
        <v>1</v>
      </c>
      <c r="DD81" s="10"/>
      <c r="DE81" s="10">
        <v>1</v>
      </c>
      <c r="DI81" s="10"/>
      <c r="DJ81" s="10">
        <v>1</v>
      </c>
      <c r="DK81" s="10"/>
      <c r="DL81" s="10">
        <v>1</v>
      </c>
      <c r="DP81" s="10"/>
      <c r="DQ81" s="10">
        <v>1</v>
      </c>
      <c r="DR81" s="10"/>
      <c r="DS81" s="10">
        <v>1</v>
      </c>
    </row>
    <row r="82" spans="2:123" outlineLevel="1">
      <c r="B82" t="s">
        <v>54</v>
      </c>
      <c r="C82" s="2" t="s">
        <v>119</v>
      </c>
      <c r="E82" s="9"/>
      <c r="F82" t="s">
        <v>127</v>
      </c>
      <c r="G82" s="10">
        <v>0.1</v>
      </c>
      <c r="I82" s="9">
        <f t="shared" si="5"/>
        <v>0</v>
      </c>
      <c r="J82" s="11" cm="1">
        <f t="array" ref="J82">MAX(IF($N$3:$DP$3=$J$3,N82:DP82))</f>
        <v>0</v>
      </c>
      <c r="K82" s="11" cm="1">
        <f t="array" ref="K82">MAX(IF($N$3:$DP$3=$J$3,N82:DP82))</f>
        <v>0</v>
      </c>
      <c r="L82" s="9"/>
      <c r="O82" s="10"/>
      <c r="P82" s="10"/>
      <c r="Q82" s="10"/>
      <c r="R82" s="10"/>
      <c r="V82" s="10"/>
      <c r="W82" s="10"/>
      <c r="X82" s="10"/>
      <c r="Y82" s="10"/>
      <c r="AC82" s="10"/>
      <c r="AD82" s="10"/>
      <c r="AE82" s="10"/>
      <c r="AF82" s="10"/>
      <c r="AJ82" s="10"/>
      <c r="AK82" s="10">
        <v>0.5</v>
      </c>
      <c r="AL82" s="10"/>
      <c r="AM82" s="10">
        <v>0.5</v>
      </c>
      <c r="AQ82" s="10"/>
      <c r="AR82" s="10">
        <v>0.5</v>
      </c>
      <c r="AS82" s="10"/>
      <c r="AT82" s="10">
        <v>0.5</v>
      </c>
      <c r="AX82" s="10"/>
      <c r="AY82" s="10">
        <v>0.5</v>
      </c>
      <c r="AZ82" s="10"/>
      <c r="BA82" s="10">
        <v>0.5</v>
      </c>
      <c r="BE82" s="10"/>
      <c r="BF82" s="10">
        <v>0.8</v>
      </c>
      <c r="BG82" s="10"/>
      <c r="BH82" s="10">
        <v>0.8</v>
      </c>
      <c r="BL82" s="10"/>
      <c r="BM82" s="10">
        <v>0.8</v>
      </c>
      <c r="BN82" s="10"/>
      <c r="BO82" s="10">
        <v>0.8</v>
      </c>
      <c r="BS82" s="10"/>
      <c r="BT82" s="10">
        <v>0.8</v>
      </c>
      <c r="BU82" s="10"/>
      <c r="BV82" s="10">
        <v>0.8</v>
      </c>
      <c r="BZ82" s="10"/>
      <c r="CA82" s="10">
        <v>0.8</v>
      </c>
      <c r="CB82" s="10"/>
      <c r="CC82" s="10">
        <v>0.8</v>
      </c>
      <c r="CG82" s="10"/>
      <c r="CH82" s="10">
        <v>0.8</v>
      </c>
      <c r="CI82" s="10"/>
      <c r="CJ82" s="10">
        <v>0.8</v>
      </c>
      <c r="CN82" s="10"/>
      <c r="CO82" s="10">
        <v>1</v>
      </c>
      <c r="CP82" s="10"/>
      <c r="CQ82" s="10">
        <v>1</v>
      </c>
      <c r="CU82" s="10"/>
      <c r="CV82" s="10">
        <v>1</v>
      </c>
      <c r="CW82" s="10"/>
      <c r="CX82" s="10">
        <v>1</v>
      </c>
      <c r="DB82" s="10"/>
      <c r="DC82" s="10">
        <v>1</v>
      </c>
      <c r="DD82" s="10"/>
      <c r="DE82" s="10">
        <v>1</v>
      </c>
      <c r="DI82" s="10"/>
      <c r="DJ82" s="10">
        <v>1</v>
      </c>
      <c r="DK82" s="10"/>
      <c r="DL82" s="10">
        <v>1</v>
      </c>
      <c r="DP82" s="10"/>
      <c r="DQ82" s="10">
        <v>1</v>
      </c>
      <c r="DR82" s="10"/>
      <c r="DS82" s="10">
        <v>1</v>
      </c>
    </row>
    <row r="83" spans="2:123" outlineLevel="1">
      <c r="B83" t="s">
        <v>54</v>
      </c>
      <c r="C83" s="2" t="s">
        <v>119</v>
      </c>
      <c r="E83" s="9"/>
      <c r="F83" t="s">
        <v>128</v>
      </c>
      <c r="G83" s="10">
        <v>0.1</v>
      </c>
      <c r="I83" s="9">
        <f t="shared" si="5"/>
        <v>0</v>
      </c>
      <c r="J83" s="11" cm="1">
        <f t="array" ref="J83">MAX(IF($N$3:$DP$3=$J$3,N83:DP83))</f>
        <v>0</v>
      </c>
      <c r="K83" s="11" cm="1">
        <f t="array" ref="K83">MAX(IF($N$3:$DP$3=$J$3,N83:DP83))</f>
        <v>0</v>
      </c>
      <c r="L83" s="9"/>
      <c r="O83" s="10"/>
      <c r="P83" s="10"/>
      <c r="Q83" s="10"/>
      <c r="R83" s="10"/>
      <c r="V83" s="10"/>
      <c r="W83" s="10"/>
      <c r="X83" s="10"/>
      <c r="Y83" s="10"/>
      <c r="AC83" s="10"/>
      <c r="AD83" s="10"/>
      <c r="AE83" s="10"/>
      <c r="AF83" s="10"/>
      <c r="AJ83" s="10"/>
      <c r="AK83" s="10">
        <v>0.5</v>
      </c>
      <c r="AL83" s="10"/>
      <c r="AM83" s="10">
        <v>0.5</v>
      </c>
      <c r="AQ83" s="10"/>
      <c r="AR83" s="10">
        <v>0.5</v>
      </c>
      <c r="AS83" s="10"/>
      <c r="AT83" s="10">
        <v>0.5</v>
      </c>
      <c r="AX83" s="10"/>
      <c r="AY83" s="10">
        <v>0.5</v>
      </c>
      <c r="AZ83" s="10"/>
      <c r="BA83" s="10">
        <v>0.5</v>
      </c>
      <c r="BE83" s="10"/>
      <c r="BF83" s="10">
        <v>0.5</v>
      </c>
      <c r="BG83" s="10"/>
      <c r="BH83" s="10">
        <v>0.5</v>
      </c>
      <c r="BL83" s="10"/>
      <c r="BM83" s="10">
        <v>0.8</v>
      </c>
      <c r="BN83" s="10"/>
      <c r="BO83" s="10">
        <v>0.8</v>
      </c>
      <c r="BS83" s="10"/>
      <c r="BT83" s="10">
        <v>0.8</v>
      </c>
      <c r="BU83" s="10"/>
      <c r="BV83" s="10">
        <v>0.8</v>
      </c>
      <c r="BZ83" s="10"/>
      <c r="CA83" s="10">
        <v>0.8</v>
      </c>
      <c r="CB83" s="10"/>
      <c r="CC83" s="10">
        <v>0.8</v>
      </c>
      <c r="CG83" s="10"/>
      <c r="CH83" s="10">
        <v>0.8</v>
      </c>
      <c r="CI83" s="10"/>
      <c r="CJ83" s="10">
        <v>0.8</v>
      </c>
      <c r="CN83" s="10"/>
      <c r="CO83" s="10">
        <v>1</v>
      </c>
      <c r="CP83" s="10"/>
      <c r="CQ83" s="10">
        <v>1</v>
      </c>
      <c r="CU83" s="10"/>
      <c r="CV83" s="10">
        <v>1</v>
      </c>
      <c r="CW83" s="10"/>
      <c r="CX83" s="10">
        <v>1</v>
      </c>
      <c r="DB83" s="10"/>
      <c r="DC83" s="10">
        <v>1</v>
      </c>
      <c r="DD83" s="10"/>
      <c r="DE83" s="10">
        <v>1</v>
      </c>
      <c r="DI83" s="10"/>
      <c r="DJ83" s="10">
        <v>1</v>
      </c>
      <c r="DK83" s="10"/>
      <c r="DL83" s="10">
        <v>1</v>
      </c>
      <c r="DP83" s="10"/>
      <c r="DQ83" s="10">
        <v>1</v>
      </c>
      <c r="DR83" s="10"/>
      <c r="DS83" s="10">
        <v>1</v>
      </c>
    </row>
    <row r="84" spans="2:123" outlineLevel="1">
      <c r="B84" t="s">
        <v>54</v>
      </c>
      <c r="C84" s="2" t="s">
        <v>119</v>
      </c>
      <c r="E84" s="9"/>
      <c r="F84" t="s">
        <v>129</v>
      </c>
      <c r="G84" s="10">
        <v>0.1</v>
      </c>
      <c r="I84" s="9">
        <f t="shared" si="5"/>
        <v>0</v>
      </c>
      <c r="J84" s="11" cm="1">
        <f t="array" ref="J84">MAX(IF($N$3:$DP$3=$J$3,N84:DP84))</f>
        <v>0</v>
      </c>
      <c r="K84" s="11" cm="1">
        <f t="array" ref="K84">MAX(IF($N$3:$DP$3=$J$3,N84:DP84))</f>
        <v>0</v>
      </c>
      <c r="L84" s="9"/>
      <c r="O84" s="10"/>
      <c r="P84" s="10"/>
      <c r="Q84" s="10"/>
      <c r="R84" s="10"/>
      <c r="V84" s="10"/>
      <c r="W84" s="10"/>
      <c r="X84" s="10"/>
      <c r="Y84" s="10"/>
      <c r="AC84" s="10"/>
      <c r="AD84" s="10"/>
      <c r="AE84" s="10"/>
      <c r="AF84" s="10"/>
      <c r="AJ84" s="10"/>
      <c r="AK84" s="10"/>
      <c r="AL84" s="10"/>
      <c r="AM84" s="10"/>
      <c r="AQ84" s="10"/>
      <c r="AR84" s="10">
        <v>0.5</v>
      </c>
      <c r="AS84" s="10"/>
      <c r="AT84" s="10">
        <v>0.5</v>
      </c>
      <c r="AX84" s="10"/>
      <c r="AY84" s="10">
        <v>0.5</v>
      </c>
      <c r="AZ84" s="10"/>
      <c r="BA84" s="10">
        <v>0.5</v>
      </c>
      <c r="BE84" s="10"/>
      <c r="BF84" s="10">
        <v>0.5</v>
      </c>
      <c r="BG84" s="10"/>
      <c r="BH84" s="10">
        <v>0.5</v>
      </c>
      <c r="BL84" s="10"/>
      <c r="BM84" s="10">
        <v>0.8</v>
      </c>
      <c r="BN84" s="10"/>
      <c r="BO84" s="10">
        <v>0.8</v>
      </c>
      <c r="BS84" s="10"/>
      <c r="BT84" s="10">
        <v>0.8</v>
      </c>
      <c r="BU84" s="10"/>
      <c r="BV84" s="10">
        <v>0.8</v>
      </c>
      <c r="BZ84" s="10"/>
      <c r="CA84" s="10">
        <v>0.8</v>
      </c>
      <c r="CB84" s="10"/>
      <c r="CC84" s="10">
        <v>0.8</v>
      </c>
      <c r="CG84" s="10"/>
      <c r="CH84" s="10">
        <v>0.8</v>
      </c>
      <c r="CI84" s="10"/>
      <c r="CJ84" s="10">
        <v>0.8</v>
      </c>
      <c r="CN84" s="10"/>
      <c r="CO84" s="10">
        <v>0.8</v>
      </c>
      <c r="CP84" s="10"/>
      <c r="CQ84" s="10">
        <v>0.8</v>
      </c>
      <c r="CU84" s="10"/>
      <c r="CV84" s="10">
        <v>1</v>
      </c>
      <c r="CW84" s="10"/>
      <c r="CX84" s="10">
        <v>1</v>
      </c>
      <c r="DB84" s="10"/>
      <c r="DC84" s="10">
        <v>1</v>
      </c>
      <c r="DD84" s="10"/>
      <c r="DE84" s="10">
        <v>1</v>
      </c>
      <c r="DI84" s="10"/>
      <c r="DJ84" s="10">
        <v>1</v>
      </c>
      <c r="DK84" s="10"/>
      <c r="DL84" s="10">
        <v>1</v>
      </c>
      <c r="DP84" s="10"/>
      <c r="DQ84" s="10">
        <v>1</v>
      </c>
      <c r="DR84" s="10"/>
      <c r="DS84" s="10">
        <v>1</v>
      </c>
    </row>
    <row r="85" spans="2:123" outlineLevel="1">
      <c r="B85" t="s">
        <v>54</v>
      </c>
      <c r="C85" s="2" t="s">
        <v>119</v>
      </c>
      <c r="E85" s="9"/>
      <c r="F85" t="s">
        <v>130</v>
      </c>
      <c r="G85" s="10">
        <v>0.1</v>
      </c>
      <c r="I85" s="9">
        <f t="shared" si="5"/>
        <v>0</v>
      </c>
      <c r="J85" s="11" cm="1">
        <f t="array" ref="J85">MAX(IF($N$3:$DP$3=$J$3,N85:DP85))</f>
        <v>0</v>
      </c>
      <c r="K85" s="11" cm="1">
        <f t="array" ref="K85">MAX(IF($N$3:$DP$3=$J$3,N85:DP85))</f>
        <v>0</v>
      </c>
      <c r="L85" s="9"/>
      <c r="O85" s="10"/>
      <c r="P85" s="10"/>
      <c r="Q85" s="10"/>
      <c r="R85" s="10"/>
      <c r="V85" s="10"/>
      <c r="W85" s="10"/>
      <c r="X85" s="10"/>
      <c r="Y85" s="10"/>
      <c r="AC85" s="10"/>
      <c r="AD85" s="10"/>
      <c r="AE85" s="10"/>
      <c r="AF85" s="10"/>
      <c r="AJ85" s="10"/>
      <c r="AK85" s="10"/>
      <c r="AL85" s="10"/>
      <c r="AM85" s="10"/>
      <c r="AQ85" s="10"/>
      <c r="AR85" s="10"/>
      <c r="AS85" s="10"/>
      <c r="AT85" s="10"/>
      <c r="AX85" s="10"/>
      <c r="AY85" s="10">
        <v>0.5</v>
      </c>
      <c r="AZ85" s="10"/>
      <c r="BA85" s="10">
        <v>0.5</v>
      </c>
      <c r="BE85" s="10"/>
      <c r="BF85" s="10">
        <v>0.5</v>
      </c>
      <c r="BG85" s="10"/>
      <c r="BH85" s="10">
        <v>0.5</v>
      </c>
      <c r="BL85" s="10"/>
      <c r="BM85" s="10">
        <v>0.5</v>
      </c>
      <c r="BN85" s="10"/>
      <c r="BO85" s="10">
        <v>0.5</v>
      </c>
      <c r="BS85" s="10"/>
      <c r="BT85" s="10">
        <v>0.8</v>
      </c>
      <c r="BU85" s="10"/>
      <c r="BV85" s="10">
        <v>0.8</v>
      </c>
      <c r="BZ85" s="10"/>
      <c r="CA85" s="10">
        <v>0.8</v>
      </c>
      <c r="CB85" s="10"/>
      <c r="CC85" s="10">
        <v>0.8</v>
      </c>
      <c r="CG85" s="10"/>
      <c r="CH85" s="10">
        <v>0.8</v>
      </c>
      <c r="CI85" s="10"/>
      <c r="CJ85" s="10">
        <v>0.8</v>
      </c>
      <c r="CN85" s="10"/>
      <c r="CO85" s="10">
        <v>0.8</v>
      </c>
      <c r="CP85" s="10"/>
      <c r="CQ85" s="10">
        <v>0.8</v>
      </c>
      <c r="CU85" s="10"/>
      <c r="CV85" s="10">
        <v>1</v>
      </c>
      <c r="CW85" s="10"/>
      <c r="CX85" s="10">
        <v>1</v>
      </c>
      <c r="DB85" s="10"/>
      <c r="DC85" s="10">
        <v>1</v>
      </c>
      <c r="DD85" s="10"/>
      <c r="DE85" s="10">
        <v>1</v>
      </c>
      <c r="DI85" s="10"/>
      <c r="DJ85" s="10">
        <v>1</v>
      </c>
      <c r="DK85" s="10"/>
      <c r="DL85" s="10">
        <v>1</v>
      </c>
      <c r="DP85" s="10"/>
      <c r="DQ85" s="10">
        <v>1</v>
      </c>
      <c r="DR85" s="10"/>
      <c r="DS85" s="10">
        <v>1</v>
      </c>
    </row>
    <row r="86" spans="2:123" outlineLevel="1">
      <c r="B86" t="s">
        <v>54</v>
      </c>
      <c r="C86" s="2" t="s">
        <v>119</v>
      </c>
      <c r="E86" s="9"/>
      <c r="F86" t="s">
        <v>131</v>
      </c>
      <c r="G86" s="10">
        <v>0.1</v>
      </c>
      <c r="I86" s="9">
        <f t="shared" si="5"/>
        <v>0</v>
      </c>
      <c r="J86" s="11" cm="1">
        <f t="array" ref="J86">MAX(IF($N$3:$DP$3=$J$3,N86:DP86))</f>
        <v>0</v>
      </c>
      <c r="K86" s="11" cm="1">
        <f t="array" ref="K86">MAX(IF($N$3:$DP$3=$J$3,N86:DP86))</f>
        <v>0</v>
      </c>
      <c r="L86" s="9"/>
      <c r="O86" s="10"/>
      <c r="P86" s="10"/>
      <c r="Q86" s="10"/>
      <c r="R86" s="10"/>
      <c r="V86" s="10"/>
      <c r="W86" s="10"/>
      <c r="X86" s="10"/>
      <c r="Y86" s="10"/>
      <c r="AC86" s="10"/>
      <c r="AD86" s="10"/>
      <c r="AE86" s="10"/>
      <c r="AF86" s="10"/>
      <c r="AJ86" s="10"/>
      <c r="AK86" s="10"/>
      <c r="AL86" s="10"/>
      <c r="AM86" s="10"/>
      <c r="AQ86" s="10"/>
      <c r="AR86" s="10"/>
      <c r="AS86" s="10"/>
      <c r="AT86" s="10"/>
      <c r="AX86" s="10"/>
      <c r="AY86" s="10">
        <v>0.5</v>
      </c>
      <c r="AZ86" s="10"/>
      <c r="BA86" s="10">
        <v>0.5</v>
      </c>
      <c r="BE86" s="10"/>
      <c r="BF86" s="10">
        <v>0.5</v>
      </c>
      <c r="BG86" s="10"/>
      <c r="BH86" s="10">
        <v>0.5</v>
      </c>
      <c r="BL86" s="10"/>
      <c r="BM86" s="10">
        <v>0.5</v>
      </c>
      <c r="BN86" s="10"/>
      <c r="BO86" s="10">
        <v>0.5</v>
      </c>
      <c r="BS86" s="10"/>
      <c r="BT86" s="10">
        <v>0.8</v>
      </c>
      <c r="BU86" s="10"/>
      <c r="BV86" s="10">
        <v>0.8</v>
      </c>
      <c r="BZ86" s="10"/>
      <c r="CA86" s="10">
        <v>0.8</v>
      </c>
      <c r="CB86" s="10"/>
      <c r="CC86" s="10">
        <v>0.8</v>
      </c>
      <c r="CG86" s="10"/>
      <c r="CH86" s="10">
        <v>0.8</v>
      </c>
      <c r="CI86" s="10"/>
      <c r="CJ86" s="10">
        <v>0.8</v>
      </c>
      <c r="CN86" s="10"/>
      <c r="CO86" s="10">
        <v>0.8</v>
      </c>
      <c r="CP86" s="10"/>
      <c r="CQ86" s="10">
        <v>0.8</v>
      </c>
      <c r="CU86" s="10"/>
      <c r="CV86" s="10">
        <v>1</v>
      </c>
      <c r="CW86" s="10"/>
      <c r="CX86" s="10">
        <v>1</v>
      </c>
      <c r="DB86" s="10"/>
      <c r="DC86" s="10">
        <v>1</v>
      </c>
      <c r="DD86" s="10"/>
      <c r="DE86" s="10">
        <v>1</v>
      </c>
      <c r="DI86" s="10"/>
      <c r="DJ86" s="10">
        <v>1</v>
      </c>
      <c r="DK86" s="10"/>
      <c r="DL86" s="10">
        <v>1</v>
      </c>
      <c r="DP86" s="10"/>
      <c r="DQ86" s="10">
        <v>1</v>
      </c>
      <c r="DR86" s="10"/>
      <c r="DS86" s="10">
        <v>1</v>
      </c>
    </row>
    <row r="87" spans="2:123" outlineLevel="1">
      <c r="B87" t="s">
        <v>54</v>
      </c>
      <c r="C87" s="2" t="s">
        <v>119</v>
      </c>
      <c r="E87" s="9"/>
      <c r="F87" t="s">
        <v>132</v>
      </c>
      <c r="G87" s="10">
        <v>0.1</v>
      </c>
      <c r="I87" s="9">
        <f t="shared" si="5"/>
        <v>0</v>
      </c>
      <c r="J87" s="11" cm="1">
        <f t="array" ref="J87">MAX(IF($N$3:$DP$3=$J$3,N87:DP87))</f>
        <v>0</v>
      </c>
      <c r="K87" s="11" cm="1">
        <f t="array" ref="K87">MAX(IF($N$3:$DP$3=$J$3,N87:DP87))</f>
        <v>0</v>
      </c>
      <c r="L87" s="9"/>
      <c r="O87" s="10"/>
      <c r="P87" s="10"/>
      <c r="Q87" s="10"/>
      <c r="R87" s="10"/>
      <c r="V87" s="10"/>
      <c r="W87" s="10"/>
      <c r="X87" s="10"/>
      <c r="Y87" s="10"/>
      <c r="AC87" s="10"/>
      <c r="AD87" s="10"/>
      <c r="AE87" s="10"/>
      <c r="AF87" s="10"/>
      <c r="AJ87" s="10"/>
      <c r="AK87" s="10"/>
      <c r="AL87" s="10"/>
      <c r="AM87" s="10"/>
      <c r="AQ87" s="10"/>
      <c r="AR87" s="10"/>
      <c r="AS87" s="10"/>
      <c r="AT87" s="10"/>
      <c r="AX87" s="10"/>
      <c r="AY87" s="10"/>
      <c r="AZ87" s="10"/>
      <c r="BA87" s="10"/>
      <c r="BE87" s="10"/>
      <c r="BF87" s="10">
        <v>0.5</v>
      </c>
      <c r="BG87" s="10"/>
      <c r="BH87" s="10">
        <v>0.5</v>
      </c>
      <c r="BL87" s="10"/>
      <c r="BM87" s="10">
        <v>0.5</v>
      </c>
      <c r="BN87" s="10"/>
      <c r="BO87" s="10">
        <v>0.5</v>
      </c>
      <c r="BS87" s="10"/>
      <c r="BT87" s="10">
        <v>0.5</v>
      </c>
      <c r="BU87" s="10"/>
      <c r="BV87" s="10">
        <v>0.5</v>
      </c>
      <c r="BZ87" s="10"/>
      <c r="CA87" s="10">
        <v>0.8</v>
      </c>
      <c r="CB87" s="10"/>
      <c r="CC87" s="10">
        <v>0.8</v>
      </c>
      <c r="CG87" s="10"/>
      <c r="CH87" s="10">
        <v>0.8</v>
      </c>
      <c r="CI87" s="10"/>
      <c r="CJ87" s="10">
        <v>0.8</v>
      </c>
      <c r="CN87" s="10"/>
      <c r="CO87" s="10">
        <v>0.8</v>
      </c>
      <c r="CP87" s="10"/>
      <c r="CQ87" s="10">
        <v>0.8</v>
      </c>
      <c r="CU87" s="10"/>
      <c r="CV87" s="10">
        <v>0.8</v>
      </c>
      <c r="CW87" s="10"/>
      <c r="CX87" s="10">
        <v>0.8</v>
      </c>
      <c r="DB87" s="10"/>
      <c r="DC87" s="10">
        <v>1</v>
      </c>
      <c r="DD87" s="10"/>
      <c r="DE87" s="10">
        <v>1</v>
      </c>
      <c r="DI87" s="10"/>
      <c r="DJ87" s="10">
        <v>1</v>
      </c>
      <c r="DK87" s="10"/>
      <c r="DL87" s="10">
        <v>1</v>
      </c>
      <c r="DP87" s="10"/>
      <c r="DQ87" s="10">
        <v>1</v>
      </c>
      <c r="DR87" s="10"/>
      <c r="DS87" s="10">
        <v>1</v>
      </c>
    </row>
    <row r="88" spans="2:123" outlineLevel="1">
      <c r="B88" t="s">
        <v>54</v>
      </c>
      <c r="C88" s="2" t="s">
        <v>119</v>
      </c>
      <c r="E88" s="9"/>
      <c r="F88" t="s">
        <v>133</v>
      </c>
      <c r="G88" s="10">
        <v>0.1</v>
      </c>
      <c r="I88" s="9">
        <f t="shared" si="5"/>
        <v>0</v>
      </c>
      <c r="J88" s="11" cm="1">
        <f t="array" ref="J88">MAX(IF($N$3:$DP$3=$J$3,N88:DP88))</f>
        <v>0</v>
      </c>
      <c r="K88" s="11" cm="1">
        <f t="array" ref="K88">MAX(IF($N$3:$DP$3=$J$3,N88:DP88))</f>
        <v>0</v>
      </c>
      <c r="L88" s="9"/>
      <c r="O88" s="10"/>
      <c r="P88" s="10"/>
      <c r="Q88" s="10"/>
      <c r="R88" s="10"/>
      <c r="V88" s="10"/>
      <c r="W88" s="10"/>
      <c r="X88" s="10"/>
      <c r="Y88" s="10"/>
      <c r="AC88" s="10"/>
      <c r="AD88" s="10"/>
      <c r="AE88" s="10"/>
      <c r="AF88" s="10"/>
      <c r="AJ88" s="10"/>
      <c r="AK88" s="10"/>
      <c r="AL88" s="10"/>
      <c r="AM88" s="10"/>
      <c r="AQ88" s="10"/>
      <c r="AR88" s="10"/>
      <c r="AS88" s="10"/>
      <c r="AT88" s="10"/>
      <c r="AX88" s="10"/>
      <c r="AY88" s="10"/>
      <c r="AZ88" s="10"/>
      <c r="BA88" s="10"/>
      <c r="BE88" s="10"/>
      <c r="BF88" s="10"/>
      <c r="BG88" s="10"/>
      <c r="BH88" s="10"/>
      <c r="BL88" s="10"/>
      <c r="BM88" s="10">
        <v>0.5</v>
      </c>
      <c r="BN88" s="10"/>
      <c r="BO88" s="10">
        <v>0.5</v>
      </c>
      <c r="BS88" s="10"/>
      <c r="BT88" s="10">
        <v>0.5</v>
      </c>
      <c r="BU88" s="10"/>
      <c r="BV88" s="10">
        <v>0.5</v>
      </c>
      <c r="BZ88" s="10"/>
      <c r="CA88" s="10">
        <v>0.5</v>
      </c>
      <c r="CB88" s="10"/>
      <c r="CC88" s="10">
        <v>0.5</v>
      </c>
      <c r="CG88" s="10"/>
      <c r="CH88" s="10">
        <v>0.8</v>
      </c>
      <c r="CI88" s="10"/>
      <c r="CJ88" s="10">
        <v>0.8</v>
      </c>
      <c r="CN88" s="10"/>
      <c r="CO88" s="10">
        <v>0.8</v>
      </c>
      <c r="CP88" s="10"/>
      <c r="CQ88" s="10">
        <v>0.8</v>
      </c>
      <c r="CU88" s="10"/>
      <c r="CV88" s="10">
        <v>0.8</v>
      </c>
      <c r="CW88" s="10"/>
      <c r="CX88" s="10">
        <v>0.8</v>
      </c>
      <c r="DB88" s="10"/>
      <c r="DC88" s="10">
        <v>1</v>
      </c>
      <c r="DD88" s="10"/>
      <c r="DE88" s="10">
        <v>1</v>
      </c>
      <c r="DI88" s="10"/>
      <c r="DJ88" s="10">
        <v>1</v>
      </c>
      <c r="DK88" s="10"/>
      <c r="DL88" s="10">
        <v>1</v>
      </c>
      <c r="DP88" s="10"/>
      <c r="DQ88" s="10">
        <v>1</v>
      </c>
      <c r="DR88" s="10"/>
      <c r="DS88" s="10">
        <v>1</v>
      </c>
    </row>
    <row r="89" spans="2:123" outlineLevel="1">
      <c r="B89" t="s">
        <v>54</v>
      </c>
      <c r="C89" s="2" t="s">
        <v>119</v>
      </c>
      <c r="E89" s="9"/>
      <c r="F89" t="s">
        <v>134</v>
      </c>
      <c r="G89" s="10">
        <v>0.1</v>
      </c>
      <c r="I89" s="9">
        <f t="shared" si="5"/>
        <v>0</v>
      </c>
      <c r="J89" s="11" cm="1">
        <f t="array" ref="J89">MAX(IF($N$3:$DP$3=$J$3,N89:DP89))</f>
        <v>0</v>
      </c>
      <c r="K89" s="11" cm="1">
        <f t="array" ref="K89">MAX(IF($N$3:$DP$3=$J$3,N89:DP89))</f>
        <v>0</v>
      </c>
      <c r="L89" s="9"/>
      <c r="O89" s="10"/>
      <c r="P89" s="10"/>
      <c r="Q89" s="10"/>
      <c r="R89" s="10"/>
      <c r="V89" s="10"/>
      <c r="W89" s="10"/>
      <c r="X89" s="10"/>
      <c r="Y89" s="10"/>
      <c r="AC89" s="10"/>
      <c r="AD89" s="10"/>
      <c r="AE89" s="10"/>
      <c r="AF89" s="10"/>
      <c r="AJ89" s="10"/>
      <c r="AK89" s="10"/>
      <c r="AL89" s="10"/>
      <c r="AM89" s="10"/>
      <c r="AQ89" s="10"/>
      <c r="AR89" s="10"/>
      <c r="AS89" s="10"/>
      <c r="AT89" s="10"/>
      <c r="AX89" s="10"/>
      <c r="AY89" s="10"/>
      <c r="AZ89" s="10"/>
      <c r="BA89" s="10"/>
      <c r="BE89" s="10"/>
      <c r="BF89" s="10"/>
      <c r="BG89" s="10"/>
      <c r="BH89" s="10"/>
      <c r="BL89" s="10"/>
      <c r="BM89" s="10"/>
      <c r="BN89" s="10"/>
      <c r="BO89" s="10"/>
      <c r="BS89" s="10"/>
      <c r="BT89" s="10">
        <v>0.5</v>
      </c>
      <c r="BU89" s="10"/>
      <c r="BV89" s="10">
        <v>0.5</v>
      </c>
      <c r="BZ89" s="10"/>
      <c r="CA89" s="10">
        <v>0.5</v>
      </c>
      <c r="CB89" s="10"/>
      <c r="CC89" s="10">
        <v>0.5</v>
      </c>
      <c r="CG89" s="10"/>
      <c r="CH89" s="10">
        <v>0.8</v>
      </c>
      <c r="CI89" s="10"/>
      <c r="CJ89" s="10">
        <v>0.8</v>
      </c>
      <c r="CN89" s="10"/>
      <c r="CO89" s="10">
        <v>0.8</v>
      </c>
      <c r="CP89" s="10"/>
      <c r="CQ89" s="10">
        <v>0.8</v>
      </c>
      <c r="CU89" s="10"/>
      <c r="CV89" s="10">
        <v>0.8</v>
      </c>
      <c r="CW89" s="10"/>
      <c r="CX89" s="10">
        <v>0.8</v>
      </c>
      <c r="DB89" s="10"/>
      <c r="DC89" s="10">
        <v>1</v>
      </c>
      <c r="DD89" s="10"/>
      <c r="DE89" s="10">
        <v>1</v>
      </c>
      <c r="DI89" s="10"/>
      <c r="DJ89" s="10">
        <v>1</v>
      </c>
      <c r="DK89" s="10"/>
      <c r="DL89" s="10">
        <v>1</v>
      </c>
      <c r="DP89" s="10"/>
      <c r="DQ89" s="10">
        <v>1</v>
      </c>
      <c r="DR89" s="10"/>
      <c r="DS89" s="10">
        <v>1</v>
      </c>
    </row>
    <row r="90" spans="2:123">
      <c r="C90" s="2"/>
      <c r="BV90" s="10"/>
    </row>
  </sheetData>
  <mergeCells count="17">
    <mergeCell ref="DO2:DT2"/>
    <mergeCell ref="BK2:BP2"/>
    <mergeCell ref="BR2:BW2"/>
    <mergeCell ref="BY2:CD2"/>
    <mergeCell ref="CF2:CK2"/>
    <mergeCell ref="CM2:CR2"/>
    <mergeCell ref="DH2:DM2"/>
    <mergeCell ref="CT2:CY2"/>
    <mergeCell ref="DA2:DF2"/>
    <mergeCell ref="I2:L2"/>
    <mergeCell ref="N2:S2"/>
    <mergeCell ref="BD2:BI2"/>
    <mergeCell ref="U2:Z2"/>
    <mergeCell ref="AB2:AG2"/>
    <mergeCell ref="AI2:AN2"/>
    <mergeCell ref="AP2:AU2"/>
    <mergeCell ref="AW2:BB2"/>
  </mergeCells>
  <conditionalFormatting sqref="J15">
    <cfRule type="colorScale" priority="515">
      <colorScale>
        <cfvo type="percent" val="0"/>
        <cfvo type="percent" val="100"/>
        <color rgb="FFFF231B"/>
        <color rgb="FF10FF07"/>
      </colorScale>
    </cfRule>
  </conditionalFormatting>
  <conditionalFormatting sqref="J16">
    <cfRule type="colorScale" priority="496">
      <colorScale>
        <cfvo type="percent" val="0"/>
        <cfvo type="percent" val="100"/>
        <color rgb="FFFF231B"/>
        <color rgb="FF10FF07"/>
      </colorScale>
    </cfRule>
  </conditionalFormatting>
  <conditionalFormatting sqref="J23">
    <cfRule type="colorScale" priority="169">
      <colorScale>
        <cfvo type="percent" val="0"/>
        <cfvo type="percent" val="100"/>
        <color rgb="FFFF231B"/>
        <color rgb="FF10FF07"/>
      </colorScale>
    </cfRule>
  </conditionalFormatting>
  <conditionalFormatting sqref="J24">
    <cfRule type="colorScale" priority="150">
      <colorScale>
        <cfvo type="percent" val="0"/>
        <cfvo type="percent" val="100"/>
        <color rgb="FFFF231B"/>
        <color rgb="FF10FF07"/>
      </colorScale>
    </cfRule>
  </conditionalFormatting>
  <conditionalFormatting sqref="J24:J28">
    <cfRule type="colorScale" priority="1546">
      <colorScale>
        <cfvo type="percent" val="0"/>
        <cfvo type="percent" val="100"/>
        <color rgb="FFFF231B"/>
        <color rgb="FF10FF07"/>
      </colorScale>
    </cfRule>
  </conditionalFormatting>
  <conditionalFormatting sqref="J25:J28 J14 J17:J22">
    <cfRule type="colorScale" priority="1305">
      <colorScale>
        <cfvo type="percent" val="0"/>
        <cfvo type="percent" val="100"/>
        <color rgb="FFFF231B"/>
        <color rgb="FF10FF07"/>
      </colorScale>
    </cfRule>
  </conditionalFormatting>
  <conditionalFormatting sqref="J31:J43">
    <cfRule type="colorScale" priority="1120">
      <colorScale>
        <cfvo type="percent" val="0"/>
        <cfvo type="percent" val="100"/>
        <color rgb="FFFF231B"/>
        <color rgb="FF10FF07"/>
      </colorScale>
    </cfRule>
  </conditionalFormatting>
  <conditionalFormatting sqref="J46:J58">
    <cfRule type="colorScale" priority="366">
      <colorScale>
        <cfvo type="percent" val="0"/>
        <cfvo type="percent" val="100"/>
        <color rgb="FFFF231B"/>
        <color rgb="FF10FF07"/>
      </colorScale>
    </cfRule>
  </conditionalFormatting>
  <conditionalFormatting sqref="J61:J72">
    <cfRule type="colorScale" priority="1655">
      <colorScale>
        <cfvo type="percent" val="0"/>
        <cfvo type="percent" val="100"/>
        <color rgb="FFFF231B"/>
        <color rgb="FF10FF07"/>
      </colorScale>
    </cfRule>
  </conditionalFormatting>
  <conditionalFormatting sqref="J75:J89">
    <cfRule type="colorScale" priority="1580">
      <colorScale>
        <cfvo type="percent" val="0"/>
        <cfvo type="percent" val="100"/>
        <color rgb="FFFF231B"/>
        <color rgb="FF10FF07"/>
      </colorScale>
    </cfRule>
  </conditionalFormatting>
  <conditionalFormatting sqref="J15:K15">
    <cfRule type="colorScale" priority="516">
      <colorScale>
        <cfvo type="percent" val="0"/>
        <cfvo type="percent" val="100"/>
        <color rgb="FFFF231B"/>
        <color rgb="FF10FF07"/>
      </colorScale>
    </cfRule>
  </conditionalFormatting>
  <conditionalFormatting sqref="J16:K16">
    <cfRule type="colorScale" priority="497">
      <colorScale>
        <cfvo type="percent" val="0"/>
        <cfvo type="percent" val="100"/>
        <color rgb="FFFF231B"/>
        <color rgb="FF10FF07"/>
      </colorScale>
    </cfRule>
  </conditionalFormatting>
  <conditionalFormatting sqref="J17:K22">
    <cfRule type="colorScale" priority="750">
      <colorScale>
        <cfvo type="percent" val="0"/>
        <cfvo type="percent" val="100"/>
        <color rgb="FFFF231B"/>
        <color rgb="FF10FF07"/>
      </colorScale>
    </cfRule>
  </conditionalFormatting>
  <conditionalFormatting sqref="J23:K23">
    <cfRule type="colorScale" priority="170">
      <colorScale>
        <cfvo type="percent" val="0"/>
        <cfvo type="percent" val="100"/>
        <color rgb="FFFF231B"/>
        <color rgb="FF10FF07"/>
      </colorScale>
    </cfRule>
  </conditionalFormatting>
  <conditionalFormatting sqref="J24:K24">
    <cfRule type="colorScale" priority="151">
      <colorScale>
        <cfvo type="percent" val="0"/>
        <cfvo type="percent" val="100"/>
        <color rgb="FFFF231B"/>
        <color rgb="FF10FF07"/>
      </colorScale>
    </cfRule>
  </conditionalFormatting>
  <conditionalFormatting sqref="J25:K28">
    <cfRule type="colorScale" priority="1397">
      <colorScale>
        <cfvo type="percent" val="0"/>
        <cfvo type="percent" val="100"/>
        <color rgb="FFFF231B"/>
        <color rgb="FF10FF07"/>
      </colorScale>
    </cfRule>
  </conditionalFormatting>
  <conditionalFormatting sqref="J32:K40">
    <cfRule type="colorScale" priority="1119">
      <colorScale>
        <cfvo type="percent" val="0"/>
        <cfvo type="percent" val="100"/>
        <color rgb="FFFF231B"/>
        <color rgb="FF10FF07"/>
      </colorScale>
    </cfRule>
  </conditionalFormatting>
  <conditionalFormatting sqref="J41:K41">
    <cfRule type="colorScale" priority="370">
      <colorScale>
        <cfvo type="percent" val="0"/>
        <cfvo type="percent" val="100"/>
        <color rgb="FFFF231B"/>
        <color rgb="FF10FF07"/>
      </colorScale>
    </cfRule>
  </conditionalFormatting>
  <conditionalFormatting sqref="J42:K42">
    <cfRule type="colorScale" priority="369">
      <colorScale>
        <cfvo type="percent" val="0"/>
        <cfvo type="percent" val="100"/>
        <color rgb="FFFF231B"/>
        <color rgb="FF10FF07"/>
      </colorScale>
    </cfRule>
  </conditionalFormatting>
  <conditionalFormatting sqref="J43:K43">
    <cfRule type="colorScale" priority="368">
      <colorScale>
        <cfvo type="percent" val="0"/>
        <cfvo type="percent" val="100"/>
        <color rgb="FFFF231B"/>
        <color rgb="FF10FF07"/>
      </colorScale>
    </cfRule>
  </conditionalFormatting>
  <conditionalFormatting sqref="J47:K55">
    <cfRule type="colorScale" priority="365">
      <colorScale>
        <cfvo type="percent" val="0"/>
        <cfvo type="percent" val="100"/>
        <color rgb="FFFF231B"/>
        <color rgb="FF10FF07"/>
      </colorScale>
    </cfRule>
  </conditionalFormatting>
  <conditionalFormatting sqref="J56:K56">
    <cfRule type="colorScale" priority="350">
      <colorScale>
        <cfvo type="percent" val="0"/>
        <cfvo type="percent" val="100"/>
        <color rgb="FFFF231B"/>
        <color rgb="FF10FF07"/>
      </colorScale>
    </cfRule>
  </conditionalFormatting>
  <conditionalFormatting sqref="J57:K57">
    <cfRule type="colorScale" priority="349">
      <colorScale>
        <cfvo type="percent" val="0"/>
        <cfvo type="percent" val="100"/>
        <color rgb="FFFF231B"/>
        <color rgb="FF10FF07"/>
      </colorScale>
    </cfRule>
  </conditionalFormatting>
  <conditionalFormatting sqref="J58:K58">
    <cfRule type="colorScale" priority="348">
      <colorScale>
        <cfvo type="percent" val="0"/>
        <cfvo type="percent" val="100"/>
        <color rgb="FFFF231B"/>
        <color rgb="FF10FF07"/>
      </colorScale>
    </cfRule>
  </conditionalFormatting>
  <conditionalFormatting sqref="J62:K70">
    <cfRule type="colorScale" priority="345">
      <colorScale>
        <cfvo type="percent" val="0"/>
        <cfvo type="percent" val="100"/>
        <color rgb="FFFF231B"/>
        <color rgb="FF10FF07"/>
      </colorScale>
    </cfRule>
  </conditionalFormatting>
  <conditionalFormatting sqref="J71:K71">
    <cfRule type="colorScale" priority="330">
      <colorScale>
        <cfvo type="percent" val="0"/>
        <cfvo type="percent" val="100"/>
        <color rgb="FFFF231B"/>
        <color rgb="FF10FF07"/>
      </colorScale>
    </cfRule>
  </conditionalFormatting>
  <conditionalFormatting sqref="J72:K72">
    <cfRule type="colorScale" priority="329">
      <colorScale>
        <cfvo type="percent" val="0"/>
        <cfvo type="percent" val="100"/>
        <color rgb="FFFF231B"/>
        <color rgb="FF10FF07"/>
      </colorScale>
    </cfRule>
  </conditionalFormatting>
  <conditionalFormatting sqref="J76:K84">
    <cfRule type="colorScale" priority="44">
      <colorScale>
        <cfvo type="percent" val="0"/>
        <cfvo type="percent" val="100"/>
        <color rgb="FFFF231B"/>
        <color rgb="FF10FF07"/>
      </colorScale>
    </cfRule>
  </conditionalFormatting>
  <conditionalFormatting sqref="J85:K85">
    <cfRule type="colorScale" priority="29">
      <colorScale>
        <cfvo type="percent" val="0"/>
        <cfvo type="percent" val="100"/>
        <color rgb="FFFF231B"/>
        <color rgb="FF10FF07"/>
      </colorScale>
    </cfRule>
  </conditionalFormatting>
  <conditionalFormatting sqref="J86:K86">
    <cfRule type="colorScale" priority="28">
      <colorScale>
        <cfvo type="percent" val="0"/>
        <cfvo type="percent" val="100"/>
        <color rgb="FFFF231B"/>
        <color rgb="FF10FF07"/>
      </colorScale>
    </cfRule>
  </conditionalFormatting>
  <conditionalFormatting sqref="J87:K87">
    <cfRule type="colorScale" priority="27">
      <colorScale>
        <cfvo type="percent" val="0"/>
        <cfvo type="percent" val="100"/>
        <color rgb="FFFF231B"/>
        <color rgb="FF10FF07"/>
      </colorScale>
    </cfRule>
  </conditionalFormatting>
  <conditionalFormatting sqref="J89:K89">
    <cfRule type="colorScale" priority="1622">
      <colorScale>
        <cfvo type="percent" val="0"/>
        <cfvo type="percent" val="100"/>
        <color rgb="FFFF231B"/>
        <color rgb="FF10FF07"/>
      </colorScale>
    </cfRule>
  </conditionalFormatting>
  <conditionalFormatting sqref="K15">
    <cfRule type="colorScale" priority="514">
      <colorScale>
        <cfvo type="percent" val="0"/>
        <cfvo type="percent" val="100"/>
        <color rgb="FFFF231B"/>
        <color rgb="FF10FF07"/>
      </colorScale>
    </cfRule>
  </conditionalFormatting>
  <conditionalFormatting sqref="K16">
    <cfRule type="colorScale" priority="495">
      <colorScale>
        <cfvo type="percent" val="0"/>
        <cfvo type="percent" val="100"/>
        <color rgb="FFFF231B"/>
        <color rgb="FF10FF07"/>
      </colorScale>
    </cfRule>
  </conditionalFormatting>
  <conditionalFormatting sqref="K23">
    <cfRule type="colorScale" priority="168">
      <colorScale>
        <cfvo type="percent" val="0"/>
        <cfvo type="percent" val="100"/>
        <color rgb="FFFF231B"/>
        <color rgb="FF10FF07"/>
      </colorScale>
    </cfRule>
  </conditionalFormatting>
  <conditionalFormatting sqref="K24">
    <cfRule type="colorScale" priority="149">
      <colorScale>
        <cfvo type="percent" val="0"/>
        <cfvo type="percent" val="100"/>
        <color rgb="FFFF231B"/>
        <color rgb="FF10FF07"/>
      </colorScale>
    </cfRule>
  </conditionalFormatting>
  <conditionalFormatting sqref="K24:K28">
    <cfRule type="colorScale" priority="1547">
      <colorScale>
        <cfvo type="percent" val="0"/>
        <cfvo type="percent" val="100"/>
        <color rgb="FFFF231B"/>
        <color rgb="FF10FF07"/>
      </colorScale>
    </cfRule>
  </conditionalFormatting>
  <conditionalFormatting sqref="K25:K28 K14 K17:K22">
    <cfRule type="colorScale" priority="1308">
      <colorScale>
        <cfvo type="percent" val="0"/>
        <cfvo type="percent" val="100"/>
        <color rgb="FFFF231B"/>
        <color rgb="FF10FF07"/>
      </colorScale>
    </cfRule>
  </conditionalFormatting>
  <conditionalFormatting sqref="K31:K43">
    <cfRule type="colorScale" priority="1122">
      <colorScale>
        <cfvo type="percent" val="0"/>
        <cfvo type="percent" val="100"/>
        <color rgb="FFFF231B"/>
        <color rgb="FF10FF07"/>
      </colorScale>
    </cfRule>
  </conditionalFormatting>
  <conditionalFormatting sqref="K46:K58">
    <cfRule type="colorScale" priority="367">
      <colorScale>
        <cfvo type="percent" val="0"/>
        <cfvo type="percent" val="100"/>
        <color rgb="FFFF231B"/>
        <color rgb="FF10FF07"/>
      </colorScale>
    </cfRule>
  </conditionalFormatting>
  <conditionalFormatting sqref="K61:K72">
    <cfRule type="colorScale" priority="1656">
      <colorScale>
        <cfvo type="percent" val="0"/>
        <cfvo type="percent" val="100"/>
        <color rgb="FFFF231B"/>
        <color rgb="FF10FF07"/>
      </colorScale>
    </cfRule>
  </conditionalFormatting>
  <conditionalFormatting sqref="K75:K89">
    <cfRule type="colorScale" priority="1581">
      <colorScale>
        <cfvo type="percent" val="0"/>
        <cfvo type="percent" val="100"/>
        <color rgb="FFFF231B"/>
        <color rgb="FF10FF07"/>
      </colorScale>
    </cfRule>
  </conditionalFormatting>
  <conditionalFormatting sqref="O14:O25 Q23:Q25 CE6:CF6 Q14:Q21 P22:Q22 BZ31:BZ38 CU32:CU43 DP33:DP43 BZ41:BZ43 BS46:BS54 BU46:BU54 CI47:CI58 O5:O11 Q5:Q11 V5:V11 X5:X11 AC5:AC11 AE5:AE11 AJ5:AJ11 AL5:AL11 AQ5:AQ11 AS5:AS11 AZ5:AZ11 BE5:BE11 BG5:BG11 BL5:BL11 BN5:BN11 BS5:BS11 X62:X72 CN62:CN72">
    <cfRule type="expression" dxfId="181" priority="183">
      <formula>OR(IF(O5&lt;P5,TRUE),IF(AND(P5="",O5&lt;&gt;""),TRUE))</formula>
    </cfRule>
  </conditionalFormatting>
  <conditionalFormatting sqref="O24 Q24 BS55 BU33:BU43">
    <cfRule type="expression" dxfId="180" priority="164">
      <formula>OR(IF(O24&lt;P24,TRUE),IF(AND(P24="",O24&lt;&gt;""),TRUE))</formula>
    </cfRule>
    <cfRule type="expression" dxfId="179" priority="165">
      <formula>IF(O24&gt;=P24,IF(O24="",FALSE,TRUE))</formula>
    </cfRule>
  </conditionalFormatting>
  <conditionalFormatting sqref="O25:O28 Q25:Q28 BV5:CJ5 CP5:CP7 CW5:CW7 DD5:DD7 DK5:DK7 BT5:BU9 CN5:CN10 CU5:CU10 DB5:DB10 DI5:DI10 BV6:CC6 CJ6 CG7 CI7 BV7:BZ8 CD8:CG8 CL8 CS8 CZ8 DG8 BV9:CA9 CD9:CJ9 CP9 CW9 DD9 DK9 CD10:CG10 CL10 CS10 CZ10 DG10 BT10:BV11 BZ10:CA11 CF11:CG11 CK11 CM11 CR11 CT11 CY11 DA11 DF11 DH11 DM11 AL31:AL38 O31:O43 Q31:Q43 V31:V43 X31:X43 AE31:AE43 AJ31:AJ43 AQ31:AQ43 AS31:AS43 AX31:AX43 AZ31:AZ43 BE31:BE43 BG31:BG43 BL31:BL43 BN31:BN43 AC32:AC43 AL40:AL43 O61:O72 Q61:Q72 V61:V72 AE61:AE72 AJ61:AJ72 AL61:AL72 AQ61:AQ72 AS61:AS72 AX61:AX72 AZ61:AZ72 BE61:BE72 BG61:BG72 BL61:BL72 BN61:BN72 BS61:BS72 BU61:BU72 BZ61:BZ72 CG61:CG72 CI61:CI72 CP61:CP72 CU61:CU72 CW61:CW72 DB61:DB72 DD61:DD72 DI61:DI72 DK61:DK72 O75:O89 Q75:Q89 V75:V89 X75:X89 AC75:AC89 AE75:AE89 AJ75:AJ89 AL75:AL89 AQ75:AQ89 AS75:AS89 AX75:AX89 AZ75:AZ89 BE75:BE89 BG75:BG89 BL75:BL89 BN75:BN89 BS75:BS89 BU75:BU89 BZ75:BZ89 CG75:CG89 CI75:CI89 CN75:CN89 CP75:CP89 CU75:CU89 CW75:CW89 DB75:DB89 DD75:DD89 DI75:DI89 DK75:DK89 AC61:AC72">
    <cfRule type="expression" dxfId="178" priority="935">
      <formula>OR(IF(O5&lt;P5,TRUE),IF(AND(P5="",O5&lt;&gt;""),TRUE))</formula>
    </cfRule>
  </conditionalFormatting>
  <conditionalFormatting sqref="O46:O58 Q46:Q58 V46:V58 X46:X58 AC46:AC58 AE46:AE58 AJ46:AJ58 AL46:AL58 AQ46:AQ58 AS46:AS58 AX46:AX58 AZ46:AZ58 BE46:BE58 BG46:BG58 BL46:BL58 BN46:BN58">
    <cfRule type="expression" dxfId="177" priority="363">
      <formula>OR(IF(O46&lt;P46,TRUE),IF(AND(P46="",O46&lt;&gt;""),TRUE))</formula>
    </cfRule>
    <cfRule type="expression" dxfId="176" priority="364">
      <formula>IF(O46&gt;=P46,IF(O46="",FALSE,TRUE))</formula>
    </cfRule>
  </conditionalFormatting>
  <conditionalFormatting sqref="V14:V28 X14:X28">
    <cfRule type="expression" dxfId="175" priority="162">
      <formula>OR(IF(V14&lt;W14,TRUE),IF(AND(W14="",V14&lt;&gt;""),TRUE))</formula>
    </cfRule>
    <cfRule type="expression" dxfId="174" priority="163">
      <formula>IF(V14&gt;=W14,IF(V14="",FALSE,TRUE))</formula>
    </cfRule>
  </conditionalFormatting>
  <conditionalFormatting sqref="V24:V28">
    <cfRule type="expression" dxfId="173" priority="846">
      <formula>OR(IF(V24&lt;W24,TRUE),IF(AND(W24="",V24&lt;&gt;""),TRUE))</formula>
    </cfRule>
    <cfRule type="expression" dxfId="172" priority="847">
      <formula>IF(V24&gt;=W24,IF(V24="",FALSE,TRUE))</formula>
    </cfRule>
  </conditionalFormatting>
  <conditionalFormatting sqref="X24:X28">
    <cfRule type="expression" dxfId="171" priority="844">
      <formula>OR(IF(X24&lt;Y24,TRUE),IF(AND(Y24="",X24&lt;&gt;""),TRUE))</formula>
    </cfRule>
    <cfRule type="expression" dxfId="170" priority="845">
      <formula>IF(X24&gt;=Y24,IF(X24="",FALSE,TRUE))</formula>
    </cfRule>
  </conditionalFormatting>
  <conditionalFormatting sqref="AC14:AC28 AE14:AE28">
    <cfRule type="expression" dxfId="169" priority="160">
      <formula>OR(IF(AC14&lt;AD14,TRUE),IF(AND(AD14="",AC14&lt;&gt;""),TRUE))</formula>
    </cfRule>
    <cfRule type="expression" dxfId="168" priority="161">
      <formula>IF(AC14&gt;=AD14,IF(AC14="",FALSE,TRUE))</formula>
    </cfRule>
  </conditionalFormatting>
  <conditionalFormatting sqref="AC24:AC28">
    <cfRule type="expression" dxfId="167" priority="830">
      <formula>OR(IF(AC24&lt;AD24,TRUE),IF(AND(AD24="",AC24&lt;&gt;""),TRUE))</formula>
    </cfRule>
    <cfRule type="expression" dxfId="166" priority="831">
      <formula>IF(AC24&gt;=AD24,IF(AC24="",FALSE,TRUE))</formula>
    </cfRule>
  </conditionalFormatting>
  <conditionalFormatting sqref="AE24:AE28">
    <cfRule type="expression" dxfId="165" priority="828">
      <formula>OR(IF(AE24&lt;AF24,TRUE),IF(AND(AF24="",AE24&lt;&gt;""),TRUE))</formula>
    </cfRule>
    <cfRule type="expression" dxfId="164" priority="829">
      <formula>IF(AE24&gt;=AF24,IF(AE24="",FALSE,TRUE))</formula>
    </cfRule>
  </conditionalFormatting>
  <conditionalFormatting sqref="AJ14:AJ28 AL14:AL28">
    <cfRule type="expression" dxfId="163" priority="158">
      <formula>OR(IF(AJ14&lt;AK14,TRUE),IF(AND(AK14="",AJ14&lt;&gt;""),TRUE))</formula>
    </cfRule>
    <cfRule type="expression" dxfId="162" priority="159">
      <formula>IF(AJ14&gt;=AK14,IF(AJ14="",FALSE,TRUE))</formula>
    </cfRule>
  </conditionalFormatting>
  <conditionalFormatting sqref="AJ24:AJ28">
    <cfRule type="expression" dxfId="161" priority="814">
      <formula>OR(IF(AJ24&lt;AK24,TRUE),IF(AND(AK24="",AJ24&lt;&gt;""),TRUE))</formula>
    </cfRule>
    <cfRule type="expression" dxfId="160" priority="815">
      <formula>IF(AJ24&gt;=AK24,IF(AJ24="",FALSE,TRUE))</formula>
    </cfRule>
  </conditionalFormatting>
  <conditionalFormatting sqref="AL24:AL28">
    <cfRule type="expression" dxfId="159" priority="812">
      <formula>OR(IF(AL24&lt;AM24,TRUE),IF(AND(AM24="",AL24&lt;&gt;""),TRUE))</formula>
    </cfRule>
    <cfRule type="expression" dxfId="158" priority="813">
      <formula>IF(AL24&gt;=AM24,IF(AL24="",FALSE,TRUE))</formula>
    </cfRule>
  </conditionalFormatting>
  <conditionalFormatting sqref="AL39">
    <cfRule type="expression" dxfId="157" priority="1795">
      <formula>IF(AL39&gt;=#REF!,IF(AL39="",FALSE,TRUE))</formula>
    </cfRule>
    <cfRule type="expression" dxfId="156" priority="1797">
      <formula>OR(IF(AL39&lt;#REF!,TRUE),IF(AND(#REF!="",AL39&lt;&gt;""),TRUE))</formula>
    </cfRule>
  </conditionalFormatting>
  <conditionalFormatting sqref="AQ14:AQ28 AS14:AS28">
    <cfRule type="expression" dxfId="155" priority="156">
      <formula>OR(IF(AQ14&lt;AR14,TRUE),IF(AND(AR14="",AQ14&lt;&gt;""),TRUE))</formula>
    </cfRule>
    <cfRule type="expression" dxfId="154" priority="157">
      <formula>IF(AQ14&gt;=AR14,IF(AQ14="",FALSE,TRUE))</formula>
    </cfRule>
  </conditionalFormatting>
  <conditionalFormatting sqref="AQ24:AQ28">
    <cfRule type="expression" dxfId="153" priority="798">
      <formula>OR(IF(AQ24&lt;AR24,TRUE),IF(AND(AR24="",AQ24&lt;&gt;""),TRUE))</formula>
    </cfRule>
    <cfRule type="expression" dxfId="152" priority="799">
      <formula>IF(AQ24&gt;=AR24,IF(AQ24="",FALSE,TRUE))</formula>
    </cfRule>
  </conditionalFormatting>
  <conditionalFormatting sqref="AS24:AS28">
    <cfRule type="expression" dxfId="151" priority="796">
      <formula>OR(IF(AS24&lt;AT24,TRUE),IF(AND(AT24="",AS24&lt;&gt;""),TRUE))</formula>
    </cfRule>
    <cfRule type="expression" dxfId="150" priority="797">
      <formula>IF(AS24&gt;=AT24,IF(AS24="",FALSE,TRUE))</formula>
    </cfRule>
  </conditionalFormatting>
  <conditionalFormatting sqref="AX4 CC7:CC9">
    <cfRule type="expression" dxfId="149" priority="1682">
      <formula>IF(AX4&gt;=AY5,IF(AX4="",FALSE,TRUE))</formula>
    </cfRule>
    <cfRule type="expression" dxfId="148" priority="1694">
      <formula>OR(IF(AX4&lt;AY5,TRUE),IF(AND(AY5="",AX4&lt;&gt;""),TRUE))</formula>
    </cfRule>
  </conditionalFormatting>
  <conditionalFormatting sqref="AX5:AX9">
    <cfRule type="expression" dxfId="147" priority="1754">
      <formula>IF(AX5&gt;=AY7,IF(AX5="",FALSE,TRUE))</formula>
    </cfRule>
    <cfRule type="expression" dxfId="146" priority="1757">
      <formula>OR(IF(AX5&lt;AY7,TRUE),IF(AND(AY7="",AX5&lt;&gt;""),TRUE))</formula>
    </cfRule>
  </conditionalFormatting>
  <conditionalFormatting sqref="AX11">
    <cfRule type="expression" dxfId="145" priority="1759">
      <formula>IF(AX11&gt;=AY13,IF(AX11="",FALSE,TRUE))</formula>
    </cfRule>
    <cfRule type="expression" dxfId="144" priority="1761">
      <formula>OR(IF(AX11&lt;AY13,TRUE),IF(AND(AY13="",AX11&lt;&gt;""),TRUE))</formula>
    </cfRule>
  </conditionalFormatting>
  <conditionalFormatting sqref="AX14:AX28 AZ14:AZ28">
    <cfRule type="expression" dxfId="143" priority="154">
      <formula>OR(IF(AX14&lt;AY14,TRUE),IF(AND(AY14="",AX14&lt;&gt;""),TRUE))</formula>
    </cfRule>
    <cfRule type="expression" dxfId="142" priority="155">
      <formula>IF(AX14&gt;=AY14,IF(AX14="",FALSE,TRUE))</formula>
    </cfRule>
  </conditionalFormatting>
  <conditionalFormatting sqref="AX24:AX28">
    <cfRule type="expression" dxfId="141" priority="782">
      <formula>OR(IF(AX24&lt;AY24,TRUE),IF(AND(AY24="",AX24&lt;&gt;""),TRUE))</formula>
    </cfRule>
    <cfRule type="expression" dxfId="140" priority="783">
      <formula>IF(AX24&gt;=AY24,IF(AX24="",FALSE,TRUE))</formula>
    </cfRule>
  </conditionalFormatting>
  <conditionalFormatting sqref="AZ24:AZ28">
    <cfRule type="expression" dxfId="139" priority="780">
      <formula>OR(IF(AZ24&lt;BA24,TRUE),IF(AND(BA24="",AZ24&lt;&gt;""),TRUE))</formula>
    </cfRule>
    <cfRule type="expression" dxfId="138" priority="781">
      <formula>IF(AZ24&gt;=BA24,IF(AZ24="",FALSE,TRUE))</formula>
    </cfRule>
  </conditionalFormatting>
  <conditionalFormatting sqref="BE14:BE28 BG14:BG28">
    <cfRule type="expression" dxfId="137" priority="152">
      <formula>OR(IF(BE14&lt;BF14,TRUE),IF(AND(BF14="",BE14&lt;&gt;""),TRUE))</formula>
    </cfRule>
    <cfRule type="expression" dxfId="136" priority="153">
      <formula>IF(BE14&gt;=BF14,IF(BE14="",FALSE,TRUE))</formula>
    </cfRule>
  </conditionalFormatting>
  <conditionalFormatting sqref="BE24:BE28">
    <cfRule type="expression" dxfId="135" priority="766">
      <formula>OR(IF(BE24&lt;BF24,TRUE),IF(AND(BF24="",BE24&lt;&gt;""),TRUE))</formula>
    </cfRule>
    <cfRule type="expression" dxfId="134" priority="767">
      <formula>IF(BE24&gt;=BF24,IF(BE24="",FALSE,TRUE))</formula>
    </cfRule>
  </conditionalFormatting>
  <conditionalFormatting sqref="BG24:BG28">
    <cfRule type="expression" dxfId="133" priority="764">
      <formula>OR(IF(BG24&lt;BH24,TRUE),IF(AND(BH24="",BG24&lt;&gt;""),TRUE))</formula>
    </cfRule>
    <cfRule type="expression" dxfId="132" priority="765">
      <formula>IF(BG24&gt;=BH24,IF(BG24="",FALSE,TRUE))</formula>
    </cfRule>
  </conditionalFormatting>
  <conditionalFormatting sqref="BL14:BL28 BN14:BN28">
    <cfRule type="expression" dxfId="131" priority="147">
      <formula>OR(IF(BL14&lt;BM14,TRUE),IF(AND(BM14="",BL14&lt;&gt;""),TRUE))</formula>
    </cfRule>
    <cfRule type="expression" dxfId="130" priority="148">
      <formula>IF(BL14&gt;=BM14,IF(BL14="",FALSE,TRUE))</formula>
    </cfRule>
  </conditionalFormatting>
  <conditionalFormatting sqref="BL24:BL28">
    <cfRule type="expression" dxfId="129" priority="742">
      <formula>OR(IF(BL24&lt;BM24,TRUE),IF(AND(BM24="",BL24&lt;&gt;""),TRUE))</formula>
    </cfRule>
    <cfRule type="expression" dxfId="128" priority="743">
      <formula>IF(BL24&gt;=BM24,IF(BL24="",FALSE,TRUE))</formula>
    </cfRule>
  </conditionalFormatting>
  <conditionalFormatting sqref="BN24:BN28">
    <cfRule type="expression" dxfId="127" priority="740">
      <formula>OR(IF(BN24&lt;BO24,TRUE),IF(AND(BO24="",BN24&lt;&gt;""),TRUE))</formula>
    </cfRule>
    <cfRule type="expression" dxfId="126" priority="741">
      <formula>IF(BN24&gt;=BO24,IF(BN24="",FALSE,TRUE))</formula>
    </cfRule>
  </conditionalFormatting>
  <conditionalFormatting sqref="BS14:BS28 BU14:BU28">
    <cfRule type="expression" dxfId="125" priority="137">
      <formula>OR(IF(BS14&lt;BT14,TRUE),IF(AND(BT14="",BS14&lt;&gt;""),TRUE))</formula>
    </cfRule>
    <cfRule type="expression" dxfId="124" priority="138">
      <formula>IF(BS14&gt;=BT14,IF(BS14="",FALSE,TRUE))</formula>
    </cfRule>
  </conditionalFormatting>
  <conditionalFormatting sqref="BS24:BS28">
    <cfRule type="expression" dxfId="123" priority="487">
      <formula>OR(IF(BS24&lt;BT24,TRUE),IF(AND(BT24="",BS24&lt;&gt;""),TRUE))</formula>
    </cfRule>
    <cfRule type="expression" dxfId="122" priority="488">
      <formula>IF(BS24&gt;=BT24,IF(BS24="",FALSE,TRUE))</formula>
    </cfRule>
  </conditionalFormatting>
  <conditionalFormatting sqref="BS31:BS43">
    <cfRule type="expression" dxfId="121" priority="491">
      <formula>OR(IF(BS31&lt;BT31,TRUE),IF(AND(BT31="",BS31&lt;&gt;""),TRUE))</formula>
    </cfRule>
    <cfRule type="expression" dxfId="120" priority="492">
      <formula>IF(BS31&gt;=BT31,IF(BS31="",FALSE,TRUE))</formula>
    </cfRule>
  </conditionalFormatting>
  <conditionalFormatting sqref="BU57">
    <cfRule type="expression" dxfId="119" priority="1780">
      <formula>OR(IF(BU57&lt;BV58,TRUE),IF(AND(BV58="",BU57&lt;&gt;""),TRUE))</formula>
    </cfRule>
    <cfRule type="expression" dxfId="118" priority="1781">
      <formula>IF(BU57&gt;=BV58,IF(BU57="",FALSE,TRUE))</formula>
    </cfRule>
  </conditionalFormatting>
  <conditionalFormatting sqref="BU24:BU28">
    <cfRule type="expression" dxfId="117" priority="485">
      <formula>OR(IF(BU24&lt;BV24,TRUE),IF(AND(BV24="",BU24&lt;&gt;""),TRUE))</formula>
    </cfRule>
    <cfRule type="expression" dxfId="116" priority="486">
      <formula>IF(BU24&gt;=BV24,IF(BU24="",FALSE,TRUE))</formula>
    </cfRule>
  </conditionalFormatting>
  <conditionalFormatting sqref="BV5:CJ5 CP5:CP7 CW5:CW7 DD5:DD7 DK5:DK7 BT5:BU9 CN5:CN10 CU5:CU10 DB5:DB10 DI5:DI10 BV6:CC6 CJ6 CG7 CI7 BV7:BZ8 CD8:CG8 CL8 CS8 CZ8 DG8 BV9:CA9 CD9:CJ9 CP9 CW9 DD9 DK9 CD10:CG10 CL10 CS10 CZ10 DG10 BT10:BV11 BZ10:CA11 CF11:CG11 CK11 CM11 CR11 CT11 CY11 DA11 DF11 DH11 DM11 O25:O28 Q25:Q28 AL31:AL38 O31:O43 Q31:Q43 V31:V43 X31:X43 AE31:AE43 AJ31:AJ43 AQ31:AQ43 AS31:AS43 AX31:AX43 AZ31:AZ43 BE31:BE43 BG31:BG43 BL31:BL43 BN31:BN43 AC32:AC43 AL40:AL43 O61:O72 Q61:Q72 V61:V72 AE61:AE72 AJ61:AJ72 AL61:AL72 AQ61:AQ72 AS61:AS72 AX61:AX72 AZ61:AZ72 BE61:BE72 BG61:BG72 BL61:BL72 BN61:BN72 BS61:BS72 BU61:BU72 BZ61:BZ72 CG61:CG72 CI61:CI72 CP61:CP72 CU61:CU72 CW61:CW72 DB61:DB72 DD61:DD72 DI61:DI72 DK61:DK72 O75:O89 Q75:Q89 V75:V89 X75:X89 AC75:AC89 AE75:AE89 AJ75:AJ89 AL75:AL89 AQ75:AQ89 AS75:AS89 AX75:AX89 AZ75:AZ89 BE75:BE89 BG75:BG89 BL75:BL89 BN75:BN89 BS75:BS89 BU75:BU89 BZ75:BZ89 CG75:CG89 CI75:CI89 CN75:CN89 CP75:CP89 CU75:CU89 CW75:CW89 DB75:DB89 DD75:DD89 DI75:DI89 DK75:DK89 BS5:BS11 O5:O11 Q5:Q11 V5:V11 X5:X11 AC5:AC11 AE5:AE11 AJ5:AJ11 AL5:AL11 AQ5:AQ11 AS5:AS11 AZ5:AZ11 BE5:BE11 BG5:BG11 BL5:BL11 BN5:BN11 X62:X72 AC61:AC72 CN62:CN72">
    <cfRule type="expression" dxfId="115" priority="936">
      <formula>IF(O5&gt;=P5,IF(O5="",FALSE,TRUE))</formula>
    </cfRule>
  </conditionalFormatting>
  <conditionalFormatting sqref="BZ14:BZ28">
    <cfRule type="expression" dxfId="114" priority="127">
      <formula>OR(IF(BZ14&lt;CA14,TRUE),IF(AND(CA14="",BZ14&lt;&gt;""),TRUE))</formula>
    </cfRule>
    <cfRule type="expression" dxfId="113" priority="128">
      <formula>IF(BZ14&gt;=CA14,IF(BZ14="",FALSE,TRUE))</formula>
    </cfRule>
  </conditionalFormatting>
  <conditionalFormatting sqref="BZ24:BZ28">
    <cfRule type="expression" dxfId="112" priority="467">
      <formula>OR(IF(BZ24&lt;CA24,TRUE),IF(AND(CA24="",BZ24&lt;&gt;""),TRUE))</formula>
    </cfRule>
    <cfRule type="expression" dxfId="111" priority="468">
      <formula>IF(BZ24&gt;=CA24,IF(BZ24="",FALSE,TRUE))</formula>
    </cfRule>
  </conditionalFormatting>
  <conditionalFormatting sqref="BZ46:BZ58">
    <cfRule type="expression" dxfId="110" priority="359">
      <formula>OR(IF(BZ46&lt;CA46,TRUE),IF(AND(CA46="",BZ46&lt;&gt;""),TRUE))</formula>
    </cfRule>
    <cfRule type="expression" dxfId="109" priority="360">
      <formula>IF(BZ46&gt;=CA46,IF(BZ46="",FALSE,TRUE))</formula>
    </cfRule>
  </conditionalFormatting>
  <conditionalFormatting sqref="CA8 CB9:CB11 CB75 CB77:CB89 CB62:CB69">
    <cfRule type="expression" dxfId="108" priority="1674">
      <formula>IF(CA8&gt;=CB7,IF(CA8="",FALSE,TRUE))</formula>
    </cfRule>
    <cfRule type="expression" dxfId="107" priority="1679">
      <formula>OR(IF(CA8&lt;CB7,TRUE),IF(AND(CB7="",CA8&lt;&gt;""),TRUE))</formula>
    </cfRule>
  </conditionalFormatting>
  <conditionalFormatting sqref="CB7 CB70">
    <cfRule type="expression" dxfId="106" priority="1673">
      <formula>IF(CB7&gt;=CC7,IF(CB7="",FALSE,TRUE))</formula>
    </cfRule>
    <cfRule type="expression" dxfId="105" priority="1678">
      <formula>OR(IF(CB7&lt;CC7,TRUE),IF(AND(CC7="",CB7&lt;&gt;""),TRUE))</formula>
    </cfRule>
  </conditionalFormatting>
  <conditionalFormatting sqref="CB14 CB26:CB28 DP32 CB32:CB42 BZ40 BS58 CB16:CB23 CB47:CB55 CB57 BU32">
    <cfRule type="expression" dxfId="104" priority="465">
      <formula>OR(IF(BS14&lt;BT13,TRUE),IF(AND(BT13="",BS14&lt;&gt;""),TRUE))</formula>
    </cfRule>
    <cfRule type="expression" dxfId="103" priority="466">
      <formula>IF(BS14&gt;=BT13,IF(BS14="",FALSE,TRUE))</formula>
    </cfRule>
  </conditionalFormatting>
  <conditionalFormatting sqref="CB31">
    <cfRule type="expression" dxfId="102" priority="1788">
      <formula>OR(IF(CB31&lt;CC42,TRUE),IF(AND(CC42="",CB31&lt;&gt;""),TRUE))</formula>
    </cfRule>
    <cfRule type="expression" dxfId="101" priority="1789">
      <formula>IF(CB31&gt;=CC42,IF(CB31="",FALSE,TRUE))</formula>
    </cfRule>
  </conditionalFormatting>
  <conditionalFormatting sqref="CB76">
    <cfRule type="expression" dxfId="100" priority="1764">
      <formula>IF(CB76&gt;=#REF!,IF(CB76="",FALSE,TRUE))</formula>
    </cfRule>
    <cfRule type="expression" dxfId="99" priority="1767">
      <formula>OR(IF(CB76&lt;#REF!,TRUE),IF(AND(#REF!="",CB76&lt;&gt;""),TRUE))</formula>
    </cfRule>
  </conditionalFormatting>
  <conditionalFormatting sqref="CD6 CA7 CH8 DN8 CC10 CH10 DN10 CE11 AC31">
    <cfRule type="expression" dxfId="98" priority="1658">
      <formula>IF(AC6&gt;=#REF!,IF(AC6="",FALSE,TRUE))</formula>
    </cfRule>
    <cfRule type="expression" dxfId="97" priority="1661">
      <formula>OR(IF(AC6&lt;#REF!,TRUE),IF(AND(#REF!="",AC6&lt;&gt;""),TRUE))</formula>
    </cfRule>
  </conditionalFormatting>
  <conditionalFormatting sqref="CE6:CF6 Q14:Q21 O14:O25 P22:Q22 Q23:Q25 BZ31:BZ38 CU32:CU43 DP33:DP43 BZ41:BZ43 BS46:BS54 BU46:BU54 CI47:CI58">
    <cfRule type="expression" dxfId="96" priority="184">
      <formula>IF(O6&gt;=P6,IF(O6="",FALSE,TRUE))</formula>
    </cfRule>
  </conditionalFormatting>
  <conditionalFormatting sqref="CG14:CG28 CI14:CI28">
    <cfRule type="expression" dxfId="95" priority="117">
      <formula>OR(IF(CG14&lt;CH14,TRUE),IF(AND(CH14="",CG14&lt;&gt;""),TRUE))</formula>
    </cfRule>
    <cfRule type="expression" dxfId="94" priority="118">
      <formula>IF(CG14&gt;=CH14,IF(CG14="",FALSE,TRUE))</formula>
    </cfRule>
  </conditionalFormatting>
  <conditionalFormatting sqref="CG24:CG28">
    <cfRule type="expression" dxfId="93" priority="447">
      <formula>OR(IF(CG24&lt;CH24,TRUE),IF(AND(CH24="",CG24&lt;&gt;""),TRUE))</formula>
    </cfRule>
    <cfRule type="expression" dxfId="92" priority="448">
      <formula>IF(CG24&gt;=CH24,IF(CG24="",FALSE,TRUE))</formula>
    </cfRule>
  </conditionalFormatting>
  <conditionalFormatting sqref="CG31:CG43 CI31:CI43">
    <cfRule type="expression" dxfId="91" priority="451">
      <formula>OR(IF(CG31&lt;CH31,TRUE),IF(AND(CH31="",CG31&lt;&gt;""),TRUE))</formula>
    </cfRule>
    <cfRule type="expression" dxfId="90" priority="452">
      <formula>IF(CG31&gt;=CH31,IF(CG31="",FALSE,TRUE))</formula>
    </cfRule>
  </conditionalFormatting>
  <conditionalFormatting sqref="CG46:CG58">
    <cfRule type="expression" dxfId="89" priority="357">
      <formula>OR(IF(CG46&lt;CH46,TRUE),IF(AND(CH46="",CG46&lt;&gt;""),TRUE))</formula>
    </cfRule>
    <cfRule type="expression" dxfId="88" priority="358">
      <formula>IF(CG46&gt;=CH46,IF(CG46="",FALSE,TRUE))</formula>
    </cfRule>
  </conditionalFormatting>
  <conditionalFormatting sqref="CI24:CI28">
    <cfRule type="expression" dxfId="87" priority="445">
      <formula>OR(IF(CI24&lt;CJ24,TRUE),IF(AND(CJ24="",CI24&lt;&gt;""),TRUE))</formula>
    </cfRule>
    <cfRule type="expression" dxfId="86" priority="446">
      <formula>IF(CI24&gt;=CJ24,IF(CI24="",FALSE,TRUE))</formula>
    </cfRule>
  </conditionalFormatting>
  <conditionalFormatting sqref="CI46">
    <cfRule type="expression" dxfId="85" priority="1770">
      <formula>OR(IF(CI46&lt;#REF!,TRUE),IF(AND(#REF!="",CI46&lt;&gt;""),TRUE))</formula>
    </cfRule>
    <cfRule type="expression" dxfId="84" priority="1771">
      <formula>IF(CI46&gt;=#REF!,IF(CI46="",FALSE,TRUE))</formula>
    </cfRule>
  </conditionalFormatting>
  <conditionalFormatting sqref="CN14:CN28 CP14:CP28">
    <cfRule type="expression" dxfId="83" priority="107">
      <formula>OR(IF(CN14&lt;CO14,TRUE),IF(AND(CO14="",CN14&lt;&gt;""),TRUE))</formula>
    </cfRule>
    <cfRule type="expression" dxfId="82" priority="108">
      <formula>IF(CN14&gt;=CO14,IF(CN14="",FALSE,TRUE))</formula>
    </cfRule>
  </conditionalFormatting>
  <conditionalFormatting sqref="CN24:CN28">
    <cfRule type="expression" dxfId="81" priority="427">
      <formula>OR(IF(CN24&lt;CO24,TRUE),IF(AND(CO24="",CN24&lt;&gt;""),TRUE))</formula>
    </cfRule>
    <cfRule type="expression" dxfId="80" priority="428">
      <formula>IF(CN24&gt;=CO24,IF(CN24="",FALSE,TRUE))</formula>
    </cfRule>
  </conditionalFormatting>
  <conditionalFormatting sqref="CN31:CN43 CP31:CP43">
    <cfRule type="expression" dxfId="79" priority="431">
      <formula>OR(IF(CN31&lt;CO31,TRUE),IF(AND(CO31="",CN31&lt;&gt;""),TRUE))</formula>
    </cfRule>
    <cfRule type="expression" dxfId="78" priority="432">
      <formula>IF(CN31&gt;=CO31,IF(CN31="",FALSE,TRUE))</formula>
    </cfRule>
  </conditionalFormatting>
  <conditionalFormatting sqref="CN46:CN58 CP46:CP58">
    <cfRule type="expression" dxfId="77" priority="355">
      <formula>OR(IF(CN46&lt;CO46,TRUE),IF(AND(CO46="",CN46&lt;&gt;""),TRUE))</formula>
    </cfRule>
    <cfRule type="expression" dxfId="76" priority="356">
      <formula>IF(CN46&gt;=CO46,IF(CN46="",FALSE,TRUE))</formula>
    </cfRule>
  </conditionalFormatting>
  <conditionalFormatting sqref="CP24:CP28">
    <cfRule type="expression" dxfId="75" priority="425">
      <formula>OR(IF(CP24&lt;CQ24,TRUE),IF(AND(CQ24="",CP24&lt;&gt;""),TRUE))</formula>
    </cfRule>
    <cfRule type="expression" dxfId="74" priority="426">
      <formula>IF(CP24&gt;=CQ24,IF(CP24="",FALSE,TRUE))</formula>
    </cfRule>
  </conditionalFormatting>
  <conditionalFormatting sqref="CU14:CU28 CW14:CW28">
    <cfRule type="expression" dxfId="73" priority="97">
      <formula>OR(IF(CU14&lt;CV14,TRUE),IF(AND(CV14="",CU14&lt;&gt;""),TRUE))</formula>
    </cfRule>
    <cfRule type="expression" dxfId="72" priority="98">
      <formula>IF(CU14&gt;=CV14,IF(CU14="",FALSE,TRUE))</formula>
    </cfRule>
  </conditionalFormatting>
  <conditionalFormatting sqref="CU24:CU28">
    <cfRule type="expression" dxfId="71" priority="407">
      <formula>OR(IF(CU24&lt;CV24,TRUE),IF(AND(CV24="",CU24&lt;&gt;""),TRUE))</formula>
    </cfRule>
    <cfRule type="expression" dxfId="70" priority="408">
      <formula>IF(CU24&gt;=CV24,IF(CU24="",FALSE,TRUE))</formula>
    </cfRule>
  </conditionalFormatting>
  <conditionalFormatting sqref="CU31 DP31 BZ39">
    <cfRule type="expression" dxfId="69" priority="1792">
      <formula>OR(IF(BZ31&lt;#REF!,TRUE),IF(AND(#REF!="",BZ31&lt;&gt;""),TRUE))</formula>
    </cfRule>
    <cfRule type="expression" dxfId="68" priority="1793">
      <formula>IF(BZ31&gt;=#REF!,IF(BZ31="",FALSE,TRUE))</formula>
    </cfRule>
  </conditionalFormatting>
  <conditionalFormatting sqref="CU46:CU58 CW46:CW58">
    <cfRule type="expression" dxfId="67" priority="353">
      <formula>OR(IF(CU46&lt;CV46,TRUE),IF(AND(CV46="",CU46&lt;&gt;""),TRUE))</formula>
    </cfRule>
    <cfRule type="expression" dxfId="66" priority="354">
      <formula>IF(CU46&gt;=CV46,IF(CU46="",FALSE,TRUE))</formula>
    </cfRule>
  </conditionalFormatting>
  <conditionalFormatting sqref="CW24:CW28">
    <cfRule type="expression" dxfId="65" priority="405">
      <formula>OR(IF(CW24&lt;CX24,TRUE),IF(AND(CX24="",CW24&lt;&gt;""),TRUE))</formula>
    </cfRule>
    <cfRule type="expression" dxfId="64" priority="406">
      <formula>IF(CW24&gt;=CX24,IF(CW24="",FALSE,TRUE))</formula>
    </cfRule>
  </conditionalFormatting>
  <conditionalFormatting sqref="CW31:CW43">
    <cfRule type="expression" dxfId="63" priority="411">
      <formula>OR(IF(CW31&lt;CX31,TRUE),IF(AND(CX31="",CW31&lt;&gt;""),TRUE))</formula>
    </cfRule>
    <cfRule type="expression" dxfId="62" priority="412">
      <formula>IF(CW31&gt;=CX31,IF(CW31="",FALSE,TRUE))</formula>
    </cfRule>
  </conditionalFormatting>
  <conditionalFormatting sqref="DB14:DB28 DD14:DD28">
    <cfRule type="expression" dxfId="61" priority="87">
      <formula>OR(IF(DB14&lt;DC14,TRUE),IF(AND(DC14="",DB14&lt;&gt;""),TRUE))</formula>
    </cfRule>
    <cfRule type="expression" dxfId="60" priority="88">
      <formula>IF(DB14&gt;=DC14,IF(DB14="",FALSE,TRUE))</formula>
    </cfRule>
  </conditionalFormatting>
  <conditionalFormatting sqref="DB24:DB28">
    <cfRule type="expression" dxfId="59" priority="387">
      <formula>OR(IF(DB24&lt;DC24,TRUE),IF(AND(DC24="",DB24&lt;&gt;""),TRUE))</formula>
    </cfRule>
    <cfRule type="expression" dxfId="58" priority="388">
      <formula>IF(DB24&gt;=DC24,IF(DB24="",FALSE,TRUE))</formula>
    </cfRule>
  </conditionalFormatting>
  <conditionalFormatting sqref="DB31:DB43 DD31:DD43">
    <cfRule type="expression" dxfId="57" priority="391">
      <formula>OR(IF(DB31&lt;DC31,TRUE),IF(AND(DC31="",DB31&lt;&gt;""),TRUE))</formula>
    </cfRule>
    <cfRule type="expression" dxfId="56" priority="392">
      <formula>IF(DB31&gt;=DC31,IF(DB31="",FALSE,TRUE))</formula>
    </cfRule>
  </conditionalFormatting>
  <conditionalFormatting sqref="DB46:DB58 DD46:DD58">
    <cfRule type="expression" dxfId="55" priority="351">
      <formula>OR(IF(DB46&lt;DC46,TRUE),IF(AND(DC46="",DB46&lt;&gt;""),TRUE))</formula>
    </cfRule>
    <cfRule type="expression" dxfId="54" priority="352">
      <formula>IF(DB46&gt;=DC46,IF(DB46="",FALSE,TRUE))</formula>
    </cfRule>
  </conditionalFormatting>
  <conditionalFormatting sqref="DD24:DD28">
    <cfRule type="expression" dxfId="53" priority="385">
      <formula>OR(IF(DD24&lt;DE24,TRUE),IF(AND(DE24="",DD24&lt;&gt;""),TRUE))</formula>
    </cfRule>
    <cfRule type="expression" dxfId="52" priority="386">
      <formula>IF(DD24&gt;=DE24,IF(DD24="",FALSE,TRUE))</formula>
    </cfRule>
  </conditionalFormatting>
  <conditionalFormatting sqref="DI14:DI28 DK14:DK28">
    <cfRule type="expression" dxfId="51" priority="77">
      <formula>OR(IF(DI14&lt;DJ14,TRUE),IF(AND(DJ14="",DI14&lt;&gt;""),TRUE))</formula>
    </cfRule>
    <cfRule type="expression" dxfId="50" priority="78">
      <formula>IF(DI14&gt;=DJ14,IF(DI14="",FALSE,TRUE))</formula>
    </cfRule>
  </conditionalFormatting>
  <conditionalFormatting sqref="DI24:DI28">
    <cfRule type="expression" dxfId="49" priority="322">
      <formula>OR(IF(DI24&lt;DJ24,TRUE),IF(AND(DJ24="",DI24&lt;&gt;""),TRUE))</formula>
    </cfRule>
    <cfRule type="expression" dxfId="48" priority="323">
      <formula>IF(DI24&gt;=DJ24,IF(DI24="",FALSE,TRUE))</formula>
    </cfRule>
  </conditionalFormatting>
  <conditionalFormatting sqref="DI31:DI43 DK31:DK43">
    <cfRule type="expression" dxfId="47" priority="326">
      <formula>OR(IF(DI31&lt;DJ31,TRUE),IF(AND(DJ31="",DI31&lt;&gt;""),TRUE))</formula>
    </cfRule>
    <cfRule type="expression" dxfId="46" priority="327">
      <formula>IF(DI31&gt;=DJ31,IF(DI31="",FALSE,TRUE))</formula>
    </cfRule>
  </conditionalFormatting>
  <conditionalFormatting sqref="DI46:DI58 DK46:DK58">
    <cfRule type="expression" dxfId="45" priority="306">
      <formula>OR(IF(DI46&lt;DJ46,TRUE),IF(AND(DJ46="",DI46&lt;&gt;""),TRUE))</formula>
    </cfRule>
    <cfRule type="expression" dxfId="44" priority="307">
      <formula>IF(DI46&gt;=DJ46,IF(DI46="",FALSE,TRUE))</formula>
    </cfRule>
  </conditionalFormatting>
  <conditionalFormatting sqref="DK24:DK28">
    <cfRule type="expression" dxfId="43" priority="320">
      <formula>OR(IF(DK24&lt;DL24,TRUE),IF(AND(DL24="",DK24&lt;&gt;""),TRUE))</formula>
    </cfRule>
    <cfRule type="expression" dxfId="42" priority="321">
      <formula>IF(DK24&gt;=DL24,IF(DK24="",FALSE,TRUE))</formula>
    </cfRule>
  </conditionalFormatting>
  <conditionalFormatting sqref="DP14:DP28 DR14:DR28">
    <cfRule type="expression" dxfId="41" priority="1">
      <formula>OR(IF(DP14&lt;DQ14,TRUE),IF(AND(DQ14="",DP14&lt;&gt;""),TRUE))</formula>
    </cfRule>
    <cfRule type="expression" dxfId="40" priority="2">
      <formula>IF(DP14&gt;=DQ14,IF(DP14="",FALSE,TRUE))</formula>
    </cfRule>
  </conditionalFormatting>
  <conditionalFormatting sqref="DP24:DP28">
    <cfRule type="expression" dxfId="39" priority="7">
      <formula>OR(IF(DP24&lt;DQ24,TRUE),IF(AND(DQ24="",DP24&lt;&gt;""),TRUE))</formula>
    </cfRule>
    <cfRule type="expression" dxfId="38" priority="8">
      <formula>IF(DP24&gt;=DQ24,IF(DP24="",FALSE,TRUE))</formula>
    </cfRule>
  </conditionalFormatting>
  <conditionalFormatting sqref="DP46:DP58 DR46:DR58">
    <cfRule type="expression" dxfId="37" priority="3">
      <formula>OR(IF(DP46&lt;DQ46,TRUE),IF(AND(DQ46="",DP46&lt;&gt;""),TRUE))</formula>
    </cfRule>
    <cfRule type="expression" dxfId="36" priority="4">
      <formula>IF(DP46&gt;=DQ46,IF(DP46="",FALSE,TRUE))</formula>
    </cfRule>
  </conditionalFormatting>
  <conditionalFormatting sqref="DR5:DR7 DP5:DP10 DR9 DO11 DT11 DP61:DP72 DR61:DR72 DP75:DP89 DR75:DR89">
    <cfRule type="expression" dxfId="35" priority="11">
      <formula>OR(IF(DO5&lt;DP5,TRUE),IF(AND(DP5="",DO5&lt;&gt;""),TRUE))</formula>
    </cfRule>
    <cfRule type="expression" dxfId="34" priority="12">
      <formula>IF(DO5&gt;=DP5,IF(DO5="",FALSE,TRUE))</formula>
    </cfRule>
  </conditionalFormatting>
  <conditionalFormatting sqref="DR24:DR28">
    <cfRule type="expression" dxfId="33" priority="5">
      <formula>OR(IF(DR24&lt;DS24,TRUE),IF(AND(DS24="",DR24&lt;&gt;""),TRUE))</formula>
    </cfRule>
    <cfRule type="expression" dxfId="32" priority="6">
      <formula>IF(DR24&gt;=DS24,IF(DR24="",FALSE,TRUE))</formula>
    </cfRule>
  </conditionalFormatting>
  <conditionalFormatting sqref="DR31:DR43">
    <cfRule type="expression" dxfId="31" priority="9">
      <formula>OR(IF(DR31&lt;DS31,TRUE),IF(AND(DS31="",DR31&lt;&gt;""),TRUE))</formula>
    </cfRule>
    <cfRule type="expression" dxfId="30" priority="10">
      <formula>IF(DR31&gt;=DS31,IF(DR31="",FALSE,TRUE))</formula>
    </cfRule>
  </conditionalFormatting>
  <conditionalFormatting sqref="DU8 DU10">
    <cfRule type="expression" dxfId="29" priority="13">
      <formula>IF(DU8&gt;=#REF!,IF(DU8="",FALSE,TRUE))</formula>
    </cfRule>
    <cfRule type="expression" dxfId="28" priority="14">
      <formula>OR(IF(DU8&lt;#REF!,TRUE),IF(AND(#REF!="",DU8&lt;&gt;""),TRUE))</formula>
    </cfRule>
  </conditionalFormatting>
  <conditionalFormatting sqref="AX10">
    <cfRule type="expression" dxfId="27" priority="1882">
      <formula>IF(AX10&gt;=#REF!,IF(AX10="",FALSE,TRUE))</formula>
    </cfRule>
    <cfRule type="expression" dxfId="26" priority="1883">
      <formula>OR(IF(AX10&lt;#REF!,TRUE),IF(AND(#REF!="",AX10&lt;&gt;""),TRUE))</formula>
    </cfRule>
  </conditionalFormatting>
  <conditionalFormatting sqref="J5:J11">
    <cfRule type="colorScale" priority="1900">
      <colorScale>
        <cfvo type="percent" val="0"/>
        <cfvo type="percent" val="100"/>
        <color rgb="FFFF231B"/>
        <color rgb="FF10FF07"/>
      </colorScale>
    </cfRule>
  </conditionalFormatting>
  <conditionalFormatting sqref="J6:K11">
    <cfRule type="colorScale" priority="1901">
      <colorScale>
        <cfvo type="percent" val="0"/>
        <cfvo type="percent" val="100"/>
        <color rgb="FFFF231B"/>
        <color rgb="FF10FF07"/>
      </colorScale>
    </cfRule>
  </conditionalFormatting>
  <conditionalFormatting sqref="K5:K11">
    <cfRule type="colorScale" priority="1902">
      <colorScale>
        <cfvo type="percent" val="0"/>
        <cfvo type="percent" val="100"/>
        <color rgb="FFFF231B"/>
        <color rgb="FF10FF07"/>
      </colorScale>
    </cfRule>
  </conditionalFormatting>
  <conditionalFormatting sqref="X61">
    <cfRule type="expression" dxfId="25" priority="1904">
      <formula>OR(IF(X61&lt;#REF!,TRUE),IF(AND(#REF!="",X61&lt;&gt;""),TRUE))</formula>
    </cfRule>
  </conditionalFormatting>
  <conditionalFormatting sqref="X61">
    <cfRule type="expression" dxfId="24" priority="1906">
      <formula>IF(X61&gt;=#REF!,IF(X61="",FALSE,TRUE))</formula>
    </cfRule>
  </conditionalFormatting>
  <conditionalFormatting sqref="CB61">
    <cfRule type="expression" dxfId="23" priority="1909">
      <formula>IF(CB61&gt;=CC71,IF(CB61="",FALSE,TRUE))</formula>
    </cfRule>
    <cfRule type="expression" dxfId="22" priority="1910">
      <formula>OR(IF(CB61&lt;CC71,TRUE),IF(AND(CC71="",CB61&lt;&gt;""),TRUE))</formula>
    </cfRule>
  </conditionalFormatting>
  <conditionalFormatting sqref="CB15">
    <cfRule type="expression" dxfId="21" priority="1913">
      <formula>OR(IF(CB15&lt;CC23,TRUE),IF(AND(CC23="",CB15&lt;&gt;""),TRUE))</formula>
    </cfRule>
    <cfRule type="expression" dxfId="20" priority="1914">
      <formula>IF(CB15&gt;=CC23,IF(CB15="",FALSE,TRUE))</formula>
    </cfRule>
  </conditionalFormatting>
  <conditionalFormatting sqref="BU55">
    <cfRule type="expression" dxfId="19" priority="1917">
      <formula>OR(IF(BU55&lt;BV57,TRUE),IF(AND(BV57="",BU55&lt;&gt;""),TRUE))</formula>
    </cfRule>
    <cfRule type="expression" dxfId="18" priority="1918">
      <formula>IF(BU55&gt;=BV57,IF(BU55="",FALSE,TRUE))</formula>
    </cfRule>
  </conditionalFormatting>
  <conditionalFormatting sqref="CB46">
    <cfRule type="expression" dxfId="17" priority="1921">
      <formula>OR(IF(CB46&lt;CC55,TRUE),IF(AND(CC55="",CB46&lt;&gt;""),TRUE))</formula>
    </cfRule>
    <cfRule type="expression" dxfId="16" priority="1922">
      <formula>IF(CB46&gt;=CC55,IF(CB46="",FALSE,TRUE))</formula>
    </cfRule>
  </conditionalFormatting>
  <conditionalFormatting sqref="CN61">
    <cfRule type="expression" dxfId="15" priority="1924">
      <formula>OR(IF(CN61&lt;CO60,TRUE),IF(AND(CO60="",CN61&lt;&gt;""),TRUE))</formula>
    </cfRule>
  </conditionalFormatting>
  <conditionalFormatting sqref="CN61">
    <cfRule type="expression" dxfId="14" priority="1926">
      <formula>IF(CN61&gt;=CO60,IF(CN61="",FALSE,TRUE))</formula>
    </cfRule>
  </conditionalFormatting>
  <conditionalFormatting sqref="BU31">
    <cfRule type="expression" dxfId="13" priority="1931">
      <formula>OR(IF(BU31&lt;#REF!,TRUE),IF(AND(#REF!="",BU31&lt;&gt;""),TRUE))</formula>
    </cfRule>
    <cfRule type="expression" dxfId="12" priority="1932">
      <formula>IF(BU31&gt;=#REF!,IF(BU31="",FALSE,TRUE))</formula>
    </cfRule>
  </conditionalFormatting>
  <dataValidations count="1">
    <dataValidation type="list" allowBlank="1" showInputMessage="1" showErrorMessage="1" sqref="BZ31:CB42 O75:R89 V14:Y28 AC14:AF28 AQ14:AT28 AX14:BA28 BE14:BH28 BE61:BH72 AQ31:AT43 AX31:BA43 AC31:AF43 DS46:DS59 AJ61:AM72 O31:R43 BS61:BV72 O14:R28 V31:Y43 CC13:CC28 CG14:CJ28 CU31:CX43 CN14:CQ28 DP31:DS43 CN61:CQ72 CU14:CX28 BE31:BH43 BZ70:CA72 BL61:BO72 AQ46:AT58 AX46:BA58 AC46:AF58 AJ31:AM43 DI61:DL72 O46:R58 BL31:BO43 CU46:CX58 CG46:CJ58 CN46:CQ58 AC61:AF72 CN75:CQ89 BE46:BH58 AQ61:AT72 AX61:BA72 AJ46:AM58 V46:Y58 BZ75:CC89 V61:Y72 DB61:DE72 BL14:BO28 AX4:AX11 DB14:DE28 DB46:DE58 CU61:CX72 DB75:DE89 AC75:AF89 AQ75:AT89 AX75:BA89 BE75:BH89 AJ75:AM89 O61:R72 DU8 BL75:BO89 DI75:DL89 CU75:CX89 DP75:DS89 BW5:CJ6 DP9:DS9 DU10 BS75:BU89 BW8:CA8 BW9:CB9 CC7:CC10 CG75:CJ89 BV75:BV90 CC30:CC43 BS14:BV28 CC74 CN31:CQ43 CJ30:CJ43 CG7:CJ7 BW7:CC7 CR11:CU11 CK11:CN11 BL46:BO58 CY11:DB11 DF11:DI11 BZ26:CB28 DM11:DP11 CE11:CG11 CD8:CH8 AJ14:AM28 DG8:DJ8 DI5:DL7 CZ8:DC8 DB5:DE7 CL8:CO8 CN5:CQ7 CS8:CV8 CU5:CX7 CS10:CV10 CU9:CX9 CL10:CO10 CN9:CQ9 CZ10:DC10 DB9:DE9 DG10:DJ10 DI9:DL9 DN10:DQ10 CD9:CJ9 CD10:CH10 DN8:DQ8 DI14:DL28 DI46:DL58 DP61:DS72 BS31:BV43 DT11:DU11 DP14:DS28 DP5:DS7 AY5:BA11 AQ5:AT11 BS5:BV11 BZ10:CB11 AC5:AF11 AJ5:AM11 V5:Y11 BE5:BH11 BL5:BO11 O5:R11 BV46:BV58 BS58:BT58 CC45:CC58 BZ58:CA58 DP46:DP58 DQ46:DQ59 DR46:DR58 DI31:DL43 DB31:DE43 CG31:CG43 CH30:CH43 CI31:CI43 BZ43:CA43 CC60:CC72 BZ24:CA25 BZ14:CB23 BU46:BU55 BT57:BU57 BS55 BS46:BT54 BT55:BT56 BZ57:CB57 BZ56:CA56 BZ46:CB55 CB70 BZ61:CB69 CG61:CJ72 CO60 V75:Y89"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25" defaultRowHeight="15.75"/>
  <cols>
    <col min="2" max="2" width="161" customWidth="1"/>
    <col min="3" max="3" width="10.875"/>
  </cols>
  <sheetData>
    <row r="4" spans="2:2" ht="21">
      <c r="B4" s="3" t="s">
        <v>135</v>
      </c>
    </row>
    <row r="6" spans="2:2">
      <c r="B6" s="2" t="s">
        <v>136</v>
      </c>
    </row>
    <row r="7" spans="2:2" ht="47.25">
      <c r="B7" s="1" t="s">
        <v>137</v>
      </c>
    </row>
    <row r="9" spans="2:2">
      <c r="B9" s="2" t="s">
        <v>138</v>
      </c>
    </row>
    <row r="10" spans="2:2" ht="63">
      <c r="B10" s="1" t="s">
        <v>139</v>
      </c>
    </row>
    <row r="12" spans="2:2">
      <c r="B12" s="2" t="s">
        <v>140</v>
      </c>
    </row>
    <row r="13" spans="2:2" ht="126">
      <c r="B13" s="1" t="s">
        <v>141</v>
      </c>
    </row>
    <row r="15" spans="2:2">
      <c r="B15" s="2" t="s">
        <v>142</v>
      </c>
    </row>
    <row r="16" spans="2:2" ht="110.25">
      <c r="B16" s="1" t="s">
        <v>143</v>
      </c>
    </row>
    <row r="17" spans="2:2">
      <c r="B17" s="1"/>
    </row>
    <row r="18" spans="2:2">
      <c r="B18" s="2" t="s">
        <v>144</v>
      </c>
    </row>
    <row r="19" spans="2:2" ht="141.75">
      <c r="B19" s="1" t="s">
        <v>145</v>
      </c>
    </row>
    <row r="21" spans="2:2">
      <c r="B21" s="2" t="s">
        <v>146</v>
      </c>
    </row>
    <row r="22" spans="2:2" ht="110.25">
      <c r="B22" s="1" t="s">
        <v>147</v>
      </c>
    </row>
    <row r="24" spans="2:2">
      <c r="B24" s="2" t="s">
        <v>148</v>
      </c>
    </row>
    <row r="25" spans="2:2" ht="126">
      <c r="B25" s="1"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topLeftCell="A4" workbookViewId="0">
      <selection activeCell="F2" sqref="F2"/>
    </sheetView>
  </sheetViews>
  <sheetFormatPr baseColWidth="10" defaultColWidth="10.625" defaultRowHeight="15.7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1.5">
      <c r="A1" s="9" t="s">
        <v>150</v>
      </c>
      <c r="B1" s="15" t="s">
        <v>151</v>
      </c>
      <c r="C1" s="15" t="s">
        <v>152</v>
      </c>
      <c r="D1" s="15" t="s">
        <v>153</v>
      </c>
      <c r="E1" s="1" t="s">
        <v>154</v>
      </c>
      <c r="F1" s="1" t="s">
        <v>155</v>
      </c>
      <c r="G1" s="1" t="s">
        <v>156</v>
      </c>
      <c r="H1" s="1" t="s">
        <v>157</v>
      </c>
      <c r="I1" s="1" t="s">
        <v>158</v>
      </c>
      <c r="J1" s="1" t="s">
        <v>159</v>
      </c>
      <c r="K1" s="1" t="s">
        <v>160</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7" t="s">
        <v>161</v>
      </c>
    </row>
    <row r="4" spans="1:8">
      <c r="B4" s="2" t="s">
        <v>162</v>
      </c>
      <c r="C4" s="2" t="s">
        <v>163</v>
      </c>
      <c r="D4" s="2" t="s">
        <v>164</v>
      </c>
      <c r="E4" s="2" t="s">
        <v>165</v>
      </c>
      <c r="F4" s="2" t="s">
        <v>166</v>
      </c>
      <c r="G4" s="2" t="s">
        <v>167</v>
      </c>
      <c r="H4" s="2" t="s">
        <v>168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7" t="s">
        <v>161</v>
      </c>
    </row>
    <row r="4" spans="1:8">
      <c r="B4" s="2" t="s">
        <v>162</v>
      </c>
      <c r="C4" s="2" t="s">
        <v>163</v>
      </c>
      <c r="D4" s="2" t="s">
        <v>164</v>
      </c>
      <c r="E4" s="2" t="s">
        <v>165</v>
      </c>
      <c r="F4" s="2" t="s">
        <v>166</v>
      </c>
      <c r="G4" s="2" t="s">
        <v>167</v>
      </c>
      <c r="H4" s="2" t="s">
        <v>168</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Office-Benutzer</dc:creator>
  <cp:keywords/>
  <dc:description/>
  <cp:lastModifiedBy>Max Mausolf</cp:lastModifiedBy>
  <cp:revision/>
  <dcterms:created xsi:type="dcterms:W3CDTF">2020-04-19T13:33:28Z</dcterms:created>
  <dcterms:modified xsi:type="dcterms:W3CDTF">2023-11-09T17:49:37Z</dcterms:modified>
  <cp:category/>
  <cp:contentStatus/>
</cp:coreProperties>
</file>