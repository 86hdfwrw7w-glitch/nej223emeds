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EA643EDF-6C14-7E4D-93C1-F8E86E00F2D7}" xr6:coauthVersionLast="47" xr6:coauthVersionMax="47" xr10:uidLastSave="{00000000-0000-0000-0000-000000000000}"/>
  <bookViews>
    <workbookView xWindow="0" yWindow="500" windowWidth="34260" windowHeight="21580" activeTab="2" xr2:uid="{00000000-000D-0000-FFFF-FFFF00000000}"/>
  </bookViews>
  <sheets>
    <sheet name="Anleitung" sheetId="2" r:id="rId1"/>
    <sheet name="ANLEITUNG (2)" sheetId="11" r:id="rId2"/>
    <sheet name="Semesterplan" sheetId="7" r:id="rId3"/>
    <sheet name="Sheet3" sheetId="12" r:id="rId4"/>
    <sheet name="COMMITTMENT" sheetId="9" r:id="rId5"/>
    <sheet name="Wochenplan KW 07" sheetId="8" r:id="rId6"/>
    <sheet name="Wochenplan KW 08"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1" i="11" l="1"/>
  <c r="I11" i="12"/>
  <c r="N4" i="7"/>
  <c r="I11" i="7"/>
  <c r="I29" i="7"/>
  <c r="I24" i="7"/>
  <c r="I26" i="7"/>
  <c r="I34" i="7"/>
  <c r="EC4" i="7"/>
  <c r="DV4" i="7"/>
  <c r="DO4" i="7"/>
  <c r="DH4" i="7"/>
  <c r="DA4" i="7"/>
  <c r="CT4" i="7"/>
  <c r="CM4" i="7"/>
  <c r="CF4" i="7"/>
  <c r="BY4" i="7"/>
  <c r="BR4" i="7"/>
  <c r="BK4" i="7"/>
  <c r="D110" i="7"/>
  <c r="D93" i="7"/>
  <c r="D63" i="7"/>
  <c r="D47" i="7"/>
  <c r="D33" i="7"/>
  <c r="D19" i="7"/>
  <c r="D4" i="7"/>
  <c r="C7" i="11"/>
  <c r="C12" i="11"/>
  <c r="N33" i="7" l="1"/>
  <c r="J34" i="7" a="1"/>
  <c r="J34" i="7" s="1"/>
  <c r="J65" i="7" a="1"/>
  <c r="J65" i="7" s="1"/>
  <c r="J66" i="7" a="1"/>
  <c r="J66" i="7" s="1"/>
  <c r="J67" i="7" a="1"/>
  <c r="J67" i="7" s="1"/>
  <c r="J68" i="7" a="1"/>
  <c r="J68" i="7" s="1"/>
  <c r="J69" i="7" a="1"/>
  <c r="J69" i="7" s="1"/>
  <c r="K122" i="7" a="1"/>
  <c r="K122" i="7" s="1"/>
  <c r="J122" i="7" a="1"/>
  <c r="J122" i="7" s="1"/>
  <c r="I122" i="7"/>
  <c r="K121" i="7" a="1"/>
  <c r="K121" i="7" s="1"/>
  <c r="J121" i="7" a="1"/>
  <c r="J121" i="7" s="1"/>
  <c r="I121" i="7"/>
  <c r="K120" i="7" a="1"/>
  <c r="K120" i="7" s="1"/>
  <c r="J120" i="7" a="1"/>
  <c r="J120" i="7" s="1"/>
  <c r="I120" i="7"/>
  <c r="K119" i="7" a="1"/>
  <c r="K119" i="7" s="1"/>
  <c r="J119" i="7" a="1"/>
  <c r="J119" i="7" s="1"/>
  <c r="I119" i="7"/>
  <c r="K118" i="7" a="1"/>
  <c r="K118" i="7" s="1"/>
  <c r="J118" i="7" a="1"/>
  <c r="J118" i="7" s="1"/>
  <c r="I118" i="7"/>
  <c r="K117" i="7" a="1"/>
  <c r="K117" i="7" s="1"/>
  <c r="J117" i="7" a="1"/>
  <c r="J117" i="7" s="1"/>
  <c r="I117" i="7"/>
  <c r="K116" i="7" a="1"/>
  <c r="K116" i="7" s="1"/>
  <c r="J116" i="7" a="1"/>
  <c r="J116" i="7" s="1"/>
  <c r="I116" i="7"/>
  <c r="K115" i="7" a="1"/>
  <c r="K115" i="7" s="1"/>
  <c r="J115" i="7" a="1"/>
  <c r="J115" i="7" s="1"/>
  <c r="I115" i="7"/>
  <c r="K114" i="7" a="1"/>
  <c r="K114" i="7" s="1"/>
  <c r="J114" i="7" a="1"/>
  <c r="J114" i="7" s="1"/>
  <c r="I114" i="7"/>
  <c r="K113" i="7" a="1"/>
  <c r="K113" i="7" s="1"/>
  <c r="J113" i="7" a="1"/>
  <c r="J113" i="7" s="1"/>
  <c r="I113" i="7"/>
  <c r="K112" i="7" a="1"/>
  <c r="K112" i="7" s="1"/>
  <c r="J112" i="7" a="1"/>
  <c r="J112" i="7" s="1"/>
  <c r="I112" i="7"/>
  <c r="K30" i="7" l="1" a="1"/>
  <c r="K30" i="7" s="1"/>
  <c r="J30" i="7" a="1"/>
  <c r="J30" i="7" s="1"/>
  <c r="I30" i="7"/>
  <c r="K29" i="7" a="1"/>
  <c r="K29" i="7" s="1"/>
  <c r="J29" i="7" a="1"/>
  <c r="J29" i="7" s="1"/>
  <c r="K28" i="7" a="1"/>
  <c r="K28" i="7" s="1"/>
  <c r="J28" i="7" a="1"/>
  <c r="J28" i="7" s="1"/>
  <c r="I28" i="7"/>
  <c r="K27" i="7" a="1"/>
  <c r="K27" i="7" s="1"/>
  <c r="J27" i="7" a="1"/>
  <c r="J27" i="7" s="1"/>
  <c r="I27" i="7"/>
  <c r="K26" i="7" a="1"/>
  <c r="K26" i="7" s="1"/>
  <c r="J26" i="7" a="1"/>
  <c r="J26" i="7" s="1"/>
  <c r="K89" i="7" a="1"/>
  <c r="K89" i="7" s="1"/>
  <c r="J89" i="7" a="1"/>
  <c r="J89" i="7" s="1"/>
  <c r="I89" i="7"/>
  <c r="K88" i="7" a="1"/>
  <c r="K88" i="7" s="1"/>
  <c r="J88" i="7" a="1"/>
  <c r="J88" i="7" s="1"/>
  <c r="I88" i="7"/>
  <c r="K87" i="7" a="1"/>
  <c r="K87" i="7" s="1"/>
  <c r="J87" i="7" a="1"/>
  <c r="J87" i="7" s="1"/>
  <c r="I87" i="7"/>
  <c r="K86" i="7" a="1"/>
  <c r="K86" i="7" s="1"/>
  <c r="J86" i="7" a="1"/>
  <c r="J86" i="7" s="1"/>
  <c r="I86" i="7"/>
  <c r="K85" i="7" a="1"/>
  <c r="K85" i="7" s="1"/>
  <c r="J85" i="7" a="1"/>
  <c r="J85" i="7" s="1"/>
  <c r="I85" i="7"/>
  <c r="K84" i="7" a="1"/>
  <c r="K84" i="7" s="1"/>
  <c r="J84" i="7" a="1"/>
  <c r="J84" i="7" s="1"/>
  <c r="I84" i="7"/>
  <c r="K83" i="7" a="1"/>
  <c r="K83" i="7" s="1"/>
  <c r="J83" i="7" a="1"/>
  <c r="J83" i="7" s="1"/>
  <c r="I83" i="7"/>
  <c r="K82" i="7" a="1"/>
  <c r="K82" i="7" s="1"/>
  <c r="J82" i="7" a="1"/>
  <c r="J82" i="7" s="1"/>
  <c r="I82" i="7"/>
  <c r="K81" i="7" a="1"/>
  <c r="K81" i="7" s="1"/>
  <c r="J81" i="7" a="1"/>
  <c r="J81" i="7" s="1"/>
  <c r="I81" i="7"/>
  <c r="K80" i="7" a="1"/>
  <c r="K80" i="7" s="1"/>
  <c r="J80" i="7" a="1"/>
  <c r="J80" i="7" s="1"/>
  <c r="I80" i="7"/>
  <c r="K79" i="7" a="1"/>
  <c r="K79" i="7" s="1"/>
  <c r="J79" i="7" a="1"/>
  <c r="J79" i="7" s="1"/>
  <c r="I79" i="7"/>
  <c r="K78" i="7" a="1"/>
  <c r="K78" i="7" s="1"/>
  <c r="J78" i="7" a="1"/>
  <c r="J78" i="7" s="1"/>
  <c r="I78" i="7"/>
  <c r="K77" i="7" a="1"/>
  <c r="K77" i="7" s="1"/>
  <c r="J77" i="7" a="1"/>
  <c r="J77" i="7" s="1"/>
  <c r="I77" i="7"/>
  <c r="K17" i="7" a="1"/>
  <c r="K17" i="7" s="1"/>
  <c r="J17" i="7" a="1"/>
  <c r="J17" i="7" s="1"/>
  <c r="I17" i="7"/>
  <c r="J16" i="7" a="1"/>
  <c r="J16" i="7" s="1"/>
  <c r="K106" i="7" a="1"/>
  <c r="K106" i="7" s="1"/>
  <c r="J106" i="7" a="1"/>
  <c r="J106" i="7" s="1"/>
  <c r="I106" i="7"/>
  <c r="K105" i="7" a="1"/>
  <c r="K105" i="7" s="1"/>
  <c r="J105" i="7" a="1"/>
  <c r="J105" i="7" s="1"/>
  <c r="I105" i="7"/>
  <c r="K104" i="7" a="1"/>
  <c r="K104" i="7" s="1"/>
  <c r="J104" i="7" a="1"/>
  <c r="J104" i="7" s="1"/>
  <c r="I104" i="7"/>
  <c r="K103" i="7" a="1"/>
  <c r="K103" i="7" s="1"/>
  <c r="J103" i="7" a="1"/>
  <c r="J103" i="7" s="1"/>
  <c r="I103" i="7"/>
  <c r="K102" i="7" a="1"/>
  <c r="K102" i="7" s="1"/>
  <c r="J102" i="7" a="1"/>
  <c r="J102" i="7" s="1"/>
  <c r="I102" i="7"/>
  <c r="K101" i="7" a="1"/>
  <c r="K101" i="7" s="1"/>
  <c r="J101" i="7" a="1"/>
  <c r="J101" i="7" s="1"/>
  <c r="I101" i="7"/>
  <c r="K100" i="7" a="1"/>
  <c r="K100" i="7" s="1"/>
  <c r="J100" i="7" a="1"/>
  <c r="J100" i="7" s="1"/>
  <c r="I100" i="7"/>
  <c r="K99" i="7" a="1"/>
  <c r="K99" i="7" s="1"/>
  <c r="J99" i="7" a="1"/>
  <c r="J99" i="7" s="1"/>
  <c r="I99" i="7"/>
  <c r="K98" i="7" a="1"/>
  <c r="K98" i="7" s="1"/>
  <c r="J98" i="7" a="1"/>
  <c r="J98" i="7" s="1"/>
  <c r="I98" i="7"/>
  <c r="K97" i="7" a="1"/>
  <c r="K97" i="7" s="1"/>
  <c r="J97" i="7" a="1"/>
  <c r="J97" i="7" s="1"/>
  <c r="I97" i="7"/>
  <c r="K96" i="7" a="1"/>
  <c r="K96" i="7" s="1"/>
  <c r="J96" i="7" a="1"/>
  <c r="J96" i="7" s="1"/>
  <c r="I96" i="7"/>
  <c r="K95" i="7" a="1"/>
  <c r="K95" i="7" s="1"/>
  <c r="J95" i="7" a="1"/>
  <c r="J95" i="7" s="1"/>
  <c r="I95"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I69" i="7"/>
  <c r="K68" i="7" a="1"/>
  <c r="K68" i="7" s="1"/>
  <c r="I68" i="7"/>
  <c r="K67" i="7" a="1"/>
  <c r="K67" i="7" s="1"/>
  <c r="I67" i="7"/>
  <c r="K66" i="7" a="1"/>
  <c r="K66" i="7" s="1"/>
  <c r="I66" i="7"/>
  <c r="K65" i="7" a="1"/>
  <c r="K65" i="7" s="1"/>
  <c r="I65"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25" i="7" l="1" a="1"/>
  <c r="K25" i="7" s="1"/>
  <c r="J25" i="7" a="1"/>
  <c r="J25" i="7" s="1"/>
  <c r="K24" i="7" a="1"/>
  <c r="K24" i="7" s="1"/>
  <c r="J24" i="7" a="1"/>
  <c r="J24" i="7" s="1"/>
  <c r="K23" i="7" a="1"/>
  <c r="K23" i="7" s="1"/>
  <c r="J23" i="7" a="1"/>
  <c r="J23" i="7" s="1"/>
  <c r="K22" i="7" a="1"/>
  <c r="K22" i="7" s="1"/>
  <c r="J22" i="7" a="1"/>
  <c r="J22" i="7" s="1"/>
  <c r="K21" i="7" a="1"/>
  <c r="K21" i="7" s="1"/>
  <c r="J21" i="7" a="1"/>
  <c r="J21" i="7" s="1"/>
  <c r="K20" i="7" a="1"/>
  <c r="K20" i="7" s="1"/>
  <c r="J20" i="7" a="1"/>
  <c r="J20" i="7" s="1"/>
  <c r="K45" i="7" a="1"/>
  <c r="K45" i="7" s="1"/>
  <c r="J45" i="7" a="1"/>
  <c r="J45"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K16" i="7" a="1"/>
  <c r="K16"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9" i="7"/>
  <c r="AI19" i="7"/>
  <c r="AB19" i="7"/>
  <c r="U19" i="7"/>
  <c r="BD4" i="7"/>
  <c r="AW4" i="7"/>
  <c r="AP4" i="7"/>
  <c r="AI4" i="7"/>
  <c r="AB4" i="7"/>
  <c r="U4" i="7"/>
  <c r="N19" i="7"/>
  <c r="G4" i="7"/>
  <c r="AI33" i="7"/>
  <c r="AB33" i="7"/>
  <c r="U33" i="7"/>
  <c r="I45" i="7"/>
  <c r="I44" i="7"/>
  <c r="I43" i="7"/>
  <c r="I42" i="7"/>
  <c r="I41" i="7"/>
  <c r="I40" i="7"/>
  <c r="I39" i="7"/>
  <c r="I38" i="7"/>
  <c r="I37" i="7"/>
  <c r="I36" i="7"/>
  <c r="I35" i="7"/>
  <c r="I25" i="7"/>
  <c r="I23" i="7"/>
  <c r="I22" i="7"/>
  <c r="I21" i="7"/>
  <c r="I20" i="7"/>
  <c r="I16" i="7"/>
  <c r="I6" i="7"/>
  <c r="I12" i="7"/>
  <c r="I13" i="7"/>
  <c r="I14" i="7"/>
  <c r="I15" i="7"/>
  <c r="I5" i="7"/>
  <c r="G33" i="7"/>
  <c r="G19" i="7"/>
  <c r="I33" i="7" l="1"/>
  <c r="J33" i="7"/>
  <c r="K33" i="7"/>
  <c r="I19" i="7"/>
  <c r="J19" i="7"/>
  <c r="K19"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<sst xmlns="http://schemas.openxmlformats.org/spreadsheetml/2006/main" count="535" uniqueCount="214">
  <si>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</si>
  <si>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</si>
  <si>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</si>
  <si>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</si>
  <si>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</si>
  <si>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</si>
  <si>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</si>
  <si>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</si>
  <si>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</si>
  <si>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</si>
  <si>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</si>
  <si>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</si>
  <si>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</si>
  <si>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</si>
  <si>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</si>
  <si>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</si>
  <si>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</si>
  <si>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</si>
  <si>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</si>
  <si>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</si>
  <si>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</si>
  <si>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</si>
  <si>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</si>
  <si>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</si>
  <si>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</si>
  <si>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</si>
  <si>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</si>
  <si>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</si>
  <si>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</si>
  <si>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</si>
  <si>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</si>
  <si>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5) Strategisches Marketing</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</si>
  <si>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</si>
  <si>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</si>
  <si>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</si>
  <si>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</si>
  <si>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</si>
  <si>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</si>
  <si>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</si>
  <si>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</si>
  <si>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</si>
  <si>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</si>
  <si>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</si>
  <si>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</si>
  <si>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</si>
  <si>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</si>
  <si>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</si>
  <si>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</si>
  <si>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</si>
  <si>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</si>
  <si>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</si>
  <si>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</si>
  <si>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</si>
  <si>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Personalmanagement</t>
  </si>
  <si>
    <t>2)Neue Arbeitswelt</t>
  </si>
  <si>
    <t>3) Q_Perior</t>
  </si>
  <si>
    <t>4) Personalgewinnung</t>
  </si>
  <si>
    <t>5) Rekrutierung</t>
  </si>
  <si>
    <t>6)Employer branding</t>
  </si>
  <si>
    <t>7) Personalvergütung</t>
  </si>
  <si>
    <t xml:space="preserve">8) Gastvortrag Vindelici Advisors </t>
  </si>
  <si>
    <t>9) People Analytics</t>
  </si>
  <si>
    <t xml:space="preserve">10) Personalbeschaffung (Teil 2) </t>
  </si>
  <si>
    <t>11) Personalauswahl</t>
  </si>
  <si>
    <t>12) Personalbeurteilung und Performance Management</t>
  </si>
  <si>
    <t xml:space="preserve">Unternehmensfinanzierung </t>
  </si>
  <si>
    <t>1) Grundlagen</t>
  </si>
  <si>
    <t>2) Beteiligungsfinanzierung</t>
  </si>
  <si>
    <t>3) Börsengang</t>
  </si>
  <si>
    <t>4)Kreditfinanzierung</t>
  </si>
  <si>
    <t>5) Anleihen</t>
  </si>
  <si>
    <t xml:space="preserve">6) Kreditsubstitute und Mezzanine </t>
  </si>
  <si>
    <t>7) Innenfinanzierung</t>
  </si>
  <si>
    <t>8) Fremdkapitalkosten</t>
  </si>
  <si>
    <t>9) Leverageeffekt und Kapitalstruktur</t>
  </si>
  <si>
    <t>10) Eigenkapitalkosten</t>
  </si>
  <si>
    <t>12) Unternehmensbewertung Multiplikator</t>
  </si>
  <si>
    <t>11) Unternehmensbewertung DCF</t>
  </si>
  <si>
    <t>13) Derivate Instrumente Und Hedging</t>
  </si>
  <si>
    <t xml:space="preserve">Übersicht International Economics Part 1 </t>
  </si>
  <si>
    <t xml:space="preserve">International Economics Part 1 </t>
  </si>
  <si>
    <t>International Economics Part 2</t>
  </si>
  <si>
    <t>International Economics Part 1</t>
  </si>
  <si>
    <t>1) Introduction : Trade theory and policy</t>
  </si>
  <si>
    <t>2) International Transactions and the balance of payments</t>
  </si>
  <si>
    <t xml:space="preserve">3) Static &amp; Dynamic Gains from Trade </t>
  </si>
  <si>
    <t xml:space="preserve">4) Classical Trade Theory: Absolute cost advantage </t>
  </si>
  <si>
    <t xml:space="preserve">6) Heckscher - OhlinModel </t>
  </si>
  <si>
    <t>7) Heckscher - Ohlin Model 2</t>
  </si>
  <si>
    <t>8) New trade Theory I</t>
  </si>
  <si>
    <t>9) New trade Theory II</t>
  </si>
  <si>
    <t>10) Protectionism Instruments I</t>
  </si>
  <si>
    <t>11) Protectionism Instruments II</t>
  </si>
  <si>
    <t>12) Protectionist Arguments</t>
  </si>
  <si>
    <t>Übersicht International Economics Part 2</t>
  </si>
  <si>
    <t xml:space="preserve">1) Aufgaben des Staates </t>
  </si>
  <si>
    <t>2) Rückblick Stabilisierungspolitik</t>
  </si>
  <si>
    <t>3) Konjonkturschwankungen</t>
  </si>
  <si>
    <t>4) Auswirkungen von Konjonkturschwankungen</t>
  </si>
  <si>
    <t xml:space="preserve">5) Wirtschaftspolitische Massnahmen </t>
  </si>
  <si>
    <t>6)Allokation - Marktveragen</t>
  </si>
  <si>
    <t>7) Paretp Optimum</t>
  </si>
  <si>
    <t xml:space="preserve">8) Marktversagen und staatliche Eingriffe in die Marktwirtschaft </t>
  </si>
  <si>
    <t>9) Monopole - Marktmacht</t>
  </si>
  <si>
    <t xml:space="preserve">10) öffentliche Güter (Kollektivgüter) </t>
  </si>
  <si>
    <t>11) Externe Effekte</t>
  </si>
  <si>
    <t xml:space="preserve">12)Sinkende Durchnittskosten (Natürliche Monople) </t>
  </si>
  <si>
    <t>14)Distributins - Marktablehnung</t>
  </si>
  <si>
    <t>15)Gründe für Marktablehnung</t>
  </si>
  <si>
    <t>13) Informationsprobleme</t>
  </si>
  <si>
    <t xml:space="preserve">16) Modifikationen der freien Marktwirtschaft in Richtung Soziale Marktwirtschaft </t>
  </si>
  <si>
    <t xml:space="preserve">17) Wirtschaftspolitische Akteure </t>
  </si>
  <si>
    <t>18) Neue Politische ökonomie als Erklärungsansatz</t>
  </si>
  <si>
    <t xml:space="preserve">19) Politiker </t>
  </si>
  <si>
    <t>20) ökonomishce Theorie der Demokratie</t>
  </si>
  <si>
    <t>21) Direkte Demokratie</t>
  </si>
  <si>
    <t>22) Merkmale von Bürokratien</t>
  </si>
  <si>
    <t xml:space="preserve">23) Modellvon Niskanen </t>
  </si>
  <si>
    <t xml:space="preserve">24) Interessengruppen </t>
  </si>
  <si>
    <t xml:space="preserve">25) Bedeutung von Interessengruppen in marktwirtschaftlichen Systemen  </t>
  </si>
  <si>
    <t xml:space="preserve">Rechnungswesen </t>
  </si>
  <si>
    <t>1)Grundlagen Kosten Leistungsrechnung</t>
  </si>
  <si>
    <t>2) Vorstellung Kostenrechnung</t>
  </si>
  <si>
    <t>3) Kostenartenrechung I</t>
  </si>
  <si>
    <t>4) Kostenartenrechnung II</t>
  </si>
  <si>
    <t>5) Kostenstellenrechnung I</t>
  </si>
  <si>
    <t>6) Kostenstellenrechnung II</t>
  </si>
  <si>
    <t>7) Kostenträgerrechnung I</t>
  </si>
  <si>
    <t>8) Kostenträgerrechnung II</t>
  </si>
  <si>
    <t>9) Ergänzende Aspekte Kosten &amp; Leistungsrechnung</t>
  </si>
  <si>
    <t>10) Vollkostenrechnung</t>
  </si>
  <si>
    <t>11) Teilkostenrechnungnrechnung</t>
  </si>
  <si>
    <t xml:space="preserve">Übersicht Managment InformationSystem I </t>
  </si>
  <si>
    <t>M.I.S</t>
  </si>
  <si>
    <t xml:space="preserve">1) Introduction </t>
  </si>
  <si>
    <t>2) Information nd Management of Information Systems</t>
  </si>
  <si>
    <t>3) Principals of InformationProcessing</t>
  </si>
  <si>
    <t xml:space="preserve">4) Economic Fundamentals a </t>
  </si>
  <si>
    <t>5) Economic Fundamentals b</t>
  </si>
  <si>
    <t>6) Algorithms and Data structures a</t>
  </si>
  <si>
    <t>7) Algorithms and Data structures b</t>
  </si>
  <si>
    <t>8) Algorithms and Data structures c</t>
  </si>
  <si>
    <t>9) Algorithms and Data sructures d</t>
  </si>
  <si>
    <t>10) Algorithms &amp; Data structures e</t>
  </si>
  <si>
    <t>Data analytics</t>
  </si>
  <si>
    <t xml:space="preserve">1) Statistic refresher </t>
  </si>
  <si>
    <t>2) Introduction to SPSS</t>
  </si>
  <si>
    <t>3) The SPSS Syntax</t>
  </si>
  <si>
    <t>4) BasicAnalytics Problems</t>
  </si>
  <si>
    <t>5) Lecture ESB Data analytics</t>
  </si>
  <si>
    <t>6)Statistical Testing</t>
  </si>
  <si>
    <t>7) ANOVA</t>
  </si>
  <si>
    <t>8)OddJob</t>
  </si>
  <si>
    <t>9) Guest lecture</t>
  </si>
  <si>
    <t>10) Regression analysis</t>
  </si>
  <si>
    <t>11) Exercices</t>
  </si>
  <si>
    <t>KW 07</t>
  </si>
  <si>
    <t>KW 08</t>
  </si>
  <si>
    <t>KW 09</t>
  </si>
  <si>
    <t>KW 10</t>
  </si>
  <si>
    <t>KW 11</t>
  </si>
  <si>
    <t>KW 12</t>
  </si>
  <si>
    <t>Falls zu viel Zeit oder nicht genug Progress: In den Call kommen</t>
  </si>
  <si>
    <t xml:space="preserve">Schritt 12: </t>
  </si>
  <si>
    <t>Ende der Woche: Kenntnisstand pro Kapitel eintragen</t>
  </si>
  <si>
    <t xml:space="preserve">Schritt 11: </t>
  </si>
  <si>
    <t>Ende der Woche: Lernzeiten pro Kapitel eintragen</t>
  </si>
  <si>
    <t xml:space="preserve">Schritt 10: </t>
  </si>
  <si>
    <t>Nur bis zu dem Zeitpunkt lernen, wo du in dem jeweiligen Kapitel den Kenntnisstand erreicht hast. Den dann eintragen und mit dem nächsten Kapitel weitermachen.</t>
  </si>
  <si>
    <t>Wochenplan erstellen und eine Woche mit Vollgas jedes Kapitel lernen</t>
  </si>
  <si>
    <t xml:space="preserve">Schritt 9: </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</si>
  <si>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</si>
  <si>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Levelups von hinten nach vorne verteilen</t>
  </si>
  <si>
    <t xml:space="preserve">Schritt 8: </t>
  </si>
  <si>
    <t>Anzahl an Levelups pro Woche ausrechnen</t>
  </si>
  <si>
    <t xml:space="preserve">Schritt 7: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</si>
  <si>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</si>
  <si>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</si>
  <si>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 xml:space="preserve">Schritt 6: </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</si>
  <si>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</si>
  <si>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Anzahl verfügbarer "Lernwochen" ausrechnen und hinterlegen</t>
  </si>
  <si>
    <t xml:space="preserve">Schritt 5: </t>
  </si>
  <si>
    <t>Um eine neue Woche zu hinterlegen, markierst du einfach die Leerspalte neben der letzten Woche bis zur letzten Spalte der Woche, kopierst sie (strg. +C) und fügst sie in die leerzeile hinter der letzten Woche ein.</t>
  </si>
  <si>
    <t>Gesamte benötigte Wochen hinterlegen</t>
  </si>
  <si>
    <t xml:space="preserve">Schritt 4: </t>
  </si>
  <si>
    <t>Falls du es schätzen musst, trage einfach eine Schätzung ein. Normalerweise sind die Klausuren 1-3 Wochen nach Vorlesungsschluss.</t>
  </si>
  <si>
    <t>Klausurdatum hinterlegen</t>
  </si>
  <si>
    <t xml:space="preserve">Schritt 3: </t>
  </si>
  <si>
    <t>Gesamte Kapitelanzahl hinterlegen</t>
  </si>
  <si>
    <t>Schritt 2:</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</si>
  <si>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</si>
  <si>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Alle Fächer des Semesters hinterlegen inkl. Kapitel (zur Not Platzhalter)</t>
  </si>
  <si>
    <t>Schritt 1:</t>
  </si>
  <si>
    <t>Kommentare</t>
  </si>
  <si>
    <t>Zahl</t>
  </si>
  <si>
    <t>Task</t>
  </si>
  <si>
    <t>Reihenfolge</t>
  </si>
  <si>
    <t>Zahl hier hinterlegen</t>
  </si>
  <si>
    <t>Formel</t>
  </si>
  <si>
    <t>Im Trackingsheet hinterlegen</t>
  </si>
  <si>
    <t>KW 13</t>
  </si>
  <si>
    <t>KW 14</t>
  </si>
  <si>
    <t>KW 15</t>
  </si>
  <si>
    <t>KW 16</t>
  </si>
  <si>
    <t>KW 17</t>
  </si>
  <si>
    <t>KW 18</t>
  </si>
  <si>
    <t>KW 19</t>
  </si>
  <si>
    <t>KW 20</t>
  </si>
  <si>
    <t>KW 21</t>
  </si>
  <si>
    <t>KW 22</t>
  </si>
  <si>
    <t>KW 23</t>
  </si>
  <si>
    <t>PM</t>
  </si>
  <si>
    <t>Pause</t>
  </si>
  <si>
    <t>FINANZ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</si>
</sst>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00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0" borderId="0" xfId="0" applyAlignment="1">
      <alignment horizontal="center"/>
    </xf>
    <xf numFmtId="0" fontId="0" fillId="6" borderId="0" xfId="0" applyFill="1"/>
    <xf numFmtId="0" fontId="0" fillId="5" borderId="0" xfId="0" applyFill="1"/>
    <xf numFmtId="0" fontId="0" fillId="7" borderId="0" xfId="0" applyFill="1"/>
    <xf numFmtId="14" fontId="0" fillId="0" borderId="0" xfId="0" applyNumberFormat="1" applyAlignment="1"/>
    <xf numFmtId="14" fontId="0" fillId="0" borderId="0" xfId="0" applyNumberFormat="1"/>
    <xf numFmtId="9" fontId="0" fillId="4" borderId="0" xfId="0" applyNumberFormat="1" applyFill="1"/>
    <xf numFmtId="0" fontId="1" fillId="2" borderId="0" xfId="0" applyFont="1" applyFill="1" applyAlignment="1">
      <alignment horizontal="center"/>
    </xf>
  </cellXfs>
  <cellStyles count="1">
    <cellStyle name="Standard" xfId="0" builtinId="0"/>
  </cellStyles>
  <dxfs count="220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46" totalsRowShown="0" headerRowDxfId="4">
  <autoFilter ref="A1:K46" xr:uid="{00000000-0009-0000-0100-000001000000}"/>
  <tableColumns count="11">
    <tableColumn id="1" xr3:uid="{00000000-0010-0000-0000-000001000000}" name="Datum" dataDxfId="3"/>
    <tableColumn id="2" xr3:uid="{00000000-0010-0000-0000-000002000000}" name="Lerneinheiten durchgezogen" dataDxfId="2"/>
    <tableColumn id="3" xr3:uid="{00000000-0010-0000-0000-000003000000}" name="Tagesplan erstellt" dataDxfId="1"/>
    <tableColumn id="4" xr3:uid="{00000000-0010-0000-0000-000004000000}" name="Konzentrationslevel" dataDxfId="0"/>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C25"/>
  <sheetViews>
    <sheetView workbookViewId="0">
      <selection activeCell="B13" sqref="B13"/>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39</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38</v>
      </c>
    </row>
    <row r="19" spans="2:2" ht="153" x14ac:dyDescent="0.2">
      <c r="B19" s="1" t="s">
        <v>40</v>
      </c>
    </row>
    <row r="21" spans="2:2" x14ac:dyDescent="0.2">
      <c r="B21" s="3" t="s">
        <v>21</v>
      </c>
    </row>
    <row r="22" spans="2:2" ht="136" x14ac:dyDescent="0.2">
      <c r="B22" s="1" t="s">
        <v>41</v>
      </c>
    </row>
    <row r="24" spans="2:2" x14ac:dyDescent="0.2">
      <c r="B24" s="3"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583F-7C97-455D-ACD4-E20D358ECE68}">
  <dimension ref="A2:D17"/>
  <sheetViews>
    <sheetView workbookViewId="0">
      <selection activeCell="C10" sqref="C10"/>
    </sheetView>
  </sheetViews>
  <sheetFormatPr baseColWidth="10" defaultColWidth="11" defaultRowHeight="16" x14ac:dyDescent="0.2"/>
  <cols>
    <col min="1" max="1" width="11.83203125" customWidth="1"/>
    <col min="2" max="2" width="62.6640625" customWidth="1"/>
  </cols>
  <sheetData>
    <row r="2" spans="1:4" x14ac:dyDescent="0.2">
      <c r="C2" s="20" t="s">
        <v>199</v>
      </c>
    </row>
    <row r="3" spans="1:4" x14ac:dyDescent="0.2">
      <c r="C3" s="21" t="s">
        <v>198</v>
      </c>
    </row>
    <row r="4" spans="1:4" x14ac:dyDescent="0.2">
      <c r="C4" s="22" t="s">
        <v>197</v>
      </c>
    </row>
    <row r="5" spans="1:4" x14ac:dyDescent="0.2">
      <c r="A5" s="3" t="s">
        <v>196</v>
      </c>
      <c r="B5" s="3" t="s">
        <v>195</v>
      </c>
      <c r="C5" s="3" t="s">
        <v>194</v>
      </c>
      <c r="D5" s="3" t="s">
        <v>193</v>
      </c>
    </row>
    <row r="6" spans="1:4" x14ac:dyDescent="0.2">
      <c r="A6" t="s">
        <v>192</v>
      </c>
      <c r="B6" s="20" t="s">
        <v>191</v>
      </c>
      <c r="D6" t="s">
        <v>190</v>
      </c>
    </row>
    <row r="7" spans="1:4" x14ac:dyDescent="0.2">
      <c r="A7" t="s">
        <v>189</v>
      </c>
      <c r="B7" t="s">
        <v>188</v>
      </c>
      <c r="C7" s="22">
        <f>11+12+25+12+12+11+13</f>
        <v>96</v>
      </c>
    </row>
    <row r="8" spans="1:4" x14ac:dyDescent="0.2">
      <c r="A8" t="s">
        <v>187</v>
      </c>
      <c r="B8" s="20" t="s">
        <v>186</v>
      </c>
      <c r="D8" t="s">
        <v>185</v>
      </c>
    </row>
    <row r="9" spans="1:4" x14ac:dyDescent="0.2">
      <c r="A9" t="s">
        <v>184</v>
      </c>
      <c r="B9" s="20" t="s">
        <v>183</v>
      </c>
      <c r="D9" t="s">
        <v>182</v>
      </c>
    </row>
    <row r="10" spans="1:4" x14ac:dyDescent="0.2">
      <c r="A10" t="s">
        <v>181</v>
      </c>
      <c r="B10" t="s">
        <v>180</v>
      </c>
      <c r="C10" s="22">
        <v>10.5</v>
      </c>
      <c r="D10" t="s">
        <v>179</v>
      </c>
    </row>
    <row r="11" spans="1:4" x14ac:dyDescent="0.2">
      <c r="A11" t="s">
        <v>178</v>
      </c>
      <c r="B11" t="s">
        <v>177</v>
      </c>
      <c r="C11" s="22">
        <f>96*3</f>
        <v>288</v>
      </c>
      <c r="D11" t="s">
        <v>176</v>
      </c>
    </row>
    <row r="12" spans="1:4" x14ac:dyDescent="0.2">
      <c r="A12" t="s">
        <v>175</v>
      </c>
      <c r="B12" t="s">
        <v>174</v>
      </c>
      <c r="C12" s="21">
        <f>C11/C10</f>
        <v>27.428571428571427</v>
      </c>
    </row>
    <row r="13" spans="1:4" x14ac:dyDescent="0.2">
      <c r="A13" t="s">
        <v>173</v>
      </c>
      <c r="B13" t="s">
        <v>172</v>
      </c>
      <c r="D13" t="s">
        <v>171</v>
      </c>
    </row>
    <row r="14" spans="1:4" x14ac:dyDescent="0.2">
      <c r="A14" t="s">
        <v>170</v>
      </c>
      <c r="B14" t="s">
        <v>169</v>
      </c>
      <c r="D14" t="s">
        <v>168</v>
      </c>
    </row>
    <row r="15" spans="1:4" x14ac:dyDescent="0.2">
      <c r="A15" t="s">
        <v>167</v>
      </c>
      <c r="B15" s="20" t="s">
        <v>166</v>
      </c>
    </row>
    <row r="16" spans="1:4" x14ac:dyDescent="0.2">
      <c r="A16" t="s">
        <v>165</v>
      </c>
      <c r="B16" s="20" t="s">
        <v>164</v>
      </c>
    </row>
    <row r="17" spans="1:2" x14ac:dyDescent="0.2">
      <c r="A17" t="s">
        <v>163</v>
      </c>
      <c r="B17" t="s">
        <v>162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H122"/>
  <sheetViews>
    <sheetView showGridLines="0" tabSelected="1" topLeftCell="D1" zoomScale="61" zoomScaleNormal="100" workbookViewId="0">
      <selection activeCell="N6" sqref="N6"/>
    </sheetView>
  </sheetViews>
  <sheetFormatPr baseColWidth="10" defaultColWidth="8.83203125" defaultRowHeight="16" outlineLevelRow="1" x14ac:dyDescent="0.2"/>
  <cols>
    <col min="3" max="3" width="26.1640625" customWidth="1"/>
    <col min="4" max="4" width="15.83203125" customWidth="1"/>
    <col min="5" max="5" width="4.83203125" bestFit="1" customWidth="1"/>
    <col min="6" max="6" width="79.6640625"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4" max="64" width="12.5" bestFit="1" customWidth="1"/>
    <col min="65" max="65" width="6.33203125" customWidth="1"/>
    <col min="66" max="66" width="14.83203125" bestFit="1" customWidth="1"/>
    <col min="67" max="67" width="6" customWidth="1"/>
    <col min="68" max="68" width="12.6640625" bestFit="1" customWidth="1"/>
    <col min="71" max="71" width="12.5" bestFit="1" customWidth="1"/>
    <col min="72" max="72" width="6.33203125" customWidth="1"/>
    <col min="73" max="73" width="14.83203125" bestFit="1" customWidth="1"/>
    <col min="74" max="74" width="6" customWidth="1"/>
    <col min="75" max="75" width="12.6640625" bestFit="1" customWidth="1"/>
    <col min="78" max="78" width="12.5" bestFit="1" customWidth="1"/>
    <col min="79" max="79" width="6.33203125" customWidth="1"/>
    <col min="80" max="80" width="14.83203125" bestFit="1" customWidth="1"/>
    <col min="81" max="81" width="6" customWidth="1"/>
    <col min="82" max="82" width="12.6640625" bestFit="1" customWidth="1"/>
    <col min="85" max="85" width="12.5" bestFit="1" customWidth="1"/>
    <col min="86" max="86" width="6.33203125" customWidth="1"/>
    <col min="87" max="87" width="14.83203125" bestFit="1" customWidth="1"/>
    <col min="88" max="88" width="6" customWidth="1"/>
    <col min="89" max="89" width="12.6640625" bestFit="1" customWidth="1"/>
    <col min="92" max="92" width="12.5" bestFit="1" customWidth="1"/>
    <col min="93" max="93" width="6.33203125" customWidth="1"/>
    <col min="94" max="94" width="14.83203125" bestFit="1" customWidth="1"/>
    <col min="95" max="95" width="6" customWidth="1"/>
    <col min="96" max="96" width="12.6640625" bestFit="1" customWidth="1"/>
    <col min="99" max="99" width="12.5" bestFit="1" customWidth="1"/>
    <col min="100" max="100" width="6.33203125" customWidth="1"/>
    <col min="101" max="101" width="14.83203125" bestFit="1" customWidth="1"/>
    <col min="102" max="102" width="6" customWidth="1"/>
    <col min="103" max="103" width="12.6640625" bestFit="1" customWidth="1"/>
    <col min="106" max="106" width="12.5" bestFit="1" customWidth="1"/>
    <col min="107" max="107" width="6.33203125" customWidth="1"/>
    <col min="108" max="108" width="14.83203125" bestFit="1" customWidth="1"/>
    <col min="109" max="109" width="6" customWidth="1"/>
    <col min="110" max="110" width="12.6640625" bestFit="1" customWidth="1"/>
    <col min="113" max="113" width="12.5" bestFit="1" customWidth="1"/>
    <col min="114" max="114" width="6.33203125" customWidth="1"/>
    <col min="115" max="115" width="14.83203125" bestFit="1" customWidth="1"/>
    <col min="116" max="116" width="6" customWidth="1"/>
    <col min="117" max="117" width="12.6640625" bestFit="1" customWidth="1"/>
    <col min="120" max="120" width="12.5" bestFit="1" customWidth="1"/>
    <col min="121" max="121" width="6.33203125" customWidth="1"/>
    <col min="122" max="122" width="14.83203125" bestFit="1" customWidth="1"/>
    <col min="123" max="123" width="6" customWidth="1"/>
    <col min="124" max="124" width="12.6640625" bestFit="1" customWidth="1"/>
    <col min="127" max="127" width="12.5" bestFit="1" customWidth="1"/>
    <col min="128" max="128" width="6.33203125" customWidth="1"/>
    <col min="129" max="129" width="14.83203125" bestFit="1" customWidth="1"/>
    <col min="130" max="130" width="6" customWidth="1"/>
    <col min="131" max="131" width="12.6640625" bestFit="1" customWidth="1"/>
    <col min="134" max="134" width="12.5" bestFit="1" customWidth="1"/>
    <col min="135" max="135" width="6.33203125" customWidth="1"/>
    <col min="136" max="136" width="14.83203125" bestFit="1" customWidth="1"/>
    <col min="137" max="137" width="6" customWidth="1"/>
    <col min="138" max="138" width="12.6640625" bestFit="1" customWidth="1"/>
  </cols>
  <sheetData>
    <row r="1" spans="2:138" ht="34" x14ac:dyDescent="0.4">
      <c r="B1" s="5" t="s">
        <v>0</v>
      </c>
      <c r="D1" s="5"/>
      <c r="G1" s="15" t="s">
        <v>37</v>
      </c>
      <c r="I1" s="15" t="s">
        <v>37</v>
      </c>
      <c r="J1" s="15" t="s">
        <v>37</v>
      </c>
      <c r="K1" s="15" t="s">
        <v>37</v>
      </c>
    </row>
    <row r="2" spans="2:138" x14ac:dyDescent="0.2">
      <c r="I2" s="26" t="s">
        <v>27</v>
      </c>
      <c r="J2" s="26"/>
      <c r="K2" s="26"/>
      <c r="L2" s="26"/>
      <c r="N2" s="26" t="s">
        <v>156</v>
      </c>
      <c r="O2" s="26"/>
      <c r="P2" s="26"/>
      <c r="Q2" s="26"/>
      <c r="R2" s="26"/>
      <c r="S2" s="26"/>
      <c r="U2" s="26" t="s">
        <v>157</v>
      </c>
      <c r="V2" s="26"/>
      <c r="W2" s="26"/>
      <c r="X2" s="26"/>
      <c r="Y2" s="26"/>
      <c r="Z2" s="26"/>
      <c r="AB2" s="26" t="s">
        <v>158</v>
      </c>
      <c r="AC2" s="26"/>
      <c r="AD2" s="26"/>
      <c r="AE2" s="26"/>
      <c r="AF2" s="26"/>
      <c r="AG2" s="26"/>
      <c r="AI2" s="26" t="s">
        <v>158</v>
      </c>
      <c r="AJ2" s="26"/>
      <c r="AK2" s="26"/>
      <c r="AL2" s="26"/>
      <c r="AM2" s="26"/>
      <c r="AN2" s="26"/>
      <c r="AP2" s="26" t="s">
        <v>159</v>
      </c>
      <c r="AQ2" s="26"/>
      <c r="AR2" s="26"/>
      <c r="AS2" s="26"/>
      <c r="AT2" s="26"/>
      <c r="AU2" s="26"/>
      <c r="AW2" s="26" t="s">
        <v>160</v>
      </c>
      <c r="AX2" s="26"/>
      <c r="AY2" s="26"/>
      <c r="AZ2" s="26"/>
      <c r="BA2" s="26"/>
      <c r="BB2" s="26"/>
      <c r="BD2" s="26" t="s">
        <v>161</v>
      </c>
      <c r="BE2" s="26"/>
      <c r="BF2" s="26"/>
      <c r="BG2" s="26"/>
      <c r="BH2" s="26"/>
      <c r="BI2" s="26"/>
      <c r="BK2" s="26" t="s">
        <v>200</v>
      </c>
      <c r="BL2" s="26"/>
      <c r="BM2" s="26"/>
      <c r="BN2" s="26"/>
      <c r="BO2" s="26"/>
      <c r="BP2" s="26"/>
      <c r="BR2" s="26" t="s">
        <v>201</v>
      </c>
      <c r="BS2" s="26"/>
      <c r="BT2" s="26"/>
      <c r="BU2" s="26"/>
      <c r="BV2" s="26"/>
      <c r="BW2" s="26"/>
      <c r="BY2" s="26" t="s">
        <v>202</v>
      </c>
      <c r="BZ2" s="26"/>
      <c r="CA2" s="26"/>
      <c r="CB2" s="26"/>
      <c r="CC2" s="26"/>
      <c r="CD2" s="26"/>
      <c r="CF2" s="26" t="s">
        <v>203</v>
      </c>
      <c r="CG2" s="26"/>
      <c r="CH2" s="26"/>
      <c r="CI2" s="26"/>
      <c r="CJ2" s="26"/>
      <c r="CK2" s="26"/>
      <c r="CM2" s="26" t="s">
        <v>204</v>
      </c>
      <c r="CN2" s="26"/>
      <c r="CO2" s="26"/>
      <c r="CP2" s="26"/>
      <c r="CQ2" s="26"/>
      <c r="CR2" s="26"/>
      <c r="CT2" s="26" t="s">
        <v>205</v>
      </c>
      <c r="CU2" s="26"/>
      <c r="CV2" s="26"/>
      <c r="CW2" s="26"/>
      <c r="CX2" s="26"/>
      <c r="CY2" s="26"/>
      <c r="DA2" s="26" t="s">
        <v>206</v>
      </c>
      <c r="DB2" s="26"/>
      <c r="DC2" s="26"/>
      <c r="DD2" s="26"/>
      <c r="DE2" s="26"/>
      <c r="DF2" s="26"/>
      <c r="DH2" s="26" t="s">
        <v>207</v>
      </c>
      <c r="DI2" s="26"/>
      <c r="DJ2" s="26"/>
      <c r="DK2" s="26"/>
      <c r="DL2" s="26"/>
      <c r="DM2" s="26"/>
      <c r="DO2" s="26" t="s">
        <v>208</v>
      </c>
      <c r="DP2" s="26"/>
      <c r="DQ2" s="26"/>
      <c r="DR2" s="26"/>
      <c r="DS2" s="26"/>
      <c r="DT2" s="26"/>
      <c r="DV2" s="26" t="s">
        <v>209</v>
      </c>
      <c r="DW2" s="26"/>
      <c r="DX2" s="26"/>
      <c r="DY2" s="26"/>
      <c r="DZ2" s="26"/>
      <c r="EA2" s="26"/>
      <c r="EC2" s="26" t="s">
        <v>210</v>
      </c>
      <c r="ED2" s="26"/>
      <c r="EE2" s="26"/>
      <c r="EF2" s="26"/>
      <c r="EG2" s="26"/>
      <c r="EH2" s="26"/>
    </row>
    <row r="3" spans="2:138" x14ac:dyDescent="0.2">
      <c r="B3" s="6" t="s">
        <v>26</v>
      </c>
      <c r="C3" s="6" t="s">
        <v>1</v>
      </c>
      <c r="D3" s="6" t="s">
        <v>24</v>
      </c>
      <c r="E3" s="7" t="s">
        <v>34</v>
      </c>
      <c r="F3" s="6" t="s">
        <v>29</v>
      </c>
      <c r="G3" s="6" t="s">
        <v>35</v>
      </c>
      <c r="I3" s="7" t="s">
        <v>11</v>
      </c>
      <c r="J3" s="7" t="s">
        <v>2</v>
      </c>
      <c r="K3" s="7" t="s">
        <v>3</v>
      </c>
      <c r="L3" s="7" t="s">
        <v>12</v>
      </c>
      <c r="N3" s="6" t="s">
        <v>11</v>
      </c>
      <c r="O3" s="6" t="s">
        <v>2</v>
      </c>
      <c r="P3" s="6" t="s">
        <v>36</v>
      </c>
      <c r="Q3" s="6" t="s">
        <v>3</v>
      </c>
      <c r="R3" s="6" t="s">
        <v>36</v>
      </c>
      <c r="S3" s="6" t="s">
        <v>12</v>
      </c>
      <c r="U3" s="6" t="s">
        <v>11</v>
      </c>
      <c r="V3" s="6" t="s">
        <v>2</v>
      </c>
      <c r="W3" s="6" t="s">
        <v>36</v>
      </c>
      <c r="X3" s="6" t="s">
        <v>3</v>
      </c>
      <c r="Y3" s="6" t="s">
        <v>36</v>
      </c>
      <c r="Z3" s="6" t="s">
        <v>12</v>
      </c>
      <c r="AB3" s="6" t="s">
        <v>11</v>
      </c>
      <c r="AC3" s="6" t="s">
        <v>2</v>
      </c>
      <c r="AD3" s="6" t="s">
        <v>36</v>
      </c>
      <c r="AE3" s="6" t="s">
        <v>3</v>
      </c>
      <c r="AF3" s="6" t="s">
        <v>36</v>
      </c>
      <c r="AG3" s="6" t="s">
        <v>12</v>
      </c>
      <c r="AI3" s="6" t="s">
        <v>11</v>
      </c>
      <c r="AJ3" s="6" t="s">
        <v>2</v>
      </c>
      <c r="AK3" s="6" t="s">
        <v>36</v>
      </c>
      <c r="AL3" s="6" t="s">
        <v>3</v>
      </c>
      <c r="AM3" s="6" t="s">
        <v>36</v>
      </c>
      <c r="AN3" s="6" t="s">
        <v>12</v>
      </c>
      <c r="AP3" s="6" t="s">
        <v>11</v>
      </c>
      <c r="AQ3" s="6" t="s">
        <v>2</v>
      </c>
      <c r="AR3" s="6" t="s">
        <v>36</v>
      </c>
      <c r="AS3" s="6" t="s">
        <v>3</v>
      </c>
      <c r="AT3" s="6" t="s">
        <v>36</v>
      </c>
      <c r="AU3" s="6" t="s">
        <v>12</v>
      </c>
      <c r="AW3" s="6" t="s">
        <v>11</v>
      </c>
      <c r="AX3" s="6" t="s">
        <v>2</v>
      </c>
      <c r="AY3" s="6" t="s">
        <v>36</v>
      </c>
      <c r="AZ3" s="6" t="s">
        <v>3</v>
      </c>
      <c r="BA3" s="6" t="s">
        <v>36</v>
      </c>
      <c r="BB3" s="6" t="s">
        <v>12</v>
      </c>
      <c r="BD3" s="6" t="s">
        <v>11</v>
      </c>
      <c r="BE3" s="6" t="s">
        <v>2</v>
      </c>
      <c r="BF3" s="6" t="s">
        <v>36</v>
      </c>
      <c r="BG3" s="6" t="s">
        <v>3</v>
      </c>
      <c r="BH3" s="6" t="s">
        <v>36</v>
      </c>
      <c r="BI3" s="6" t="s">
        <v>12</v>
      </c>
      <c r="BK3" s="6" t="s">
        <v>11</v>
      </c>
      <c r="BL3" s="6" t="s">
        <v>2</v>
      </c>
      <c r="BM3" s="6" t="s">
        <v>36</v>
      </c>
      <c r="BN3" s="6" t="s">
        <v>3</v>
      </c>
      <c r="BO3" s="6" t="s">
        <v>36</v>
      </c>
      <c r="BP3" s="6" t="s">
        <v>12</v>
      </c>
      <c r="BR3" s="6" t="s">
        <v>11</v>
      </c>
      <c r="BS3" s="6" t="s">
        <v>2</v>
      </c>
      <c r="BT3" s="6" t="s">
        <v>36</v>
      </c>
      <c r="BU3" s="6" t="s">
        <v>3</v>
      </c>
      <c r="BV3" s="6" t="s">
        <v>36</v>
      </c>
      <c r="BW3" s="6" t="s">
        <v>12</v>
      </c>
      <c r="BY3" s="6" t="s">
        <v>11</v>
      </c>
      <c r="BZ3" s="6" t="s">
        <v>2</v>
      </c>
      <c r="CA3" s="6" t="s">
        <v>36</v>
      </c>
      <c r="CB3" s="6" t="s">
        <v>3</v>
      </c>
      <c r="CC3" s="6" t="s">
        <v>36</v>
      </c>
      <c r="CD3" s="6" t="s">
        <v>12</v>
      </c>
      <c r="CF3" s="6" t="s">
        <v>11</v>
      </c>
      <c r="CG3" s="6" t="s">
        <v>2</v>
      </c>
      <c r="CH3" s="6" t="s">
        <v>36</v>
      </c>
      <c r="CI3" s="6" t="s">
        <v>3</v>
      </c>
      <c r="CJ3" s="6" t="s">
        <v>36</v>
      </c>
      <c r="CK3" s="6" t="s">
        <v>12</v>
      </c>
      <c r="CM3" s="6" t="s">
        <v>11</v>
      </c>
      <c r="CN3" s="6" t="s">
        <v>2</v>
      </c>
      <c r="CO3" s="6" t="s">
        <v>36</v>
      </c>
      <c r="CP3" s="6" t="s">
        <v>3</v>
      </c>
      <c r="CQ3" s="6" t="s">
        <v>36</v>
      </c>
      <c r="CR3" s="6" t="s">
        <v>12</v>
      </c>
      <c r="CT3" s="6" t="s">
        <v>11</v>
      </c>
      <c r="CU3" s="6" t="s">
        <v>2</v>
      </c>
      <c r="CV3" s="6" t="s">
        <v>36</v>
      </c>
      <c r="CW3" s="6" t="s">
        <v>3</v>
      </c>
      <c r="CX3" s="6" t="s">
        <v>36</v>
      </c>
      <c r="CY3" s="6" t="s">
        <v>12</v>
      </c>
      <c r="DA3" s="6" t="s">
        <v>11</v>
      </c>
      <c r="DB3" s="6" t="s">
        <v>2</v>
      </c>
      <c r="DC3" s="6" t="s">
        <v>36</v>
      </c>
      <c r="DD3" s="6" t="s">
        <v>3</v>
      </c>
      <c r="DE3" s="6" t="s">
        <v>36</v>
      </c>
      <c r="DF3" s="6" t="s">
        <v>12</v>
      </c>
      <c r="DH3" s="6" t="s">
        <v>11</v>
      </c>
      <c r="DI3" s="6" t="s">
        <v>2</v>
      </c>
      <c r="DJ3" s="6" t="s">
        <v>36</v>
      </c>
      <c r="DK3" s="6" t="s">
        <v>3</v>
      </c>
      <c r="DL3" s="6" t="s">
        <v>36</v>
      </c>
      <c r="DM3" s="6" t="s">
        <v>12</v>
      </c>
      <c r="DO3" s="6" t="s">
        <v>11</v>
      </c>
      <c r="DP3" s="6" t="s">
        <v>2</v>
      </c>
      <c r="DQ3" s="6" t="s">
        <v>36</v>
      </c>
      <c r="DR3" s="6" t="s">
        <v>3</v>
      </c>
      <c r="DS3" s="6" t="s">
        <v>36</v>
      </c>
      <c r="DT3" s="6" t="s">
        <v>12</v>
      </c>
      <c r="DV3" s="6" t="s">
        <v>11</v>
      </c>
      <c r="DW3" s="6" t="s">
        <v>2</v>
      </c>
      <c r="DX3" s="6" t="s">
        <v>36</v>
      </c>
      <c r="DY3" s="6" t="s">
        <v>3</v>
      </c>
      <c r="DZ3" s="6" t="s">
        <v>36</v>
      </c>
      <c r="EA3" s="6" t="s">
        <v>12</v>
      </c>
      <c r="EC3" s="6" t="s">
        <v>11</v>
      </c>
      <c r="ED3" s="6" t="s">
        <v>2</v>
      </c>
      <c r="EE3" s="6" t="s">
        <v>36</v>
      </c>
      <c r="EF3" s="6" t="s">
        <v>3</v>
      </c>
      <c r="EG3" s="6" t="s">
        <v>36</v>
      </c>
      <c r="EH3" s="6" t="s">
        <v>12</v>
      </c>
    </row>
    <row r="4" spans="2:138" x14ac:dyDescent="0.2">
      <c r="B4" t="s">
        <v>27</v>
      </c>
      <c r="C4" s="2" t="s">
        <v>65</v>
      </c>
      <c r="D4" s="23">
        <f>DATE(2022,5,31)</f>
        <v>44712</v>
      </c>
      <c r="E4" s="11">
        <v>6</v>
      </c>
      <c r="G4" s="12">
        <f>+SUM(G5:G16)</f>
        <v>0.99999999999999989</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c r="BK4" s="14">
        <f>+SUM(BK5:BK16)</f>
        <v>0</v>
      </c>
      <c r="BR4" s="14">
        <f>+SUM(BR5:BR16)</f>
        <v>0</v>
      </c>
      <c r="BY4" s="14">
        <f>+SUM(BY5:BY16)</f>
        <v>0</v>
      </c>
      <c r="CF4" s="14">
        <f>+SUM(CF5:CF16)</f>
        <v>0</v>
      </c>
      <c r="CM4" s="14">
        <f>+SUM(CM5:CM16)</f>
        <v>0</v>
      </c>
      <c r="CT4" s="14">
        <f>+SUM(CT5:CT16)</f>
        <v>0</v>
      </c>
      <c r="DA4" s="14">
        <f>+SUM(DA5:DA16)</f>
        <v>0</v>
      </c>
      <c r="DH4" s="14">
        <f>+SUM(DH5:DH16)</f>
        <v>0</v>
      </c>
      <c r="DO4" s="14">
        <f>+SUM(DO5:DO16)</f>
        <v>0</v>
      </c>
      <c r="DV4" s="14">
        <f>+SUM(DV5:DV16)</f>
        <v>0</v>
      </c>
      <c r="EC4" s="14">
        <f>+SUM(EC5:EC16)</f>
        <v>0</v>
      </c>
    </row>
    <row r="5" spans="2:138" outlineLevel="1" x14ac:dyDescent="0.2">
      <c r="B5" t="s">
        <v>28</v>
      </c>
      <c r="C5" s="2" t="s">
        <v>65</v>
      </c>
      <c r="D5" s="2"/>
      <c r="E5" s="11"/>
      <c r="F5" t="s">
        <v>66</v>
      </c>
      <c r="G5" s="12">
        <v>0.1</v>
      </c>
      <c r="I5" s="11">
        <f>+SUMIF($N$3:$WV$3,I$3,$N5:$WV5)</f>
        <v>0</v>
      </c>
      <c r="J5" s="13" cm="1">
        <f t="array" ref="J5">MAX(IF($N$3:$DV$3=$J$3,N5:DV5))</f>
        <v>0</v>
      </c>
      <c r="K5" s="13" cm="1">
        <f t="array" ref="K5">MAX(IF($N$3:$DV$3=$J$3,N5:DV5))</f>
        <v>0</v>
      </c>
      <c r="L5" s="11"/>
      <c r="O5" s="25"/>
      <c r="P5" s="12">
        <v>0.8</v>
      </c>
      <c r="Q5" s="12"/>
      <c r="R5" s="12"/>
      <c r="V5" s="12"/>
      <c r="W5" s="12"/>
      <c r="X5" s="12"/>
      <c r="Y5" s="12"/>
      <c r="AC5" s="12"/>
      <c r="AD5" s="12"/>
      <c r="AE5" s="12"/>
      <c r="AF5" s="12"/>
      <c r="AJ5" s="12"/>
      <c r="AK5" s="12"/>
      <c r="AL5" s="12"/>
      <c r="AM5" s="12"/>
      <c r="AQ5" s="12"/>
      <c r="AR5" s="12">
        <v>1</v>
      </c>
      <c r="AS5" s="12"/>
      <c r="AT5" s="12">
        <v>1</v>
      </c>
      <c r="AX5" s="12"/>
      <c r="AY5" s="12">
        <v>1</v>
      </c>
      <c r="AZ5" s="12"/>
      <c r="BA5" s="12">
        <v>1</v>
      </c>
      <c r="BE5" s="12"/>
      <c r="BF5" s="12">
        <v>1</v>
      </c>
      <c r="BG5" s="12"/>
      <c r="BH5" s="12">
        <v>1</v>
      </c>
      <c r="BL5" s="12"/>
      <c r="BM5" s="12">
        <v>1</v>
      </c>
      <c r="BN5" s="12"/>
      <c r="BO5" s="12">
        <v>1</v>
      </c>
      <c r="BS5" s="12"/>
      <c r="BT5" s="12">
        <v>1</v>
      </c>
      <c r="BU5" s="12"/>
      <c r="BV5" s="12">
        <v>1</v>
      </c>
      <c r="BZ5" s="12"/>
      <c r="CA5" s="12"/>
      <c r="CB5" s="12"/>
      <c r="CC5" s="12"/>
      <c r="CG5" s="12"/>
      <c r="CH5" s="12"/>
      <c r="CI5" s="12"/>
      <c r="CJ5" s="12"/>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row>
    <row r="6" spans="2:138" outlineLevel="1" x14ac:dyDescent="0.2">
      <c r="B6" t="s">
        <v>28</v>
      </c>
      <c r="C6" s="2" t="s">
        <v>65</v>
      </c>
      <c r="D6" s="2"/>
      <c r="E6" s="11"/>
      <c r="F6" t="s">
        <v>67</v>
      </c>
      <c r="G6" s="12">
        <v>0.05</v>
      </c>
      <c r="I6" s="11">
        <f>+SUMIF($N$3:$WV$3,I$3,$N6:$WV6)</f>
        <v>0</v>
      </c>
      <c r="J6" s="13" cm="1">
        <f t="array" ref="J6">MAX(IF($N$3:$DV$3=$J$3,N6:DV6))</f>
        <v>0</v>
      </c>
      <c r="K6" s="13" cm="1">
        <f t="array" ref="K6">MAX(IF($N$3:$DV$3=$J$3,N6:DV6))</f>
        <v>0</v>
      </c>
      <c r="L6" s="11"/>
      <c r="O6" s="25"/>
      <c r="P6" s="12">
        <v>0.8</v>
      </c>
      <c r="Q6" s="12"/>
      <c r="R6" s="12"/>
      <c r="V6" s="12"/>
      <c r="W6" s="12"/>
      <c r="X6" s="12"/>
      <c r="Y6" s="12"/>
      <c r="AC6" s="12"/>
      <c r="AD6" s="12"/>
      <c r="AE6" s="12"/>
      <c r="AF6" s="12"/>
      <c r="AJ6" s="12"/>
      <c r="AK6" s="12"/>
      <c r="AL6" s="12"/>
      <c r="AM6" s="12"/>
      <c r="AQ6" s="12"/>
      <c r="AR6" s="12">
        <v>1</v>
      </c>
      <c r="AS6" s="12"/>
      <c r="AT6" s="12">
        <v>1</v>
      </c>
      <c r="AX6" s="12"/>
      <c r="AY6" s="12">
        <v>1</v>
      </c>
      <c r="AZ6" s="12"/>
      <c r="BA6" s="12">
        <v>1</v>
      </c>
      <c r="BE6" s="12"/>
      <c r="BF6" s="12">
        <v>1</v>
      </c>
      <c r="BG6" s="12"/>
      <c r="BH6" s="12">
        <v>1</v>
      </c>
      <c r="BL6" s="12"/>
      <c r="BM6" s="12">
        <v>1</v>
      </c>
      <c r="BN6" s="12"/>
      <c r="BO6" s="12">
        <v>1</v>
      </c>
      <c r="BS6" s="12"/>
      <c r="BT6" s="12">
        <v>1</v>
      </c>
      <c r="BU6" s="12"/>
      <c r="BV6" s="12">
        <v>1</v>
      </c>
      <c r="BZ6" s="12"/>
      <c r="CA6" s="12"/>
      <c r="CB6" s="12"/>
      <c r="CC6" s="12"/>
      <c r="CG6" s="12"/>
      <c r="CH6" s="12"/>
      <c r="CI6" s="12"/>
      <c r="CJ6" s="12"/>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row>
    <row r="7" spans="2:138" outlineLevel="1" x14ac:dyDescent="0.2">
      <c r="B7" t="s">
        <v>28</v>
      </c>
      <c r="C7" s="2" t="s">
        <v>65</v>
      </c>
      <c r="D7" s="2"/>
      <c r="E7" s="11"/>
      <c r="F7" t="s">
        <v>68</v>
      </c>
      <c r="G7" s="12">
        <v>0.05</v>
      </c>
      <c r="I7" s="11">
        <v>0</v>
      </c>
      <c r="J7" s="13" cm="1">
        <f t="array" ref="J7">MAX(IF($N$3:$DV$3=$J$3,N7:DV7))</f>
        <v>0</v>
      </c>
      <c r="K7" s="13" cm="1">
        <f t="array" ref="K7">MAX(IF($N$3:$DV$3=$J$3,N7:DV7))</f>
        <v>0</v>
      </c>
      <c r="L7" s="11"/>
      <c r="O7" s="12"/>
      <c r="P7" s="12">
        <v>0.8</v>
      </c>
      <c r="Q7" s="12"/>
      <c r="R7" s="12">
        <v>0.8</v>
      </c>
      <c r="V7" s="12"/>
      <c r="W7" s="12"/>
      <c r="X7" s="12"/>
      <c r="Y7" s="12"/>
      <c r="AC7" s="12"/>
      <c r="AD7" s="12"/>
      <c r="AE7" s="12"/>
      <c r="AF7" s="12"/>
      <c r="AJ7" s="12"/>
      <c r="AK7" s="12"/>
      <c r="AL7" s="12"/>
      <c r="AM7" s="12"/>
      <c r="AQ7" s="12"/>
      <c r="AR7" s="12">
        <v>1</v>
      </c>
      <c r="AS7" s="12"/>
      <c r="AT7" s="12">
        <v>1</v>
      </c>
      <c r="AX7" s="12"/>
      <c r="AY7" s="12">
        <v>1</v>
      </c>
      <c r="AZ7" s="12"/>
      <c r="BA7" s="12">
        <v>1</v>
      </c>
      <c r="BE7" s="12"/>
      <c r="BF7" s="12">
        <v>1</v>
      </c>
      <c r="BG7" s="12"/>
      <c r="BH7" s="12">
        <v>1</v>
      </c>
      <c r="BL7" s="12"/>
      <c r="BM7" s="12">
        <v>1</v>
      </c>
      <c r="BN7" s="12"/>
      <c r="BO7" s="12">
        <v>1</v>
      </c>
      <c r="BS7" s="12"/>
      <c r="BT7" s="12">
        <v>1</v>
      </c>
      <c r="BU7" s="12"/>
      <c r="BV7" s="12">
        <v>1</v>
      </c>
      <c r="BZ7" s="12"/>
      <c r="CA7" s="12"/>
      <c r="CB7" s="12"/>
      <c r="CC7" s="12"/>
      <c r="CG7" s="12"/>
      <c r="CH7" s="12"/>
      <c r="CI7" s="12"/>
      <c r="CJ7" s="12"/>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row>
    <row r="8" spans="2:138" outlineLevel="1" x14ac:dyDescent="0.2">
      <c r="B8" t="s">
        <v>28</v>
      </c>
      <c r="C8" s="2" t="s">
        <v>65</v>
      </c>
      <c r="D8" s="2"/>
      <c r="E8" s="11"/>
      <c r="F8" t="s">
        <v>69</v>
      </c>
      <c r="G8" s="12">
        <v>0.05</v>
      </c>
      <c r="I8" s="11">
        <v>0</v>
      </c>
      <c r="J8" s="13" cm="1">
        <f t="array" ref="J8">MAX(IF($N$3:$DV$3=$J$3,N8:DV8))</f>
        <v>0</v>
      </c>
      <c r="K8" s="13" cm="1">
        <f t="array" ref="K8">MAX(IF($N$3:$DV$3=$J$3,N8:DV8))</f>
        <v>0</v>
      </c>
      <c r="L8" s="11"/>
      <c r="O8" s="12"/>
      <c r="P8" s="12">
        <v>0.5</v>
      </c>
      <c r="Q8" s="12"/>
      <c r="R8" s="12">
        <v>0.5</v>
      </c>
      <c r="V8" s="12"/>
      <c r="W8" s="12"/>
      <c r="X8" s="12"/>
      <c r="Y8" s="12"/>
      <c r="AC8" s="12"/>
      <c r="AD8" s="12"/>
      <c r="AE8" s="12"/>
      <c r="AF8" s="12"/>
      <c r="AJ8" s="12"/>
      <c r="AK8" s="12"/>
      <c r="AL8" s="12"/>
      <c r="AM8" s="12"/>
      <c r="AQ8" s="12"/>
      <c r="AR8" s="12">
        <v>1</v>
      </c>
      <c r="AS8" s="12"/>
      <c r="AT8" s="12">
        <v>1</v>
      </c>
      <c r="AX8" s="12"/>
      <c r="AY8" s="12">
        <v>1</v>
      </c>
      <c r="AZ8" s="12"/>
      <c r="BA8" s="12">
        <v>1</v>
      </c>
      <c r="BE8" s="12"/>
      <c r="BF8" s="12">
        <v>1</v>
      </c>
      <c r="BG8" s="12"/>
      <c r="BH8" s="12">
        <v>1</v>
      </c>
      <c r="BL8" s="12"/>
      <c r="BM8" s="12">
        <v>1</v>
      </c>
      <c r="BN8" s="12"/>
      <c r="BO8" s="12">
        <v>1</v>
      </c>
      <c r="BS8" s="12"/>
      <c r="BT8" s="12">
        <v>1</v>
      </c>
      <c r="BU8" s="12"/>
      <c r="BV8" s="12">
        <v>1</v>
      </c>
      <c r="BZ8" s="12"/>
      <c r="CA8" s="12"/>
      <c r="CB8" s="12"/>
      <c r="CC8" s="12"/>
      <c r="CG8" s="12"/>
      <c r="CH8" s="12"/>
      <c r="CI8" s="12"/>
      <c r="CJ8" s="12"/>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row>
    <row r="9" spans="2:138" outlineLevel="1" x14ac:dyDescent="0.2">
      <c r="B9" t="s">
        <v>28</v>
      </c>
      <c r="C9" s="2" t="s">
        <v>65</v>
      </c>
      <c r="D9" s="2"/>
      <c r="E9" s="11"/>
      <c r="F9" t="s">
        <v>70</v>
      </c>
      <c r="G9" s="12">
        <v>0.05</v>
      </c>
      <c r="I9" s="11">
        <v>0</v>
      </c>
      <c r="J9" s="13" cm="1">
        <f t="array" ref="J9">MAX(IF($N$3:$DV$3=$J$3,N9:DV9))</f>
        <v>0</v>
      </c>
      <c r="K9" s="13" cm="1">
        <f t="array" ref="K9">MAX(IF($N$3:$DV$3=$J$3,N9:DV9))</f>
        <v>0</v>
      </c>
      <c r="L9" s="11"/>
      <c r="O9" s="12"/>
      <c r="P9" s="12">
        <v>0.3</v>
      </c>
      <c r="Q9" s="12"/>
      <c r="R9" s="12">
        <v>0.3</v>
      </c>
      <c r="V9" s="12"/>
      <c r="W9" s="12"/>
      <c r="X9" s="12"/>
      <c r="Y9" s="12"/>
      <c r="AC9" s="12"/>
      <c r="AD9" s="12"/>
      <c r="AE9" s="12"/>
      <c r="AF9" s="12"/>
      <c r="AJ9" s="12"/>
      <c r="AK9" s="12"/>
      <c r="AL9" s="12"/>
      <c r="AM9" s="12"/>
      <c r="AQ9" s="12"/>
      <c r="AR9" s="12">
        <v>1</v>
      </c>
      <c r="AS9" s="12"/>
      <c r="AT9" s="12">
        <v>1</v>
      </c>
      <c r="AX9" s="12"/>
      <c r="AY9" s="12">
        <v>1</v>
      </c>
      <c r="AZ9" s="12"/>
      <c r="BA9" s="12">
        <v>1</v>
      </c>
      <c r="BE9" s="12"/>
      <c r="BF9" s="12">
        <v>1</v>
      </c>
      <c r="BG9" s="12"/>
      <c r="BH9" s="12">
        <v>1</v>
      </c>
      <c r="BL9" s="12"/>
      <c r="BM9" s="12">
        <v>1</v>
      </c>
      <c r="BN9" s="12"/>
      <c r="BO9" s="12">
        <v>1</v>
      </c>
      <c r="BS9" s="12"/>
      <c r="BT9" s="12">
        <v>1</v>
      </c>
      <c r="BU9" s="12"/>
      <c r="BV9" s="12">
        <v>1</v>
      </c>
      <c r="BZ9" s="12"/>
      <c r="CA9" s="12"/>
      <c r="CB9" s="12"/>
      <c r="CC9" s="12"/>
      <c r="CG9" s="12"/>
      <c r="CH9" s="12"/>
      <c r="CI9" s="12"/>
      <c r="CJ9" s="12"/>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row>
    <row r="10" spans="2:138" outlineLevel="1" x14ac:dyDescent="0.2">
      <c r="B10" t="s">
        <v>28</v>
      </c>
      <c r="C10" s="2" t="s">
        <v>65</v>
      </c>
      <c r="D10" s="2"/>
      <c r="E10" s="11"/>
      <c r="F10" t="s">
        <v>71</v>
      </c>
      <c r="G10" s="12">
        <v>0.1</v>
      </c>
      <c r="I10" s="11">
        <v>0</v>
      </c>
      <c r="J10" s="13" cm="1">
        <f t="array" ref="J10">MAX(IF($N$3:$DV$3=$J$3,N10:DV10))</f>
        <v>0</v>
      </c>
      <c r="K10" s="13" cm="1">
        <f t="array" ref="K10">MAX(IF($N$3:$DV$3=$J$3,N10:DV10))</f>
        <v>0</v>
      </c>
      <c r="L10" s="11"/>
      <c r="O10" s="12"/>
      <c r="P10" s="12">
        <v>0.3</v>
      </c>
      <c r="Q10" s="12"/>
      <c r="R10" s="12">
        <v>0.3</v>
      </c>
      <c r="V10" s="12"/>
      <c r="W10" s="12"/>
      <c r="X10" s="12"/>
      <c r="Y10" s="12"/>
      <c r="AC10" s="12"/>
      <c r="AD10" s="12"/>
      <c r="AE10" s="12"/>
      <c r="AF10" s="12"/>
      <c r="AJ10" s="12"/>
      <c r="AK10" s="12"/>
      <c r="AL10" s="12"/>
      <c r="AM10" s="12"/>
      <c r="AQ10" s="12"/>
      <c r="AR10" s="12">
        <v>1</v>
      </c>
      <c r="AS10" s="12"/>
      <c r="AT10" s="12">
        <v>1</v>
      </c>
      <c r="AX10" s="12"/>
      <c r="AY10" s="12">
        <v>1</v>
      </c>
      <c r="AZ10" s="12"/>
      <c r="BA10" s="12">
        <v>1</v>
      </c>
      <c r="BE10" s="12"/>
      <c r="BF10" s="12">
        <v>1</v>
      </c>
      <c r="BG10" s="12"/>
      <c r="BH10" s="12">
        <v>1</v>
      </c>
      <c r="BL10" s="12"/>
      <c r="BM10" s="12">
        <v>1</v>
      </c>
      <c r="BN10" s="12"/>
      <c r="BO10" s="12">
        <v>1</v>
      </c>
      <c r="BS10" s="12"/>
      <c r="BT10" s="12">
        <v>1</v>
      </c>
      <c r="BU10" s="12"/>
      <c r="BV10" s="12">
        <v>1</v>
      </c>
      <c r="BZ10" s="12"/>
      <c r="CA10" s="12"/>
      <c r="CB10" s="12"/>
      <c r="CC10" s="12"/>
      <c r="CG10" s="12"/>
      <c r="CH10" s="12"/>
      <c r="CI10" s="12"/>
      <c r="CJ10" s="12"/>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row>
    <row r="11" spans="2:138" outlineLevel="1" x14ac:dyDescent="0.2">
      <c r="B11" t="s">
        <v>28</v>
      </c>
      <c r="C11" s="2" t="s">
        <v>65</v>
      </c>
      <c r="D11" s="2"/>
      <c r="E11" s="11"/>
      <c r="F11" t="s">
        <v>72</v>
      </c>
      <c r="G11" s="12">
        <v>0.1</v>
      </c>
      <c r="I11" s="11">
        <f t="shared" ref="I11:I17" si="0">+SUMIF($N$3:$WV$3,I$3,$N11:$WV11)</f>
        <v>0</v>
      </c>
      <c r="J11" s="13" cm="1">
        <f t="array" ref="J11">MAX(IF($N$3:$DV$3=$J$3,N11:DV11))</f>
        <v>0</v>
      </c>
      <c r="K11" s="13" cm="1">
        <f t="array" ref="K11">MAX(IF($N$3:$DV$3=$J$3,N11:DV11))</f>
        <v>0</v>
      </c>
      <c r="L11" s="11"/>
      <c r="O11" s="12"/>
      <c r="P11" s="12">
        <v>0.3</v>
      </c>
      <c r="Q11" s="12"/>
      <c r="R11" s="12">
        <v>0.3</v>
      </c>
      <c r="V11" s="12"/>
      <c r="W11" s="12"/>
      <c r="X11" s="12"/>
      <c r="Y11" s="12"/>
      <c r="AC11" s="12"/>
      <c r="AD11" s="12"/>
      <c r="AE11" s="12"/>
      <c r="AF11" s="12"/>
      <c r="AJ11" s="12"/>
      <c r="AK11" s="12"/>
      <c r="AL11" s="12"/>
      <c r="AM11" s="12"/>
      <c r="AQ11" s="12"/>
      <c r="AR11" s="12">
        <v>1</v>
      </c>
      <c r="AS11" s="12"/>
      <c r="AT11" s="12">
        <v>1</v>
      </c>
      <c r="AX11" s="12"/>
      <c r="AY11" s="12">
        <v>1</v>
      </c>
      <c r="AZ11" s="12"/>
      <c r="BA11" s="12">
        <v>1</v>
      </c>
      <c r="BE11" s="12"/>
      <c r="BF11" s="12">
        <v>1</v>
      </c>
      <c r="BG11" s="12"/>
      <c r="BH11" s="12">
        <v>1</v>
      </c>
      <c r="BL11" s="12"/>
      <c r="BM11" s="12">
        <v>1</v>
      </c>
      <c r="BN11" s="12"/>
      <c r="BO11" s="12">
        <v>1</v>
      </c>
      <c r="BS11" s="12"/>
      <c r="BT11" s="12">
        <v>1</v>
      </c>
      <c r="BU11" s="12"/>
      <c r="BV11" s="12">
        <v>1</v>
      </c>
      <c r="BZ11" s="12"/>
      <c r="CA11" s="12"/>
      <c r="CB11" s="12"/>
      <c r="CC11" s="12"/>
      <c r="CG11" s="12"/>
      <c r="CH11" s="12"/>
      <c r="CI11" s="12"/>
      <c r="CJ11" s="12"/>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row>
    <row r="12" spans="2:138" outlineLevel="1" x14ac:dyDescent="0.2">
      <c r="B12" t="s">
        <v>28</v>
      </c>
      <c r="C12" s="2" t="s">
        <v>65</v>
      </c>
      <c r="D12" s="2"/>
      <c r="E12" s="11"/>
      <c r="F12" t="s">
        <v>73</v>
      </c>
      <c r="G12" s="12">
        <v>0.1</v>
      </c>
      <c r="I12" s="11">
        <f t="shared" si="0"/>
        <v>0</v>
      </c>
      <c r="J12" s="13" cm="1">
        <f t="array" ref="J12">MAX(IF($N$3:$DV$3=$J$3,N12:DV12))</f>
        <v>0</v>
      </c>
      <c r="K12" s="13" cm="1">
        <f t="array" ref="K12">MAX(IF($N$3:$DV$3=$J$3,N12:DV12))</f>
        <v>0</v>
      </c>
      <c r="L12" s="11"/>
      <c r="O12" s="25"/>
      <c r="P12" s="12"/>
      <c r="Q12" s="12"/>
      <c r="R12" s="12"/>
      <c r="V12" s="12"/>
      <c r="W12" s="12"/>
      <c r="X12" s="12"/>
      <c r="Y12" s="12"/>
      <c r="AC12" s="12"/>
      <c r="AD12" s="12"/>
      <c r="AE12" s="12"/>
      <c r="AF12" s="12"/>
      <c r="AJ12" s="12"/>
      <c r="AK12" s="12"/>
      <c r="AL12" s="12"/>
      <c r="AM12" s="12"/>
      <c r="AQ12" s="12"/>
      <c r="AR12" s="12">
        <v>1</v>
      </c>
      <c r="AS12" s="12"/>
      <c r="AT12" s="12">
        <v>1</v>
      </c>
      <c r="AX12" s="12"/>
      <c r="AY12" s="12">
        <v>1</v>
      </c>
      <c r="AZ12" s="12"/>
      <c r="BA12" s="12">
        <v>1</v>
      </c>
      <c r="BE12" s="12"/>
      <c r="BF12" s="12">
        <v>1</v>
      </c>
      <c r="BG12" s="12"/>
      <c r="BH12" s="12">
        <v>1</v>
      </c>
      <c r="BL12" s="12"/>
      <c r="BM12" s="12">
        <v>1</v>
      </c>
      <c r="BN12" s="12"/>
      <c r="BO12" s="12">
        <v>1</v>
      </c>
      <c r="BS12" s="12"/>
      <c r="BT12" s="12">
        <v>1</v>
      </c>
      <c r="BU12" s="12"/>
      <c r="BV12" s="12">
        <v>1</v>
      </c>
      <c r="BZ12" s="12"/>
      <c r="CA12" s="12"/>
      <c r="CB12" s="12"/>
      <c r="CC12" s="12"/>
      <c r="CG12" s="12"/>
      <c r="CH12" s="12"/>
      <c r="CI12" s="12"/>
      <c r="CJ12" s="12"/>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row>
    <row r="13" spans="2:138" outlineLevel="1" x14ac:dyDescent="0.2">
      <c r="B13" t="s">
        <v>28</v>
      </c>
      <c r="C13" s="2" t="s">
        <v>65</v>
      </c>
      <c r="D13" s="2"/>
      <c r="E13" s="11"/>
      <c r="F13" t="s">
        <v>74</v>
      </c>
      <c r="G13" s="12">
        <v>0.1</v>
      </c>
      <c r="I13" s="11">
        <f t="shared" si="0"/>
        <v>0</v>
      </c>
      <c r="J13" s="13" cm="1">
        <f t="array" ref="J13">MAX(IF($N$3:$DV$3=$J$3,N13:DV13))</f>
        <v>0</v>
      </c>
      <c r="K13" s="13" cm="1">
        <f t="array" ref="K13">MAX(IF($N$3:$DV$3=$J$3,N13:DV13))</f>
        <v>0</v>
      </c>
      <c r="L13" s="11"/>
      <c r="O13" s="25"/>
      <c r="P13" s="12"/>
      <c r="Q13" s="12"/>
      <c r="R13" s="12"/>
      <c r="V13" s="12"/>
      <c r="W13" s="12"/>
      <c r="X13" s="12"/>
      <c r="Y13" s="12"/>
      <c r="AC13" s="12"/>
      <c r="AD13" s="12"/>
      <c r="AE13" s="12"/>
      <c r="AF13" s="12"/>
      <c r="AJ13" s="12"/>
      <c r="AK13" s="12"/>
      <c r="AL13" s="12"/>
      <c r="AM13" s="12"/>
      <c r="AQ13" s="12"/>
      <c r="AR13" s="12">
        <v>1</v>
      </c>
      <c r="AS13" s="12"/>
      <c r="AT13" s="12">
        <v>1</v>
      </c>
      <c r="AX13" s="12"/>
      <c r="AY13" s="12">
        <v>1</v>
      </c>
      <c r="AZ13" s="12"/>
      <c r="BA13" s="12">
        <v>1</v>
      </c>
      <c r="BE13" s="12"/>
      <c r="BF13" s="12">
        <v>1</v>
      </c>
      <c r="BG13" s="12"/>
      <c r="BH13" s="12">
        <v>1</v>
      </c>
      <c r="BL13" s="12"/>
      <c r="BM13" s="12">
        <v>1</v>
      </c>
      <c r="BN13" s="12"/>
      <c r="BO13" s="12">
        <v>1</v>
      </c>
      <c r="BS13" s="12"/>
      <c r="BT13" s="12">
        <v>1</v>
      </c>
      <c r="BU13" s="12"/>
      <c r="BV13" s="12">
        <v>1</v>
      </c>
      <c r="BZ13" s="12"/>
      <c r="CA13" s="12"/>
      <c r="CB13" s="12"/>
      <c r="CC13" s="12"/>
      <c r="CG13" s="12"/>
      <c r="CH13" s="12"/>
      <c r="CI13" s="12"/>
      <c r="CJ13" s="12"/>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row>
    <row r="14" spans="2:138" outlineLevel="1" x14ac:dyDescent="0.2">
      <c r="B14" t="s">
        <v>28</v>
      </c>
      <c r="C14" s="2" t="s">
        <v>65</v>
      </c>
      <c r="D14" s="2"/>
      <c r="E14" s="11"/>
      <c r="F14" t="s">
        <v>75</v>
      </c>
      <c r="G14" s="12">
        <v>0.1</v>
      </c>
      <c r="I14" s="11">
        <f t="shared" si="0"/>
        <v>0</v>
      </c>
      <c r="J14" s="13" cm="1">
        <f t="array" ref="J14">MAX(IF($N$3:$DV$3=$J$3,N14:DV14))</f>
        <v>0</v>
      </c>
      <c r="K14" s="13" cm="1">
        <f t="array" ref="K14">MAX(IF($N$3:$DV$3=$J$3,N14:DV14))</f>
        <v>0</v>
      </c>
      <c r="L14" s="11"/>
      <c r="O14" s="25"/>
      <c r="P14" s="12"/>
      <c r="Q14" s="12"/>
      <c r="R14" s="12"/>
      <c r="V14" s="12"/>
      <c r="W14" s="12"/>
      <c r="X14" s="12"/>
      <c r="Y14" s="12"/>
      <c r="AC14" s="12"/>
      <c r="AD14" s="12"/>
      <c r="AE14" s="12"/>
      <c r="AF14" s="12"/>
      <c r="AJ14" s="12"/>
      <c r="AK14" s="12"/>
      <c r="AL14" s="12"/>
      <c r="AM14" s="12"/>
      <c r="AQ14" s="12"/>
      <c r="AR14" s="12">
        <v>1</v>
      </c>
      <c r="AS14" s="12"/>
      <c r="AT14" s="12">
        <v>1</v>
      </c>
      <c r="AX14" s="12"/>
      <c r="AY14" s="12">
        <v>1</v>
      </c>
      <c r="AZ14" s="12"/>
      <c r="BA14" s="12">
        <v>1</v>
      </c>
      <c r="BE14" s="12"/>
      <c r="BF14" s="12">
        <v>1</v>
      </c>
      <c r="BG14" s="12"/>
      <c r="BH14" s="12">
        <v>1</v>
      </c>
      <c r="BL14" s="12"/>
      <c r="BM14" s="12">
        <v>1</v>
      </c>
      <c r="BN14" s="12"/>
      <c r="BO14" s="12">
        <v>1</v>
      </c>
      <c r="BS14" s="12"/>
      <c r="BT14" s="12">
        <v>1</v>
      </c>
      <c r="BU14" s="12"/>
      <c r="BV14" s="12">
        <v>1</v>
      </c>
      <c r="BZ14" s="12"/>
      <c r="CA14" s="12"/>
      <c r="CB14" s="12"/>
      <c r="CC14" s="12"/>
      <c r="CG14" s="12"/>
      <c r="CH14" s="12"/>
      <c r="CI14" s="12"/>
      <c r="CJ14" s="12"/>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row>
    <row r="15" spans="2:138" outlineLevel="1" x14ac:dyDescent="0.2">
      <c r="B15" t="s">
        <v>28</v>
      </c>
      <c r="C15" s="2" t="s">
        <v>65</v>
      </c>
      <c r="D15" s="2"/>
      <c r="E15" s="11"/>
      <c r="F15" t="s">
        <v>77</v>
      </c>
      <c r="G15" s="12">
        <v>0.1</v>
      </c>
      <c r="I15" s="11">
        <f t="shared" si="0"/>
        <v>0</v>
      </c>
      <c r="J15" s="13" cm="1">
        <f t="array" ref="J15">MAX(IF($N$3:$DV$3=$J$3,N15:DV15))</f>
        <v>0</v>
      </c>
      <c r="K15" s="13" cm="1">
        <f t="array" ref="K15">MAX(IF($N$3:$DV$3=$J$3,N15:DV15))</f>
        <v>0</v>
      </c>
      <c r="L15" s="11"/>
      <c r="O15" s="25"/>
      <c r="P15" s="12"/>
      <c r="Q15" s="12"/>
      <c r="R15" s="12"/>
      <c r="V15" s="12"/>
      <c r="W15" s="12"/>
      <c r="X15" s="12"/>
      <c r="Y15" s="12"/>
      <c r="AC15" s="12"/>
      <c r="AD15" s="12"/>
      <c r="AE15" s="12"/>
      <c r="AF15" s="12"/>
      <c r="AJ15" s="12"/>
      <c r="AK15" s="12"/>
      <c r="AL15" s="12"/>
      <c r="AM15" s="12"/>
      <c r="AQ15" s="12"/>
      <c r="AR15" s="12">
        <v>1</v>
      </c>
      <c r="AS15" s="12"/>
      <c r="AT15" s="12">
        <v>1</v>
      </c>
      <c r="AX15" s="12"/>
      <c r="AY15" s="12">
        <v>1</v>
      </c>
      <c r="AZ15" s="12"/>
      <c r="BA15" s="12">
        <v>1</v>
      </c>
      <c r="BE15" s="12"/>
      <c r="BF15" s="12">
        <v>1</v>
      </c>
      <c r="BG15" s="12"/>
      <c r="BH15" s="12">
        <v>1</v>
      </c>
      <c r="BL15" s="12"/>
      <c r="BM15" s="12">
        <v>1</v>
      </c>
      <c r="BN15" s="12"/>
      <c r="BO15" s="12">
        <v>1</v>
      </c>
      <c r="BS15" s="12"/>
      <c r="BT15" s="12">
        <v>1</v>
      </c>
      <c r="BU15" s="12"/>
      <c r="BV15" s="12">
        <v>1</v>
      </c>
      <c r="BZ15" s="12"/>
      <c r="CA15" s="12"/>
      <c r="CB15" s="12"/>
      <c r="CC15" s="12"/>
      <c r="CG15" s="12"/>
      <c r="CH15" s="12"/>
      <c r="CI15" s="12"/>
      <c r="CJ15" s="12"/>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row>
    <row r="16" spans="2:138" outlineLevel="1" x14ac:dyDescent="0.2">
      <c r="B16" t="s">
        <v>28</v>
      </c>
      <c r="C16" s="2" t="s">
        <v>65</v>
      </c>
      <c r="D16" s="2"/>
      <c r="E16" s="11"/>
      <c r="F16" t="s">
        <v>76</v>
      </c>
      <c r="G16" s="12">
        <v>0.1</v>
      </c>
      <c r="I16" s="11">
        <f t="shared" si="0"/>
        <v>0</v>
      </c>
      <c r="J16" s="13" cm="1">
        <f t="array" ref="J16">MAX(IF($N$3:$DV$3=$J$3,N16:DV16))</f>
        <v>0</v>
      </c>
      <c r="K16" s="13" cm="1">
        <f t="array" ref="K16">MAX(IF($N$3:$DV$3=$J$3,N16:DV16))</f>
        <v>0</v>
      </c>
      <c r="L16" s="11"/>
      <c r="O16" s="25"/>
      <c r="P16" s="12"/>
      <c r="Q16" s="12"/>
      <c r="R16" s="12"/>
      <c r="V16" s="12"/>
      <c r="W16" s="12"/>
      <c r="X16" s="12"/>
      <c r="Y16" s="12"/>
      <c r="AC16" s="12"/>
      <c r="AD16" s="12"/>
      <c r="AE16" s="12"/>
      <c r="AF16" s="12"/>
      <c r="AJ16" s="12"/>
      <c r="AK16" s="12"/>
      <c r="AL16" s="12"/>
      <c r="AM16" s="12"/>
      <c r="AQ16" s="12"/>
      <c r="AR16" s="12">
        <v>1</v>
      </c>
      <c r="AS16" s="12"/>
      <c r="AT16" s="12">
        <v>1</v>
      </c>
      <c r="AX16" s="12"/>
      <c r="AY16" s="12">
        <v>1</v>
      </c>
      <c r="AZ16" s="12"/>
      <c r="BA16" s="12">
        <v>1</v>
      </c>
      <c r="BE16" s="12"/>
      <c r="BF16" s="12">
        <v>1</v>
      </c>
      <c r="BG16" s="12"/>
      <c r="BH16" s="12">
        <v>1</v>
      </c>
      <c r="BL16" s="12"/>
      <c r="BM16" s="12">
        <v>1</v>
      </c>
      <c r="BN16" s="12"/>
      <c r="BO16" s="12">
        <v>1</v>
      </c>
      <c r="BS16" s="12"/>
      <c r="BT16" s="12">
        <v>1</v>
      </c>
      <c r="BU16" s="12"/>
      <c r="BV16" s="12">
        <v>1</v>
      </c>
      <c r="BZ16" s="12"/>
      <c r="CA16" s="12"/>
      <c r="CB16" s="12"/>
      <c r="CC16" s="12"/>
      <c r="CG16" s="12"/>
      <c r="CH16" s="12"/>
      <c r="CI16" s="12"/>
      <c r="CJ16" s="12"/>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row>
    <row r="17" spans="2:137" outlineLevel="1" x14ac:dyDescent="0.2">
      <c r="B17" t="s">
        <v>28</v>
      </c>
      <c r="C17" s="2" t="s">
        <v>65</v>
      </c>
      <c r="D17" s="2"/>
      <c r="E17" s="11"/>
      <c r="F17" t="s">
        <v>78</v>
      </c>
      <c r="G17" s="12">
        <v>0.1</v>
      </c>
      <c r="I17" s="11">
        <f t="shared" si="0"/>
        <v>0</v>
      </c>
      <c r="J17" s="13" cm="1">
        <f t="array" ref="J17">MAX(IF($N$3:$DV$3=$J$3,N17:DV17))</f>
        <v>0</v>
      </c>
      <c r="K17" s="13" cm="1">
        <f t="array" ref="K17">MAX(IF($N$3:$DV$3=$J$3,N17:DV17))</f>
        <v>0</v>
      </c>
      <c r="L17" s="11"/>
      <c r="O17" s="25"/>
      <c r="P17" s="12"/>
      <c r="Q17" s="12"/>
      <c r="R17" s="12"/>
      <c r="V17" s="12"/>
      <c r="W17" s="12"/>
      <c r="X17" s="12"/>
      <c r="Y17" s="12"/>
      <c r="AC17" s="12"/>
      <c r="AD17" s="12"/>
      <c r="AE17" s="12"/>
      <c r="AF17" s="12"/>
      <c r="AJ17" s="12"/>
      <c r="AK17" s="12"/>
      <c r="AL17" s="12"/>
      <c r="AM17" s="12"/>
      <c r="AQ17" s="12"/>
      <c r="AR17" s="12">
        <v>1</v>
      </c>
      <c r="AS17" s="12"/>
      <c r="AT17" s="12">
        <v>1</v>
      </c>
      <c r="AX17" s="12"/>
      <c r="AY17" s="12">
        <v>1</v>
      </c>
      <c r="AZ17" s="12"/>
      <c r="BA17" s="12">
        <v>1</v>
      </c>
      <c r="BE17" s="12"/>
      <c r="BF17" s="12">
        <v>1</v>
      </c>
      <c r="BG17" s="12"/>
      <c r="BH17" s="12">
        <v>1</v>
      </c>
      <c r="BL17" s="12"/>
      <c r="BM17" s="12">
        <v>1</v>
      </c>
      <c r="BN17" s="12"/>
      <c r="BO17" s="12">
        <v>1</v>
      </c>
      <c r="BS17" s="12"/>
      <c r="BT17" s="12">
        <v>1</v>
      </c>
      <c r="BU17" s="12"/>
      <c r="BV17" s="12">
        <v>1</v>
      </c>
      <c r="BZ17" s="12"/>
      <c r="CA17" s="12"/>
      <c r="CB17" s="12"/>
      <c r="CC17" s="12"/>
      <c r="CG17" s="12"/>
      <c r="CH17" s="12"/>
      <c r="CI17" s="12"/>
      <c r="CJ17" s="12"/>
      <c r="CN17" s="12"/>
      <c r="CO17" s="12"/>
      <c r="CP17" s="12"/>
      <c r="CQ17" s="12"/>
      <c r="CU17" s="12"/>
      <c r="CV17" s="12"/>
      <c r="CW17" s="12"/>
      <c r="CX17" s="12"/>
      <c r="DB17" s="12"/>
      <c r="DC17" s="12"/>
      <c r="DD17" s="12"/>
      <c r="DE17" s="12"/>
      <c r="DI17" s="12"/>
      <c r="DJ17" s="12"/>
      <c r="DK17" s="12"/>
      <c r="DL17" s="12"/>
      <c r="DP17" s="12"/>
      <c r="DQ17" s="12"/>
      <c r="DR17" s="12"/>
      <c r="DS17" s="12"/>
      <c r="DW17" s="12"/>
      <c r="DX17" s="12"/>
      <c r="DY17" s="12"/>
      <c r="DZ17" s="12"/>
      <c r="ED17" s="12"/>
      <c r="EE17" s="12"/>
      <c r="EF17" s="12"/>
      <c r="EG17" s="12"/>
    </row>
    <row r="18" spans="2:137" x14ac:dyDescent="0.2">
      <c r="O18" s="9"/>
      <c r="V18" s="9"/>
      <c r="AC18" s="9"/>
      <c r="AJ18" s="9"/>
      <c r="AQ18" s="9"/>
      <c r="AX18" s="9"/>
      <c r="BE18" s="9"/>
      <c r="BL18" s="9"/>
      <c r="BS18" s="9"/>
      <c r="BZ18" s="9"/>
      <c r="CG18" s="9"/>
      <c r="CN18" s="9"/>
      <c r="CU18" s="9"/>
      <c r="DB18" s="9"/>
      <c r="DI18" s="9"/>
      <c r="DP18" s="9"/>
      <c r="DW18" s="9"/>
      <c r="ED18" s="9"/>
    </row>
    <row r="19" spans="2:137" x14ac:dyDescent="0.2">
      <c r="B19" t="s">
        <v>27</v>
      </c>
      <c r="C19" s="2" t="s">
        <v>120</v>
      </c>
      <c r="D19" s="23">
        <f>DATE(2022,6,1)</f>
        <v>44713</v>
      </c>
      <c r="E19" s="11">
        <v>6</v>
      </c>
      <c r="G19" s="12">
        <f>+SUM(G20:G25)</f>
        <v>1</v>
      </c>
      <c r="I19" s="14">
        <f>+SUM(I20:I25)</f>
        <v>0</v>
      </c>
      <c r="J19" s="13">
        <f>+SUMPRODUCT(G20:G25,J20:J25)</f>
        <v>0</v>
      </c>
      <c r="K19" s="13">
        <f>+SUMPRODUCT(G20:G25,K20:K25)</f>
        <v>0</v>
      </c>
      <c r="L19" s="11"/>
      <c r="N19" s="14">
        <f>+SUM(N20:N25)</f>
        <v>0</v>
      </c>
      <c r="U19" s="14">
        <f>+SUM(U20:U25)</f>
        <v>0</v>
      </c>
      <c r="AB19" s="14">
        <f>+SUM(AB20:AB25)</f>
        <v>0</v>
      </c>
      <c r="AI19" s="14">
        <f>+SUM(AI20:AI25)</f>
        <v>0</v>
      </c>
      <c r="AP19" s="14">
        <f>+SUM(AP20:AP25)</f>
        <v>0</v>
      </c>
    </row>
    <row r="20" spans="2:137" outlineLevel="1" x14ac:dyDescent="0.2">
      <c r="B20" t="s">
        <v>28</v>
      </c>
      <c r="C20" s="2" t="s">
        <v>120</v>
      </c>
      <c r="D20" s="2"/>
      <c r="E20" s="11"/>
      <c r="F20" t="s">
        <v>121</v>
      </c>
      <c r="G20" s="12">
        <v>0.1</v>
      </c>
      <c r="I20" s="11">
        <f t="shared" ref="I20:I30" si="1">+SUMIF($N$3:$WV$3,I$3,$N20:$WV20)</f>
        <v>0</v>
      </c>
      <c r="J20" s="13" cm="1">
        <f t="array" ref="J20">MAX(IF($N$3:$DV$3=$J$3,N20:DV20))</f>
        <v>0</v>
      </c>
      <c r="K20" s="13" cm="1">
        <f t="array" ref="K20">MAX(IF($N$3:$DV$3=$J$3,N20:DV20))</f>
        <v>0</v>
      </c>
      <c r="L20" s="11"/>
      <c r="O20" s="12"/>
      <c r="P20" s="12"/>
      <c r="Q20" s="12"/>
      <c r="R20" s="12"/>
      <c r="V20" s="12"/>
      <c r="W20" s="12"/>
      <c r="X20" s="12"/>
      <c r="Y20" s="12"/>
      <c r="AC20" s="12"/>
      <c r="AD20" s="12"/>
      <c r="AE20" s="12"/>
      <c r="AF20" s="12"/>
      <c r="AJ20" s="12"/>
      <c r="AK20" s="12"/>
      <c r="AL20" s="12"/>
      <c r="AM20" s="12"/>
      <c r="AQ20" s="12"/>
      <c r="AR20" s="12">
        <v>1</v>
      </c>
      <c r="AS20" s="12"/>
      <c r="AT20" s="12">
        <v>1</v>
      </c>
      <c r="AX20" s="12"/>
      <c r="AY20" s="12">
        <v>1</v>
      </c>
      <c r="AZ20" s="12"/>
      <c r="BA20" s="12">
        <v>1</v>
      </c>
      <c r="BE20" s="12"/>
      <c r="BF20" s="12">
        <v>1</v>
      </c>
      <c r="BG20" s="12"/>
      <c r="BH20" s="12">
        <v>1</v>
      </c>
      <c r="BL20" s="12"/>
      <c r="BM20" s="12">
        <v>1</v>
      </c>
      <c r="BN20" s="12"/>
      <c r="BO20" s="12">
        <v>1</v>
      </c>
      <c r="BS20" s="12"/>
      <c r="BT20" s="12">
        <v>1</v>
      </c>
      <c r="BU20" s="12"/>
      <c r="BV20" s="12">
        <v>1</v>
      </c>
      <c r="BZ20" s="12"/>
      <c r="CA20" s="12"/>
      <c r="CB20" s="12"/>
      <c r="CC20" s="12"/>
      <c r="CG20" s="12"/>
      <c r="CH20" s="12"/>
      <c r="CI20" s="12"/>
      <c r="CJ20" s="12"/>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row>
    <row r="21" spans="2:137" outlineLevel="1" x14ac:dyDescent="0.2">
      <c r="B21" t="s">
        <v>28</v>
      </c>
      <c r="C21" s="2" t="s">
        <v>120</v>
      </c>
      <c r="D21" s="2"/>
      <c r="E21" s="11"/>
      <c r="F21" t="s">
        <v>122</v>
      </c>
      <c r="G21" s="12">
        <v>0.2</v>
      </c>
      <c r="I21" s="11">
        <f t="shared" si="1"/>
        <v>0</v>
      </c>
      <c r="J21" s="13" cm="1">
        <f t="array" ref="J21">MAX(IF($N$3:$DV$3=$J$3,N21:DV21))</f>
        <v>0</v>
      </c>
      <c r="K21" s="13" cm="1">
        <f t="array" ref="K21">MAX(IF($N$3:$DV$3=$J$3,N21:DV21))</f>
        <v>0</v>
      </c>
      <c r="L21" s="11"/>
      <c r="O21" s="12"/>
      <c r="P21" s="12"/>
      <c r="Q21" s="12"/>
      <c r="R21" s="12"/>
      <c r="V21" s="12"/>
      <c r="W21" s="12"/>
      <c r="X21" s="12"/>
      <c r="Y21" s="12"/>
      <c r="AC21" s="12"/>
      <c r="AD21" s="12"/>
      <c r="AE21" s="12"/>
      <c r="AF21" s="12"/>
      <c r="AJ21" s="12"/>
      <c r="AK21" s="12"/>
      <c r="AL21" s="12"/>
      <c r="AM21" s="12"/>
      <c r="AQ21" s="12"/>
      <c r="AR21" s="12">
        <v>1</v>
      </c>
      <c r="AS21" s="12"/>
      <c r="AT21" s="12">
        <v>1</v>
      </c>
      <c r="AX21" s="12"/>
      <c r="AY21" s="12">
        <v>1</v>
      </c>
      <c r="AZ21" s="12"/>
      <c r="BA21" s="12">
        <v>1</v>
      </c>
      <c r="BE21" s="12"/>
      <c r="BF21" s="12">
        <v>1</v>
      </c>
      <c r="BG21" s="12"/>
      <c r="BH21" s="12">
        <v>1</v>
      </c>
      <c r="BL21" s="12"/>
      <c r="BM21" s="12">
        <v>1</v>
      </c>
      <c r="BN21" s="12"/>
      <c r="BO21" s="12">
        <v>1</v>
      </c>
      <c r="BS21" s="12"/>
      <c r="BT21" s="12">
        <v>1</v>
      </c>
      <c r="BU21" s="12"/>
      <c r="BV21" s="12">
        <v>1</v>
      </c>
      <c r="BZ21" s="12"/>
      <c r="CA21" s="12"/>
      <c r="CB21" s="12"/>
      <c r="CC21" s="12"/>
      <c r="CG21" s="12"/>
      <c r="CH21" s="12"/>
      <c r="CI21" s="12"/>
      <c r="CJ21" s="12"/>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row>
    <row r="22" spans="2:137" outlineLevel="1" x14ac:dyDescent="0.2">
      <c r="B22" t="s">
        <v>28</v>
      </c>
      <c r="C22" s="2" t="s">
        <v>120</v>
      </c>
      <c r="D22" s="2"/>
      <c r="E22" s="11"/>
      <c r="F22" t="s">
        <v>123</v>
      </c>
      <c r="G22" s="12">
        <v>0.15</v>
      </c>
      <c r="I22" s="11">
        <f t="shared" si="1"/>
        <v>0</v>
      </c>
      <c r="J22" s="13" cm="1">
        <f t="array" ref="J22">MAX(IF($N$3:$DV$3=$J$3,N22:DV22))</f>
        <v>0</v>
      </c>
      <c r="K22" s="13" cm="1">
        <f t="array" ref="K22">MAX(IF($N$3:$DV$3=$J$3,N22:DV22))</f>
        <v>0</v>
      </c>
      <c r="L22" s="11"/>
      <c r="O22" s="12"/>
      <c r="P22" s="12"/>
      <c r="Q22" s="12"/>
      <c r="R22" s="12"/>
      <c r="V22" s="12"/>
      <c r="W22" s="12"/>
      <c r="X22" s="12"/>
      <c r="Y22" s="12"/>
      <c r="AC22" s="12"/>
      <c r="AD22" s="12"/>
      <c r="AE22" s="12"/>
      <c r="AF22" s="12"/>
      <c r="AJ22" s="12"/>
      <c r="AK22" s="12"/>
      <c r="AL22" s="12"/>
      <c r="AM22" s="12"/>
      <c r="AQ22" s="12"/>
      <c r="AR22" s="12">
        <v>1</v>
      </c>
      <c r="AS22" s="12"/>
      <c r="AT22" s="12">
        <v>1</v>
      </c>
      <c r="AX22" s="12"/>
      <c r="AY22" s="12">
        <v>1</v>
      </c>
      <c r="AZ22" s="12"/>
      <c r="BA22" s="12">
        <v>1</v>
      </c>
      <c r="BE22" s="12"/>
      <c r="BF22" s="12">
        <v>1</v>
      </c>
      <c r="BG22" s="12"/>
      <c r="BH22" s="12">
        <v>1</v>
      </c>
      <c r="BL22" s="12"/>
      <c r="BM22" s="12">
        <v>1</v>
      </c>
      <c r="BN22" s="12"/>
      <c r="BO22" s="12">
        <v>1</v>
      </c>
      <c r="BS22" s="12"/>
      <c r="BT22" s="12">
        <v>1</v>
      </c>
      <c r="BU22" s="12"/>
      <c r="BV22" s="12">
        <v>1</v>
      </c>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row>
    <row r="23" spans="2:137" outlineLevel="1" x14ac:dyDescent="0.2">
      <c r="B23" t="s">
        <v>28</v>
      </c>
      <c r="C23" s="2" t="s">
        <v>120</v>
      </c>
      <c r="D23" s="2"/>
      <c r="E23" s="11"/>
      <c r="F23" t="s">
        <v>124</v>
      </c>
      <c r="G23" s="12">
        <v>0.15</v>
      </c>
      <c r="I23" s="11">
        <f t="shared" si="1"/>
        <v>0</v>
      </c>
      <c r="J23" s="13" cm="1">
        <f t="array" ref="J23">MAX(IF($N$3:$DV$3=$J$3,N23:DV23))</f>
        <v>0</v>
      </c>
      <c r="K23" s="13" cm="1">
        <f t="array" ref="K23">MAX(IF($N$3:$DV$3=$J$3,N23:DV23))</f>
        <v>0</v>
      </c>
      <c r="L23" s="11"/>
      <c r="O23" s="12"/>
      <c r="P23" s="12"/>
      <c r="Q23" s="12"/>
      <c r="R23" s="12"/>
      <c r="V23" s="12"/>
      <c r="W23" s="12"/>
      <c r="X23" s="12"/>
      <c r="Y23" s="12"/>
      <c r="AC23" s="12"/>
      <c r="AD23" s="12"/>
      <c r="AE23" s="12"/>
      <c r="AF23" s="12"/>
      <c r="AJ23" s="12"/>
      <c r="AK23" s="12"/>
      <c r="AL23" s="12"/>
      <c r="AM23" s="12"/>
      <c r="AQ23" s="12"/>
      <c r="AR23" s="12">
        <v>1</v>
      </c>
      <c r="AS23" s="12"/>
      <c r="AT23" s="12">
        <v>1</v>
      </c>
      <c r="AX23" s="12"/>
      <c r="AY23" s="12">
        <v>1</v>
      </c>
      <c r="AZ23" s="12"/>
      <c r="BA23" s="12">
        <v>1</v>
      </c>
      <c r="BE23" s="12"/>
      <c r="BF23" s="12">
        <v>1</v>
      </c>
      <c r="BG23" s="12"/>
      <c r="BH23" s="12">
        <v>1</v>
      </c>
      <c r="BL23" s="12"/>
      <c r="BM23" s="12">
        <v>1</v>
      </c>
      <c r="BN23" s="12"/>
      <c r="BO23" s="12">
        <v>1</v>
      </c>
      <c r="BS23" s="12"/>
      <c r="BT23" s="12">
        <v>1</v>
      </c>
      <c r="BU23" s="12"/>
      <c r="BV23" s="12">
        <v>1</v>
      </c>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row>
    <row r="24" spans="2:137" outlineLevel="1" x14ac:dyDescent="0.2">
      <c r="B24" t="s">
        <v>28</v>
      </c>
      <c r="C24" s="2" t="s">
        <v>120</v>
      </c>
      <c r="D24" s="2"/>
      <c r="E24" s="11"/>
      <c r="F24" t="s">
        <v>125</v>
      </c>
      <c r="G24" s="12">
        <v>0.2</v>
      </c>
      <c r="I24" s="11">
        <f t="shared" si="1"/>
        <v>0</v>
      </c>
      <c r="J24" s="13" cm="1">
        <f t="array" ref="J24">MAX(IF($N$3:$DV$3=$J$3,N24:DV24))</f>
        <v>0</v>
      </c>
      <c r="K24" s="13" cm="1">
        <f t="array" ref="K24">MAX(IF($N$3:$DV$3=$J$3,N24:DV24))</f>
        <v>0</v>
      </c>
      <c r="L24" s="11"/>
      <c r="O24" s="12"/>
      <c r="P24" s="12"/>
      <c r="Q24" s="12"/>
      <c r="R24" s="12"/>
      <c r="V24" s="12"/>
      <c r="W24" s="12"/>
      <c r="X24" s="12"/>
      <c r="Y24" s="12"/>
      <c r="AC24" s="12"/>
      <c r="AD24" s="12"/>
      <c r="AE24" s="12"/>
      <c r="AF24" s="12"/>
      <c r="AJ24" s="12"/>
      <c r="AK24" s="12"/>
      <c r="AL24" s="12"/>
      <c r="AM24" s="12"/>
      <c r="AQ24" s="12"/>
      <c r="AR24" s="12">
        <v>1</v>
      </c>
      <c r="AS24" s="12"/>
      <c r="AT24" s="12">
        <v>1</v>
      </c>
      <c r="AX24" s="12"/>
      <c r="AY24" s="12">
        <v>1</v>
      </c>
      <c r="AZ24" s="12"/>
      <c r="BA24" s="12">
        <v>1</v>
      </c>
      <c r="BE24" s="12"/>
      <c r="BF24" s="12">
        <v>1</v>
      </c>
      <c r="BG24" s="12"/>
      <c r="BH24" s="12">
        <v>1</v>
      </c>
      <c r="BL24" s="12"/>
      <c r="BM24" s="12">
        <v>1</v>
      </c>
      <c r="BN24" s="12"/>
      <c r="BO24" s="12">
        <v>1</v>
      </c>
      <c r="BS24" s="12"/>
      <c r="BT24" s="12">
        <v>1</v>
      </c>
      <c r="BU24" s="12"/>
      <c r="BV24" s="12">
        <v>1</v>
      </c>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row>
    <row r="25" spans="2:137" outlineLevel="1" x14ac:dyDescent="0.2">
      <c r="B25" t="s">
        <v>28</v>
      </c>
      <c r="C25" s="2" t="s">
        <v>120</v>
      </c>
      <c r="D25" s="2"/>
      <c r="E25" s="11"/>
      <c r="F25" t="s">
        <v>126</v>
      </c>
      <c r="G25" s="12">
        <v>0.2</v>
      </c>
      <c r="I25" s="11">
        <f t="shared" si="1"/>
        <v>0</v>
      </c>
      <c r="J25" s="13" cm="1">
        <f t="array" ref="J25">MAX(IF($N$3:$DV$3=$J$3,N25:DV25))</f>
        <v>0</v>
      </c>
      <c r="K25" s="13" cm="1">
        <f t="array" ref="K25">MAX(IF($N$3:$DV$3=$J$3,N25:DV25))</f>
        <v>0</v>
      </c>
      <c r="L25" s="11"/>
      <c r="O25" s="12"/>
      <c r="P25" s="12"/>
      <c r="Q25" s="12"/>
      <c r="R25" s="12"/>
      <c r="V25" s="12"/>
      <c r="W25" s="12"/>
      <c r="X25" s="12"/>
      <c r="Y25" s="12"/>
      <c r="AC25" s="12"/>
      <c r="AD25" s="12"/>
      <c r="AE25" s="12"/>
      <c r="AF25" s="12"/>
      <c r="AJ25" s="12"/>
      <c r="AK25" s="12"/>
      <c r="AL25" s="12"/>
      <c r="AM25" s="12"/>
      <c r="AQ25" s="12"/>
      <c r="AR25" s="12">
        <v>1</v>
      </c>
      <c r="AS25" s="12"/>
      <c r="AT25" s="12">
        <v>1</v>
      </c>
      <c r="AX25" s="12"/>
      <c r="AY25" s="12">
        <v>1</v>
      </c>
      <c r="AZ25" s="12"/>
      <c r="BA25" s="12">
        <v>1</v>
      </c>
      <c r="BE25" s="12"/>
      <c r="BF25" s="12">
        <v>1</v>
      </c>
      <c r="BG25" s="12"/>
      <c r="BH25" s="12">
        <v>1</v>
      </c>
      <c r="BL25" s="12"/>
      <c r="BM25" s="12">
        <v>1</v>
      </c>
      <c r="BN25" s="12"/>
      <c r="BO25" s="12">
        <v>1</v>
      </c>
      <c r="BS25" s="12"/>
      <c r="BT25" s="12">
        <v>1</v>
      </c>
      <c r="BU25" s="12"/>
      <c r="BV25" s="12">
        <v>1</v>
      </c>
      <c r="BZ25" s="12"/>
      <c r="CA25" s="12"/>
      <c r="CB25" s="12"/>
      <c r="CC25" s="12"/>
      <c r="CG25" s="12"/>
      <c r="CH25" s="12"/>
      <c r="CI25" s="12"/>
      <c r="CJ25" s="12"/>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c r="ED25" s="12"/>
      <c r="EE25" s="12"/>
      <c r="EF25" s="12"/>
      <c r="EG25" s="12"/>
    </row>
    <row r="26" spans="2:137" outlineLevel="1" x14ac:dyDescent="0.2">
      <c r="B26" t="s">
        <v>28</v>
      </c>
      <c r="C26" s="2" t="s">
        <v>120</v>
      </c>
      <c r="D26" s="2"/>
      <c r="E26" s="11"/>
      <c r="F26" t="s">
        <v>127</v>
      </c>
      <c r="G26" s="12">
        <v>0.2</v>
      </c>
      <c r="I26" s="11">
        <f t="shared" si="1"/>
        <v>0</v>
      </c>
      <c r="J26" s="13" cm="1">
        <f t="array" ref="J26">MAX(IF($N$3:$DV$3=$J$3,N26:DV26))</f>
        <v>0</v>
      </c>
      <c r="K26" s="13" cm="1">
        <f t="array" ref="K26">MAX(IF($N$3:$DV$3=$J$3,N26:DV26))</f>
        <v>0</v>
      </c>
      <c r="L26" s="11"/>
      <c r="O26" s="12"/>
      <c r="P26" s="12"/>
      <c r="Q26" s="12"/>
      <c r="R26" s="12"/>
      <c r="V26" s="12"/>
      <c r="W26" s="12"/>
      <c r="X26" s="12"/>
      <c r="Y26" s="12"/>
      <c r="AC26" s="12"/>
      <c r="AD26" s="12"/>
      <c r="AE26" s="12"/>
      <c r="AF26" s="12"/>
      <c r="AJ26" s="12"/>
      <c r="AK26" s="12"/>
      <c r="AL26" s="12"/>
      <c r="AM26" s="12"/>
      <c r="AQ26" s="12"/>
      <c r="AR26" s="12">
        <v>1</v>
      </c>
      <c r="AS26" s="12"/>
      <c r="AT26" s="12">
        <v>1</v>
      </c>
      <c r="AX26" s="12"/>
      <c r="AY26" s="12">
        <v>1</v>
      </c>
      <c r="AZ26" s="12"/>
      <c r="BA26" s="12">
        <v>1</v>
      </c>
      <c r="BE26" s="12"/>
      <c r="BF26" s="12">
        <v>1</v>
      </c>
      <c r="BG26" s="12"/>
      <c r="BH26" s="12">
        <v>1</v>
      </c>
      <c r="BL26" s="12"/>
      <c r="BM26" s="12">
        <v>1</v>
      </c>
      <c r="BN26" s="12"/>
      <c r="BO26" s="12">
        <v>1</v>
      </c>
      <c r="BS26" s="12"/>
      <c r="BT26" s="12">
        <v>1</v>
      </c>
      <c r="BU26" s="12"/>
      <c r="BV26" s="12">
        <v>1</v>
      </c>
      <c r="BZ26" s="12"/>
      <c r="CA26" s="12"/>
      <c r="CB26" s="12"/>
      <c r="CC26" s="12"/>
      <c r="CG26" s="12"/>
      <c r="CH26" s="12"/>
      <c r="CI26" s="12"/>
      <c r="CJ26" s="12"/>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row>
    <row r="27" spans="2:137" outlineLevel="1" x14ac:dyDescent="0.2">
      <c r="B27" t="s">
        <v>28</v>
      </c>
      <c r="C27" s="2" t="s">
        <v>120</v>
      </c>
      <c r="D27" s="2"/>
      <c r="E27" s="11"/>
      <c r="F27" t="s">
        <v>128</v>
      </c>
      <c r="G27" s="12">
        <v>0.2</v>
      </c>
      <c r="I27" s="11">
        <f t="shared" si="1"/>
        <v>0</v>
      </c>
      <c r="J27" s="13" cm="1">
        <f t="array" ref="J27">MAX(IF($N$3:$DV$3=$J$3,N27:DV27))</f>
        <v>0</v>
      </c>
      <c r="K27" s="13" cm="1">
        <f t="array" ref="K27">MAX(IF($N$3:$DV$3=$J$3,N27:DV27))</f>
        <v>0</v>
      </c>
      <c r="L27" s="11"/>
      <c r="O27" s="12"/>
      <c r="P27" s="12"/>
      <c r="Q27" s="12"/>
      <c r="R27" s="12"/>
      <c r="V27" s="12"/>
      <c r="W27" s="12"/>
      <c r="X27" s="12"/>
      <c r="Y27" s="12"/>
      <c r="AC27" s="12"/>
      <c r="AD27" s="12"/>
      <c r="AE27" s="12"/>
      <c r="AF27" s="12"/>
      <c r="AJ27" s="12"/>
      <c r="AK27" s="12"/>
      <c r="AL27" s="12"/>
      <c r="AM27" s="12"/>
      <c r="AQ27" s="12"/>
      <c r="AR27" s="12">
        <v>1</v>
      </c>
      <c r="AS27" s="12"/>
      <c r="AT27" s="12">
        <v>1</v>
      </c>
      <c r="AX27" s="12"/>
      <c r="AY27" s="12">
        <v>1</v>
      </c>
      <c r="AZ27" s="12"/>
      <c r="BA27" s="12">
        <v>1</v>
      </c>
      <c r="BE27" s="12"/>
      <c r="BF27" s="12">
        <v>1</v>
      </c>
      <c r="BG27" s="12"/>
      <c r="BH27" s="12">
        <v>1</v>
      </c>
      <c r="BL27" s="12"/>
      <c r="BM27" s="12">
        <v>1</v>
      </c>
      <c r="BN27" s="12"/>
      <c r="BO27" s="12">
        <v>1</v>
      </c>
      <c r="BS27" s="12"/>
      <c r="BT27" s="12">
        <v>1</v>
      </c>
      <c r="BU27" s="12"/>
      <c r="BV27" s="12">
        <v>1</v>
      </c>
      <c r="BZ27" s="12"/>
      <c r="CA27" s="12"/>
      <c r="CB27" s="12"/>
      <c r="CC27" s="12"/>
      <c r="CG27" s="12"/>
      <c r="CH27" s="12"/>
      <c r="CI27" s="12"/>
      <c r="CJ27" s="12"/>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row>
    <row r="28" spans="2:137" outlineLevel="1" x14ac:dyDescent="0.2">
      <c r="B28" t="s">
        <v>28</v>
      </c>
      <c r="C28" s="2" t="s">
        <v>120</v>
      </c>
      <c r="D28" s="2"/>
      <c r="E28" s="11"/>
      <c r="F28" t="s">
        <v>129</v>
      </c>
      <c r="G28" s="12">
        <v>0.2</v>
      </c>
      <c r="I28" s="11">
        <f t="shared" si="1"/>
        <v>0</v>
      </c>
      <c r="J28" s="13" cm="1">
        <f t="array" ref="J28">MAX(IF($N$3:$DV$3=$J$3,N28:DV28))</f>
        <v>0</v>
      </c>
      <c r="K28" s="13" cm="1">
        <f t="array" ref="K28">MAX(IF($N$3:$DV$3=$J$3,N28:DV28))</f>
        <v>0</v>
      </c>
      <c r="L28" s="11"/>
      <c r="O28" s="12"/>
      <c r="P28" s="12"/>
      <c r="Q28" s="12"/>
      <c r="R28" s="12"/>
      <c r="V28" s="12"/>
      <c r="W28" s="12"/>
      <c r="X28" s="12"/>
      <c r="Y28" s="12"/>
      <c r="AC28" s="12"/>
      <c r="AD28" s="12"/>
      <c r="AE28" s="12"/>
      <c r="AF28" s="12"/>
      <c r="AJ28" s="12"/>
      <c r="AK28" s="12"/>
      <c r="AL28" s="12"/>
      <c r="AM28" s="12"/>
      <c r="AQ28" s="12"/>
      <c r="AR28" s="12">
        <v>1</v>
      </c>
      <c r="AS28" s="12"/>
      <c r="AT28" s="12">
        <v>1</v>
      </c>
      <c r="AX28" s="12"/>
      <c r="AY28" s="12">
        <v>1</v>
      </c>
      <c r="AZ28" s="12"/>
      <c r="BA28" s="12">
        <v>1</v>
      </c>
      <c r="BE28" s="12"/>
      <c r="BF28" s="12">
        <v>1</v>
      </c>
      <c r="BG28" s="12"/>
      <c r="BH28" s="12">
        <v>1</v>
      </c>
      <c r="BL28" s="12"/>
      <c r="BM28" s="12">
        <v>1</v>
      </c>
      <c r="BN28" s="12"/>
      <c r="BO28" s="12">
        <v>1</v>
      </c>
      <c r="BS28" s="12"/>
      <c r="BT28" s="12">
        <v>1</v>
      </c>
      <c r="BU28" s="12"/>
      <c r="BV28" s="12">
        <v>1</v>
      </c>
      <c r="BZ28" s="12"/>
      <c r="CA28" s="12"/>
      <c r="CB28" s="12"/>
      <c r="CC28" s="12"/>
      <c r="CG28" s="12"/>
      <c r="CH28" s="12"/>
      <c r="CI28" s="12"/>
      <c r="CJ28" s="12"/>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row>
    <row r="29" spans="2:137" outlineLevel="1" x14ac:dyDescent="0.2">
      <c r="B29" t="s">
        <v>28</v>
      </c>
      <c r="C29" s="2" t="s">
        <v>120</v>
      </c>
      <c r="D29" s="2"/>
      <c r="E29" s="11"/>
      <c r="F29" t="s">
        <v>130</v>
      </c>
      <c r="G29" s="12">
        <v>0.2</v>
      </c>
      <c r="I29" s="11">
        <f t="shared" si="1"/>
        <v>0</v>
      </c>
      <c r="J29" s="13" cm="1">
        <f t="array" ref="J29">MAX(IF($N$3:$DV$3=$J$3,N29:DV29))</f>
        <v>0</v>
      </c>
      <c r="K29" s="13" cm="1">
        <f t="array" ref="K29">MAX(IF($N$3:$DV$3=$J$3,N29:DV29))</f>
        <v>0</v>
      </c>
      <c r="L29" s="11"/>
      <c r="O29" s="12"/>
      <c r="P29" s="12"/>
      <c r="Q29" s="12"/>
      <c r="R29" s="12"/>
      <c r="V29" s="12"/>
      <c r="W29" s="12"/>
      <c r="X29" s="12"/>
      <c r="Y29" s="12"/>
      <c r="AC29" s="12"/>
      <c r="AD29" s="12"/>
      <c r="AE29" s="12"/>
      <c r="AF29" s="12"/>
      <c r="AJ29" s="12"/>
      <c r="AK29" s="12"/>
      <c r="AL29" s="12"/>
      <c r="AM29" s="12"/>
      <c r="AQ29" s="12"/>
      <c r="AR29" s="12">
        <v>1</v>
      </c>
      <c r="AS29" s="12"/>
      <c r="AT29" s="12">
        <v>1</v>
      </c>
      <c r="AX29" s="12"/>
      <c r="AY29" s="12">
        <v>1</v>
      </c>
      <c r="AZ29" s="12"/>
      <c r="BA29" s="12">
        <v>1</v>
      </c>
      <c r="BE29" s="12"/>
      <c r="BF29" s="12">
        <v>1</v>
      </c>
      <c r="BG29" s="12"/>
      <c r="BH29" s="12">
        <v>1</v>
      </c>
      <c r="BL29" s="12"/>
      <c r="BM29" s="12">
        <v>1</v>
      </c>
      <c r="BN29" s="12"/>
      <c r="BO29" s="12">
        <v>1</v>
      </c>
      <c r="BS29" s="12"/>
      <c r="BT29" s="12">
        <v>1</v>
      </c>
      <c r="BU29" s="12"/>
      <c r="BV29" s="12">
        <v>1</v>
      </c>
      <c r="BZ29" s="12"/>
      <c r="CA29" s="12"/>
      <c r="CB29" s="12"/>
      <c r="CC29" s="12"/>
      <c r="CG29" s="12"/>
      <c r="CH29" s="12"/>
      <c r="CI29" s="12"/>
      <c r="CJ29" s="12"/>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row>
    <row r="30" spans="2:137" outlineLevel="1" x14ac:dyDescent="0.2">
      <c r="B30" t="s">
        <v>28</v>
      </c>
      <c r="C30" s="2" t="s">
        <v>120</v>
      </c>
      <c r="D30" s="2"/>
      <c r="E30" s="11"/>
      <c r="F30" t="s">
        <v>131</v>
      </c>
      <c r="G30" s="12">
        <v>0.2</v>
      </c>
      <c r="I30" s="11">
        <f t="shared" si="1"/>
        <v>0</v>
      </c>
      <c r="J30" s="13" cm="1">
        <f t="array" ref="J30">MAX(IF($N$3:$DV$3=$J$3,N30:DV30))</f>
        <v>0</v>
      </c>
      <c r="K30" s="13" cm="1">
        <f t="array" ref="K30">MAX(IF($N$3:$DV$3=$J$3,N30:DV30))</f>
        <v>0</v>
      </c>
      <c r="L30" s="11"/>
      <c r="O30" s="12"/>
      <c r="P30" s="12"/>
      <c r="Q30" s="12"/>
      <c r="R30" s="12"/>
      <c r="V30" s="12"/>
      <c r="W30" s="12"/>
      <c r="X30" s="12"/>
      <c r="Y30" s="12"/>
      <c r="AC30" s="12"/>
      <c r="AD30" s="12"/>
      <c r="AE30" s="12"/>
      <c r="AF30" s="12"/>
      <c r="AJ30" s="12"/>
      <c r="AK30" s="12"/>
      <c r="AL30" s="12"/>
      <c r="AM30" s="12"/>
      <c r="AQ30" s="12"/>
      <c r="AR30" s="12">
        <v>1</v>
      </c>
      <c r="AS30" s="12"/>
      <c r="AT30" s="12">
        <v>1</v>
      </c>
      <c r="AX30" s="12"/>
      <c r="AY30" s="12">
        <v>1</v>
      </c>
      <c r="AZ30" s="12"/>
      <c r="BA30" s="12">
        <v>1</v>
      </c>
      <c r="BE30" s="12"/>
      <c r="BF30" s="12">
        <v>1</v>
      </c>
      <c r="BG30" s="12"/>
      <c r="BH30" s="12">
        <v>1</v>
      </c>
      <c r="BL30" s="12"/>
      <c r="BM30" s="12">
        <v>1</v>
      </c>
      <c r="BN30" s="12"/>
      <c r="BO30" s="12">
        <v>1</v>
      </c>
      <c r="BS30" s="12"/>
      <c r="BT30" s="12">
        <v>1</v>
      </c>
      <c r="BU30" s="12"/>
      <c r="BV30" s="12">
        <v>1</v>
      </c>
      <c r="BZ30" s="12"/>
      <c r="CA30" s="12"/>
      <c r="CB30" s="12"/>
      <c r="CC30" s="12"/>
      <c r="CG30" s="12"/>
      <c r="CH30" s="12"/>
      <c r="CI30" s="12"/>
      <c r="CJ30" s="12"/>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row>
    <row r="31" spans="2:137" outlineLevel="1" x14ac:dyDescent="0.2">
      <c r="C31" s="11"/>
      <c r="D31" s="11"/>
      <c r="E31" s="11"/>
      <c r="G31" s="12"/>
      <c r="I31" s="11"/>
      <c r="J31" s="13"/>
      <c r="K31" s="13"/>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row>
    <row r="33" spans="2:137" x14ac:dyDescent="0.2">
      <c r="B33" t="s">
        <v>27</v>
      </c>
      <c r="C33" t="s">
        <v>53</v>
      </c>
      <c r="D33" s="24">
        <f>DATE(2022,6,2)</f>
        <v>44714</v>
      </c>
      <c r="E33" s="11">
        <v>6</v>
      </c>
      <c r="G33" s="12">
        <f>+SUM(G34:G45)</f>
        <v>0.99999999999999989</v>
      </c>
      <c r="I33" s="14">
        <f>+SUM(I34:I45)</f>
        <v>0</v>
      </c>
      <c r="J33" s="13">
        <f>+SUMPRODUCT(G34:G45,J34:J45)</f>
        <v>0</v>
      </c>
      <c r="K33" s="13">
        <f>+SUMPRODUCT(G34:G45,K34:K45)</f>
        <v>0</v>
      </c>
      <c r="L33" s="11"/>
      <c r="N33" s="14">
        <f>+SUM(N34:N45)</f>
        <v>0</v>
      </c>
      <c r="U33" s="14">
        <f>+SUM(U34:U45)</f>
        <v>0</v>
      </c>
      <c r="AB33" s="14">
        <f>+SUM(AB34:AB45)</f>
        <v>0</v>
      </c>
      <c r="AI33" s="14">
        <f>+SUM(AI34:AI45)</f>
        <v>0</v>
      </c>
      <c r="AP33" s="14">
        <v>0</v>
      </c>
    </row>
    <row r="34" spans="2:137" outlineLevel="1" x14ac:dyDescent="0.2">
      <c r="B34" t="s">
        <v>28</v>
      </c>
      <c r="C34" s="2" t="s">
        <v>53</v>
      </c>
      <c r="D34" s="2"/>
      <c r="E34" s="11"/>
      <c r="F34" t="s">
        <v>30</v>
      </c>
      <c r="G34" s="12">
        <v>0.1</v>
      </c>
      <c r="I34" s="11">
        <f t="shared" ref="I34:I45" si="2">+SUMIF($N$3:$WV$3,I$3,$N34:$WV34)</f>
        <v>0</v>
      </c>
      <c r="J34" s="13" cm="1">
        <f t="array" ref="J34">MAX(IF($N$3:$DV$3=$J$3,N34:DV34))</f>
        <v>0</v>
      </c>
      <c r="K34" s="13" cm="1">
        <f t="array" ref="K34">MAX(IF($N$3:$DV$3=$J$3,N34:DV34))</f>
        <v>0</v>
      </c>
      <c r="L34" s="11"/>
      <c r="O34" s="12"/>
      <c r="P34" s="12">
        <v>0.8</v>
      </c>
      <c r="Q34" s="12"/>
      <c r="R34" s="12"/>
      <c r="V34" s="12"/>
      <c r="W34" s="12">
        <v>0.8</v>
      </c>
      <c r="X34" s="12"/>
      <c r="Y34" s="12">
        <v>0.8</v>
      </c>
      <c r="AC34" s="12"/>
      <c r="AD34" s="12">
        <v>1</v>
      </c>
      <c r="AE34" s="12"/>
      <c r="AF34" s="12">
        <v>1</v>
      </c>
      <c r="AJ34" s="12"/>
      <c r="AK34" s="12">
        <v>1</v>
      </c>
      <c r="AL34" s="12"/>
      <c r="AM34" s="12">
        <v>1</v>
      </c>
      <c r="AP34">
        <v>0</v>
      </c>
      <c r="AQ34" s="12"/>
      <c r="AR34" s="12">
        <v>1</v>
      </c>
      <c r="AS34" s="12"/>
      <c r="AT34" s="12">
        <v>1</v>
      </c>
      <c r="AX34" s="12"/>
      <c r="AY34" s="12">
        <v>1</v>
      </c>
      <c r="AZ34" s="12"/>
      <c r="BA34" s="12">
        <v>1</v>
      </c>
      <c r="BE34" s="12"/>
      <c r="BF34" s="12">
        <v>1</v>
      </c>
      <c r="BG34" s="12"/>
      <c r="BH34" s="12">
        <v>1</v>
      </c>
      <c r="BL34" s="12"/>
      <c r="BM34" s="12">
        <v>1</v>
      </c>
      <c r="BN34" s="12"/>
      <c r="BO34" s="12">
        <v>1</v>
      </c>
      <c r="BS34" s="12"/>
      <c r="BT34" s="12">
        <v>1</v>
      </c>
      <c r="BU34" s="12"/>
      <c r="BV34" s="12">
        <v>1</v>
      </c>
      <c r="BZ34" s="12"/>
      <c r="CA34" s="12"/>
      <c r="CB34" s="12"/>
      <c r="CC34" s="12"/>
      <c r="CG34" s="12"/>
      <c r="CH34" s="12"/>
      <c r="CI34" s="12"/>
      <c r="CJ34" s="12"/>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row>
    <row r="35" spans="2:137" outlineLevel="1" x14ac:dyDescent="0.2">
      <c r="B35" t="s">
        <v>28</v>
      </c>
      <c r="C35" s="2" t="s">
        <v>53</v>
      </c>
      <c r="D35" s="2"/>
      <c r="E35" s="11"/>
      <c r="F35" t="s">
        <v>54</v>
      </c>
      <c r="G35" s="12">
        <v>0.05</v>
      </c>
      <c r="I35" s="11">
        <f t="shared" si="2"/>
        <v>0</v>
      </c>
      <c r="J35" s="13" cm="1">
        <f t="array" ref="J35">MAX(IF($N$3:$DV$3=$J$3,N35:DV35))</f>
        <v>0</v>
      </c>
      <c r="K35" s="13" cm="1">
        <f t="array" ref="K35">MAX(IF($N$3:$DV$3=$J$3,N35:DV35))</f>
        <v>0</v>
      </c>
      <c r="L35" s="11"/>
      <c r="O35" s="12"/>
      <c r="P35" s="12">
        <v>0.8</v>
      </c>
      <c r="Q35" s="12"/>
      <c r="R35" s="12"/>
      <c r="V35" s="12"/>
      <c r="W35" s="12">
        <v>0.8</v>
      </c>
      <c r="X35" s="12"/>
      <c r="Y35" s="12">
        <v>0.8</v>
      </c>
      <c r="AC35" s="12"/>
      <c r="AD35" s="12">
        <v>1</v>
      </c>
      <c r="AE35" s="12"/>
      <c r="AF35" s="12">
        <v>1</v>
      </c>
      <c r="AJ35" s="12"/>
      <c r="AK35" s="12">
        <v>1</v>
      </c>
      <c r="AL35" s="12"/>
      <c r="AM35" s="12">
        <v>1</v>
      </c>
      <c r="AP35">
        <v>0</v>
      </c>
      <c r="AQ35" s="12"/>
      <c r="AR35" s="12">
        <v>1</v>
      </c>
      <c r="AS35" s="12"/>
      <c r="AT35" s="12">
        <v>1</v>
      </c>
      <c r="AX35" s="12"/>
      <c r="AY35" s="12">
        <v>1</v>
      </c>
      <c r="AZ35" s="12"/>
      <c r="BA35" s="12">
        <v>1</v>
      </c>
      <c r="BE35" s="12"/>
      <c r="BF35" s="12">
        <v>1</v>
      </c>
      <c r="BG35" s="12"/>
      <c r="BH35" s="12">
        <v>1</v>
      </c>
      <c r="BL35" s="12"/>
      <c r="BM35" s="12">
        <v>1</v>
      </c>
      <c r="BN35" s="12"/>
      <c r="BO35" s="12">
        <v>1</v>
      </c>
      <c r="BS35" s="12"/>
      <c r="BT35" s="12">
        <v>1</v>
      </c>
      <c r="BU35" s="12"/>
      <c r="BV35" s="12">
        <v>1</v>
      </c>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row>
    <row r="36" spans="2:137" outlineLevel="1" x14ac:dyDescent="0.2">
      <c r="B36" t="s">
        <v>28</v>
      </c>
      <c r="C36" s="2" t="s">
        <v>53</v>
      </c>
      <c r="D36" s="2"/>
      <c r="E36" s="11"/>
      <c r="F36" t="s">
        <v>55</v>
      </c>
      <c r="G36" s="12">
        <v>0.05</v>
      </c>
      <c r="I36" s="11">
        <f t="shared" si="2"/>
        <v>0</v>
      </c>
      <c r="J36" s="13" cm="1">
        <f t="array" ref="J36">MAX(IF($N$3:$DV$3=$J$3,N36:DV36))</f>
        <v>0</v>
      </c>
      <c r="K36" s="13" cm="1">
        <f t="array" ref="K36">MAX(IF($N$3:$DV$3=$J$3,N36:DV36))</f>
        <v>0</v>
      </c>
      <c r="L36" s="11"/>
      <c r="O36" s="25"/>
      <c r="P36" s="12">
        <v>1</v>
      </c>
      <c r="Q36" s="12"/>
      <c r="R36" s="12"/>
      <c r="V36" s="12"/>
      <c r="W36" s="12">
        <v>0.5</v>
      </c>
      <c r="X36" s="12"/>
      <c r="Y36" s="12">
        <v>0.5</v>
      </c>
      <c r="AC36" s="12"/>
      <c r="AD36" s="12">
        <v>0.8</v>
      </c>
      <c r="AE36" s="12"/>
      <c r="AF36" s="12">
        <v>0.8</v>
      </c>
      <c r="AJ36" s="12"/>
      <c r="AK36" s="12">
        <v>1</v>
      </c>
      <c r="AL36" s="12"/>
      <c r="AM36" s="12">
        <v>1</v>
      </c>
      <c r="AP36">
        <v>0</v>
      </c>
      <c r="AQ36" s="12"/>
      <c r="AR36" s="12">
        <v>1</v>
      </c>
      <c r="AS36" s="12"/>
      <c r="AT36" s="12">
        <v>1</v>
      </c>
      <c r="AX36" s="12"/>
      <c r="AY36" s="12">
        <v>1</v>
      </c>
      <c r="AZ36" s="12"/>
      <c r="BA36" s="12">
        <v>1</v>
      </c>
      <c r="BE36" s="12"/>
      <c r="BF36" s="12">
        <v>1</v>
      </c>
      <c r="BG36" s="12"/>
      <c r="BH36" s="12">
        <v>1</v>
      </c>
      <c r="BL36" s="12"/>
      <c r="BM36" s="12">
        <v>1</v>
      </c>
      <c r="BN36" s="12"/>
      <c r="BO36" s="12">
        <v>1</v>
      </c>
      <c r="BS36" s="12"/>
      <c r="BT36" s="12">
        <v>1</v>
      </c>
      <c r="BU36" s="12"/>
      <c r="BV36" s="12">
        <v>1</v>
      </c>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row>
    <row r="37" spans="2:137" outlineLevel="1" x14ac:dyDescent="0.2">
      <c r="B37" t="s">
        <v>28</v>
      </c>
      <c r="C37" s="2" t="s">
        <v>53</v>
      </c>
      <c r="D37" s="2"/>
      <c r="E37" s="11"/>
      <c r="F37" t="s">
        <v>56</v>
      </c>
      <c r="G37" s="12">
        <v>0.05</v>
      </c>
      <c r="I37" s="11">
        <f t="shared" si="2"/>
        <v>0</v>
      </c>
      <c r="J37" s="13" cm="1">
        <f t="array" ref="J37">MAX(IF($N$3:$DV$3=$J$3,N37:DV37))</f>
        <v>0</v>
      </c>
      <c r="K37" s="13" cm="1">
        <f t="array" ref="K37">MAX(IF($N$3:$DV$3=$J$3,N37:DV37))</f>
        <v>0</v>
      </c>
      <c r="L37" s="11"/>
      <c r="O37" s="25"/>
      <c r="P37" s="12"/>
      <c r="Q37" s="12"/>
      <c r="R37" s="12"/>
      <c r="V37" s="12"/>
      <c r="W37" s="12">
        <v>0.5</v>
      </c>
      <c r="X37" s="12"/>
      <c r="Y37" s="12">
        <v>0.5</v>
      </c>
      <c r="AC37" s="12"/>
      <c r="AD37" s="12">
        <v>0.8</v>
      </c>
      <c r="AE37" s="12"/>
      <c r="AF37" s="12">
        <v>0.8</v>
      </c>
      <c r="AJ37" s="12"/>
      <c r="AK37" s="12">
        <v>1</v>
      </c>
      <c r="AL37" s="12"/>
      <c r="AM37" s="12">
        <v>1</v>
      </c>
      <c r="AP37">
        <v>0</v>
      </c>
      <c r="AQ37" s="12"/>
      <c r="AR37" s="12">
        <v>1</v>
      </c>
      <c r="AS37" s="12"/>
      <c r="AT37" s="12">
        <v>1</v>
      </c>
      <c r="AX37" s="12"/>
      <c r="AY37" s="12">
        <v>1</v>
      </c>
      <c r="AZ37" s="12"/>
      <c r="BA37" s="12">
        <v>1</v>
      </c>
      <c r="BE37" s="12"/>
      <c r="BF37" s="12">
        <v>1</v>
      </c>
      <c r="BG37" s="12"/>
      <c r="BH37" s="12">
        <v>1</v>
      </c>
      <c r="BL37" s="12"/>
      <c r="BM37" s="12">
        <v>1</v>
      </c>
      <c r="BN37" s="12"/>
      <c r="BO37" s="12">
        <v>1</v>
      </c>
      <c r="BS37" s="12"/>
      <c r="BT37" s="12">
        <v>1</v>
      </c>
      <c r="BU37" s="12"/>
      <c r="BV37" s="12">
        <v>1</v>
      </c>
      <c r="BZ37" s="12"/>
      <c r="CA37" s="12"/>
      <c r="CB37" s="12"/>
      <c r="CC37" s="12"/>
      <c r="CG37" s="12"/>
      <c r="CH37" s="12"/>
      <c r="CI37" s="12"/>
      <c r="CJ37" s="12"/>
      <c r="CN37" s="12"/>
      <c r="CO37" s="12"/>
      <c r="CP37" s="12"/>
      <c r="CQ37" s="12"/>
      <c r="CU37" s="12"/>
      <c r="CV37" s="12"/>
      <c r="CW37" s="12"/>
      <c r="CX37" s="12"/>
      <c r="DB37" s="12"/>
      <c r="DC37" s="12"/>
      <c r="DD37" s="12"/>
      <c r="DE37" s="12"/>
      <c r="DI37" s="12"/>
      <c r="DJ37" s="12"/>
      <c r="DK37" s="12"/>
      <c r="DL37" s="12"/>
      <c r="DP37" s="12"/>
      <c r="DQ37" s="12"/>
      <c r="DR37" s="12"/>
      <c r="DS37" s="12"/>
      <c r="DW37" s="12"/>
      <c r="DX37" s="12"/>
      <c r="DY37" s="12"/>
      <c r="DZ37" s="12"/>
      <c r="ED37" s="12"/>
      <c r="EE37" s="12"/>
      <c r="EF37" s="12"/>
      <c r="EG37" s="12"/>
    </row>
    <row r="38" spans="2:137" outlineLevel="1" x14ac:dyDescent="0.2">
      <c r="B38" t="s">
        <v>28</v>
      </c>
      <c r="C38" s="2" t="s">
        <v>53</v>
      </c>
      <c r="D38" s="2"/>
      <c r="E38" s="11"/>
      <c r="F38" t="s">
        <v>57</v>
      </c>
      <c r="G38" s="12">
        <v>0.05</v>
      </c>
      <c r="I38" s="11">
        <f t="shared" si="2"/>
        <v>0</v>
      </c>
      <c r="J38" s="13" cm="1">
        <f t="array" ref="J38">MAX(IF($N$3:$DV$3=$J$3,N38:DV38))</f>
        <v>0</v>
      </c>
      <c r="K38" s="13" cm="1">
        <f t="array" ref="K38">MAX(IF($N$3:$DV$3=$J$3,N38:DV38))</f>
        <v>0</v>
      </c>
      <c r="L38" s="11"/>
      <c r="O38" s="25"/>
      <c r="P38" s="12"/>
      <c r="Q38" s="12"/>
      <c r="R38" s="12"/>
      <c r="V38" s="12"/>
      <c r="W38" s="12">
        <v>0.5</v>
      </c>
      <c r="X38" s="12"/>
      <c r="Y38" s="12">
        <v>0.5</v>
      </c>
      <c r="AC38" s="12"/>
      <c r="AD38" s="12">
        <v>0.8</v>
      </c>
      <c r="AE38" s="12"/>
      <c r="AF38" s="12">
        <v>0.8</v>
      </c>
      <c r="AJ38" s="12"/>
      <c r="AK38" s="12">
        <v>1</v>
      </c>
      <c r="AL38" s="12"/>
      <c r="AM38" s="12">
        <v>1</v>
      </c>
      <c r="AP38">
        <v>0</v>
      </c>
      <c r="AQ38" s="12"/>
      <c r="AR38" s="12">
        <v>1</v>
      </c>
      <c r="AS38" s="12"/>
      <c r="AT38" s="12">
        <v>1</v>
      </c>
      <c r="AX38" s="12"/>
      <c r="AY38" s="12">
        <v>1</v>
      </c>
      <c r="AZ38" s="12"/>
      <c r="BA38" s="12">
        <v>1</v>
      </c>
      <c r="BE38" s="12"/>
      <c r="BF38" s="12">
        <v>1</v>
      </c>
      <c r="BG38" s="12"/>
      <c r="BH38" s="12">
        <v>1</v>
      </c>
      <c r="BL38" s="12"/>
      <c r="BM38" s="12">
        <v>1</v>
      </c>
      <c r="BN38" s="12"/>
      <c r="BO38" s="12">
        <v>1</v>
      </c>
      <c r="BS38" s="12"/>
      <c r="BT38" s="12">
        <v>1</v>
      </c>
      <c r="BU38" s="12"/>
      <c r="BV38" s="12">
        <v>1</v>
      </c>
      <c r="BZ38" s="12"/>
      <c r="CA38" s="12"/>
      <c r="CB38" s="12"/>
      <c r="CC38" s="12"/>
      <c r="CG38" s="12"/>
      <c r="CH38" s="12"/>
      <c r="CI38" s="12"/>
      <c r="CJ38" s="12"/>
      <c r="CN38" s="12"/>
      <c r="CO38" s="12"/>
      <c r="CP38" s="12"/>
      <c r="CQ38" s="12"/>
      <c r="CU38" s="12"/>
      <c r="CV38" s="12"/>
      <c r="CW38" s="12"/>
      <c r="CX38" s="12"/>
      <c r="DB38" s="12"/>
      <c r="DC38" s="12"/>
      <c r="DD38" s="12"/>
      <c r="DE38" s="12"/>
      <c r="DI38" s="12"/>
      <c r="DJ38" s="12"/>
      <c r="DK38" s="12"/>
      <c r="DL38" s="12"/>
      <c r="DP38" s="12"/>
      <c r="DQ38" s="12"/>
      <c r="DR38" s="12"/>
      <c r="DS38" s="12"/>
      <c r="DW38" s="12"/>
      <c r="DX38" s="12"/>
      <c r="DY38" s="12"/>
      <c r="DZ38" s="12"/>
      <c r="ED38" s="12"/>
      <c r="EE38" s="12"/>
      <c r="EF38" s="12"/>
      <c r="EG38" s="12"/>
    </row>
    <row r="39" spans="2:137" outlineLevel="1" x14ac:dyDescent="0.2">
      <c r="B39" t="s">
        <v>28</v>
      </c>
      <c r="C39" s="2" t="s">
        <v>53</v>
      </c>
      <c r="D39" s="2"/>
      <c r="E39" s="11"/>
      <c r="F39" t="s">
        <v>58</v>
      </c>
      <c r="G39" s="12">
        <v>0.1</v>
      </c>
      <c r="I39" s="11">
        <f t="shared" si="2"/>
        <v>0</v>
      </c>
      <c r="J39" s="13" cm="1">
        <f t="array" ref="J39">MAX(IF($N$3:$DV$3=$J$3,N39:DV39))</f>
        <v>0</v>
      </c>
      <c r="K39" s="13" cm="1">
        <f t="array" ref="K39">MAX(IF($N$3:$DV$3=$J$3,N39:DV39))</f>
        <v>0</v>
      </c>
      <c r="L39" s="11"/>
      <c r="O39" s="25"/>
      <c r="P39" s="12"/>
      <c r="Q39" s="12"/>
      <c r="R39" s="12"/>
      <c r="V39" s="12"/>
      <c r="W39" s="12">
        <v>0.3</v>
      </c>
      <c r="X39" s="12"/>
      <c r="Y39" s="12">
        <v>0.3</v>
      </c>
      <c r="AC39" s="12"/>
      <c r="AD39" s="12">
        <v>0.5</v>
      </c>
      <c r="AE39" s="12"/>
      <c r="AF39" s="12">
        <v>0.5</v>
      </c>
      <c r="AJ39" s="12"/>
      <c r="AK39" s="12">
        <v>0.8</v>
      </c>
      <c r="AL39" s="12"/>
      <c r="AM39" s="12">
        <v>0.8</v>
      </c>
      <c r="AP39">
        <v>0</v>
      </c>
      <c r="AQ39" s="12"/>
      <c r="AR39" s="12">
        <v>1</v>
      </c>
      <c r="AS39" s="12"/>
      <c r="AT39" s="12">
        <v>1</v>
      </c>
      <c r="AX39" s="12"/>
      <c r="AY39" s="12">
        <v>1</v>
      </c>
      <c r="AZ39" s="12"/>
      <c r="BA39" s="12">
        <v>1</v>
      </c>
      <c r="BE39" s="12"/>
      <c r="BF39" s="12">
        <v>1</v>
      </c>
      <c r="BG39" s="12"/>
      <c r="BH39" s="12">
        <v>1</v>
      </c>
      <c r="BL39" s="12"/>
      <c r="BM39" s="12">
        <v>1</v>
      </c>
      <c r="BN39" s="12"/>
      <c r="BO39" s="12">
        <v>1</v>
      </c>
      <c r="BS39" s="12"/>
      <c r="BT39" s="12">
        <v>1</v>
      </c>
      <c r="BU39" s="12"/>
      <c r="BV39" s="12">
        <v>1</v>
      </c>
      <c r="BZ39" s="12"/>
      <c r="CA39" s="12"/>
      <c r="CB39" s="12"/>
      <c r="CC39" s="12"/>
      <c r="CG39" s="12"/>
      <c r="CH39" s="12"/>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row>
    <row r="40" spans="2:137" outlineLevel="1" x14ac:dyDescent="0.2">
      <c r="B40" t="s">
        <v>28</v>
      </c>
      <c r="C40" s="2" t="s">
        <v>53</v>
      </c>
      <c r="D40" s="2"/>
      <c r="E40" s="11"/>
      <c r="F40" t="s">
        <v>59</v>
      </c>
      <c r="G40" s="12">
        <v>0.1</v>
      </c>
      <c r="I40" s="11">
        <f t="shared" si="2"/>
        <v>0</v>
      </c>
      <c r="J40" s="13" cm="1">
        <f t="array" ref="J40">MAX(IF($N$3:$DV$3=$J$3,N40:DV40))</f>
        <v>0</v>
      </c>
      <c r="K40" s="13" cm="1">
        <f t="array" ref="K40">MAX(IF($N$3:$DV$3=$J$3,N40:DV40))</f>
        <v>0</v>
      </c>
      <c r="L40" s="11"/>
      <c r="O40" s="25"/>
      <c r="P40" s="12"/>
      <c r="Q40" s="12"/>
      <c r="R40" s="12"/>
      <c r="V40" s="12"/>
      <c r="W40" s="12">
        <v>0.3</v>
      </c>
      <c r="X40" s="12"/>
      <c r="Y40" s="12">
        <v>0.3</v>
      </c>
      <c r="AC40" s="12"/>
      <c r="AD40" s="12">
        <v>0.5</v>
      </c>
      <c r="AE40" s="12"/>
      <c r="AF40" s="12">
        <v>0.5</v>
      </c>
      <c r="AJ40" s="12"/>
      <c r="AK40" s="12">
        <v>0.8</v>
      </c>
      <c r="AL40" s="12"/>
      <c r="AM40" s="12">
        <v>0.8</v>
      </c>
      <c r="AP40">
        <v>0</v>
      </c>
      <c r="AQ40" s="12"/>
      <c r="AR40" s="12">
        <v>1</v>
      </c>
      <c r="AS40" s="12"/>
      <c r="AT40" s="12">
        <v>1</v>
      </c>
      <c r="AX40" s="12"/>
      <c r="AY40" s="12">
        <v>1</v>
      </c>
      <c r="AZ40" s="12"/>
      <c r="BA40" s="12">
        <v>1</v>
      </c>
      <c r="BE40" s="12"/>
      <c r="BF40" s="12">
        <v>1</v>
      </c>
      <c r="BG40" s="12"/>
      <c r="BH40" s="12">
        <v>1</v>
      </c>
      <c r="BL40" s="12"/>
      <c r="BM40" s="12">
        <v>1</v>
      </c>
      <c r="BN40" s="12"/>
      <c r="BO40" s="12">
        <v>1</v>
      </c>
      <c r="BS40" s="12"/>
      <c r="BT40" s="12">
        <v>1</v>
      </c>
      <c r="BU40" s="12"/>
      <c r="BV40" s="12">
        <v>1</v>
      </c>
      <c r="BZ40" s="12"/>
      <c r="CA40" s="12"/>
      <c r="CB40" s="12"/>
      <c r="CC40" s="12"/>
      <c r="CG40" s="12"/>
      <c r="CH40" s="12"/>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row>
    <row r="41" spans="2:137" outlineLevel="1" x14ac:dyDescent="0.2">
      <c r="B41" t="s">
        <v>28</v>
      </c>
      <c r="C41" s="2" t="s">
        <v>53</v>
      </c>
      <c r="D41" s="2"/>
      <c r="E41" s="11"/>
      <c r="F41" t="s">
        <v>60</v>
      </c>
      <c r="G41" s="12">
        <v>0.1</v>
      </c>
      <c r="I41" s="11">
        <f t="shared" si="2"/>
        <v>0</v>
      </c>
      <c r="J41" s="13" cm="1">
        <f t="array" ref="J41">MAX(IF($N$3:$DV$3=$J$3,N41:DV41))</f>
        <v>0</v>
      </c>
      <c r="K41" s="13" cm="1">
        <f t="array" ref="K41">MAX(IF($N$3:$DV$3=$J$3,N41:DV41))</f>
        <v>0</v>
      </c>
      <c r="L41" s="11"/>
      <c r="O41" s="25"/>
      <c r="P41" s="12"/>
      <c r="Q41" s="12"/>
      <c r="R41" s="12"/>
      <c r="V41" s="12"/>
      <c r="W41" s="12"/>
      <c r="X41" s="12"/>
      <c r="Y41" s="12"/>
      <c r="AC41" s="12"/>
      <c r="AD41" s="12">
        <v>0.5</v>
      </c>
      <c r="AE41" s="12"/>
      <c r="AF41" s="12">
        <v>0.5</v>
      </c>
      <c r="AJ41" s="12"/>
      <c r="AK41" s="12">
        <v>0.8</v>
      </c>
      <c r="AL41" s="12"/>
      <c r="AM41" s="12">
        <v>0.8</v>
      </c>
      <c r="AP41">
        <v>0</v>
      </c>
      <c r="AQ41" s="12"/>
      <c r="AR41" s="12">
        <v>1</v>
      </c>
      <c r="AS41" s="12"/>
      <c r="AT41" s="12">
        <v>1</v>
      </c>
      <c r="AX41" s="12"/>
      <c r="AY41" s="12">
        <v>1</v>
      </c>
      <c r="AZ41" s="12"/>
      <c r="BA41" s="12">
        <v>1</v>
      </c>
      <c r="BE41" s="12"/>
      <c r="BF41" s="12">
        <v>1</v>
      </c>
      <c r="BG41" s="12"/>
      <c r="BH41" s="12">
        <v>1</v>
      </c>
      <c r="BL41" s="12"/>
      <c r="BM41" s="12">
        <v>1</v>
      </c>
      <c r="BN41" s="12"/>
      <c r="BO41" s="12">
        <v>1</v>
      </c>
      <c r="BS41" s="12"/>
      <c r="BT41" s="12">
        <v>1</v>
      </c>
      <c r="BU41" s="12"/>
      <c r="BV41" s="12">
        <v>1</v>
      </c>
      <c r="BZ41" s="12"/>
      <c r="CA41" s="12"/>
      <c r="CB41" s="12"/>
      <c r="CC41" s="12"/>
      <c r="CG41" s="12"/>
      <c r="CH41" s="12"/>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row>
    <row r="42" spans="2:137" outlineLevel="1" x14ac:dyDescent="0.2">
      <c r="B42" t="s">
        <v>28</v>
      </c>
      <c r="C42" s="2" t="s">
        <v>53</v>
      </c>
      <c r="D42" s="2"/>
      <c r="E42" s="11"/>
      <c r="F42" t="s">
        <v>61</v>
      </c>
      <c r="G42" s="12">
        <v>0.1</v>
      </c>
      <c r="I42" s="11">
        <f t="shared" si="2"/>
        <v>0</v>
      </c>
      <c r="J42" s="13" cm="1">
        <f t="array" ref="J42">MAX(IF($N$3:$DV$3=$J$3,N42:DV42))</f>
        <v>0</v>
      </c>
      <c r="K42" s="13" cm="1">
        <f t="array" ref="K42">MAX(IF($N$3:$DV$3=$J$3,N42:DV42))</f>
        <v>0</v>
      </c>
      <c r="L42" s="11"/>
      <c r="O42" s="25"/>
      <c r="P42" s="12"/>
      <c r="Q42" s="12"/>
      <c r="R42" s="12"/>
      <c r="V42" s="12"/>
      <c r="W42" s="12"/>
      <c r="X42" s="12"/>
      <c r="Y42" s="12"/>
      <c r="AC42" s="12"/>
      <c r="AD42" s="12">
        <v>0.5</v>
      </c>
      <c r="AE42" s="12"/>
      <c r="AF42" s="12">
        <v>0.5</v>
      </c>
      <c r="AJ42" s="12"/>
      <c r="AK42" s="12">
        <v>0.8</v>
      </c>
      <c r="AL42" s="12"/>
      <c r="AM42" s="12">
        <v>0.8</v>
      </c>
      <c r="AP42">
        <v>0</v>
      </c>
      <c r="AQ42" s="12"/>
      <c r="AR42" s="12">
        <v>1</v>
      </c>
      <c r="AS42" s="12"/>
      <c r="AT42" s="12">
        <v>1</v>
      </c>
      <c r="AX42" s="12"/>
      <c r="AY42" s="12">
        <v>1</v>
      </c>
      <c r="AZ42" s="12"/>
      <c r="BA42" s="12">
        <v>1</v>
      </c>
      <c r="BE42" s="12"/>
      <c r="BF42" s="12">
        <v>1</v>
      </c>
      <c r="BG42" s="12"/>
      <c r="BH42" s="12">
        <v>1</v>
      </c>
      <c r="BL42" s="12"/>
      <c r="BM42" s="12">
        <v>1</v>
      </c>
      <c r="BN42" s="12"/>
      <c r="BO42" s="12">
        <v>1</v>
      </c>
      <c r="BS42" s="12"/>
      <c r="BT42" s="12">
        <v>1</v>
      </c>
      <c r="BU42" s="12"/>
      <c r="BV42" s="12">
        <v>1</v>
      </c>
      <c r="BZ42" s="12"/>
      <c r="CA42" s="12"/>
      <c r="CB42" s="12"/>
      <c r="CC42" s="12"/>
      <c r="CG42" s="12"/>
      <c r="CH42" s="12"/>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row>
    <row r="43" spans="2:137" outlineLevel="1" x14ac:dyDescent="0.2">
      <c r="B43" t="s">
        <v>28</v>
      </c>
      <c r="C43" s="2" t="s">
        <v>53</v>
      </c>
      <c r="D43" s="2"/>
      <c r="E43" s="11"/>
      <c r="F43" t="s">
        <v>62</v>
      </c>
      <c r="G43" s="12">
        <v>0.1</v>
      </c>
      <c r="I43" s="11">
        <f t="shared" si="2"/>
        <v>0</v>
      </c>
      <c r="J43" s="13" cm="1">
        <f t="array" ref="J43">MAX(IF($N$3:$DV$3=$J$3,N43:DV43))</f>
        <v>0</v>
      </c>
      <c r="K43" s="13" cm="1">
        <f t="array" ref="K43">MAX(IF($N$3:$DV$3=$J$3,N43:DV43))</f>
        <v>0</v>
      </c>
      <c r="L43" s="11"/>
      <c r="O43" s="25"/>
      <c r="P43" s="12"/>
      <c r="Q43" s="12"/>
      <c r="R43" s="12"/>
      <c r="V43" s="12"/>
      <c r="W43" s="12"/>
      <c r="X43" s="12"/>
      <c r="Y43" s="12"/>
      <c r="AC43" s="12"/>
      <c r="AD43" s="12">
        <v>0.3</v>
      </c>
      <c r="AE43" s="12"/>
      <c r="AF43" s="12">
        <v>0.3</v>
      </c>
      <c r="AJ43" s="12"/>
      <c r="AK43" s="12">
        <v>0.5</v>
      </c>
      <c r="AL43" s="12"/>
      <c r="AM43" s="12">
        <v>0.5</v>
      </c>
      <c r="AP43">
        <v>0</v>
      </c>
      <c r="AQ43" s="12"/>
      <c r="AR43" s="12">
        <v>1</v>
      </c>
      <c r="AS43" s="12"/>
      <c r="AT43" s="12">
        <v>1</v>
      </c>
      <c r="AX43" s="12"/>
      <c r="AY43" s="12">
        <v>1</v>
      </c>
      <c r="AZ43" s="12"/>
      <c r="BA43" s="12">
        <v>1</v>
      </c>
      <c r="BE43" s="12"/>
      <c r="BF43" s="12">
        <v>1</v>
      </c>
      <c r="BG43" s="12"/>
      <c r="BH43" s="12">
        <v>1</v>
      </c>
      <c r="BL43" s="12"/>
      <c r="BM43" s="12">
        <v>1</v>
      </c>
      <c r="BN43" s="12"/>
      <c r="BO43" s="12">
        <v>1</v>
      </c>
      <c r="BS43" s="12"/>
      <c r="BT43" s="12">
        <v>1</v>
      </c>
      <c r="BU43" s="12"/>
      <c r="BV43" s="12">
        <v>1</v>
      </c>
      <c r="BZ43" s="12"/>
      <c r="CA43" s="12"/>
      <c r="CB43" s="12"/>
      <c r="CC43" s="12"/>
      <c r="CG43" s="12"/>
      <c r="CH43" s="12"/>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row>
    <row r="44" spans="2:137" outlineLevel="1" x14ac:dyDescent="0.2">
      <c r="B44" t="s">
        <v>28</v>
      </c>
      <c r="C44" s="2" t="s">
        <v>53</v>
      </c>
      <c r="D44" s="2"/>
      <c r="E44" s="11"/>
      <c r="F44" t="s">
        <v>63</v>
      </c>
      <c r="G44" s="12">
        <v>0.1</v>
      </c>
      <c r="I44" s="11">
        <f t="shared" si="2"/>
        <v>0</v>
      </c>
      <c r="J44" s="13" cm="1">
        <f t="array" ref="J44">MAX(IF($N$3:$DV$3=$J$3,N44:DV44))</f>
        <v>0</v>
      </c>
      <c r="K44" s="13" cm="1">
        <f t="array" ref="K44">MAX(IF($N$3:$DV$3=$J$3,N44:DV44))</f>
        <v>0</v>
      </c>
      <c r="L44" s="11"/>
      <c r="O44" s="25"/>
      <c r="P44" s="12"/>
      <c r="Q44" s="12"/>
      <c r="R44" s="12"/>
      <c r="V44" s="12"/>
      <c r="W44" s="12"/>
      <c r="X44" s="12"/>
      <c r="Y44" s="12"/>
      <c r="AC44" s="12"/>
      <c r="AD44" s="12"/>
      <c r="AE44" s="12"/>
      <c r="AF44" s="12"/>
      <c r="AJ44" s="12"/>
      <c r="AK44" s="12">
        <v>0.5</v>
      </c>
      <c r="AL44" s="12"/>
      <c r="AM44" s="12">
        <v>0.5</v>
      </c>
      <c r="AP44">
        <v>0</v>
      </c>
      <c r="AQ44" s="12"/>
      <c r="AR44" s="12">
        <v>1</v>
      </c>
      <c r="AS44" s="12"/>
      <c r="AT44" s="12">
        <v>1</v>
      </c>
      <c r="AX44" s="12"/>
      <c r="AY44" s="12">
        <v>1</v>
      </c>
      <c r="AZ44" s="12"/>
      <c r="BA44" s="12">
        <v>1</v>
      </c>
      <c r="BE44" s="12"/>
      <c r="BF44" s="12">
        <v>1</v>
      </c>
      <c r="BG44" s="12"/>
      <c r="BH44" s="12">
        <v>1</v>
      </c>
      <c r="BL44" s="12"/>
      <c r="BM44" s="12">
        <v>1</v>
      </c>
      <c r="BN44" s="12"/>
      <c r="BO44" s="12">
        <v>1</v>
      </c>
      <c r="BS44" s="12"/>
      <c r="BT44" s="12">
        <v>1</v>
      </c>
      <c r="BU44" s="12"/>
      <c r="BV44" s="12">
        <v>1</v>
      </c>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row>
    <row r="45" spans="2:137" outlineLevel="1" x14ac:dyDescent="0.2">
      <c r="B45" t="s">
        <v>28</v>
      </c>
      <c r="C45" s="2" t="s">
        <v>53</v>
      </c>
      <c r="D45" s="2"/>
      <c r="E45" s="11"/>
      <c r="F45" t="s">
        <v>64</v>
      </c>
      <c r="G45" s="12">
        <v>0.1</v>
      </c>
      <c r="I45" s="11">
        <f t="shared" si="2"/>
        <v>0</v>
      </c>
      <c r="J45" s="13" cm="1">
        <f t="array" ref="J45">MAX(IF($N$3:$DV$3=$J$3,N45:DV45))</f>
        <v>0</v>
      </c>
      <c r="K45" s="13" cm="1">
        <f t="array" ref="K45">MAX(IF($N$3:$DV$3=$J$3,N45:DV45))</f>
        <v>0</v>
      </c>
      <c r="L45" s="11"/>
      <c r="O45" s="25"/>
      <c r="P45" s="12"/>
      <c r="Q45" s="12"/>
      <c r="R45" s="12"/>
      <c r="V45" s="12"/>
      <c r="W45" s="12"/>
      <c r="X45" s="12"/>
      <c r="Y45" s="12"/>
      <c r="AC45" s="12"/>
      <c r="AD45" s="12"/>
      <c r="AE45" s="12"/>
      <c r="AF45" s="12"/>
      <c r="AJ45" s="12"/>
      <c r="AK45" s="12">
        <v>0.5</v>
      </c>
      <c r="AL45" s="12"/>
      <c r="AM45" s="12">
        <v>0.5</v>
      </c>
      <c r="AP45">
        <v>0</v>
      </c>
      <c r="AQ45" s="12"/>
      <c r="AR45" s="12">
        <v>1</v>
      </c>
      <c r="AS45" s="12"/>
      <c r="AT45" s="12">
        <v>1</v>
      </c>
      <c r="AX45" s="12"/>
      <c r="AY45" s="12">
        <v>1</v>
      </c>
      <c r="AZ45" s="12"/>
      <c r="BA45" s="12">
        <v>1</v>
      </c>
      <c r="BE45" s="12"/>
      <c r="BF45" s="12">
        <v>1</v>
      </c>
      <c r="BG45" s="12"/>
      <c r="BH45" s="12">
        <v>1</v>
      </c>
      <c r="BL45" s="12"/>
      <c r="BM45" s="12">
        <v>1</v>
      </c>
      <c r="BN45" s="12"/>
      <c r="BO45" s="12">
        <v>1</v>
      </c>
      <c r="BS45" s="12"/>
      <c r="BT45" s="12">
        <v>1</v>
      </c>
      <c r="BU45" s="12"/>
      <c r="BV45" s="12">
        <v>1</v>
      </c>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row>
    <row r="47" spans="2:137" x14ac:dyDescent="0.2">
      <c r="B47" t="s">
        <v>79</v>
      </c>
      <c r="D47" s="24">
        <f>DATE(2022,6,3)</f>
        <v>44715</v>
      </c>
    </row>
    <row r="49" spans="2:137" outlineLevel="1" x14ac:dyDescent="0.2">
      <c r="B49" t="s">
        <v>28</v>
      </c>
      <c r="C49" s="2" t="s">
        <v>80</v>
      </c>
      <c r="D49" s="2"/>
      <c r="E49" s="2"/>
      <c r="F49" t="s">
        <v>83</v>
      </c>
      <c r="G49" s="12">
        <v>0.1</v>
      </c>
      <c r="I49" s="11">
        <f t="shared" ref="I49:I60" si="3">+SUMIF($N$3:$WV$3,I$3,$N49:$WV49)</f>
        <v>0</v>
      </c>
      <c r="J49" s="13" cm="1">
        <f t="array" ref="J49">MAX(IF($N$3:$DV$3=$J$3,N49:DV49))</f>
        <v>0</v>
      </c>
      <c r="K49" s="13" cm="1">
        <f t="array" ref="K49">MAX(IF($N$3:$DV$3=$J$3,N49:DV49))</f>
        <v>0</v>
      </c>
      <c r="L49" s="11"/>
      <c r="O49" s="12"/>
      <c r="P49" s="12"/>
      <c r="Q49" s="12"/>
      <c r="R49" s="12"/>
      <c r="U49">
        <v>0</v>
      </c>
      <c r="V49" s="12"/>
      <c r="W49" s="12">
        <v>0.8</v>
      </c>
      <c r="X49" s="12"/>
      <c r="Y49" s="12">
        <v>0.8</v>
      </c>
      <c r="AC49" s="12"/>
      <c r="AD49" s="12">
        <v>1</v>
      </c>
      <c r="AE49" s="12"/>
      <c r="AF49" s="12">
        <v>1</v>
      </c>
      <c r="AJ49" s="12"/>
      <c r="AK49" s="12">
        <v>1</v>
      </c>
      <c r="AL49" s="12"/>
      <c r="AM49" s="12">
        <v>1</v>
      </c>
      <c r="AP49">
        <v>0</v>
      </c>
      <c r="AQ49" s="12"/>
      <c r="AR49" s="12">
        <v>1</v>
      </c>
      <c r="AS49" s="12"/>
      <c r="AT49" s="12">
        <v>1</v>
      </c>
      <c r="AX49" s="12"/>
      <c r="AY49" s="12">
        <v>1</v>
      </c>
      <c r="AZ49" s="12"/>
      <c r="BA49" s="12">
        <v>1</v>
      </c>
      <c r="BE49" s="12"/>
      <c r="BF49" s="12">
        <v>1</v>
      </c>
      <c r="BG49" s="12"/>
      <c r="BH49" s="12">
        <v>1</v>
      </c>
      <c r="BL49" s="12"/>
      <c r="BM49" s="12">
        <v>1</v>
      </c>
      <c r="BN49" s="12"/>
      <c r="BO49" s="12">
        <v>1</v>
      </c>
      <c r="BS49" s="12"/>
      <c r="BT49" s="12">
        <v>1</v>
      </c>
      <c r="BU49" s="12"/>
      <c r="BV49" s="12">
        <v>1</v>
      </c>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row>
    <row r="50" spans="2:137" outlineLevel="1" x14ac:dyDescent="0.2">
      <c r="B50" t="s">
        <v>28</v>
      </c>
      <c r="C50" s="2" t="s">
        <v>82</v>
      </c>
      <c r="D50" s="2"/>
      <c r="E50" s="2"/>
      <c r="F50" t="s">
        <v>84</v>
      </c>
      <c r="G50" s="12">
        <v>0.05</v>
      </c>
      <c r="I50" s="11">
        <f t="shared" si="3"/>
        <v>0</v>
      </c>
      <c r="J50" s="13" cm="1">
        <f t="array" ref="J50">MAX(IF($N$3:$DV$3=$J$3,N50:DV50))</f>
        <v>0</v>
      </c>
      <c r="K50" s="13" cm="1">
        <f t="array" ref="K50">MAX(IF($N$3:$DV$3=$J$3,N50:DV50))</f>
        <v>0</v>
      </c>
      <c r="L50" s="11"/>
      <c r="O50" s="12"/>
      <c r="P50" s="12"/>
      <c r="Q50" s="12"/>
      <c r="R50" s="12"/>
      <c r="V50" s="12"/>
      <c r="W50" s="12">
        <v>0.8</v>
      </c>
      <c r="X50" s="12"/>
      <c r="Y50" s="12">
        <v>0.8</v>
      </c>
      <c r="AC50" s="12"/>
      <c r="AD50" s="12">
        <v>1</v>
      </c>
      <c r="AE50" s="12"/>
      <c r="AF50" s="12">
        <v>1</v>
      </c>
      <c r="AJ50" s="12"/>
      <c r="AK50" s="12">
        <v>1</v>
      </c>
      <c r="AL50" s="12"/>
      <c r="AM50" s="12">
        <v>1</v>
      </c>
      <c r="AP50">
        <v>0</v>
      </c>
      <c r="AQ50" s="12"/>
      <c r="AR50" s="12">
        <v>1</v>
      </c>
      <c r="AS50" s="12"/>
      <c r="AT50" s="12">
        <v>1</v>
      </c>
      <c r="AX50" s="12"/>
      <c r="AY50" s="12">
        <v>1</v>
      </c>
      <c r="AZ50" s="12"/>
      <c r="BA50" s="12">
        <v>1</v>
      </c>
      <c r="BE50" s="12"/>
      <c r="BF50" s="12">
        <v>1</v>
      </c>
      <c r="BG50" s="12"/>
      <c r="BH50" s="12">
        <v>1</v>
      </c>
      <c r="BL50" s="12"/>
      <c r="BM50" s="12">
        <v>1</v>
      </c>
      <c r="BN50" s="12"/>
      <c r="BO50" s="12">
        <v>1</v>
      </c>
      <c r="BS50" s="12"/>
      <c r="BT50" s="12">
        <v>1</v>
      </c>
      <c r="BU50" s="12"/>
      <c r="BV50" s="12">
        <v>1</v>
      </c>
      <c r="BZ50" s="12"/>
      <c r="CA50" s="12"/>
      <c r="CB50" s="12"/>
      <c r="CC50" s="12"/>
      <c r="CG50" s="12"/>
      <c r="CH50" s="12"/>
      <c r="CI50" s="12"/>
      <c r="CJ50" s="12"/>
      <c r="CN50" s="12"/>
      <c r="CO50" s="12"/>
      <c r="CP50" s="12"/>
      <c r="CQ50" s="12"/>
      <c r="CU50" s="12"/>
      <c r="CV50" s="12"/>
      <c r="CW50" s="12"/>
      <c r="CX50" s="12"/>
      <c r="DB50" s="12"/>
      <c r="DC50" s="12"/>
      <c r="DD50" s="12"/>
      <c r="DE50" s="12"/>
      <c r="DI50" s="12"/>
      <c r="DJ50" s="12"/>
      <c r="DK50" s="12"/>
      <c r="DL50" s="12"/>
      <c r="DP50" s="12"/>
      <c r="DQ50" s="12"/>
      <c r="DR50" s="12"/>
      <c r="DS50" s="12"/>
      <c r="DW50" s="12"/>
      <c r="DX50" s="12"/>
      <c r="DY50" s="12"/>
      <c r="DZ50" s="12"/>
      <c r="ED50" s="12"/>
      <c r="EE50" s="12"/>
      <c r="EF50" s="12"/>
      <c r="EG50" s="12"/>
    </row>
    <row r="51" spans="2:137" outlineLevel="1" x14ac:dyDescent="0.2">
      <c r="B51" t="s">
        <v>28</v>
      </c>
      <c r="C51" s="2" t="s">
        <v>82</v>
      </c>
      <c r="D51" s="2"/>
      <c r="E51" s="2"/>
      <c r="F51" t="s">
        <v>85</v>
      </c>
      <c r="G51" s="12">
        <v>0.05</v>
      </c>
      <c r="I51" s="11">
        <f t="shared" si="3"/>
        <v>0</v>
      </c>
      <c r="J51" s="13" cm="1">
        <f t="array" ref="J51">MAX(IF($N$3:$DV$3=$J$3,N51:DV51))</f>
        <v>0</v>
      </c>
      <c r="K51" s="13" cm="1">
        <f t="array" ref="K51">MAX(IF($N$3:$DV$3=$J$3,N51:DV51))</f>
        <v>0</v>
      </c>
      <c r="L51" s="11"/>
      <c r="O51" s="12"/>
      <c r="P51" s="12"/>
      <c r="Q51" s="12"/>
      <c r="R51" s="12"/>
      <c r="V51" s="12"/>
      <c r="W51" s="12">
        <v>0.5</v>
      </c>
      <c r="X51" s="12"/>
      <c r="Y51" s="12">
        <v>0.5</v>
      </c>
      <c r="AC51" s="12"/>
      <c r="AD51" s="12">
        <v>0.8</v>
      </c>
      <c r="AE51" s="12"/>
      <c r="AF51" s="12">
        <v>0.8</v>
      </c>
      <c r="AJ51" s="12"/>
      <c r="AK51" s="12">
        <v>1</v>
      </c>
      <c r="AL51" s="12"/>
      <c r="AM51" s="12">
        <v>1</v>
      </c>
      <c r="AP51">
        <v>0</v>
      </c>
      <c r="AQ51" s="12"/>
      <c r="AR51" s="12">
        <v>1</v>
      </c>
      <c r="AS51" s="12"/>
      <c r="AT51" s="12">
        <v>1</v>
      </c>
      <c r="AX51" s="12"/>
      <c r="AY51" s="12">
        <v>1</v>
      </c>
      <c r="AZ51" s="12"/>
      <c r="BA51" s="12">
        <v>1</v>
      </c>
      <c r="BE51" s="12"/>
      <c r="BF51" s="12">
        <v>1</v>
      </c>
      <c r="BG51" s="12"/>
      <c r="BH51" s="12">
        <v>1</v>
      </c>
      <c r="BL51" s="12"/>
      <c r="BM51" s="12">
        <v>1</v>
      </c>
      <c r="BN51" s="12"/>
      <c r="BO51" s="12">
        <v>1</v>
      </c>
      <c r="BS51" s="12"/>
      <c r="BT51" s="12">
        <v>1</v>
      </c>
      <c r="BU51" s="12"/>
      <c r="BV51" s="12">
        <v>1</v>
      </c>
      <c r="BZ51" s="12"/>
      <c r="CA51" s="12"/>
      <c r="CB51" s="12"/>
      <c r="CC51" s="12"/>
      <c r="CG51" s="12"/>
      <c r="CH51" s="12"/>
      <c r="CI51" s="12"/>
      <c r="CJ51" s="12"/>
      <c r="CN51" s="12"/>
      <c r="CO51" s="12"/>
      <c r="CP51" s="12"/>
      <c r="CQ51" s="12"/>
      <c r="CU51" s="12"/>
      <c r="CV51" s="12"/>
      <c r="CW51" s="12"/>
      <c r="CX51" s="12"/>
      <c r="DB51" s="12"/>
      <c r="DC51" s="12"/>
      <c r="DD51" s="12"/>
      <c r="DE51" s="12"/>
      <c r="DI51" s="12"/>
      <c r="DJ51" s="12"/>
      <c r="DK51" s="12"/>
      <c r="DL51" s="12"/>
      <c r="DP51" s="12"/>
      <c r="DQ51" s="12"/>
      <c r="DR51" s="12"/>
      <c r="DS51" s="12"/>
      <c r="DW51" s="12"/>
      <c r="DX51" s="12"/>
      <c r="DY51" s="12"/>
      <c r="DZ51" s="12"/>
      <c r="ED51" s="12"/>
      <c r="EE51" s="12"/>
      <c r="EF51" s="12"/>
      <c r="EG51" s="12"/>
    </row>
    <row r="52" spans="2:137" outlineLevel="1" x14ac:dyDescent="0.2">
      <c r="B52" t="s">
        <v>28</v>
      </c>
      <c r="C52" s="2" t="s">
        <v>82</v>
      </c>
      <c r="D52" s="2"/>
      <c r="E52" s="2"/>
      <c r="F52" t="s">
        <v>86</v>
      </c>
      <c r="G52" s="12">
        <v>0.05</v>
      </c>
      <c r="I52" s="11">
        <f t="shared" si="3"/>
        <v>0</v>
      </c>
      <c r="J52" s="13" cm="1">
        <f t="array" ref="J52">MAX(IF($N$3:$DV$3=$J$3,N52:DV52))</f>
        <v>0</v>
      </c>
      <c r="K52" s="13" cm="1">
        <f t="array" ref="K52">MAX(IF($N$3:$DV$3=$J$3,N52:DV52))</f>
        <v>0</v>
      </c>
      <c r="L52" s="11"/>
      <c r="O52" s="12"/>
      <c r="P52" s="12"/>
      <c r="Q52" s="12"/>
      <c r="R52" s="12"/>
      <c r="V52" s="12"/>
      <c r="W52" s="12">
        <v>0.5</v>
      </c>
      <c r="X52" s="12"/>
      <c r="Y52" s="12">
        <v>0.5</v>
      </c>
      <c r="AC52" s="12"/>
      <c r="AD52" s="12">
        <v>0.8</v>
      </c>
      <c r="AE52" s="12"/>
      <c r="AF52" s="12">
        <v>0.8</v>
      </c>
      <c r="AJ52" s="12"/>
      <c r="AK52" s="12">
        <v>1</v>
      </c>
      <c r="AL52" s="12"/>
      <c r="AM52" s="12">
        <v>1</v>
      </c>
      <c r="AP52">
        <v>0</v>
      </c>
      <c r="AQ52" s="12"/>
      <c r="AR52" s="12">
        <v>1</v>
      </c>
      <c r="AS52" s="12"/>
      <c r="AT52" s="12">
        <v>1</v>
      </c>
      <c r="AX52" s="12"/>
      <c r="AY52" s="12">
        <v>1</v>
      </c>
      <c r="AZ52" s="12"/>
      <c r="BA52" s="12">
        <v>1</v>
      </c>
      <c r="BE52" s="12"/>
      <c r="BF52" s="12">
        <v>1</v>
      </c>
      <c r="BG52" s="12"/>
      <c r="BH52" s="12">
        <v>1</v>
      </c>
      <c r="BL52" s="12"/>
      <c r="BM52" s="12">
        <v>1</v>
      </c>
      <c r="BN52" s="12"/>
      <c r="BO52" s="12">
        <v>1</v>
      </c>
      <c r="BS52" s="12"/>
      <c r="BT52" s="12">
        <v>1</v>
      </c>
      <c r="BU52" s="12"/>
      <c r="BV52" s="12">
        <v>1</v>
      </c>
      <c r="BZ52" s="12"/>
      <c r="CA52" s="12"/>
      <c r="CB52" s="12"/>
      <c r="CC52" s="12"/>
      <c r="CG52" s="12"/>
      <c r="CH52" s="12"/>
      <c r="CI52" s="12"/>
      <c r="CJ52" s="12"/>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c r="ED52" s="12"/>
      <c r="EE52" s="12"/>
      <c r="EF52" s="12"/>
      <c r="EG52" s="12"/>
    </row>
    <row r="53" spans="2:137" outlineLevel="1" x14ac:dyDescent="0.2">
      <c r="B53" t="s">
        <v>28</v>
      </c>
      <c r="C53" s="2" t="s">
        <v>82</v>
      </c>
      <c r="D53" s="2"/>
      <c r="E53" s="2"/>
      <c r="F53" t="s">
        <v>31</v>
      </c>
      <c r="G53" s="12">
        <v>0.05</v>
      </c>
      <c r="I53" s="11">
        <f t="shared" si="3"/>
        <v>0</v>
      </c>
      <c r="J53" s="13" cm="1">
        <f t="array" ref="J53">MAX(IF($N$3:$DV$3=$J$3,N53:DV53))</f>
        <v>0</v>
      </c>
      <c r="K53" s="13" cm="1">
        <f t="array" ref="K53">MAX(IF($N$3:$DV$3=$J$3,N53:DV53))</f>
        <v>0</v>
      </c>
      <c r="L53" s="11"/>
      <c r="O53" s="12"/>
      <c r="P53" s="12"/>
      <c r="Q53" s="12"/>
      <c r="R53" s="12"/>
      <c r="V53" s="12"/>
      <c r="W53" s="12">
        <v>0.5</v>
      </c>
      <c r="X53" s="12"/>
      <c r="Y53" s="12">
        <v>0.5</v>
      </c>
      <c r="AC53" s="12"/>
      <c r="AD53" s="12">
        <v>0.8</v>
      </c>
      <c r="AE53" s="12"/>
      <c r="AF53" s="12">
        <v>0.8</v>
      </c>
      <c r="AJ53" s="12"/>
      <c r="AK53" s="12">
        <v>1</v>
      </c>
      <c r="AL53" s="12"/>
      <c r="AM53" s="12">
        <v>1</v>
      </c>
      <c r="AP53">
        <v>0</v>
      </c>
      <c r="AQ53" s="12"/>
      <c r="AR53" s="12">
        <v>1</v>
      </c>
      <c r="AS53" s="12"/>
      <c r="AT53" s="12">
        <v>1</v>
      </c>
      <c r="AX53" s="12"/>
      <c r="AY53" s="12">
        <v>1</v>
      </c>
      <c r="AZ53" s="12"/>
      <c r="BA53" s="12">
        <v>1</v>
      </c>
      <c r="BE53" s="12"/>
      <c r="BF53" s="12">
        <v>1</v>
      </c>
      <c r="BG53" s="12"/>
      <c r="BH53" s="12">
        <v>1</v>
      </c>
      <c r="BL53" s="12"/>
      <c r="BM53" s="12">
        <v>1</v>
      </c>
      <c r="BN53" s="12"/>
      <c r="BO53" s="12">
        <v>1</v>
      </c>
      <c r="BS53" s="12"/>
      <c r="BT53" s="12">
        <v>1</v>
      </c>
      <c r="BU53" s="12"/>
      <c r="BV53" s="12">
        <v>1</v>
      </c>
      <c r="BZ53" s="12"/>
      <c r="CA53" s="12"/>
      <c r="CB53" s="12"/>
      <c r="CC53" s="12"/>
      <c r="CG53" s="12"/>
      <c r="CH53" s="12"/>
      <c r="CI53" s="12"/>
      <c r="CJ53" s="12"/>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c r="ED53" s="12"/>
      <c r="EE53" s="12"/>
      <c r="EF53" s="12"/>
      <c r="EG53" s="12"/>
    </row>
    <row r="54" spans="2:137" outlineLevel="1" x14ac:dyDescent="0.2">
      <c r="B54" t="s">
        <v>28</v>
      </c>
      <c r="C54" s="2" t="s">
        <v>82</v>
      </c>
      <c r="D54" s="2"/>
      <c r="E54" s="2"/>
      <c r="F54" t="s">
        <v>87</v>
      </c>
      <c r="G54" s="12">
        <v>0.1</v>
      </c>
      <c r="I54" s="11">
        <f t="shared" si="3"/>
        <v>0</v>
      </c>
      <c r="J54" s="13" cm="1">
        <f t="array" ref="J54">MAX(IF($N$3:$DV$3=$J$3,N54:DV54))</f>
        <v>0</v>
      </c>
      <c r="K54" s="13" cm="1">
        <f t="array" ref="K54">MAX(IF($N$3:$DV$3=$J$3,N54:DV54))</f>
        <v>0</v>
      </c>
      <c r="L54" s="11"/>
      <c r="O54" s="12"/>
      <c r="P54" s="12"/>
      <c r="Q54" s="12"/>
      <c r="R54" s="12"/>
      <c r="V54" s="12"/>
      <c r="W54" s="12">
        <v>0.3</v>
      </c>
      <c r="X54" s="12"/>
      <c r="Y54" s="12">
        <v>0.3</v>
      </c>
      <c r="AC54" s="12"/>
      <c r="AD54" s="12">
        <v>0.5</v>
      </c>
      <c r="AE54" s="12"/>
      <c r="AF54" s="12">
        <v>0.5</v>
      </c>
      <c r="AJ54" s="12"/>
      <c r="AK54" s="12">
        <v>0.8</v>
      </c>
      <c r="AL54" s="12"/>
      <c r="AM54" s="12">
        <v>0.8</v>
      </c>
      <c r="AP54">
        <v>0</v>
      </c>
      <c r="AQ54" s="12"/>
      <c r="AR54" s="12">
        <v>1</v>
      </c>
      <c r="AS54" s="12"/>
      <c r="AT54" s="12">
        <v>1</v>
      </c>
      <c r="AX54" s="12"/>
      <c r="AY54" s="12">
        <v>1</v>
      </c>
      <c r="AZ54" s="12"/>
      <c r="BA54" s="12">
        <v>1</v>
      </c>
      <c r="BE54" s="12"/>
      <c r="BF54" s="12">
        <v>1</v>
      </c>
      <c r="BG54" s="12"/>
      <c r="BH54" s="12">
        <v>1</v>
      </c>
      <c r="BL54" s="12"/>
      <c r="BM54" s="12">
        <v>1</v>
      </c>
      <c r="BN54" s="12"/>
      <c r="BO54" s="12">
        <v>1</v>
      </c>
      <c r="BS54" s="12"/>
      <c r="BT54" s="12">
        <v>1</v>
      </c>
      <c r="BU54" s="12"/>
      <c r="BV54" s="12">
        <v>1</v>
      </c>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row>
    <row r="55" spans="2:137" outlineLevel="1" x14ac:dyDescent="0.2">
      <c r="B55" t="s">
        <v>28</v>
      </c>
      <c r="C55" s="2" t="s">
        <v>82</v>
      </c>
      <c r="D55" s="2"/>
      <c r="E55" s="2"/>
      <c r="F55" t="s">
        <v>88</v>
      </c>
      <c r="G55" s="12">
        <v>0.1</v>
      </c>
      <c r="I55" s="11">
        <f t="shared" si="3"/>
        <v>0</v>
      </c>
      <c r="J55" s="13" cm="1">
        <f t="array" ref="J55">MAX(IF($N$3:$DV$3=$J$3,N55:DV55))</f>
        <v>0</v>
      </c>
      <c r="K55" s="13" cm="1">
        <f t="array" ref="K55">MAX(IF($N$3:$DV$3=$J$3,N55:DV55))</f>
        <v>0</v>
      </c>
      <c r="L55" s="11"/>
      <c r="O55" s="12"/>
      <c r="P55" s="12"/>
      <c r="Q55" s="12"/>
      <c r="R55" s="12"/>
      <c r="V55" s="12"/>
      <c r="W55" s="12">
        <v>0.3</v>
      </c>
      <c r="X55" s="12"/>
      <c r="Y55" s="12">
        <v>0.3</v>
      </c>
      <c r="AC55" s="12"/>
      <c r="AD55" s="12">
        <v>0.5</v>
      </c>
      <c r="AE55" s="12"/>
      <c r="AF55" s="12">
        <v>0.5</v>
      </c>
      <c r="AJ55" s="12"/>
      <c r="AK55" s="12">
        <v>0.8</v>
      </c>
      <c r="AL55" s="12"/>
      <c r="AM55" s="12">
        <v>0.8</v>
      </c>
      <c r="AP55">
        <v>0</v>
      </c>
      <c r="AQ55" s="12"/>
      <c r="AR55" s="12">
        <v>1</v>
      </c>
      <c r="AS55" s="12"/>
      <c r="AT55" s="12">
        <v>1</v>
      </c>
      <c r="AX55" s="12"/>
      <c r="AY55" s="12">
        <v>1</v>
      </c>
      <c r="AZ55" s="12"/>
      <c r="BA55" s="12">
        <v>1</v>
      </c>
      <c r="BE55" s="12"/>
      <c r="BF55" s="12">
        <v>1</v>
      </c>
      <c r="BG55" s="12"/>
      <c r="BH55" s="12">
        <v>1</v>
      </c>
      <c r="BL55" s="12"/>
      <c r="BM55" s="12">
        <v>1</v>
      </c>
      <c r="BN55" s="12"/>
      <c r="BO55" s="12">
        <v>1</v>
      </c>
      <c r="BS55" s="12"/>
      <c r="BT55" s="12">
        <v>1</v>
      </c>
      <c r="BU55" s="12"/>
      <c r="BV55" s="12">
        <v>1</v>
      </c>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row>
    <row r="56" spans="2:137" outlineLevel="1" x14ac:dyDescent="0.2">
      <c r="B56" t="s">
        <v>28</v>
      </c>
      <c r="C56" s="2" t="s">
        <v>82</v>
      </c>
      <c r="D56" s="2"/>
      <c r="E56" s="2"/>
      <c r="F56" t="s">
        <v>89</v>
      </c>
      <c r="G56" s="12">
        <v>0.1</v>
      </c>
      <c r="I56" s="11">
        <f t="shared" si="3"/>
        <v>0</v>
      </c>
      <c r="J56" s="13" cm="1">
        <f t="array" ref="J56">MAX(IF($N$3:$DV$3=$J$3,N56:DV56))</f>
        <v>0</v>
      </c>
      <c r="K56" s="13" cm="1">
        <f t="array" ref="K56">MAX(IF($N$3:$DV$3=$J$3,N56:DV56))</f>
        <v>0</v>
      </c>
      <c r="L56" s="11"/>
      <c r="O56" s="12"/>
      <c r="P56" s="12"/>
      <c r="Q56" s="12"/>
      <c r="R56" s="12"/>
      <c r="V56" s="12"/>
      <c r="W56" s="12"/>
      <c r="X56" s="12"/>
      <c r="Y56" s="12"/>
      <c r="AC56" s="12"/>
      <c r="AD56" s="12">
        <v>0.5</v>
      </c>
      <c r="AE56" s="12"/>
      <c r="AF56" s="12">
        <v>0.5</v>
      </c>
      <c r="AJ56" s="12"/>
      <c r="AK56" s="12">
        <v>0.8</v>
      </c>
      <c r="AL56" s="12"/>
      <c r="AM56" s="12">
        <v>0.8</v>
      </c>
      <c r="AP56">
        <v>0</v>
      </c>
      <c r="AQ56" s="12"/>
      <c r="AR56" s="12">
        <v>1</v>
      </c>
      <c r="AS56" s="12"/>
      <c r="AT56" s="12">
        <v>1</v>
      </c>
      <c r="AX56" s="12"/>
      <c r="AY56" s="12">
        <v>1</v>
      </c>
      <c r="AZ56" s="12"/>
      <c r="BA56" s="12">
        <v>1</v>
      </c>
      <c r="BE56" s="12"/>
      <c r="BF56" s="12">
        <v>1</v>
      </c>
      <c r="BG56" s="12"/>
      <c r="BH56" s="12">
        <v>1</v>
      </c>
      <c r="BL56" s="12"/>
      <c r="BM56" s="12">
        <v>1</v>
      </c>
      <c r="BN56" s="12"/>
      <c r="BO56" s="12">
        <v>1</v>
      </c>
      <c r="BS56" s="12"/>
      <c r="BT56" s="12">
        <v>1</v>
      </c>
      <c r="BU56" s="12"/>
      <c r="BV56" s="12">
        <v>1</v>
      </c>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c r="ED56" s="12"/>
      <c r="EE56" s="12"/>
      <c r="EF56" s="12"/>
      <c r="EG56" s="12"/>
    </row>
    <row r="57" spans="2:137" outlineLevel="1" x14ac:dyDescent="0.2">
      <c r="B57" t="s">
        <v>28</v>
      </c>
      <c r="C57" s="2" t="s">
        <v>82</v>
      </c>
      <c r="D57" s="2"/>
      <c r="E57" s="2"/>
      <c r="F57" t="s">
        <v>90</v>
      </c>
      <c r="G57" s="12">
        <v>0.1</v>
      </c>
      <c r="I57" s="11">
        <f t="shared" si="3"/>
        <v>0</v>
      </c>
      <c r="J57" s="13" cm="1">
        <f t="array" ref="J57">MAX(IF($N$3:$DV$3=$J$3,N57:DV57))</f>
        <v>0</v>
      </c>
      <c r="K57" s="13" cm="1">
        <f t="array" ref="K57">MAX(IF($N$3:$DV$3=$J$3,N57:DV57))</f>
        <v>0</v>
      </c>
      <c r="L57" s="11"/>
      <c r="O57" s="12"/>
      <c r="P57" s="12"/>
      <c r="Q57" s="12"/>
      <c r="R57" s="12"/>
      <c r="V57" s="12"/>
      <c r="W57" s="12"/>
      <c r="X57" s="12"/>
      <c r="Y57" s="12"/>
      <c r="AC57" s="12"/>
      <c r="AD57" s="12">
        <v>0.5</v>
      </c>
      <c r="AE57" s="12"/>
      <c r="AF57" s="12">
        <v>0.5</v>
      </c>
      <c r="AJ57" s="12"/>
      <c r="AK57" s="12">
        <v>0.8</v>
      </c>
      <c r="AL57" s="12"/>
      <c r="AM57" s="12">
        <v>0.8</v>
      </c>
      <c r="AP57">
        <v>0</v>
      </c>
      <c r="AQ57" s="12"/>
      <c r="AR57" s="12">
        <v>1</v>
      </c>
      <c r="AS57" s="12"/>
      <c r="AT57" s="12">
        <v>1</v>
      </c>
      <c r="AX57" s="12"/>
      <c r="AY57" s="12">
        <v>1</v>
      </c>
      <c r="AZ57" s="12"/>
      <c r="BA57" s="12">
        <v>1</v>
      </c>
      <c r="BE57" s="12"/>
      <c r="BF57" s="12">
        <v>1</v>
      </c>
      <c r="BG57" s="12"/>
      <c r="BH57" s="12">
        <v>1</v>
      </c>
      <c r="BL57" s="12"/>
      <c r="BM57" s="12">
        <v>1</v>
      </c>
      <c r="BN57" s="12"/>
      <c r="BO57" s="12">
        <v>1</v>
      </c>
      <c r="BS57" s="12"/>
      <c r="BT57" s="12">
        <v>1</v>
      </c>
      <c r="BU57" s="12"/>
      <c r="BV57" s="12">
        <v>1</v>
      </c>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c r="ED57" s="12"/>
      <c r="EE57" s="12"/>
      <c r="EF57" s="12"/>
      <c r="EG57" s="12"/>
    </row>
    <row r="58" spans="2:137" outlineLevel="1" x14ac:dyDescent="0.2">
      <c r="B58" t="s">
        <v>28</v>
      </c>
      <c r="C58" s="2" t="s">
        <v>82</v>
      </c>
      <c r="D58" s="2"/>
      <c r="E58" s="2"/>
      <c r="F58" t="s">
        <v>91</v>
      </c>
      <c r="G58" s="12">
        <v>0.1</v>
      </c>
      <c r="I58" s="11">
        <f t="shared" si="3"/>
        <v>0</v>
      </c>
      <c r="J58" s="13" cm="1">
        <f t="array" ref="J58">MAX(IF($N$3:$DV$3=$J$3,N58:DV58))</f>
        <v>0</v>
      </c>
      <c r="K58" s="13" cm="1">
        <f t="array" ref="K58">MAX(IF($N$3:$DV$3=$J$3,N58:DV58))</f>
        <v>0</v>
      </c>
      <c r="L58" s="11"/>
      <c r="O58" s="12"/>
      <c r="P58" s="12"/>
      <c r="Q58" s="12"/>
      <c r="R58" s="12"/>
      <c r="V58" s="12"/>
      <c r="W58" s="12"/>
      <c r="X58" s="12"/>
      <c r="Y58" s="12"/>
      <c r="AC58" s="12"/>
      <c r="AD58" s="12">
        <v>0.3</v>
      </c>
      <c r="AE58" s="12"/>
      <c r="AF58" s="12">
        <v>0.3</v>
      </c>
      <c r="AJ58" s="12"/>
      <c r="AK58" s="12">
        <v>0.5</v>
      </c>
      <c r="AL58" s="12"/>
      <c r="AM58" s="12">
        <v>0.5</v>
      </c>
      <c r="AP58">
        <v>0</v>
      </c>
      <c r="AQ58" s="12"/>
      <c r="AR58" s="12">
        <v>1</v>
      </c>
      <c r="AS58" s="12"/>
      <c r="AT58" s="12">
        <v>1</v>
      </c>
      <c r="AX58" s="12"/>
      <c r="AY58" s="12">
        <v>1</v>
      </c>
      <c r="AZ58" s="12"/>
      <c r="BA58" s="12">
        <v>1</v>
      </c>
      <c r="BE58" s="12"/>
      <c r="BF58" s="12">
        <v>1</v>
      </c>
      <c r="BG58" s="12"/>
      <c r="BH58" s="12">
        <v>1</v>
      </c>
      <c r="BL58" s="12"/>
      <c r="BM58" s="12">
        <v>1</v>
      </c>
      <c r="BN58" s="12"/>
      <c r="BO58" s="12">
        <v>1</v>
      </c>
      <c r="BS58" s="12"/>
      <c r="BT58" s="12">
        <v>1</v>
      </c>
      <c r="BU58" s="12"/>
      <c r="BV58" s="12">
        <v>1</v>
      </c>
      <c r="BZ58" s="12"/>
      <c r="CA58" s="12"/>
      <c r="CB58" s="12"/>
      <c r="CC58" s="12"/>
      <c r="CG58" s="12"/>
      <c r="CH58" s="12"/>
      <c r="CI58" s="12"/>
      <c r="CJ58" s="12"/>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c r="ED58" s="12"/>
      <c r="EE58" s="12"/>
      <c r="EF58" s="12"/>
      <c r="EG58" s="12"/>
    </row>
    <row r="59" spans="2:137" outlineLevel="1" x14ac:dyDescent="0.2">
      <c r="B59" t="s">
        <v>28</v>
      </c>
      <c r="C59" s="2" t="s">
        <v>82</v>
      </c>
      <c r="D59" s="2"/>
      <c r="E59" s="2"/>
      <c r="F59" t="s">
        <v>92</v>
      </c>
      <c r="G59" s="12">
        <v>0.1</v>
      </c>
      <c r="I59" s="11">
        <f t="shared" si="3"/>
        <v>0</v>
      </c>
      <c r="J59" s="13" cm="1">
        <f t="array" ref="J59">MAX(IF($N$3:$DV$3=$J$3,N59:DV59))</f>
        <v>0</v>
      </c>
      <c r="K59" s="13" cm="1">
        <f t="array" ref="K59">MAX(IF($N$3:$DV$3=$J$3,N59:DV59))</f>
        <v>0</v>
      </c>
      <c r="L59" s="11"/>
      <c r="O59" s="12"/>
      <c r="P59" s="12"/>
      <c r="Q59" s="12"/>
      <c r="R59" s="12"/>
      <c r="V59" s="12"/>
      <c r="W59" s="12"/>
      <c r="X59" s="12"/>
      <c r="Y59" s="12"/>
      <c r="AC59" s="12"/>
      <c r="AD59" s="12"/>
      <c r="AE59" s="12"/>
      <c r="AF59" s="12"/>
      <c r="AJ59" s="12"/>
      <c r="AK59" s="12">
        <v>0.5</v>
      </c>
      <c r="AL59" s="12"/>
      <c r="AM59" s="12">
        <v>0.5</v>
      </c>
      <c r="AP59">
        <v>0</v>
      </c>
      <c r="AQ59" s="12"/>
      <c r="AR59" s="12">
        <v>1</v>
      </c>
      <c r="AS59" s="12"/>
      <c r="AT59" s="12">
        <v>1</v>
      </c>
      <c r="AX59" s="12"/>
      <c r="AY59" s="12">
        <v>1</v>
      </c>
      <c r="AZ59" s="12"/>
      <c r="BA59" s="12">
        <v>1</v>
      </c>
      <c r="BE59" s="12"/>
      <c r="BF59" s="12">
        <v>1</v>
      </c>
      <c r="BG59" s="12"/>
      <c r="BH59" s="12">
        <v>1</v>
      </c>
      <c r="BL59" s="12"/>
      <c r="BM59" s="12">
        <v>1</v>
      </c>
      <c r="BN59" s="12"/>
      <c r="BO59" s="12">
        <v>1</v>
      </c>
      <c r="BS59" s="12"/>
      <c r="BT59" s="12">
        <v>1</v>
      </c>
      <c r="BU59" s="12"/>
      <c r="BV59" s="12">
        <v>1</v>
      </c>
      <c r="BZ59" s="12"/>
      <c r="CA59" s="12"/>
      <c r="CB59" s="12"/>
      <c r="CC59" s="12"/>
      <c r="CG59" s="12"/>
      <c r="CH59" s="12"/>
      <c r="CI59" s="12"/>
      <c r="CJ59" s="12"/>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c r="ED59" s="12"/>
      <c r="EE59" s="12"/>
      <c r="EF59" s="12"/>
      <c r="EG59" s="12"/>
    </row>
    <row r="60" spans="2:137" outlineLevel="1" x14ac:dyDescent="0.2">
      <c r="B60" t="s">
        <v>28</v>
      </c>
      <c r="C60" s="2" t="s">
        <v>82</v>
      </c>
      <c r="D60" s="2"/>
      <c r="E60" s="2"/>
      <c r="F60" t="s">
        <v>93</v>
      </c>
      <c r="G60" s="12">
        <v>0.1</v>
      </c>
      <c r="I60" s="11">
        <f t="shared" si="3"/>
        <v>0</v>
      </c>
      <c r="J60" s="13" cm="1">
        <f t="array" ref="J60">MAX(IF($N$3:$DV$3=$J$3,N60:DV60))</f>
        <v>0</v>
      </c>
      <c r="K60" s="13" cm="1">
        <f t="array" ref="K60">MAX(IF($N$3:$DV$3=$J$3,N60:DV60))</f>
        <v>0</v>
      </c>
      <c r="L60" s="11"/>
      <c r="O60" s="12"/>
      <c r="P60" s="12"/>
      <c r="Q60" s="12"/>
      <c r="R60" s="12"/>
      <c r="V60" s="12"/>
      <c r="W60" s="12"/>
      <c r="X60" s="12"/>
      <c r="Y60" s="12"/>
      <c r="AC60" s="12"/>
      <c r="AD60" s="12"/>
      <c r="AE60" s="12"/>
      <c r="AF60" s="12"/>
      <c r="AJ60" s="12"/>
      <c r="AK60" s="12">
        <v>0.5</v>
      </c>
      <c r="AL60" s="12"/>
      <c r="AM60" s="12">
        <v>0.5</v>
      </c>
      <c r="AP60">
        <v>0</v>
      </c>
      <c r="AQ60" s="12"/>
      <c r="AR60" s="12">
        <v>1</v>
      </c>
      <c r="AS60" s="12"/>
      <c r="AT60" s="12">
        <v>1</v>
      </c>
      <c r="AX60" s="12"/>
      <c r="AY60" s="12">
        <v>1</v>
      </c>
      <c r="AZ60" s="12"/>
      <c r="BA60" s="12">
        <v>1</v>
      </c>
      <c r="BE60" s="12"/>
      <c r="BF60" s="12">
        <v>1</v>
      </c>
      <c r="BG60" s="12"/>
      <c r="BH60" s="12">
        <v>1</v>
      </c>
      <c r="BL60" s="12"/>
      <c r="BM60" s="12">
        <v>1</v>
      </c>
      <c r="BN60" s="12"/>
      <c r="BO60" s="12">
        <v>1</v>
      </c>
      <c r="BS60" s="12"/>
      <c r="BT60" s="12">
        <v>1</v>
      </c>
      <c r="BU60" s="12"/>
      <c r="BV60" s="12">
        <v>1</v>
      </c>
      <c r="BZ60" s="12"/>
      <c r="CA60" s="12"/>
      <c r="CB60" s="12"/>
      <c r="CC60" s="12"/>
      <c r="CG60" s="12"/>
      <c r="CH60" s="12"/>
      <c r="CI60" s="12"/>
      <c r="CJ60" s="12"/>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c r="ED60" s="12"/>
      <c r="EE60" s="12"/>
      <c r="EF60" s="12"/>
      <c r="EG60" s="12"/>
    </row>
    <row r="63" spans="2:137" x14ac:dyDescent="0.2">
      <c r="B63" t="s">
        <v>94</v>
      </c>
      <c r="D63" s="24">
        <f>DATE(2022,6,4)</f>
        <v>44716</v>
      </c>
    </row>
    <row r="65" spans="2:137" ht="12.75" customHeight="1" outlineLevel="1" x14ac:dyDescent="0.2">
      <c r="B65" t="s">
        <v>28</v>
      </c>
      <c r="C65" t="s">
        <v>81</v>
      </c>
      <c r="E65" s="11"/>
      <c r="F65" t="s">
        <v>95</v>
      </c>
      <c r="G65" s="12">
        <v>0.1</v>
      </c>
      <c r="I65" s="11">
        <f t="shared" ref="I65:I89" si="4">+SUMIF($N$3:$WV$3,I$3,$N65:$WV65)</f>
        <v>0</v>
      </c>
      <c r="J65" s="13" cm="1">
        <f t="array" ref="J65">MAX(IF($N$3:$DV$3=$J$3,N65:DV65))</f>
        <v>0</v>
      </c>
      <c r="K65" s="13" cm="1">
        <f t="array" ref="K65">MAX(IF($N$3:$DV$3=$J$3,N65:DV65))</f>
        <v>0</v>
      </c>
      <c r="L65" s="11"/>
      <c r="O65" s="12"/>
      <c r="P65" s="12">
        <v>0.5</v>
      </c>
      <c r="Q65" s="12"/>
      <c r="R65" s="12"/>
      <c r="U65">
        <v>0</v>
      </c>
      <c r="V65" s="12"/>
      <c r="W65" s="12">
        <v>0.5</v>
      </c>
      <c r="X65" s="12"/>
      <c r="Y65" s="12">
        <v>0.8</v>
      </c>
      <c r="AC65" s="12"/>
      <c r="AD65" s="12">
        <v>0.8</v>
      </c>
      <c r="AE65" s="12"/>
      <c r="AF65" s="12">
        <v>1</v>
      </c>
      <c r="AJ65" s="12"/>
      <c r="AK65" s="12">
        <v>1</v>
      </c>
      <c r="AL65" s="12"/>
      <c r="AM65" s="12">
        <v>1</v>
      </c>
      <c r="AP65">
        <v>0</v>
      </c>
      <c r="AQ65" s="12"/>
      <c r="AR65" s="12">
        <v>1</v>
      </c>
      <c r="AS65" s="12"/>
      <c r="AT65" s="12">
        <v>1</v>
      </c>
      <c r="AX65" s="12"/>
      <c r="AY65" s="12">
        <v>1</v>
      </c>
      <c r="AZ65" s="12"/>
      <c r="BA65" s="12">
        <v>1</v>
      </c>
      <c r="BE65" s="12"/>
      <c r="BF65" s="12">
        <v>1</v>
      </c>
      <c r="BG65" s="12"/>
      <c r="BH65" s="12">
        <v>1</v>
      </c>
      <c r="BL65" s="12"/>
      <c r="BM65" s="12">
        <v>1</v>
      </c>
      <c r="BN65" s="12"/>
      <c r="BO65" s="12">
        <v>1</v>
      </c>
      <c r="BS65" s="12"/>
      <c r="BT65" s="12">
        <v>1</v>
      </c>
      <c r="BU65" s="12"/>
      <c r="BV65" s="12">
        <v>1</v>
      </c>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c r="DP65" s="12"/>
      <c r="DQ65" s="12"/>
      <c r="DR65" s="12"/>
      <c r="DS65" s="12"/>
      <c r="DW65" s="12"/>
      <c r="DX65" s="12"/>
      <c r="DY65" s="12"/>
      <c r="DZ65" s="12"/>
      <c r="ED65" s="12"/>
      <c r="EE65" s="12"/>
      <c r="EF65" s="12"/>
      <c r="EG65" s="12"/>
    </row>
    <row r="66" spans="2:137" outlineLevel="1" x14ac:dyDescent="0.2">
      <c r="B66" t="s">
        <v>28</v>
      </c>
      <c r="C66" t="s">
        <v>81</v>
      </c>
      <c r="E66" s="11"/>
      <c r="F66" t="s">
        <v>96</v>
      </c>
      <c r="G66" s="12">
        <v>0.05</v>
      </c>
      <c r="I66" s="11">
        <f t="shared" si="4"/>
        <v>0</v>
      </c>
      <c r="J66" s="13" cm="1">
        <f t="array" ref="J66">MAX(IF($N$3:$DV$3=$J$3,N66:DV66))</f>
        <v>0</v>
      </c>
      <c r="K66" s="13" cm="1">
        <f t="array" ref="K66">MAX(IF($N$3:$DV$3=$J$3,N66:DV66))</f>
        <v>0</v>
      </c>
      <c r="L66" s="11"/>
      <c r="O66" s="12"/>
      <c r="P66" s="12">
        <v>0.5</v>
      </c>
      <c r="Q66" s="12"/>
      <c r="R66" s="12"/>
      <c r="V66" s="12"/>
      <c r="W66" s="12">
        <v>0.5</v>
      </c>
      <c r="X66" s="12"/>
      <c r="Y66" s="12">
        <v>0.8</v>
      </c>
      <c r="AC66" s="12"/>
      <c r="AD66" s="12">
        <v>1</v>
      </c>
      <c r="AE66" s="12"/>
      <c r="AF66" s="12">
        <v>1</v>
      </c>
      <c r="AJ66" s="12"/>
      <c r="AK66" s="12">
        <v>1</v>
      </c>
      <c r="AL66" s="12"/>
      <c r="AM66" s="12">
        <v>1</v>
      </c>
      <c r="AP66">
        <v>0</v>
      </c>
      <c r="AQ66" s="12"/>
      <c r="AR66" s="12">
        <v>1</v>
      </c>
      <c r="AS66" s="12"/>
      <c r="AT66" s="12">
        <v>1</v>
      </c>
      <c r="AX66" s="12"/>
      <c r="AY66" s="12">
        <v>1</v>
      </c>
      <c r="AZ66" s="12"/>
      <c r="BA66" s="12">
        <v>1</v>
      </c>
      <c r="BE66" s="12"/>
      <c r="BF66" s="12">
        <v>1</v>
      </c>
      <c r="BG66" s="12"/>
      <c r="BH66" s="12">
        <v>1</v>
      </c>
      <c r="BL66" s="12"/>
      <c r="BM66" s="12">
        <v>1</v>
      </c>
      <c r="BN66" s="12"/>
      <c r="BO66" s="12">
        <v>1</v>
      </c>
      <c r="BS66" s="12"/>
      <c r="BT66" s="12">
        <v>1</v>
      </c>
      <c r="BU66" s="12"/>
      <c r="BV66" s="12">
        <v>1</v>
      </c>
      <c r="BZ66" s="12"/>
      <c r="CA66" s="12"/>
      <c r="CB66" s="12"/>
      <c r="CC66" s="12"/>
      <c r="CG66" s="12"/>
      <c r="CH66" s="12"/>
      <c r="CI66" s="12"/>
      <c r="CJ66" s="12"/>
      <c r="CN66" s="12"/>
      <c r="CO66" s="12"/>
      <c r="CP66" s="12"/>
      <c r="CQ66" s="12"/>
      <c r="CU66" s="12"/>
      <c r="CV66" s="12"/>
      <c r="CW66" s="12"/>
      <c r="CX66" s="12"/>
      <c r="DB66" s="12"/>
      <c r="DC66" s="12"/>
      <c r="DD66" s="12"/>
      <c r="DE66" s="12"/>
      <c r="DI66" s="12"/>
      <c r="DJ66" s="12"/>
      <c r="DK66" s="12"/>
      <c r="DL66" s="12"/>
      <c r="DP66" s="12"/>
      <c r="DQ66" s="12"/>
      <c r="DR66" s="12"/>
      <c r="DS66" s="12"/>
      <c r="DW66" s="12"/>
      <c r="DX66" s="12"/>
      <c r="DY66" s="12"/>
      <c r="DZ66" s="12"/>
      <c r="ED66" s="12"/>
      <c r="EE66" s="12"/>
      <c r="EF66" s="12"/>
      <c r="EG66" s="12"/>
    </row>
    <row r="67" spans="2:137" outlineLevel="1" x14ac:dyDescent="0.2">
      <c r="B67" t="s">
        <v>28</v>
      </c>
      <c r="C67" t="s">
        <v>81</v>
      </c>
      <c r="E67" s="11"/>
      <c r="F67" t="s">
        <v>97</v>
      </c>
      <c r="G67" s="12">
        <v>0.05</v>
      </c>
      <c r="I67" s="11">
        <f t="shared" si="4"/>
        <v>0</v>
      </c>
      <c r="J67" s="13" cm="1">
        <f t="array" ref="J67">MAX(IF($N$3:$DV$3=$J$3,N67:DV67))</f>
        <v>0</v>
      </c>
      <c r="K67" s="13" cm="1">
        <f t="array" ref="K67">MAX(IF($N$3:$DV$3=$J$3,N67:DV67))</f>
        <v>0</v>
      </c>
      <c r="L67" s="11"/>
      <c r="O67" s="12"/>
      <c r="P67" s="12">
        <v>0.5</v>
      </c>
      <c r="Q67" s="12"/>
      <c r="R67" s="12"/>
      <c r="V67" s="12"/>
      <c r="W67" s="12">
        <v>0.5</v>
      </c>
      <c r="X67" s="12"/>
      <c r="Y67" s="12">
        <v>0.5</v>
      </c>
      <c r="AC67" s="12"/>
      <c r="AD67" s="12">
        <v>0.8</v>
      </c>
      <c r="AE67" s="12"/>
      <c r="AF67" s="12">
        <v>0.8</v>
      </c>
      <c r="AJ67" s="12"/>
      <c r="AK67" s="12">
        <v>1</v>
      </c>
      <c r="AL67" s="12"/>
      <c r="AM67" s="12">
        <v>1</v>
      </c>
      <c r="AP67">
        <v>0</v>
      </c>
      <c r="AQ67" s="12"/>
      <c r="AR67" s="12">
        <v>1</v>
      </c>
      <c r="AS67" s="12"/>
      <c r="AT67" s="12">
        <v>1</v>
      </c>
      <c r="AX67" s="12"/>
      <c r="AY67" s="12">
        <v>1</v>
      </c>
      <c r="AZ67" s="12"/>
      <c r="BA67" s="12">
        <v>1</v>
      </c>
      <c r="BE67" s="12"/>
      <c r="BF67" s="12">
        <v>1</v>
      </c>
      <c r="BG67" s="12"/>
      <c r="BH67" s="12">
        <v>1</v>
      </c>
      <c r="BL67" s="12"/>
      <c r="BM67" s="12">
        <v>1</v>
      </c>
      <c r="BN67" s="12"/>
      <c r="BO67" s="12">
        <v>1</v>
      </c>
      <c r="BS67" s="12"/>
      <c r="BT67" s="12">
        <v>1</v>
      </c>
      <c r="BU67" s="12"/>
      <c r="BV67" s="12">
        <v>1</v>
      </c>
      <c r="BZ67" s="12"/>
      <c r="CA67" s="12"/>
      <c r="CB67" s="12"/>
      <c r="CC67" s="12"/>
      <c r="CG67" s="12"/>
      <c r="CH67" s="12"/>
      <c r="CI67" s="12"/>
      <c r="CJ67" s="12"/>
      <c r="CN67" s="12"/>
      <c r="CO67" s="12"/>
      <c r="CP67" s="12"/>
      <c r="CQ67" s="12"/>
      <c r="CU67" s="12"/>
      <c r="CV67" s="12"/>
      <c r="CW67" s="12"/>
      <c r="CX67" s="12"/>
      <c r="DB67" s="12"/>
      <c r="DC67" s="12"/>
      <c r="DD67" s="12"/>
      <c r="DE67" s="12"/>
      <c r="DI67" s="12"/>
      <c r="DJ67" s="12"/>
      <c r="DK67" s="12"/>
      <c r="DL67" s="12"/>
      <c r="DP67" s="12"/>
      <c r="DQ67" s="12"/>
      <c r="DR67" s="12"/>
      <c r="DS67" s="12"/>
      <c r="DW67" s="12"/>
      <c r="DX67" s="12"/>
      <c r="DY67" s="12"/>
      <c r="DZ67" s="12"/>
      <c r="ED67" s="12"/>
      <c r="EE67" s="12"/>
      <c r="EF67" s="12"/>
      <c r="EG67" s="12"/>
    </row>
    <row r="68" spans="2:137" outlineLevel="1" x14ac:dyDescent="0.2">
      <c r="B68" t="s">
        <v>28</v>
      </c>
      <c r="C68" t="s">
        <v>81</v>
      </c>
      <c r="E68" s="11"/>
      <c r="F68" t="s">
        <v>98</v>
      </c>
      <c r="G68" s="12">
        <v>0.05</v>
      </c>
      <c r="I68" s="11">
        <f t="shared" si="4"/>
        <v>0</v>
      </c>
      <c r="J68" s="13" cm="1">
        <f t="array" ref="J68">MAX(IF($N$3:$DV$3=$J$3,N68:DV68))</f>
        <v>0</v>
      </c>
      <c r="K68" s="13" cm="1">
        <f t="array" ref="K68">MAX(IF($N$3:$DV$3=$J$3,N68:DV68))</f>
        <v>0</v>
      </c>
      <c r="L68" s="11"/>
      <c r="O68" s="12"/>
      <c r="P68" s="12"/>
      <c r="Q68" s="12"/>
      <c r="R68" s="12"/>
      <c r="V68" s="12"/>
      <c r="W68" s="12">
        <v>0.5</v>
      </c>
      <c r="X68" s="12"/>
      <c r="Y68" s="12">
        <v>0.5</v>
      </c>
      <c r="AC68" s="12"/>
      <c r="AD68" s="12">
        <v>0.8</v>
      </c>
      <c r="AE68" s="12"/>
      <c r="AF68" s="12">
        <v>0.8</v>
      </c>
      <c r="AJ68" s="12"/>
      <c r="AK68" s="12">
        <v>1</v>
      </c>
      <c r="AL68" s="12"/>
      <c r="AM68" s="12">
        <v>1</v>
      </c>
      <c r="AP68">
        <v>0</v>
      </c>
      <c r="AQ68" s="12"/>
      <c r="AR68" s="12">
        <v>1</v>
      </c>
      <c r="AS68" s="12"/>
      <c r="AT68" s="12">
        <v>1</v>
      </c>
      <c r="AX68" s="12"/>
      <c r="AY68" s="12">
        <v>1</v>
      </c>
      <c r="AZ68" s="12"/>
      <c r="BA68" s="12">
        <v>1</v>
      </c>
      <c r="BE68" s="12"/>
      <c r="BF68" s="12">
        <v>1</v>
      </c>
      <c r="BG68" s="12"/>
      <c r="BH68" s="12">
        <v>1</v>
      </c>
      <c r="BL68" s="12"/>
      <c r="BM68" s="12">
        <v>1</v>
      </c>
      <c r="BN68" s="12"/>
      <c r="BO68" s="12">
        <v>1</v>
      </c>
      <c r="BS68" s="12"/>
      <c r="BT68" s="12">
        <v>1</v>
      </c>
      <c r="BU68" s="12"/>
      <c r="BV68" s="12">
        <v>1</v>
      </c>
      <c r="BZ68" s="12"/>
      <c r="CA68" s="12"/>
      <c r="CB68" s="12"/>
      <c r="CC68" s="12"/>
      <c r="CG68" s="12"/>
      <c r="CH68" s="12"/>
      <c r="CI68" s="12"/>
      <c r="CJ68" s="12"/>
      <c r="CN68" s="12"/>
      <c r="CO68" s="12"/>
      <c r="CP68" s="12"/>
      <c r="CQ68" s="12"/>
      <c r="CU68" s="12"/>
      <c r="CV68" s="12"/>
      <c r="CW68" s="12"/>
      <c r="CX68" s="12"/>
      <c r="DB68" s="12"/>
      <c r="DC68" s="12"/>
      <c r="DD68" s="12"/>
      <c r="DE68" s="12"/>
      <c r="DI68" s="12"/>
      <c r="DJ68" s="12"/>
      <c r="DK68" s="12"/>
      <c r="DL68" s="12"/>
      <c r="DP68" s="12"/>
      <c r="DQ68" s="12"/>
      <c r="DR68" s="12"/>
      <c r="DS68" s="12"/>
      <c r="DW68" s="12"/>
      <c r="DX68" s="12"/>
      <c r="DY68" s="12"/>
      <c r="DZ68" s="12"/>
      <c r="ED68" s="12"/>
      <c r="EE68" s="12"/>
      <c r="EF68" s="12"/>
      <c r="EG68" s="12"/>
    </row>
    <row r="69" spans="2:137" outlineLevel="1" x14ac:dyDescent="0.2">
      <c r="B69" t="s">
        <v>28</v>
      </c>
      <c r="C69" t="s">
        <v>81</v>
      </c>
      <c r="E69" s="11"/>
      <c r="F69" t="s">
        <v>99</v>
      </c>
      <c r="G69" s="12">
        <v>0.05</v>
      </c>
      <c r="I69" s="11">
        <f t="shared" si="4"/>
        <v>0</v>
      </c>
      <c r="J69" s="13" cm="1">
        <f t="array" ref="J69">MAX(IF($N$3:$DV$3=$J$3,N69:DV69))</f>
        <v>0</v>
      </c>
      <c r="K69" s="13" cm="1">
        <f t="array" ref="K69">MAX(IF($N$3:$DV$3=$J$3,N69:DV69))</f>
        <v>0</v>
      </c>
      <c r="L69" s="11"/>
      <c r="O69" s="12"/>
      <c r="P69" s="12"/>
      <c r="Q69" s="12"/>
      <c r="R69" s="12"/>
      <c r="V69" s="12"/>
      <c r="W69" s="12">
        <v>0.5</v>
      </c>
      <c r="X69" s="12"/>
      <c r="Y69" s="12">
        <v>0.5</v>
      </c>
      <c r="AC69" s="12"/>
      <c r="AD69" s="12">
        <v>0.8</v>
      </c>
      <c r="AE69" s="12"/>
      <c r="AF69" s="12">
        <v>0.8</v>
      </c>
      <c r="AJ69" s="12"/>
      <c r="AK69" s="12">
        <v>1</v>
      </c>
      <c r="AL69" s="12"/>
      <c r="AM69" s="12">
        <v>1</v>
      </c>
      <c r="AP69">
        <v>0</v>
      </c>
      <c r="AQ69" s="12"/>
      <c r="AR69" s="12">
        <v>1</v>
      </c>
      <c r="AS69" s="12"/>
      <c r="AT69" s="12">
        <v>1</v>
      </c>
      <c r="AX69" s="12"/>
      <c r="AY69" s="12">
        <v>1</v>
      </c>
      <c r="AZ69" s="12"/>
      <c r="BA69" s="12">
        <v>1</v>
      </c>
      <c r="BE69" s="12"/>
      <c r="BF69" s="12">
        <v>1</v>
      </c>
      <c r="BG69" s="12"/>
      <c r="BH69" s="12">
        <v>1</v>
      </c>
      <c r="BL69" s="12"/>
      <c r="BM69" s="12">
        <v>1</v>
      </c>
      <c r="BN69" s="12"/>
      <c r="BO69" s="12">
        <v>1</v>
      </c>
      <c r="BS69" s="12"/>
      <c r="BT69" s="12">
        <v>1</v>
      </c>
      <c r="BU69" s="12"/>
      <c r="BV69" s="12">
        <v>1</v>
      </c>
      <c r="BZ69" s="12"/>
      <c r="CA69" s="12"/>
      <c r="CB69" s="12"/>
      <c r="CC69" s="12"/>
      <c r="CG69" s="12"/>
      <c r="CH69" s="12"/>
      <c r="CI69" s="12"/>
      <c r="CJ69" s="12"/>
      <c r="CN69" s="12"/>
      <c r="CO69" s="12"/>
      <c r="CP69" s="12"/>
      <c r="CQ69" s="12"/>
      <c r="CU69" s="12"/>
      <c r="CV69" s="12"/>
      <c r="CW69" s="12"/>
      <c r="CX69" s="12"/>
      <c r="DB69" s="12"/>
      <c r="DC69" s="12"/>
      <c r="DD69" s="12"/>
      <c r="DE69" s="12"/>
      <c r="DI69" s="12"/>
      <c r="DJ69" s="12"/>
      <c r="DK69" s="12"/>
      <c r="DL69" s="12"/>
      <c r="DP69" s="12"/>
      <c r="DQ69" s="12"/>
      <c r="DR69" s="12"/>
      <c r="DS69" s="12"/>
      <c r="DW69" s="12"/>
      <c r="DX69" s="12"/>
      <c r="DY69" s="12"/>
      <c r="DZ69" s="12"/>
      <c r="ED69" s="12"/>
      <c r="EE69" s="12"/>
      <c r="EF69" s="12"/>
      <c r="EG69" s="12"/>
    </row>
    <row r="70" spans="2:137" outlineLevel="1" x14ac:dyDescent="0.2">
      <c r="B70" t="s">
        <v>28</v>
      </c>
      <c r="C70" t="s">
        <v>81</v>
      </c>
      <c r="E70" s="11"/>
      <c r="F70" t="s">
        <v>100</v>
      </c>
      <c r="G70" s="12">
        <v>0.1</v>
      </c>
      <c r="I70" s="11">
        <f t="shared" si="4"/>
        <v>0</v>
      </c>
      <c r="J70" s="13" cm="1">
        <f t="array" ref="J70">MAX(IF($N$3:$DV$3=$J$3,N70:DV70))</f>
        <v>0</v>
      </c>
      <c r="K70" s="13" cm="1">
        <f t="array" ref="K70">MAX(IF($N$3:$DV$3=$J$3,N70:DV70))</f>
        <v>0</v>
      </c>
      <c r="L70" s="11"/>
      <c r="O70" s="12"/>
      <c r="P70" s="12"/>
      <c r="Q70" s="12"/>
      <c r="R70" s="12"/>
      <c r="V70" s="12"/>
      <c r="W70" s="12">
        <v>0.5</v>
      </c>
      <c r="X70" s="12"/>
      <c r="Y70" s="12">
        <v>0.3</v>
      </c>
      <c r="AC70" s="12"/>
      <c r="AD70" s="12">
        <v>0.5</v>
      </c>
      <c r="AE70" s="12"/>
      <c r="AF70" s="12">
        <v>0.5</v>
      </c>
      <c r="AJ70" s="12"/>
      <c r="AK70" s="12">
        <v>0.8</v>
      </c>
      <c r="AL70" s="12"/>
      <c r="AM70" s="12">
        <v>0.8</v>
      </c>
      <c r="AP70">
        <v>0</v>
      </c>
      <c r="AQ70" s="12"/>
      <c r="AR70" s="12">
        <v>1</v>
      </c>
      <c r="AS70" s="12"/>
      <c r="AT70" s="12">
        <v>1</v>
      </c>
      <c r="AX70" s="12"/>
      <c r="AY70" s="12">
        <v>1</v>
      </c>
      <c r="AZ70" s="12"/>
      <c r="BA70" s="12">
        <v>1</v>
      </c>
      <c r="BE70" s="12"/>
      <c r="BF70" s="12">
        <v>1</v>
      </c>
      <c r="BG70" s="12"/>
      <c r="BH70" s="12">
        <v>1</v>
      </c>
      <c r="BL70" s="12"/>
      <c r="BM70" s="12">
        <v>1</v>
      </c>
      <c r="BN70" s="12"/>
      <c r="BO70" s="12">
        <v>1</v>
      </c>
      <c r="BS70" s="12"/>
      <c r="BT70" s="12">
        <v>1</v>
      </c>
      <c r="BU70" s="12"/>
      <c r="BV70" s="12">
        <v>1</v>
      </c>
      <c r="BZ70" s="12"/>
      <c r="CA70" s="12"/>
      <c r="CB70" s="12"/>
      <c r="CC70" s="12"/>
      <c r="CG70" s="12"/>
      <c r="CH70" s="12"/>
      <c r="CI70" s="12"/>
      <c r="CJ70" s="12"/>
      <c r="CN70" s="12"/>
      <c r="CO70" s="12"/>
      <c r="CP70" s="12"/>
      <c r="CQ70" s="12"/>
      <c r="CU70" s="12"/>
      <c r="CV70" s="12"/>
      <c r="CW70" s="12"/>
      <c r="CX70" s="12"/>
      <c r="DB70" s="12"/>
      <c r="DC70" s="12"/>
      <c r="DD70" s="12"/>
      <c r="DE70" s="12"/>
      <c r="DI70" s="12"/>
      <c r="DJ70" s="12"/>
      <c r="DK70" s="12"/>
      <c r="DL70" s="12"/>
      <c r="DP70" s="12"/>
      <c r="DQ70" s="12"/>
      <c r="DR70" s="12"/>
      <c r="DS70" s="12"/>
      <c r="DW70" s="12"/>
      <c r="DX70" s="12"/>
      <c r="DY70" s="12"/>
      <c r="DZ70" s="12"/>
      <c r="ED70" s="12"/>
      <c r="EE70" s="12"/>
      <c r="EF70" s="12"/>
      <c r="EG70" s="12"/>
    </row>
    <row r="71" spans="2:137" outlineLevel="1" x14ac:dyDescent="0.2">
      <c r="B71" t="s">
        <v>28</v>
      </c>
      <c r="C71" t="s">
        <v>81</v>
      </c>
      <c r="E71" s="11"/>
      <c r="F71" t="s">
        <v>101</v>
      </c>
      <c r="G71" s="12">
        <v>0.1</v>
      </c>
      <c r="I71" s="11">
        <f t="shared" si="4"/>
        <v>0</v>
      </c>
      <c r="J71" s="13" cm="1">
        <f t="array" ref="J71">MAX(IF($N$3:$DV$3=$J$3,N71:DV71))</f>
        <v>0</v>
      </c>
      <c r="K71" s="13" cm="1">
        <f t="array" ref="K71">MAX(IF($N$3:$DV$3=$J$3,N71:DV71))</f>
        <v>0</v>
      </c>
      <c r="L71" s="11"/>
      <c r="O71" s="12"/>
      <c r="P71" s="12"/>
      <c r="Q71" s="12"/>
      <c r="R71" s="12"/>
      <c r="V71" s="12"/>
      <c r="W71" s="12">
        <v>0.5</v>
      </c>
      <c r="X71" s="12"/>
      <c r="Y71" s="12">
        <v>0.3</v>
      </c>
      <c r="AC71" s="12"/>
      <c r="AD71" s="12">
        <v>0.5</v>
      </c>
      <c r="AE71" s="12"/>
      <c r="AF71" s="12">
        <v>0.5</v>
      </c>
      <c r="AJ71" s="12"/>
      <c r="AK71" s="12">
        <v>0.8</v>
      </c>
      <c r="AL71" s="12"/>
      <c r="AM71" s="12">
        <v>0.8</v>
      </c>
      <c r="AP71">
        <v>0</v>
      </c>
      <c r="AQ71" s="12"/>
      <c r="AR71" s="12">
        <v>1</v>
      </c>
      <c r="AS71" s="12"/>
      <c r="AT71" s="12">
        <v>1</v>
      </c>
      <c r="AX71" s="12"/>
      <c r="AY71" s="12">
        <v>1</v>
      </c>
      <c r="AZ71" s="12"/>
      <c r="BA71" s="12">
        <v>1</v>
      </c>
      <c r="BE71" s="12"/>
      <c r="BF71" s="12">
        <v>1</v>
      </c>
      <c r="BG71" s="12"/>
      <c r="BH71" s="12">
        <v>1</v>
      </c>
      <c r="BL71" s="12"/>
      <c r="BM71" s="12">
        <v>1</v>
      </c>
      <c r="BN71" s="12"/>
      <c r="BO71" s="12">
        <v>1</v>
      </c>
      <c r="BS71" s="12"/>
      <c r="BT71" s="12">
        <v>1</v>
      </c>
      <c r="BU71" s="12"/>
      <c r="BV71" s="12">
        <v>1</v>
      </c>
      <c r="BZ71" s="12"/>
      <c r="CA71" s="12"/>
      <c r="CB71" s="12"/>
      <c r="CC71" s="12"/>
      <c r="CG71" s="12"/>
      <c r="CH71" s="12"/>
      <c r="CI71" s="12"/>
      <c r="CJ71" s="12"/>
      <c r="CN71" s="12"/>
      <c r="CO71" s="12"/>
      <c r="CP71" s="12"/>
      <c r="CQ71" s="12"/>
      <c r="CU71" s="12"/>
      <c r="CV71" s="12"/>
      <c r="CW71" s="12"/>
      <c r="CX71" s="12"/>
      <c r="DB71" s="12"/>
      <c r="DC71" s="12"/>
      <c r="DD71" s="12"/>
      <c r="DE71" s="12"/>
      <c r="DI71" s="12"/>
      <c r="DJ71" s="12"/>
      <c r="DK71" s="12"/>
      <c r="DL71" s="12"/>
      <c r="DP71" s="12"/>
      <c r="DQ71" s="12"/>
      <c r="DR71" s="12"/>
      <c r="DS71" s="12"/>
      <c r="DW71" s="12"/>
      <c r="DX71" s="12"/>
      <c r="DY71" s="12"/>
      <c r="DZ71" s="12"/>
      <c r="ED71" s="12"/>
      <c r="EE71" s="12"/>
      <c r="EF71" s="12"/>
      <c r="EG71" s="12"/>
    </row>
    <row r="72" spans="2:137" outlineLevel="1" x14ac:dyDescent="0.2">
      <c r="B72" t="s">
        <v>28</v>
      </c>
      <c r="C72" t="s">
        <v>81</v>
      </c>
      <c r="E72" s="11"/>
      <c r="F72" t="s">
        <v>102</v>
      </c>
      <c r="G72" s="12">
        <v>0.1</v>
      </c>
      <c r="I72" s="11">
        <f t="shared" si="4"/>
        <v>0</v>
      </c>
      <c r="J72" s="13" cm="1">
        <f t="array" ref="J72">MAX(IF($N$3:$DV$3=$J$3,N72:DV72))</f>
        <v>0</v>
      </c>
      <c r="K72" s="13" cm="1">
        <f t="array" ref="K72">MAX(IF($N$3:$DV$3=$J$3,N72:DV72))</f>
        <v>0</v>
      </c>
      <c r="L72" s="11"/>
      <c r="O72" s="12"/>
      <c r="P72" s="12"/>
      <c r="Q72" s="12"/>
      <c r="R72" s="12"/>
      <c r="V72" s="12"/>
      <c r="W72" s="12">
        <v>0.5</v>
      </c>
      <c r="X72" s="12"/>
      <c r="Y72" s="12"/>
      <c r="AC72" s="12"/>
      <c r="AD72" s="12">
        <v>0.5</v>
      </c>
      <c r="AE72" s="12"/>
      <c r="AF72" s="12">
        <v>0.5</v>
      </c>
      <c r="AJ72" s="12"/>
      <c r="AK72" s="12">
        <v>0.8</v>
      </c>
      <c r="AL72" s="12"/>
      <c r="AM72" s="12">
        <v>0.8</v>
      </c>
      <c r="AP72">
        <v>0</v>
      </c>
      <c r="AQ72" s="12"/>
      <c r="AR72" s="12">
        <v>1</v>
      </c>
      <c r="AS72" s="12"/>
      <c r="AT72" s="12">
        <v>1</v>
      </c>
      <c r="AX72" s="12"/>
      <c r="AY72" s="12">
        <v>1</v>
      </c>
      <c r="AZ72" s="12"/>
      <c r="BA72" s="12">
        <v>1</v>
      </c>
      <c r="BE72" s="12"/>
      <c r="BF72" s="12">
        <v>1</v>
      </c>
      <c r="BG72" s="12"/>
      <c r="BH72" s="12">
        <v>1</v>
      </c>
      <c r="BL72" s="12"/>
      <c r="BM72" s="12">
        <v>1</v>
      </c>
      <c r="BN72" s="12"/>
      <c r="BO72" s="12">
        <v>1</v>
      </c>
      <c r="BS72" s="12"/>
      <c r="BT72" s="12">
        <v>1</v>
      </c>
      <c r="BU72" s="12"/>
      <c r="BV72" s="12">
        <v>1</v>
      </c>
      <c r="BZ72" s="12"/>
      <c r="CA72" s="12"/>
      <c r="CB72" s="12"/>
      <c r="CC72" s="12"/>
      <c r="CG72" s="12"/>
      <c r="CH72" s="12"/>
      <c r="CI72" s="12"/>
      <c r="CJ72" s="12"/>
      <c r="CN72" s="12"/>
      <c r="CO72" s="12"/>
      <c r="CP72" s="12"/>
      <c r="CQ72" s="12"/>
      <c r="CU72" s="12"/>
      <c r="CV72" s="12"/>
      <c r="CW72" s="12"/>
      <c r="CX72" s="12"/>
      <c r="DB72" s="12"/>
      <c r="DC72" s="12"/>
      <c r="DD72" s="12"/>
      <c r="DE72" s="12"/>
      <c r="DI72" s="12"/>
      <c r="DJ72" s="12"/>
      <c r="DK72" s="12"/>
      <c r="DL72" s="12"/>
      <c r="DP72" s="12"/>
      <c r="DQ72" s="12"/>
      <c r="DR72" s="12"/>
      <c r="DS72" s="12"/>
      <c r="DW72" s="12"/>
      <c r="DX72" s="12"/>
      <c r="DY72" s="12"/>
      <c r="DZ72" s="12"/>
      <c r="ED72" s="12"/>
      <c r="EE72" s="12"/>
      <c r="EF72" s="12"/>
      <c r="EG72" s="12"/>
    </row>
    <row r="73" spans="2:137" outlineLevel="1" x14ac:dyDescent="0.2">
      <c r="B73" t="s">
        <v>28</v>
      </c>
      <c r="C73" t="s">
        <v>81</v>
      </c>
      <c r="E73" s="11"/>
      <c r="F73" t="s">
        <v>103</v>
      </c>
      <c r="G73" s="12">
        <v>0.1</v>
      </c>
      <c r="I73" s="11">
        <f t="shared" si="4"/>
        <v>0</v>
      </c>
      <c r="J73" s="13" cm="1">
        <f t="array" ref="J73">MAX(IF($N$3:$DV$3=$J$3,N73:DV73))</f>
        <v>0</v>
      </c>
      <c r="K73" s="13" cm="1">
        <f t="array" ref="K73">MAX(IF($N$3:$DV$3=$J$3,N73:DV73))</f>
        <v>0</v>
      </c>
      <c r="L73" s="11"/>
      <c r="O73" s="12"/>
      <c r="P73" s="12"/>
      <c r="Q73" s="12"/>
      <c r="R73" s="12"/>
      <c r="V73" s="12"/>
      <c r="W73" s="12">
        <v>0.5</v>
      </c>
      <c r="X73" s="12"/>
      <c r="Y73" s="12"/>
      <c r="AC73" s="12"/>
      <c r="AD73" s="12">
        <v>0.5</v>
      </c>
      <c r="AE73" s="12"/>
      <c r="AF73" s="12">
        <v>0.5</v>
      </c>
      <c r="AJ73" s="12"/>
      <c r="AK73" s="12">
        <v>0.8</v>
      </c>
      <c r="AL73" s="12"/>
      <c r="AM73" s="12">
        <v>0.8</v>
      </c>
      <c r="AP73">
        <v>0</v>
      </c>
      <c r="AQ73" s="12"/>
      <c r="AR73" s="12">
        <v>1</v>
      </c>
      <c r="AS73" s="12"/>
      <c r="AT73" s="12">
        <v>1</v>
      </c>
      <c r="AX73" s="12"/>
      <c r="AY73" s="12">
        <v>1</v>
      </c>
      <c r="AZ73" s="12"/>
      <c r="BA73" s="12">
        <v>1</v>
      </c>
      <c r="BE73" s="12"/>
      <c r="BF73" s="12">
        <v>1</v>
      </c>
      <c r="BG73" s="12"/>
      <c r="BH73" s="12">
        <v>1</v>
      </c>
      <c r="BL73" s="12"/>
      <c r="BM73" s="12">
        <v>1</v>
      </c>
      <c r="BN73" s="12"/>
      <c r="BO73" s="12">
        <v>1</v>
      </c>
      <c r="BS73" s="12"/>
      <c r="BT73" s="12">
        <v>1</v>
      </c>
      <c r="BU73" s="12"/>
      <c r="BV73" s="12">
        <v>1</v>
      </c>
      <c r="BZ73" s="12"/>
      <c r="CA73" s="12"/>
      <c r="CB73" s="12"/>
      <c r="CC73" s="12"/>
      <c r="CG73" s="12"/>
      <c r="CH73" s="12"/>
      <c r="CI73" s="12"/>
      <c r="CJ73" s="12"/>
      <c r="CN73" s="12"/>
      <c r="CO73" s="12"/>
      <c r="CP73" s="12"/>
      <c r="CQ73" s="12"/>
      <c r="CU73" s="12"/>
      <c r="CV73" s="12"/>
      <c r="CW73" s="12"/>
      <c r="CX73" s="12"/>
      <c r="DB73" s="12"/>
      <c r="DC73" s="12"/>
      <c r="DD73" s="12"/>
      <c r="DE73" s="12"/>
      <c r="DI73" s="12"/>
      <c r="DJ73" s="12"/>
      <c r="DK73" s="12"/>
      <c r="DL73" s="12"/>
      <c r="DP73" s="12"/>
      <c r="DQ73" s="12"/>
      <c r="DR73" s="12"/>
      <c r="DS73" s="12"/>
      <c r="DW73" s="12"/>
      <c r="DX73" s="12"/>
      <c r="DY73" s="12"/>
      <c r="DZ73" s="12"/>
      <c r="ED73" s="12"/>
      <c r="EE73" s="12"/>
      <c r="EF73" s="12"/>
      <c r="EG73" s="12"/>
    </row>
    <row r="74" spans="2:137" outlineLevel="1" x14ac:dyDescent="0.2">
      <c r="B74" t="s">
        <v>28</v>
      </c>
      <c r="C74" t="s">
        <v>81</v>
      </c>
      <c r="E74" s="11"/>
      <c r="F74" t="s">
        <v>104</v>
      </c>
      <c r="G74" s="12">
        <v>0.1</v>
      </c>
      <c r="I74" s="11">
        <f t="shared" si="4"/>
        <v>0</v>
      </c>
      <c r="J74" s="13" cm="1">
        <f t="array" ref="J74">MAX(IF($N$3:$DV$3=$J$3,N74:DV74))</f>
        <v>0</v>
      </c>
      <c r="K74" s="13" cm="1">
        <f t="array" ref="K74">MAX(IF($N$3:$DV$3=$J$3,N74:DV74))</f>
        <v>0</v>
      </c>
      <c r="L74" s="11"/>
      <c r="O74" s="12"/>
      <c r="P74" s="12"/>
      <c r="Q74" s="12"/>
      <c r="R74" s="12"/>
      <c r="V74" s="12"/>
      <c r="W74" s="12">
        <v>0.5</v>
      </c>
      <c r="X74" s="12"/>
      <c r="Y74" s="12"/>
      <c r="AC74" s="12"/>
      <c r="AD74" s="12">
        <v>0.3</v>
      </c>
      <c r="AE74" s="12"/>
      <c r="AF74" s="12">
        <v>0.3</v>
      </c>
      <c r="AJ74" s="12"/>
      <c r="AK74" s="12">
        <v>0.5</v>
      </c>
      <c r="AL74" s="12"/>
      <c r="AM74" s="12">
        <v>0.5</v>
      </c>
      <c r="AP74">
        <v>0</v>
      </c>
      <c r="AQ74" s="12"/>
      <c r="AR74" s="12">
        <v>1</v>
      </c>
      <c r="AS74" s="12"/>
      <c r="AT74" s="12">
        <v>1</v>
      </c>
      <c r="AX74" s="12"/>
      <c r="AY74" s="12">
        <v>1</v>
      </c>
      <c r="AZ74" s="12"/>
      <c r="BA74" s="12">
        <v>1</v>
      </c>
      <c r="BE74" s="12"/>
      <c r="BF74" s="12">
        <v>1</v>
      </c>
      <c r="BG74" s="12"/>
      <c r="BH74" s="12">
        <v>1</v>
      </c>
      <c r="BL74" s="12"/>
      <c r="BM74" s="12">
        <v>1</v>
      </c>
      <c r="BN74" s="12"/>
      <c r="BO74" s="12">
        <v>1</v>
      </c>
      <c r="BS74" s="12"/>
      <c r="BT74" s="12">
        <v>1</v>
      </c>
      <c r="BU74" s="12"/>
      <c r="BV74" s="12">
        <v>1</v>
      </c>
      <c r="BZ74" s="12"/>
      <c r="CA74" s="12"/>
      <c r="CB74" s="12"/>
      <c r="CC74" s="12"/>
      <c r="CG74" s="12"/>
      <c r="CH74" s="12"/>
      <c r="CI74" s="12"/>
      <c r="CJ74" s="12"/>
      <c r="CN74" s="12"/>
      <c r="CO74" s="12"/>
      <c r="CP74" s="12"/>
      <c r="CQ74" s="12"/>
      <c r="CU74" s="12"/>
      <c r="CV74" s="12"/>
      <c r="CW74" s="12"/>
      <c r="CX74" s="12"/>
      <c r="DB74" s="12"/>
      <c r="DC74" s="12"/>
      <c r="DD74" s="12"/>
      <c r="DE74" s="12"/>
      <c r="DI74" s="12"/>
      <c r="DJ74" s="12"/>
      <c r="DK74" s="12"/>
      <c r="DL74" s="12"/>
      <c r="DP74" s="12"/>
      <c r="DQ74" s="12"/>
      <c r="DR74" s="12"/>
      <c r="DS74" s="12"/>
      <c r="DW74" s="12"/>
      <c r="DX74" s="12"/>
      <c r="DY74" s="12"/>
      <c r="DZ74" s="12"/>
      <c r="ED74" s="12"/>
      <c r="EE74" s="12"/>
      <c r="EF74" s="12"/>
      <c r="EG74" s="12"/>
    </row>
    <row r="75" spans="2:137" outlineLevel="1" x14ac:dyDescent="0.2">
      <c r="B75" t="s">
        <v>28</v>
      </c>
      <c r="C75" t="s">
        <v>81</v>
      </c>
      <c r="E75" s="11"/>
      <c r="F75" t="s">
        <v>105</v>
      </c>
      <c r="G75" s="12">
        <v>0.1</v>
      </c>
      <c r="I75" s="11">
        <f t="shared" si="4"/>
        <v>0</v>
      </c>
      <c r="J75" s="13" cm="1">
        <f t="array" ref="J75">MAX(IF($N$3:$DV$3=$J$3,N75:DV75))</f>
        <v>0</v>
      </c>
      <c r="K75" s="13" cm="1">
        <f t="array" ref="K75">MAX(IF($N$3:$DV$3=$J$3,N75:DV75))</f>
        <v>0</v>
      </c>
      <c r="L75" s="11"/>
      <c r="O75" s="12"/>
      <c r="P75" s="12"/>
      <c r="Q75" s="12"/>
      <c r="R75" s="12"/>
      <c r="V75" s="12"/>
      <c r="W75" s="12">
        <v>0.5</v>
      </c>
      <c r="X75" s="12"/>
      <c r="Y75" s="12"/>
      <c r="AC75" s="12"/>
      <c r="AD75" s="12"/>
      <c r="AE75" s="12"/>
      <c r="AF75" s="12"/>
      <c r="AJ75" s="12"/>
      <c r="AK75" s="12">
        <v>0.5</v>
      </c>
      <c r="AL75" s="12"/>
      <c r="AM75" s="12">
        <v>0.5</v>
      </c>
      <c r="AP75">
        <v>0</v>
      </c>
      <c r="AQ75" s="12"/>
      <c r="AR75" s="12">
        <v>1</v>
      </c>
      <c r="AS75" s="12"/>
      <c r="AT75" s="12">
        <v>1</v>
      </c>
      <c r="AX75" s="12"/>
      <c r="AY75" s="12">
        <v>1</v>
      </c>
      <c r="AZ75" s="12"/>
      <c r="BA75" s="12">
        <v>1</v>
      </c>
      <c r="BE75" s="12"/>
      <c r="BF75" s="12">
        <v>1</v>
      </c>
      <c r="BG75" s="12"/>
      <c r="BH75" s="12">
        <v>1</v>
      </c>
      <c r="BL75" s="12"/>
      <c r="BM75" s="12">
        <v>1</v>
      </c>
      <c r="BN75" s="12"/>
      <c r="BO75" s="12">
        <v>1</v>
      </c>
      <c r="BS75" s="12"/>
      <c r="BT75" s="12">
        <v>1</v>
      </c>
      <c r="BU75" s="12"/>
      <c r="BV75" s="12">
        <v>1</v>
      </c>
      <c r="BZ75" s="12"/>
      <c r="CA75" s="12"/>
      <c r="CB75" s="12"/>
      <c r="CC75" s="12"/>
      <c r="CG75" s="12"/>
      <c r="CH75" s="12"/>
      <c r="CI75" s="12"/>
      <c r="CJ75" s="12"/>
      <c r="CN75" s="12"/>
      <c r="CO75" s="12"/>
      <c r="CP75" s="12"/>
      <c r="CQ75" s="12"/>
      <c r="CU75" s="12"/>
      <c r="CV75" s="12"/>
      <c r="CW75" s="12"/>
      <c r="CX75" s="12"/>
      <c r="DB75" s="12"/>
      <c r="DC75" s="12"/>
      <c r="DD75" s="12"/>
      <c r="DE75" s="12"/>
      <c r="DI75" s="12"/>
      <c r="DJ75" s="12"/>
      <c r="DK75" s="12"/>
      <c r="DL75" s="12"/>
      <c r="DP75" s="12"/>
      <c r="DQ75" s="12"/>
      <c r="DR75" s="12"/>
      <c r="DS75" s="12"/>
      <c r="DW75" s="12"/>
      <c r="DX75" s="12"/>
      <c r="DY75" s="12"/>
      <c r="DZ75" s="12"/>
      <c r="ED75" s="12"/>
      <c r="EE75" s="12"/>
      <c r="EF75" s="12"/>
      <c r="EG75" s="12"/>
    </row>
    <row r="76" spans="2:137" outlineLevel="1" x14ac:dyDescent="0.2">
      <c r="B76" t="s">
        <v>28</v>
      </c>
      <c r="C76" t="s">
        <v>81</v>
      </c>
      <c r="E76" s="11"/>
      <c r="F76" t="s">
        <v>106</v>
      </c>
      <c r="G76" s="12">
        <v>0.1</v>
      </c>
      <c r="I76" s="11">
        <f t="shared" si="4"/>
        <v>0</v>
      </c>
      <c r="J76" s="13" cm="1">
        <f t="array" ref="J76">MAX(IF($N$3:$DV$3=$J$3,N76:DV76))</f>
        <v>0</v>
      </c>
      <c r="K76" s="13" cm="1">
        <f t="array" ref="K76">MAX(IF($N$3:$DV$3=$J$3,N76:DV76))</f>
        <v>0</v>
      </c>
      <c r="L76" s="11"/>
      <c r="O76" s="12"/>
      <c r="P76" s="12"/>
      <c r="Q76" s="12"/>
      <c r="R76" s="12"/>
      <c r="V76" s="12"/>
      <c r="W76" s="12">
        <v>0.5</v>
      </c>
      <c r="X76" s="12"/>
      <c r="Y76" s="12"/>
      <c r="AC76" s="12"/>
      <c r="AD76" s="12"/>
      <c r="AE76" s="12"/>
      <c r="AF76" s="12"/>
      <c r="AJ76" s="12"/>
      <c r="AK76" s="12">
        <v>0.5</v>
      </c>
      <c r="AL76" s="12"/>
      <c r="AM76" s="12">
        <v>0.5</v>
      </c>
      <c r="AP76">
        <v>0</v>
      </c>
      <c r="AQ76" s="12"/>
      <c r="AR76" s="12">
        <v>1</v>
      </c>
      <c r="AS76" s="12"/>
      <c r="AT76" s="12">
        <v>1</v>
      </c>
      <c r="AX76" s="12"/>
      <c r="AY76" s="12">
        <v>1</v>
      </c>
      <c r="AZ76" s="12"/>
      <c r="BA76" s="12">
        <v>1</v>
      </c>
      <c r="BE76" s="12"/>
      <c r="BF76" s="12">
        <v>1</v>
      </c>
      <c r="BG76" s="12"/>
      <c r="BH76" s="12">
        <v>1</v>
      </c>
      <c r="BL76" s="12"/>
      <c r="BM76" s="12">
        <v>1</v>
      </c>
      <c r="BN76" s="12"/>
      <c r="BO76" s="12">
        <v>1</v>
      </c>
      <c r="BS76" s="12"/>
      <c r="BT76" s="12">
        <v>1</v>
      </c>
      <c r="BU76" s="12"/>
      <c r="BV76" s="12">
        <v>1</v>
      </c>
      <c r="BZ76" s="12"/>
      <c r="CA76" s="12"/>
      <c r="CB76" s="12"/>
      <c r="CC76" s="12"/>
      <c r="CG76" s="12"/>
      <c r="CH76" s="12"/>
      <c r="CI76" s="12"/>
      <c r="CJ76" s="12"/>
      <c r="CN76" s="12"/>
      <c r="CO76" s="12"/>
      <c r="CP76" s="12"/>
      <c r="CQ76" s="12"/>
      <c r="CU76" s="12"/>
      <c r="CV76" s="12"/>
      <c r="CW76" s="12"/>
      <c r="CX76" s="12"/>
      <c r="DB76" s="12"/>
      <c r="DC76" s="12"/>
      <c r="DD76" s="12"/>
      <c r="DE76" s="12"/>
      <c r="DI76" s="12"/>
      <c r="DJ76" s="12"/>
      <c r="DK76" s="12"/>
      <c r="DL76" s="12"/>
      <c r="DP76" s="12"/>
      <c r="DQ76" s="12"/>
      <c r="DR76" s="12"/>
      <c r="DS76" s="12"/>
      <c r="DW76" s="12"/>
      <c r="DX76" s="12"/>
      <c r="DY76" s="12"/>
      <c r="DZ76" s="12"/>
      <c r="ED76" s="12"/>
      <c r="EE76" s="12"/>
      <c r="EF76" s="12"/>
      <c r="EG76" s="12"/>
    </row>
    <row r="77" spans="2:137" outlineLevel="1" x14ac:dyDescent="0.2">
      <c r="B77" t="s">
        <v>28</v>
      </c>
      <c r="C77" t="s">
        <v>81</v>
      </c>
      <c r="E77" s="11"/>
      <c r="F77" t="s">
        <v>109</v>
      </c>
      <c r="G77" s="12">
        <v>0.1</v>
      </c>
      <c r="I77" s="11">
        <f t="shared" si="4"/>
        <v>0</v>
      </c>
      <c r="J77" s="13" cm="1">
        <f t="array" ref="J77">MAX(IF($N$3:$DV$3=$J$3,N77:DV77))</f>
        <v>0</v>
      </c>
      <c r="K77" s="13" cm="1">
        <f t="array" ref="K77">MAX(IF($N$3:$DV$3=$J$3,N77:DV77))</f>
        <v>0</v>
      </c>
      <c r="L77" s="11"/>
      <c r="O77" s="12"/>
      <c r="P77" s="12"/>
      <c r="Q77" s="12"/>
      <c r="R77" s="12"/>
      <c r="V77" s="12"/>
      <c r="W77" s="12">
        <v>0.5</v>
      </c>
      <c r="X77" s="12"/>
      <c r="Y77" s="12"/>
      <c r="AC77" s="12"/>
      <c r="AD77" s="12"/>
      <c r="AE77" s="12"/>
      <c r="AF77" s="12"/>
      <c r="AJ77" s="12"/>
      <c r="AK77" s="12">
        <v>0.5</v>
      </c>
      <c r="AL77" s="12"/>
      <c r="AM77" s="12">
        <v>0.5</v>
      </c>
      <c r="AP77">
        <v>0</v>
      </c>
      <c r="AQ77" s="12"/>
      <c r="AR77" s="12">
        <v>1</v>
      </c>
      <c r="AS77" s="12"/>
      <c r="AT77" s="12">
        <v>1</v>
      </c>
      <c r="AX77" s="12"/>
      <c r="AY77" s="12">
        <v>1</v>
      </c>
      <c r="AZ77" s="12"/>
      <c r="BA77" s="12">
        <v>1</v>
      </c>
      <c r="BE77" s="12"/>
      <c r="BF77" s="12">
        <v>1</v>
      </c>
      <c r="BG77" s="12"/>
      <c r="BH77" s="12">
        <v>1</v>
      </c>
      <c r="BL77" s="12"/>
      <c r="BM77" s="12">
        <v>1</v>
      </c>
      <c r="BN77" s="12"/>
      <c r="BO77" s="12">
        <v>1</v>
      </c>
      <c r="BS77" s="12"/>
      <c r="BT77" s="12">
        <v>1</v>
      </c>
      <c r="BU77" s="12"/>
      <c r="BV77" s="12">
        <v>1</v>
      </c>
      <c r="BZ77" s="12"/>
      <c r="CA77" s="12"/>
      <c r="CB77" s="12"/>
      <c r="CC77" s="12"/>
      <c r="CG77" s="12"/>
      <c r="CH77" s="12"/>
      <c r="CI77" s="12"/>
      <c r="CJ77" s="12"/>
      <c r="CN77" s="12"/>
      <c r="CO77" s="12"/>
      <c r="CP77" s="12"/>
      <c r="CQ77" s="12"/>
      <c r="CU77" s="12"/>
      <c r="CV77" s="12"/>
      <c r="CW77" s="12"/>
      <c r="CX77" s="12"/>
      <c r="DB77" s="12"/>
      <c r="DC77" s="12"/>
      <c r="DD77" s="12"/>
      <c r="DE77" s="12"/>
      <c r="DI77" s="12"/>
      <c r="DJ77" s="12"/>
      <c r="DK77" s="12"/>
      <c r="DL77" s="12"/>
      <c r="DP77" s="12"/>
      <c r="DQ77" s="12"/>
      <c r="DR77" s="12"/>
      <c r="DS77" s="12"/>
      <c r="DW77" s="12"/>
      <c r="DX77" s="12"/>
      <c r="DY77" s="12"/>
      <c r="DZ77" s="12"/>
      <c r="ED77" s="12"/>
      <c r="EE77" s="12"/>
      <c r="EF77" s="12"/>
      <c r="EG77" s="12"/>
    </row>
    <row r="78" spans="2:137" outlineLevel="1" x14ac:dyDescent="0.2">
      <c r="B78" t="s">
        <v>28</v>
      </c>
      <c r="C78" t="s">
        <v>81</v>
      </c>
      <c r="E78" s="11"/>
      <c r="F78" t="s">
        <v>107</v>
      </c>
      <c r="G78" s="12">
        <v>0.1</v>
      </c>
      <c r="I78" s="11">
        <f t="shared" si="4"/>
        <v>0</v>
      </c>
      <c r="J78" s="13" cm="1">
        <f t="array" ref="J78">MAX(IF($N$3:$DV$3=$J$3,N78:DV78))</f>
        <v>0</v>
      </c>
      <c r="K78" s="13" cm="1">
        <f t="array" ref="K78">MAX(IF($N$3:$DV$3=$J$3,N78:DV78))</f>
        <v>0</v>
      </c>
      <c r="L78" s="11"/>
      <c r="O78" s="12"/>
      <c r="P78" s="12"/>
      <c r="Q78" s="12"/>
      <c r="R78" s="12"/>
      <c r="V78" s="12"/>
      <c r="W78" s="12"/>
      <c r="X78" s="12"/>
      <c r="Y78" s="12"/>
      <c r="AC78" s="12"/>
      <c r="AD78" s="12">
        <v>0.5</v>
      </c>
      <c r="AE78" s="12"/>
      <c r="AF78" s="12"/>
      <c r="AJ78" s="12"/>
      <c r="AK78" s="12">
        <v>0.5</v>
      </c>
      <c r="AL78" s="12"/>
      <c r="AM78" s="12">
        <v>0.5</v>
      </c>
      <c r="AP78">
        <v>0</v>
      </c>
      <c r="AQ78" s="12"/>
      <c r="AR78" s="12">
        <v>1</v>
      </c>
      <c r="AS78" s="12"/>
      <c r="AT78" s="12">
        <v>1</v>
      </c>
      <c r="AX78" s="12"/>
      <c r="AY78" s="12">
        <v>1</v>
      </c>
      <c r="AZ78" s="12"/>
      <c r="BA78" s="12">
        <v>1</v>
      </c>
      <c r="BE78" s="12"/>
      <c r="BF78" s="12">
        <v>1</v>
      </c>
      <c r="BG78" s="12"/>
      <c r="BH78" s="12">
        <v>1</v>
      </c>
      <c r="BL78" s="12"/>
      <c r="BM78" s="12">
        <v>1</v>
      </c>
      <c r="BN78" s="12"/>
      <c r="BO78" s="12">
        <v>1</v>
      </c>
      <c r="BS78" s="12"/>
      <c r="BT78" s="12">
        <v>1</v>
      </c>
      <c r="BU78" s="12"/>
      <c r="BV78" s="12">
        <v>1</v>
      </c>
      <c r="BZ78" s="12"/>
      <c r="CA78" s="12"/>
      <c r="CB78" s="12"/>
      <c r="CC78" s="12"/>
      <c r="CG78" s="12"/>
      <c r="CH78" s="12"/>
      <c r="CI78" s="12"/>
      <c r="CJ78" s="12"/>
      <c r="CN78" s="12"/>
      <c r="CO78" s="12"/>
      <c r="CP78" s="12"/>
      <c r="CQ78" s="12"/>
      <c r="CU78" s="12"/>
      <c r="CV78" s="12"/>
      <c r="CW78" s="12"/>
      <c r="CX78" s="12"/>
      <c r="DB78" s="12"/>
      <c r="DC78" s="12"/>
      <c r="DD78" s="12"/>
      <c r="DE78" s="12"/>
      <c r="DI78" s="12"/>
      <c r="DJ78" s="12"/>
      <c r="DK78" s="12"/>
      <c r="DL78" s="12"/>
      <c r="DP78" s="12"/>
      <c r="DQ78" s="12"/>
      <c r="DR78" s="12"/>
      <c r="DS78" s="12"/>
      <c r="DW78" s="12"/>
      <c r="DX78" s="12"/>
      <c r="DY78" s="12"/>
      <c r="DZ78" s="12"/>
      <c r="ED78" s="12"/>
      <c r="EE78" s="12"/>
      <c r="EF78" s="12"/>
      <c r="EG78" s="12"/>
    </row>
    <row r="79" spans="2:137" outlineLevel="1" x14ac:dyDescent="0.2">
      <c r="B79" t="s">
        <v>28</v>
      </c>
      <c r="C79" t="s">
        <v>81</v>
      </c>
      <c r="E79" s="11"/>
      <c r="F79" t="s">
        <v>108</v>
      </c>
      <c r="G79" s="12">
        <v>0.1</v>
      </c>
      <c r="I79" s="11">
        <f t="shared" si="4"/>
        <v>0</v>
      </c>
      <c r="J79" s="13" cm="1">
        <f t="array" ref="J79">MAX(IF($N$3:$DV$3=$J$3,N79:DV79))</f>
        <v>0</v>
      </c>
      <c r="K79" s="13" cm="1">
        <f t="array" ref="K79">MAX(IF($N$3:$DV$3=$J$3,N79:DV79))</f>
        <v>0</v>
      </c>
      <c r="L79" s="11"/>
      <c r="O79" s="12"/>
      <c r="P79" s="12"/>
      <c r="Q79" s="12"/>
      <c r="R79" s="12"/>
      <c r="V79" s="12"/>
      <c r="W79" s="12"/>
      <c r="X79" s="12"/>
      <c r="Y79" s="12"/>
      <c r="AC79" s="12"/>
      <c r="AD79" s="12"/>
      <c r="AE79" s="12"/>
      <c r="AF79" s="12"/>
      <c r="AJ79" s="12"/>
      <c r="AK79" s="12">
        <v>0.5</v>
      </c>
      <c r="AL79" s="12"/>
      <c r="AM79" s="12">
        <v>0.5</v>
      </c>
      <c r="AP79">
        <v>0</v>
      </c>
      <c r="AQ79" s="12"/>
      <c r="AR79" s="12">
        <v>1</v>
      </c>
      <c r="AS79" s="12"/>
      <c r="AT79" s="12">
        <v>1</v>
      </c>
      <c r="AX79" s="12"/>
      <c r="AY79" s="12">
        <v>1</v>
      </c>
      <c r="AZ79" s="12"/>
      <c r="BA79" s="12">
        <v>1</v>
      </c>
      <c r="BE79" s="12"/>
      <c r="BF79" s="12">
        <v>1</v>
      </c>
      <c r="BG79" s="12"/>
      <c r="BH79" s="12">
        <v>1</v>
      </c>
      <c r="BL79" s="12"/>
      <c r="BM79" s="12">
        <v>1</v>
      </c>
      <c r="BN79" s="12"/>
      <c r="BO79" s="12">
        <v>1</v>
      </c>
      <c r="BS79" s="12"/>
      <c r="BT79" s="12">
        <v>1</v>
      </c>
      <c r="BU79" s="12"/>
      <c r="BV79" s="12">
        <v>1</v>
      </c>
      <c r="BZ79" s="12"/>
      <c r="CA79" s="12"/>
      <c r="CB79" s="12"/>
      <c r="CC79" s="12"/>
      <c r="CG79" s="12"/>
      <c r="CH79" s="12"/>
      <c r="CI79" s="12"/>
      <c r="CJ79" s="12"/>
      <c r="CN79" s="12"/>
      <c r="CO79" s="12"/>
      <c r="CP79" s="12"/>
      <c r="CQ79" s="12"/>
      <c r="CU79" s="12"/>
      <c r="CV79" s="12"/>
      <c r="CW79" s="12"/>
      <c r="CX79" s="12"/>
      <c r="DB79" s="12"/>
      <c r="DC79" s="12"/>
      <c r="DD79" s="12"/>
      <c r="DE79" s="12"/>
      <c r="DI79" s="12"/>
      <c r="DJ79" s="12"/>
      <c r="DK79" s="12"/>
      <c r="DL79" s="12"/>
      <c r="DP79" s="12"/>
      <c r="DQ79" s="12"/>
      <c r="DR79" s="12"/>
      <c r="DS79" s="12"/>
      <c r="DW79" s="12"/>
      <c r="DX79" s="12"/>
      <c r="DY79" s="12"/>
      <c r="DZ79" s="12"/>
      <c r="ED79" s="12"/>
      <c r="EE79" s="12"/>
      <c r="EF79" s="12"/>
      <c r="EG79" s="12"/>
    </row>
    <row r="80" spans="2:137" ht="17.25" customHeight="1" outlineLevel="1" x14ac:dyDescent="0.2">
      <c r="B80" t="s">
        <v>28</v>
      </c>
      <c r="C80" t="s">
        <v>81</v>
      </c>
      <c r="E80" s="11"/>
      <c r="F80" t="s">
        <v>110</v>
      </c>
      <c r="G80" s="12">
        <v>0.1</v>
      </c>
      <c r="I80" s="11">
        <f t="shared" si="4"/>
        <v>0</v>
      </c>
      <c r="J80" s="13" cm="1">
        <f t="array" ref="J80">MAX(IF($N$3:$DV$3=$J$3,N80:DV80))</f>
        <v>0</v>
      </c>
      <c r="K80" s="13" cm="1">
        <f t="array" ref="K80">MAX(IF($N$3:$DV$3=$J$3,N80:DV80))</f>
        <v>0</v>
      </c>
      <c r="L80" s="11"/>
      <c r="O80" s="12"/>
      <c r="P80" s="12"/>
      <c r="Q80" s="12"/>
      <c r="R80" s="12"/>
      <c r="V80" s="12"/>
      <c r="W80" s="12"/>
      <c r="X80" s="12"/>
      <c r="Y80" s="12"/>
      <c r="AC80" s="12"/>
      <c r="AD80" s="12"/>
      <c r="AE80" s="12"/>
      <c r="AF80" s="12"/>
      <c r="AJ80" s="12"/>
      <c r="AK80" s="12">
        <v>0.5</v>
      </c>
      <c r="AL80" s="12"/>
      <c r="AM80" s="12">
        <v>0.5</v>
      </c>
      <c r="AP80">
        <v>0</v>
      </c>
      <c r="AQ80" s="12"/>
      <c r="AR80" s="12">
        <v>1</v>
      </c>
      <c r="AS80" s="12"/>
      <c r="AT80" s="12">
        <v>1</v>
      </c>
      <c r="AX80" s="12"/>
      <c r="AY80" s="12">
        <v>1</v>
      </c>
      <c r="AZ80" s="12"/>
      <c r="BA80" s="12">
        <v>1</v>
      </c>
      <c r="BE80" s="12"/>
      <c r="BF80" s="12">
        <v>1</v>
      </c>
      <c r="BG80" s="12"/>
      <c r="BH80" s="12">
        <v>1</v>
      </c>
      <c r="BL80" s="12"/>
      <c r="BM80" s="12">
        <v>1</v>
      </c>
      <c r="BN80" s="12"/>
      <c r="BO80" s="12">
        <v>1</v>
      </c>
      <c r="BS80" s="12"/>
      <c r="BT80" s="12">
        <v>1</v>
      </c>
      <c r="BU80" s="12"/>
      <c r="BV80" s="12">
        <v>1</v>
      </c>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c r="DP80" s="12"/>
      <c r="DQ80" s="12"/>
      <c r="DR80" s="12"/>
      <c r="DS80" s="12"/>
      <c r="DW80" s="12"/>
      <c r="DX80" s="12"/>
      <c r="DY80" s="12"/>
      <c r="DZ80" s="12"/>
      <c r="ED80" s="12"/>
      <c r="EE80" s="12"/>
      <c r="EF80" s="12"/>
      <c r="EG80" s="12"/>
    </row>
    <row r="81" spans="2:137" outlineLevel="1" x14ac:dyDescent="0.2">
      <c r="B81" t="s">
        <v>28</v>
      </c>
      <c r="C81" t="s">
        <v>81</v>
      </c>
      <c r="E81" s="11"/>
      <c r="F81" t="s">
        <v>111</v>
      </c>
      <c r="G81" s="12">
        <v>0.1</v>
      </c>
      <c r="I81" s="11">
        <f t="shared" si="4"/>
        <v>0</v>
      </c>
      <c r="J81" s="13" cm="1">
        <f t="array" ref="J81">MAX(IF($N$3:$DV$3=$J$3,N81:DV81))</f>
        <v>0</v>
      </c>
      <c r="K81" s="13" cm="1">
        <f t="array" ref="K81">MAX(IF($N$3:$DV$3=$J$3,N81:DV81))</f>
        <v>0</v>
      </c>
      <c r="L81" s="11"/>
      <c r="O81" s="12"/>
      <c r="P81" s="12"/>
      <c r="Q81" s="12"/>
      <c r="R81" s="12"/>
      <c r="V81" s="12"/>
      <c r="W81" s="12"/>
      <c r="X81" s="12"/>
      <c r="Y81" s="12"/>
      <c r="AC81" s="12"/>
      <c r="AD81" s="12"/>
      <c r="AE81" s="12"/>
      <c r="AF81" s="12"/>
      <c r="AJ81" s="12"/>
      <c r="AK81" s="12">
        <v>0.5</v>
      </c>
      <c r="AL81" s="12"/>
      <c r="AM81" s="12">
        <v>0.5</v>
      </c>
      <c r="AP81">
        <v>0</v>
      </c>
      <c r="AQ81" s="12"/>
      <c r="AR81" s="12">
        <v>1</v>
      </c>
      <c r="AS81" s="12"/>
      <c r="AT81" s="12">
        <v>1</v>
      </c>
      <c r="AX81" s="12"/>
      <c r="AY81" s="12">
        <v>1</v>
      </c>
      <c r="AZ81" s="12"/>
      <c r="BA81" s="12">
        <v>1</v>
      </c>
      <c r="BE81" s="12"/>
      <c r="BF81" s="12">
        <v>1</v>
      </c>
      <c r="BG81" s="12"/>
      <c r="BH81" s="12">
        <v>1</v>
      </c>
      <c r="BL81" s="12"/>
      <c r="BM81" s="12">
        <v>1</v>
      </c>
      <c r="BN81" s="12"/>
      <c r="BO81" s="12">
        <v>1</v>
      </c>
      <c r="BS81" s="12"/>
      <c r="BT81" s="12">
        <v>1</v>
      </c>
      <c r="BU81" s="12"/>
      <c r="BV81" s="12">
        <v>1</v>
      </c>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c r="DP81" s="12"/>
      <c r="DQ81" s="12"/>
      <c r="DR81" s="12"/>
      <c r="DS81" s="12"/>
      <c r="DW81" s="12"/>
      <c r="DX81" s="12"/>
      <c r="DY81" s="12"/>
      <c r="DZ81" s="12"/>
      <c r="ED81" s="12"/>
      <c r="EE81" s="12"/>
      <c r="EF81" s="12"/>
      <c r="EG81" s="12"/>
    </row>
    <row r="82" spans="2:137" outlineLevel="1" x14ac:dyDescent="0.2">
      <c r="B82" t="s">
        <v>28</v>
      </c>
      <c r="C82" t="s">
        <v>81</v>
      </c>
      <c r="E82" s="11"/>
      <c r="F82" t="s">
        <v>112</v>
      </c>
      <c r="G82" s="12">
        <v>0.1</v>
      </c>
      <c r="I82" s="11">
        <f t="shared" si="4"/>
        <v>0</v>
      </c>
      <c r="J82" s="13" cm="1">
        <f t="array" ref="J82">MAX(IF($N$3:$DV$3=$J$3,N82:DV82))</f>
        <v>0</v>
      </c>
      <c r="K82" s="13" cm="1">
        <f t="array" ref="K82">MAX(IF($N$3:$DV$3=$J$3,N82:DV82))</f>
        <v>0</v>
      </c>
      <c r="L82" s="11"/>
      <c r="O82" s="12"/>
      <c r="P82" s="12"/>
      <c r="Q82" s="12"/>
      <c r="R82" s="12"/>
      <c r="V82" s="12"/>
      <c r="W82" s="12"/>
      <c r="X82" s="12"/>
      <c r="Y82" s="12"/>
      <c r="AC82" s="12"/>
      <c r="AD82" s="12"/>
      <c r="AE82" s="12"/>
      <c r="AF82" s="12"/>
      <c r="AJ82" s="12"/>
      <c r="AK82" s="12">
        <v>0.5</v>
      </c>
      <c r="AL82" s="12"/>
      <c r="AM82" s="12">
        <v>0.5</v>
      </c>
      <c r="AP82">
        <v>0</v>
      </c>
      <c r="AQ82" s="12"/>
      <c r="AR82" s="12">
        <v>1</v>
      </c>
      <c r="AS82" s="12"/>
      <c r="AT82" s="12">
        <v>1</v>
      </c>
      <c r="AX82" s="12"/>
      <c r="AY82" s="12">
        <v>1</v>
      </c>
      <c r="AZ82" s="12"/>
      <c r="BA82" s="12">
        <v>1</v>
      </c>
      <c r="BE82" s="12"/>
      <c r="BF82" s="12">
        <v>1</v>
      </c>
      <c r="BG82" s="12"/>
      <c r="BH82" s="12">
        <v>1</v>
      </c>
      <c r="BL82" s="12"/>
      <c r="BM82" s="12">
        <v>1</v>
      </c>
      <c r="BN82" s="12"/>
      <c r="BO82" s="12">
        <v>1</v>
      </c>
      <c r="BS82" s="12"/>
      <c r="BT82" s="12">
        <v>1</v>
      </c>
      <c r="BU82" s="12"/>
      <c r="BV82" s="12">
        <v>1</v>
      </c>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c r="DP82" s="12"/>
      <c r="DQ82" s="12"/>
      <c r="DR82" s="12"/>
      <c r="DS82" s="12"/>
      <c r="DW82" s="12"/>
      <c r="DX82" s="12"/>
      <c r="DY82" s="12"/>
      <c r="DZ82" s="12"/>
      <c r="ED82" s="12"/>
      <c r="EE82" s="12"/>
      <c r="EF82" s="12"/>
      <c r="EG82" s="12"/>
    </row>
    <row r="83" spans="2:137" outlineLevel="1" x14ac:dyDescent="0.2">
      <c r="B83" t="s">
        <v>28</v>
      </c>
      <c r="C83" t="s">
        <v>81</v>
      </c>
      <c r="E83" s="11"/>
      <c r="F83" t="s">
        <v>113</v>
      </c>
      <c r="G83" s="12">
        <v>0.1</v>
      </c>
      <c r="I83" s="11">
        <f t="shared" si="4"/>
        <v>0</v>
      </c>
      <c r="J83" s="13" cm="1">
        <f t="array" ref="J83">MAX(IF($N$3:$DV$3=$J$3,N83:DV83))</f>
        <v>0</v>
      </c>
      <c r="K83" s="13" cm="1">
        <f t="array" ref="K83">MAX(IF($N$3:$DV$3=$J$3,N83:DV83))</f>
        <v>0</v>
      </c>
      <c r="L83" s="11"/>
      <c r="O83" s="12"/>
      <c r="P83" s="12"/>
      <c r="Q83" s="12"/>
      <c r="R83" s="12"/>
      <c r="V83" s="12"/>
      <c r="W83" s="12"/>
      <c r="X83" s="12"/>
      <c r="Y83" s="12"/>
      <c r="AC83" s="12"/>
      <c r="AD83" s="12"/>
      <c r="AE83" s="12"/>
      <c r="AF83" s="12"/>
      <c r="AJ83" s="12"/>
      <c r="AK83" s="12">
        <v>0.5</v>
      </c>
      <c r="AL83" s="12"/>
      <c r="AM83" s="12">
        <v>0.5</v>
      </c>
      <c r="AP83">
        <v>0</v>
      </c>
      <c r="AQ83" s="12"/>
      <c r="AR83" s="12">
        <v>1</v>
      </c>
      <c r="AS83" s="12"/>
      <c r="AT83" s="12">
        <v>1</v>
      </c>
      <c r="AX83" s="12"/>
      <c r="AY83" s="12">
        <v>1</v>
      </c>
      <c r="AZ83" s="12"/>
      <c r="BA83" s="12">
        <v>1</v>
      </c>
      <c r="BE83" s="12"/>
      <c r="BF83" s="12">
        <v>1</v>
      </c>
      <c r="BG83" s="12"/>
      <c r="BH83" s="12">
        <v>1</v>
      </c>
      <c r="BL83" s="12"/>
      <c r="BM83" s="12">
        <v>1</v>
      </c>
      <c r="BN83" s="12"/>
      <c r="BO83" s="12">
        <v>1</v>
      </c>
      <c r="BS83" s="12"/>
      <c r="BT83" s="12">
        <v>1</v>
      </c>
      <c r="BU83" s="12"/>
      <c r="BV83" s="12">
        <v>1</v>
      </c>
      <c r="BZ83" s="12"/>
      <c r="CA83" s="12"/>
      <c r="CB83" s="12"/>
      <c r="CC83" s="12"/>
      <c r="CG83" s="12"/>
      <c r="CH83" s="12"/>
      <c r="CI83" s="12"/>
      <c r="CJ83" s="12"/>
      <c r="CN83" s="12"/>
      <c r="CO83" s="12"/>
      <c r="CP83" s="12"/>
      <c r="CQ83" s="12"/>
      <c r="CU83" s="12"/>
      <c r="CV83" s="12"/>
      <c r="CW83" s="12"/>
      <c r="CX83" s="12"/>
      <c r="DB83" s="12"/>
      <c r="DC83" s="12"/>
      <c r="DD83" s="12"/>
      <c r="DE83" s="12"/>
      <c r="DI83" s="12"/>
      <c r="DJ83" s="12"/>
      <c r="DK83" s="12"/>
      <c r="DL83" s="12"/>
      <c r="DP83" s="12"/>
      <c r="DQ83" s="12"/>
      <c r="DR83" s="12"/>
      <c r="DS83" s="12"/>
      <c r="DW83" s="12"/>
      <c r="DX83" s="12"/>
      <c r="DY83" s="12"/>
      <c r="DZ83" s="12"/>
      <c r="ED83" s="12"/>
      <c r="EE83" s="12"/>
      <c r="EF83" s="12"/>
      <c r="EG83" s="12"/>
    </row>
    <row r="84" spans="2:137" outlineLevel="1" x14ac:dyDescent="0.2">
      <c r="B84" t="s">
        <v>28</v>
      </c>
      <c r="C84" t="s">
        <v>81</v>
      </c>
      <c r="E84" s="11"/>
      <c r="F84" t="s">
        <v>114</v>
      </c>
      <c r="G84" s="12">
        <v>0.1</v>
      </c>
      <c r="I84" s="11">
        <f t="shared" si="4"/>
        <v>0</v>
      </c>
      <c r="J84" s="13" cm="1">
        <f t="array" ref="J84">MAX(IF($N$3:$DV$3=$J$3,N84:DV84))</f>
        <v>0</v>
      </c>
      <c r="K84" s="13" cm="1">
        <f t="array" ref="K84">MAX(IF($N$3:$DV$3=$J$3,N84:DV84))</f>
        <v>0</v>
      </c>
      <c r="L84" s="11"/>
      <c r="O84" s="12"/>
      <c r="P84" s="12"/>
      <c r="Q84" s="12"/>
      <c r="R84" s="12"/>
      <c r="V84" s="12"/>
      <c r="W84" s="12"/>
      <c r="X84" s="12"/>
      <c r="Y84" s="12"/>
      <c r="AC84" s="12"/>
      <c r="AD84" s="12"/>
      <c r="AE84" s="12"/>
      <c r="AF84" s="12"/>
      <c r="AJ84" s="12"/>
      <c r="AK84" s="12">
        <v>0.5</v>
      </c>
      <c r="AL84" s="12"/>
      <c r="AM84" s="12">
        <v>0.5</v>
      </c>
      <c r="AP84">
        <v>0</v>
      </c>
      <c r="AQ84" s="12"/>
      <c r="AR84" s="12">
        <v>1</v>
      </c>
      <c r="AS84" s="12"/>
      <c r="AT84" s="12">
        <v>1</v>
      </c>
      <c r="AX84" s="12"/>
      <c r="AY84" s="12">
        <v>1</v>
      </c>
      <c r="AZ84" s="12"/>
      <c r="BA84" s="12">
        <v>1</v>
      </c>
      <c r="BE84" s="12"/>
      <c r="BF84" s="12">
        <v>1</v>
      </c>
      <c r="BG84" s="12"/>
      <c r="BH84" s="12">
        <v>1</v>
      </c>
      <c r="BL84" s="12"/>
      <c r="BM84" s="12">
        <v>1</v>
      </c>
      <c r="BN84" s="12"/>
      <c r="BO84" s="12">
        <v>1</v>
      </c>
      <c r="BS84" s="12"/>
      <c r="BT84" s="12">
        <v>1</v>
      </c>
      <c r="BU84" s="12"/>
      <c r="BV84" s="12">
        <v>1</v>
      </c>
      <c r="BZ84" s="12"/>
      <c r="CA84" s="12"/>
      <c r="CB84" s="12"/>
      <c r="CC84" s="12"/>
      <c r="CG84" s="12"/>
      <c r="CH84" s="12"/>
      <c r="CI84" s="12"/>
      <c r="CJ84" s="12"/>
      <c r="CN84" s="12"/>
      <c r="CO84" s="12"/>
      <c r="CP84" s="12"/>
      <c r="CQ84" s="12"/>
      <c r="CU84" s="12"/>
      <c r="CV84" s="12"/>
      <c r="CW84" s="12"/>
      <c r="CX84" s="12"/>
      <c r="DB84" s="12"/>
      <c r="DC84" s="12"/>
      <c r="DD84" s="12"/>
      <c r="DE84" s="12"/>
      <c r="DI84" s="12"/>
      <c r="DJ84" s="12"/>
      <c r="DK84" s="12"/>
      <c r="DL84" s="12"/>
      <c r="DP84" s="12"/>
      <c r="DQ84" s="12"/>
      <c r="DR84" s="12"/>
      <c r="DS84" s="12"/>
      <c r="DW84" s="12"/>
      <c r="DX84" s="12"/>
      <c r="DY84" s="12"/>
      <c r="DZ84" s="12"/>
      <c r="ED84" s="12"/>
      <c r="EE84" s="12"/>
      <c r="EF84" s="12"/>
      <c r="EG84" s="12"/>
    </row>
    <row r="85" spans="2:137" outlineLevel="1" x14ac:dyDescent="0.2">
      <c r="B85" t="s">
        <v>28</v>
      </c>
      <c r="C85" t="s">
        <v>81</v>
      </c>
      <c r="E85" s="11"/>
      <c r="F85" t="s">
        <v>115</v>
      </c>
      <c r="G85" s="12">
        <v>0.1</v>
      </c>
      <c r="I85" s="11">
        <f t="shared" si="4"/>
        <v>0</v>
      </c>
      <c r="J85" s="13" cm="1">
        <f t="array" ref="J85">MAX(IF($N$3:$DV$3=$J$3,N85:DV85))</f>
        <v>0</v>
      </c>
      <c r="K85" s="13" cm="1">
        <f t="array" ref="K85">MAX(IF($N$3:$DV$3=$J$3,N85:DV85))</f>
        <v>0</v>
      </c>
      <c r="L85" s="11"/>
      <c r="O85" s="12"/>
      <c r="P85" s="12"/>
      <c r="Q85" s="12"/>
      <c r="R85" s="12"/>
      <c r="V85" s="12"/>
      <c r="W85" s="12"/>
      <c r="X85" s="12"/>
      <c r="Y85" s="12"/>
      <c r="AC85" s="12"/>
      <c r="AD85" s="12"/>
      <c r="AE85" s="12"/>
      <c r="AF85" s="12"/>
      <c r="AJ85" s="12"/>
      <c r="AK85" s="12">
        <v>0.5</v>
      </c>
      <c r="AL85" s="12"/>
      <c r="AM85" s="12">
        <v>0.5</v>
      </c>
      <c r="AP85">
        <v>0</v>
      </c>
      <c r="AQ85" s="12"/>
      <c r="AR85" s="12">
        <v>1</v>
      </c>
      <c r="AS85" s="12"/>
      <c r="AT85" s="12">
        <v>1</v>
      </c>
      <c r="AX85" s="12"/>
      <c r="AY85" s="12">
        <v>1</v>
      </c>
      <c r="AZ85" s="12"/>
      <c r="BA85" s="12">
        <v>1</v>
      </c>
      <c r="BE85" s="12"/>
      <c r="BF85" s="12">
        <v>1</v>
      </c>
      <c r="BG85" s="12"/>
      <c r="BH85" s="12">
        <v>1</v>
      </c>
      <c r="BL85" s="12"/>
      <c r="BM85" s="12">
        <v>1</v>
      </c>
      <c r="BN85" s="12"/>
      <c r="BO85" s="12">
        <v>1</v>
      </c>
      <c r="BS85" s="12"/>
      <c r="BT85" s="12">
        <v>1</v>
      </c>
      <c r="BU85" s="12"/>
      <c r="BV85" s="12">
        <v>1</v>
      </c>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c r="DW85" s="12"/>
      <c r="DX85" s="12"/>
      <c r="DY85" s="12"/>
      <c r="DZ85" s="12"/>
      <c r="ED85" s="12"/>
      <c r="EE85" s="12"/>
      <c r="EF85" s="12"/>
      <c r="EG85" s="12"/>
    </row>
    <row r="86" spans="2:137" outlineLevel="1" x14ac:dyDescent="0.2">
      <c r="B86" t="s">
        <v>28</v>
      </c>
      <c r="C86" t="s">
        <v>81</v>
      </c>
      <c r="E86" s="11"/>
      <c r="F86" t="s">
        <v>116</v>
      </c>
      <c r="G86" s="12">
        <v>0.1</v>
      </c>
      <c r="I86" s="11">
        <f t="shared" si="4"/>
        <v>0</v>
      </c>
      <c r="J86" s="13" cm="1">
        <f t="array" ref="J86">MAX(IF($N$3:$DV$3=$J$3,N86:DV86))</f>
        <v>0</v>
      </c>
      <c r="K86" s="13" cm="1">
        <f t="array" ref="K86">MAX(IF($N$3:$DV$3=$J$3,N86:DV86))</f>
        <v>0</v>
      </c>
      <c r="L86" s="11"/>
      <c r="O86" s="12"/>
      <c r="P86" s="12"/>
      <c r="Q86" s="12"/>
      <c r="R86" s="12"/>
      <c r="V86" s="12"/>
      <c r="W86" s="12"/>
      <c r="X86" s="12"/>
      <c r="Y86" s="12"/>
      <c r="AC86" s="12"/>
      <c r="AD86" s="12"/>
      <c r="AE86" s="12"/>
      <c r="AF86" s="12"/>
      <c r="AJ86" s="12"/>
      <c r="AK86" s="12">
        <v>0.5</v>
      </c>
      <c r="AL86" s="12"/>
      <c r="AM86" s="12">
        <v>0.5</v>
      </c>
      <c r="AP86">
        <v>0</v>
      </c>
      <c r="AQ86" s="12"/>
      <c r="AR86" s="12">
        <v>1</v>
      </c>
      <c r="AS86" s="12"/>
      <c r="AT86" s="12">
        <v>1</v>
      </c>
      <c r="AX86" s="12"/>
      <c r="AY86" s="12">
        <v>1</v>
      </c>
      <c r="AZ86" s="12"/>
      <c r="BA86" s="12">
        <v>1</v>
      </c>
      <c r="BE86" s="12"/>
      <c r="BF86" s="12">
        <v>1</v>
      </c>
      <c r="BG86" s="12"/>
      <c r="BH86" s="12">
        <v>1</v>
      </c>
      <c r="BL86" s="12"/>
      <c r="BM86" s="12">
        <v>1</v>
      </c>
      <c r="BN86" s="12"/>
      <c r="BO86" s="12">
        <v>1</v>
      </c>
      <c r="BS86" s="12"/>
      <c r="BT86" s="12">
        <v>1</v>
      </c>
      <c r="BU86" s="12"/>
      <c r="BV86" s="12">
        <v>1</v>
      </c>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c r="DP86" s="12"/>
      <c r="DQ86" s="12"/>
      <c r="DR86" s="12"/>
      <c r="DS86" s="12"/>
      <c r="DW86" s="12"/>
      <c r="DX86" s="12"/>
      <c r="DY86" s="12"/>
      <c r="DZ86" s="12"/>
      <c r="ED86" s="12"/>
      <c r="EE86" s="12"/>
      <c r="EF86" s="12"/>
      <c r="EG86" s="12"/>
    </row>
    <row r="87" spans="2:137" outlineLevel="1" x14ac:dyDescent="0.2">
      <c r="B87" t="s">
        <v>28</v>
      </c>
      <c r="C87" t="s">
        <v>81</v>
      </c>
      <c r="E87" s="11"/>
      <c r="F87" t="s">
        <v>117</v>
      </c>
      <c r="G87" s="12">
        <v>0.1</v>
      </c>
      <c r="I87" s="11">
        <f t="shared" si="4"/>
        <v>0</v>
      </c>
      <c r="J87" s="13" cm="1">
        <f t="array" ref="J87">MAX(IF($N$3:$DV$3=$J$3,N87:DV87))</f>
        <v>0</v>
      </c>
      <c r="K87" s="13" cm="1">
        <f t="array" ref="K87">MAX(IF($N$3:$DV$3=$J$3,N87:DV87))</f>
        <v>0</v>
      </c>
      <c r="L87" s="11"/>
      <c r="O87" s="12"/>
      <c r="P87" s="12"/>
      <c r="Q87" s="12"/>
      <c r="R87" s="12"/>
      <c r="V87" s="12"/>
      <c r="W87" s="12"/>
      <c r="X87" s="12"/>
      <c r="Y87" s="12"/>
      <c r="AC87" s="12"/>
      <c r="AD87" s="12"/>
      <c r="AE87" s="12"/>
      <c r="AF87" s="12"/>
      <c r="AJ87" s="12"/>
      <c r="AK87" s="12">
        <v>0.5</v>
      </c>
      <c r="AL87" s="12"/>
      <c r="AM87" s="12">
        <v>0.5</v>
      </c>
      <c r="AP87">
        <v>0</v>
      </c>
      <c r="AQ87" s="12"/>
      <c r="AR87" s="12">
        <v>1</v>
      </c>
      <c r="AS87" s="12"/>
      <c r="AT87" s="12">
        <v>1</v>
      </c>
      <c r="AX87" s="12"/>
      <c r="AY87" s="12">
        <v>1</v>
      </c>
      <c r="AZ87" s="12"/>
      <c r="BA87" s="12">
        <v>1</v>
      </c>
      <c r="BE87" s="12"/>
      <c r="BF87" s="12">
        <v>1</v>
      </c>
      <c r="BG87" s="12"/>
      <c r="BH87" s="12">
        <v>1</v>
      </c>
      <c r="BL87" s="12"/>
      <c r="BM87" s="12">
        <v>1</v>
      </c>
      <c r="BN87" s="12"/>
      <c r="BO87" s="12">
        <v>1</v>
      </c>
      <c r="BS87" s="12"/>
      <c r="BT87" s="12">
        <v>1</v>
      </c>
      <c r="BU87" s="12"/>
      <c r="BV87" s="12">
        <v>1</v>
      </c>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c r="DP87" s="12"/>
      <c r="DQ87" s="12"/>
      <c r="DR87" s="12"/>
      <c r="DS87" s="12"/>
      <c r="DW87" s="12"/>
      <c r="DX87" s="12"/>
      <c r="DY87" s="12"/>
      <c r="DZ87" s="12"/>
      <c r="ED87" s="12"/>
      <c r="EE87" s="12"/>
      <c r="EF87" s="12"/>
      <c r="EG87" s="12"/>
    </row>
    <row r="88" spans="2:137" outlineLevel="1" x14ac:dyDescent="0.2">
      <c r="B88" t="s">
        <v>28</v>
      </c>
      <c r="C88" t="s">
        <v>81</v>
      </c>
      <c r="E88" s="11"/>
      <c r="F88" t="s">
        <v>118</v>
      </c>
      <c r="G88" s="12">
        <v>0.1</v>
      </c>
      <c r="I88" s="11">
        <f t="shared" si="4"/>
        <v>0</v>
      </c>
      <c r="J88" s="13" cm="1">
        <f t="array" ref="J88">MAX(IF($N$3:$DV$3=$J$3,N88:DV88))</f>
        <v>0</v>
      </c>
      <c r="K88" s="13" cm="1">
        <f t="array" ref="K88">MAX(IF($N$3:$DV$3=$J$3,N88:DV88))</f>
        <v>0</v>
      </c>
      <c r="L88" s="11"/>
      <c r="O88" s="12"/>
      <c r="P88" s="12"/>
      <c r="Q88" s="12"/>
      <c r="R88" s="12"/>
      <c r="V88" s="12"/>
      <c r="W88" s="12"/>
      <c r="X88" s="12"/>
      <c r="Y88" s="12"/>
      <c r="AC88" s="12"/>
      <c r="AD88" s="12"/>
      <c r="AE88" s="12"/>
      <c r="AF88" s="12"/>
      <c r="AJ88" s="12"/>
      <c r="AK88" s="12">
        <v>0.5</v>
      </c>
      <c r="AL88" s="12"/>
      <c r="AM88" s="12">
        <v>0.5</v>
      </c>
      <c r="AP88">
        <v>0</v>
      </c>
      <c r="AQ88" s="12"/>
      <c r="AR88" s="12">
        <v>1</v>
      </c>
      <c r="AS88" s="12"/>
      <c r="AT88" s="12">
        <v>1</v>
      </c>
      <c r="AX88" s="12"/>
      <c r="AY88" s="12">
        <v>1</v>
      </c>
      <c r="AZ88" s="12"/>
      <c r="BA88" s="12">
        <v>1</v>
      </c>
      <c r="BE88" s="12"/>
      <c r="BF88" s="12">
        <v>1</v>
      </c>
      <c r="BG88" s="12"/>
      <c r="BH88" s="12">
        <v>1</v>
      </c>
      <c r="BL88" s="12"/>
      <c r="BM88" s="12">
        <v>1</v>
      </c>
      <c r="BN88" s="12"/>
      <c r="BO88" s="12">
        <v>1</v>
      </c>
      <c r="BS88" s="12"/>
      <c r="BT88" s="12">
        <v>1</v>
      </c>
      <c r="BU88" s="12"/>
      <c r="BV88" s="12">
        <v>1</v>
      </c>
      <c r="BZ88" s="12"/>
      <c r="CA88" s="12"/>
      <c r="CB88" s="12"/>
      <c r="CC88" s="12"/>
      <c r="CG88" s="12"/>
      <c r="CH88" s="12"/>
      <c r="CI88" s="12"/>
      <c r="CJ88" s="12"/>
      <c r="CN88" s="12"/>
      <c r="CO88" s="12"/>
      <c r="CP88" s="12"/>
      <c r="CQ88" s="12"/>
      <c r="CU88" s="12"/>
      <c r="CV88" s="12"/>
      <c r="CW88" s="12"/>
      <c r="CX88" s="12"/>
      <c r="DB88" s="12"/>
      <c r="DC88" s="12"/>
      <c r="DD88" s="12"/>
      <c r="DE88" s="12"/>
      <c r="DI88" s="12"/>
      <c r="DJ88" s="12"/>
      <c r="DK88" s="12"/>
      <c r="DL88" s="12"/>
      <c r="DP88" s="12"/>
      <c r="DQ88" s="12"/>
      <c r="DR88" s="12"/>
      <c r="DS88" s="12"/>
      <c r="DW88" s="12"/>
      <c r="DX88" s="12"/>
      <c r="DY88" s="12"/>
      <c r="DZ88" s="12"/>
      <c r="ED88" s="12"/>
      <c r="EE88" s="12"/>
      <c r="EF88" s="12"/>
      <c r="EG88" s="12"/>
    </row>
    <row r="89" spans="2:137" outlineLevel="1" x14ac:dyDescent="0.2">
      <c r="B89" t="s">
        <v>28</v>
      </c>
      <c r="C89" t="s">
        <v>81</v>
      </c>
      <c r="E89" s="11"/>
      <c r="F89" t="s">
        <v>119</v>
      </c>
      <c r="G89" s="12">
        <v>0.1</v>
      </c>
      <c r="I89" s="11">
        <f t="shared" si="4"/>
        <v>0</v>
      </c>
      <c r="J89" s="13" cm="1">
        <f t="array" ref="J89">MAX(IF($N$3:$DV$3=$J$3,N89:DV89))</f>
        <v>0</v>
      </c>
      <c r="K89" s="13" cm="1">
        <f t="array" ref="K89">MAX(IF($N$3:$DV$3=$J$3,N89:DV89))</f>
        <v>0</v>
      </c>
      <c r="L89" s="11"/>
      <c r="O89" s="12"/>
      <c r="P89" s="12"/>
      <c r="Q89" s="12"/>
      <c r="R89" s="12"/>
      <c r="V89" s="12"/>
      <c r="W89" s="12"/>
      <c r="X89" s="12"/>
      <c r="Y89" s="12"/>
      <c r="AC89" s="12"/>
      <c r="AD89" s="12"/>
      <c r="AE89" s="12"/>
      <c r="AF89" s="12"/>
      <c r="AJ89" s="12"/>
      <c r="AK89" s="12">
        <v>0.5</v>
      </c>
      <c r="AL89" s="12"/>
      <c r="AM89" s="12">
        <v>0.5</v>
      </c>
      <c r="AP89">
        <v>0</v>
      </c>
      <c r="AQ89" s="12"/>
      <c r="AR89" s="12">
        <v>1</v>
      </c>
      <c r="AS89" s="12"/>
      <c r="AT89" s="12">
        <v>1</v>
      </c>
      <c r="AX89" s="12"/>
      <c r="AY89" s="12">
        <v>1</v>
      </c>
      <c r="AZ89" s="12"/>
      <c r="BA89" s="12">
        <v>1</v>
      </c>
      <c r="BE89" s="12"/>
      <c r="BF89" s="12">
        <v>1</v>
      </c>
      <c r="BG89" s="12"/>
      <c r="BH89" s="12">
        <v>1</v>
      </c>
      <c r="BL89" s="12"/>
      <c r="BM89" s="12">
        <v>1</v>
      </c>
      <c r="BN89" s="12"/>
      <c r="BO89" s="12">
        <v>1</v>
      </c>
      <c r="BS89" s="12"/>
      <c r="BT89" s="12">
        <v>1</v>
      </c>
      <c r="BU89" s="12"/>
      <c r="BV89" s="12">
        <v>1</v>
      </c>
      <c r="BZ89" s="12"/>
      <c r="CA89" s="12"/>
      <c r="CB89" s="12"/>
      <c r="CC89" s="12"/>
      <c r="CG89" s="12"/>
      <c r="CH89" s="12"/>
      <c r="CI89" s="12"/>
      <c r="CJ89" s="12"/>
      <c r="CN89" s="12"/>
      <c r="CO89" s="12"/>
      <c r="CP89" s="12"/>
      <c r="CQ89" s="12"/>
      <c r="CU89" s="12"/>
      <c r="CV89" s="12"/>
      <c r="CW89" s="12"/>
      <c r="CX89" s="12"/>
      <c r="DB89" s="12"/>
      <c r="DC89" s="12"/>
      <c r="DD89" s="12"/>
      <c r="DE89" s="12"/>
      <c r="DI89" s="12"/>
      <c r="DJ89" s="12"/>
      <c r="DK89" s="12"/>
      <c r="DL89" s="12"/>
      <c r="DP89" s="12"/>
      <c r="DQ89" s="12"/>
      <c r="DR89" s="12"/>
      <c r="DS89" s="12"/>
      <c r="DW89" s="12"/>
      <c r="DX89" s="12"/>
      <c r="DY89" s="12"/>
      <c r="DZ89" s="12"/>
      <c r="ED89" s="12"/>
      <c r="EE89" s="12"/>
      <c r="EF89" s="12"/>
      <c r="EG89" s="12"/>
    </row>
    <row r="90" spans="2:137" outlineLevel="1" x14ac:dyDescent="0.2">
      <c r="E90" s="11"/>
      <c r="G90" s="12"/>
      <c r="I90" s="11"/>
      <c r="J90" s="13"/>
      <c r="K90" s="13"/>
      <c r="L90" s="11"/>
      <c r="O90" s="12"/>
      <c r="P90" s="12"/>
      <c r="Q90" s="12"/>
      <c r="R90" s="12"/>
      <c r="V90" s="12"/>
      <c r="W90" s="12"/>
      <c r="X90" s="12"/>
      <c r="Y90" s="12"/>
      <c r="AC90" s="12"/>
      <c r="AD90" s="12"/>
      <c r="AE90" s="12"/>
      <c r="AF90" s="12"/>
      <c r="AJ90" s="12"/>
      <c r="AK90" s="12"/>
      <c r="AL90" s="12"/>
      <c r="AM90" s="12"/>
      <c r="AQ90" s="12"/>
      <c r="AR90" s="12"/>
      <c r="AS90" s="12"/>
      <c r="AT90" s="12"/>
      <c r="AX90" s="12"/>
      <c r="AY90" s="12"/>
      <c r="AZ90" s="12"/>
      <c r="BA90" s="12"/>
      <c r="BE90" s="12"/>
      <c r="BF90" s="12"/>
      <c r="BG90" s="12"/>
      <c r="BH90" s="12"/>
      <c r="BL90" s="12"/>
      <c r="BM90" s="12"/>
      <c r="BN90" s="12"/>
      <c r="BO90" s="12"/>
      <c r="BS90" s="12"/>
      <c r="BT90" s="12"/>
      <c r="BU90" s="12"/>
      <c r="BV90" s="12"/>
      <c r="BZ90" s="12"/>
      <c r="CA90" s="12"/>
      <c r="CB90" s="12"/>
      <c r="CC90" s="12"/>
      <c r="CG90" s="12"/>
      <c r="CH90" s="12"/>
      <c r="CI90" s="12"/>
      <c r="CJ90" s="12"/>
      <c r="CN90" s="12"/>
      <c r="CO90" s="12"/>
      <c r="CP90" s="12"/>
      <c r="CQ90" s="12"/>
      <c r="CU90" s="12"/>
      <c r="CV90" s="12"/>
      <c r="CW90" s="12"/>
      <c r="CX90" s="12"/>
      <c r="DB90" s="12"/>
      <c r="DC90" s="12"/>
      <c r="DD90" s="12"/>
      <c r="DE90" s="12"/>
      <c r="DI90" s="12"/>
      <c r="DJ90" s="12"/>
      <c r="DK90" s="12"/>
      <c r="DL90" s="12"/>
      <c r="DP90" s="12"/>
      <c r="DQ90" s="12"/>
      <c r="DR90" s="12"/>
      <c r="DS90" s="12"/>
      <c r="DW90" s="12"/>
      <c r="DX90" s="12"/>
      <c r="DY90" s="12"/>
      <c r="DZ90" s="12"/>
      <c r="ED90" s="12"/>
      <c r="EE90" s="12"/>
      <c r="EF90" s="12"/>
      <c r="EG90" s="12"/>
    </row>
    <row r="91" spans="2:137" outlineLevel="1" x14ac:dyDescent="0.2">
      <c r="E91" s="11"/>
      <c r="G91" s="12"/>
      <c r="I91" s="11"/>
      <c r="J91" s="13"/>
      <c r="K91" s="13"/>
      <c r="L91" s="11"/>
      <c r="O91" s="12"/>
      <c r="P91" s="12"/>
      <c r="Q91" s="12"/>
      <c r="R91" s="12"/>
      <c r="V91" s="12"/>
      <c r="W91" s="12"/>
      <c r="X91" s="12"/>
      <c r="Y91" s="12"/>
      <c r="AC91" s="12"/>
      <c r="AD91" s="12"/>
      <c r="AE91" s="12"/>
      <c r="AF91" s="12"/>
      <c r="AJ91" s="12"/>
      <c r="AK91" s="12"/>
      <c r="AL91" s="12"/>
      <c r="AM91" s="12"/>
      <c r="AQ91" s="12"/>
      <c r="AR91" s="12"/>
      <c r="AS91" s="12"/>
      <c r="AT91" s="12"/>
      <c r="AX91" s="12"/>
      <c r="AY91" s="12"/>
      <c r="AZ91" s="12"/>
      <c r="BA91" s="12"/>
      <c r="BE91" s="12"/>
      <c r="BF91" s="12"/>
      <c r="BG91" s="12"/>
      <c r="BH91" s="12"/>
      <c r="BL91" s="12"/>
      <c r="BM91" s="12"/>
      <c r="BN91" s="12"/>
      <c r="BO91" s="12"/>
      <c r="BS91" s="12"/>
      <c r="BT91" s="12"/>
      <c r="BU91" s="12"/>
      <c r="BV91" s="12"/>
      <c r="BZ91" s="12"/>
      <c r="CA91" s="12"/>
      <c r="CB91" s="12"/>
      <c r="CC91" s="12"/>
      <c r="CG91" s="12"/>
      <c r="CH91" s="12"/>
      <c r="CI91" s="12"/>
      <c r="CJ91" s="12"/>
      <c r="CN91" s="12"/>
      <c r="CO91" s="12"/>
      <c r="CP91" s="12"/>
      <c r="CQ91" s="12"/>
      <c r="CU91" s="12"/>
      <c r="CV91" s="12"/>
      <c r="CW91" s="12"/>
      <c r="CX91" s="12"/>
      <c r="DB91" s="12"/>
      <c r="DC91" s="12"/>
      <c r="DD91" s="12"/>
      <c r="DE91" s="12"/>
      <c r="DI91" s="12"/>
      <c r="DJ91" s="12"/>
      <c r="DK91" s="12"/>
      <c r="DL91" s="12"/>
      <c r="DP91" s="12"/>
      <c r="DQ91" s="12"/>
      <c r="DR91" s="12"/>
      <c r="DS91" s="12"/>
      <c r="DW91" s="12"/>
      <c r="DX91" s="12"/>
      <c r="DY91" s="12"/>
      <c r="DZ91" s="12"/>
      <c r="ED91" s="12"/>
      <c r="EE91" s="12"/>
      <c r="EF91" s="12"/>
      <c r="EG91" s="12"/>
    </row>
    <row r="92" spans="2:137" outlineLevel="1" x14ac:dyDescent="0.2">
      <c r="E92" s="11"/>
      <c r="G92" s="12"/>
      <c r="I92" s="11"/>
      <c r="J92" s="13"/>
      <c r="K92" s="13"/>
      <c r="L92" s="11"/>
      <c r="O92" s="12"/>
      <c r="P92" s="12"/>
      <c r="Q92" s="12"/>
      <c r="R92" s="12"/>
      <c r="V92" s="12"/>
      <c r="W92" s="12"/>
      <c r="X92" s="12"/>
      <c r="Y92" s="12"/>
      <c r="AC92" s="12"/>
      <c r="AD92" s="12"/>
      <c r="AE92" s="12"/>
      <c r="AF92" s="12"/>
      <c r="AJ92" s="12"/>
      <c r="AK92" s="12"/>
      <c r="AL92" s="12"/>
      <c r="AM92" s="12"/>
      <c r="AQ92" s="12"/>
      <c r="AR92" s="12"/>
      <c r="AS92" s="12"/>
      <c r="AT92" s="12"/>
      <c r="AX92" s="12"/>
      <c r="AY92" s="12"/>
      <c r="AZ92" s="12"/>
      <c r="BA92" s="12"/>
      <c r="BE92" s="12"/>
      <c r="BF92" s="12"/>
      <c r="BG92" s="12"/>
      <c r="BH92" s="12"/>
      <c r="BL92" s="12"/>
      <c r="BM92" s="12"/>
      <c r="BN92" s="12"/>
      <c r="BO92" s="12"/>
      <c r="BS92" s="12"/>
      <c r="BT92" s="12"/>
      <c r="BU92" s="12"/>
      <c r="BV92" s="12"/>
      <c r="BZ92" s="12"/>
      <c r="CA92" s="12"/>
      <c r="CB92" s="12"/>
      <c r="CC92" s="12"/>
      <c r="CG92" s="12"/>
      <c r="CH92" s="12"/>
      <c r="CI92" s="12"/>
      <c r="CJ92" s="12"/>
      <c r="CN92" s="12"/>
      <c r="CO92" s="12"/>
      <c r="CP92" s="12"/>
      <c r="CQ92" s="12"/>
      <c r="CU92" s="12"/>
      <c r="CV92" s="12"/>
      <c r="CW92" s="12"/>
      <c r="CX92" s="12"/>
      <c r="DB92" s="12"/>
      <c r="DC92" s="12"/>
      <c r="DD92" s="12"/>
      <c r="DE92" s="12"/>
      <c r="DI92" s="12"/>
      <c r="DJ92" s="12"/>
      <c r="DK92" s="12"/>
      <c r="DL92" s="12"/>
      <c r="DP92" s="12"/>
      <c r="DQ92" s="12"/>
      <c r="DR92" s="12"/>
      <c r="DS92" s="12"/>
      <c r="DW92" s="12"/>
      <c r="DX92" s="12"/>
      <c r="DY92" s="12"/>
      <c r="DZ92" s="12"/>
      <c r="ED92" s="12"/>
      <c r="EE92" s="12"/>
      <c r="EF92" s="12"/>
      <c r="EG92" s="12"/>
    </row>
    <row r="93" spans="2:137" outlineLevel="1" x14ac:dyDescent="0.2">
      <c r="B93" t="s">
        <v>132</v>
      </c>
      <c r="D93" s="24">
        <f>DATE(2022,6,5)</f>
        <v>44717</v>
      </c>
      <c r="E93" s="11"/>
      <c r="G93" s="12"/>
      <c r="I93" s="11"/>
      <c r="J93" s="13"/>
      <c r="K93" s="13"/>
      <c r="L93" s="11"/>
      <c r="O93" s="12"/>
      <c r="P93" s="12"/>
      <c r="Q93" s="12"/>
      <c r="R93" s="12"/>
      <c r="V93" s="12"/>
      <c r="W93" s="12"/>
      <c r="X93" s="12"/>
      <c r="Y93" s="12"/>
      <c r="AC93" s="12"/>
      <c r="AD93" s="12"/>
      <c r="AE93" s="12"/>
      <c r="AF93" s="12"/>
      <c r="AJ93" s="12"/>
      <c r="AK93" s="12"/>
      <c r="AL93" s="12"/>
      <c r="AM93" s="12"/>
      <c r="AQ93" s="12"/>
      <c r="AR93" s="12"/>
      <c r="AS93" s="12"/>
      <c r="AT93" s="12"/>
      <c r="AX93" s="12"/>
      <c r="AY93" s="12"/>
      <c r="AZ93" s="12"/>
      <c r="BA93" s="12"/>
      <c r="BE93" s="12"/>
      <c r="BF93" s="12"/>
      <c r="BG93" s="12"/>
      <c r="BH93" s="12"/>
      <c r="BL93" s="12"/>
      <c r="BM93" s="12"/>
      <c r="BN93" s="12"/>
      <c r="BO93" s="12"/>
      <c r="BS93" s="12"/>
      <c r="BT93" s="12"/>
      <c r="BU93" s="12"/>
      <c r="BV93" s="12"/>
      <c r="BZ93" s="12"/>
      <c r="CA93" s="12"/>
      <c r="CB93" s="12"/>
      <c r="CC93" s="12"/>
      <c r="CG93" s="12"/>
      <c r="CH93" s="12"/>
      <c r="CI93" s="12"/>
      <c r="CJ93" s="12"/>
      <c r="CN93" s="12"/>
      <c r="CO93" s="12"/>
      <c r="CP93" s="12"/>
      <c r="CQ93" s="12"/>
      <c r="CU93" s="12"/>
      <c r="CV93" s="12"/>
      <c r="CW93" s="12"/>
      <c r="CX93" s="12"/>
      <c r="DB93" s="12"/>
      <c r="DC93" s="12"/>
      <c r="DD93" s="12"/>
      <c r="DE93" s="12"/>
      <c r="DI93" s="12"/>
      <c r="DJ93" s="12"/>
      <c r="DK93" s="12"/>
      <c r="DL93" s="12"/>
      <c r="DP93" s="12"/>
      <c r="DQ93" s="12"/>
      <c r="DR93" s="12"/>
      <c r="DS93" s="12"/>
      <c r="DW93" s="12"/>
      <c r="DX93" s="12"/>
      <c r="DY93" s="12"/>
      <c r="DZ93" s="12"/>
      <c r="ED93" s="12"/>
      <c r="EE93" s="12"/>
      <c r="EF93" s="12"/>
      <c r="EG93" s="12"/>
    </row>
    <row r="95" spans="2:137" ht="12.75" customHeight="1" outlineLevel="1" x14ac:dyDescent="0.2">
      <c r="B95" t="s">
        <v>28</v>
      </c>
      <c r="C95" t="s">
        <v>133</v>
      </c>
      <c r="E95" s="11"/>
      <c r="F95" t="s">
        <v>134</v>
      </c>
      <c r="G95" s="12">
        <v>0.1</v>
      </c>
      <c r="I95" s="11">
        <f t="shared" ref="I95:I106" si="5">+SUMIF($N$3:$WV$3,I$3,$N95:$WV95)</f>
        <v>0</v>
      </c>
      <c r="J95" s="13" cm="1">
        <f t="array" ref="J95">MAX(IF($N$3:$DV$3=$J$3,N95:DV95))</f>
        <v>0</v>
      </c>
      <c r="K95" s="13" cm="1">
        <f t="array" ref="K95">MAX(IF($N$3:$DV$3=$J$3,N95:DV95))</f>
        <v>0</v>
      </c>
      <c r="L95" s="11"/>
      <c r="N95">
        <v>0</v>
      </c>
      <c r="O95" s="12"/>
      <c r="P95" s="12">
        <v>0.8</v>
      </c>
      <c r="Q95" s="12"/>
      <c r="R95" s="12"/>
      <c r="U95">
        <v>0</v>
      </c>
      <c r="V95" s="12"/>
      <c r="W95" s="12">
        <v>0.8</v>
      </c>
      <c r="X95" s="12"/>
      <c r="Y95" s="12">
        <v>0.8</v>
      </c>
      <c r="AC95" s="12"/>
      <c r="AD95" s="12">
        <v>1</v>
      </c>
      <c r="AE95" s="12"/>
      <c r="AF95" s="12">
        <v>1</v>
      </c>
      <c r="AJ95" s="12"/>
      <c r="AK95" s="12">
        <v>1</v>
      </c>
      <c r="AL95" s="12"/>
      <c r="AM95" s="12">
        <v>1</v>
      </c>
      <c r="AP95">
        <v>0</v>
      </c>
      <c r="AQ95" s="12"/>
      <c r="AR95" s="12">
        <v>1</v>
      </c>
      <c r="AS95" s="12"/>
      <c r="AT95" s="12">
        <v>1</v>
      </c>
      <c r="AX95" s="12"/>
      <c r="AY95" s="12">
        <v>1</v>
      </c>
      <c r="AZ95" s="12"/>
      <c r="BA95" s="12">
        <v>1</v>
      </c>
      <c r="BE95" s="12"/>
      <c r="BF95" s="12">
        <v>1</v>
      </c>
      <c r="BG95" s="12"/>
      <c r="BH95" s="12">
        <v>1</v>
      </c>
      <c r="BL95" s="12"/>
      <c r="BM95" s="12">
        <v>1</v>
      </c>
      <c r="BN95" s="12"/>
      <c r="BO95" s="12">
        <v>1</v>
      </c>
      <c r="BS95" s="12"/>
      <c r="BT95" s="12">
        <v>1</v>
      </c>
      <c r="BU95" s="12"/>
      <c r="BV95" s="12">
        <v>1</v>
      </c>
      <c r="BZ95" s="12"/>
      <c r="CA95" s="12"/>
      <c r="CB95" s="12"/>
      <c r="CC95" s="12"/>
      <c r="CG95" s="12"/>
      <c r="CH95" s="12"/>
      <c r="CI95" s="12"/>
      <c r="CJ95" s="12"/>
      <c r="CN95" s="12"/>
      <c r="CO95" s="12"/>
      <c r="CP95" s="12"/>
      <c r="CQ95" s="12"/>
      <c r="CU95" s="12"/>
      <c r="CV95" s="12"/>
      <c r="CW95" s="12"/>
      <c r="CX95" s="12"/>
      <c r="DB95" s="12"/>
      <c r="DC95" s="12"/>
      <c r="DD95" s="12"/>
      <c r="DE95" s="12"/>
      <c r="DI95" s="12"/>
      <c r="DJ95" s="12"/>
      <c r="DK95" s="12"/>
      <c r="DL95" s="12"/>
      <c r="DP95" s="12"/>
      <c r="DQ95" s="12"/>
      <c r="DR95" s="12"/>
      <c r="DS95" s="12"/>
      <c r="DW95" s="12"/>
      <c r="DX95" s="12"/>
      <c r="DY95" s="12"/>
      <c r="DZ95" s="12"/>
      <c r="ED95" s="12"/>
      <c r="EE95" s="12"/>
      <c r="EF95" s="12"/>
      <c r="EG95" s="12"/>
    </row>
    <row r="96" spans="2:137" outlineLevel="1" x14ac:dyDescent="0.2">
      <c r="B96" t="s">
        <v>28</v>
      </c>
      <c r="C96" t="s">
        <v>133</v>
      </c>
      <c r="E96" s="11"/>
      <c r="F96" t="s">
        <v>135</v>
      </c>
      <c r="G96" s="12">
        <v>0.05</v>
      </c>
      <c r="I96" s="11">
        <f t="shared" si="5"/>
        <v>0</v>
      </c>
      <c r="J96" s="13" cm="1">
        <f t="array" ref="J96">MAX(IF($N$3:$DV$3=$J$3,N96:DV96))</f>
        <v>0</v>
      </c>
      <c r="K96" s="13" cm="1">
        <f t="array" ref="K96">MAX(IF($N$3:$DV$3=$J$3,N96:DV96))</f>
        <v>0</v>
      </c>
      <c r="L96" s="11"/>
      <c r="N96">
        <v>0</v>
      </c>
      <c r="O96" s="12"/>
      <c r="P96" s="12">
        <v>0.5</v>
      </c>
      <c r="Q96" s="12"/>
      <c r="R96" s="12"/>
      <c r="V96" s="12"/>
      <c r="W96" s="12">
        <v>0.8</v>
      </c>
      <c r="X96" s="12"/>
      <c r="Y96" s="12">
        <v>0.8</v>
      </c>
      <c r="AC96" s="12"/>
      <c r="AD96" s="12">
        <v>1</v>
      </c>
      <c r="AE96" s="12"/>
      <c r="AF96" s="12">
        <v>1</v>
      </c>
      <c r="AJ96" s="12"/>
      <c r="AK96" s="12">
        <v>1</v>
      </c>
      <c r="AL96" s="12"/>
      <c r="AM96" s="12">
        <v>1</v>
      </c>
      <c r="AP96">
        <v>0</v>
      </c>
      <c r="AQ96" s="12"/>
      <c r="AR96" s="12">
        <v>1</v>
      </c>
      <c r="AS96" s="12"/>
      <c r="AT96" s="12">
        <v>1</v>
      </c>
      <c r="AX96" s="12"/>
      <c r="AY96" s="12">
        <v>1</v>
      </c>
      <c r="AZ96" s="12"/>
      <c r="BA96" s="12">
        <v>1</v>
      </c>
      <c r="BE96" s="12"/>
      <c r="BF96" s="12">
        <v>1</v>
      </c>
      <c r="BG96" s="12"/>
      <c r="BH96" s="12">
        <v>1</v>
      </c>
      <c r="BL96" s="12"/>
      <c r="BM96" s="12">
        <v>1</v>
      </c>
      <c r="BN96" s="12"/>
      <c r="BO96" s="12">
        <v>1</v>
      </c>
      <c r="BS96" s="12"/>
      <c r="BT96" s="12">
        <v>1</v>
      </c>
      <c r="BU96" s="12"/>
      <c r="BV96" s="12">
        <v>1</v>
      </c>
      <c r="BZ96" s="12"/>
      <c r="CA96" s="12"/>
      <c r="CB96" s="12"/>
      <c r="CC96" s="12"/>
      <c r="CG96" s="12"/>
      <c r="CH96" s="12"/>
      <c r="CI96" s="12"/>
      <c r="CJ96" s="12"/>
      <c r="CN96" s="12"/>
      <c r="CO96" s="12"/>
      <c r="CP96" s="12"/>
      <c r="CQ96" s="12"/>
      <c r="CU96" s="12"/>
      <c r="CV96" s="12"/>
      <c r="CW96" s="12"/>
      <c r="CX96" s="12"/>
      <c r="DB96" s="12"/>
      <c r="DC96" s="12"/>
      <c r="DD96" s="12"/>
      <c r="DE96" s="12"/>
      <c r="DI96" s="12"/>
      <c r="DJ96" s="12"/>
      <c r="DK96" s="12"/>
      <c r="DL96" s="12"/>
      <c r="DP96" s="12"/>
      <c r="DQ96" s="12"/>
      <c r="DR96" s="12"/>
      <c r="DS96" s="12"/>
      <c r="DW96" s="12"/>
      <c r="DX96" s="12"/>
      <c r="DY96" s="12"/>
      <c r="DZ96" s="12"/>
      <c r="ED96" s="12"/>
      <c r="EE96" s="12"/>
      <c r="EF96" s="12"/>
      <c r="EG96" s="12"/>
    </row>
    <row r="97" spans="2:137" outlineLevel="1" x14ac:dyDescent="0.2">
      <c r="B97" t="s">
        <v>28</v>
      </c>
      <c r="C97" t="s">
        <v>133</v>
      </c>
      <c r="E97" s="11"/>
      <c r="F97" t="s">
        <v>136</v>
      </c>
      <c r="G97" s="12">
        <v>0.05</v>
      </c>
      <c r="I97" s="11">
        <f t="shared" si="5"/>
        <v>0</v>
      </c>
      <c r="J97" s="13" cm="1">
        <f t="array" ref="J97">MAX(IF($N$3:$DV$3=$J$3,N97:DV97))</f>
        <v>0</v>
      </c>
      <c r="K97" s="13" cm="1">
        <f t="array" ref="K97">MAX(IF($N$3:$DV$3=$J$3,N97:DV97))</f>
        <v>0</v>
      </c>
      <c r="L97" s="11"/>
      <c r="N97">
        <v>0</v>
      </c>
      <c r="O97" s="12"/>
      <c r="P97" s="12">
        <v>0.3</v>
      </c>
      <c r="Q97" s="12"/>
      <c r="R97" s="12"/>
      <c r="V97" s="12"/>
      <c r="W97" s="12">
        <v>0.5</v>
      </c>
      <c r="X97" s="12"/>
      <c r="Y97" s="12">
        <v>0.5</v>
      </c>
      <c r="AC97" s="12"/>
      <c r="AD97" s="12">
        <v>0.8</v>
      </c>
      <c r="AE97" s="12"/>
      <c r="AF97" s="12">
        <v>0.8</v>
      </c>
      <c r="AJ97" s="12"/>
      <c r="AK97" s="12">
        <v>1</v>
      </c>
      <c r="AL97" s="12"/>
      <c r="AM97" s="12">
        <v>1</v>
      </c>
      <c r="AP97">
        <v>0</v>
      </c>
      <c r="AQ97" s="12"/>
      <c r="AR97" s="12">
        <v>1</v>
      </c>
      <c r="AS97" s="12"/>
      <c r="AT97" s="12">
        <v>1</v>
      </c>
      <c r="AX97" s="12"/>
      <c r="AY97" s="12">
        <v>1</v>
      </c>
      <c r="AZ97" s="12"/>
      <c r="BA97" s="12">
        <v>1</v>
      </c>
      <c r="BE97" s="12"/>
      <c r="BF97" s="12">
        <v>1</v>
      </c>
      <c r="BG97" s="12"/>
      <c r="BH97" s="12">
        <v>1</v>
      </c>
      <c r="BL97" s="12"/>
      <c r="BM97" s="12">
        <v>1</v>
      </c>
      <c r="BN97" s="12"/>
      <c r="BO97" s="12">
        <v>1</v>
      </c>
      <c r="BS97" s="12"/>
      <c r="BT97" s="12">
        <v>1</v>
      </c>
      <c r="BU97" s="12"/>
      <c r="BV97" s="12">
        <v>1</v>
      </c>
      <c r="BZ97" s="12"/>
      <c r="CA97" s="12"/>
      <c r="CB97" s="12"/>
      <c r="CC97" s="12"/>
      <c r="CG97" s="12"/>
      <c r="CH97" s="12"/>
      <c r="CI97" s="12"/>
      <c r="CJ97" s="12"/>
      <c r="CN97" s="12"/>
      <c r="CO97" s="12"/>
      <c r="CP97" s="12"/>
      <c r="CQ97" s="12"/>
      <c r="CU97" s="12"/>
      <c r="CV97" s="12"/>
      <c r="CW97" s="12"/>
      <c r="CX97" s="12"/>
      <c r="DB97" s="12"/>
      <c r="DC97" s="12"/>
      <c r="DD97" s="12"/>
      <c r="DE97" s="12"/>
      <c r="DI97" s="12"/>
      <c r="DJ97" s="12"/>
      <c r="DK97" s="12"/>
      <c r="DL97" s="12"/>
      <c r="DP97" s="12"/>
      <c r="DQ97" s="12"/>
      <c r="DR97" s="12"/>
      <c r="DS97" s="12"/>
      <c r="DW97" s="12"/>
      <c r="DX97" s="12"/>
      <c r="DY97" s="12"/>
      <c r="DZ97" s="12"/>
      <c r="ED97" s="12"/>
      <c r="EE97" s="12"/>
      <c r="EF97" s="12"/>
      <c r="EG97" s="12"/>
    </row>
    <row r="98" spans="2:137" outlineLevel="1" x14ac:dyDescent="0.2">
      <c r="B98" t="s">
        <v>28</v>
      </c>
      <c r="C98" t="s">
        <v>133</v>
      </c>
      <c r="E98" s="11"/>
      <c r="F98" t="s">
        <v>137</v>
      </c>
      <c r="G98" s="12">
        <v>0.05</v>
      </c>
      <c r="I98" s="11">
        <f t="shared" si="5"/>
        <v>0</v>
      </c>
      <c r="J98" s="13" cm="1">
        <f t="array" ref="J98">MAX(IF($N$3:$DV$3=$J$3,N98:DV98))</f>
        <v>0</v>
      </c>
      <c r="K98" s="13" cm="1">
        <f t="array" ref="K98">MAX(IF($N$3:$DV$3=$J$3,N98:DV98))</f>
        <v>0</v>
      </c>
      <c r="L98" s="11"/>
      <c r="N98">
        <v>0</v>
      </c>
      <c r="O98" s="12"/>
      <c r="P98" s="12">
        <v>0.3</v>
      </c>
      <c r="Q98" s="12"/>
      <c r="R98" s="12"/>
      <c r="V98" s="12"/>
      <c r="W98" s="12">
        <v>0.5</v>
      </c>
      <c r="X98" s="12"/>
      <c r="Y98" s="12">
        <v>0.5</v>
      </c>
      <c r="AC98" s="12"/>
      <c r="AD98" s="12">
        <v>0.8</v>
      </c>
      <c r="AE98" s="12"/>
      <c r="AF98" s="12">
        <v>0.8</v>
      </c>
      <c r="AJ98" s="12"/>
      <c r="AK98" s="12">
        <v>1</v>
      </c>
      <c r="AL98" s="12"/>
      <c r="AM98" s="12">
        <v>1</v>
      </c>
      <c r="AP98">
        <v>0</v>
      </c>
      <c r="AQ98" s="12"/>
      <c r="AR98" s="12">
        <v>1</v>
      </c>
      <c r="AS98" s="12"/>
      <c r="AT98" s="12">
        <v>1</v>
      </c>
      <c r="AX98" s="12"/>
      <c r="AY98" s="12">
        <v>1</v>
      </c>
      <c r="AZ98" s="12"/>
      <c r="BA98" s="12">
        <v>1</v>
      </c>
      <c r="BE98" s="12"/>
      <c r="BF98" s="12">
        <v>1</v>
      </c>
      <c r="BG98" s="12"/>
      <c r="BH98" s="12">
        <v>1</v>
      </c>
      <c r="BL98" s="12"/>
      <c r="BM98" s="12">
        <v>1</v>
      </c>
      <c r="BN98" s="12"/>
      <c r="BO98" s="12">
        <v>1</v>
      </c>
      <c r="BS98" s="12"/>
      <c r="BT98" s="12">
        <v>1</v>
      </c>
      <c r="BU98" s="12"/>
      <c r="BV98" s="12">
        <v>1</v>
      </c>
      <c r="BZ98" s="12"/>
      <c r="CA98" s="12"/>
      <c r="CB98" s="12"/>
      <c r="CC98" s="12"/>
      <c r="CG98" s="12"/>
      <c r="CH98" s="12"/>
      <c r="CI98" s="12"/>
      <c r="CJ98" s="12"/>
      <c r="CN98" s="12"/>
      <c r="CO98" s="12"/>
      <c r="CP98" s="12"/>
      <c r="CQ98" s="12"/>
      <c r="CU98" s="12"/>
      <c r="CV98" s="12"/>
      <c r="CW98" s="12"/>
      <c r="CX98" s="12"/>
      <c r="DB98" s="12"/>
      <c r="DC98" s="12"/>
      <c r="DD98" s="12"/>
      <c r="DE98" s="12"/>
      <c r="DI98" s="12"/>
      <c r="DJ98" s="12"/>
      <c r="DK98" s="12"/>
      <c r="DL98" s="12"/>
      <c r="DP98" s="12"/>
      <c r="DQ98" s="12"/>
      <c r="DR98" s="12"/>
      <c r="DS98" s="12"/>
      <c r="DW98" s="12"/>
      <c r="DX98" s="12"/>
      <c r="DY98" s="12"/>
      <c r="DZ98" s="12"/>
      <c r="ED98" s="12"/>
      <c r="EE98" s="12"/>
      <c r="EF98" s="12"/>
      <c r="EG98" s="12"/>
    </row>
    <row r="99" spans="2:137" outlineLevel="1" x14ac:dyDescent="0.2">
      <c r="B99" t="s">
        <v>28</v>
      </c>
      <c r="C99" t="s">
        <v>133</v>
      </c>
      <c r="E99" s="11"/>
      <c r="F99" t="s">
        <v>138</v>
      </c>
      <c r="G99" s="12">
        <v>0.05</v>
      </c>
      <c r="I99" s="11">
        <f t="shared" si="5"/>
        <v>0</v>
      </c>
      <c r="J99" s="13" cm="1">
        <f t="array" ref="J99">MAX(IF($N$3:$DV$3=$J$3,N99:DV99))</f>
        <v>0</v>
      </c>
      <c r="K99" s="13" cm="1">
        <f t="array" ref="K99">MAX(IF($N$3:$DV$3=$J$3,N99:DV99))</f>
        <v>0</v>
      </c>
      <c r="L99" s="11"/>
      <c r="N99">
        <v>0</v>
      </c>
      <c r="O99" s="12"/>
      <c r="P99" s="12">
        <v>0.3</v>
      </c>
      <c r="Q99" s="12"/>
      <c r="R99" s="12"/>
      <c r="V99" s="12"/>
      <c r="W99" s="12">
        <v>0.5</v>
      </c>
      <c r="X99" s="12"/>
      <c r="Y99" s="12">
        <v>0.5</v>
      </c>
      <c r="AC99" s="12"/>
      <c r="AD99" s="12">
        <v>0.8</v>
      </c>
      <c r="AE99" s="12"/>
      <c r="AF99" s="12">
        <v>0.8</v>
      </c>
      <c r="AJ99" s="12"/>
      <c r="AK99" s="12">
        <v>1</v>
      </c>
      <c r="AL99" s="12"/>
      <c r="AM99" s="12">
        <v>1</v>
      </c>
      <c r="AP99">
        <v>0</v>
      </c>
      <c r="AQ99" s="12"/>
      <c r="AR99" s="12">
        <v>1</v>
      </c>
      <c r="AS99" s="12"/>
      <c r="AT99" s="12">
        <v>1</v>
      </c>
      <c r="AX99" s="12"/>
      <c r="AY99" s="12">
        <v>1</v>
      </c>
      <c r="AZ99" s="12"/>
      <c r="BA99" s="12">
        <v>1</v>
      </c>
      <c r="BE99" s="12"/>
      <c r="BF99" s="12">
        <v>1</v>
      </c>
      <c r="BG99" s="12"/>
      <c r="BH99" s="12">
        <v>1</v>
      </c>
      <c r="BL99" s="12"/>
      <c r="BM99" s="12">
        <v>1</v>
      </c>
      <c r="BN99" s="12"/>
      <c r="BO99" s="12">
        <v>1</v>
      </c>
      <c r="BS99" s="12"/>
      <c r="BT99" s="12">
        <v>1</v>
      </c>
      <c r="BU99" s="12"/>
      <c r="BV99" s="12">
        <v>1</v>
      </c>
      <c r="BZ99" s="12"/>
      <c r="CA99" s="12"/>
      <c r="CB99" s="12"/>
      <c r="CC99" s="12"/>
      <c r="CG99" s="12"/>
      <c r="CH99" s="12"/>
      <c r="CI99" s="12"/>
      <c r="CJ99" s="12"/>
      <c r="CN99" s="12"/>
      <c r="CO99" s="12"/>
      <c r="CP99" s="12"/>
      <c r="CQ99" s="12"/>
      <c r="CU99" s="12"/>
      <c r="CV99" s="12"/>
      <c r="CW99" s="12"/>
      <c r="CX99" s="12"/>
      <c r="DB99" s="12"/>
      <c r="DC99" s="12"/>
      <c r="DD99" s="12"/>
      <c r="DE99" s="12"/>
      <c r="DI99" s="12"/>
      <c r="DJ99" s="12"/>
      <c r="DK99" s="12"/>
      <c r="DL99" s="12"/>
      <c r="DP99" s="12"/>
      <c r="DQ99" s="12"/>
      <c r="DR99" s="12"/>
      <c r="DS99" s="12"/>
      <c r="DW99" s="12"/>
      <c r="DX99" s="12"/>
      <c r="DY99" s="12"/>
      <c r="DZ99" s="12"/>
      <c r="ED99" s="12"/>
      <c r="EE99" s="12"/>
      <c r="EF99" s="12"/>
      <c r="EG99" s="12"/>
    </row>
    <row r="100" spans="2:137" outlineLevel="1" x14ac:dyDescent="0.2">
      <c r="B100" t="s">
        <v>28</v>
      </c>
      <c r="C100" t="s">
        <v>133</v>
      </c>
      <c r="E100" s="11"/>
      <c r="F100" t="s">
        <v>139</v>
      </c>
      <c r="G100" s="12">
        <v>0.1</v>
      </c>
      <c r="I100" s="11">
        <f t="shared" si="5"/>
        <v>0</v>
      </c>
      <c r="J100" s="13" cm="1">
        <f t="array" ref="J100">MAX(IF($N$3:$DV$3=$J$3,N100:DV100))</f>
        <v>0</v>
      </c>
      <c r="K100" s="13" cm="1">
        <f t="array" ref="K100">MAX(IF($N$3:$DV$3=$J$3,N100:DV100))</f>
        <v>0</v>
      </c>
      <c r="L100" s="11"/>
      <c r="O100" s="12"/>
      <c r="P100" s="12"/>
      <c r="Q100" s="12"/>
      <c r="R100" s="12"/>
      <c r="V100" s="12"/>
      <c r="W100" s="12">
        <v>0.3</v>
      </c>
      <c r="X100" s="12"/>
      <c r="Y100" s="12">
        <v>0.3</v>
      </c>
      <c r="AC100" s="12"/>
      <c r="AD100" s="12">
        <v>0.5</v>
      </c>
      <c r="AE100" s="12"/>
      <c r="AF100" s="12">
        <v>0.5</v>
      </c>
      <c r="AJ100" s="12"/>
      <c r="AK100" s="12">
        <v>0.8</v>
      </c>
      <c r="AL100" s="12"/>
      <c r="AM100" s="12">
        <v>0.8</v>
      </c>
      <c r="AP100">
        <v>0</v>
      </c>
      <c r="AQ100" s="12"/>
      <c r="AR100" s="12">
        <v>1</v>
      </c>
      <c r="AS100" s="12"/>
      <c r="AT100" s="12">
        <v>1</v>
      </c>
      <c r="AX100" s="12"/>
      <c r="AY100" s="12">
        <v>1</v>
      </c>
      <c r="AZ100" s="12"/>
      <c r="BA100" s="12">
        <v>1</v>
      </c>
      <c r="BE100" s="12"/>
      <c r="BF100" s="12">
        <v>1</v>
      </c>
      <c r="BG100" s="12"/>
      <c r="BH100" s="12">
        <v>1</v>
      </c>
      <c r="BL100" s="12"/>
      <c r="BM100" s="12">
        <v>1</v>
      </c>
      <c r="BN100" s="12"/>
      <c r="BO100" s="12">
        <v>1</v>
      </c>
      <c r="BS100" s="12"/>
      <c r="BT100" s="12">
        <v>1</v>
      </c>
      <c r="BU100" s="12"/>
      <c r="BV100" s="12">
        <v>1</v>
      </c>
      <c r="BZ100" s="12"/>
      <c r="CA100" s="12"/>
      <c r="CB100" s="12"/>
      <c r="CC100" s="12"/>
      <c r="CG100" s="12"/>
      <c r="CH100" s="12"/>
      <c r="CI100" s="12"/>
      <c r="CJ100" s="12"/>
      <c r="CN100" s="12"/>
      <c r="CO100" s="12"/>
      <c r="CP100" s="12"/>
      <c r="CQ100" s="12"/>
      <c r="CU100" s="12"/>
      <c r="CV100" s="12"/>
      <c r="CW100" s="12"/>
      <c r="CX100" s="12"/>
      <c r="DB100" s="12"/>
      <c r="DC100" s="12"/>
      <c r="DD100" s="12"/>
      <c r="DE100" s="12"/>
      <c r="DI100" s="12"/>
      <c r="DJ100" s="12"/>
      <c r="DK100" s="12"/>
      <c r="DL100" s="12"/>
      <c r="DP100" s="12"/>
      <c r="DQ100" s="12"/>
      <c r="DR100" s="12"/>
      <c r="DS100" s="12"/>
      <c r="DW100" s="12"/>
      <c r="DX100" s="12"/>
      <c r="DY100" s="12"/>
      <c r="DZ100" s="12"/>
      <c r="ED100" s="12"/>
      <c r="EE100" s="12"/>
      <c r="EF100" s="12"/>
      <c r="EG100" s="12"/>
    </row>
    <row r="101" spans="2:137" outlineLevel="1" x14ac:dyDescent="0.2">
      <c r="B101" t="s">
        <v>28</v>
      </c>
      <c r="C101" t="s">
        <v>133</v>
      </c>
      <c r="E101" s="11"/>
      <c r="F101" t="s">
        <v>140</v>
      </c>
      <c r="G101" s="12">
        <v>0.1</v>
      </c>
      <c r="I101" s="11">
        <f t="shared" si="5"/>
        <v>0</v>
      </c>
      <c r="J101" s="13" cm="1">
        <f t="array" ref="J101">MAX(IF($N$3:$DV$3=$J$3,N101:DV101))</f>
        <v>0</v>
      </c>
      <c r="K101" s="13" cm="1">
        <f t="array" ref="K101">MAX(IF($N$3:$DV$3=$J$3,N101:DV101))</f>
        <v>0</v>
      </c>
      <c r="L101" s="11"/>
      <c r="O101" s="12"/>
      <c r="P101" s="12"/>
      <c r="Q101" s="12"/>
      <c r="R101" s="12"/>
      <c r="V101" s="12"/>
      <c r="W101" s="12">
        <v>0.3</v>
      </c>
      <c r="X101" s="12"/>
      <c r="Y101" s="12">
        <v>0.3</v>
      </c>
      <c r="AC101" s="12"/>
      <c r="AD101" s="12">
        <v>0.5</v>
      </c>
      <c r="AE101" s="12"/>
      <c r="AF101" s="12">
        <v>0.5</v>
      </c>
      <c r="AJ101" s="12"/>
      <c r="AK101" s="12">
        <v>0.8</v>
      </c>
      <c r="AL101" s="12"/>
      <c r="AM101" s="12">
        <v>0.8</v>
      </c>
      <c r="AP101">
        <v>0</v>
      </c>
      <c r="AQ101" s="12"/>
      <c r="AR101" s="12">
        <v>1</v>
      </c>
      <c r="AS101" s="12"/>
      <c r="AT101" s="12">
        <v>1</v>
      </c>
      <c r="AX101" s="12"/>
      <c r="AY101" s="12">
        <v>1</v>
      </c>
      <c r="AZ101" s="12"/>
      <c r="BA101" s="12">
        <v>1</v>
      </c>
      <c r="BE101" s="12"/>
      <c r="BF101" s="12">
        <v>1</v>
      </c>
      <c r="BG101" s="12"/>
      <c r="BH101" s="12">
        <v>1</v>
      </c>
      <c r="BL101" s="12"/>
      <c r="BM101" s="12">
        <v>1</v>
      </c>
      <c r="BN101" s="12"/>
      <c r="BO101" s="12">
        <v>1</v>
      </c>
      <c r="BS101" s="12"/>
      <c r="BT101" s="12">
        <v>1</v>
      </c>
      <c r="BU101" s="12"/>
      <c r="BV101" s="12">
        <v>1</v>
      </c>
      <c r="BZ101" s="12"/>
      <c r="CA101" s="12"/>
      <c r="CB101" s="12"/>
      <c r="CC101" s="12"/>
      <c r="CG101" s="12"/>
      <c r="CH101" s="12"/>
      <c r="CI101" s="12"/>
      <c r="CJ101" s="12"/>
      <c r="CN101" s="12"/>
      <c r="CO101" s="12"/>
      <c r="CP101" s="12"/>
      <c r="CQ101" s="12"/>
      <c r="CU101" s="12"/>
      <c r="CV101" s="12"/>
      <c r="CW101" s="12"/>
      <c r="CX101" s="12"/>
      <c r="DB101" s="12"/>
      <c r="DC101" s="12"/>
      <c r="DD101" s="12"/>
      <c r="DE101" s="12"/>
      <c r="DI101" s="12"/>
      <c r="DJ101" s="12"/>
      <c r="DK101" s="12"/>
      <c r="DL101" s="12"/>
      <c r="DP101" s="12"/>
      <c r="DQ101" s="12"/>
      <c r="DR101" s="12"/>
      <c r="DS101" s="12"/>
      <c r="DW101" s="12"/>
      <c r="DX101" s="12"/>
      <c r="DY101" s="12"/>
      <c r="DZ101" s="12"/>
      <c r="ED101" s="12"/>
      <c r="EE101" s="12"/>
      <c r="EF101" s="12"/>
      <c r="EG101" s="12"/>
    </row>
    <row r="102" spans="2:137" outlineLevel="1" x14ac:dyDescent="0.2">
      <c r="B102" t="s">
        <v>28</v>
      </c>
      <c r="C102" t="s">
        <v>133</v>
      </c>
      <c r="E102" s="11"/>
      <c r="F102" t="s">
        <v>141</v>
      </c>
      <c r="G102" s="12">
        <v>0.1</v>
      </c>
      <c r="I102" s="11">
        <f t="shared" si="5"/>
        <v>0</v>
      </c>
      <c r="J102" s="13" cm="1">
        <f t="array" ref="J102">MAX(IF($N$3:$DV$3=$J$3,N102:DV102))</f>
        <v>0</v>
      </c>
      <c r="K102" s="13" cm="1">
        <f t="array" ref="K102">MAX(IF($N$3:$DV$3=$J$3,N102:DV102))</f>
        <v>0</v>
      </c>
      <c r="L102" s="11"/>
      <c r="O102" s="12"/>
      <c r="P102" s="12"/>
      <c r="Q102" s="12"/>
      <c r="R102" s="12"/>
      <c r="V102" s="12"/>
      <c r="W102" s="12"/>
      <c r="X102" s="12"/>
      <c r="Y102" s="12"/>
      <c r="AC102" s="12"/>
      <c r="AD102" s="12">
        <v>0.5</v>
      </c>
      <c r="AE102" s="12"/>
      <c r="AF102" s="12">
        <v>0.5</v>
      </c>
      <c r="AJ102" s="12"/>
      <c r="AK102" s="12">
        <v>0.8</v>
      </c>
      <c r="AL102" s="12"/>
      <c r="AM102" s="12">
        <v>0.8</v>
      </c>
      <c r="AP102">
        <v>0</v>
      </c>
      <c r="AQ102" s="12"/>
      <c r="AR102" s="12">
        <v>1</v>
      </c>
      <c r="AS102" s="12"/>
      <c r="AT102" s="12">
        <v>1</v>
      </c>
      <c r="AX102" s="12"/>
      <c r="AY102" s="12">
        <v>1</v>
      </c>
      <c r="AZ102" s="12"/>
      <c r="BA102" s="12">
        <v>1</v>
      </c>
      <c r="BE102" s="12"/>
      <c r="BF102" s="12">
        <v>1</v>
      </c>
      <c r="BG102" s="12"/>
      <c r="BH102" s="12">
        <v>1</v>
      </c>
      <c r="BL102" s="12"/>
      <c r="BM102" s="12">
        <v>1</v>
      </c>
      <c r="BN102" s="12"/>
      <c r="BO102" s="12">
        <v>1</v>
      </c>
      <c r="BS102" s="12"/>
      <c r="BT102" s="12">
        <v>1</v>
      </c>
      <c r="BU102" s="12"/>
      <c r="BV102" s="12">
        <v>1</v>
      </c>
      <c r="BZ102" s="12"/>
      <c r="CA102" s="12"/>
      <c r="CB102" s="12"/>
      <c r="CC102" s="12"/>
      <c r="CG102" s="12"/>
      <c r="CH102" s="12"/>
      <c r="CI102" s="12"/>
      <c r="CJ102" s="12"/>
      <c r="CN102" s="12"/>
      <c r="CO102" s="12"/>
      <c r="CP102" s="12"/>
      <c r="CQ102" s="12"/>
      <c r="CU102" s="12"/>
      <c r="CV102" s="12"/>
      <c r="CW102" s="12"/>
      <c r="CX102" s="12"/>
      <c r="DB102" s="12"/>
      <c r="DC102" s="12"/>
      <c r="DD102" s="12"/>
      <c r="DE102" s="12"/>
      <c r="DI102" s="12"/>
      <c r="DJ102" s="12"/>
      <c r="DK102" s="12"/>
      <c r="DL102" s="12"/>
      <c r="DP102" s="12"/>
      <c r="DQ102" s="12"/>
      <c r="DR102" s="12"/>
      <c r="DS102" s="12"/>
      <c r="DW102" s="12"/>
      <c r="DX102" s="12"/>
      <c r="DY102" s="12"/>
      <c r="DZ102" s="12"/>
      <c r="ED102" s="12"/>
      <c r="EE102" s="12"/>
      <c r="EF102" s="12"/>
      <c r="EG102" s="12"/>
    </row>
    <row r="103" spans="2:137" outlineLevel="1" x14ac:dyDescent="0.2">
      <c r="B103" t="s">
        <v>28</v>
      </c>
      <c r="C103" t="s">
        <v>133</v>
      </c>
      <c r="E103" s="11"/>
      <c r="F103" t="s">
        <v>142</v>
      </c>
      <c r="G103" s="12">
        <v>0.1</v>
      </c>
      <c r="I103" s="11">
        <f t="shared" si="5"/>
        <v>0</v>
      </c>
      <c r="J103" s="13" cm="1">
        <f t="array" ref="J103">MAX(IF($N$3:$DV$3=$J$3,N103:DV103))</f>
        <v>0</v>
      </c>
      <c r="K103" s="13" cm="1">
        <f t="array" ref="K103">MAX(IF($N$3:$DV$3=$J$3,N103:DV103))</f>
        <v>0</v>
      </c>
      <c r="L103" s="11"/>
      <c r="O103" s="12"/>
      <c r="P103" s="12"/>
      <c r="Q103" s="12"/>
      <c r="R103" s="12"/>
      <c r="V103" s="12"/>
      <c r="W103" s="12"/>
      <c r="X103" s="12"/>
      <c r="Y103" s="12"/>
      <c r="AC103" s="12"/>
      <c r="AD103" s="12">
        <v>0.5</v>
      </c>
      <c r="AE103" s="12"/>
      <c r="AF103" s="12">
        <v>0.5</v>
      </c>
      <c r="AJ103" s="12"/>
      <c r="AK103" s="12">
        <v>0.8</v>
      </c>
      <c r="AL103" s="12"/>
      <c r="AM103" s="12">
        <v>0.8</v>
      </c>
      <c r="AP103">
        <v>0</v>
      </c>
      <c r="AQ103" s="12"/>
      <c r="AR103" s="12">
        <v>1</v>
      </c>
      <c r="AS103" s="12"/>
      <c r="AT103" s="12">
        <v>1</v>
      </c>
      <c r="AX103" s="12"/>
      <c r="AY103" s="12">
        <v>1</v>
      </c>
      <c r="AZ103" s="12"/>
      <c r="BA103" s="12">
        <v>1</v>
      </c>
      <c r="BE103" s="12"/>
      <c r="BF103" s="12">
        <v>1</v>
      </c>
      <c r="BG103" s="12"/>
      <c r="BH103" s="12">
        <v>1</v>
      </c>
      <c r="BL103" s="12"/>
      <c r="BM103" s="12">
        <v>1</v>
      </c>
      <c r="BN103" s="12"/>
      <c r="BO103" s="12">
        <v>1</v>
      </c>
      <c r="BS103" s="12"/>
      <c r="BT103" s="12">
        <v>1</v>
      </c>
      <c r="BU103" s="12"/>
      <c r="BV103" s="12">
        <v>1</v>
      </c>
      <c r="BZ103" s="12"/>
      <c r="CA103" s="12"/>
      <c r="CB103" s="12"/>
      <c r="CC103" s="12"/>
      <c r="CG103" s="12"/>
      <c r="CH103" s="12"/>
      <c r="CI103" s="12"/>
      <c r="CJ103" s="12"/>
      <c r="CN103" s="12"/>
      <c r="CO103" s="12"/>
      <c r="CP103" s="12"/>
      <c r="CQ103" s="12"/>
      <c r="CU103" s="12"/>
      <c r="CV103" s="12"/>
      <c r="CW103" s="12"/>
      <c r="CX103" s="12"/>
      <c r="DB103" s="12"/>
      <c r="DC103" s="12"/>
      <c r="DD103" s="12"/>
      <c r="DE103" s="12"/>
      <c r="DI103" s="12"/>
      <c r="DJ103" s="12"/>
      <c r="DK103" s="12"/>
      <c r="DL103" s="12"/>
      <c r="DP103" s="12"/>
      <c r="DQ103" s="12"/>
      <c r="DR103" s="12"/>
      <c r="DS103" s="12"/>
      <c r="DW103" s="12"/>
      <c r="DX103" s="12"/>
      <c r="DY103" s="12"/>
      <c r="DZ103" s="12"/>
      <c r="ED103" s="12"/>
      <c r="EE103" s="12"/>
      <c r="EF103" s="12"/>
      <c r="EG103" s="12"/>
    </row>
    <row r="104" spans="2:137" outlineLevel="1" x14ac:dyDescent="0.2">
      <c r="B104" t="s">
        <v>28</v>
      </c>
      <c r="C104" t="s">
        <v>133</v>
      </c>
      <c r="E104" s="11"/>
      <c r="F104" t="s">
        <v>143</v>
      </c>
      <c r="G104" s="12">
        <v>0.1</v>
      </c>
      <c r="I104" s="11">
        <f t="shared" si="5"/>
        <v>0</v>
      </c>
      <c r="J104" s="13" cm="1">
        <f t="array" ref="J104">MAX(IF($N$3:$DV$3=$J$3,N104:DV104))</f>
        <v>0</v>
      </c>
      <c r="K104" s="13" cm="1">
        <f t="array" ref="K104">MAX(IF($N$3:$DV$3=$J$3,N104:DV104))</f>
        <v>0</v>
      </c>
      <c r="L104" s="11"/>
      <c r="O104" s="12"/>
      <c r="P104" s="12"/>
      <c r="Q104" s="12"/>
      <c r="R104" s="12"/>
      <c r="V104" s="12"/>
      <c r="W104" s="12"/>
      <c r="X104" s="12"/>
      <c r="Y104" s="12"/>
      <c r="AC104" s="12"/>
      <c r="AD104" s="12">
        <v>0.3</v>
      </c>
      <c r="AE104" s="12"/>
      <c r="AF104" s="12">
        <v>0.3</v>
      </c>
      <c r="AJ104" s="12"/>
      <c r="AK104" s="12">
        <v>0.5</v>
      </c>
      <c r="AL104" s="12"/>
      <c r="AM104" s="12">
        <v>0.5</v>
      </c>
      <c r="AP104">
        <v>0</v>
      </c>
      <c r="AQ104" s="12"/>
      <c r="AR104" s="12">
        <v>1</v>
      </c>
      <c r="AS104" s="12"/>
      <c r="AT104" s="12">
        <v>1</v>
      </c>
      <c r="AX104" s="12"/>
      <c r="AY104" s="12">
        <v>1</v>
      </c>
      <c r="AZ104" s="12"/>
      <c r="BA104" s="12">
        <v>1</v>
      </c>
      <c r="BE104" s="12"/>
      <c r="BF104" s="12">
        <v>1</v>
      </c>
      <c r="BG104" s="12"/>
      <c r="BH104" s="12">
        <v>1</v>
      </c>
      <c r="BL104" s="12"/>
      <c r="BM104" s="12">
        <v>1</v>
      </c>
      <c r="BN104" s="12"/>
      <c r="BO104" s="12">
        <v>1</v>
      </c>
      <c r="BS104" s="12"/>
      <c r="BT104" s="12">
        <v>1</v>
      </c>
      <c r="BU104" s="12"/>
      <c r="BV104" s="12">
        <v>1</v>
      </c>
      <c r="BZ104" s="12"/>
      <c r="CA104" s="12"/>
      <c r="CB104" s="12"/>
      <c r="CC104" s="12"/>
      <c r="CG104" s="12"/>
      <c r="CH104" s="12"/>
      <c r="CI104" s="12"/>
      <c r="CJ104" s="12"/>
      <c r="CN104" s="12"/>
      <c r="CO104" s="12"/>
      <c r="CP104" s="12"/>
      <c r="CQ104" s="12"/>
      <c r="CU104" s="12"/>
      <c r="CV104" s="12"/>
      <c r="CW104" s="12"/>
      <c r="CX104" s="12"/>
      <c r="DB104" s="12"/>
      <c r="DC104" s="12"/>
      <c r="DD104" s="12"/>
      <c r="DE104" s="12"/>
      <c r="DI104" s="12"/>
      <c r="DJ104" s="12"/>
      <c r="DK104" s="12"/>
      <c r="DL104" s="12"/>
      <c r="DP104" s="12"/>
      <c r="DQ104" s="12"/>
      <c r="DR104" s="12"/>
      <c r="DS104" s="12"/>
      <c r="DW104" s="12"/>
      <c r="DX104" s="12"/>
      <c r="DY104" s="12"/>
      <c r="DZ104" s="12"/>
      <c r="ED104" s="12"/>
      <c r="EE104" s="12"/>
      <c r="EF104" s="12"/>
      <c r="EG104" s="12"/>
    </row>
    <row r="105" spans="2:137" outlineLevel="1" x14ac:dyDescent="0.2">
      <c r="B105" t="s">
        <v>28</v>
      </c>
      <c r="C105" t="s">
        <v>133</v>
      </c>
      <c r="E105" s="11"/>
      <c r="F105" t="s">
        <v>32</v>
      </c>
      <c r="G105" s="12">
        <v>0.1</v>
      </c>
      <c r="I105" s="11">
        <f t="shared" si="5"/>
        <v>0</v>
      </c>
      <c r="J105" s="13" cm="1">
        <f t="array" ref="J105">MAX(IF($N$3:$DV$3=$J$3,N105:DV105))</f>
        <v>0</v>
      </c>
      <c r="K105" s="13" cm="1">
        <f t="array" ref="K105">MAX(IF($N$3:$DV$3=$J$3,N105:DV105))</f>
        <v>0</v>
      </c>
      <c r="L105" s="11"/>
      <c r="O105" s="12"/>
      <c r="P105" s="12"/>
      <c r="Q105" s="12"/>
      <c r="R105" s="12"/>
      <c r="V105" s="12"/>
      <c r="W105" s="12"/>
      <c r="X105" s="12"/>
      <c r="Y105" s="12"/>
      <c r="AC105" s="12"/>
      <c r="AD105" s="12"/>
      <c r="AE105" s="12"/>
      <c r="AF105" s="12"/>
      <c r="AJ105" s="12"/>
      <c r="AK105" s="12">
        <v>0.5</v>
      </c>
      <c r="AL105" s="12"/>
      <c r="AM105" s="12">
        <v>0.5</v>
      </c>
      <c r="AP105">
        <v>0</v>
      </c>
      <c r="AQ105" s="12"/>
      <c r="AR105" s="12">
        <v>1</v>
      </c>
      <c r="AS105" s="12"/>
      <c r="AT105" s="12">
        <v>1</v>
      </c>
      <c r="AX105" s="12"/>
      <c r="AY105" s="12">
        <v>1</v>
      </c>
      <c r="AZ105" s="12"/>
      <c r="BA105" s="12">
        <v>1</v>
      </c>
      <c r="BE105" s="12"/>
      <c r="BF105" s="12">
        <v>1</v>
      </c>
      <c r="BG105" s="12"/>
      <c r="BH105" s="12">
        <v>1</v>
      </c>
      <c r="BL105" s="12"/>
      <c r="BM105" s="12">
        <v>1</v>
      </c>
      <c r="BN105" s="12"/>
      <c r="BO105" s="12">
        <v>1</v>
      </c>
      <c r="BS105" s="12"/>
      <c r="BT105" s="12">
        <v>1</v>
      </c>
      <c r="BU105" s="12"/>
      <c r="BV105" s="12">
        <v>1</v>
      </c>
      <c r="BZ105" s="12"/>
      <c r="CA105" s="12"/>
      <c r="CB105" s="12"/>
      <c r="CC105" s="12"/>
      <c r="CG105" s="12"/>
      <c r="CH105" s="12"/>
      <c r="CI105" s="12"/>
      <c r="CJ105" s="12"/>
      <c r="CN105" s="12"/>
      <c r="CO105" s="12"/>
      <c r="CP105" s="12"/>
      <c r="CQ105" s="12"/>
      <c r="CU105" s="12"/>
      <c r="CV105" s="12"/>
      <c r="CW105" s="12"/>
      <c r="CX105" s="12"/>
      <c r="DB105" s="12"/>
      <c r="DC105" s="12"/>
      <c r="DD105" s="12"/>
      <c r="DE105" s="12"/>
      <c r="DI105" s="12"/>
      <c r="DJ105" s="12"/>
      <c r="DK105" s="12"/>
      <c r="DL105" s="12"/>
      <c r="DP105" s="12"/>
      <c r="DQ105" s="12"/>
      <c r="DR105" s="12"/>
      <c r="DS105" s="12"/>
      <c r="DW105" s="12"/>
      <c r="DX105" s="12"/>
      <c r="DY105" s="12"/>
      <c r="DZ105" s="12"/>
      <c r="ED105" s="12"/>
      <c r="EE105" s="12"/>
      <c r="EF105" s="12"/>
      <c r="EG105" s="12"/>
    </row>
    <row r="106" spans="2:137" outlineLevel="1" x14ac:dyDescent="0.2">
      <c r="B106" t="s">
        <v>28</v>
      </c>
      <c r="C106" t="s">
        <v>133</v>
      </c>
      <c r="E106" s="11"/>
      <c r="F106" t="s">
        <v>33</v>
      </c>
      <c r="G106" s="12">
        <v>0.1</v>
      </c>
      <c r="I106" s="11">
        <f t="shared" si="5"/>
        <v>0</v>
      </c>
      <c r="J106" s="13" cm="1">
        <f t="array" ref="J106">MAX(IF($N$3:$DV$3=$J$3,N106:DV106))</f>
        <v>0</v>
      </c>
      <c r="K106" s="13" cm="1">
        <f t="array" ref="K106">MAX(IF($N$3:$DV$3=$J$3,N106:DV106))</f>
        <v>0</v>
      </c>
      <c r="L106" s="11"/>
      <c r="O106" s="12"/>
      <c r="P106" s="12"/>
      <c r="Q106" s="12"/>
      <c r="R106" s="12"/>
      <c r="V106" s="12"/>
      <c r="W106" s="12"/>
      <c r="X106" s="12"/>
      <c r="Y106" s="12"/>
      <c r="AC106" s="12"/>
      <c r="AD106" s="12"/>
      <c r="AE106" s="12"/>
      <c r="AF106" s="12"/>
      <c r="AJ106" s="12"/>
      <c r="AK106" s="12">
        <v>0.5</v>
      </c>
      <c r="AL106" s="12"/>
      <c r="AM106" s="12">
        <v>0.5</v>
      </c>
      <c r="AP106">
        <v>0</v>
      </c>
      <c r="AQ106" s="12"/>
      <c r="AR106" s="12">
        <v>1</v>
      </c>
      <c r="AS106" s="12"/>
      <c r="AT106" s="12">
        <v>1</v>
      </c>
      <c r="AX106" s="12"/>
      <c r="AY106" s="12">
        <v>1</v>
      </c>
      <c r="AZ106" s="12"/>
      <c r="BA106" s="12">
        <v>1</v>
      </c>
      <c r="BE106" s="12"/>
      <c r="BF106" s="12">
        <v>1</v>
      </c>
      <c r="BG106" s="12"/>
      <c r="BH106" s="12">
        <v>1</v>
      </c>
      <c r="BL106" s="12"/>
      <c r="BM106" s="12">
        <v>1</v>
      </c>
      <c r="BN106" s="12"/>
      <c r="BO106" s="12">
        <v>1</v>
      </c>
      <c r="BS106" s="12"/>
      <c r="BT106" s="12">
        <v>1</v>
      </c>
      <c r="BU106" s="12"/>
      <c r="BV106" s="12">
        <v>1</v>
      </c>
      <c r="BZ106" s="12"/>
      <c r="CA106" s="12"/>
      <c r="CB106" s="12"/>
      <c r="CC106" s="12"/>
      <c r="CG106" s="12"/>
      <c r="CH106" s="12"/>
      <c r="CI106" s="12"/>
      <c r="CJ106" s="12"/>
      <c r="CN106" s="12"/>
      <c r="CO106" s="12"/>
      <c r="CP106" s="12"/>
      <c r="CQ106" s="12"/>
      <c r="CU106" s="12"/>
      <c r="CV106" s="12"/>
      <c r="CW106" s="12"/>
      <c r="CX106" s="12"/>
      <c r="DB106" s="12"/>
      <c r="DC106" s="12"/>
      <c r="DD106" s="12"/>
      <c r="DE106" s="12"/>
      <c r="DI106" s="12"/>
      <c r="DJ106" s="12"/>
      <c r="DK106" s="12"/>
      <c r="DL106" s="12"/>
      <c r="DP106" s="12"/>
      <c r="DQ106" s="12"/>
      <c r="DR106" s="12"/>
      <c r="DS106" s="12"/>
      <c r="DW106" s="12"/>
      <c r="DX106" s="12"/>
      <c r="DY106" s="12"/>
      <c r="DZ106" s="12"/>
      <c r="ED106" s="12"/>
      <c r="EE106" s="12"/>
      <c r="EF106" s="12"/>
      <c r="EG106" s="12"/>
    </row>
    <row r="110" spans="2:137" outlineLevel="1" x14ac:dyDescent="0.2">
      <c r="B110" t="s">
        <v>132</v>
      </c>
      <c r="D110" s="24">
        <f>DATE(2022,6,7)</f>
        <v>44719</v>
      </c>
      <c r="E110" s="19"/>
      <c r="G110" s="12"/>
      <c r="I110" s="19"/>
      <c r="J110" s="13"/>
      <c r="K110" s="13"/>
      <c r="L110" s="19"/>
      <c r="O110" s="12"/>
      <c r="P110" s="12"/>
      <c r="Q110" s="12"/>
      <c r="R110" s="12"/>
      <c r="V110" s="12"/>
      <c r="W110" s="12"/>
      <c r="X110" s="12"/>
      <c r="Y110" s="12"/>
      <c r="AC110" s="12"/>
      <c r="AD110" s="12"/>
      <c r="AE110" s="12"/>
      <c r="AF110" s="12"/>
      <c r="AJ110" s="12"/>
      <c r="AK110" s="12"/>
      <c r="AL110" s="12"/>
      <c r="AM110" s="12"/>
      <c r="AQ110" s="12"/>
      <c r="AR110" s="12"/>
      <c r="AS110" s="12"/>
      <c r="AT110" s="12"/>
      <c r="AX110" s="12"/>
      <c r="AY110" s="12"/>
      <c r="AZ110" s="12"/>
      <c r="BA110" s="12"/>
      <c r="BE110" s="12"/>
      <c r="BF110" s="12"/>
      <c r="BG110" s="12"/>
      <c r="BH110" s="12"/>
      <c r="BL110" s="12"/>
      <c r="BM110" s="12"/>
      <c r="BN110" s="12"/>
      <c r="BO110" s="12"/>
      <c r="BS110" s="12"/>
      <c r="BT110" s="12"/>
      <c r="BU110" s="12"/>
      <c r="BV110" s="12"/>
      <c r="BZ110" s="12"/>
      <c r="CA110" s="12"/>
      <c r="CB110" s="12"/>
      <c r="CC110" s="12"/>
      <c r="CG110" s="12"/>
      <c r="CH110" s="12"/>
      <c r="CI110" s="12"/>
      <c r="CJ110" s="12"/>
      <c r="CN110" s="12"/>
      <c r="CO110" s="12"/>
      <c r="CP110" s="12"/>
      <c r="CQ110" s="12"/>
      <c r="CU110" s="12"/>
      <c r="CV110" s="12"/>
      <c r="CW110" s="12"/>
      <c r="CX110" s="12"/>
      <c r="DB110" s="12"/>
      <c r="DC110" s="12"/>
      <c r="DD110" s="12"/>
      <c r="DE110" s="12"/>
      <c r="DI110" s="12"/>
      <c r="DJ110" s="12"/>
      <c r="DK110" s="12"/>
      <c r="DL110" s="12"/>
      <c r="DP110" s="12"/>
      <c r="DQ110" s="12"/>
      <c r="DR110" s="12"/>
      <c r="DS110" s="12"/>
      <c r="DW110" s="12"/>
      <c r="DX110" s="12"/>
      <c r="DY110" s="12"/>
      <c r="DZ110" s="12"/>
      <c r="ED110" s="12"/>
      <c r="EE110" s="12"/>
      <c r="EF110" s="12"/>
      <c r="EG110" s="12"/>
    </row>
    <row r="112" spans="2:137" ht="12.75" customHeight="1" outlineLevel="1" x14ac:dyDescent="0.2">
      <c r="B112" t="s">
        <v>28</v>
      </c>
      <c r="C112" s="2" t="s">
        <v>144</v>
      </c>
      <c r="D112" s="2"/>
      <c r="E112" s="19"/>
      <c r="F112" t="s">
        <v>145</v>
      </c>
      <c r="G112" s="12">
        <v>0.1</v>
      </c>
      <c r="I112" s="19">
        <f t="shared" ref="I112:I122" si="6">+SUMIF($N$3:$WV$3,I$3,$N112:$WV112)</f>
        <v>0</v>
      </c>
      <c r="J112" s="13" cm="1">
        <f t="array" ref="J112">MAX(IF($N$3:$DV$3=$J$3,N112:DV112))</f>
        <v>0</v>
      </c>
      <c r="K112" s="13" cm="1">
        <f t="array" ref="K112">MAX(IF($N$3:$DV$3=$J$3,N112:DV112))</f>
        <v>0</v>
      </c>
      <c r="L112" s="19"/>
      <c r="O112" s="12"/>
      <c r="P112" s="12">
        <v>0.8</v>
      </c>
      <c r="Q112" s="12"/>
      <c r="R112" s="12">
        <v>0.5</v>
      </c>
      <c r="U112">
        <v>0</v>
      </c>
      <c r="V112" s="12"/>
      <c r="W112" s="12">
        <v>0.8</v>
      </c>
      <c r="X112" s="12"/>
      <c r="Y112" s="12">
        <v>0.8</v>
      </c>
      <c r="AC112" s="12"/>
      <c r="AD112" s="12">
        <v>1</v>
      </c>
      <c r="AE112" s="12"/>
      <c r="AF112" s="12">
        <v>1</v>
      </c>
      <c r="AJ112" s="12"/>
      <c r="AK112" s="12">
        <v>1</v>
      </c>
      <c r="AL112" s="12"/>
      <c r="AM112" s="12">
        <v>1</v>
      </c>
      <c r="AP112">
        <v>0</v>
      </c>
      <c r="AQ112" s="12"/>
      <c r="AR112" s="12">
        <v>1</v>
      </c>
      <c r="AS112" s="12"/>
      <c r="AT112" s="12">
        <v>1</v>
      </c>
      <c r="AX112" s="12"/>
      <c r="AY112" s="12">
        <v>1</v>
      </c>
      <c r="AZ112" s="12"/>
      <c r="BA112" s="12">
        <v>1</v>
      </c>
      <c r="BE112" s="12"/>
      <c r="BF112" s="12">
        <v>1</v>
      </c>
      <c r="BG112" s="12"/>
      <c r="BH112" s="12">
        <v>1</v>
      </c>
      <c r="BL112" s="12"/>
      <c r="BM112" s="12">
        <v>1</v>
      </c>
      <c r="BN112" s="12"/>
      <c r="BO112" s="12">
        <v>1</v>
      </c>
      <c r="BS112" s="12"/>
      <c r="BT112" s="12">
        <v>1</v>
      </c>
      <c r="BU112" s="12"/>
      <c r="BV112" s="12">
        <v>1</v>
      </c>
      <c r="BZ112" s="12"/>
      <c r="CA112" s="12"/>
      <c r="CB112" s="12"/>
      <c r="CC112" s="12"/>
      <c r="CG112" s="12"/>
      <c r="CH112" s="12"/>
      <c r="CI112" s="12"/>
      <c r="CJ112" s="12"/>
      <c r="CN112" s="12"/>
      <c r="CO112" s="12"/>
      <c r="CP112" s="12"/>
      <c r="CQ112" s="12"/>
      <c r="CU112" s="12"/>
      <c r="CV112" s="12"/>
      <c r="CW112" s="12"/>
      <c r="CX112" s="12"/>
      <c r="DB112" s="12"/>
      <c r="DC112" s="12"/>
      <c r="DD112" s="12"/>
      <c r="DE112" s="12"/>
      <c r="DI112" s="12"/>
      <c r="DJ112" s="12"/>
      <c r="DK112" s="12"/>
      <c r="DL112" s="12"/>
      <c r="DP112" s="12"/>
      <c r="DQ112" s="12"/>
      <c r="DR112" s="12"/>
      <c r="DS112" s="12"/>
      <c r="DW112" s="12"/>
      <c r="DX112" s="12"/>
      <c r="DY112" s="12"/>
      <c r="DZ112" s="12"/>
      <c r="ED112" s="12"/>
      <c r="EE112" s="12"/>
      <c r="EF112" s="12"/>
      <c r="EG112" s="12"/>
    </row>
    <row r="113" spans="2:137" outlineLevel="1" x14ac:dyDescent="0.2">
      <c r="B113" t="s">
        <v>28</v>
      </c>
      <c r="C113" s="2" t="s">
        <v>144</v>
      </c>
      <c r="D113" s="2"/>
      <c r="E113" s="19"/>
      <c r="F113" t="s">
        <v>146</v>
      </c>
      <c r="G113" s="12">
        <v>0.05</v>
      </c>
      <c r="I113" s="19">
        <f t="shared" si="6"/>
        <v>0</v>
      </c>
      <c r="J113" s="13" cm="1">
        <f t="array" ref="J113">MAX(IF($N$3:$DV$3=$J$3,N113:DV113))</f>
        <v>0</v>
      </c>
      <c r="K113" s="13" cm="1">
        <f t="array" ref="K113">MAX(IF($N$3:$DV$3=$J$3,N113:DV113))</f>
        <v>0</v>
      </c>
      <c r="L113" s="19"/>
      <c r="O113" s="12"/>
      <c r="P113" s="12">
        <v>0.8</v>
      </c>
      <c r="Q113" s="12"/>
      <c r="R113" s="12">
        <v>0.5</v>
      </c>
      <c r="V113" s="12"/>
      <c r="W113" s="12">
        <v>0.8</v>
      </c>
      <c r="X113" s="12"/>
      <c r="Y113" s="12">
        <v>0.8</v>
      </c>
      <c r="AC113" s="12"/>
      <c r="AD113" s="12">
        <v>1</v>
      </c>
      <c r="AE113" s="12"/>
      <c r="AF113" s="12">
        <v>1</v>
      </c>
      <c r="AJ113" s="12"/>
      <c r="AK113" s="12">
        <v>1</v>
      </c>
      <c r="AL113" s="12"/>
      <c r="AM113" s="12">
        <v>1</v>
      </c>
      <c r="AP113">
        <v>0</v>
      </c>
      <c r="AQ113" s="12"/>
      <c r="AR113" s="12">
        <v>1</v>
      </c>
      <c r="AS113" s="12"/>
      <c r="AT113" s="12">
        <v>1</v>
      </c>
      <c r="AX113" s="12"/>
      <c r="AY113" s="12">
        <v>1</v>
      </c>
      <c r="AZ113" s="12"/>
      <c r="BA113" s="12">
        <v>1</v>
      </c>
      <c r="BE113" s="12"/>
      <c r="BF113" s="12">
        <v>1</v>
      </c>
      <c r="BG113" s="12"/>
      <c r="BH113" s="12">
        <v>1</v>
      </c>
      <c r="BL113" s="12"/>
      <c r="BM113" s="12">
        <v>1</v>
      </c>
      <c r="BN113" s="12"/>
      <c r="BO113" s="12">
        <v>1</v>
      </c>
      <c r="BS113" s="12"/>
      <c r="BT113" s="12">
        <v>1</v>
      </c>
      <c r="BU113" s="12"/>
      <c r="BV113" s="12">
        <v>1</v>
      </c>
      <c r="BZ113" s="12"/>
      <c r="CA113" s="12"/>
      <c r="CB113" s="12"/>
      <c r="CC113" s="12"/>
      <c r="CG113" s="12"/>
      <c r="CH113" s="12"/>
      <c r="CI113" s="12"/>
      <c r="CJ113" s="12"/>
      <c r="CN113" s="12"/>
      <c r="CO113" s="12"/>
      <c r="CP113" s="12"/>
      <c r="CQ113" s="12"/>
      <c r="CU113" s="12"/>
      <c r="CV113" s="12"/>
      <c r="CW113" s="12"/>
      <c r="CX113" s="12"/>
      <c r="DB113" s="12"/>
      <c r="DC113" s="12"/>
      <c r="DD113" s="12"/>
      <c r="DE113" s="12"/>
      <c r="DI113" s="12"/>
      <c r="DJ113" s="12"/>
      <c r="DK113" s="12"/>
      <c r="DL113" s="12"/>
      <c r="DP113" s="12"/>
      <c r="DQ113" s="12"/>
      <c r="DR113" s="12"/>
      <c r="DS113" s="12"/>
      <c r="DW113" s="12"/>
      <c r="DX113" s="12"/>
      <c r="DY113" s="12"/>
      <c r="DZ113" s="12"/>
      <c r="ED113" s="12"/>
      <c r="EE113" s="12"/>
      <c r="EF113" s="12"/>
      <c r="EG113" s="12"/>
    </row>
    <row r="114" spans="2:137" outlineLevel="1" x14ac:dyDescent="0.2">
      <c r="B114" t="s">
        <v>28</v>
      </c>
      <c r="C114" s="2" t="s">
        <v>144</v>
      </c>
      <c r="D114" s="2"/>
      <c r="E114" s="19"/>
      <c r="F114" t="s">
        <v>147</v>
      </c>
      <c r="G114" s="12">
        <v>0.05</v>
      </c>
      <c r="I114" s="19">
        <f t="shared" si="6"/>
        <v>0</v>
      </c>
      <c r="J114" s="13" cm="1">
        <f t="array" ref="J114">MAX(IF($N$3:$DV$3=$J$3,N114:DV114))</f>
        <v>0</v>
      </c>
      <c r="K114" s="13" cm="1">
        <f t="array" ref="K114">MAX(IF($N$3:$DV$3=$J$3,N114:DV114))</f>
        <v>0</v>
      </c>
      <c r="L114" s="19"/>
      <c r="O114" s="12"/>
      <c r="P114" s="12">
        <v>0.8</v>
      </c>
      <c r="Q114" s="12"/>
      <c r="R114" s="12">
        <v>0.5</v>
      </c>
      <c r="V114" s="12"/>
      <c r="W114" s="12">
        <v>0.5</v>
      </c>
      <c r="X114" s="12"/>
      <c r="Y114" s="12">
        <v>0.5</v>
      </c>
      <c r="AC114" s="12"/>
      <c r="AD114" s="12">
        <v>0.8</v>
      </c>
      <c r="AE114" s="12"/>
      <c r="AF114" s="12">
        <v>0.8</v>
      </c>
      <c r="AJ114" s="12"/>
      <c r="AK114" s="12">
        <v>1</v>
      </c>
      <c r="AL114" s="12"/>
      <c r="AM114" s="12">
        <v>1</v>
      </c>
      <c r="AP114">
        <v>0</v>
      </c>
      <c r="AQ114" s="12"/>
      <c r="AR114" s="12">
        <v>1</v>
      </c>
      <c r="AS114" s="12"/>
      <c r="AT114" s="12">
        <v>1</v>
      </c>
      <c r="AX114" s="12"/>
      <c r="AY114" s="12">
        <v>1</v>
      </c>
      <c r="AZ114" s="12"/>
      <c r="BA114" s="12">
        <v>1</v>
      </c>
      <c r="BE114" s="12"/>
      <c r="BF114" s="12">
        <v>1</v>
      </c>
      <c r="BG114" s="12"/>
      <c r="BH114" s="12">
        <v>1</v>
      </c>
      <c r="BL114" s="12"/>
      <c r="BM114" s="12">
        <v>1</v>
      </c>
      <c r="BN114" s="12"/>
      <c r="BO114" s="12">
        <v>1</v>
      </c>
      <c r="BS114" s="12"/>
      <c r="BT114" s="12">
        <v>1</v>
      </c>
      <c r="BU114" s="12"/>
      <c r="BV114" s="12">
        <v>1</v>
      </c>
      <c r="BZ114" s="12"/>
      <c r="CA114" s="12"/>
      <c r="CB114" s="12"/>
      <c r="CC114" s="12"/>
      <c r="CG114" s="12"/>
      <c r="CH114" s="12"/>
      <c r="CI114" s="12"/>
      <c r="CJ114" s="12"/>
      <c r="CN114" s="12"/>
      <c r="CO114" s="12"/>
      <c r="CP114" s="12"/>
      <c r="CQ114" s="12"/>
      <c r="CU114" s="12"/>
      <c r="CV114" s="12"/>
      <c r="CW114" s="12"/>
      <c r="CX114" s="12"/>
      <c r="DB114" s="12"/>
      <c r="DC114" s="12"/>
      <c r="DD114" s="12"/>
      <c r="DE114" s="12"/>
      <c r="DI114" s="12"/>
      <c r="DJ114" s="12"/>
      <c r="DK114" s="12"/>
      <c r="DL114" s="12"/>
      <c r="DP114" s="12"/>
      <c r="DQ114" s="12"/>
      <c r="DR114" s="12"/>
      <c r="DS114" s="12"/>
      <c r="DW114" s="12"/>
      <c r="DX114" s="12"/>
      <c r="DY114" s="12"/>
      <c r="DZ114" s="12"/>
      <c r="ED114" s="12"/>
      <c r="EE114" s="12"/>
      <c r="EF114" s="12"/>
      <c r="EG114" s="12"/>
    </row>
    <row r="115" spans="2:137" outlineLevel="1" x14ac:dyDescent="0.2">
      <c r="B115" t="s">
        <v>28</v>
      </c>
      <c r="C115" s="2" t="s">
        <v>144</v>
      </c>
      <c r="D115" s="2"/>
      <c r="E115" s="19"/>
      <c r="F115" t="s">
        <v>148</v>
      </c>
      <c r="G115" s="12">
        <v>0.05</v>
      </c>
      <c r="I115" s="19">
        <f t="shared" si="6"/>
        <v>0</v>
      </c>
      <c r="J115" s="13" cm="1">
        <f t="array" ref="J115">MAX(IF($N$3:$DV$3=$J$3,N115:DV115))</f>
        <v>0</v>
      </c>
      <c r="K115" s="13" cm="1">
        <f t="array" ref="K115">MAX(IF($N$3:$DV$3=$J$3,N115:DV115))</f>
        <v>0</v>
      </c>
      <c r="L115" s="19"/>
      <c r="O115" s="25"/>
      <c r="P115" s="12"/>
      <c r="Q115" s="25"/>
      <c r="R115" s="12"/>
      <c r="V115" s="12"/>
      <c r="W115" s="12">
        <v>0.5</v>
      </c>
      <c r="X115" s="12"/>
      <c r="Y115" s="12">
        <v>0.5</v>
      </c>
      <c r="AC115" s="12"/>
      <c r="AD115" s="12">
        <v>0.8</v>
      </c>
      <c r="AE115" s="12"/>
      <c r="AF115" s="12">
        <v>0.8</v>
      </c>
      <c r="AJ115" s="12"/>
      <c r="AK115" s="12">
        <v>1</v>
      </c>
      <c r="AL115" s="12"/>
      <c r="AM115" s="12">
        <v>1</v>
      </c>
      <c r="AP115">
        <v>0</v>
      </c>
      <c r="AQ115" s="12"/>
      <c r="AR115" s="12">
        <v>1</v>
      </c>
      <c r="AS115" s="12"/>
      <c r="AT115" s="12">
        <v>1</v>
      </c>
      <c r="AX115" s="12"/>
      <c r="AY115" s="12">
        <v>1</v>
      </c>
      <c r="AZ115" s="12"/>
      <c r="BA115" s="12">
        <v>1</v>
      </c>
      <c r="BE115" s="12"/>
      <c r="BF115" s="12">
        <v>1</v>
      </c>
      <c r="BG115" s="12"/>
      <c r="BH115" s="12">
        <v>1</v>
      </c>
      <c r="BL115" s="12"/>
      <c r="BM115" s="12">
        <v>1</v>
      </c>
      <c r="BN115" s="12"/>
      <c r="BO115" s="12">
        <v>1</v>
      </c>
      <c r="BS115" s="12"/>
      <c r="BT115" s="12">
        <v>1</v>
      </c>
      <c r="BU115" s="12"/>
      <c r="BV115" s="12">
        <v>1</v>
      </c>
      <c r="BZ115" s="12"/>
      <c r="CA115" s="12"/>
      <c r="CB115" s="12"/>
      <c r="CC115" s="12"/>
      <c r="CG115" s="12"/>
      <c r="CH115" s="12"/>
      <c r="CI115" s="12"/>
      <c r="CJ115" s="12"/>
      <c r="CN115" s="12"/>
      <c r="CO115" s="12"/>
      <c r="CP115" s="12"/>
      <c r="CQ115" s="12"/>
      <c r="CU115" s="12"/>
      <c r="CV115" s="12"/>
      <c r="CW115" s="12"/>
      <c r="CX115" s="12"/>
      <c r="DB115" s="12"/>
      <c r="DC115" s="12"/>
      <c r="DD115" s="12"/>
      <c r="DE115" s="12"/>
      <c r="DI115" s="12"/>
      <c r="DJ115" s="12"/>
      <c r="DK115" s="12"/>
      <c r="DL115" s="12"/>
      <c r="DP115" s="12"/>
      <c r="DQ115" s="12"/>
      <c r="DR115" s="12"/>
      <c r="DS115" s="12"/>
      <c r="DW115" s="12"/>
      <c r="DX115" s="12"/>
      <c r="DY115" s="12"/>
      <c r="DZ115" s="12"/>
      <c r="ED115" s="12"/>
      <c r="EE115" s="12"/>
      <c r="EF115" s="12"/>
      <c r="EG115" s="12"/>
    </row>
    <row r="116" spans="2:137" outlineLevel="1" x14ac:dyDescent="0.2">
      <c r="B116" t="s">
        <v>28</v>
      </c>
      <c r="C116" s="2" t="s">
        <v>144</v>
      </c>
      <c r="D116" s="2"/>
      <c r="E116" s="19"/>
      <c r="F116" t="s">
        <v>149</v>
      </c>
      <c r="G116" s="12">
        <v>0.05</v>
      </c>
      <c r="I116" s="19">
        <f t="shared" si="6"/>
        <v>0</v>
      </c>
      <c r="J116" s="13" cm="1">
        <f t="array" ref="J116">MAX(IF($N$3:$DV$3=$J$3,N116:DV116))</f>
        <v>0</v>
      </c>
      <c r="K116" s="13" cm="1">
        <f t="array" ref="K116">MAX(IF($N$3:$DV$3=$J$3,N116:DV116))</f>
        <v>0</v>
      </c>
      <c r="L116" s="19"/>
      <c r="O116" s="25"/>
      <c r="P116" s="12"/>
      <c r="Q116" s="25"/>
      <c r="R116" s="12"/>
      <c r="V116" s="12"/>
      <c r="W116" s="12">
        <v>0.5</v>
      </c>
      <c r="X116" s="12"/>
      <c r="Y116" s="12">
        <v>0.5</v>
      </c>
      <c r="AC116" s="12"/>
      <c r="AD116" s="12">
        <v>0.8</v>
      </c>
      <c r="AE116" s="12"/>
      <c r="AF116" s="12">
        <v>0.8</v>
      </c>
      <c r="AJ116" s="12"/>
      <c r="AK116" s="12">
        <v>1</v>
      </c>
      <c r="AL116" s="12"/>
      <c r="AM116" s="12">
        <v>1</v>
      </c>
      <c r="AP116">
        <v>0</v>
      </c>
      <c r="AQ116" s="12"/>
      <c r="AR116" s="12">
        <v>1</v>
      </c>
      <c r="AS116" s="12"/>
      <c r="AT116" s="12">
        <v>1</v>
      </c>
      <c r="AX116" s="12"/>
      <c r="AY116" s="12">
        <v>1</v>
      </c>
      <c r="AZ116" s="12"/>
      <c r="BA116" s="12">
        <v>1</v>
      </c>
      <c r="BE116" s="12"/>
      <c r="BF116" s="12">
        <v>1</v>
      </c>
      <c r="BG116" s="12"/>
      <c r="BH116" s="12">
        <v>1</v>
      </c>
      <c r="BL116" s="12"/>
      <c r="BM116" s="12">
        <v>1</v>
      </c>
      <c r="BN116" s="12"/>
      <c r="BO116" s="12">
        <v>1</v>
      </c>
      <c r="BS116" s="12"/>
      <c r="BT116" s="12">
        <v>1</v>
      </c>
      <c r="BU116" s="12"/>
      <c r="BV116" s="12">
        <v>1</v>
      </c>
      <c r="BZ116" s="12"/>
      <c r="CA116" s="12"/>
      <c r="CB116" s="12"/>
      <c r="CC116" s="12"/>
      <c r="CG116" s="12"/>
      <c r="CH116" s="12"/>
      <c r="CI116" s="12"/>
      <c r="CJ116" s="12"/>
      <c r="CN116" s="12"/>
      <c r="CO116" s="12"/>
      <c r="CP116" s="12"/>
      <c r="CQ116" s="12"/>
      <c r="CU116" s="12"/>
      <c r="CV116" s="12"/>
      <c r="CW116" s="12"/>
      <c r="CX116" s="12"/>
      <c r="DB116" s="12"/>
      <c r="DC116" s="12"/>
      <c r="DD116" s="12"/>
      <c r="DE116" s="12"/>
      <c r="DI116" s="12"/>
      <c r="DJ116" s="12"/>
      <c r="DK116" s="12"/>
      <c r="DL116" s="12"/>
      <c r="DP116" s="12"/>
      <c r="DQ116" s="12"/>
      <c r="DR116" s="12"/>
      <c r="DS116" s="12"/>
      <c r="DW116" s="12"/>
      <c r="DX116" s="12"/>
      <c r="DY116" s="12"/>
      <c r="DZ116" s="12"/>
      <c r="ED116" s="12"/>
      <c r="EE116" s="12"/>
      <c r="EF116" s="12"/>
      <c r="EG116" s="12"/>
    </row>
    <row r="117" spans="2:137" outlineLevel="1" x14ac:dyDescent="0.2">
      <c r="B117" t="s">
        <v>28</v>
      </c>
      <c r="C117" s="2" t="s">
        <v>144</v>
      </c>
      <c r="D117" s="2"/>
      <c r="E117" s="19"/>
      <c r="F117" t="s">
        <v>150</v>
      </c>
      <c r="G117" s="12">
        <v>0.1</v>
      </c>
      <c r="I117" s="19">
        <f t="shared" si="6"/>
        <v>0</v>
      </c>
      <c r="J117" s="13" cm="1">
        <f t="array" ref="J117">MAX(IF($N$3:$DV$3=$J$3,N117:DV117))</f>
        <v>0</v>
      </c>
      <c r="K117" s="13" cm="1">
        <f t="array" ref="K117">MAX(IF($N$3:$DV$3=$J$3,N117:DV117))</f>
        <v>0</v>
      </c>
      <c r="L117" s="19"/>
      <c r="O117" s="12"/>
      <c r="P117" s="12"/>
      <c r="Q117" s="12"/>
      <c r="R117" s="12"/>
      <c r="V117" s="12"/>
      <c r="W117" s="12">
        <v>0.3</v>
      </c>
      <c r="X117" s="12"/>
      <c r="Y117" s="12">
        <v>0.3</v>
      </c>
      <c r="AC117" s="12"/>
      <c r="AD117" s="12">
        <v>0.5</v>
      </c>
      <c r="AE117" s="12"/>
      <c r="AF117" s="12">
        <v>0.5</v>
      </c>
      <c r="AJ117" s="12"/>
      <c r="AK117" s="12">
        <v>0.8</v>
      </c>
      <c r="AL117" s="12"/>
      <c r="AM117" s="12">
        <v>0.8</v>
      </c>
      <c r="AP117">
        <v>0</v>
      </c>
      <c r="AQ117" s="12"/>
      <c r="AR117" s="12">
        <v>1</v>
      </c>
      <c r="AS117" s="12"/>
      <c r="AT117" s="12">
        <v>1</v>
      </c>
      <c r="AX117" s="12"/>
      <c r="AY117" s="12">
        <v>1</v>
      </c>
      <c r="AZ117" s="12"/>
      <c r="BA117" s="12">
        <v>1</v>
      </c>
      <c r="BE117" s="12"/>
      <c r="BF117" s="12">
        <v>1</v>
      </c>
      <c r="BG117" s="12"/>
      <c r="BH117" s="12">
        <v>1</v>
      </c>
      <c r="BL117" s="12"/>
      <c r="BM117" s="12">
        <v>1</v>
      </c>
      <c r="BN117" s="12"/>
      <c r="BO117" s="12">
        <v>1</v>
      </c>
      <c r="BS117" s="12"/>
      <c r="BT117" s="12">
        <v>1</v>
      </c>
      <c r="BU117" s="12"/>
      <c r="BV117" s="12">
        <v>1</v>
      </c>
      <c r="BZ117" s="12"/>
      <c r="CA117" s="12"/>
      <c r="CB117" s="12"/>
      <c r="CC117" s="12"/>
      <c r="CG117" s="12"/>
      <c r="CH117" s="12"/>
      <c r="CI117" s="12"/>
      <c r="CJ117" s="12"/>
      <c r="CN117" s="12"/>
      <c r="CO117" s="12"/>
      <c r="CP117" s="12"/>
      <c r="CQ117" s="12"/>
      <c r="CU117" s="12"/>
      <c r="CV117" s="12"/>
      <c r="CW117" s="12"/>
      <c r="CX117" s="12"/>
      <c r="DB117" s="12"/>
      <c r="DC117" s="12"/>
      <c r="DD117" s="12"/>
      <c r="DE117" s="12"/>
      <c r="DI117" s="12"/>
      <c r="DJ117" s="12"/>
      <c r="DK117" s="12"/>
      <c r="DL117" s="12"/>
      <c r="DP117" s="12"/>
      <c r="DQ117" s="12"/>
      <c r="DR117" s="12"/>
      <c r="DS117" s="12"/>
      <c r="DW117" s="12"/>
      <c r="DX117" s="12"/>
      <c r="DY117" s="12"/>
      <c r="DZ117" s="12"/>
      <c r="ED117" s="12"/>
      <c r="EE117" s="12"/>
      <c r="EF117" s="12"/>
      <c r="EG117" s="12"/>
    </row>
    <row r="118" spans="2:137" outlineLevel="1" x14ac:dyDescent="0.2">
      <c r="B118" t="s">
        <v>28</v>
      </c>
      <c r="C118" s="2" t="s">
        <v>144</v>
      </c>
      <c r="D118" s="2"/>
      <c r="E118" s="19"/>
      <c r="F118" t="s">
        <v>151</v>
      </c>
      <c r="G118" s="12">
        <v>0.1</v>
      </c>
      <c r="I118" s="19">
        <f t="shared" si="6"/>
        <v>0</v>
      </c>
      <c r="J118" s="13" cm="1">
        <f t="array" ref="J118">MAX(IF($N$3:$DV$3=$J$3,N118:DV118))</f>
        <v>0</v>
      </c>
      <c r="K118" s="13" cm="1">
        <f t="array" ref="K118">MAX(IF($N$3:$DV$3=$J$3,N118:DV118))</f>
        <v>0</v>
      </c>
      <c r="L118" s="19"/>
      <c r="O118" s="12"/>
      <c r="P118" s="12"/>
      <c r="Q118" s="12"/>
      <c r="R118" s="12"/>
      <c r="V118" s="12"/>
      <c r="W118" s="12">
        <v>0.3</v>
      </c>
      <c r="X118" s="12"/>
      <c r="Y118" s="12">
        <v>0.3</v>
      </c>
      <c r="AC118" s="12"/>
      <c r="AD118" s="12">
        <v>0.5</v>
      </c>
      <c r="AE118" s="12"/>
      <c r="AF118" s="12">
        <v>0.5</v>
      </c>
      <c r="AJ118" s="12"/>
      <c r="AK118" s="12">
        <v>0.8</v>
      </c>
      <c r="AL118" s="12"/>
      <c r="AM118" s="12">
        <v>0.8</v>
      </c>
      <c r="AP118">
        <v>0</v>
      </c>
      <c r="AQ118" s="12"/>
      <c r="AR118" s="12">
        <v>1</v>
      </c>
      <c r="AS118" s="12"/>
      <c r="AT118" s="12">
        <v>1</v>
      </c>
      <c r="AX118" s="12"/>
      <c r="AY118" s="12">
        <v>1</v>
      </c>
      <c r="AZ118" s="12"/>
      <c r="BA118" s="12">
        <v>1</v>
      </c>
      <c r="BE118" s="12"/>
      <c r="BF118" s="12">
        <v>1</v>
      </c>
      <c r="BG118" s="12"/>
      <c r="BH118" s="12">
        <v>1</v>
      </c>
      <c r="BL118" s="12"/>
      <c r="BM118" s="12">
        <v>1</v>
      </c>
      <c r="BN118" s="12"/>
      <c r="BO118" s="12">
        <v>1</v>
      </c>
      <c r="BS118" s="12"/>
      <c r="BT118" s="12">
        <v>1</v>
      </c>
      <c r="BU118" s="12"/>
      <c r="BV118" s="12">
        <v>1</v>
      </c>
      <c r="BZ118" s="12"/>
      <c r="CA118" s="12"/>
      <c r="CB118" s="12"/>
      <c r="CC118" s="12"/>
      <c r="CG118" s="12"/>
      <c r="CH118" s="12"/>
      <c r="CI118" s="12"/>
      <c r="CJ118" s="12"/>
      <c r="CN118" s="12"/>
      <c r="CO118" s="12"/>
      <c r="CP118" s="12"/>
      <c r="CQ118" s="12"/>
      <c r="CU118" s="12"/>
      <c r="CV118" s="12"/>
      <c r="CW118" s="12"/>
      <c r="CX118" s="12"/>
      <c r="DB118" s="12"/>
      <c r="DC118" s="12"/>
      <c r="DD118" s="12"/>
      <c r="DE118" s="12"/>
      <c r="DI118" s="12"/>
      <c r="DJ118" s="12"/>
      <c r="DK118" s="12"/>
      <c r="DL118" s="12"/>
      <c r="DP118" s="12"/>
      <c r="DQ118" s="12"/>
      <c r="DR118" s="12"/>
      <c r="DS118" s="12"/>
      <c r="DW118" s="12"/>
      <c r="DX118" s="12"/>
      <c r="DY118" s="12"/>
      <c r="DZ118" s="12"/>
      <c r="ED118" s="12"/>
      <c r="EE118" s="12"/>
      <c r="EF118" s="12"/>
      <c r="EG118" s="12"/>
    </row>
    <row r="119" spans="2:137" outlineLevel="1" x14ac:dyDescent="0.2">
      <c r="B119" t="s">
        <v>28</v>
      </c>
      <c r="C119" s="2" t="s">
        <v>144</v>
      </c>
      <c r="D119" s="2"/>
      <c r="E119" s="19"/>
      <c r="F119" t="s">
        <v>152</v>
      </c>
      <c r="G119" s="12">
        <v>0.1</v>
      </c>
      <c r="I119" s="19">
        <f t="shared" si="6"/>
        <v>0</v>
      </c>
      <c r="J119" s="13" cm="1">
        <f t="array" ref="J119">MAX(IF($N$3:$DV$3=$J$3,N119:DV119))</f>
        <v>0</v>
      </c>
      <c r="K119" s="13" cm="1">
        <f t="array" ref="K119">MAX(IF($N$3:$DV$3=$J$3,N119:DV119))</f>
        <v>0</v>
      </c>
      <c r="L119" s="19"/>
      <c r="O119" s="12"/>
      <c r="P119" s="12"/>
      <c r="Q119" s="12"/>
      <c r="R119" s="12"/>
      <c r="V119" s="12"/>
      <c r="W119" s="12"/>
      <c r="X119" s="12"/>
      <c r="Y119" s="12"/>
      <c r="AC119" s="12"/>
      <c r="AD119" s="12">
        <v>0.5</v>
      </c>
      <c r="AE119" s="12"/>
      <c r="AF119" s="12">
        <v>0.5</v>
      </c>
      <c r="AJ119" s="12"/>
      <c r="AK119" s="12">
        <v>0.8</v>
      </c>
      <c r="AL119" s="12"/>
      <c r="AM119" s="12">
        <v>0.8</v>
      </c>
      <c r="AP119">
        <v>0</v>
      </c>
      <c r="AQ119" s="12"/>
      <c r="AR119" s="12">
        <v>1</v>
      </c>
      <c r="AS119" s="12"/>
      <c r="AT119" s="12">
        <v>1</v>
      </c>
      <c r="AX119" s="12"/>
      <c r="AY119" s="12">
        <v>1</v>
      </c>
      <c r="AZ119" s="12"/>
      <c r="BA119" s="12">
        <v>1</v>
      </c>
      <c r="BE119" s="12"/>
      <c r="BF119" s="12">
        <v>1</v>
      </c>
      <c r="BG119" s="12"/>
      <c r="BH119" s="12">
        <v>1</v>
      </c>
      <c r="BL119" s="12"/>
      <c r="BM119" s="12">
        <v>1</v>
      </c>
      <c r="BN119" s="12"/>
      <c r="BO119" s="12">
        <v>1</v>
      </c>
      <c r="BS119" s="12"/>
      <c r="BT119" s="12">
        <v>1</v>
      </c>
      <c r="BU119" s="12"/>
      <c r="BV119" s="12">
        <v>1</v>
      </c>
      <c r="BZ119" s="12"/>
      <c r="CA119" s="12"/>
      <c r="CB119" s="12"/>
      <c r="CC119" s="12"/>
      <c r="CG119" s="12"/>
      <c r="CH119" s="12"/>
      <c r="CI119" s="12"/>
      <c r="CJ119" s="12"/>
      <c r="CN119" s="12"/>
      <c r="CO119" s="12"/>
      <c r="CP119" s="12"/>
      <c r="CQ119" s="12"/>
      <c r="CU119" s="12"/>
      <c r="CV119" s="12"/>
      <c r="CW119" s="12"/>
      <c r="CX119" s="12"/>
      <c r="DB119" s="12"/>
      <c r="DC119" s="12"/>
      <c r="DD119" s="12"/>
      <c r="DE119" s="12"/>
      <c r="DI119" s="12"/>
      <c r="DJ119" s="12"/>
      <c r="DK119" s="12"/>
      <c r="DL119" s="12"/>
      <c r="DP119" s="12"/>
      <c r="DQ119" s="12"/>
      <c r="DR119" s="12"/>
      <c r="DS119" s="12"/>
      <c r="DW119" s="12"/>
      <c r="DX119" s="12"/>
      <c r="DY119" s="12"/>
      <c r="DZ119" s="12"/>
      <c r="ED119" s="12"/>
      <c r="EE119" s="12"/>
      <c r="EF119" s="12"/>
      <c r="EG119" s="12"/>
    </row>
    <row r="120" spans="2:137" outlineLevel="1" x14ac:dyDescent="0.2">
      <c r="B120" t="s">
        <v>28</v>
      </c>
      <c r="C120" s="2" t="s">
        <v>144</v>
      </c>
      <c r="D120" s="2"/>
      <c r="E120" s="19"/>
      <c r="F120" t="s">
        <v>153</v>
      </c>
      <c r="G120" s="12">
        <v>0.1</v>
      </c>
      <c r="I120" s="19">
        <f t="shared" si="6"/>
        <v>0</v>
      </c>
      <c r="J120" s="13" cm="1">
        <f t="array" ref="J120">MAX(IF($N$3:$DV$3=$J$3,N120:DV120))</f>
        <v>0</v>
      </c>
      <c r="K120" s="13" cm="1">
        <f t="array" ref="K120">MAX(IF($N$3:$DV$3=$J$3,N120:DV120))</f>
        <v>0</v>
      </c>
      <c r="L120" s="19"/>
      <c r="O120" s="12"/>
      <c r="P120" s="12"/>
      <c r="Q120" s="12"/>
      <c r="R120" s="12"/>
      <c r="V120" s="12"/>
      <c r="W120" s="12"/>
      <c r="X120" s="12"/>
      <c r="Y120" s="12"/>
      <c r="AC120" s="12"/>
      <c r="AD120" s="12">
        <v>0.5</v>
      </c>
      <c r="AE120" s="12"/>
      <c r="AF120" s="12">
        <v>0.5</v>
      </c>
      <c r="AJ120" s="12"/>
      <c r="AK120" s="12">
        <v>0.8</v>
      </c>
      <c r="AL120" s="12"/>
      <c r="AM120" s="12">
        <v>0.8</v>
      </c>
      <c r="AP120">
        <v>0</v>
      </c>
      <c r="AQ120" s="12"/>
      <c r="AR120" s="12">
        <v>1</v>
      </c>
      <c r="AS120" s="12"/>
      <c r="AT120" s="12">
        <v>1</v>
      </c>
      <c r="AX120" s="12"/>
      <c r="AY120" s="12">
        <v>1</v>
      </c>
      <c r="AZ120" s="12"/>
      <c r="BA120" s="12">
        <v>1</v>
      </c>
      <c r="BE120" s="12"/>
      <c r="BF120" s="12">
        <v>1</v>
      </c>
      <c r="BG120" s="12"/>
      <c r="BH120" s="12">
        <v>1</v>
      </c>
      <c r="BL120" s="12"/>
      <c r="BM120" s="12">
        <v>1</v>
      </c>
      <c r="BN120" s="12"/>
      <c r="BO120" s="12">
        <v>1</v>
      </c>
      <c r="BS120" s="12"/>
      <c r="BT120" s="12">
        <v>1</v>
      </c>
      <c r="BU120" s="12"/>
      <c r="BV120" s="12">
        <v>1</v>
      </c>
      <c r="BZ120" s="12"/>
      <c r="CA120" s="12"/>
      <c r="CB120" s="12"/>
      <c r="CC120" s="12"/>
      <c r="CG120" s="12"/>
      <c r="CH120" s="12"/>
      <c r="CI120" s="12"/>
      <c r="CJ120" s="12"/>
      <c r="CN120" s="12"/>
      <c r="CO120" s="12"/>
      <c r="CP120" s="12"/>
      <c r="CQ120" s="12"/>
      <c r="CU120" s="12"/>
      <c r="CV120" s="12"/>
      <c r="CW120" s="12"/>
      <c r="CX120" s="12"/>
      <c r="DB120" s="12"/>
      <c r="DC120" s="12"/>
      <c r="DD120" s="12"/>
      <c r="DE120" s="12"/>
      <c r="DI120" s="12"/>
      <c r="DJ120" s="12"/>
      <c r="DK120" s="12"/>
      <c r="DL120" s="12"/>
      <c r="DP120" s="12"/>
      <c r="DQ120" s="12"/>
      <c r="DR120" s="12"/>
      <c r="DS120" s="12"/>
      <c r="DW120" s="12"/>
      <c r="DX120" s="12"/>
      <c r="DY120" s="12"/>
      <c r="DZ120" s="12"/>
      <c r="ED120" s="12"/>
      <c r="EE120" s="12"/>
      <c r="EF120" s="12"/>
      <c r="EG120" s="12"/>
    </row>
    <row r="121" spans="2:137" outlineLevel="1" x14ac:dyDescent="0.2">
      <c r="B121" t="s">
        <v>28</v>
      </c>
      <c r="C121" s="2" t="s">
        <v>144</v>
      </c>
      <c r="D121" s="2"/>
      <c r="E121" s="19"/>
      <c r="F121" t="s">
        <v>154</v>
      </c>
      <c r="G121" s="12">
        <v>0.1</v>
      </c>
      <c r="I121" s="19">
        <f t="shared" si="6"/>
        <v>0</v>
      </c>
      <c r="J121" s="13" cm="1">
        <f t="array" ref="J121">MAX(IF($N$3:$DV$3=$J$3,N121:DV121))</f>
        <v>0</v>
      </c>
      <c r="K121" s="13" cm="1">
        <f t="array" ref="K121">MAX(IF($N$3:$DV$3=$J$3,N121:DV121))</f>
        <v>0</v>
      </c>
      <c r="L121" s="19"/>
      <c r="O121" s="12"/>
      <c r="P121" s="12"/>
      <c r="Q121" s="12"/>
      <c r="R121" s="12"/>
      <c r="V121" s="12"/>
      <c r="W121" s="12"/>
      <c r="X121" s="12"/>
      <c r="Y121" s="12"/>
      <c r="AC121" s="12"/>
      <c r="AD121" s="12">
        <v>0.3</v>
      </c>
      <c r="AE121" s="12"/>
      <c r="AF121" s="12">
        <v>0.3</v>
      </c>
      <c r="AJ121" s="12"/>
      <c r="AK121" s="12">
        <v>0.5</v>
      </c>
      <c r="AL121" s="12"/>
      <c r="AM121" s="12">
        <v>0.5</v>
      </c>
      <c r="AP121">
        <v>0</v>
      </c>
      <c r="AQ121" s="12"/>
      <c r="AR121" s="12">
        <v>1</v>
      </c>
      <c r="AS121" s="12"/>
      <c r="AT121" s="12">
        <v>1</v>
      </c>
      <c r="AX121" s="12"/>
      <c r="AY121" s="12">
        <v>1</v>
      </c>
      <c r="AZ121" s="12"/>
      <c r="BA121" s="12">
        <v>1</v>
      </c>
      <c r="BE121" s="12"/>
      <c r="BF121" s="12">
        <v>1</v>
      </c>
      <c r="BG121" s="12"/>
      <c r="BH121" s="12">
        <v>1</v>
      </c>
      <c r="BL121" s="12"/>
      <c r="BM121" s="12">
        <v>1</v>
      </c>
      <c r="BN121" s="12"/>
      <c r="BO121" s="12">
        <v>1</v>
      </c>
      <c r="BS121" s="12"/>
      <c r="BT121" s="12">
        <v>1</v>
      </c>
      <c r="BU121" s="12"/>
      <c r="BV121" s="12">
        <v>1</v>
      </c>
      <c r="BZ121" s="12"/>
      <c r="CA121" s="12"/>
      <c r="CB121" s="12"/>
      <c r="CC121" s="12"/>
      <c r="CG121" s="12"/>
      <c r="CH121" s="12"/>
      <c r="CI121" s="12"/>
      <c r="CJ121" s="12"/>
      <c r="CN121" s="12"/>
      <c r="CO121" s="12"/>
      <c r="CP121" s="12"/>
      <c r="CQ121" s="12"/>
      <c r="CU121" s="12"/>
      <c r="CV121" s="12"/>
      <c r="CW121" s="12"/>
      <c r="CX121" s="12"/>
      <c r="DB121" s="12"/>
      <c r="DC121" s="12"/>
      <c r="DD121" s="12"/>
      <c r="DE121" s="12"/>
      <c r="DI121" s="12"/>
      <c r="DJ121" s="12"/>
      <c r="DK121" s="12"/>
      <c r="DL121" s="12"/>
      <c r="DP121" s="12"/>
      <c r="DQ121" s="12"/>
      <c r="DR121" s="12"/>
      <c r="DS121" s="12"/>
      <c r="DW121" s="12"/>
      <c r="DX121" s="12"/>
      <c r="DY121" s="12"/>
      <c r="DZ121" s="12"/>
      <c r="ED121" s="12"/>
      <c r="EE121" s="12"/>
      <c r="EF121" s="12"/>
      <c r="EG121" s="12"/>
    </row>
    <row r="122" spans="2:137" outlineLevel="1" x14ac:dyDescent="0.2">
      <c r="B122" t="s">
        <v>28</v>
      </c>
      <c r="C122" s="2" t="s">
        <v>144</v>
      </c>
      <c r="D122" s="2"/>
      <c r="E122" s="19"/>
      <c r="F122" t="s">
        <v>155</v>
      </c>
      <c r="G122" s="12">
        <v>0.1</v>
      </c>
      <c r="I122" s="19">
        <f t="shared" si="6"/>
        <v>0</v>
      </c>
      <c r="J122" s="13" cm="1">
        <f t="array" ref="J122">MAX(IF($N$3:$DV$3=$J$3,N122:DV122))</f>
        <v>0</v>
      </c>
      <c r="K122" s="13" cm="1">
        <f t="array" ref="K122">MAX(IF($N$3:$DV$3=$J$3,N122:DV122))</f>
        <v>0</v>
      </c>
      <c r="L122" s="19"/>
      <c r="O122" s="12"/>
      <c r="P122" s="12"/>
      <c r="Q122" s="12"/>
      <c r="R122" s="12"/>
      <c r="V122" s="12"/>
      <c r="W122" s="12"/>
      <c r="X122" s="12"/>
      <c r="Y122" s="12"/>
      <c r="AC122" s="12"/>
      <c r="AD122" s="12"/>
      <c r="AE122" s="12"/>
      <c r="AF122" s="12"/>
      <c r="AJ122" s="12"/>
      <c r="AK122" s="12">
        <v>0.5</v>
      </c>
      <c r="AL122" s="12"/>
      <c r="AM122" s="12">
        <v>0.5</v>
      </c>
      <c r="AP122">
        <v>0</v>
      </c>
      <c r="AQ122" s="12"/>
      <c r="AR122" s="12">
        <v>1</v>
      </c>
      <c r="AS122" s="12"/>
      <c r="AT122" s="12">
        <v>1</v>
      </c>
      <c r="AX122" s="12"/>
      <c r="AY122" s="12">
        <v>1</v>
      </c>
      <c r="AZ122" s="12"/>
      <c r="BA122" s="12">
        <v>1</v>
      </c>
      <c r="BE122" s="12"/>
      <c r="BF122" s="12">
        <v>1</v>
      </c>
      <c r="BG122" s="12"/>
      <c r="BH122" s="12">
        <v>1</v>
      </c>
      <c r="BL122" s="12"/>
      <c r="BM122" s="12">
        <v>1</v>
      </c>
      <c r="BN122" s="12"/>
      <c r="BO122" s="12">
        <v>1</v>
      </c>
      <c r="BS122" s="12"/>
      <c r="BT122" s="12">
        <v>1</v>
      </c>
      <c r="BU122" s="12"/>
      <c r="BV122" s="12">
        <v>1</v>
      </c>
      <c r="BZ122" s="12"/>
      <c r="CA122" s="12"/>
      <c r="CB122" s="12"/>
      <c r="CC122" s="12"/>
      <c r="CG122" s="12"/>
      <c r="CH122" s="12"/>
      <c r="CI122" s="12"/>
      <c r="CJ122" s="12"/>
      <c r="CN122" s="12"/>
      <c r="CO122" s="12"/>
      <c r="CP122" s="12"/>
      <c r="CQ122" s="12"/>
      <c r="CU122" s="12"/>
      <c r="CV122" s="12"/>
      <c r="CW122" s="12"/>
      <c r="CX122" s="12"/>
      <c r="DB122" s="12"/>
      <c r="DC122" s="12"/>
      <c r="DD122" s="12"/>
      <c r="DE122" s="12"/>
      <c r="DI122" s="12"/>
      <c r="DJ122" s="12"/>
      <c r="DK122" s="12"/>
      <c r="DL122" s="12"/>
      <c r="DP122" s="12"/>
      <c r="DQ122" s="12"/>
      <c r="DR122" s="12"/>
      <c r="DS122" s="12"/>
      <c r="DW122" s="12"/>
      <c r="DX122" s="12"/>
      <c r="DY122" s="12"/>
      <c r="DZ122" s="12"/>
      <c r="ED122" s="12"/>
      <c r="EE122" s="12"/>
      <c r="EF122" s="12"/>
      <c r="EG122" s="12"/>
    </row>
  </sheetData>
  <mergeCells count="19">
    <mergeCell ref="BR2:BW2"/>
    <mergeCell ref="BY2:CD2"/>
    <mergeCell ref="CF2:CK2"/>
    <mergeCell ref="BK2:BP2"/>
    <mergeCell ref="I2:L2"/>
    <mergeCell ref="N2:S2"/>
    <mergeCell ref="BD2:BI2"/>
    <mergeCell ref="U2:Z2"/>
    <mergeCell ref="AB2:AG2"/>
    <mergeCell ref="AI2:AN2"/>
    <mergeCell ref="AP2:AU2"/>
    <mergeCell ref="AW2:BB2"/>
    <mergeCell ref="DV2:EA2"/>
    <mergeCell ref="EC2:EH2"/>
    <mergeCell ref="CM2:CR2"/>
    <mergeCell ref="CT2:CY2"/>
    <mergeCell ref="DA2:DF2"/>
    <mergeCell ref="DH2:DM2"/>
    <mergeCell ref="DO2:DT2"/>
  </mergeCells>
  <conditionalFormatting sqref="J6:K17">
    <cfRule type="colorScale" priority="4340">
      <colorScale>
        <cfvo type="percent" val="0"/>
        <cfvo type="percent" val="100"/>
        <color rgb="FFFF231B"/>
        <color rgb="FF10FF07"/>
      </colorScale>
    </cfRule>
  </conditionalFormatting>
  <conditionalFormatting sqref="O20:O24 Q20:Q24 AJ114:AJ122 AL114:AL122 Q114:Q122 O114:O122 X114:X122 V114:V122 AE114:AE122 AC114:AC122 AS114:AS122 AQ114:AQ122 O5:O17">
    <cfRule type="expression" dxfId="2202" priority="4338">
      <formula>OR(IF(O5&lt;P5,TRUE),IF(AND(P5="",O5&lt;&gt;""),TRUE))</formula>
    </cfRule>
    <cfRule type="expression" dxfId="2201" priority="4339">
      <formula>IF(O5&gt;=P5,IF(O5="",FALSE,TRUE))</formula>
    </cfRule>
  </conditionalFormatting>
  <conditionalFormatting sqref="Q5:Q17">
    <cfRule type="expression" dxfId="2200" priority="4336">
      <formula>OR(IF(Q5&lt;R5,TRUE),IF(AND(R5="",Q5&lt;&gt;""),TRUE))</formula>
    </cfRule>
    <cfRule type="expression" dxfId="2199" priority="4337">
      <formula>IF(Q5&gt;=R5,IF(Q5="",FALSE,TRUE))</formula>
    </cfRule>
  </conditionalFormatting>
  <conditionalFormatting sqref="AJ36:AJ45">
    <cfRule type="expression" dxfId="2198" priority="4209">
      <formula>OR(IF(AJ36&lt;AK36,TRUE),IF(AND(AK36="",AJ36&lt;&gt;""),TRUE))</formula>
    </cfRule>
    <cfRule type="expression" dxfId="2197" priority="4210">
      <formula>IF(AJ36&gt;=AK36,IF(AJ36="",FALSE,TRUE))</formula>
    </cfRule>
  </conditionalFormatting>
  <conditionalFormatting sqref="AL36:AL45">
    <cfRule type="expression" dxfId="2196" priority="4207">
      <formula>OR(IF(AL36&lt;AM36,TRUE),IF(AND(AM36="",AL36&lt;&gt;""),TRUE))</formula>
    </cfRule>
    <cfRule type="expression" dxfId="2195" priority="4208">
      <formula>IF(AL36&gt;=AM36,IF(AL36="",FALSE,TRUE))</formula>
    </cfRule>
  </conditionalFormatting>
  <conditionalFormatting sqref="AQ20:AQ24 AS20:AS24 AQ5:AQ17">
    <cfRule type="expression" dxfId="2194" priority="4205">
      <formula>OR(IF(AQ5&lt;AR5,TRUE),IF(AND(AR5="",AQ5&lt;&gt;""),TRUE))</formula>
    </cfRule>
    <cfRule type="expression" dxfId="2193" priority="4206">
      <formula>IF(AQ5&gt;=AR5,IF(AQ5="",FALSE,TRUE))</formula>
    </cfRule>
  </conditionalFormatting>
  <conditionalFormatting sqref="AS5:AS17">
    <cfRule type="expression" dxfId="2192" priority="4203">
      <formula>OR(IF(AS5&lt;AT5,TRUE),IF(AND(AT5="",AS5&lt;&gt;""),TRUE))</formula>
    </cfRule>
    <cfRule type="expression" dxfId="2191" priority="4204">
      <formula>IF(AS5&gt;=AT5,IF(AS5="",FALSE,TRUE))</formula>
    </cfRule>
  </conditionalFormatting>
  <conditionalFormatting sqref="O34:O35">
    <cfRule type="expression" dxfId="2190" priority="4279">
      <formula>OR(IF(O34&lt;P34,TRUE),IF(AND(P34="",O34&lt;&gt;""),TRUE))</formula>
    </cfRule>
    <cfRule type="expression" dxfId="2189" priority="4280">
      <formula>IF(O34&gt;=P34,IF(O34="",FALSE,TRUE))</formula>
    </cfRule>
  </conditionalFormatting>
  <conditionalFormatting sqref="Q34:Q35">
    <cfRule type="expression" dxfId="2188" priority="4277">
      <formula>OR(IF(Q34&lt;R34,TRUE),IF(AND(R34="",Q34&lt;&gt;""),TRUE))</formula>
    </cfRule>
    <cfRule type="expression" dxfId="2187" priority="4278">
      <formula>IF(Q34&gt;=R34,IF(Q34="",FALSE,TRUE))</formula>
    </cfRule>
  </conditionalFormatting>
  <conditionalFormatting sqref="Q36:Q45">
    <cfRule type="expression" dxfId="2186" priority="4255">
      <formula>OR(IF(Q36&lt;R36,TRUE),IF(AND(R36="",Q36&lt;&gt;""),TRUE))</formula>
    </cfRule>
    <cfRule type="expression" dxfId="2185" priority="4256">
      <formula>IF(Q36&gt;=R36,IF(Q36="",FALSE,TRUE))</formula>
    </cfRule>
  </conditionalFormatting>
  <conditionalFormatting sqref="O25">
    <cfRule type="expression" dxfId="2184" priority="4261">
      <formula>OR(IF(O25&lt;P25,TRUE),IF(AND(P25="",O25&lt;&gt;""),TRUE))</formula>
    </cfRule>
    <cfRule type="expression" dxfId="2183" priority="4262">
      <formula>IF(O25&gt;=P25,IF(O25="",FALSE,TRUE))</formula>
    </cfRule>
  </conditionalFormatting>
  <conditionalFormatting sqref="Q25">
    <cfRule type="expression" dxfId="2182" priority="4259">
      <formula>OR(IF(Q25&lt;R25,TRUE),IF(AND(R25="",Q25&lt;&gt;""),TRUE))</formula>
    </cfRule>
    <cfRule type="expression" dxfId="2181" priority="4260">
      <formula>IF(Q25&gt;=R25,IF(Q25="",FALSE,TRUE))</formula>
    </cfRule>
  </conditionalFormatting>
  <conditionalFormatting sqref="O36:O45">
    <cfRule type="expression" dxfId="2180" priority="4257">
      <formula>OR(IF(O36&lt;P36,TRUE),IF(AND(P36="",O36&lt;&gt;""),TRUE))</formula>
    </cfRule>
    <cfRule type="expression" dxfId="2179" priority="4258">
      <formula>IF(O36&gt;=P36,IF(O36="",FALSE,TRUE))</formula>
    </cfRule>
  </conditionalFormatting>
  <conditionalFormatting sqref="V20:V24 X20:X24 V5:V17">
    <cfRule type="expression" dxfId="2178" priority="4253">
      <formula>OR(IF(V5&lt;W5,TRUE),IF(AND(W5="",V5&lt;&gt;""),TRUE))</formula>
    </cfRule>
    <cfRule type="expression" dxfId="2177" priority="4254">
      <formula>IF(V5&gt;=W5,IF(V5="",FALSE,TRUE))</formula>
    </cfRule>
  </conditionalFormatting>
  <conditionalFormatting sqref="X5:X17">
    <cfRule type="expression" dxfId="2176" priority="4251">
      <formula>OR(IF(X5&lt;Y5,TRUE),IF(AND(Y5="",X5&lt;&gt;""),TRUE))</formula>
    </cfRule>
    <cfRule type="expression" dxfId="2175" priority="4252">
      <formula>IF(X5&gt;=Y5,IF(X5="",FALSE,TRUE))</formula>
    </cfRule>
  </conditionalFormatting>
  <conditionalFormatting sqref="V34:V35">
    <cfRule type="expression" dxfId="2174" priority="4249">
      <formula>OR(IF(V34&lt;W34,TRUE),IF(AND(W34="",V34&lt;&gt;""),TRUE))</formula>
    </cfRule>
    <cfRule type="expression" dxfId="2173" priority="4250">
      <formula>IF(V34&gt;=W34,IF(V34="",FALSE,TRUE))</formula>
    </cfRule>
  </conditionalFormatting>
  <conditionalFormatting sqref="X34:X35">
    <cfRule type="expression" dxfId="2172" priority="4247">
      <formula>OR(IF(X34&lt;Y34,TRUE),IF(AND(Y34="",X34&lt;&gt;""),TRUE))</formula>
    </cfRule>
    <cfRule type="expression" dxfId="2171" priority="4248">
      <formula>IF(X34&gt;=Y34,IF(X34="",FALSE,TRUE))</formula>
    </cfRule>
  </conditionalFormatting>
  <conditionalFormatting sqref="X36:X45">
    <cfRule type="expression" dxfId="2170" priority="4239">
      <formula>OR(IF(X36&lt;Y36,TRUE),IF(AND(Y36="",X36&lt;&gt;""),TRUE))</formula>
    </cfRule>
    <cfRule type="expression" dxfId="2169" priority="4240">
      <formula>IF(X36&gt;=Y36,IF(X36="",FALSE,TRUE))</formula>
    </cfRule>
  </conditionalFormatting>
  <conditionalFormatting sqref="V25">
    <cfRule type="expression" dxfId="2168" priority="4245">
      <formula>OR(IF(V25&lt;W25,TRUE),IF(AND(W25="",V25&lt;&gt;""),TRUE))</formula>
    </cfRule>
    <cfRule type="expression" dxfId="2167" priority="4246">
      <formula>IF(V25&gt;=W25,IF(V25="",FALSE,TRUE))</formula>
    </cfRule>
  </conditionalFormatting>
  <conditionalFormatting sqref="X25">
    <cfRule type="expression" dxfId="2166" priority="4243">
      <formula>OR(IF(X25&lt;Y25,TRUE),IF(AND(Y25="",X25&lt;&gt;""),TRUE))</formula>
    </cfRule>
    <cfRule type="expression" dxfId="2165" priority="4244">
      <formula>IF(X25&gt;=Y25,IF(X25="",FALSE,TRUE))</formula>
    </cfRule>
  </conditionalFormatting>
  <conditionalFormatting sqref="V36:V45">
    <cfRule type="expression" dxfId="2164" priority="4241">
      <formula>OR(IF(V36&lt;W36,TRUE),IF(AND(W36="",V36&lt;&gt;""),TRUE))</formula>
    </cfRule>
    <cfRule type="expression" dxfId="2163" priority="4242">
      <formula>IF(V36&gt;=W36,IF(V36="",FALSE,TRUE))</formula>
    </cfRule>
  </conditionalFormatting>
  <conditionalFormatting sqref="AC20:AC24 AE20:AE24 AC5:AC17">
    <cfRule type="expression" dxfId="2162" priority="4237">
      <formula>OR(IF(AC5&lt;AD5,TRUE),IF(AND(AD5="",AC5&lt;&gt;""),TRUE))</formula>
    </cfRule>
    <cfRule type="expression" dxfId="2161" priority="4238">
      <formula>IF(AC5&gt;=AD5,IF(AC5="",FALSE,TRUE))</formula>
    </cfRule>
  </conditionalFormatting>
  <conditionalFormatting sqref="AE5:AE17">
    <cfRule type="expression" dxfId="2160" priority="4235">
      <formula>OR(IF(AE5&lt;AF5,TRUE),IF(AND(AF5="",AE5&lt;&gt;""),TRUE))</formula>
    </cfRule>
    <cfRule type="expression" dxfId="2159" priority="4236">
      <formula>IF(AE5&gt;=AF5,IF(AE5="",FALSE,TRUE))</formula>
    </cfRule>
  </conditionalFormatting>
  <conditionalFormatting sqref="AC34:AC35">
    <cfRule type="expression" dxfId="2158" priority="4233">
      <formula>OR(IF(AC34&lt;AD34,TRUE),IF(AND(AD34="",AC34&lt;&gt;""),TRUE))</formula>
    </cfRule>
    <cfRule type="expression" dxfId="2157" priority="4234">
      <formula>IF(AC34&gt;=AD34,IF(AC34="",FALSE,TRUE))</formula>
    </cfRule>
  </conditionalFormatting>
  <conditionalFormatting sqref="AE34:AE35">
    <cfRule type="expression" dxfId="2156" priority="4231">
      <formula>OR(IF(AE34&lt;AF34,TRUE),IF(AND(AF34="",AE34&lt;&gt;""),TRUE))</formula>
    </cfRule>
    <cfRule type="expression" dxfId="2155" priority="4232">
      <formula>IF(AE34&gt;=AF34,IF(AE34="",FALSE,TRUE))</formula>
    </cfRule>
  </conditionalFormatting>
  <conditionalFormatting sqref="AE36:AE45">
    <cfRule type="expression" dxfId="2154" priority="4223">
      <formula>OR(IF(AE36&lt;AF36,TRUE),IF(AND(AF36="",AE36&lt;&gt;""),TRUE))</formula>
    </cfRule>
    <cfRule type="expression" dxfId="2153" priority="4224">
      <formula>IF(AE36&gt;=AF36,IF(AE36="",FALSE,TRUE))</formula>
    </cfRule>
  </conditionalFormatting>
  <conditionalFormatting sqref="AC25">
    <cfRule type="expression" dxfId="2152" priority="4229">
      <formula>OR(IF(AC25&lt;AD25,TRUE),IF(AND(AD25="",AC25&lt;&gt;""),TRUE))</formula>
    </cfRule>
    <cfRule type="expression" dxfId="2151" priority="4230">
      <formula>IF(AC25&gt;=AD25,IF(AC25="",FALSE,TRUE))</formula>
    </cfRule>
  </conditionalFormatting>
  <conditionalFormatting sqref="AE25">
    <cfRule type="expression" dxfId="2150" priority="4227">
      <formula>OR(IF(AE25&lt;AF25,TRUE),IF(AND(AF25="",AE25&lt;&gt;""),TRUE))</formula>
    </cfRule>
    <cfRule type="expression" dxfId="2149" priority="4228">
      <formula>IF(AE25&gt;=AF25,IF(AE25="",FALSE,TRUE))</formula>
    </cfRule>
  </conditionalFormatting>
  <conditionalFormatting sqref="AC36:AC45">
    <cfRule type="expression" dxfId="2148" priority="4225">
      <formula>OR(IF(AC36&lt;AD36,TRUE),IF(AND(AD36="",AC36&lt;&gt;""),TRUE))</formula>
    </cfRule>
    <cfRule type="expression" dxfId="2147" priority="4226">
      <formula>IF(AC36&gt;=AD36,IF(AC36="",FALSE,TRUE))</formula>
    </cfRule>
  </conditionalFormatting>
  <conditionalFormatting sqref="AJ20:AJ24 AL20:AL24 AJ5:AJ17">
    <cfRule type="expression" dxfId="2146" priority="4221">
      <formula>OR(IF(AJ5&lt;AK5,TRUE),IF(AND(AK5="",AJ5&lt;&gt;""),TRUE))</formula>
    </cfRule>
    <cfRule type="expression" dxfId="2145" priority="4222">
      <formula>IF(AJ5&gt;=AK5,IF(AJ5="",FALSE,TRUE))</formula>
    </cfRule>
  </conditionalFormatting>
  <conditionalFormatting sqref="AL5:AL17">
    <cfRule type="expression" dxfId="2144" priority="4219">
      <formula>OR(IF(AL5&lt;AM5,TRUE),IF(AND(AM5="",AL5&lt;&gt;""),TRUE))</formula>
    </cfRule>
    <cfRule type="expression" dxfId="2143" priority="4220">
      <formula>IF(AL5&gt;=AM5,IF(AL5="",FALSE,TRUE))</formula>
    </cfRule>
  </conditionalFormatting>
  <conditionalFormatting sqref="AJ34:AJ35">
    <cfRule type="expression" dxfId="2142" priority="4217">
      <formula>OR(IF(AJ34&lt;AK34,TRUE),IF(AND(AK34="",AJ34&lt;&gt;""),TRUE))</formula>
    </cfRule>
    <cfRule type="expression" dxfId="2141" priority="4218">
      <formula>IF(AJ34&gt;=AK34,IF(AJ34="",FALSE,TRUE))</formula>
    </cfRule>
  </conditionalFormatting>
  <conditionalFormatting sqref="AL34:AL35">
    <cfRule type="expression" dxfId="2140" priority="4215">
      <formula>OR(IF(AL34&lt;AM34,TRUE),IF(AND(AM34="",AL34&lt;&gt;""),TRUE))</formula>
    </cfRule>
    <cfRule type="expression" dxfId="2139" priority="4216">
      <formula>IF(AL34&gt;=AM34,IF(AL34="",FALSE,TRUE))</formula>
    </cfRule>
  </conditionalFormatting>
  <conditionalFormatting sqref="AJ25">
    <cfRule type="expression" dxfId="2138" priority="4213">
      <formula>OR(IF(AJ25&lt;AK25,TRUE),IF(AND(AK25="",AJ25&lt;&gt;""),TRUE))</formula>
    </cfRule>
    <cfRule type="expression" dxfId="2137" priority="4214">
      <formula>IF(AJ25&gt;=AK25,IF(AJ25="",FALSE,TRUE))</formula>
    </cfRule>
  </conditionalFormatting>
  <conditionalFormatting sqref="AL25">
    <cfRule type="expression" dxfId="2136" priority="4211">
      <formula>OR(IF(AL25&lt;AM25,TRUE),IF(AND(AM25="",AL25&lt;&gt;""),TRUE))</formula>
    </cfRule>
    <cfRule type="expression" dxfId="2135" priority="4212">
      <formula>IF(AL25&gt;=AM25,IF(AL25="",FALSE,TRUE))</formula>
    </cfRule>
  </conditionalFormatting>
  <conditionalFormatting sqref="AQ34:AQ35">
    <cfRule type="expression" dxfId="2134" priority="4201">
      <formula>OR(IF(AQ34&lt;AR34,TRUE),IF(AND(AR34="",AQ34&lt;&gt;""),TRUE))</formula>
    </cfRule>
    <cfRule type="expression" dxfId="2133" priority="4202">
      <formula>IF(AQ34&gt;=AR34,IF(AQ34="",FALSE,TRUE))</formula>
    </cfRule>
  </conditionalFormatting>
  <conditionalFormatting sqref="AS34:AS35">
    <cfRule type="expression" dxfId="2132" priority="4199">
      <formula>OR(IF(AS34&lt;AT34,TRUE),IF(AND(AT34="",AS34&lt;&gt;""),TRUE))</formula>
    </cfRule>
    <cfRule type="expression" dxfId="2131" priority="4200">
      <formula>IF(AS34&gt;=AT34,IF(AS34="",FALSE,TRUE))</formula>
    </cfRule>
  </conditionalFormatting>
  <conditionalFormatting sqref="AS36:AS45">
    <cfRule type="expression" dxfId="2130" priority="4191">
      <formula>OR(IF(AS36&lt;AT36,TRUE),IF(AND(AT36="",AS36&lt;&gt;""),TRUE))</formula>
    </cfRule>
    <cfRule type="expression" dxfId="2129" priority="4192">
      <formula>IF(AS36&gt;=AT36,IF(AS36="",FALSE,TRUE))</formula>
    </cfRule>
  </conditionalFormatting>
  <conditionalFormatting sqref="AQ25">
    <cfRule type="expression" dxfId="2128" priority="4197">
      <formula>OR(IF(AQ25&lt;AR25,TRUE),IF(AND(AR25="",AQ25&lt;&gt;""),TRUE))</formula>
    </cfRule>
    <cfRule type="expression" dxfId="2127" priority="4198">
      <formula>IF(AQ25&gt;=AR25,IF(AQ25="",FALSE,TRUE))</formula>
    </cfRule>
  </conditionalFormatting>
  <conditionalFormatting sqref="AS25">
    <cfRule type="expression" dxfId="2126" priority="4195">
      <formula>OR(IF(AS25&lt;AT25,TRUE),IF(AND(AT25="",AS25&lt;&gt;""),TRUE))</formula>
    </cfRule>
    <cfRule type="expression" dxfId="2125" priority="4196">
      <formula>IF(AS25&gt;=AT25,IF(AS25="",FALSE,TRUE))</formula>
    </cfRule>
  </conditionalFormatting>
  <conditionalFormatting sqref="AQ36:AQ45">
    <cfRule type="expression" dxfId="2124" priority="4193">
      <formula>OR(IF(AQ36&lt;AR36,TRUE),IF(AND(AR36="",AQ36&lt;&gt;""),TRUE))</formula>
    </cfRule>
    <cfRule type="expression" dxfId="2123" priority="4194">
      <formula>IF(AQ36&gt;=AR36,IF(AQ36="",FALSE,TRUE))</formula>
    </cfRule>
  </conditionalFormatting>
  <conditionalFormatting sqref="J5:J17">
    <cfRule type="colorScale" priority="4158">
      <colorScale>
        <cfvo type="percent" val="0"/>
        <cfvo type="percent" val="100"/>
        <color rgb="FFFF231B"/>
        <color rgb="FF10FF07"/>
      </colorScale>
    </cfRule>
  </conditionalFormatting>
  <conditionalFormatting sqref="K5:K17">
    <cfRule type="colorScale" priority="4157">
      <colorScale>
        <cfvo type="percent" val="0"/>
        <cfvo type="percent" val="100"/>
        <color rgb="FFFF231B"/>
        <color rgb="FF10FF07"/>
      </colorScale>
    </cfRule>
  </conditionalFormatting>
  <conditionalFormatting sqref="J35:K45">
    <cfRule type="colorScale" priority="4156">
      <colorScale>
        <cfvo type="percent" val="0"/>
        <cfvo type="percent" val="100"/>
        <color rgb="FFFF231B"/>
        <color rgb="FF10FF07"/>
      </colorScale>
    </cfRule>
  </conditionalFormatting>
  <conditionalFormatting sqref="J34:J45">
    <cfRule type="colorScale" priority="4155">
      <colorScale>
        <cfvo type="percent" val="0"/>
        <cfvo type="percent" val="100"/>
        <color rgb="FFFF231B"/>
        <color rgb="FF10FF07"/>
      </colorScale>
    </cfRule>
  </conditionalFormatting>
  <conditionalFormatting sqref="K34:K45">
    <cfRule type="colorScale" priority="4154">
      <colorScale>
        <cfvo type="percent" val="0"/>
        <cfvo type="percent" val="100"/>
        <color rgb="FFFF231B"/>
        <color rgb="FF10FF07"/>
      </colorScale>
    </cfRule>
  </conditionalFormatting>
  <conditionalFormatting sqref="J21:K25">
    <cfRule type="colorScale" priority="4153">
      <colorScale>
        <cfvo type="percent" val="0"/>
        <cfvo type="percent" val="100"/>
        <color rgb="FFFF231B"/>
        <color rgb="FF10FF07"/>
      </colorScale>
    </cfRule>
  </conditionalFormatting>
  <conditionalFormatting sqref="J20:J25">
    <cfRule type="colorScale" priority="4152">
      <colorScale>
        <cfvo type="percent" val="0"/>
        <cfvo type="percent" val="100"/>
        <color rgb="FFFF231B"/>
        <color rgb="FF10FF07"/>
      </colorScale>
    </cfRule>
  </conditionalFormatting>
  <conditionalFormatting sqref="K20:K25">
    <cfRule type="colorScale" priority="4151">
      <colorScale>
        <cfvo type="percent" val="0"/>
        <cfvo type="percent" val="100"/>
        <color rgb="FFFF231B"/>
        <color rgb="FF10FF07"/>
      </colorScale>
    </cfRule>
  </conditionalFormatting>
  <conditionalFormatting sqref="AJ51:AJ60">
    <cfRule type="expression" dxfId="2122" priority="4121">
      <formula>OR(IF(AJ51&lt;AK51,TRUE),IF(AND(AK51="",AJ51&lt;&gt;""),TRUE))</formula>
    </cfRule>
    <cfRule type="expression" dxfId="2121" priority="4122">
      <formula>IF(AJ51&gt;=AK51,IF(AJ51="",FALSE,TRUE))</formula>
    </cfRule>
  </conditionalFormatting>
  <conditionalFormatting sqref="AL51:AL60">
    <cfRule type="expression" dxfId="2120" priority="4119">
      <formula>OR(IF(AL51&lt;AM51,TRUE),IF(AND(AM51="",AL51&lt;&gt;""),TRUE))</formula>
    </cfRule>
    <cfRule type="expression" dxfId="2119" priority="4120">
      <formula>IF(AL51&gt;=AM51,IF(AL51="",FALSE,TRUE))</formula>
    </cfRule>
  </conditionalFormatting>
  <conditionalFormatting sqref="O49:O50">
    <cfRule type="expression" dxfId="2118" priority="4149">
      <formula>OR(IF(O49&lt;P49,TRUE),IF(AND(P49="",O49&lt;&gt;""),TRUE))</formula>
    </cfRule>
    <cfRule type="expression" dxfId="2117" priority="4150">
      <formula>IF(O49&gt;=P49,IF(O49="",FALSE,TRUE))</formula>
    </cfRule>
  </conditionalFormatting>
  <conditionalFormatting sqref="Q49:Q50">
    <cfRule type="expression" dxfId="2116" priority="4147">
      <formula>OR(IF(Q49&lt;R49,TRUE),IF(AND(R49="",Q49&lt;&gt;""),TRUE))</formula>
    </cfRule>
    <cfRule type="expression" dxfId="2115" priority="4148">
      <formula>IF(Q49&gt;=R49,IF(Q49="",FALSE,TRUE))</formula>
    </cfRule>
  </conditionalFormatting>
  <conditionalFormatting sqref="Q51:Q60">
    <cfRule type="expression" dxfId="2114" priority="4143">
      <formula>OR(IF(Q51&lt;R51,TRUE),IF(AND(R51="",Q51&lt;&gt;""),TRUE))</formula>
    </cfRule>
    <cfRule type="expression" dxfId="2113" priority="4144">
      <formula>IF(Q51&gt;=R51,IF(Q51="",FALSE,TRUE))</formula>
    </cfRule>
  </conditionalFormatting>
  <conditionalFormatting sqref="O51:O60">
    <cfRule type="expression" dxfId="2112" priority="4145">
      <formula>OR(IF(O51&lt;P51,TRUE),IF(AND(P51="",O51&lt;&gt;""),TRUE))</formula>
    </cfRule>
    <cfRule type="expression" dxfId="2111" priority="4146">
      <formula>IF(O51&gt;=P51,IF(O51="",FALSE,TRUE))</formula>
    </cfRule>
  </conditionalFormatting>
  <conditionalFormatting sqref="V49:V50">
    <cfRule type="expression" dxfId="2110" priority="4141">
      <formula>OR(IF(V49&lt;W49,TRUE),IF(AND(W49="",V49&lt;&gt;""),TRUE))</formula>
    </cfRule>
    <cfRule type="expression" dxfId="2109" priority="4142">
      <formula>IF(V49&gt;=W49,IF(V49="",FALSE,TRUE))</formula>
    </cfRule>
  </conditionalFormatting>
  <conditionalFormatting sqref="X49:X50">
    <cfRule type="expression" dxfId="2108" priority="4139">
      <formula>OR(IF(X49&lt;Y49,TRUE),IF(AND(Y49="",X49&lt;&gt;""),TRUE))</formula>
    </cfRule>
    <cfRule type="expression" dxfId="2107" priority="4140">
      <formula>IF(X49&gt;=Y49,IF(X49="",FALSE,TRUE))</formula>
    </cfRule>
  </conditionalFormatting>
  <conditionalFormatting sqref="X51:X60">
    <cfRule type="expression" dxfId="2106" priority="4135">
      <formula>OR(IF(X51&lt;Y51,TRUE),IF(AND(Y51="",X51&lt;&gt;""),TRUE))</formula>
    </cfRule>
    <cfRule type="expression" dxfId="2105" priority="4136">
      <formula>IF(X51&gt;=Y51,IF(X51="",FALSE,TRUE))</formula>
    </cfRule>
  </conditionalFormatting>
  <conditionalFormatting sqref="V51:V60">
    <cfRule type="expression" dxfId="2104" priority="4137">
      <formula>OR(IF(V51&lt;W51,TRUE),IF(AND(W51="",V51&lt;&gt;""),TRUE))</formula>
    </cfRule>
    <cfRule type="expression" dxfId="2103" priority="4138">
      <formula>IF(V51&gt;=W51,IF(V51="",FALSE,TRUE))</formula>
    </cfRule>
  </conditionalFormatting>
  <conditionalFormatting sqref="AC49:AC50">
    <cfRule type="expression" dxfId="2102" priority="4133">
      <formula>OR(IF(AC49&lt;AD49,TRUE),IF(AND(AD49="",AC49&lt;&gt;""),TRUE))</formula>
    </cfRule>
    <cfRule type="expression" dxfId="2101" priority="4134">
      <formula>IF(AC49&gt;=AD49,IF(AC49="",FALSE,TRUE))</formula>
    </cfRule>
  </conditionalFormatting>
  <conditionalFormatting sqref="AE49:AE50">
    <cfRule type="expression" dxfId="2100" priority="4131">
      <formula>OR(IF(AE49&lt;AF49,TRUE),IF(AND(AF49="",AE49&lt;&gt;""),TRUE))</formula>
    </cfRule>
    <cfRule type="expression" dxfId="2099" priority="4132">
      <formula>IF(AE49&gt;=AF49,IF(AE49="",FALSE,TRUE))</formula>
    </cfRule>
  </conditionalFormatting>
  <conditionalFormatting sqref="AE51:AE60">
    <cfRule type="expression" dxfId="2098" priority="4127">
      <formula>OR(IF(AE51&lt;AF51,TRUE),IF(AND(AF51="",AE51&lt;&gt;""),TRUE))</formula>
    </cfRule>
    <cfRule type="expression" dxfId="2097" priority="4128">
      <formula>IF(AE51&gt;=AF51,IF(AE51="",FALSE,TRUE))</formula>
    </cfRule>
  </conditionalFormatting>
  <conditionalFormatting sqref="AC51:AC60">
    <cfRule type="expression" dxfId="2096" priority="4129">
      <formula>OR(IF(AC51&lt;AD51,TRUE),IF(AND(AD51="",AC51&lt;&gt;""),TRUE))</formula>
    </cfRule>
    <cfRule type="expression" dxfId="2095" priority="4130">
      <formula>IF(AC51&gt;=AD51,IF(AC51="",FALSE,TRUE))</formula>
    </cfRule>
  </conditionalFormatting>
  <conditionalFormatting sqref="AJ49:AJ50">
    <cfRule type="expression" dxfId="2094" priority="4125">
      <formula>OR(IF(AJ49&lt;AK49,TRUE),IF(AND(AK49="",AJ49&lt;&gt;""),TRUE))</formula>
    </cfRule>
    <cfRule type="expression" dxfId="2093" priority="4126">
      <formula>IF(AJ49&gt;=AK49,IF(AJ49="",FALSE,TRUE))</formula>
    </cfRule>
  </conditionalFormatting>
  <conditionalFormatting sqref="AL49:AL50">
    <cfRule type="expression" dxfId="2092" priority="4123">
      <formula>OR(IF(AL49&lt;AM49,TRUE),IF(AND(AM49="",AL49&lt;&gt;""),TRUE))</formula>
    </cfRule>
    <cfRule type="expression" dxfId="2091" priority="4124">
      <formula>IF(AL49&gt;=AM49,IF(AL49="",FALSE,TRUE))</formula>
    </cfRule>
  </conditionalFormatting>
  <conditionalFormatting sqref="AQ49:AQ50">
    <cfRule type="expression" dxfId="2090" priority="4117">
      <formula>OR(IF(AQ49&lt;AR49,TRUE),IF(AND(AR49="",AQ49&lt;&gt;""),TRUE))</formula>
    </cfRule>
    <cfRule type="expression" dxfId="2089" priority="4118">
      <formula>IF(AQ49&gt;=AR49,IF(AQ49="",FALSE,TRUE))</formula>
    </cfRule>
  </conditionalFormatting>
  <conditionalFormatting sqref="AS49:AS50">
    <cfRule type="expression" dxfId="2088" priority="4115">
      <formula>OR(IF(AS49&lt;AT49,TRUE),IF(AND(AT49="",AS49&lt;&gt;""),TRUE))</formula>
    </cfRule>
    <cfRule type="expression" dxfId="2087" priority="4116">
      <formula>IF(AS49&gt;=AT49,IF(AS49="",FALSE,TRUE))</formula>
    </cfRule>
  </conditionalFormatting>
  <conditionalFormatting sqref="AS51:AS60">
    <cfRule type="expression" dxfId="2086" priority="4111">
      <formula>OR(IF(AS51&lt;AT51,TRUE),IF(AND(AT51="",AS51&lt;&gt;""),TRUE))</formula>
    </cfRule>
    <cfRule type="expression" dxfId="2085" priority="4112">
      <formula>IF(AS51&gt;=AT51,IF(AS51="",FALSE,TRUE))</formula>
    </cfRule>
  </conditionalFormatting>
  <conditionalFormatting sqref="AQ51:AQ60">
    <cfRule type="expression" dxfId="2084" priority="4113">
      <formula>OR(IF(AQ51&lt;AR51,TRUE),IF(AND(AR51="",AQ51&lt;&gt;""),TRUE))</formula>
    </cfRule>
    <cfRule type="expression" dxfId="2083" priority="4114">
      <formula>IF(AQ51&gt;=AR51,IF(AQ51="",FALSE,TRUE))</formula>
    </cfRule>
  </conditionalFormatting>
  <conditionalFormatting sqref="J50:K60">
    <cfRule type="colorScale" priority="4094">
      <colorScale>
        <cfvo type="percent" val="0"/>
        <cfvo type="percent" val="100"/>
        <color rgb="FFFF231B"/>
        <color rgb="FF10FF07"/>
      </colorScale>
    </cfRule>
  </conditionalFormatting>
  <conditionalFormatting sqref="J49:J60">
    <cfRule type="colorScale" priority="4093">
      <colorScale>
        <cfvo type="percent" val="0"/>
        <cfvo type="percent" val="100"/>
        <color rgb="FFFF231B"/>
        <color rgb="FF10FF07"/>
      </colorScale>
    </cfRule>
  </conditionalFormatting>
  <conditionalFormatting sqref="K49:K60">
    <cfRule type="colorScale" priority="4092">
      <colorScale>
        <cfvo type="percent" val="0"/>
        <cfvo type="percent" val="100"/>
        <color rgb="FFFF231B"/>
        <color rgb="FF10FF07"/>
      </colorScale>
    </cfRule>
  </conditionalFormatting>
  <conditionalFormatting sqref="AJ67:AJ76">
    <cfRule type="expression" dxfId="2082" priority="4062">
      <formula>OR(IF(AJ67&lt;AK67,TRUE),IF(AND(AK67="",AJ67&lt;&gt;""),TRUE))</formula>
    </cfRule>
    <cfRule type="expression" dxfId="2081" priority="4063">
      <formula>IF(AJ67&gt;=AK67,IF(AJ67="",FALSE,TRUE))</formula>
    </cfRule>
  </conditionalFormatting>
  <conditionalFormatting sqref="AL67:AL76">
    <cfRule type="expression" dxfId="2080" priority="4060">
      <formula>OR(IF(AL67&lt;AM67,TRUE),IF(AND(AM67="",AL67&lt;&gt;""),TRUE))</formula>
    </cfRule>
    <cfRule type="expression" dxfId="2079" priority="4061">
      <formula>IF(AL67&gt;=AM67,IF(AL67="",FALSE,TRUE))</formula>
    </cfRule>
  </conditionalFormatting>
  <conditionalFormatting sqref="O65:O66">
    <cfRule type="expression" dxfId="2078" priority="4090">
      <formula>OR(IF(O65&lt;P65,TRUE),IF(AND(P65="",O65&lt;&gt;""),TRUE))</formula>
    </cfRule>
    <cfRule type="expression" dxfId="2077" priority="4091">
      <formula>IF(O65&gt;=P65,IF(O65="",FALSE,TRUE))</formula>
    </cfRule>
  </conditionalFormatting>
  <conditionalFormatting sqref="Q65:Q66">
    <cfRule type="expression" dxfId="2076" priority="4088">
      <formula>OR(IF(Q65&lt;R65,TRUE),IF(AND(R65="",Q65&lt;&gt;""),TRUE))</formula>
    </cfRule>
    <cfRule type="expression" dxfId="2075" priority="4089">
      <formula>IF(Q65&gt;=R65,IF(Q65="",FALSE,TRUE))</formula>
    </cfRule>
  </conditionalFormatting>
  <conditionalFormatting sqref="Q67:Q76">
    <cfRule type="expression" dxfId="2074" priority="4084">
      <formula>OR(IF(Q67&lt;R67,TRUE),IF(AND(R67="",Q67&lt;&gt;""),TRUE))</formula>
    </cfRule>
    <cfRule type="expression" dxfId="2073" priority="4085">
      <formula>IF(Q67&gt;=R67,IF(Q67="",FALSE,TRUE))</formula>
    </cfRule>
  </conditionalFormatting>
  <conditionalFormatting sqref="O67:O76">
    <cfRule type="expression" dxfId="2072" priority="4086">
      <formula>OR(IF(O67&lt;P67,TRUE),IF(AND(P67="",O67&lt;&gt;""),TRUE))</formula>
    </cfRule>
    <cfRule type="expression" dxfId="2071" priority="4087">
      <formula>IF(O67&gt;=P67,IF(O67="",FALSE,TRUE))</formula>
    </cfRule>
  </conditionalFormatting>
  <conditionalFormatting sqref="V65:V66">
    <cfRule type="expression" dxfId="2070" priority="4082">
      <formula>OR(IF(V65&lt;W65,TRUE),IF(AND(W65="",V65&lt;&gt;""),TRUE))</formula>
    </cfRule>
    <cfRule type="expression" dxfId="2069" priority="4083">
      <formula>IF(V65&gt;=W65,IF(V65="",FALSE,TRUE))</formula>
    </cfRule>
  </conditionalFormatting>
  <conditionalFormatting sqref="X65:X66">
    <cfRule type="expression" dxfId="2068" priority="4080">
      <formula>OR(IF(X65&lt;Y65,TRUE),IF(AND(Y65="",X65&lt;&gt;""),TRUE))</formula>
    </cfRule>
    <cfRule type="expression" dxfId="2067" priority="4081">
      <formula>IF(X65&gt;=Y65,IF(X65="",FALSE,TRUE))</formula>
    </cfRule>
  </conditionalFormatting>
  <conditionalFormatting sqref="X67:X76">
    <cfRule type="expression" dxfId="2066" priority="4076">
      <formula>OR(IF(X67&lt;Y67,TRUE),IF(AND(Y67="",X67&lt;&gt;""),TRUE))</formula>
    </cfRule>
    <cfRule type="expression" dxfId="2065" priority="4077">
      <formula>IF(X67&gt;=Y67,IF(X67="",FALSE,TRUE))</formula>
    </cfRule>
  </conditionalFormatting>
  <conditionalFormatting sqref="V67:V76">
    <cfRule type="expression" dxfId="2064" priority="4078">
      <formula>OR(IF(V67&lt;W67,TRUE),IF(AND(W67="",V67&lt;&gt;""),TRUE))</formula>
    </cfRule>
    <cfRule type="expression" dxfId="2063" priority="4079">
      <formula>IF(V67&gt;=W67,IF(V67="",FALSE,TRUE))</formula>
    </cfRule>
  </conditionalFormatting>
  <conditionalFormatting sqref="AC65:AC66">
    <cfRule type="expression" dxfId="2062" priority="4074">
      <formula>OR(IF(AC65&lt;AD65,TRUE),IF(AND(AD65="",AC65&lt;&gt;""),TRUE))</formula>
    </cfRule>
    <cfRule type="expression" dxfId="2061" priority="4075">
      <formula>IF(AC65&gt;=AD65,IF(AC65="",FALSE,TRUE))</formula>
    </cfRule>
  </conditionalFormatting>
  <conditionalFormatting sqref="AE65:AE66">
    <cfRule type="expression" dxfId="2060" priority="4072">
      <formula>OR(IF(AE65&lt;AF65,TRUE),IF(AND(AF65="",AE65&lt;&gt;""),TRUE))</formula>
    </cfRule>
    <cfRule type="expression" dxfId="2059" priority="4073">
      <formula>IF(AE65&gt;=AF65,IF(AE65="",FALSE,TRUE))</formula>
    </cfRule>
  </conditionalFormatting>
  <conditionalFormatting sqref="AE67:AE76">
    <cfRule type="expression" dxfId="2058" priority="4068">
      <formula>OR(IF(AE67&lt;AF67,TRUE),IF(AND(AF67="",AE67&lt;&gt;""),TRUE))</formula>
    </cfRule>
    <cfRule type="expression" dxfId="2057" priority="4069">
      <formula>IF(AE67&gt;=AF67,IF(AE67="",FALSE,TRUE))</formula>
    </cfRule>
  </conditionalFormatting>
  <conditionalFormatting sqref="AC67:AC76">
    <cfRule type="expression" dxfId="2056" priority="4070">
      <formula>OR(IF(AC67&lt;AD67,TRUE),IF(AND(AD67="",AC67&lt;&gt;""),TRUE))</formula>
    </cfRule>
    <cfRule type="expression" dxfId="2055" priority="4071">
      <formula>IF(AC67&gt;=AD67,IF(AC67="",FALSE,TRUE))</formula>
    </cfRule>
  </conditionalFormatting>
  <conditionalFormatting sqref="AJ65:AJ66">
    <cfRule type="expression" dxfId="2054" priority="4066">
      <formula>OR(IF(AJ65&lt;AK65,TRUE),IF(AND(AK65="",AJ65&lt;&gt;""),TRUE))</formula>
    </cfRule>
    <cfRule type="expression" dxfId="2053" priority="4067">
      <formula>IF(AJ65&gt;=AK65,IF(AJ65="",FALSE,TRUE))</formula>
    </cfRule>
  </conditionalFormatting>
  <conditionalFormatting sqref="AL65:AL66">
    <cfRule type="expression" dxfId="2052" priority="4064">
      <formula>OR(IF(AL65&lt;AM65,TRUE),IF(AND(AM65="",AL65&lt;&gt;""),TRUE))</formula>
    </cfRule>
    <cfRule type="expression" dxfId="2051" priority="4065">
      <formula>IF(AL65&gt;=AM65,IF(AL65="",FALSE,TRUE))</formula>
    </cfRule>
  </conditionalFormatting>
  <conditionalFormatting sqref="AQ65:AQ66">
    <cfRule type="expression" dxfId="2050" priority="4058">
      <formula>OR(IF(AQ65&lt;AR65,TRUE),IF(AND(AR65="",AQ65&lt;&gt;""),TRUE))</formula>
    </cfRule>
    <cfRule type="expression" dxfId="2049" priority="4059">
      <formula>IF(AQ65&gt;=AR65,IF(AQ65="",FALSE,TRUE))</formula>
    </cfRule>
  </conditionalFormatting>
  <conditionalFormatting sqref="AS65:AS66">
    <cfRule type="expression" dxfId="2048" priority="4056">
      <formula>OR(IF(AS65&lt;AT65,TRUE),IF(AND(AT65="",AS65&lt;&gt;""),TRUE))</formula>
    </cfRule>
    <cfRule type="expression" dxfId="2047" priority="4057">
      <formula>IF(AS65&gt;=AT65,IF(AS65="",FALSE,TRUE))</formula>
    </cfRule>
  </conditionalFormatting>
  <conditionalFormatting sqref="AS67:AS76">
    <cfRule type="expression" dxfId="2046" priority="4052">
      <formula>OR(IF(AS67&lt;AT67,TRUE),IF(AND(AT67="",AS67&lt;&gt;""),TRUE))</formula>
    </cfRule>
    <cfRule type="expression" dxfId="2045" priority="4053">
      <formula>IF(AS67&gt;=AT67,IF(AS67="",FALSE,TRUE))</formula>
    </cfRule>
  </conditionalFormatting>
  <conditionalFormatting sqref="AQ67:AQ76">
    <cfRule type="expression" dxfId="2044" priority="4054">
      <formula>OR(IF(AQ67&lt;AR67,TRUE),IF(AND(AR67="",AQ67&lt;&gt;""),TRUE))</formula>
    </cfRule>
    <cfRule type="expression" dxfId="2043" priority="4055">
      <formula>IF(AQ67&gt;=AR67,IF(AQ67="",FALSE,TRUE))</formula>
    </cfRule>
  </conditionalFormatting>
  <conditionalFormatting sqref="J66:K76">
    <cfRule type="colorScale" priority="4035">
      <colorScale>
        <cfvo type="percent" val="0"/>
        <cfvo type="percent" val="100"/>
        <color rgb="FFFF231B"/>
        <color rgb="FF10FF07"/>
      </colorScale>
    </cfRule>
  </conditionalFormatting>
  <conditionalFormatting sqref="J65:J76">
    <cfRule type="colorScale" priority="4034">
      <colorScale>
        <cfvo type="percent" val="0"/>
        <cfvo type="percent" val="100"/>
        <color rgb="FFFF231B"/>
        <color rgb="FF10FF07"/>
      </colorScale>
    </cfRule>
  </conditionalFormatting>
  <conditionalFormatting sqref="K65:K76">
    <cfRule type="colorScale" priority="4033">
      <colorScale>
        <cfvo type="percent" val="0"/>
        <cfvo type="percent" val="100"/>
        <color rgb="FFFF231B"/>
        <color rgb="FF10FF07"/>
      </colorScale>
    </cfRule>
  </conditionalFormatting>
  <conditionalFormatting sqref="AJ97:AJ106">
    <cfRule type="expression" dxfId="2042" priority="4003">
      <formula>OR(IF(AJ97&lt;AK97,TRUE),IF(AND(AK97="",AJ97&lt;&gt;""),TRUE))</formula>
    </cfRule>
    <cfRule type="expression" dxfId="2041" priority="4004">
      <formula>IF(AJ97&gt;=AK97,IF(AJ97="",FALSE,TRUE))</formula>
    </cfRule>
  </conditionalFormatting>
  <conditionalFormatting sqref="AL97:AL106">
    <cfRule type="expression" dxfId="2040" priority="4001">
      <formula>OR(IF(AL97&lt;AM97,TRUE),IF(AND(AM97="",AL97&lt;&gt;""),TRUE))</formula>
    </cfRule>
    <cfRule type="expression" dxfId="2039" priority="4002">
      <formula>IF(AL97&gt;=AM97,IF(AL97="",FALSE,TRUE))</formula>
    </cfRule>
  </conditionalFormatting>
  <conditionalFormatting sqref="O95:O96">
    <cfRule type="expression" dxfId="2038" priority="4031">
      <formula>OR(IF(O95&lt;P95,TRUE),IF(AND(P95="",O95&lt;&gt;""),TRUE))</formula>
    </cfRule>
    <cfRule type="expression" dxfId="2037" priority="4032">
      <formula>IF(O95&gt;=P95,IF(O95="",FALSE,TRUE))</formula>
    </cfRule>
  </conditionalFormatting>
  <conditionalFormatting sqref="Q95:Q96">
    <cfRule type="expression" dxfId="2036" priority="4029">
      <formula>OR(IF(Q95&lt;R95,TRUE),IF(AND(R95="",Q95&lt;&gt;""),TRUE))</formula>
    </cfRule>
    <cfRule type="expression" dxfId="2035" priority="4030">
      <formula>IF(Q95&gt;=R95,IF(Q95="",FALSE,TRUE))</formula>
    </cfRule>
  </conditionalFormatting>
  <conditionalFormatting sqref="Q97:Q106">
    <cfRule type="expression" dxfId="2034" priority="4025">
      <formula>OR(IF(Q97&lt;R97,TRUE),IF(AND(R97="",Q97&lt;&gt;""),TRUE))</formula>
    </cfRule>
    <cfRule type="expression" dxfId="2033" priority="4026">
      <formula>IF(Q97&gt;=R97,IF(Q97="",FALSE,TRUE))</formula>
    </cfRule>
  </conditionalFormatting>
  <conditionalFormatting sqref="O97:O106">
    <cfRule type="expression" dxfId="2032" priority="4027">
      <formula>OR(IF(O97&lt;P97,TRUE),IF(AND(P97="",O97&lt;&gt;""),TRUE))</formula>
    </cfRule>
    <cfRule type="expression" dxfId="2031" priority="4028">
      <formula>IF(O97&gt;=P97,IF(O97="",FALSE,TRUE))</formula>
    </cfRule>
  </conditionalFormatting>
  <conditionalFormatting sqref="V95:V96">
    <cfRule type="expression" dxfId="2030" priority="4023">
      <formula>OR(IF(V95&lt;W95,TRUE),IF(AND(W95="",V95&lt;&gt;""),TRUE))</formula>
    </cfRule>
    <cfRule type="expression" dxfId="2029" priority="4024">
      <formula>IF(V95&gt;=W95,IF(V95="",FALSE,TRUE))</formula>
    </cfRule>
  </conditionalFormatting>
  <conditionalFormatting sqref="X95:X96">
    <cfRule type="expression" dxfId="2028" priority="4021">
      <formula>OR(IF(X95&lt;Y95,TRUE),IF(AND(Y95="",X95&lt;&gt;""),TRUE))</formula>
    </cfRule>
    <cfRule type="expression" dxfId="2027" priority="4022">
      <formula>IF(X95&gt;=Y95,IF(X95="",FALSE,TRUE))</formula>
    </cfRule>
  </conditionalFormatting>
  <conditionalFormatting sqref="X97:X106">
    <cfRule type="expression" dxfId="2026" priority="4017">
      <formula>OR(IF(X97&lt;Y97,TRUE),IF(AND(Y97="",X97&lt;&gt;""),TRUE))</formula>
    </cfRule>
    <cfRule type="expression" dxfId="2025" priority="4018">
      <formula>IF(X97&gt;=Y97,IF(X97="",FALSE,TRUE))</formula>
    </cfRule>
  </conditionalFormatting>
  <conditionalFormatting sqref="V97:V106">
    <cfRule type="expression" dxfId="2024" priority="4019">
      <formula>OR(IF(V97&lt;W97,TRUE),IF(AND(W97="",V97&lt;&gt;""),TRUE))</formula>
    </cfRule>
    <cfRule type="expression" dxfId="2023" priority="4020">
      <formula>IF(V97&gt;=W97,IF(V97="",FALSE,TRUE))</formula>
    </cfRule>
  </conditionalFormatting>
  <conditionalFormatting sqref="AC95:AC96">
    <cfRule type="expression" dxfId="2022" priority="4015">
      <formula>OR(IF(AC95&lt;AD95,TRUE),IF(AND(AD95="",AC95&lt;&gt;""),TRUE))</formula>
    </cfRule>
    <cfRule type="expression" dxfId="2021" priority="4016">
      <formula>IF(AC95&gt;=AD95,IF(AC95="",FALSE,TRUE))</formula>
    </cfRule>
  </conditionalFormatting>
  <conditionalFormatting sqref="AE95:AE96">
    <cfRule type="expression" dxfId="2020" priority="4013">
      <formula>OR(IF(AE95&lt;AF95,TRUE),IF(AND(AF95="",AE95&lt;&gt;""),TRUE))</formula>
    </cfRule>
    <cfRule type="expression" dxfId="2019" priority="4014">
      <formula>IF(AE95&gt;=AF95,IF(AE95="",FALSE,TRUE))</formula>
    </cfRule>
  </conditionalFormatting>
  <conditionalFormatting sqref="AE97:AE106">
    <cfRule type="expression" dxfId="2018" priority="4009">
      <formula>OR(IF(AE97&lt;AF97,TRUE),IF(AND(AF97="",AE97&lt;&gt;""),TRUE))</formula>
    </cfRule>
    <cfRule type="expression" dxfId="2017" priority="4010">
      <formula>IF(AE97&gt;=AF97,IF(AE97="",FALSE,TRUE))</formula>
    </cfRule>
  </conditionalFormatting>
  <conditionalFormatting sqref="AC97:AC106">
    <cfRule type="expression" dxfId="2016" priority="4011">
      <formula>OR(IF(AC97&lt;AD97,TRUE),IF(AND(AD97="",AC97&lt;&gt;""),TRUE))</formula>
    </cfRule>
    <cfRule type="expression" dxfId="2015" priority="4012">
      <formula>IF(AC97&gt;=AD97,IF(AC97="",FALSE,TRUE))</formula>
    </cfRule>
  </conditionalFormatting>
  <conditionalFormatting sqref="AJ95:AJ96">
    <cfRule type="expression" dxfId="2014" priority="4007">
      <formula>OR(IF(AJ95&lt;AK95,TRUE),IF(AND(AK95="",AJ95&lt;&gt;""),TRUE))</formula>
    </cfRule>
    <cfRule type="expression" dxfId="2013" priority="4008">
      <formula>IF(AJ95&gt;=AK95,IF(AJ95="",FALSE,TRUE))</formula>
    </cfRule>
  </conditionalFormatting>
  <conditionalFormatting sqref="AL95:AL96">
    <cfRule type="expression" dxfId="2012" priority="4005">
      <formula>OR(IF(AL95&lt;AM95,TRUE),IF(AND(AM95="",AL95&lt;&gt;""),TRUE))</formula>
    </cfRule>
    <cfRule type="expression" dxfId="2011" priority="4006">
      <formula>IF(AL95&gt;=AM95,IF(AL95="",FALSE,TRUE))</formula>
    </cfRule>
  </conditionalFormatting>
  <conditionalFormatting sqref="AQ95:AQ96">
    <cfRule type="expression" dxfId="2010" priority="3999">
      <formula>OR(IF(AQ95&lt;AR95,TRUE),IF(AND(AR95="",AQ95&lt;&gt;""),TRUE))</formula>
    </cfRule>
    <cfRule type="expression" dxfId="2009" priority="4000">
      <formula>IF(AQ95&gt;=AR95,IF(AQ95="",FALSE,TRUE))</formula>
    </cfRule>
  </conditionalFormatting>
  <conditionalFormatting sqref="AS95:AS96">
    <cfRule type="expression" dxfId="2008" priority="3997">
      <formula>OR(IF(AS95&lt;AT95,TRUE),IF(AND(AT95="",AS95&lt;&gt;""),TRUE))</formula>
    </cfRule>
    <cfRule type="expression" dxfId="2007" priority="3998">
      <formula>IF(AS95&gt;=AT95,IF(AS95="",FALSE,TRUE))</formula>
    </cfRule>
  </conditionalFormatting>
  <conditionalFormatting sqref="AS97:AS106">
    <cfRule type="expression" dxfId="2006" priority="3993">
      <formula>OR(IF(AS97&lt;AT97,TRUE),IF(AND(AT97="",AS97&lt;&gt;""),TRUE))</formula>
    </cfRule>
    <cfRule type="expression" dxfId="2005" priority="3994">
      <formula>IF(AS97&gt;=AT97,IF(AS97="",FALSE,TRUE))</formula>
    </cfRule>
  </conditionalFormatting>
  <conditionalFormatting sqref="AQ97:AQ106">
    <cfRule type="expression" dxfId="2004" priority="3995">
      <formula>OR(IF(AQ97&lt;AR97,TRUE),IF(AND(AR97="",AQ97&lt;&gt;""),TRUE))</formula>
    </cfRule>
    <cfRule type="expression" dxfId="2003" priority="3996">
      <formula>IF(AQ97&gt;=AR97,IF(AQ97="",FALSE,TRUE))</formula>
    </cfRule>
  </conditionalFormatting>
  <conditionalFormatting sqref="J96:K106">
    <cfRule type="colorScale" priority="3976">
      <colorScale>
        <cfvo type="percent" val="0"/>
        <cfvo type="percent" val="100"/>
        <color rgb="FFFF231B"/>
        <color rgb="FF10FF07"/>
      </colorScale>
    </cfRule>
  </conditionalFormatting>
  <conditionalFormatting sqref="J95:J106">
    <cfRule type="colorScale" priority="3975">
      <colorScale>
        <cfvo type="percent" val="0"/>
        <cfvo type="percent" val="100"/>
        <color rgb="FFFF231B"/>
        <color rgb="FF10FF07"/>
      </colorScale>
    </cfRule>
  </conditionalFormatting>
  <conditionalFormatting sqref="K95:K106">
    <cfRule type="colorScale" priority="3974">
      <colorScale>
        <cfvo type="percent" val="0"/>
        <cfvo type="percent" val="100"/>
        <color rgb="FFFF231B"/>
        <color rgb="FF10FF07"/>
      </colorScale>
    </cfRule>
  </conditionalFormatting>
  <conditionalFormatting sqref="AJ77">
    <cfRule type="expression" dxfId="2002" priority="3960">
      <formula>OR(IF(AJ77&lt;AK77,TRUE),IF(AND(AK77="",AJ77&lt;&gt;""),TRUE))</formula>
    </cfRule>
    <cfRule type="expression" dxfId="2001" priority="3961">
      <formula>IF(AJ77&gt;=AK77,IF(AJ77="",FALSE,TRUE))</formula>
    </cfRule>
  </conditionalFormatting>
  <conditionalFormatting sqref="AL77">
    <cfRule type="expression" dxfId="2000" priority="3958">
      <formula>OR(IF(AL77&lt;AM77,TRUE),IF(AND(AM77="",AL77&lt;&gt;""),TRUE))</formula>
    </cfRule>
    <cfRule type="expression" dxfId="1999" priority="3959">
      <formula>IF(AL77&gt;=AM77,IF(AL77="",FALSE,TRUE))</formula>
    </cfRule>
  </conditionalFormatting>
  <conditionalFormatting sqref="Q77">
    <cfRule type="expression" dxfId="1998" priority="3970">
      <formula>OR(IF(Q77&lt;R77,TRUE),IF(AND(R77="",Q77&lt;&gt;""),TRUE))</formula>
    </cfRule>
    <cfRule type="expression" dxfId="1997" priority="3971">
      <formula>IF(Q77&gt;=R77,IF(Q77="",FALSE,TRUE))</formula>
    </cfRule>
  </conditionalFormatting>
  <conditionalFormatting sqref="O77">
    <cfRule type="expression" dxfId="1996" priority="3972">
      <formula>OR(IF(O77&lt;P77,TRUE),IF(AND(P77="",O77&lt;&gt;""),TRUE))</formula>
    </cfRule>
    <cfRule type="expression" dxfId="1995" priority="3973">
      <formula>IF(O77&gt;=P77,IF(O77="",FALSE,TRUE))</formula>
    </cfRule>
  </conditionalFormatting>
  <conditionalFormatting sqref="X77">
    <cfRule type="expression" dxfId="1994" priority="3966">
      <formula>OR(IF(X77&lt;Y77,TRUE),IF(AND(Y77="",X77&lt;&gt;""),TRUE))</formula>
    </cfRule>
    <cfRule type="expression" dxfId="1993" priority="3967">
      <formula>IF(X77&gt;=Y77,IF(X77="",FALSE,TRUE))</formula>
    </cfRule>
  </conditionalFormatting>
  <conditionalFormatting sqref="V77">
    <cfRule type="expression" dxfId="1992" priority="3968">
      <formula>OR(IF(V77&lt;W77,TRUE),IF(AND(W77="",V77&lt;&gt;""),TRUE))</formula>
    </cfRule>
    <cfRule type="expression" dxfId="1991" priority="3969">
      <formula>IF(V77&gt;=W77,IF(V77="",FALSE,TRUE))</formula>
    </cfRule>
  </conditionalFormatting>
  <conditionalFormatting sqref="AE77">
    <cfRule type="expression" dxfId="1990" priority="3962">
      <formula>OR(IF(AE77&lt;AF77,TRUE),IF(AND(AF77="",AE77&lt;&gt;""),TRUE))</formula>
    </cfRule>
    <cfRule type="expression" dxfId="1989" priority="3963">
      <formula>IF(AE77&gt;=AF77,IF(AE77="",FALSE,TRUE))</formula>
    </cfRule>
  </conditionalFormatting>
  <conditionalFormatting sqref="AC77">
    <cfRule type="expression" dxfId="1988" priority="3964">
      <formula>OR(IF(AC77&lt;AD77,TRUE),IF(AND(AD77="",AC77&lt;&gt;""),TRUE))</formula>
    </cfRule>
    <cfRule type="expression" dxfId="1987" priority="3965">
      <formula>IF(AC77&gt;=AD77,IF(AC77="",FALSE,TRUE))</formula>
    </cfRule>
  </conditionalFormatting>
  <conditionalFormatting sqref="AS77">
    <cfRule type="expression" dxfId="1986" priority="3954">
      <formula>OR(IF(AS77&lt;AT77,TRUE),IF(AND(AT77="",AS77&lt;&gt;""),TRUE))</formula>
    </cfRule>
    <cfRule type="expression" dxfId="1985" priority="3955">
      <formula>IF(AS77&gt;=AT77,IF(AS77="",FALSE,TRUE))</formula>
    </cfRule>
  </conditionalFormatting>
  <conditionalFormatting sqref="AQ77">
    <cfRule type="expression" dxfId="1984" priority="3956">
      <formula>OR(IF(AQ77&lt;AR77,TRUE),IF(AND(AR77="",AQ77&lt;&gt;""),TRUE))</formula>
    </cfRule>
    <cfRule type="expression" dxfId="1983" priority="3957">
      <formula>IF(AQ77&gt;=AR77,IF(AQ77="",FALSE,TRUE))</formula>
    </cfRule>
  </conditionalFormatting>
  <conditionalFormatting sqref="J77:K77">
    <cfRule type="colorScale" priority="3945">
      <colorScale>
        <cfvo type="percent" val="0"/>
        <cfvo type="percent" val="100"/>
        <color rgb="FFFF231B"/>
        <color rgb="FF10FF07"/>
      </colorScale>
    </cfRule>
  </conditionalFormatting>
  <conditionalFormatting sqref="J77">
    <cfRule type="colorScale" priority="3944">
      <colorScale>
        <cfvo type="percent" val="0"/>
        <cfvo type="percent" val="100"/>
        <color rgb="FFFF231B"/>
        <color rgb="FF10FF07"/>
      </colorScale>
    </cfRule>
  </conditionalFormatting>
  <conditionalFormatting sqref="K77">
    <cfRule type="colorScale" priority="3943">
      <colorScale>
        <cfvo type="percent" val="0"/>
        <cfvo type="percent" val="100"/>
        <color rgb="FFFF231B"/>
        <color rgb="FF10FF07"/>
      </colorScale>
    </cfRule>
  </conditionalFormatting>
  <conditionalFormatting sqref="AJ78">
    <cfRule type="expression" dxfId="1982" priority="3929">
      <formula>OR(IF(AJ78&lt;AK78,TRUE),IF(AND(AK78="",AJ78&lt;&gt;""),TRUE))</formula>
    </cfRule>
    <cfRule type="expression" dxfId="1981" priority="3930">
      <formula>IF(AJ78&gt;=AK78,IF(AJ78="",FALSE,TRUE))</formula>
    </cfRule>
  </conditionalFormatting>
  <conditionalFormatting sqref="AL78">
    <cfRule type="expression" dxfId="1980" priority="3927">
      <formula>OR(IF(AL78&lt;AM78,TRUE),IF(AND(AM78="",AL78&lt;&gt;""),TRUE))</formula>
    </cfRule>
    <cfRule type="expression" dxfId="1979" priority="3928">
      <formula>IF(AL78&gt;=AM78,IF(AL78="",FALSE,TRUE))</formula>
    </cfRule>
  </conditionalFormatting>
  <conditionalFormatting sqref="Q78">
    <cfRule type="expression" dxfId="1978" priority="3939">
      <formula>OR(IF(Q78&lt;R78,TRUE),IF(AND(R78="",Q78&lt;&gt;""),TRUE))</formula>
    </cfRule>
    <cfRule type="expression" dxfId="1977" priority="3940">
      <formula>IF(Q78&gt;=R78,IF(Q78="",FALSE,TRUE))</formula>
    </cfRule>
  </conditionalFormatting>
  <conditionalFormatting sqref="O78">
    <cfRule type="expression" dxfId="1976" priority="3941">
      <formula>OR(IF(O78&lt;P78,TRUE),IF(AND(P78="",O78&lt;&gt;""),TRUE))</formula>
    </cfRule>
    <cfRule type="expression" dxfId="1975" priority="3942">
      <formula>IF(O78&gt;=P78,IF(O78="",FALSE,TRUE))</formula>
    </cfRule>
  </conditionalFormatting>
  <conditionalFormatting sqref="X78">
    <cfRule type="expression" dxfId="1974" priority="3935">
      <formula>OR(IF(X78&lt;Y78,TRUE),IF(AND(Y78="",X78&lt;&gt;""),TRUE))</formula>
    </cfRule>
    <cfRule type="expression" dxfId="1973" priority="3936">
      <formula>IF(X78&gt;=Y78,IF(X78="",FALSE,TRUE))</formula>
    </cfRule>
  </conditionalFormatting>
  <conditionalFormatting sqref="V78">
    <cfRule type="expression" dxfId="1972" priority="3937">
      <formula>OR(IF(V78&lt;W78,TRUE),IF(AND(W78="",V78&lt;&gt;""),TRUE))</formula>
    </cfRule>
    <cfRule type="expression" dxfId="1971" priority="3938">
      <formula>IF(V78&gt;=W78,IF(V78="",FALSE,TRUE))</formula>
    </cfRule>
  </conditionalFormatting>
  <conditionalFormatting sqref="AE78">
    <cfRule type="expression" dxfId="1970" priority="3931">
      <formula>OR(IF(AE78&lt;AF78,TRUE),IF(AND(AF78="",AE78&lt;&gt;""),TRUE))</formula>
    </cfRule>
    <cfRule type="expression" dxfId="1969" priority="3932">
      <formula>IF(AE78&gt;=AF78,IF(AE78="",FALSE,TRUE))</formula>
    </cfRule>
  </conditionalFormatting>
  <conditionalFormatting sqref="AC78">
    <cfRule type="expression" dxfId="1968" priority="3933">
      <formula>OR(IF(AC78&lt;AD78,TRUE),IF(AND(AD78="",AC78&lt;&gt;""),TRUE))</formula>
    </cfRule>
    <cfRule type="expression" dxfId="1967" priority="3934">
      <formula>IF(AC78&gt;=AD78,IF(AC78="",FALSE,TRUE))</formula>
    </cfRule>
  </conditionalFormatting>
  <conditionalFormatting sqref="AS78">
    <cfRule type="expression" dxfId="1966" priority="3923">
      <formula>OR(IF(AS78&lt;AT78,TRUE),IF(AND(AT78="",AS78&lt;&gt;""),TRUE))</formula>
    </cfRule>
    <cfRule type="expression" dxfId="1965" priority="3924">
      <formula>IF(AS78&gt;=AT78,IF(AS78="",FALSE,TRUE))</formula>
    </cfRule>
  </conditionalFormatting>
  <conditionalFormatting sqref="AQ78">
    <cfRule type="expression" dxfId="1964" priority="3925">
      <formula>OR(IF(AQ78&lt;AR78,TRUE),IF(AND(AR78="",AQ78&lt;&gt;""),TRUE))</formula>
    </cfRule>
    <cfRule type="expression" dxfId="1963" priority="3926">
      <formula>IF(AQ78&gt;=AR78,IF(AQ78="",FALSE,TRUE))</formula>
    </cfRule>
  </conditionalFormatting>
  <conditionalFormatting sqref="J78:K78">
    <cfRule type="colorScale" priority="3914">
      <colorScale>
        <cfvo type="percent" val="0"/>
        <cfvo type="percent" val="100"/>
        <color rgb="FFFF231B"/>
        <color rgb="FF10FF07"/>
      </colorScale>
    </cfRule>
  </conditionalFormatting>
  <conditionalFormatting sqref="J78">
    <cfRule type="colorScale" priority="3913">
      <colorScale>
        <cfvo type="percent" val="0"/>
        <cfvo type="percent" val="100"/>
        <color rgb="FFFF231B"/>
        <color rgb="FF10FF07"/>
      </colorScale>
    </cfRule>
  </conditionalFormatting>
  <conditionalFormatting sqref="K78">
    <cfRule type="colorScale" priority="3912">
      <colorScale>
        <cfvo type="percent" val="0"/>
        <cfvo type="percent" val="100"/>
        <color rgb="FFFF231B"/>
        <color rgb="FF10FF07"/>
      </colorScale>
    </cfRule>
  </conditionalFormatting>
  <conditionalFormatting sqref="AJ79">
    <cfRule type="expression" dxfId="1962" priority="3898">
      <formula>OR(IF(AJ79&lt;AK79,TRUE),IF(AND(AK79="",AJ79&lt;&gt;""),TRUE))</formula>
    </cfRule>
    <cfRule type="expression" dxfId="1961" priority="3899">
      <formula>IF(AJ79&gt;=AK79,IF(AJ79="",FALSE,TRUE))</formula>
    </cfRule>
  </conditionalFormatting>
  <conditionalFormatting sqref="AL79">
    <cfRule type="expression" dxfId="1960" priority="3896">
      <formula>OR(IF(AL79&lt;AM79,TRUE),IF(AND(AM79="",AL79&lt;&gt;""),TRUE))</formula>
    </cfRule>
    <cfRule type="expression" dxfId="1959" priority="3897">
      <formula>IF(AL79&gt;=AM79,IF(AL79="",FALSE,TRUE))</formula>
    </cfRule>
  </conditionalFormatting>
  <conditionalFormatting sqref="Q79">
    <cfRule type="expression" dxfId="1958" priority="3908">
      <formula>OR(IF(Q79&lt;R79,TRUE),IF(AND(R79="",Q79&lt;&gt;""),TRUE))</formula>
    </cfRule>
    <cfRule type="expression" dxfId="1957" priority="3909">
      <formula>IF(Q79&gt;=R79,IF(Q79="",FALSE,TRUE))</formula>
    </cfRule>
  </conditionalFormatting>
  <conditionalFormatting sqref="O79">
    <cfRule type="expression" dxfId="1956" priority="3910">
      <formula>OR(IF(O79&lt;P79,TRUE),IF(AND(P79="",O79&lt;&gt;""),TRUE))</formula>
    </cfRule>
    <cfRule type="expression" dxfId="1955" priority="3911">
      <formula>IF(O79&gt;=P79,IF(O79="",FALSE,TRUE))</formula>
    </cfRule>
  </conditionalFormatting>
  <conditionalFormatting sqref="X79">
    <cfRule type="expression" dxfId="1954" priority="3904">
      <formula>OR(IF(X79&lt;Y79,TRUE),IF(AND(Y79="",X79&lt;&gt;""),TRUE))</formula>
    </cfRule>
    <cfRule type="expression" dxfId="1953" priority="3905">
      <formula>IF(X79&gt;=Y79,IF(X79="",FALSE,TRUE))</formula>
    </cfRule>
  </conditionalFormatting>
  <conditionalFormatting sqref="V79">
    <cfRule type="expression" dxfId="1952" priority="3906">
      <formula>OR(IF(V79&lt;W79,TRUE),IF(AND(W79="",V79&lt;&gt;""),TRUE))</formula>
    </cfRule>
    <cfRule type="expression" dxfId="1951" priority="3907">
      <formula>IF(V79&gt;=W79,IF(V79="",FALSE,TRUE))</formula>
    </cfRule>
  </conditionalFormatting>
  <conditionalFormatting sqref="AE79">
    <cfRule type="expression" dxfId="1950" priority="3900">
      <formula>OR(IF(AE79&lt;AF79,TRUE),IF(AND(AF79="",AE79&lt;&gt;""),TRUE))</formula>
    </cfRule>
    <cfRule type="expression" dxfId="1949" priority="3901">
      <formula>IF(AE79&gt;=AF79,IF(AE79="",FALSE,TRUE))</formula>
    </cfRule>
  </conditionalFormatting>
  <conditionalFormatting sqref="AC79">
    <cfRule type="expression" dxfId="1948" priority="3902">
      <formula>OR(IF(AC79&lt;AD79,TRUE),IF(AND(AD79="",AC79&lt;&gt;""),TRUE))</formula>
    </cfRule>
    <cfRule type="expression" dxfId="1947" priority="3903">
      <formula>IF(AC79&gt;=AD79,IF(AC79="",FALSE,TRUE))</formula>
    </cfRule>
  </conditionalFormatting>
  <conditionalFormatting sqref="AS79">
    <cfRule type="expression" dxfId="1946" priority="3892">
      <formula>OR(IF(AS79&lt;AT79,TRUE),IF(AND(AT79="",AS79&lt;&gt;""),TRUE))</formula>
    </cfRule>
    <cfRule type="expression" dxfId="1945" priority="3893">
      <formula>IF(AS79&gt;=AT79,IF(AS79="",FALSE,TRUE))</formula>
    </cfRule>
  </conditionalFormatting>
  <conditionalFormatting sqref="AQ79">
    <cfRule type="expression" dxfId="1944" priority="3894">
      <formula>OR(IF(AQ79&lt;AR79,TRUE),IF(AND(AR79="",AQ79&lt;&gt;""),TRUE))</formula>
    </cfRule>
    <cfRule type="expression" dxfId="1943" priority="3895">
      <formula>IF(AQ79&gt;=AR79,IF(AQ79="",FALSE,TRUE))</formula>
    </cfRule>
  </conditionalFormatting>
  <conditionalFormatting sqref="J79:K79">
    <cfRule type="colorScale" priority="3883">
      <colorScale>
        <cfvo type="percent" val="0"/>
        <cfvo type="percent" val="100"/>
        <color rgb="FFFF231B"/>
        <color rgb="FF10FF07"/>
      </colorScale>
    </cfRule>
  </conditionalFormatting>
  <conditionalFormatting sqref="J79">
    <cfRule type="colorScale" priority="3882">
      <colorScale>
        <cfvo type="percent" val="0"/>
        <cfvo type="percent" val="100"/>
        <color rgb="FFFF231B"/>
        <color rgb="FF10FF07"/>
      </colorScale>
    </cfRule>
  </conditionalFormatting>
  <conditionalFormatting sqref="K79">
    <cfRule type="colorScale" priority="3881">
      <colorScale>
        <cfvo type="percent" val="0"/>
        <cfvo type="percent" val="100"/>
        <color rgb="FFFF231B"/>
        <color rgb="FF10FF07"/>
      </colorScale>
    </cfRule>
  </conditionalFormatting>
  <conditionalFormatting sqref="AJ80">
    <cfRule type="expression" dxfId="1942" priority="3867">
      <formula>OR(IF(AJ80&lt;AK80,TRUE),IF(AND(AK80="",AJ80&lt;&gt;""),TRUE))</formula>
    </cfRule>
    <cfRule type="expression" dxfId="1941" priority="3868">
      <formula>IF(AJ80&gt;=AK80,IF(AJ80="",FALSE,TRUE))</formula>
    </cfRule>
  </conditionalFormatting>
  <conditionalFormatting sqref="AL80">
    <cfRule type="expression" dxfId="1940" priority="3865">
      <formula>OR(IF(AL80&lt;AM80,TRUE),IF(AND(AM80="",AL80&lt;&gt;""),TRUE))</formula>
    </cfRule>
    <cfRule type="expression" dxfId="1939" priority="3866">
      <formula>IF(AL80&gt;=AM80,IF(AL80="",FALSE,TRUE))</formula>
    </cfRule>
  </conditionalFormatting>
  <conditionalFormatting sqref="Q80">
    <cfRule type="expression" dxfId="1938" priority="3877">
      <formula>OR(IF(Q80&lt;R80,TRUE),IF(AND(R80="",Q80&lt;&gt;""),TRUE))</formula>
    </cfRule>
    <cfRule type="expression" dxfId="1937" priority="3878">
      <formula>IF(Q80&gt;=R80,IF(Q80="",FALSE,TRUE))</formula>
    </cfRule>
  </conditionalFormatting>
  <conditionalFormatting sqref="O80">
    <cfRule type="expression" dxfId="1936" priority="3879">
      <formula>OR(IF(O80&lt;P80,TRUE),IF(AND(P80="",O80&lt;&gt;""),TRUE))</formula>
    </cfRule>
    <cfRule type="expression" dxfId="1935" priority="3880">
      <formula>IF(O80&gt;=P80,IF(O80="",FALSE,TRUE))</formula>
    </cfRule>
  </conditionalFormatting>
  <conditionalFormatting sqref="X80">
    <cfRule type="expression" dxfId="1934" priority="3873">
      <formula>OR(IF(X80&lt;Y80,TRUE),IF(AND(Y80="",X80&lt;&gt;""),TRUE))</formula>
    </cfRule>
    <cfRule type="expression" dxfId="1933" priority="3874">
      <formula>IF(X80&gt;=Y80,IF(X80="",FALSE,TRUE))</formula>
    </cfRule>
  </conditionalFormatting>
  <conditionalFormatting sqref="V80">
    <cfRule type="expression" dxfId="1932" priority="3875">
      <formula>OR(IF(V80&lt;W80,TRUE),IF(AND(W80="",V80&lt;&gt;""),TRUE))</formula>
    </cfRule>
    <cfRule type="expression" dxfId="1931" priority="3876">
      <formula>IF(V80&gt;=W80,IF(V80="",FALSE,TRUE))</formula>
    </cfRule>
  </conditionalFormatting>
  <conditionalFormatting sqref="AE80">
    <cfRule type="expression" dxfId="1930" priority="3869">
      <formula>OR(IF(AE80&lt;AF80,TRUE),IF(AND(AF80="",AE80&lt;&gt;""),TRUE))</formula>
    </cfRule>
    <cfRule type="expression" dxfId="1929" priority="3870">
      <formula>IF(AE80&gt;=AF80,IF(AE80="",FALSE,TRUE))</formula>
    </cfRule>
  </conditionalFormatting>
  <conditionalFormatting sqref="AC80">
    <cfRule type="expression" dxfId="1928" priority="3871">
      <formula>OR(IF(AC80&lt;AD80,TRUE),IF(AND(AD80="",AC80&lt;&gt;""),TRUE))</formula>
    </cfRule>
    <cfRule type="expression" dxfId="1927" priority="3872">
      <formula>IF(AC80&gt;=AD80,IF(AC80="",FALSE,TRUE))</formula>
    </cfRule>
  </conditionalFormatting>
  <conditionalFormatting sqref="AS80">
    <cfRule type="expression" dxfId="1926" priority="3861">
      <formula>OR(IF(AS80&lt;AT80,TRUE),IF(AND(AT80="",AS80&lt;&gt;""),TRUE))</formula>
    </cfRule>
    <cfRule type="expression" dxfId="1925" priority="3862">
      <formula>IF(AS80&gt;=AT80,IF(AS80="",FALSE,TRUE))</formula>
    </cfRule>
  </conditionalFormatting>
  <conditionalFormatting sqref="AQ80">
    <cfRule type="expression" dxfId="1924" priority="3863">
      <formula>OR(IF(AQ80&lt;AR80,TRUE),IF(AND(AR80="",AQ80&lt;&gt;""),TRUE))</formula>
    </cfRule>
    <cfRule type="expression" dxfId="1923" priority="3864">
      <formula>IF(AQ80&gt;=AR80,IF(AQ80="",FALSE,TRUE))</formula>
    </cfRule>
  </conditionalFormatting>
  <conditionalFormatting sqref="J80:K80">
    <cfRule type="colorScale" priority="3852">
      <colorScale>
        <cfvo type="percent" val="0"/>
        <cfvo type="percent" val="100"/>
        <color rgb="FFFF231B"/>
        <color rgb="FF10FF07"/>
      </colorScale>
    </cfRule>
  </conditionalFormatting>
  <conditionalFormatting sqref="J80">
    <cfRule type="colorScale" priority="3851">
      <colorScale>
        <cfvo type="percent" val="0"/>
        <cfvo type="percent" val="100"/>
        <color rgb="FFFF231B"/>
        <color rgb="FF10FF07"/>
      </colorScale>
    </cfRule>
  </conditionalFormatting>
  <conditionalFormatting sqref="K80">
    <cfRule type="colorScale" priority="3850">
      <colorScale>
        <cfvo type="percent" val="0"/>
        <cfvo type="percent" val="100"/>
        <color rgb="FFFF231B"/>
        <color rgb="FF10FF07"/>
      </colorScale>
    </cfRule>
  </conditionalFormatting>
  <conditionalFormatting sqref="AJ81">
    <cfRule type="expression" dxfId="1922" priority="3836">
      <formula>OR(IF(AJ81&lt;AK81,TRUE),IF(AND(AK81="",AJ81&lt;&gt;""),TRUE))</formula>
    </cfRule>
    <cfRule type="expression" dxfId="1921" priority="3837">
      <formula>IF(AJ81&gt;=AK81,IF(AJ81="",FALSE,TRUE))</formula>
    </cfRule>
  </conditionalFormatting>
  <conditionalFormatting sqref="AL81">
    <cfRule type="expression" dxfId="1920" priority="3834">
      <formula>OR(IF(AL81&lt;AM81,TRUE),IF(AND(AM81="",AL81&lt;&gt;""),TRUE))</formula>
    </cfRule>
    <cfRule type="expression" dxfId="1919" priority="3835">
      <formula>IF(AL81&gt;=AM81,IF(AL81="",FALSE,TRUE))</formula>
    </cfRule>
  </conditionalFormatting>
  <conditionalFormatting sqref="Q81">
    <cfRule type="expression" dxfId="1918" priority="3846">
      <formula>OR(IF(Q81&lt;R81,TRUE),IF(AND(R81="",Q81&lt;&gt;""),TRUE))</formula>
    </cfRule>
    <cfRule type="expression" dxfId="1917" priority="3847">
      <formula>IF(Q81&gt;=R81,IF(Q81="",FALSE,TRUE))</formula>
    </cfRule>
  </conditionalFormatting>
  <conditionalFormatting sqref="O81">
    <cfRule type="expression" dxfId="1916" priority="3848">
      <formula>OR(IF(O81&lt;P81,TRUE),IF(AND(P81="",O81&lt;&gt;""),TRUE))</formula>
    </cfRule>
    <cfRule type="expression" dxfId="1915" priority="3849">
      <formula>IF(O81&gt;=P81,IF(O81="",FALSE,TRUE))</formula>
    </cfRule>
  </conditionalFormatting>
  <conditionalFormatting sqref="X81">
    <cfRule type="expression" dxfId="1914" priority="3842">
      <formula>OR(IF(X81&lt;Y81,TRUE),IF(AND(Y81="",X81&lt;&gt;""),TRUE))</formula>
    </cfRule>
    <cfRule type="expression" dxfId="1913" priority="3843">
      <formula>IF(X81&gt;=Y81,IF(X81="",FALSE,TRUE))</formula>
    </cfRule>
  </conditionalFormatting>
  <conditionalFormatting sqref="V81">
    <cfRule type="expression" dxfId="1912" priority="3844">
      <formula>OR(IF(V81&lt;W81,TRUE),IF(AND(W81="",V81&lt;&gt;""),TRUE))</formula>
    </cfRule>
    <cfRule type="expression" dxfId="1911" priority="3845">
      <formula>IF(V81&gt;=W81,IF(V81="",FALSE,TRUE))</formula>
    </cfRule>
  </conditionalFormatting>
  <conditionalFormatting sqref="AE81">
    <cfRule type="expression" dxfId="1910" priority="3838">
      <formula>OR(IF(AE81&lt;AF81,TRUE),IF(AND(AF81="",AE81&lt;&gt;""),TRUE))</formula>
    </cfRule>
    <cfRule type="expression" dxfId="1909" priority="3839">
      <formula>IF(AE81&gt;=AF81,IF(AE81="",FALSE,TRUE))</formula>
    </cfRule>
  </conditionalFormatting>
  <conditionalFormatting sqref="AC81">
    <cfRule type="expression" dxfId="1908" priority="3840">
      <formula>OR(IF(AC81&lt;AD81,TRUE),IF(AND(AD81="",AC81&lt;&gt;""),TRUE))</formula>
    </cfRule>
    <cfRule type="expression" dxfId="1907" priority="3841">
      <formula>IF(AC81&gt;=AD81,IF(AC81="",FALSE,TRUE))</formula>
    </cfRule>
  </conditionalFormatting>
  <conditionalFormatting sqref="AS81">
    <cfRule type="expression" dxfId="1906" priority="3830">
      <formula>OR(IF(AS81&lt;AT81,TRUE),IF(AND(AT81="",AS81&lt;&gt;""),TRUE))</formula>
    </cfRule>
    <cfRule type="expression" dxfId="1905" priority="3831">
      <formula>IF(AS81&gt;=AT81,IF(AS81="",FALSE,TRUE))</formula>
    </cfRule>
  </conditionalFormatting>
  <conditionalFormatting sqref="AQ81">
    <cfRule type="expression" dxfId="1904" priority="3832">
      <formula>OR(IF(AQ81&lt;AR81,TRUE),IF(AND(AR81="",AQ81&lt;&gt;""),TRUE))</formula>
    </cfRule>
    <cfRule type="expression" dxfId="1903" priority="3833">
      <formula>IF(AQ81&gt;=AR81,IF(AQ81="",FALSE,TRUE))</formula>
    </cfRule>
  </conditionalFormatting>
  <conditionalFormatting sqref="J81:K81">
    <cfRule type="colorScale" priority="3821">
      <colorScale>
        <cfvo type="percent" val="0"/>
        <cfvo type="percent" val="100"/>
        <color rgb="FFFF231B"/>
        <color rgb="FF10FF07"/>
      </colorScale>
    </cfRule>
  </conditionalFormatting>
  <conditionalFormatting sqref="J81">
    <cfRule type="colorScale" priority="3820">
      <colorScale>
        <cfvo type="percent" val="0"/>
        <cfvo type="percent" val="100"/>
        <color rgb="FFFF231B"/>
        <color rgb="FF10FF07"/>
      </colorScale>
    </cfRule>
  </conditionalFormatting>
  <conditionalFormatting sqref="K81">
    <cfRule type="colorScale" priority="3819">
      <colorScale>
        <cfvo type="percent" val="0"/>
        <cfvo type="percent" val="100"/>
        <color rgb="FFFF231B"/>
        <color rgb="FF10FF07"/>
      </colorScale>
    </cfRule>
  </conditionalFormatting>
  <conditionalFormatting sqref="AJ82">
    <cfRule type="expression" dxfId="1902" priority="3805">
      <formula>OR(IF(AJ82&lt;AK82,TRUE),IF(AND(AK82="",AJ82&lt;&gt;""),TRUE))</formula>
    </cfRule>
    <cfRule type="expression" dxfId="1901" priority="3806">
      <formula>IF(AJ82&gt;=AK82,IF(AJ82="",FALSE,TRUE))</formula>
    </cfRule>
  </conditionalFormatting>
  <conditionalFormatting sqref="AL82">
    <cfRule type="expression" dxfId="1900" priority="3803">
      <formula>OR(IF(AL82&lt;AM82,TRUE),IF(AND(AM82="",AL82&lt;&gt;""),TRUE))</formula>
    </cfRule>
    <cfRule type="expression" dxfId="1899" priority="3804">
      <formula>IF(AL82&gt;=AM82,IF(AL82="",FALSE,TRUE))</formula>
    </cfRule>
  </conditionalFormatting>
  <conditionalFormatting sqref="Q82">
    <cfRule type="expression" dxfId="1898" priority="3815">
      <formula>OR(IF(Q82&lt;R82,TRUE),IF(AND(R82="",Q82&lt;&gt;""),TRUE))</formula>
    </cfRule>
    <cfRule type="expression" dxfId="1897" priority="3816">
      <formula>IF(Q82&gt;=R82,IF(Q82="",FALSE,TRUE))</formula>
    </cfRule>
  </conditionalFormatting>
  <conditionalFormatting sqref="O82">
    <cfRule type="expression" dxfId="1896" priority="3817">
      <formula>OR(IF(O82&lt;P82,TRUE),IF(AND(P82="",O82&lt;&gt;""),TRUE))</formula>
    </cfRule>
    <cfRule type="expression" dxfId="1895" priority="3818">
      <formula>IF(O82&gt;=P82,IF(O82="",FALSE,TRUE))</formula>
    </cfRule>
  </conditionalFormatting>
  <conditionalFormatting sqref="X82">
    <cfRule type="expression" dxfId="1894" priority="3811">
      <formula>OR(IF(X82&lt;Y82,TRUE),IF(AND(Y82="",X82&lt;&gt;""),TRUE))</formula>
    </cfRule>
    <cfRule type="expression" dxfId="1893" priority="3812">
      <formula>IF(X82&gt;=Y82,IF(X82="",FALSE,TRUE))</formula>
    </cfRule>
  </conditionalFormatting>
  <conditionalFormatting sqref="V82">
    <cfRule type="expression" dxfId="1892" priority="3813">
      <formula>OR(IF(V82&lt;W82,TRUE),IF(AND(W82="",V82&lt;&gt;""),TRUE))</formula>
    </cfRule>
    <cfRule type="expression" dxfId="1891" priority="3814">
      <formula>IF(V82&gt;=W82,IF(V82="",FALSE,TRUE))</formula>
    </cfRule>
  </conditionalFormatting>
  <conditionalFormatting sqref="AE82">
    <cfRule type="expression" dxfId="1890" priority="3807">
      <formula>OR(IF(AE82&lt;AF82,TRUE),IF(AND(AF82="",AE82&lt;&gt;""),TRUE))</formula>
    </cfRule>
    <cfRule type="expression" dxfId="1889" priority="3808">
      <formula>IF(AE82&gt;=AF82,IF(AE82="",FALSE,TRUE))</formula>
    </cfRule>
  </conditionalFormatting>
  <conditionalFormatting sqref="AC82">
    <cfRule type="expression" dxfId="1888" priority="3809">
      <formula>OR(IF(AC82&lt;AD82,TRUE),IF(AND(AD82="",AC82&lt;&gt;""),TRUE))</formula>
    </cfRule>
    <cfRule type="expression" dxfId="1887" priority="3810">
      <formula>IF(AC82&gt;=AD82,IF(AC82="",FALSE,TRUE))</formula>
    </cfRule>
  </conditionalFormatting>
  <conditionalFormatting sqref="AS82">
    <cfRule type="expression" dxfId="1886" priority="3799">
      <formula>OR(IF(AS82&lt;AT82,TRUE),IF(AND(AT82="",AS82&lt;&gt;""),TRUE))</formula>
    </cfRule>
    <cfRule type="expression" dxfId="1885" priority="3800">
      <formula>IF(AS82&gt;=AT82,IF(AS82="",FALSE,TRUE))</formula>
    </cfRule>
  </conditionalFormatting>
  <conditionalFormatting sqref="AQ82">
    <cfRule type="expression" dxfId="1884" priority="3801">
      <formula>OR(IF(AQ82&lt;AR82,TRUE),IF(AND(AR82="",AQ82&lt;&gt;""),TRUE))</formula>
    </cfRule>
    <cfRule type="expression" dxfId="1883" priority="3802">
      <formula>IF(AQ82&gt;=AR82,IF(AQ82="",FALSE,TRUE))</formula>
    </cfRule>
  </conditionalFormatting>
  <conditionalFormatting sqref="J82:K82">
    <cfRule type="colorScale" priority="3790">
      <colorScale>
        <cfvo type="percent" val="0"/>
        <cfvo type="percent" val="100"/>
        <color rgb="FFFF231B"/>
        <color rgb="FF10FF07"/>
      </colorScale>
    </cfRule>
  </conditionalFormatting>
  <conditionalFormatting sqref="J82">
    <cfRule type="colorScale" priority="3789">
      <colorScale>
        <cfvo type="percent" val="0"/>
        <cfvo type="percent" val="100"/>
        <color rgb="FFFF231B"/>
        <color rgb="FF10FF07"/>
      </colorScale>
    </cfRule>
  </conditionalFormatting>
  <conditionalFormatting sqref="K82">
    <cfRule type="colorScale" priority="3788">
      <colorScale>
        <cfvo type="percent" val="0"/>
        <cfvo type="percent" val="100"/>
        <color rgb="FFFF231B"/>
        <color rgb="FF10FF07"/>
      </colorScale>
    </cfRule>
  </conditionalFormatting>
  <conditionalFormatting sqref="AJ83">
    <cfRule type="expression" dxfId="1882" priority="3774">
      <formula>OR(IF(AJ83&lt;AK83,TRUE),IF(AND(AK83="",AJ83&lt;&gt;""),TRUE))</formula>
    </cfRule>
    <cfRule type="expression" dxfId="1881" priority="3775">
      <formula>IF(AJ83&gt;=AK83,IF(AJ83="",FALSE,TRUE))</formula>
    </cfRule>
  </conditionalFormatting>
  <conditionalFormatting sqref="AL83">
    <cfRule type="expression" dxfId="1880" priority="3772">
      <formula>OR(IF(AL83&lt;AM83,TRUE),IF(AND(AM83="",AL83&lt;&gt;""),TRUE))</formula>
    </cfRule>
    <cfRule type="expression" dxfId="1879" priority="3773">
      <formula>IF(AL83&gt;=AM83,IF(AL83="",FALSE,TRUE))</formula>
    </cfRule>
  </conditionalFormatting>
  <conditionalFormatting sqref="Q83">
    <cfRule type="expression" dxfId="1878" priority="3784">
      <formula>OR(IF(Q83&lt;R83,TRUE),IF(AND(R83="",Q83&lt;&gt;""),TRUE))</formula>
    </cfRule>
    <cfRule type="expression" dxfId="1877" priority="3785">
      <formula>IF(Q83&gt;=R83,IF(Q83="",FALSE,TRUE))</formula>
    </cfRule>
  </conditionalFormatting>
  <conditionalFormatting sqref="O83">
    <cfRule type="expression" dxfId="1876" priority="3786">
      <formula>OR(IF(O83&lt;P83,TRUE),IF(AND(P83="",O83&lt;&gt;""),TRUE))</formula>
    </cfRule>
    <cfRule type="expression" dxfId="1875" priority="3787">
      <formula>IF(O83&gt;=P83,IF(O83="",FALSE,TRUE))</formula>
    </cfRule>
  </conditionalFormatting>
  <conditionalFormatting sqref="X83">
    <cfRule type="expression" dxfId="1874" priority="3780">
      <formula>OR(IF(X83&lt;Y83,TRUE),IF(AND(Y83="",X83&lt;&gt;""),TRUE))</formula>
    </cfRule>
    <cfRule type="expression" dxfId="1873" priority="3781">
      <formula>IF(X83&gt;=Y83,IF(X83="",FALSE,TRUE))</formula>
    </cfRule>
  </conditionalFormatting>
  <conditionalFormatting sqref="V83">
    <cfRule type="expression" dxfId="1872" priority="3782">
      <formula>OR(IF(V83&lt;W83,TRUE),IF(AND(W83="",V83&lt;&gt;""),TRUE))</formula>
    </cfRule>
    <cfRule type="expression" dxfId="1871" priority="3783">
      <formula>IF(V83&gt;=W83,IF(V83="",FALSE,TRUE))</formula>
    </cfRule>
  </conditionalFormatting>
  <conditionalFormatting sqref="AE83">
    <cfRule type="expression" dxfId="1870" priority="3776">
      <formula>OR(IF(AE83&lt;AF83,TRUE),IF(AND(AF83="",AE83&lt;&gt;""),TRUE))</formula>
    </cfRule>
    <cfRule type="expression" dxfId="1869" priority="3777">
      <formula>IF(AE83&gt;=AF83,IF(AE83="",FALSE,TRUE))</formula>
    </cfRule>
  </conditionalFormatting>
  <conditionalFormatting sqref="AC83">
    <cfRule type="expression" dxfId="1868" priority="3778">
      <formula>OR(IF(AC83&lt;AD83,TRUE),IF(AND(AD83="",AC83&lt;&gt;""),TRUE))</formula>
    </cfRule>
    <cfRule type="expression" dxfId="1867" priority="3779">
      <formula>IF(AC83&gt;=AD83,IF(AC83="",FALSE,TRUE))</formula>
    </cfRule>
  </conditionalFormatting>
  <conditionalFormatting sqref="AS83">
    <cfRule type="expression" dxfId="1866" priority="3768">
      <formula>OR(IF(AS83&lt;AT83,TRUE),IF(AND(AT83="",AS83&lt;&gt;""),TRUE))</formula>
    </cfRule>
    <cfRule type="expression" dxfId="1865" priority="3769">
      <formula>IF(AS83&gt;=AT83,IF(AS83="",FALSE,TRUE))</formula>
    </cfRule>
  </conditionalFormatting>
  <conditionalFormatting sqref="AQ83">
    <cfRule type="expression" dxfId="1864" priority="3770">
      <formula>OR(IF(AQ83&lt;AR83,TRUE),IF(AND(AR83="",AQ83&lt;&gt;""),TRUE))</formula>
    </cfRule>
    <cfRule type="expression" dxfId="1863" priority="3771">
      <formula>IF(AQ83&gt;=AR83,IF(AQ83="",FALSE,TRUE))</formula>
    </cfRule>
  </conditionalFormatting>
  <conditionalFormatting sqref="J83:K83">
    <cfRule type="colorScale" priority="3759">
      <colorScale>
        <cfvo type="percent" val="0"/>
        <cfvo type="percent" val="100"/>
        <color rgb="FFFF231B"/>
        <color rgb="FF10FF07"/>
      </colorScale>
    </cfRule>
  </conditionalFormatting>
  <conditionalFormatting sqref="J83">
    <cfRule type="colorScale" priority="3758">
      <colorScale>
        <cfvo type="percent" val="0"/>
        <cfvo type="percent" val="100"/>
        <color rgb="FFFF231B"/>
        <color rgb="FF10FF07"/>
      </colorScale>
    </cfRule>
  </conditionalFormatting>
  <conditionalFormatting sqref="K83">
    <cfRule type="colorScale" priority="3757">
      <colorScale>
        <cfvo type="percent" val="0"/>
        <cfvo type="percent" val="100"/>
        <color rgb="FFFF231B"/>
        <color rgb="FF10FF07"/>
      </colorScale>
    </cfRule>
  </conditionalFormatting>
  <conditionalFormatting sqref="AJ84">
    <cfRule type="expression" dxfId="1862" priority="3743">
      <formula>OR(IF(AJ84&lt;AK84,TRUE),IF(AND(AK84="",AJ84&lt;&gt;""),TRUE))</formula>
    </cfRule>
    <cfRule type="expression" dxfId="1861" priority="3744">
      <formula>IF(AJ84&gt;=AK84,IF(AJ84="",FALSE,TRUE))</formula>
    </cfRule>
  </conditionalFormatting>
  <conditionalFormatting sqref="AL84">
    <cfRule type="expression" dxfId="1860" priority="3741">
      <formula>OR(IF(AL84&lt;AM84,TRUE),IF(AND(AM84="",AL84&lt;&gt;""),TRUE))</formula>
    </cfRule>
    <cfRule type="expression" dxfId="1859" priority="3742">
      <formula>IF(AL84&gt;=AM84,IF(AL84="",FALSE,TRUE))</formula>
    </cfRule>
  </conditionalFormatting>
  <conditionalFormatting sqref="Q84">
    <cfRule type="expression" dxfId="1858" priority="3753">
      <formula>OR(IF(Q84&lt;R84,TRUE),IF(AND(R84="",Q84&lt;&gt;""),TRUE))</formula>
    </cfRule>
    <cfRule type="expression" dxfId="1857" priority="3754">
      <formula>IF(Q84&gt;=R84,IF(Q84="",FALSE,TRUE))</formula>
    </cfRule>
  </conditionalFormatting>
  <conditionalFormatting sqref="O84">
    <cfRule type="expression" dxfId="1856" priority="3755">
      <formula>OR(IF(O84&lt;P84,TRUE),IF(AND(P84="",O84&lt;&gt;""),TRUE))</formula>
    </cfRule>
    <cfRule type="expression" dxfId="1855" priority="3756">
      <formula>IF(O84&gt;=P84,IF(O84="",FALSE,TRUE))</formula>
    </cfRule>
  </conditionalFormatting>
  <conditionalFormatting sqref="X84">
    <cfRule type="expression" dxfId="1854" priority="3749">
      <formula>OR(IF(X84&lt;Y84,TRUE),IF(AND(Y84="",X84&lt;&gt;""),TRUE))</formula>
    </cfRule>
    <cfRule type="expression" dxfId="1853" priority="3750">
      <formula>IF(X84&gt;=Y84,IF(X84="",FALSE,TRUE))</formula>
    </cfRule>
  </conditionalFormatting>
  <conditionalFormatting sqref="V84">
    <cfRule type="expression" dxfId="1852" priority="3751">
      <formula>OR(IF(V84&lt;W84,TRUE),IF(AND(W84="",V84&lt;&gt;""),TRUE))</formula>
    </cfRule>
    <cfRule type="expression" dxfId="1851" priority="3752">
      <formula>IF(V84&gt;=W84,IF(V84="",FALSE,TRUE))</formula>
    </cfRule>
  </conditionalFormatting>
  <conditionalFormatting sqref="AE84">
    <cfRule type="expression" dxfId="1850" priority="3745">
      <formula>OR(IF(AE84&lt;AF84,TRUE),IF(AND(AF84="",AE84&lt;&gt;""),TRUE))</formula>
    </cfRule>
    <cfRule type="expression" dxfId="1849" priority="3746">
      <formula>IF(AE84&gt;=AF84,IF(AE84="",FALSE,TRUE))</formula>
    </cfRule>
  </conditionalFormatting>
  <conditionalFormatting sqref="AC84">
    <cfRule type="expression" dxfId="1848" priority="3747">
      <formula>OR(IF(AC84&lt;AD84,TRUE),IF(AND(AD84="",AC84&lt;&gt;""),TRUE))</formula>
    </cfRule>
    <cfRule type="expression" dxfId="1847" priority="3748">
      <formula>IF(AC84&gt;=AD84,IF(AC84="",FALSE,TRUE))</formula>
    </cfRule>
  </conditionalFormatting>
  <conditionalFormatting sqref="AS84">
    <cfRule type="expression" dxfId="1846" priority="3737">
      <formula>OR(IF(AS84&lt;AT84,TRUE),IF(AND(AT84="",AS84&lt;&gt;""),TRUE))</formula>
    </cfRule>
    <cfRule type="expression" dxfId="1845" priority="3738">
      <formula>IF(AS84&gt;=AT84,IF(AS84="",FALSE,TRUE))</formula>
    </cfRule>
  </conditionalFormatting>
  <conditionalFormatting sqref="AQ84">
    <cfRule type="expression" dxfId="1844" priority="3739">
      <formula>OR(IF(AQ84&lt;AR84,TRUE),IF(AND(AR84="",AQ84&lt;&gt;""),TRUE))</formula>
    </cfRule>
    <cfRule type="expression" dxfId="1843" priority="3740">
      <formula>IF(AQ84&gt;=AR84,IF(AQ84="",FALSE,TRUE))</formula>
    </cfRule>
  </conditionalFormatting>
  <conditionalFormatting sqref="J84:K84">
    <cfRule type="colorScale" priority="3728">
      <colorScale>
        <cfvo type="percent" val="0"/>
        <cfvo type="percent" val="100"/>
        <color rgb="FFFF231B"/>
        <color rgb="FF10FF07"/>
      </colorScale>
    </cfRule>
  </conditionalFormatting>
  <conditionalFormatting sqref="J84">
    <cfRule type="colorScale" priority="3727">
      <colorScale>
        <cfvo type="percent" val="0"/>
        <cfvo type="percent" val="100"/>
        <color rgb="FFFF231B"/>
        <color rgb="FF10FF07"/>
      </colorScale>
    </cfRule>
  </conditionalFormatting>
  <conditionalFormatting sqref="K84">
    <cfRule type="colorScale" priority="3726">
      <colorScale>
        <cfvo type="percent" val="0"/>
        <cfvo type="percent" val="100"/>
        <color rgb="FFFF231B"/>
        <color rgb="FF10FF07"/>
      </colorScale>
    </cfRule>
  </conditionalFormatting>
  <conditionalFormatting sqref="AJ85">
    <cfRule type="expression" dxfId="1842" priority="3712">
      <formula>OR(IF(AJ85&lt;AK85,TRUE),IF(AND(AK85="",AJ85&lt;&gt;""),TRUE))</formula>
    </cfRule>
    <cfRule type="expression" dxfId="1841" priority="3713">
      <formula>IF(AJ85&gt;=AK85,IF(AJ85="",FALSE,TRUE))</formula>
    </cfRule>
  </conditionalFormatting>
  <conditionalFormatting sqref="AL85">
    <cfRule type="expression" dxfId="1840" priority="3710">
      <formula>OR(IF(AL85&lt;AM85,TRUE),IF(AND(AM85="",AL85&lt;&gt;""),TRUE))</formula>
    </cfRule>
    <cfRule type="expression" dxfId="1839" priority="3711">
      <formula>IF(AL85&gt;=AM85,IF(AL85="",FALSE,TRUE))</formula>
    </cfRule>
  </conditionalFormatting>
  <conditionalFormatting sqref="Q85">
    <cfRule type="expression" dxfId="1838" priority="3722">
      <formula>OR(IF(Q85&lt;R85,TRUE),IF(AND(R85="",Q85&lt;&gt;""),TRUE))</formula>
    </cfRule>
    <cfRule type="expression" dxfId="1837" priority="3723">
      <formula>IF(Q85&gt;=R85,IF(Q85="",FALSE,TRUE))</formula>
    </cfRule>
  </conditionalFormatting>
  <conditionalFormatting sqref="O85">
    <cfRule type="expression" dxfId="1836" priority="3724">
      <formula>OR(IF(O85&lt;P85,TRUE),IF(AND(P85="",O85&lt;&gt;""),TRUE))</formula>
    </cfRule>
    <cfRule type="expression" dxfId="1835" priority="3725">
      <formula>IF(O85&gt;=P85,IF(O85="",FALSE,TRUE))</formula>
    </cfRule>
  </conditionalFormatting>
  <conditionalFormatting sqref="X85">
    <cfRule type="expression" dxfId="1834" priority="3718">
      <formula>OR(IF(X85&lt;Y85,TRUE),IF(AND(Y85="",X85&lt;&gt;""),TRUE))</formula>
    </cfRule>
    <cfRule type="expression" dxfId="1833" priority="3719">
      <formula>IF(X85&gt;=Y85,IF(X85="",FALSE,TRUE))</formula>
    </cfRule>
  </conditionalFormatting>
  <conditionalFormatting sqref="V85">
    <cfRule type="expression" dxfId="1832" priority="3720">
      <formula>OR(IF(V85&lt;W85,TRUE),IF(AND(W85="",V85&lt;&gt;""),TRUE))</formula>
    </cfRule>
    <cfRule type="expression" dxfId="1831" priority="3721">
      <formula>IF(V85&gt;=W85,IF(V85="",FALSE,TRUE))</formula>
    </cfRule>
  </conditionalFormatting>
  <conditionalFormatting sqref="AE85">
    <cfRule type="expression" dxfId="1830" priority="3714">
      <formula>OR(IF(AE85&lt;AF85,TRUE),IF(AND(AF85="",AE85&lt;&gt;""),TRUE))</formula>
    </cfRule>
    <cfRule type="expression" dxfId="1829" priority="3715">
      <formula>IF(AE85&gt;=AF85,IF(AE85="",FALSE,TRUE))</formula>
    </cfRule>
  </conditionalFormatting>
  <conditionalFormatting sqref="AC85">
    <cfRule type="expression" dxfId="1828" priority="3716">
      <formula>OR(IF(AC85&lt;AD85,TRUE),IF(AND(AD85="",AC85&lt;&gt;""),TRUE))</formula>
    </cfRule>
    <cfRule type="expression" dxfId="1827" priority="3717">
      <formula>IF(AC85&gt;=AD85,IF(AC85="",FALSE,TRUE))</formula>
    </cfRule>
  </conditionalFormatting>
  <conditionalFormatting sqref="AS85">
    <cfRule type="expression" dxfId="1826" priority="3706">
      <formula>OR(IF(AS85&lt;AT85,TRUE),IF(AND(AT85="",AS85&lt;&gt;""),TRUE))</formula>
    </cfRule>
    <cfRule type="expression" dxfId="1825" priority="3707">
      <formula>IF(AS85&gt;=AT85,IF(AS85="",FALSE,TRUE))</formula>
    </cfRule>
  </conditionalFormatting>
  <conditionalFormatting sqref="AQ85">
    <cfRule type="expression" dxfId="1824" priority="3708">
      <formula>OR(IF(AQ85&lt;AR85,TRUE),IF(AND(AR85="",AQ85&lt;&gt;""),TRUE))</formula>
    </cfRule>
    <cfRule type="expression" dxfId="1823" priority="3709">
      <formula>IF(AQ85&gt;=AR85,IF(AQ85="",FALSE,TRUE))</formula>
    </cfRule>
  </conditionalFormatting>
  <conditionalFormatting sqref="J85:K85">
    <cfRule type="colorScale" priority="3697">
      <colorScale>
        <cfvo type="percent" val="0"/>
        <cfvo type="percent" val="100"/>
        <color rgb="FFFF231B"/>
        <color rgb="FF10FF07"/>
      </colorScale>
    </cfRule>
  </conditionalFormatting>
  <conditionalFormatting sqref="J85">
    <cfRule type="colorScale" priority="3696">
      <colorScale>
        <cfvo type="percent" val="0"/>
        <cfvo type="percent" val="100"/>
        <color rgb="FFFF231B"/>
        <color rgb="FF10FF07"/>
      </colorScale>
    </cfRule>
  </conditionalFormatting>
  <conditionalFormatting sqref="K85">
    <cfRule type="colorScale" priority="3695">
      <colorScale>
        <cfvo type="percent" val="0"/>
        <cfvo type="percent" val="100"/>
        <color rgb="FFFF231B"/>
        <color rgb="FF10FF07"/>
      </colorScale>
    </cfRule>
  </conditionalFormatting>
  <conditionalFormatting sqref="AJ86">
    <cfRule type="expression" dxfId="1822" priority="3681">
      <formula>OR(IF(AJ86&lt;AK86,TRUE),IF(AND(AK86="",AJ86&lt;&gt;""),TRUE))</formula>
    </cfRule>
    <cfRule type="expression" dxfId="1821" priority="3682">
      <formula>IF(AJ86&gt;=AK86,IF(AJ86="",FALSE,TRUE))</formula>
    </cfRule>
  </conditionalFormatting>
  <conditionalFormatting sqref="AL86">
    <cfRule type="expression" dxfId="1820" priority="3679">
      <formula>OR(IF(AL86&lt;AM86,TRUE),IF(AND(AM86="",AL86&lt;&gt;""),TRUE))</formula>
    </cfRule>
    <cfRule type="expression" dxfId="1819" priority="3680">
      <formula>IF(AL86&gt;=AM86,IF(AL86="",FALSE,TRUE))</formula>
    </cfRule>
  </conditionalFormatting>
  <conditionalFormatting sqref="Q86">
    <cfRule type="expression" dxfId="1818" priority="3691">
      <formula>OR(IF(Q86&lt;R86,TRUE),IF(AND(R86="",Q86&lt;&gt;""),TRUE))</formula>
    </cfRule>
    <cfRule type="expression" dxfId="1817" priority="3692">
      <formula>IF(Q86&gt;=R86,IF(Q86="",FALSE,TRUE))</formula>
    </cfRule>
  </conditionalFormatting>
  <conditionalFormatting sqref="O86">
    <cfRule type="expression" dxfId="1816" priority="3693">
      <formula>OR(IF(O86&lt;P86,TRUE),IF(AND(P86="",O86&lt;&gt;""),TRUE))</formula>
    </cfRule>
    <cfRule type="expression" dxfId="1815" priority="3694">
      <formula>IF(O86&gt;=P86,IF(O86="",FALSE,TRUE))</formula>
    </cfRule>
  </conditionalFormatting>
  <conditionalFormatting sqref="X86">
    <cfRule type="expression" dxfId="1814" priority="3687">
      <formula>OR(IF(X86&lt;Y86,TRUE),IF(AND(Y86="",X86&lt;&gt;""),TRUE))</formula>
    </cfRule>
    <cfRule type="expression" dxfId="1813" priority="3688">
      <formula>IF(X86&gt;=Y86,IF(X86="",FALSE,TRUE))</formula>
    </cfRule>
  </conditionalFormatting>
  <conditionalFormatting sqref="V86">
    <cfRule type="expression" dxfId="1812" priority="3689">
      <formula>OR(IF(V86&lt;W86,TRUE),IF(AND(W86="",V86&lt;&gt;""),TRUE))</formula>
    </cfRule>
    <cfRule type="expression" dxfId="1811" priority="3690">
      <formula>IF(V86&gt;=W86,IF(V86="",FALSE,TRUE))</formula>
    </cfRule>
  </conditionalFormatting>
  <conditionalFormatting sqref="AE86">
    <cfRule type="expression" dxfId="1810" priority="3683">
      <formula>OR(IF(AE86&lt;AF86,TRUE),IF(AND(AF86="",AE86&lt;&gt;""),TRUE))</formula>
    </cfRule>
    <cfRule type="expression" dxfId="1809" priority="3684">
      <formula>IF(AE86&gt;=AF86,IF(AE86="",FALSE,TRUE))</formula>
    </cfRule>
  </conditionalFormatting>
  <conditionalFormatting sqref="AC86">
    <cfRule type="expression" dxfId="1808" priority="3685">
      <formula>OR(IF(AC86&lt;AD86,TRUE),IF(AND(AD86="",AC86&lt;&gt;""),TRUE))</formula>
    </cfRule>
    <cfRule type="expression" dxfId="1807" priority="3686">
      <formula>IF(AC86&gt;=AD86,IF(AC86="",FALSE,TRUE))</formula>
    </cfRule>
  </conditionalFormatting>
  <conditionalFormatting sqref="AS86">
    <cfRule type="expression" dxfId="1806" priority="3675">
      <formula>OR(IF(AS86&lt;AT86,TRUE),IF(AND(AT86="",AS86&lt;&gt;""),TRUE))</formula>
    </cfRule>
    <cfRule type="expression" dxfId="1805" priority="3676">
      <formula>IF(AS86&gt;=AT86,IF(AS86="",FALSE,TRUE))</formula>
    </cfRule>
  </conditionalFormatting>
  <conditionalFormatting sqref="AQ86">
    <cfRule type="expression" dxfId="1804" priority="3677">
      <formula>OR(IF(AQ86&lt;AR86,TRUE),IF(AND(AR86="",AQ86&lt;&gt;""),TRUE))</formula>
    </cfRule>
    <cfRule type="expression" dxfId="1803" priority="3678">
      <formula>IF(AQ86&gt;=AR86,IF(AQ86="",FALSE,TRUE))</formula>
    </cfRule>
  </conditionalFormatting>
  <conditionalFormatting sqref="J86:K86">
    <cfRule type="colorScale" priority="3666">
      <colorScale>
        <cfvo type="percent" val="0"/>
        <cfvo type="percent" val="100"/>
        <color rgb="FFFF231B"/>
        <color rgb="FF10FF07"/>
      </colorScale>
    </cfRule>
  </conditionalFormatting>
  <conditionalFormatting sqref="J86">
    <cfRule type="colorScale" priority="3665">
      <colorScale>
        <cfvo type="percent" val="0"/>
        <cfvo type="percent" val="100"/>
        <color rgb="FFFF231B"/>
        <color rgb="FF10FF07"/>
      </colorScale>
    </cfRule>
  </conditionalFormatting>
  <conditionalFormatting sqref="K86">
    <cfRule type="colorScale" priority="3664">
      <colorScale>
        <cfvo type="percent" val="0"/>
        <cfvo type="percent" val="100"/>
        <color rgb="FFFF231B"/>
        <color rgb="FF10FF07"/>
      </colorScale>
    </cfRule>
  </conditionalFormatting>
  <conditionalFormatting sqref="AJ87">
    <cfRule type="expression" dxfId="1802" priority="3650">
      <formula>OR(IF(AJ87&lt;AK87,TRUE),IF(AND(AK87="",AJ87&lt;&gt;""),TRUE))</formula>
    </cfRule>
    <cfRule type="expression" dxfId="1801" priority="3651">
      <formula>IF(AJ87&gt;=AK87,IF(AJ87="",FALSE,TRUE))</formula>
    </cfRule>
  </conditionalFormatting>
  <conditionalFormatting sqref="AL87">
    <cfRule type="expression" dxfId="1800" priority="3648">
      <formula>OR(IF(AL87&lt;AM87,TRUE),IF(AND(AM87="",AL87&lt;&gt;""),TRUE))</formula>
    </cfRule>
    <cfRule type="expression" dxfId="1799" priority="3649">
      <formula>IF(AL87&gt;=AM87,IF(AL87="",FALSE,TRUE))</formula>
    </cfRule>
  </conditionalFormatting>
  <conditionalFormatting sqref="Q87">
    <cfRule type="expression" dxfId="1798" priority="3660">
      <formula>OR(IF(Q87&lt;R87,TRUE),IF(AND(R87="",Q87&lt;&gt;""),TRUE))</formula>
    </cfRule>
    <cfRule type="expression" dxfId="1797" priority="3661">
      <formula>IF(Q87&gt;=R87,IF(Q87="",FALSE,TRUE))</formula>
    </cfRule>
  </conditionalFormatting>
  <conditionalFormatting sqref="O87">
    <cfRule type="expression" dxfId="1796" priority="3662">
      <formula>OR(IF(O87&lt;P87,TRUE),IF(AND(P87="",O87&lt;&gt;""),TRUE))</formula>
    </cfRule>
    <cfRule type="expression" dxfId="1795" priority="3663">
      <formula>IF(O87&gt;=P87,IF(O87="",FALSE,TRUE))</formula>
    </cfRule>
  </conditionalFormatting>
  <conditionalFormatting sqref="X87">
    <cfRule type="expression" dxfId="1794" priority="3656">
      <formula>OR(IF(X87&lt;Y87,TRUE),IF(AND(Y87="",X87&lt;&gt;""),TRUE))</formula>
    </cfRule>
    <cfRule type="expression" dxfId="1793" priority="3657">
      <formula>IF(X87&gt;=Y87,IF(X87="",FALSE,TRUE))</formula>
    </cfRule>
  </conditionalFormatting>
  <conditionalFormatting sqref="V87">
    <cfRule type="expression" dxfId="1792" priority="3658">
      <formula>OR(IF(V87&lt;W87,TRUE),IF(AND(W87="",V87&lt;&gt;""),TRUE))</formula>
    </cfRule>
    <cfRule type="expression" dxfId="1791" priority="3659">
      <formula>IF(V87&gt;=W87,IF(V87="",FALSE,TRUE))</formula>
    </cfRule>
  </conditionalFormatting>
  <conditionalFormatting sqref="AE87">
    <cfRule type="expression" dxfId="1790" priority="3652">
      <formula>OR(IF(AE87&lt;AF87,TRUE),IF(AND(AF87="",AE87&lt;&gt;""),TRUE))</formula>
    </cfRule>
    <cfRule type="expression" dxfId="1789" priority="3653">
      <formula>IF(AE87&gt;=AF87,IF(AE87="",FALSE,TRUE))</formula>
    </cfRule>
  </conditionalFormatting>
  <conditionalFormatting sqref="AC87">
    <cfRule type="expression" dxfId="1788" priority="3654">
      <formula>OR(IF(AC87&lt;AD87,TRUE),IF(AND(AD87="",AC87&lt;&gt;""),TRUE))</formula>
    </cfRule>
    <cfRule type="expression" dxfId="1787" priority="3655">
      <formula>IF(AC87&gt;=AD87,IF(AC87="",FALSE,TRUE))</formula>
    </cfRule>
  </conditionalFormatting>
  <conditionalFormatting sqref="AS87">
    <cfRule type="expression" dxfId="1786" priority="3644">
      <formula>OR(IF(AS87&lt;AT87,TRUE),IF(AND(AT87="",AS87&lt;&gt;""),TRUE))</formula>
    </cfRule>
    <cfRule type="expression" dxfId="1785" priority="3645">
      <formula>IF(AS87&gt;=AT87,IF(AS87="",FALSE,TRUE))</formula>
    </cfRule>
  </conditionalFormatting>
  <conditionalFormatting sqref="AQ87">
    <cfRule type="expression" dxfId="1784" priority="3646">
      <formula>OR(IF(AQ87&lt;AR87,TRUE),IF(AND(AR87="",AQ87&lt;&gt;""),TRUE))</formula>
    </cfRule>
    <cfRule type="expression" dxfId="1783" priority="3647">
      <formula>IF(AQ87&gt;=AR87,IF(AQ87="",FALSE,TRUE))</formula>
    </cfRule>
  </conditionalFormatting>
  <conditionalFormatting sqref="J87:K87">
    <cfRule type="colorScale" priority="3635">
      <colorScale>
        <cfvo type="percent" val="0"/>
        <cfvo type="percent" val="100"/>
        <color rgb="FFFF231B"/>
        <color rgb="FF10FF07"/>
      </colorScale>
    </cfRule>
  </conditionalFormatting>
  <conditionalFormatting sqref="J87">
    <cfRule type="colorScale" priority="3634">
      <colorScale>
        <cfvo type="percent" val="0"/>
        <cfvo type="percent" val="100"/>
        <color rgb="FFFF231B"/>
        <color rgb="FF10FF07"/>
      </colorScale>
    </cfRule>
  </conditionalFormatting>
  <conditionalFormatting sqref="K87">
    <cfRule type="colorScale" priority="3633">
      <colorScale>
        <cfvo type="percent" val="0"/>
        <cfvo type="percent" val="100"/>
        <color rgb="FFFF231B"/>
        <color rgb="FF10FF07"/>
      </colorScale>
    </cfRule>
  </conditionalFormatting>
  <conditionalFormatting sqref="AJ88">
    <cfRule type="expression" dxfId="1782" priority="3619">
      <formula>OR(IF(AJ88&lt;AK88,TRUE),IF(AND(AK88="",AJ88&lt;&gt;""),TRUE))</formula>
    </cfRule>
    <cfRule type="expression" dxfId="1781" priority="3620">
      <formula>IF(AJ88&gt;=AK88,IF(AJ88="",FALSE,TRUE))</formula>
    </cfRule>
  </conditionalFormatting>
  <conditionalFormatting sqref="AL88">
    <cfRule type="expression" dxfId="1780" priority="3617">
      <formula>OR(IF(AL88&lt;AM88,TRUE),IF(AND(AM88="",AL88&lt;&gt;""),TRUE))</formula>
    </cfRule>
    <cfRule type="expression" dxfId="1779" priority="3618">
      <formula>IF(AL88&gt;=AM88,IF(AL88="",FALSE,TRUE))</formula>
    </cfRule>
  </conditionalFormatting>
  <conditionalFormatting sqref="Q88">
    <cfRule type="expression" dxfId="1778" priority="3629">
      <formula>OR(IF(Q88&lt;R88,TRUE),IF(AND(R88="",Q88&lt;&gt;""),TRUE))</formula>
    </cfRule>
    <cfRule type="expression" dxfId="1777" priority="3630">
      <formula>IF(Q88&gt;=R88,IF(Q88="",FALSE,TRUE))</formula>
    </cfRule>
  </conditionalFormatting>
  <conditionalFormatting sqref="O88">
    <cfRule type="expression" dxfId="1776" priority="3631">
      <formula>OR(IF(O88&lt;P88,TRUE),IF(AND(P88="",O88&lt;&gt;""),TRUE))</formula>
    </cfRule>
    <cfRule type="expression" dxfId="1775" priority="3632">
      <formula>IF(O88&gt;=P88,IF(O88="",FALSE,TRUE))</formula>
    </cfRule>
  </conditionalFormatting>
  <conditionalFormatting sqref="X88">
    <cfRule type="expression" dxfId="1774" priority="3625">
      <formula>OR(IF(X88&lt;Y88,TRUE),IF(AND(Y88="",X88&lt;&gt;""),TRUE))</formula>
    </cfRule>
    <cfRule type="expression" dxfId="1773" priority="3626">
      <formula>IF(X88&gt;=Y88,IF(X88="",FALSE,TRUE))</formula>
    </cfRule>
  </conditionalFormatting>
  <conditionalFormatting sqref="V88">
    <cfRule type="expression" dxfId="1772" priority="3627">
      <formula>OR(IF(V88&lt;W88,TRUE),IF(AND(W88="",V88&lt;&gt;""),TRUE))</formula>
    </cfRule>
    <cfRule type="expression" dxfId="1771" priority="3628">
      <formula>IF(V88&gt;=W88,IF(V88="",FALSE,TRUE))</formula>
    </cfRule>
  </conditionalFormatting>
  <conditionalFormatting sqref="AE88">
    <cfRule type="expression" dxfId="1770" priority="3621">
      <formula>OR(IF(AE88&lt;AF88,TRUE),IF(AND(AF88="",AE88&lt;&gt;""),TRUE))</formula>
    </cfRule>
    <cfRule type="expression" dxfId="1769" priority="3622">
      <formula>IF(AE88&gt;=AF88,IF(AE88="",FALSE,TRUE))</formula>
    </cfRule>
  </conditionalFormatting>
  <conditionalFormatting sqref="AC88">
    <cfRule type="expression" dxfId="1768" priority="3623">
      <formula>OR(IF(AC88&lt;AD88,TRUE),IF(AND(AD88="",AC88&lt;&gt;""),TRUE))</formula>
    </cfRule>
    <cfRule type="expression" dxfId="1767" priority="3624">
      <formula>IF(AC88&gt;=AD88,IF(AC88="",FALSE,TRUE))</formula>
    </cfRule>
  </conditionalFormatting>
  <conditionalFormatting sqref="AS88">
    <cfRule type="expression" dxfId="1766" priority="3613">
      <formula>OR(IF(AS88&lt;AT88,TRUE),IF(AND(AT88="",AS88&lt;&gt;""),TRUE))</formula>
    </cfRule>
    <cfRule type="expression" dxfId="1765" priority="3614">
      <formula>IF(AS88&gt;=AT88,IF(AS88="",FALSE,TRUE))</formula>
    </cfRule>
  </conditionalFormatting>
  <conditionalFormatting sqref="AQ88">
    <cfRule type="expression" dxfId="1764" priority="3615">
      <formula>OR(IF(AQ88&lt;AR88,TRUE),IF(AND(AR88="",AQ88&lt;&gt;""),TRUE))</formula>
    </cfRule>
    <cfRule type="expression" dxfId="1763" priority="3616">
      <formula>IF(AQ88&gt;=AR88,IF(AQ88="",FALSE,TRUE))</formula>
    </cfRule>
  </conditionalFormatting>
  <conditionalFormatting sqref="J88:K88">
    <cfRule type="colorScale" priority="3604">
      <colorScale>
        <cfvo type="percent" val="0"/>
        <cfvo type="percent" val="100"/>
        <color rgb="FFFF231B"/>
        <color rgb="FF10FF07"/>
      </colorScale>
    </cfRule>
  </conditionalFormatting>
  <conditionalFormatting sqref="J88">
    <cfRule type="colorScale" priority="3603">
      <colorScale>
        <cfvo type="percent" val="0"/>
        <cfvo type="percent" val="100"/>
        <color rgb="FFFF231B"/>
        <color rgb="FF10FF07"/>
      </colorScale>
    </cfRule>
  </conditionalFormatting>
  <conditionalFormatting sqref="K88">
    <cfRule type="colorScale" priority="3602">
      <colorScale>
        <cfvo type="percent" val="0"/>
        <cfvo type="percent" val="100"/>
        <color rgb="FFFF231B"/>
        <color rgb="FF10FF07"/>
      </colorScale>
    </cfRule>
  </conditionalFormatting>
  <conditionalFormatting sqref="AJ89:AJ93">
    <cfRule type="expression" dxfId="1762" priority="3588">
      <formula>OR(IF(AJ89&lt;AK89,TRUE),IF(AND(AK89="",AJ89&lt;&gt;""),TRUE))</formula>
    </cfRule>
    <cfRule type="expression" dxfId="1761" priority="3589">
      <formula>IF(AJ89&gt;=AK89,IF(AJ89="",FALSE,TRUE))</formula>
    </cfRule>
  </conditionalFormatting>
  <conditionalFormatting sqref="AL89:AL93">
    <cfRule type="expression" dxfId="1760" priority="3586">
      <formula>OR(IF(AL89&lt;AM89,TRUE),IF(AND(AM89="",AL89&lt;&gt;""),TRUE))</formula>
    </cfRule>
    <cfRule type="expression" dxfId="1759" priority="3587">
      <formula>IF(AL89&gt;=AM89,IF(AL89="",FALSE,TRUE))</formula>
    </cfRule>
  </conditionalFormatting>
  <conditionalFormatting sqref="Q89:Q93">
    <cfRule type="expression" dxfId="1758" priority="3598">
      <formula>OR(IF(Q89&lt;R89,TRUE),IF(AND(R89="",Q89&lt;&gt;""),TRUE))</formula>
    </cfRule>
    <cfRule type="expression" dxfId="1757" priority="3599">
      <formula>IF(Q89&gt;=R89,IF(Q89="",FALSE,TRUE))</formula>
    </cfRule>
  </conditionalFormatting>
  <conditionalFormatting sqref="O89:O93">
    <cfRule type="expression" dxfId="1756" priority="3600">
      <formula>OR(IF(O89&lt;P89,TRUE),IF(AND(P89="",O89&lt;&gt;""),TRUE))</formula>
    </cfRule>
    <cfRule type="expression" dxfId="1755" priority="3601">
      <formula>IF(O89&gt;=P89,IF(O89="",FALSE,TRUE))</formula>
    </cfRule>
  </conditionalFormatting>
  <conditionalFormatting sqref="X89:X93">
    <cfRule type="expression" dxfId="1754" priority="3594">
      <formula>OR(IF(X89&lt;Y89,TRUE),IF(AND(Y89="",X89&lt;&gt;""),TRUE))</formula>
    </cfRule>
    <cfRule type="expression" dxfId="1753" priority="3595">
      <formula>IF(X89&gt;=Y89,IF(X89="",FALSE,TRUE))</formula>
    </cfRule>
  </conditionalFormatting>
  <conditionalFormatting sqref="V89:V93">
    <cfRule type="expression" dxfId="1752" priority="3596">
      <formula>OR(IF(V89&lt;W89,TRUE),IF(AND(W89="",V89&lt;&gt;""),TRUE))</formula>
    </cfRule>
    <cfRule type="expression" dxfId="1751" priority="3597">
      <formula>IF(V89&gt;=W89,IF(V89="",FALSE,TRUE))</formula>
    </cfRule>
  </conditionalFormatting>
  <conditionalFormatting sqref="AE89:AE93">
    <cfRule type="expression" dxfId="1750" priority="3590">
      <formula>OR(IF(AE89&lt;AF89,TRUE),IF(AND(AF89="",AE89&lt;&gt;""),TRUE))</formula>
    </cfRule>
    <cfRule type="expression" dxfId="1749" priority="3591">
      <formula>IF(AE89&gt;=AF89,IF(AE89="",FALSE,TRUE))</formula>
    </cfRule>
  </conditionalFormatting>
  <conditionalFormatting sqref="AC89:AC93">
    <cfRule type="expression" dxfId="1748" priority="3592">
      <formula>OR(IF(AC89&lt;AD89,TRUE),IF(AND(AD89="",AC89&lt;&gt;""),TRUE))</formula>
    </cfRule>
    <cfRule type="expression" dxfId="1747" priority="3593">
      <formula>IF(AC89&gt;=AD89,IF(AC89="",FALSE,TRUE))</formula>
    </cfRule>
  </conditionalFormatting>
  <conditionalFormatting sqref="AS89:AS93">
    <cfRule type="expression" dxfId="1746" priority="3582">
      <formula>OR(IF(AS89&lt;AT89,TRUE),IF(AND(AT89="",AS89&lt;&gt;""),TRUE))</formula>
    </cfRule>
    <cfRule type="expression" dxfId="1745" priority="3583">
      <formula>IF(AS89&gt;=AT89,IF(AS89="",FALSE,TRUE))</formula>
    </cfRule>
  </conditionalFormatting>
  <conditionalFormatting sqref="AQ89:AQ93">
    <cfRule type="expression" dxfId="1744" priority="3584">
      <formula>OR(IF(AQ89&lt;AR89,TRUE),IF(AND(AR89="",AQ89&lt;&gt;""),TRUE))</formula>
    </cfRule>
    <cfRule type="expression" dxfId="1743" priority="3585">
      <formula>IF(AQ89&gt;=AR89,IF(AQ89="",FALSE,TRUE))</formula>
    </cfRule>
  </conditionalFormatting>
  <conditionalFormatting sqref="J89:K93">
    <cfRule type="colorScale" priority="3573">
      <colorScale>
        <cfvo type="percent" val="0"/>
        <cfvo type="percent" val="100"/>
        <color rgb="FFFF231B"/>
        <color rgb="FF10FF07"/>
      </colorScale>
    </cfRule>
  </conditionalFormatting>
  <conditionalFormatting sqref="J89:J93">
    <cfRule type="colorScale" priority="3572">
      <colorScale>
        <cfvo type="percent" val="0"/>
        <cfvo type="percent" val="100"/>
        <color rgb="FFFF231B"/>
        <color rgb="FF10FF07"/>
      </colorScale>
    </cfRule>
  </conditionalFormatting>
  <conditionalFormatting sqref="K89:K93">
    <cfRule type="colorScale" priority="3571">
      <colorScale>
        <cfvo type="percent" val="0"/>
        <cfvo type="percent" val="100"/>
        <color rgb="FFFF231B"/>
        <color rgb="FF10FF07"/>
      </colorScale>
    </cfRule>
  </conditionalFormatting>
  <conditionalFormatting sqref="O26">
    <cfRule type="expression" dxfId="1742" priority="3569">
      <formula>OR(IF(O26&lt;P26,TRUE),IF(AND(P26="",O26&lt;&gt;""),TRUE))</formula>
    </cfRule>
    <cfRule type="expression" dxfId="1741" priority="3570">
      <formula>IF(O26&gt;=P26,IF(O26="",FALSE,TRUE))</formula>
    </cfRule>
  </conditionalFormatting>
  <conditionalFormatting sqref="Q26">
    <cfRule type="expression" dxfId="1740" priority="3567">
      <formula>OR(IF(Q26&lt;R26,TRUE),IF(AND(R26="",Q26&lt;&gt;""),TRUE))</formula>
    </cfRule>
    <cfRule type="expression" dxfId="1739" priority="3568">
      <formula>IF(Q26&gt;=R26,IF(Q26="",FALSE,TRUE))</formula>
    </cfRule>
  </conditionalFormatting>
  <conditionalFormatting sqref="V26">
    <cfRule type="expression" dxfId="1738" priority="3565">
      <formula>OR(IF(V26&lt;W26,TRUE),IF(AND(W26="",V26&lt;&gt;""),TRUE))</formula>
    </cfRule>
    <cfRule type="expression" dxfId="1737" priority="3566">
      <formula>IF(V26&gt;=W26,IF(V26="",FALSE,TRUE))</formula>
    </cfRule>
  </conditionalFormatting>
  <conditionalFormatting sqref="X26">
    <cfRule type="expression" dxfId="1736" priority="3563">
      <formula>OR(IF(X26&lt;Y26,TRUE),IF(AND(Y26="",X26&lt;&gt;""),TRUE))</formula>
    </cfRule>
    <cfRule type="expression" dxfId="1735" priority="3564">
      <formula>IF(X26&gt;=Y26,IF(X26="",FALSE,TRUE))</formula>
    </cfRule>
  </conditionalFormatting>
  <conditionalFormatting sqref="AC26">
    <cfRule type="expression" dxfId="1734" priority="3561">
      <formula>OR(IF(AC26&lt;AD26,TRUE),IF(AND(AD26="",AC26&lt;&gt;""),TRUE))</formula>
    </cfRule>
    <cfRule type="expression" dxfId="1733" priority="3562">
      <formula>IF(AC26&gt;=AD26,IF(AC26="",FALSE,TRUE))</formula>
    </cfRule>
  </conditionalFormatting>
  <conditionalFormatting sqref="AE26">
    <cfRule type="expression" dxfId="1732" priority="3559">
      <formula>OR(IF(AE26&lt;AF26,TRUE),IF(AND(AF26="",AE26&lt;&gt;""),TRUE))</formula>
    </cfRule>
    <cfRule type="expression" dxfId="1731" priority="3560">
      <formula>IF(AE26&gt;=AF26,IF(AE26="",FALSE,TRUE))</formula>
    </cfRule>
  </conditionalFormatting>
  <conditionalFormatting sqref="AJ26">
    <cfRule type="expression" dxfId="1730" priority="3557">
      <formula>OR(IF(AJ26&lt;AK26,TRUE),IF(AND(AK26="",AJ26&lt;&gt;""),TRUE))</formula>
    </cfRule>
    <cfRule type="expression" dxfId="1729" priority="3558">
      <formula>IF(AJ26&gt;=AK26,IF(AJ26="",FALSE,TRUE))</formula>
    </cfRule>
  </conditionalFormatting>
  <conditionalFormatting sqref="AL26">
    <cfRule type="expression" dxfId="1728" priority="3555">
      <formula>OR(IF(AL26&lt;AM26,TRUE),IF(AND(AM26="",AL26&lt;&gt;""),TRUE))</formula>
    </cfRule>
    <cfRule type="expression" dxfId="1727" priority="3556">
      <formula>IF(AL26&gt;=AM26,IF(AL26="",FALSE,TRUE))</formula>
    </cfRule>
  </conditionalFormatting>
  <conditionalFormatting sqref="AQ26">
    <cfRule type="expression" dxfId="1726" priority="3553">
      <formula>OR(IF(AQ26&lt;AR26,TRUE),IF(AND(AR26="",AQ26&lt;&gt;""),TRUE))</formula>
    </cfRule>
    <cfRule type="expression" dxfId="1725" priority="3554">
      <formula>IF(AQ26&gt;=AR26,IF(AQ26="",FALSE,TRUE))</formula>
    </cfRule>
  </conditionalFormatting>
  <conditionalFormatting sqref="AS26">
    <cfRule type="expression" dxfId="1724" priority="3551">
      <formula>OR(IF(AS26&lt;AT26,TRUE),IF(AND(AT26="",AS26&lt;&gt;""),TRUE))</formula>
    </cfRule>
    <cfRule type="expression" dxfId="1723" priority="3552">
      <formula>IF(AS26&gt;=AT26,IF(AS26="",FALSE,TRUE))</formula>
    </cfRule>
  </conditionalFormatting>
  <conditionalFormatting sqref="J26:K26">
    <cfRule type="colorScale" priority="3542">
      <colorScale>
        <cfvo type="percent" val="0"/>
        <cfvo type="percent" val="100"/>
        <color rgb="FFFF231B"/>
        <color rgb="FF10FF07"/>
      </colorScale>
    </cfRule>
  </conditionalFormatting>
  <conditionalFormatting sqref="J26">
    <cfRule type="colorScale" priority="3541">
      <colorScale>
        <cfvo type="percent" val="0"/>
        <cfvo type="percent" val="100"/>
        <color rgb="FFFF231B"/>
        <color rgb="FF10FF07"/>
      </colorScale>
    </cfRule>
  </conditionalFormatting>
  <conditionalFormatting sqref="K26">
    <cfRule type="colorScale" priority="3540">
      <colorScale>
        <cfvo type="percent" val="0"/>
        <cfvo type="percent" val="100"/>
        <color rgb="FFFF231B"/>
        <color rgb="FF10FF07"/>
      </colorScale>
    </cfRule>
  </conditionalFormatting>
  <conditionalFormatting sqref="O27">
    <cfRule type="expression" dxfId="1722" priority="3538">
      <formula>OR(IF(O27&lt;P27,TRUE),IF(AND(P27="",O27&lt;&gt;""),TRUE))</formula>
    </cfRule>
    <cfRule type="expression" dxfId="1721" priority="3539">
      <formula>IF(O27&gt;=P27,IF(O27="",FALSE,TRUE))</formula>
    </cfRule>
  </conditionalFormatting>
  <conditionalFormatting sqref="Q27">
    <cfRule type="expression" dxfId="1720" priority="3536">
      <formula>OR(IF(Q27&lt;R27,TRUE),IF(AND(R27="",Q27&lt;&gt;""),TRUE))</formula>
    </cfRule>
    <cfRule type="expression" dxfId="1719" priority="3537">
      <formula>IF(Q27&gt;=R27,IF(Q27="",FALSE,TRUE))</formula>
    </cfRule>
  </conditionalFormatting>
  <conditionalFormatting sqref="V27">
    <cfRule type="expression" dxfId="1718" priority="3534">
      <formula>OR(IF(V27&lt;W27,TRUE),IF(AND(W27="",V27&lt;&gt;""),TRUE))</formula>
    </cfRule>
    <cfRule type="expression" dxfId="1717" priority="3535">
      <formula>IF(V27&gt;=W27,IF(V27="",FALSE,TRUE))</formula>
    </cfRule>
  </conditionalFormatting>
  <conditionalFormatting sqref="X27">
    <cfRule type="expression" dxfId="1716" priority="3532">
      <formula>OR(IF(X27&lt;Y27,TRUE),IF(AND(Y27="",X27&lt;&gt;""),TRUE))</formula>
    </cfRule>
    <cfRule type="expression" dxfId="1715" priority="3533">
      <formula>IF(X27&gt;=Y27,IF(X27="",FALSE,TRUE))</formula>
    </cfRule>
  </conditionalFormatting>
  <conditionalFormatting sqref="AC27">
    <cfRule type="expression" dxfId="1714" priority="3530">
      <formula>OR(IF(AC27&lt;AD27,TRUE),IF(AND(AD27="",AC27&lt;&gt;""),TRUE))</formula>
    </cfRule>
    <cfRule type="expression" dxfId="1713" priority="3531">
      <formula>IF(AC27&gt;=AD27,IF(AC27="",FALSE,TRUE))</formula>
    </cfRule>
  </conditionalFormatting>
  <conditionalFormatting sqref="AE27">
    <cfRule type="expression" dxfId="1712" priority="3528">
      <formula>OR(IF(AE27&lt;AF27,TRUE),IF(AND(AF27="",AE27&lt;&gt;""),TRUE))</formula>
    </cfRule>
    <cfRule type="expression" dxfId="1711" priority="3529">
      <formula>IF(AE27&gt;=AF27,IF(AE27="",FALSE,TRUE))</formula>
    </cfRule>
  </conditionalFormatting>
  <conditionalFormatting sqref="AJ27">
    <cfRule type="expression" dxfId="1710" priority="3526">
      <formula>OR(IF(AJ27&lt;AK27,TRUE),IF(AND(AK27="",AJ27&lt;&gt;""),TRUE))</formula>
    </cfRule>
    <cfRule type="expression" dxfId="1709" priority="3527">
      <formula>IF(AJ27&gt;=AK27,IF(AJ27="",FALSE,TRUE))</formula>
    </cfRule>
  </conditionalFormatting>
  <conditionalFormatting sqref="AL27">
    <cfRule type="expression" dxfId="1708" priority="3524">
      <formula>OR(IF(AL27&lt;AM27,TRUE),IF(AND(AM27="",AL27&lt;&gt;""),TRUE))</formula>
    </cfRule>
    <cfRule type="expression" dxfId="1707" priority="3525">
      <formula>IF(AL27&gt;=AM27,IF(AL27="",FALSE,TRUE))</formula>
    </cfRule>
  </conditionalFormatting>
  <conditionalFormatting sqref="AQ27">
    <cfRule type="expression" dxfId="1706" priority="3522">
      <formula>OR(IF(AQ27&lt;AR27,TRUE),IF(AND(AR27="",AQ27&lt;&gt;""),TRUE))</formula>
    </cfRule>
    <cfRule type="expression" dxfId="1705" priority="3523">
      <formula>IF(AQ27&gt;=AR27,IF(AQ27="",FALSE,TRUE))</formula>
    </cfRule>
  </conditionalFormatting>
  <conditionalFormatting sqref="AS27">
    <cfRule type="expression" dxfId="1704" priority="3520">
      <formula>OR(IF(AS27&lt;AT27,TRUE),IF(AND(AT27="",AS27&lt;&gt;""),TRUE))</formula>
    </cfRule>
    <cfRule type="expression" dxfId="1703" priority="3521">
      <formula>IF(AS27&gt;=AT27,IF(AS27="",FALSE,TRUE))</formula>
    </cfRule>
  </conditionalFormatting>
  <conditionalFormatting sqref="J27:K27">
    <cfRule type="colorScale" priority="3511">
      <colorScale>
        <cfvo type="percent" val="0"/>
        <cfvo type="percent" val="100"/>
        <color rgb="FFFF231B"/>
        <color rgb="FF10FF07"/>
      </colorScale>
    </cfRule>
  </conditionalFormatting>
  <conditionalFormatting sqref="J27">
    <cfRule type="colorScale" priority="3510">
      <colorScale>
        <cfvo type="percent" val="0"/>
        <cfvo type="percent" val="100"/>
        <color rgb="FFFF231B"/>
        <color rgb="FF10FF07"/>
      </colorScale>
    </cfRule>
  </conditionalFormatting>
  <conditionalFormatting sqref="K27">
    <cfRule type="colorScale" priority="3509">
      <colorScale>
        <cfvo type="percent" val="0"/>
        <cfvo type="percent" val="100"/>
        <color rgb="FFFF231B"/>
        <color rgb="FF10FF07"/>
      </colorScale>
    </cfRule>
  </conditionalFormatting>
  <conditionalFormatting sqref="O28">
    <cfRule type="expression" dxfId="1702" priority="3507">
      <formula>OR(IF(O28&lt;P28,TRUE),IF(AND(P28="",O28&lt;&gt;""),TRUE))</formula>
    </cfRule>
    <cfRule type="expression" dxfId="1701" priority="3508">
      <formula>IF(O28&gt;=P28,IF(O28="",FALSE,TRUE))</formula>
    </cfRule>
  </conditionalFormatting>
  <conditionalFormatting sqref="Q28">
    <cfRule type="expression" dxfId="1700" priority="3505">
      <formula>OR(IF(Q28&lt;R28,TRUE),IF(AND(R28="",Q28&lt;&gt;""),TRUE))</formula>
    </cfRule>
    <cfRule type="expression" dxfId="1699" priority="3506">
      <formula>IF(Q28&gt;=R28,IF(Q28="",FALSE,TRUE))</formula>
    </cfRule>
  </conditionalFormatting>
  <conditionalFormatting sqref="V28">
    <cfRule type="expression" dxfId="1698" priority="3503">
      <formula>OR(IF(V28&lt;W28,TRUE),IF(AND(W28="",V28&lt;&gt;""),TRUE))</formula>
    </cfRule>
    <cfRule type="expression" dxfId="1697" priority="3504">
      <formula>IF(V28&gt;=W28,IF(V28="",FALSE,TRUE))</formula>
    </cfRule>
  </conditionalFormatting>
  <conditionalFormatting sqref="X28">
    <cfRule type="expression" dxfId="1696" priority="3501">
      <formula>OR(IF(X28&lt;Y28,TRUE),IF(AND(Y28="",X28&lt;&gt;""),TRUE))</formula>
    </cfRule>
    <cfRule type="expression" dxfId="1695" priority="3502">
      <formula>IF(X28&gt;=Y28,IF(X28="",FALSE,TRUE))</formula>
    </cfRule>
  </conditionalFormatting>
  <conditionalFormatting sqref="AC28">
    <cfRule type="expression" dxfId="1694" priority="3499">
      <formula>OR(IF(AC28&lt;AD28,TRUE),IF(AND(AD28="",AC28&lt;&gt;""),TRUE))</formula>
    </cfRule>
    <cfRule type="expression" dxfId="1693" priority="3500">
      <formula>IF(AC28&gt;=AD28,IF(AC28="",FALSE,TRUE))</formula>
    </cfRule>
  </conditionalFormatting>
  <conditionalFormatting sqref="AE28">
    <cfRule type="expression" dxfId="1692" priority="3497">
      <formula>OR(IF(AE28&lt;AF28,TRUE),IF(AND(AF28="",AE28&lt;&gt;""),TRUE))</formula>
    </cfRule>
    <cfRule type="expression" dxfId="1691" priority="3498">
      <formula>IF(AE28&gt;=AF28,IF(AE28="",FALSE,TRUE))</formula>
    </cfRule>
  </conditionalFormatting>
  <conditionalFormatting sqref="AJ28">
    <cfRule type="expression" dxfId="1690" priority="3495">
      <formula>OR(IF(AJ28&lt;AK28,TRUE),IF(AND(AK28="",AJ28&lt;&gt;""),TRUE))</formula>
    </cfRule>
    <cfRule type="expression" dxfId="1689" priority="3496">
      <formula>IF(AJ28&gt;=AK28,IF(AJ28="",FALSE,TRUE))</formula>
    </cfRule>
  </conditionalFormatting>
  <conditionalFormatting sqref="AL28">
    <cfRule type="expression" dxfId="1688" priority="3493">
      <formula>OR(IF(AL28&lt;AM28,TRUE),IF(AND(AM28="",AL28&lt;&gt;""),TRUE))</formula>
    </cfRule>
    <cfRule type="expression" dxfId="1687" priority="3494">
      <formula>IF(AL28&gt;=AM28,IF(AL28="",FALSE,TRUE))</formula>
    </cfRule>
  </conditionalFormatting>
  <conditionalFormatting sqref="AQ28">
    <cfRule type="expression" dxfId="1686" priority="3491">
      <formula>OR(IF(AQ28&lt;AR28,TRUE),IF(AND(AR28="",AQ28&lt;&gt;""),TRUE))</formula>
    </cfRule>
    <cfRule type="expression" dxfId="1685" priority="3492">
      <formula>IF(AQ28&gt;=AR28,IF(AQ28="",FALSE,TRUE))</formula>
    </cfRule>
  </conditionalFormatting>
  <conditionalFormatting sqref="AS28">
    <cfRule type="expression" dxfId="1684" priority="3489">
      <formula>OR(IF(AS28&lt;AT28,TRUE),IF(AND(AT28="",AS28&lt;&gt;""),TRUE))</formula>
    </cfRule>
    <cfRule type="expression" dxfId="1683" priority="3490">
      <formula>IF(AS28&gt;=AT28,IF(AS28="",FALSE,TRUE))</formula>
    </cfRule>
  </conditionalFormatting>
  <conditionalFormatting sqref="J28:K28">
    <cfRule type="colorScale" priority="3480">
      <colorScale>
        <cfvo type="percent" val="0"/>
        <cfvo type="percent" val="100"/>
        <color rgb="FFFF231B"/>
        <color rgb="FF10FF07"/>
      </colorScale>
    </cfRule>
  </conditionalFormatting>
  <conditionalFormatting sqref="J28">
    <cfRule type="colorScale" priority="3479">
      <colorScale>
        <cfvo type="percent" val="0"/>
        <cfvo type="percent" val="100"/>
        <color rgb="FFFF231B"/>
        <color rgb="FF10FF07"/>
      </colorScale>
    </cfRule>
  </conditionalFormatting>
  <conditionalFormatting sqref="K28">
    <cfRule type="colorScale" priority="3478">
      <colorScale>
        <cfvo type="percent" val="0"/>
        <cfvo type="percent" val="100"/>
        <color rgb="FFFF231B"/>
        <color rgb="FF10FF07"/>
      </colorScale>
    </cfRule>
  </conditionalFormatting>
  <conditionalFormatting sqref="O29">
    <cfRule type="expression" dxfId="1682" priority="3476">
      <formula>OR(IF(O29&lt;P29,TRUE),IF(AND(P29="",O29&lt;&gt;""),TRUE))</formula>
    </cfRule>
    <cfRule type="expression" dxfId="1681" priority="3477">
      <formula>IF(O29&gt;=P29,IF(O29="",FALSE,TRUE))</formula>
    </cfRule>
  </conditionalFormatting>
  <conditionalFormatting sqref="Q29">
    <cfRule type="expression" dxfId="1680" priority="3474">
      <formula>OR(IF(Q29&lt;R29,TRUE),IF(AND(R29="",Q29&lt;&gt;""),TRUE))</formula>
    </cfRule>
    <cfRule type="expression" dxfId="1679" priority="3475">
      <formula>IF(Q29&gt;=R29,IF(Q29="",FALSE,TRUE))</formula>
    </cfRule>
  </conditionalFormatting>
  <conditionalFormatting sqref="V29">
    <cfRule type="expression" dxfId="1678" priority="3472">
      <formula>OR(IF(V29&lt;W29,TRUE),IF(AND(W29="",V29&lt;&gt;""),TRUE))</formula>
    </cfRule>
    <cfRule type="expression" dxfId="1677" priority="3473">
      <formula>IF(V29&gt;=W29,IF(V29="",FALSE,TRUE))</formula>
    </cfRule>
  </conditionalFormatting>
  <conditionalFormatting sqref="X29">
    <cfRule type="expression" dxfId="1676" priority="3470">
      <formula>OR(IF(X29&lt;Y29,TRUE),IF(AND(Y29="",X29&lt;&gt;""),TRUE))</formula>
    </cfRule>
    <cfRule type="expression" dxfId="1675" priority="3471">
      <formula>IF(X29&gt;=Y29,IF(X29="",FALSE,TRUE))</formula>
    </cfRule>
  </conditionalFormatting>
  <conditionalFormatting sqref="AC29">
    <cfRule type="expression" dxfId="1674" priority="3468">
      <formula>OR(IF(AC29&lt;AD29,TRUE),IF(AND(AD29="",AC29&lt;&gt;""),TRUE))</formula>
    </cfRule>
    <cfRule type="expression" dxfId="1673" priority="3469">
      <formula>IF(AC29&gt;=AD29,IF(AC29="",FALSE,TRUE))</formula>
    </cfRule>
  </conditionalFormatting>
  <conditionalFormatting sqref="AE29">
    <cfRule type="expression" dxfId="1672" priority="3466">
      <formula>OR(IF(AE29&lt;AF29,TRUE),IF(AND(AF29="",AE29&lt;&gt;""),TRUE))</formula>
    </cfRule>
    <cfRule type="expression" dxfId="1671" priority="3467">
      <formula>IF(AE29&gt;=AF29,IF(AE29="",FALSE,TRUE))</formula>
    </cfRule>
  </conditionalFormatting>
  <conditionalFormatting sqref="AJ29">
    <cfRule type="expression" dxfId="1670" priority="3464">
      <formula>OR(IF(AJ29&lt;AK29,TRUE),IF(AND(AK29="",AJ29&lt;&gt;""),TRUE))</formula>
    </cfRule>
    <cfRule type="expression" dxfId="1669" priority="3465">
      <formula>IF(AJ29&gt;=AK29,IF(AJ29="",FALSE,TRUE))</formula>
    </cfRule>
  </conditionalFormatting>
  <conditionalFormatting sqref="AL29">
    <cfRule type="expression" dxfId="1668" priority="3462">
      <formula>OR(IF(AL29&lt;AM29,TRUE),IF(AND(AM29="",AL29&lt;&gt;""),TRUE))</formula>
    </cfRule>
    <cfRule type="expression" dxfId="1667" priority="3463">
      <formula>IF(AL29&gt;=AM29,IF(AL29="",FALSE,TRUE))</formula>
    </cfRule>
  </conditionalFormatting>
  <conditionalFormatting sqref="AQ29">
    <cfRule type="expression" dxfId="1666" priority="3460">
      <formula>OR(IF(AQ29&lt;AR29,TRUE),IF(AND(AR29="",AQ29&lt;&gt;""),TRUE))</formula>
    </cfRule>
    <cfRule type="expression" dxfId="1665" priority="3461">
      <formula>IF(AQ29&gt;=AR29,IF(AQ29="",FALSE,TRUE))</formula>
    </cfRule>
  </conditionalFormatting>
  <conditionalFormatting sqref="AS29">
    <cfRule type="expression" dxfId="1664" priority="3458">
      <formula>OR(IF(AS29&lt;AT29,TRUE),IF(AND(AT29="",AS29&lt;&gt;""),TRUE))</formula>
    </cfRule>
    <cfRule type="expression" dxfId="1663" priority="3459">
      <formula>IF(AS29&gt;=AT29,IF(AS29="",FALSE,TRUE))</formula>
    </cfRule>
  </conditionalFormatting>
  <conditionalFormatting sqref="J29:K29">
    <cfRule type="colorScale" priority="3449">
      <colorScale>
        <cfvo type="percent" val="0"/>
        <cfvo type="percent" val="100"/>
        <color rgb="FFFF231B"/>
        <color rgb="FF10FF07"/>
      </colorScale>
    </cfRule>
  </conditionalFormatting>
  <conditionalFormatting sqref="J29">
    <cfRule type="colorScale" priority="3448">
      <colorScale>
        <cfvo type="percent" val="0"/>
        <cfvo type="percent" val="100"/>
        <color rgb="FFFF231B"/>
        <color rgb="FF10FF07"/>
      </colorScale>
    </cfRule>
  </conditionalFormatting>
  <conditionalFormatting sqref="K29">
    <cfRule type="colorScale" priority="3447">
      <colorScale>
        <cfvo type="percent" val="0"/>
        <cfvo type="percent" val="100"/>
        <color rgb="FFFF231B"/>
        <color rgb="FF10FF07"/>
      </colorScale>
    </cfRule>
  </conditionalFormatting>
  <conditionalFormatting sqref="O30:O31">
    <cfRule type="expression" dxfId="1662" priority="3445">
      <formula>OR(IF(O30&lt;P30,TRUE),IF(AND(P30="",O30&lt;&gt;""),TRUE))</formula>
    </cfRule>
    <cfRule type="expression" dxfId="1661" priority="3446">
      <formula>IF(O30&gt;=P30,IF(O30="",FALSE,TRUE))</formula>
    </cfRule>
  </conditionalFormatting>
  <conditionalFormatting sqref="Q30:Q31">
    <cfRule type="expression" dxfId="1660" priority="3443">
      <formula>OR(IF(Q30&lt;R30,TRUE),IF(AND(R30="",Q30&lt;&gt;""),TRUE))</formula>
    </cfRule>
    <cfRule type="expression" dxfId="1659" priority="3444">
      <formula>IF(Q30&gt;=R30,IF(Q30="",FALSE,TRUE))</formula>
    </cfRule>
  </conditionalFormatting>
  <conditionalFormatting sqref="V30:V31">
    <cfRule type="expression" dxfId="1658" priority="3441">
      <formula>OR(IF(V30&lt;W30,TRUE),IF(AND(W30="",V30&lt;&gt;""),TRUE))</formula>
    </cfRule>
    <cfRule type="expression" dxfId="1657" priority="3442">
      <formula>IF(V30&gt;=W30,IF(V30="",FALSE,TRUE))</formula>
    </cfRule>
  </conditionalFormatting>
  <conditionalFormatting sqref="X30:X31">
    <cfRule type="expression" dxfId="1656" priority="3439">
      <formula>OR(IF(X30&lt;Y30,TRUE),IF(AND(Y30="",X30&lt;&gt;""),TRUE))</formula>
    </cfRule>
    <cfRule type="expression" dxfId="1655" priority="3440">
      <formula>IF(X30&gt;=Y30,IF(X30="",FALSE,TRUE))</formula>
    </cfRule>
  </conditionalFormatting>
  <conditionalFormatting sqref="AC30:AC31">
    <cfRule type="expression" dxfId="1654" priority="3437">
      <formula>OR(IF(AC30&lt;AD30,TRUE),IF(AND(AD30="",AC30&lt;&gt;""),TRUE))</formula>
    </cfRule>
    <cfRule type="expression" dxfId="1653" priority="3438">
      <formula>IF(AC30&gt;=AD30,IF(AC30="",FALSE,TRUE))</formula>
    </cfRule>
  </conditionalFormatting>
  <conditionalFormatting sqref="AE30:AE31">
    <cfRule type="expression" dxfId="1652" priority="3435">
      <formula>OR(IF(AE30&lt;AF30,TRUE),IF(AND(AF30="",AE30&lt;&gt;""),TRUE))</formula>
    </cfRule>
    <cfRule type="expression" dxfId="1651" priority="3436">
      <formula>IF(AE30&gt;=AF30,IF(AE30="",FALSE,TRUE))</formula>
    </cfRule>
  </conditionalFormatting>
  <conditionalFormatting sqref="AJ30:AJ31">
    <cfRule type="expression" dxfId="1650" priority="3433">
      <formula>OR(IF(AJ30&lt;AK30,TRUE),IF(AND(AK30="",AJ30&lt;&gt;""),TRUE))</formula>
    </cfRule>
    <cfRule type="expression" dxfId="1649" priority="3434">
      <formula>IF(AJ30&gt;=AK30,IF(AJ30="",FALSE,TRUE))</formula>
    </cfRule>
  </conditionalFormatting>
  <conditionalFormatting sqref="AL30:AL31">
    <cfRule type="expression" dxfId="1648" priority="3431">
      <formula>OR(IF(AL30&lt;AM30,TRUE),IF(AND(AM30="",AL30&lt;&gt;""),TRUE))</formula>
    </cfRule>
    <cfRule type="expression" dxfId="1647" priority="3432">
      <formula>IF(AL30&gt;=AM30,IF(AL30="",FALSE,TRUE))</formula>
    </cfRule>
  </conditionalFormatting>
  <conditionalFormatting sqref="AQ30:AQ31">
    <cfRule type="expression" dxfId="1646" priority="3429">
      <formula>OR(IF(AQ30&lt;AR30,TRUE),IF(AND(AR30="",AQ30&lt;&gt;""),TRUE))</formula>
    </cfRule>
    <cfRule type="expression" dxfId="1645" priority="3430">
      <formula>IF(AQ30&gt;=AR30,IF(AQ30="",FALSE,TRUE))</formula>
    </cfRule>
  </conditionalFormatting>
  <conditionalFormatting sqref="AS30:AS31">
    <cfRule type="expression" dxfId="1644" priority="3427">
      <formula>OR(IF(AS30&lt;AT30,TRUE),IF(AND(AT30="",AS30&lt;&gt;""),TRUE))</formula>
    </cfRule>
    <cfRule type="expression" dxfId="1643" priority="3428">
      <formula>IF(AS30&gt;=AT30,IF(AS30="",FALSE,TRUE))</formula>
    </cfRule>
  </conditionalFormatting>
  <conditionalFormatting sqref="J30:K31">
    <cfRule type="colorScale" priority="3418">
      <colorScale>
        <cfvo type="percent" val="0"/>
        <cfvo type="percent" val="100"/>
        <color rgb="FFFF231B"/>
        <color rgb="FF10FF07"/>
      </colorScale>
    </cfRule>
  </conditionalFormatting>
  <conditionalFormatting sqref="J30:J31">
    <cfRule type="colorScale" priority="3417">
      <colorScale>
        <cfvo type="percent" val="0"/>
        <cfvo type="percent" val="100"/>
        <color rgb="FFFF231B"/>
        <color rgb="FF10FF07"/>
      </colorScale>
    </cfRule>
  </conditionalFormatting>
  <conditionalFormatting sqref="K30:K31">
    <cfRule type="colorScale" priority="3416">
      <colorScale>
        <cfvo type="percent" val="0"/>
        <cfvo type="percent" val="100"/>
        <color rgb="FFFF231B"/>
        <color rgb="FF10FF07"/>
      </colorScale>
    </cfRule>
  </conditionalFormatting>
  <conditionalFormatting sqref="O112:O113">
    <cfRule type="expression" dxfId="1642" priority="3383">
      <formula>OR(IF(O112&lt;P112,TRUE),IF(AND(P112="",O112&lt;&gt;""),TRUE))</formula>
    </cfRule>
    <cfRule type="expression" dxfId="1641" priority="3384">
      <formula>IF(O112&gt;=P112,IF(O112="",FALSE,TRUE))</formula>
    </cfRule>
  </conditionalFormatting>
  <conditionalFormatting sqref="Q112:Q113">
    <cfRule type="expression" dxfId="1640" priority="3381">
      <formula>OR(IF(Q112&lt;R112,TRUE),IF(AND(R112="",Q112&lt;&gt;""),TRUE))</formula>
    </cfRule>
    <cfRule type="expression" dxfId="1639" priority="3382">
      <formula>IF(Q112&gt;=R112,IF(Q112="",FALSE,TRUE))</formula>
    </cfRule>
  </conditionalFormatting>
  <conditionalFormatting sqref="V112:V113">
    <cfRule type="expression" dxfId="1638" priority="3375">
      <formula>OR(IF(V112&lt;W112,TRUE),IF(AND(W112="",V112&lt;&gt;""),TRUE))</formula>
    </cfRule>
    <cfRule type="expression" dxfId="1637" priority="3376">
      <formula>IF(V112&gt;=W112,IF(V112="",FALSE,TRUE))</formula>
    </cfRule>
  </conditionalFormatting>
  <conditionalFormatting sqref="X112:X113">
    <cfRule type="expression" dxfId="1636" priority="3373">
      <formula>OR(IF(X112&lt;Y112,TRUE),IF(AND(Y112="",X112&lt;&gt;""),TRUE))</formula>
    </cfRule>
    <cfRule type="expression" dxfId="1635" priority="3374">
      <formula>IF(X112&gt;=Y112,IF(X112="",FALSE,TRUE))</formula>
    </cfRule>
  </conditionalFormatting>
  <conditionalFormatting sqref="AC112:AC113">
    <cfRule type="expression" dxfId="1634" priority="3367">
      <formula>OR(IF(AC112&lt;AD112,TRUE),IF(AND(AD112="",AC112&lt;&gt;""),TRUE))</formula>
    </cfRule>
    <cfRule type="expression" dxfId="1633" priority="3368">
      <formula>IF(AC112&gt;=AD112,IF(AC112="",FALSE,TRUE))</formula>
    </cfRule>
  </conditionalFormatting>
  <conditionalFormatting sqref="AE112:AE113">
    <cfRule type="expression" dxfId="1632" priority="3365">
      <formula>OR(IF(AE112&lt;AF112,TRUE),IF(AND(AF112="",AE112&lt;&gt;""),TRUE))</formula>
    </cfRule>
    <cfRule type="expression" dxfId="1631" priority="3366">
      <formula>IF(AE112&gt;=AF112,IF(AE112="",FALSE,TRUE))</formula>
    </cfRule>
  </conditionalFormatting>
  <conditionalFormatting sqref="AJ112:AJ113">
    <cfRule type="expression" dxfId="1630" priority="3359">
      <formula>OR(IF(AJ112&lt;AK112,TRUE),IF(AND(AK112="",AJ112&lt;&gt;""),TRUE))</formula>
    </cfRule>
    <cfRule type="expression" dxfId="1629" priority="3360">
      <formula>IF(AJ112&gt;=AK112,IF(AJ112="",FALSE,TRUE))</formula>
    </cfRule>
  </conditionalFormatting>
  <conditionalFormatting sqref="AL112:AL113">
    <cfRule type="expression" dxfId="1628" priority="3357">
      <formula>OR(IF(AL112&lt;AM112,TRUE),IF(AND(AM112="",AL112&lt;&gt;""),TRUE))</formula>
    </cfRule>
    <cfRule type="expression" dxfId="1627" priority="3358">
      <formula>IF(AL112&gt;=AM112,IF(AL112="",FALSE,TRUE))</formula>
    </cfRule>
  </conditionalFormatting>
  <conditionalFormatting sqref="AQ112:AQ113">
    <cfRule type="expression" dxfId="1626" priority="3351">
      <formula>OR(IF(AQ112&lt;AR112,TRUE),IF(AND(AR112="",AQ112&lt;&gt;""),TRUE))</formula>
    </cfRule>
    <cfRule type="expression" dxfId="1625" priority="3352">
      <formula>IF(AQ112&gt;=AR112,IF(AQ112="",FALSE,TRUE))</formula>
    </cfRule>
  </conditionalFormatting>
  <conditionalFormatting sqref="AS112:AS113">
    <cfRule type="expression" dxfId="1624" priority="3349">
      <formula>OR(IF(AS112&lt;AT112,TRUE),IF(AND(AT112="",AS112&lt;&gt;""),TRUE))</formula>
    </cfRule>
    <cfRule type="expression" dxfId="1623" priority="3350">
      <formula>IF(AS112&gt;=AT112,IF(AS112="",FALSE,TRUE))</formula>
    </cfRule>
  </conditionalFormatting>
  <conditionalFormatting sqref="AJ110">
    <cfRule type="expression" dxfId="1622" priority="3312">
      <formula>OR(IF(AJ110&lt;AK110,TRUE),IF(AND(AK110="",AJ110&lt;&gt;""),TRUE))</formula>
    </cfRule>
    <cfRule type="expression" dxfId="1621" priority="3313">
      <formula>IF(AJ110&gt;=AK110,IF(AJ110="",FALSE,TRUE))</formula>
    </cfRule>
  </conditionalFormatting>
  <conditionalFormatting sqref="AL110">
    <cfRule type="expression" dxfId="1620" priority="3310">
      <formula>OR(IF(AL110&lt;AM110,TRUE),IF(AND(AM110="",AL110&lt;&gt;""),TRUE))</formula>
    </cfRule>
    <cfRule type="expression" dxfId="1619" priority="3311">
      <formula>IF(AL110&gt;=AM110,IF(AL110="",FALSE,TRUE))</formula>
    </cfRule>
  </conditionalFormatting>
  <conditionalFormatting sqref="Q110">
    <cfRule type="expression" dxfId="1618" priority="3322">
      <formula>OR(IF(Q110&lt;R110,TRUE),IF(AND(R110="",Q110&lt;&gt;""),TRUE))</formula>
    </cfRule>
    <cfRule type="expression" dxfId="1617" priority="3323">
      <formula>IF(Q110&gt;=R110,IF(Q110="",FALSE,TRUE))</formula>
    </cfRule>
  </conditionalFormatting>
  <conditionalFormatting sqref="O110">
    <cfRule type="expression" dxfId="1616" priority="3324">
      <formula>OR(IF(O110&lt;P110,TRUE),IF(AND(P110="",O110&lt;&gt;""),TRUE))</formula>
    </cfRule>
    <cfRule type="expression" dxfId="1615" priority="3325">
      <formula>IF(O110&gt;=P110,IF(O110="",FALSE,TRUE))</formula>
    </cfRule>
  </conditionalFormatting>
  <conditionalFormatting sqref="X110">
    <cfRule type="expression" dxfId="1614" priority="3318">
      <formula>OR(IF(X110&lt;Y110,TRUE),IF(AND(Y110="",X110&lt;&gt;""),TRUE))</formula>
    </cfRule>
    <cfRule type="expression" dxfId="1613" priority="3319">
      <formula>IF(X110&gt;=Y110,IF(X110="",FALSE,TRUE))</formula>
    </cfRule>
  </conditionalFormatting>
  <conditionalFormatting sqref="V110">
    <cfRule type="expression" dxfId="1612" priority="3320">
      <formula>OR(IF(V110&lt;W110,TRUE),IF(AND(W110="",V110&lt;&gt;""),TRUE))</formula>
    </cfRule>
    <cfRule type="expression" dxfId="1611" priority="3321">
      <formula>IF(V110&gt;=W110,IF(V110="",FALSE,TRUE))</formula>
    </cfRule>
  </conditionalFormatting>
  <conditionalFormatting sqref="AE110">
    <cfRule type="expression" dxfId="1610" priority="3314">
      <formula>OR(IF(AE110&lt;AF110,TRUE),IF(AND(AF110="",AE110&lt;&gt;""),TRUE))</formula>
    </cfRule>
    <cfRule type="expression" dxfId="1609" priority="3315">
      <formula>IF(AE110&gt;=AF110,IF(AE110="",FALSE,TRUE))</formula>
    </cfRule>
  </conditionalFormatting>
  <conditionalFormatting sqref="AC110">
    <cfRule type="expression" dxfId="1608" priority="3316">
      <formula>OR(IF(AC110&lt;AD110,TRUE),IF(AND(AD110="",AC110&lt;&gt;""),TRUE))</formula>
    </cfRule>
    <cfRule type="expression" dxfId="1607" priority="3317">
      <formula>IF(AC110&gt;=AD110,IF(AC110="",FALSE,TRUE))</formula>
    </cfRule>
  </conditionalFormatting>
  <conditionalFormatting sqref="AS110">
    <cfRule type="expression" dxfId="1606" priority="3306">
      <formula>OR(IF(AS110&lt;AT110,TRUE),IF(AND(AT110="",AS110&lt;&gt;""),TRUE))</formula>
    </cfRule>
    <cfRule type="expression" dxfId="1605" priority="3307">
      <formula>IF(AS110&gt;=AT110,IF(AS110="",FALSE,TRUE))</formula>
    </cfRule>
  </conditionalFormatting>
  <conditionalFormatting sqref="AQ110">
    <cfRule type="expression" dxfId="1604" priority="3308">
      <formula>OR(IF(AQ110&lt;AR110,TRUE),IF(AND(AR110="",AQ110&lt;&gt;""),TRUE))</formula>
    </cfRule>
    <cfRule type="expression" dxfId="1603" priority="3309">
      <formula>IF(AQ110&gt;=AR110,IF(AQ110="",FALSE,TRUE))</formula>
    </cfRule>
  </conditionalFormatting>
  <conditionalFormatting sqref="J110:K110">
    <cfRule type="colorScale" priority="3297">
      <colorScale>
        <cfvo type="percent" val="0"/>
        <cfvo type="percent" val="100"/>
        <color rgb="FFFF231B"/>
        <color rgb="FF10FF07"/>
      </colorScale>
    </cfRule>
  </conditionalFormatting>
  <conditionalFormatting sqref="J110">
    <cfRule type="colorScale" priority="3296">
      <colorScale>
        <cfvo type="percent" val="0"/>
        <cfvo type="percent" val="100"/>
        <color rgb="FFFF231B"/>
        <color rgb="FF10FF07"/>
      </colorScale>
    </cfRule>
  </conditionalFormatting>
  <conditionalFormatting sqref="K110">
    <cfRule type="colorScale" priority="3295">
      <colorScale>
        <cfvo type="percent" val="0"/>
        <cfvo type="percent" val="100"/>
        <color rgb="FFFF231B"/>
        <color rgb="FF10FF07"/>
      </colorScale>
    </cfRule>
  </conditionalFormatting>
  <conditionalFormatting sqref="J113:K122">
    <cfRule type="colorScale" priority="4369">
      <colorScale>
        <cfvo type="percent" val="0"/>
        <cfvo type="percent" val="100"/>
        <color rgb="FFFF231B"/>
        <color rgb="FF10FF07"/>
      </colorScale>
    </cfRule>
  </conditionalFormatting>
  <conditionalFormatting sqref="J112:J122">
    <cfRule type="colorScale" priority="4370">
      <colorScale>
        <cfvo type="percent" val="0"/>
        <cfvo type="percent" val="100"/>
        <color rgb="FFFF231B"/>
        <color rgb="FF10FF07"/>
      </colorScale>
    </cfRule>
  </conditionalFormatting>
  <conditionalFormatting sqref="K112:K122">
    <cfRule type="colorScale" priority="4371">
      <colorScale>
        <cfvo type="percent" val="0"/>
        <cfvo type="percent" val="100"/>
        <color rgb="FFFF231B"/>
        <color rgb="FF10FF07"/>
      </colorScale>
    </cfRule>
  </conditionalFormatting>
  <conditionalFormatting sqref="CB114:CB122 BZ114:BZ122">
    <cfRule type="expression" dxfId="1602" priority="2805">
      <formula>OR(IF(BZ114&lt;CA114,TRUE),IF(AND(CA114="",BZ114&lt;&gt;""),TRUE))</formula>
    </cfRule>
    <cfRule type="expression" dxfId="1601" priority="2806">
      <formula>IF(BZ114&gt;=CA114,IF(BZ114="",FALSE,TRUE))</formula>
    </cfRule>
  </conditionalFormatting>
  <conditionalFormatting sqref="BZ20:BZ24 CB20:CB24 BZ5:BZ17">
    <cfRule type="expression" dxfId="1600" priority="2803">
      <formula>OR(IF(BZ5&lt;CA5,TRUE),IF(AND(CA5="",BZ5&lt;&gt;""),TRUE))</formula>
    </cfRule>
    <cfRule type="expression" dxfId="1599" priority="2804">
      <formula>IF(BZ5&gt;=CA5,IF(BZ5="",FALSE,TRUE))</formula>
    </cfRule>
  </conditionalFormatting>
  <conditionalFormatting sqref="CB5:CB17">
    <cfRule type="expression" dxfId="1598" priority="2801">
      <formula>OR(IF(CB5&lt;CC5,TRUE),IF(AND(CC5="",CB5&lt;&gt;""),TRUE))</formula>
    </cfRule>
    <cfRule type="expression" dxfId="1597" priority="2802">
      <formula>IF(CB5&gt;=CC5,IF(CB5="",FALSE,TRUE))</formula>
    </cfRule>
  </conditionalFormatting>
  <conditionalFormatting sqref="BZ34:BZ35">
    <cfRule type="expression" dxfId="1596" priority="2799">
      <formula>OR(IF(BZ34&lt;CA34,TRUE),IF(AND(CA34="",BZ34&lt;&gt;""),TRUE))</formula>
    </cfRule>
    <cfRule type="expression" dxfId="1595" priority="2800">
      <formula>IF(BZ34&gt;=CA34,IF(BZ34="",FALSE,TRUE))</formula>
    </cfRule>
  </conditionalFormatting>
  <conditionalFormatting sqref="CB36:CB45">
    <cfRule type="expression" dxfId="1594" priority="2789">
      <formula>OR(IF(CB36&lt;CC36,TRUE),IF(AND(CC36="",CB36&lt;&gt;""),TRUE))</formula>
    </cfRule>
    <cfRule type="expression" dxfId="1593" priority="2790">
      <formula>IF(CB36&gt;=CC36,IF(CB36="",FALSE,TRUE))</formula>
    </cfRule>
  </conditionalFormatting>
  <conditionalFormatting sqref="CB34:CB35">
    <cfRule type="expression" dxfId="1592" priority="2797">
      <formula>OR(IF(CB34&lt;CC34,TRUE),IF(AND(CC34="",CB34&lt;&gt;""),TRUE))</formula>
    </cfRule>
    <cfRule type="expression" dxfId="1591" priority="2798">
      <formula>IF(CB34&gt;=CC34,IF(CB34="",FALSE,TRUE))</formula>
    </cfRule>
  </conditionalFormatting>
  <conditionalFormatting sqref="BZ25">
    <cfRule type="expression" dxfId="1590" priority="2795">
      <formula>OR(IF(BZ25&lt;CA25,TRUE),IF(AND(CA25="",BZ25&lt;&gt;""),TRUE))</formula>
    </cfRule>
    <cfRule type="expression" dxfId="1589" priority="2796">
      <formula>IF(BZ25&gt;=CA25,IF(BZ25="",FALSE,TRUE))</formula>
    </cfRule>
  </conditionalFormatting>
  <conditionalFormatting sqref="CB25">
    <cfRule type="expression" dxfId="1588" priority="2793">
      <formula>OR(IF(CB25&lt;CC25,TRUE),IF(AND(CC25="",CB25&lt;&gt;""),TRUE))</formula>
    </cfRule>
    <cfRule type="expression" dxfId="1587" priority="2794">
      <formula>IF(CB25&gt;=CC25,IF(CB25="",FALSE,TRUE))</formula>
    </cfRule>
  </conditionalFormatting>
  <conditionalFormatting sqref="BZ36:BZ45">
    <cfRule type="expression" dxfId="1586" priority="2791">
      <formula>OR(IF(BZ36&lt;CA36,TRUE),IF(AND(CA36="",BZ36&lt;&gt;""),TRUE))</formula>
    </cfRule>
    <cfRule type="expression" dxfId="1585" priority="2792">
      <formula>IF(BZ36&gt;=CA36,IF(BZ36="",FALSE,TRUE))</formula>
    </cfRule>
  </conditionalFormatting>
  <conditionalFormatting sqref="BZ49:BZ50">
    <cfRule type="expression" dxfId="1584" priority="2787">
      <formula>OR(IF(BZ49&lt;CA49,TRUE),IF(AND(CA49="",BZ49&lt;&gt;""),TRUE))</formula>
    </cfRule>
    <cfRule type="expression" dxfId="1583" priority="2788">
      <formula>IF(BZ49&gt;=CA49,IF(BZ49="",FALSE,TRUE))</formula>
    </cfRule>
  </conditionalFormatting>
  <conditionalFormatting sqref="CB51:CB60">
    <cfRule type="expression" dxfId="1582" priority="2781">
      <formula>OR(IF(CB51&lt;CC51,TRUE),IF(AND(CC51="",CB51&lt;&gt;""),TRUE))</formula>
    </cfRule>
    <cfRule type="expression" dxfId="1581" priority="2782">
      <formula>IF(CB51&gt;=CC51,IF(CB51="",FALSE,TRUE))</formula>
    </cfRule>
  </conditionalFormatting>
  <conditionalFormatting sqref="CB49:CB50">
    <cfRule type="expression" dxfId="1580" priority="2785">
      <formula>OR(IF(CB49&lt;CC49,TRUE),IF(AND(CC49="",CB49&lt;&gt;""),TRUE))</formula>
    </cfRule>
    <cfRule type="expression" dxfId="1579" priority="2786">
      <formula>IF(CB49&gt;=CC49,IF(CB49="",FALSE,TRUE))</formula>
    </cfRule>
  </conditionalFormatting>
  <conditionalFormatting sqref="BZ51:BZ60">
    <cfRule type="expression" dxfId="1578" priority="2783">
      <formula>OR(IF(BZ51&lt;CA51,TRUE),IF(AND(CA51="",BZ51&lt;&gt;""),TRUE))</formula>
    </cfRule>
    <cfRule type="expression" dxfId="1577" priority="2784">
      <formula>IF(BZ51&gt;=CA51,IF(BZ51="",FALSE,TRUE))</formula>
    </cfRule>
  </conditionalFormatting>
  <conditionalFormatting sqref="BZ65:BZ66">
    <cfRule type="expression" dxfId="1576" priority="2779">
      <formula>OR(IF(BZ65&lt;CA65,TRUE),IF(AND(CA65="",BZ65&lt;&gt;""),TRUE))</formula>
    </cfRule>
    <cfRule type="expression" dxfId="1575" priority="2780">
      <formula>IF(BZ65&gt;=CA65,IF(BZ65="",FALSE,TRUE))</formula>
    </cfRule>
  </conditionalFormatting>
  <conditionalFormatting sqref="CB67:CB76">
    <cfRule type="expression" dxfId="1574" priority="2773">
      <formula>OR(IF(CB67&lt;CC67,TRUE),IF(AND(CC67="",CB67&lt;&gt;""),TRUE))</formula>
    </cfRule>
    <cfRule type="expression" dxfId="1573" priority="2774">
      <formula>IF(CB67&gt;=CC67,IF(CB67="",FALSE,TRUE))</formula>
    </cfRule>
  </conditionalFormatting>
  <conditionalFormatting sqref="CB65:CB66">
    <cfRule type="expression" dxfId="1572" priority="2777">
      <formula>OR(IF(CB65&lt;CC65,TRUE),IF(AND(CC65="",CB65&lt;&gt;""),TRUE))</formula>
    </cfRule>
    <cfRule type="expression" dxfId="1571" priority="2778">
      <formula>IF(CB65&gt;=CC65,IF(CB65="",FALSE,TRUE))</formula>
    </cfRule>
  </conditionalFormatting>
  <conditionalFormatting sqref="BZ67:BZ76">
    <cfRule type="expression" dxfId="1570" priority="2775">
      <formula>OR(IF(BZ67&lt;CA67,TRUE),IF(AND(CA67="",BZ67&lt;&gt;""),TRUE))</formula>
    </cfRule>
    <cfRule type="expression" dxfId="1569" priority="2776">
      <formula>IF(BZ67&gt;=CA67,IF(BZ67="",FALSE,TRUE))</formula>
    </cfRule>
  </conditionalFormatting>
  <conditionalFormatting sqref="BZ95:BZ96">
    <cfRule type="expression" dxfId="1568" priority="2771">
      <formula>OR(IF(BZ95&lt;CA95,TRUE),IF(AND(CA95="",BZ95&lt;&gt;""),TRUE))</formula>
    </cfRule>
    <cfRule type="expression" dxfId="1567" priority="2772">
      <formula>IF(BZ95&gt;=CA95,IF(BZ95="",FALSE,TRUE))</formula>
    </cfRule>
  </conditionalFormatting>
  <conditionalFormatting sqref="CB97:CB106">
    <cfRule type="expression" dxfId="1566" priority="2765">
      <formula>OR(IF(CB97&lt;CC97,TRUE),IF(AND(CC97="",CB97&lt;&gt;""),TRUE))</formula>
    </cfRule>
    <cfRule type="expression" dxfId="1565" priority="2766">
      <formula>IF(CB97&gt;=CC97,IF(CB97="",FALSE,TRUE))</formula>
    </cfRule>
  </conditionalFormatting>
  <conditionalFormatting sqref="CB95:CB96">
    <cfRule type="expression" dxfId="1564" priority="2769">
      <formula>OR(IF(CB95&lt;CC95,TRUE),IF(AND(CC95="",CB95&lt;&gt;""),TRUE))</formula>
    </cfRule>
    <cfRule type="expression" dxfId="1563" priority="2770">
      <formula>IF(CB95&gt;=CC95,IF(CB95="",FALSE,TRUE))</formula>
    </cfRule>
  </conditionalFormatting>
  <conditionalFormatting sqref="BZ97:BZ106">
    <cfRule type="expression" dxfId="1562" priority="2767">
      <formula>OR(IF(BZ97&lt;CA97,TRUE),IF(AND(CA97="",BZ97&lt;&gt;""),TRUE))</formula>
    </cfRule>
    <cfRule type="expression" dxfId="1561" priority="2768">
      <formula>IF(BZ97&gt;=CA97,IF(BZ97="",FALSE,TRUE))</formula>
    </cfRule>
  </conditionalFormatting>
  <conditionalFormatting sqref="CB77">
    <cfRule type="expression" dxfId="1560" priority="2761">
      <formula>OR(IF(CB77&lt;CC77,TRUE),IF(AND(CC77="",CB77&lt;&gt;""),TRUE))</formula>
    </cfRule>
    <cfRule type="expression" dxfId="1559" priority="2762">
      <formula>IF(CB77&gt;=CC77,IF(CB77="",FALSE,TRUE))</formula>
    </cfRule>
  </conditionalFormatting>
  <conditionalFormatting sqref="BZ77">
    <cfRule type="expression" dxfId="1558" priority="2763">
      <formula>OR(IF(BZ77&lt;CA77,TRUE),IF(AND(CA77="",BZ77&lt;&gt;""),TRUE))</formula>
    </cfRule>
    <cfRule type="expression" dxfId="1557" priority="2764">
      <formula>IF(BZ77&gt;=CA77,IF(BZ77="",FALSE,TRUE))</formula>
    </cfRule>
  </conditionalFormatting>
  <conditionalFormatting sqref="CB78">
    <cfRule type="expression" dxfId="1556" priority="2757">
      <formula>OR(IF(CB78&lt;CC78,TRUE),IF(AND(CC78="",CB78&lt;&gt;""),TRUE))</formula>
    </cfRule>
    <cfRule type="expression" dxfId="1555" priority="2758">
      <formula>IF(CB78&gt;=CC78,IF(CB78="",FALSE,TRUE))</formula>
    </cfRule>
  </conditionalFormatting>
  <conditionalFormatting sqref="BZ78">
    <cfRule type="expression" dxfId="1554" priority="2759">
      <formula>OR(IF(BZ78&lt;CA78,TRUE),IF(AND(CA78="",BZ78&lt;&gt;""),TRUE))</formula>
    </cfRule>
    <cfRule type="expression" dxfId="1553" priority="2760">
      <formula>IF(BZ78&gt;=CA78,IF(BZ78="",FALSE,TRUE))</formula>
    </cfRule>
  </conditionalFormatting>
  <conditionalFormatting sqref="CB79">
    <cfRule type="expression" dxfId="1552" priority="2753">
      <formula>OR(IF(CB79&lt;CC79,TRUE),IF(AND(CC79="",CB79&lt;&gt;""),TRUE))</formula>
    </cfRule>
    <cfRule type="expression" dxfId="1551" priority="2754">
      <formula>IF(CB79&gt;=CC79,IF(CB79="",FALSE,TRUE))</formula>
    </cfRule>
  </conditionalFormatting>
  <conditionalFormatting sqref="BZ79">
    <cfRule type="expression" dxfId="1550" priority="2755">
      <formula>OR(IF(BZ79&lt;CA79,TRUE),IF(AND(CA79="",BZ79&lt;&gt;""),TRUE))</formula>
    </cfRule>
    <cfRule type="expression" dxfId="1549" priority="2756">
      <formula>IF(BZ79&gt;=CA79,IF(BZ79="",FALSE,TRUE))</formula>
    </cfRule>
  </conditionalFormatting>
  <conditionalFormatting sqref="CB80">
    <cfRule type="expression" dxfId="1548" priority="2749">
      <formula>OR(IF(CB80&lt;CC80,TRUE),IF(AND(CC80="",CB80&lt;&gt;""),TRUE))</formula>
    </cfRule>
    <cfRule type="expression" dxfId="1547" priority="2750">
      <formula>IF(CB80&gt;=CC80,IF(CB80="",FALSE,TRUE))</formula>
    </cfRule>
  </conditionalFormatting>
  <conditionalFormatting sqref="BZ80">
    <cfRule type="expression" dxfId="1546" priority="2751">
      <formula>OR(IF(BZ80&lt;CA80,TRUE),IF(AND(CA80="",BZ80&lt;&gt;""),TRUE))</formula>
    </cfRule>
    <cfRule type="expression" dxfId="1545" priority="2752">
      <formula>IF(BZ80&gt;=CA80,IF(BZ80="",FALSE,TRUE))</formula>
    </cfRule>
  </conditionalFormatting>
  <conditionalFormatting sqref="CB81">
    <cfRule type="expression" dxfId="1544" priority="2745">
      <formula>OR(IF(CB81&lt;CC81,TRUE),IF(AND(CC81="",CB81&lt;&gt;""),TRUE))</formula>
    </cfRule>
    <cfRule type="expression" dxfId="1543" priority="2746">
      <formula>IF(CB81&gt;=CC81,IF(CB81="",FALSE,TRUE))</formula>
    </cfRule>
  </conditionalFormatting>
  <conditionalFormatting sqref="BZ81">
    <cfRule type="expression" dxfId="1542" priority="2747">
      <formula>OR(IF(BZ81&lt;CA81,TRUE),IF(AND(CA81="",BZ81&lt;&gt;""),TRUE))</formula>
    </cfRule>
    <cfRule type="expression" dxfId="1541" priority="2748">
      <formula>IF(BZ81&gt;=CA81,IF(BZ81="",FALSE,TRUE))</formula>
    </cfRule>
  </conditionalFormatting>
  <conditionalFormatting sqref="CB82">
    <cfRule type="expression" dxfId="1540" priority="2741">
      <formula>OR(IF(CB82&lt;CC82,TRUE),IF(AND(CC82="",CB82&lt;&gt;""),TRUE))</formula>
    </cfRule>
    <cfRule type="expression" dxfId="1539" priority="2742">
      <formula>IF(CB82&gt;=CC82,IF(CB82="",FALSE,TRUE))</formula>
    </cfRule>
  </conditionalFormatting>
  <conditionalFormatting sqref="BZ82">
    <cfRule type="expression" dxfId="1538" priority="2743">
      <formula>OR(IF(BZ82&lt;CA82,TRUE),IF(AND(CA82="",BZ82&lt;&gt;""),TRUE))</formula>
    </cfRule>
    <cfRule type="expression" dxfId="1537" priority="2744">
      <formula>IF(BZ82&gt;=CA82,IF(BZ82="",FALSE,TRUE))</formula>
    </cfRule>
  </conditionalFormatting>
  <conditionalFormatting sqref="CB83">
    <cfRule type="expression" dxfId="1536" priority="2737">
      <formula>OR(IF(CB83&lt;CC83,TRUE),IF(AND(CC83="",CB83&lt;&gt;""),TRUE))</formula>
    </cfRule>
    <cfRule type="expression" dxfId="1535" priority="2738">
      <formula>IF(CB83&gt;=CC83,IF(CB83="",FALSE,TRUE))</formula>
    </cfRule>
  </conditionalFormatting>
  <conditionalFormatting sqref="BZ83">
    <cfRule type="expression" dxfId="1534" priority="2739">
      <formula>OR(IF(BZ83&lt;CA83,TRUE),IF(AND(CA83="",BZ83&lt;&gt;""),TRUE))</formula>
    </cfRule>
    <cfRule type="expression" dxfId="1533" priority="2740">
      <formula>IF(BZ83&gt;=CA83,IF(BZ83="",FALSE,TRUE))</formula>
    </cfRule>
  </conditionalFormatting>
  <conditionalFormatting sqref="CB84">
    <cfRule type="expression" dxfId="1532" priority="2733">
      <formula>OR(IF(CB84&lt;CC84,TRUE),IF(AND(CC84="",CB84&lt;&gt;""),TRUE))</formula>
    </cfRule>
    <cfRule type="expression" dxfId="1531" priority="2734">
      <formula>IF(CB84&gt;=CC84,IF(CB84="",FALSE,TRUE))</formula>
    </cfRule>
  </conditionalFormatting>
  <conditionalFormatting sqref="BZ84">
    <cfRule type="expression" dxfId="1530" priority="2735">
      <formula>OR(IF(BZ84&lt;CA84,TRUE),IF(AND(CA84="",BZ84&lt;&gt;""),TRUE))</formula>
    </cfRule>
    <cfRule type="expression" dxfId="1529" priority="2736">
      <formula>IF(BZ84&gt;=CA84,IF(BZ84="",FALSE,TRUE))</formula>
    </cfRule>
  </conditionalFormatting>
  <conditionalFormatting sqref="CB85">
    <cfRule type="expression" dxfId="1528" priority="2729">
      <formula>OR(IF(CB85&lt;CC85,TRUE),IF(AND(CC85="",CB85&lt;&gt;""),TRUE))</formula>
    </cfRule>
    <cfRule type="expression" dxfId="1527" priority="2730">
      <formula>IF(CB85&gt;=CC85,IF(CB85="",FALSE,TRUE))</formula>
    </cfRule>
  </conditionalFormatting>
  <conditionalFormatting sqref="BZ85">
    <cfRule type="expression" dxfId="1526" priority="2731">
      <formula>OR(IF(BZ85&lt;CA85,TRUE),IF(AND(CA85="",BZ85&lt;&gt;""),TRUE))</formula>
    </cfRule>
    <cfRule type="expression" dxfId="1525" priority="2732">
      <formula>IF(BZ85&gt;=CA85,IF(BZ85="",FALSE,TRUE))</formula>
    </cfRule>
  </conditionalFormatting>
  <conditionalFormatting sqref="CB86">
    <cfRule type="expression" dxfId="1524" priority="2725">
      <formula>OR(IF(CB86&lt;CC86,TRUE),IF(AND(CC86="",CB86&lt;&gt;""),TRUE))</formula>
    </cfRule>
    <cfRule type="expression" dxfId="1523" priority="2726">
      <formula>IF(CB86&gt;=CC86,IF(CB86="",FALSE,TRUE))</formula>
    </cfRule>
  </conditionalFormatting>
  <conditionalFormatting sqref="BZ86">
    <cfRule type="expression" dxfId="1522" priority="2727">
      <formula>OR(IF(BZ86&lt;CA86,TRUE),IF(AND(CA86="",BZ86&lt;&gt;""),TRUE))</formula>
    </cfRule>
    <cfRule type="expression" dxfId="1521" priority="2728">
      <formula>IF(BZ86&gt;=CA86,IF(BZ86="",FALSE,TRUE))</formula>
    </cfRule>
  </conditionalFormatting>
  <conditionalFormatting sqref="CB87">
    <cfRule type="expression" dxfId="1520" priority="2721">
      <formula>OR(IF(CB87&lt;CC87,TRUE),IF(AND(CC87="",CB87&lt;&gt;""),TRUE))</formula>
    </cfRule>
    <cfRule type="expression" dxfId="1519" priority="2722">
      <formula>IF(CB87&gt;=CC87,IF(CB87="",FALSE,TRUE))</formula>
    </cfRule>
  </conditionalFormatting>
  <conditionalFormatting sqref="BZ87">
    <cfRule type="expression" dxfId="1518" priority="2723">
      <formula>OR(IF(BZ87&lt;CA87,TRUE),IF(AND(CA87="",BZ87&lt;&gt;""),TRUE))</formula>
    </cfRule>
    <cfRule type="expression" dxfId="1517" priority="2724">
      <formula>IF(BZ87&gt;=CA87,IF(BZ87="",FALSE,TRUE))</formula>
    </cfRule>
  </conditionalFormatting>
  <conditionalFormatting sqref="CB88">
    <cfRule type="expression" dxfId="1516" priority="2717">
      <formula>OR(IF(CB88&lt;CC88,TRUE),IF(AND(CC88="",CB88&lt;&gt;""),TRUE))</formula>
    </cfRule>
    <cfRule type="expression" dxfId="1515" priority="2718">
      <formula>IF(CB88&gt;=CC88,IF(CB88="",FALSE,TRUE))</formula>
    </cfRule>
  </conditionalFormatting>
  <conditionalFormatting sqref="BZ88">
    <cfRule type="expression" dxfId="1514" priority="2719">
      <formula>OR(IF(BZ88&lt;CA88,TRUE),IF(AND(CA88="",BZ88&lt;&gt;""),TRUE))</formula>
    </cfRule>
    <cfRule type="expression" dxfId="1513" priority="2720">
      <formula>IF(BZ88&gt;=CA88,IF(BZ88="",FALSE,TRUE))</formula>
    </cfRule>
  </conditionalFormatting>
  <conditionalFormatting sqref="CB89:CB93">
    <cfRule type="expression" dxfId="1512" priority="2713">
      <formula>OR(IF(CB89&lt;CC89,TRUE),IF(AND(CC89="",CB89&lt;&gt;""),TRUE))</formula>
    </cfRule>
    <cfRule type="expression" dxfId="1511" priority="2714">
      <formula>IF(CB89&gt;=CC89,IF(CB89="",FALSE,TRUE))</formula>
    </cfRule>
  </conditionalFormatting>
  <conditionalFormatting sqref="BZ89:BZ93">
    <cfRule type="expression" dxfId="1510" priority="2715">
      <formula>OR(IF(BZ89&lt;CA89,TRUE),IF(AND(CA89="",BZ89&lt;&gt;""),TRUE))</formula>
    </cfRule>
    <cfRule type="expression" dxfId="1509" priority="2716">
      <formula>IF(BZ89&gt;=CA89,IF(BZ89="",FALSE,TRUE))</formula>
    </cfRule>
  </conditionalFormatting>
  <conditionalFormatting sqref="BZ26">
    <cfRule type="expression" dxfId="1508" priority="2711">
      <formula>OR(IF(BZ26&lt;CA26,TRUE),IF(AND(CA26="",BZ26&lt;&gt;""),TRUE))</formula>
    </cfRule>
    <cfRule type="expression" dxfId="1507" priority="2712">
      <formula>IF(BZ26&gt;=CA26,IF(BZ26="",FALSE,TRUE))</formula>
    </cfRule>
  </conditionalFormatting>
  <conditionalFormatting sqref="CB26">
    <cfRule type="expression" dxfId="1506" priority="2709">
      <formula>OR(IF(CB26&lt;CC26,TRUE),IF(AND(CC26="",CB26&lt;&gt;""),TRUE))</formula>
    </cfRule>
    <cfRule type="expression" dxfId="1505" priority="2710">
      <formula>IF(CB26&gt;=CC26,IF(CB26="",FALSE,TRUE))</formula>
    </cfRule>
  </conditionalFormatting>
  <conditionalFormatting sqref="BZ27">
    <cfRule type="expression" dxfId="1504" priority="2707">
      <formula>OR(IF(BZ27&lt;CA27,TRUE),IF(AND(CA27="",BZ27&lt;&gt;""),TRUE))</formula>
    </cfRule>
    <cfRule type="expression" dxfId="1503" priority="2708">
      <formula>IF(BZ27&gt;=CA27,IF(BZ27="",FALSE,TRUE))</formula>
    </cfRule>
  </conditionalFormatting>
  <conditionalFormatting sqref="CB27">
    <cfRule type="expression" dxfId="1502" priority="2705">
      <formula>OR(IF(CB27&lt;CC27,TRUE),IF(AND(CC27="",CB27&lt;&gt;""),TRUE))</formula>
    </cfRule>
    <cfRule type="expression" dxfId="1501" priority="2706">
      <formula>IF(CB27&gt;=CC27,IF(CB27="",FALSE,TRUE))</formula>
    </cfRule>
  </conditionalFormatting>
  <conditionalFormatting sqref="BZ28">
    <cfRule type="expression" dxfId="1500" priority="2703">
      <formula>OR(IF(BZ28&lt;CA28,TRUE),IF(AND(CA28="",BZ28&lt;&gt;""),TRUE))</formula>
    </cfRule>
    <cfRule type="expression" dxfId="1499" priority="2704">
      <formula>IF(BZ28&gt;=CA28,IF(BZ28="",FALSE,TRUE))</formula>
    </cfRule>
  </conditionalFormatting>
  <conditionalFormatting sqref="CB28">
    <cfRule type="expression" dxfId="1498" priority="2701">
      <formula>OR(IF(CB28&lt;CC28,TRUE),IF(AND(CC28="",CB28&lt;&gt;""),TRUE))</formula>
    </cfRule>
    <cfRule type="expression" dxfId="1497" priority="2702">
      <formula>IF(CB28&gt;=CC28,IF(CB28="",FALSE,TRUE))</formula>
    </cfRule>
  </conditionalFormatting>
  <conditionalFormatting sqref="BZ29">
    <cfRule type="expression" dxfId="1496" priority="2699">
      <formula>OR(IF(BZ29&lt;CA29,TRUE),IF(AND(CA29="",BZ29&lt;&gt;""),TRUE))</formula>
    </cfRule>
    <cfRule type="expression" dxfId="1495" priority="2700">
      <formula>IF(BZ29&gt;=CA29,IF(BZ29="",FALSE,TRUE))</formula>
    </cfRule>
  </conditionalFormatting>
  <conditionalFormatting sqref="CB29">
    <cfRule type="expression" dxfId="1494" priority="2697">
      <formula>OR(IF(CB29&lt;CC29,TRUE),IF(AND(CC29="",CB29&lt;&gt;""),TRUE))</formula>
    </cfRule>
    <cfRule type="expression" dxfId="1493" priority="2698">
      <formula>IF(CB29&gt;=CC29,IF(CB29="",FALSE,TRUE))</formula>
    </cfRule>
  </conditionalFormatting>
  <conditionalFormatting sqref="BZ30:BZ31">
    <cfRule type="expression" dxfId="1492" priority="2695">
      <formula>OR(IF(BZ30&lt;CA30,TRUE),IF(AND(CA30="",BZ30&lt;&gt;""),TRUE))</formula>
    </cfRule>
    <cfRule type="expression" dxfId="1491" priority="2696">
      <formula>IF(BZ30&gt;=CA30,IF(BZ30="",FALSE,TRUE))</formula>
    </cfRule>
  </conditionalFormatting>
  <conditionalFormatting sqref="CB30:CB31">
    <cfRule type="expression" dxfId="1490" priority="2693">
      <formula>OR(IF(CB30&lt;CC30,TRUE),IF(AND(CC30="",CB30&lt;&gt;""),TRUE))</formula>
    </cfRule>
    <cfRule type="expression" dxfId="1489" priority="2694">
      <formula>IF(CB30&gt;=CC30,IF(CB30="",FALSE,TRUE))</formula>
    </cfRule>
  </conditionalFormatting>
  <conditionalFormatting sqref="BZ112:BZ113">
    <cfRule type="expression" dxfId="1488" priority="2691">
      <formula>OR(IF(BZ112&lt;CA112,TRUE),IF(AND(CA112="",BZ112&lt;&gt;""),TRUE))</formula>
    </cfRule>
    <cfRule type="expression" dxfId="1487" priority="2692">
      <formula>IF(BZ112&gt;=CA112,IF(BZ112="",FALSE,TRUE))</formula>
    </cfRule>
  </conditionalFormatting>
  <conditionalFormatting sqref="CB112:CB113">
    <cfRule type="expression" dxfId="1486" priority="2689">
      <formula>OR(IF(CB112&lt;CC112,TRUE),IF(AND(CC112="",CB112&lt;&gt;""),TRUE))</formula>
    </cfRule>
    <cfRule type="expression" dxfId="1485" priority="2690">
      <formula>IF(CB112&gt;=CC112,IF(CB112="",FALSE,TRUE))</formula>
    </cfRule>
  </conditionalFormatting>
  <conditionalFormatting sqref="CB110">
    <cfRule type="expression" dxfId="1484" priority="2685">
      <formula>OR(IF(CB110&lt;CC110,TRUE),IF(AND(CC110="",CB110&lt;&gt;""),TRUE))</formula>
    </cfRule>
    <cfRule type="expression" dxfId="1483" priority="2686">
      <formula>IF(CB110&gt;=CC110,IF(CB110="",FALSE,TRUE))</formula>
    </cfRule>
  </conditionalFormatting>
  <conditionalFormatting sqref="BZ110">
    <cfRule type="expression" dxfId="1482" priority="2687">
      <formula>OR(IF(BZ110&lt;CA110,TRUE),IF(AND(CA110="",BZ110&lt;&gt;""),TRUE))</formula>
    </cfRule>
    <cfRule type="expression" dxfId="1481" priority="2688">
      <formula>IF(BZ110&gt;=CA110,IF(BZ110="",FALSE,TRUE))</formula>
    </cfRule>
  </conditionalFormatting>
  <conditionalFormatting sqref="CI114:CI122 CG114:CG122">
    <cfRule type="expression" dxfId="1480" priority="2683">
      <formula>OR(IF(CG114&lt;CH114,TRUE),IF(AND(CH114="",CG114&lt;&gt;""),TRUE))</formula>
    </cfRule>
    <cfRule type="expression" dxfId="1479" priority="2684">
      <formula>IF(CG114&gt;=CH114,IF(CG114="",FALSE,TRUE))</formula>
    </cfRule>
  </conditionalFormatting>
  <conditionalFormatting sqref="CG20:CG24 CI20:CI24 CG5:CG17">
    <cfRule type="expression" dxfId="1478" priority="2681">
      <formula>OR(IF(CG5&lt;CH5,TRUE),IF(AND(CH5="",CG5&lt;&gt;""),TRUE))</formula>
    </cfRule>
    <cfRule type="expression" dxfId="1477" priority="2682">
      <formula>IF(CG5&gt;=CH5,IF(CG5="",FALSE,TRUE))</formula>
    </cfRule>
  </conditionalFormatting>
  <conditionalFormatting sqref="CI5:CI17">
    <cfRule type="expression" dxfId="1476" priority="2679">
      <formula>OR(IF(CI5&lt;CJ5,TRUE),IF(AND(CJ5="",CI5&lt;&gt;""),TRUE))</formula>
    </cfRule>
    <cfRule type="expression" dxfId="1475" priority="2680">
      <formula>IF(CI5&gt;=CJ5,IF(CI5="",FALSE,TRUE))</formula>
    </cfRule>
  </conditionalFormatting>
  <conditionalFormatting sqref="CG34:CG35">
    <cfRule type="expression" dxfId="1474" priority="2677">
      <formula>OR(IF(CG34&lt;CH34,TRUE),IF(AND(CH34="",CG34&lt;&gt;""),TRUE))</formula>
    </cfRule>
    <cfRule type="expression" dxfId="1473" priority="2678">
      <formula>IF(CG34&gt;=CH34,IF(CG34="",FALSE,TRUE))</formula>
    </cfRule>
  </conditionalFormatting>
  <conditionalFormatting sqref="CI36:CI45">
    <cfRule type="expression" dxfId="1472" priority="2667">
      <formula>OR(IF(CI36&lt;CJ36,TRUE),IF(AND(CJ36="",CI36&lt;&gt;""),TRUE))</formula>
    </cfRule>
    <cfRule type="expression" dxfId="1471" priority="2668">
      <formula>IF(CI36&gt;=CJ36,IF(CI36="",FALSE,TRUE))</formula>
    </cfRule>
  </conditionalFormatting>
  <conditionalFormatting sqref="CI34:CI35">
    <cfRule type="expression" dxfId="1470" priority="2675">
      <formula>OR(IF(CI34&lt;CJ34,TRUE),IF(AND(CJ34="",CI34&lt;&gt;""),TRUE))</formula>
    </cfRule>
    <cfRule type="expression" dxfId="1469" priority="2676">
      <formula>IF(CI34&gt;=CJ34,IF(CI34="",FALSE,TRUE))</formula>
    </cfRule>
  </conditionalFormatting>
  <conditionalFormatting sqref="CG25">
    <cfRule type="expression" dxfId="1468" priority="2673">
      <formula>OR(IF(CG25&lt;CH25,TRUE),IF(AND(CH25="",CG25&lt;&gt;""),TRUE))</formula>
    </cfRule>
    <cfRule type="expression" dxfId="1467" priority="2674">
      <formula>IF(CG25&gt;=CH25,IF(CG25="",FALSE,TRUE))</formula>
    </cfRule>
  </conditionalFormatting>
  <conditionalFormatting sqref="CI25">
    <cfRule type="expression" dxfId="1466" priority="2671">
      <formula>OR(IF(CI25&lt;CJ25,TRUE),IF(AND(CJ25="",CI25&lt;&gt;""),TRUE))</formula>
    </cfRule>
    <cfRule type="expression" dxfId="1465" priority="2672">
      <formula>IF(CI25&gt;=CJ25,IF(CI25="",FALSE,TRUE))</formula>
    </cfRule>
  </conditionalFormatting>
  <conditionalFormatting sqref="CG36:CG45">
    <cfRule type="expression" dxfId="1464" priority="2669">
      <formula>OR(IF(CG36&lt;CH36,TRUE),IF(AND(CH36="",CG36&lt;&gt;""),TRUE))</formula>
    </cfRule>
    <cfRule type="expression" dxfId="1463" priority="2670">
      <formula>IF(CG36&gt;=CH36,IF(CG36="",FALSE,TRUE))</formula>
    </cfRule>
  </conditionalFormatting>
  <conditionalFormatting sqref="CG49:CG50">
    <cfRule type="expression" dxfId="1462" priority="2665">
      <formula>OR(IF(CG49&lt;CH49,TRUE),IF(AND(CH49="",CG49&lt;&gt;""),TRUE))</formula>
    </cfRule>
    <cfRule type="expression" dxfId="1461" priority="2666">
      <formula>IF(CG49&gt;=CH49,IF(CG49="",FALSE,TRUE))</formula>
    </cfRule>
  </conditionalFormatting>
  <conditionalFormatting sqref="CI51:CI60">
    <cfRule type="expression" dxfId="1460" priority="2659">
      <formula>OR(IF(CI51&lt;CJ51,TRUE),IF(AND(CJ51="",CI51&lt;&gt;""),TRUE))</formula>
    </cfRule>
    <cfRule type="expression" dxfId="1459" priority="2660">
      <formula>IF(CI51&gt;=CJ51,IF(CI51="",FALSE,TRUE))</formula>
    </cfRule>
  </conditionalFormatting>
  <conditionalFormatting sqref="CI49:CI50">
    <cfRule type="expression" dxfId="1458" priority="2663">
      <formula>OR(IF(CI49&lt;CJ49,TRUE),IF(AND(CJ49="",CI49&lt;&gt;""),TRUE))</formula>
    </cfRule>
    <cfRule type="expression" dxfId="1457" priority="2664">
      <formula>IF(CI49&gt;=CJ49,IF(CI49="",FALSE,TRUE))</formula>
    </cfRule>
  </conditionalFormatting>
  <conditionalFormatting sqref="CG51:CG60">
    <cfRule type="expression" dxfId="1456" priority="2661">
      <formula>OR(IF(CG51&lt;CH51,TRUE),IF(AND(CH51="",CG51&lt;&gt;""),TRUE))</formula>
    </cfRule>
    <cfRule type="expression" dxfId="1455" priority="2662">
      <formula>IF(CG51&gt;=CH51,IF(CG51="",FALSE,TRUE))</formula>
    </cfRule>
  </conditionalFormatting>
  <conditionalFormatting sqref="CG65:CG66">
    <cfRule type="expression" dxfId="1454" priority="2657">
      <formula>OR(IF(CG65&lt;CH65,TRUE),IF(AND(CH65="",CG65&lt;&gt;""),TRUE))</formula>
    </cfRule>
    <cfRule type="expression" dxfId="1453" priority="2658">
      <formula>IF(CG65&gt;=CH65,IF(CG65="",FALSE,TRUE))</formula>
    </cfRule>
  </conditionalFormatting>
  <conditionalFormatting sqref="CI67:CI76">
    <cfRule type="expression" dxfId="1452" priority="2651">
      <formula>OR(IF(CI67&lt;CJ67,TRUE),IF(AND(CJ67="",CI67&lt;&gt;""),TRUE))</formula>
    </cfRule>
    <cfRule type="expression" dxfId="1451" priority="2652">
      <formula>IF(CI67&gt;=CJ67,IF(CI67="",FALSE,TRUE))</formula>
    </cfRule>
  </conditionalFormatting>
  <conditionalFormatting sqref="CI65:CI66">
    <cfRule type="expression" dxfId="1450" priority="2655">
      <formula>OR(IF(CI65&lt;CJ65,TRUE),IF(AND(CJ65="",CI65&lt;&gt;""),TRUE))</formula>
    </cfRule>
    <cfRule type="expression" dxfId="1449" priority="2656">
      <formula>IF(CI65&gt;=CJ65,IF(CI65="",FALSE,TRUE))</formula>
    </cfRule>
  </conditionalFormatting>
  <conditionalFormatting sqref="CG67:CG76">
    <cfRule type="expression" dxfId="1448" priority="2653">
      <formula>OR(IF(CG67&lt;CH67,TRUE),IF(AND(CH67="",CG67&lt;&gt;""),TRUE))</formula>
    </cfRule>
    <cfRule type="expression" dxfId="1447" priority="2654">
      <formula>IF(CG67&gt;=CH67,IF(CG67="",FALSE,TRUE))</formula>
    </cfRule>
  </conditionalFormatting>
  <conditionalFormatting sqref="CG95:CG96">
    <cfRule type="expression" dxfId="1446" priority="2649">
      <formula>OR(IF(CG95&lt;CH95,TRUE),IF(AND(CH95="",CG95&lt;&gt;""),TRUE))</formula>
    </cfRule>
    <cfRule type="expression" dxfId="1445" priority="2650">
      <formula>IF(CG95&gt;=CH95,IF(CG95="",FALSE,TRUE))</formula>
    </cfRule>
  </conditionalFormatting>
  <conditionalFormatting sqref="CI97:CI106">
    <cfRule type="expression" dxfId="1444" priority="2643">
      <formula>OR(IF(CI97&lt;CJ97,TRUE),IF(AND(CJ97="",CI97&lt;&gt;""),TRUE))</formula>
    </cfRule>
    <cfRule type="expression" dxfId="1443" priority="2644">
      <formula>IF(CI97&gt;=CJ97,IF(CI97="",FALSE,TRUE))</formula>
    </cfRule>
  </conditionalFormatting>
  <conditionalFormatting sqref="CI95:CI96">
    <cfRule type="expression" dxfId="1442" priority="2647">
      <formula>OR(IF(CI95&lt;CJ95,TRUE),IF(AND(CJ95="",CI95&lt;&gt;""),TRUE))</formula>
    </cfRule>
    <cfRule type="expression" dxfId="1441" priority="2648">
      <formula>IF(CI95&gt;=CJ95,IF(CI95="",FALSE,TRUE))</formula>
    </cfRule>
  </conditionalFormatting>
  <conditionalFormatting sqref="CG97:CG106">
    <cfRule type="expression" dxfId="1440" priority="2645">
      <formula>OR(IF(CG97&lt;CH97,TRUE),IF(AND(CH97="",CG97&lt;&gt;""),TRUE))</formula>
    </cfRule>
    <cfRule type="expression" dxfId="1439" priority="2646">
      <formula>IF(CG97&gt;=CH97,IF(CG97="",FALSE,TRUE))</formula>
    </cfRule>
  </conditionalFormatting>
  <conditionalFormatting sqref="CI77">
    <cfRule type="expression" dxfId="1438" priority="2639">
      <formula>OR(IF(CI77&lt;CJ77,TRUE),IF(AND(CJ77="",CI77&lt;&gt;""),TRUE))</formula>
    </cfRule>
    <cfRule type="expression" dxfId="1437" priority="2640">
      <formula>IF(CI77&gt;=CJ77,IF(CI77="",FALSE,TRUE))</formula>
    </cfRule>
  </conditionalFormatting>
  <conditionalFormatting sqref="CG77">
    <cfRule type="expression" dxfId="1436" priority="2641">
      <formula>OR(IF(CG77&lt;CH77,TRUE),IF(AND(CH77="",CG77&lt;&gt;""),TRUE))</formula>
    </cfRule>
    <cfRule type="expression" dxfId="1435" priority="2642">
      <formula>IF(CG77&gt;=CH77,IF(CG77="",FALSE,TRUE))</formula>
    </cfRule>
  </conditionalFormatting>
  <conditionalFormatting sqref="CI78">
    <cfRule type="expression" dxfId="1434" priority="2635">
      <formula>OR(IF(CI78&lt;CJ78,TRUE),IF(AND(CJ78="",CI78&lt;&gt;""),TRUE))</formula>
    </cfRule>
    <cfRule type="expression" dxfId="1433" priority="2636">
      <formula>IF(CI78&gt;=CJ78,IF(CI78="",FALSE,TRUE))</formula>
    </cfRule>
  </conditionalFormatting>
  <conditionalFormatting sqref="CG78">
    <cfRule type="expression" dxfId="1432" priority="2637">
      <formula>OR(IF(CG78&lt;CH78,TRUE),IF(AND(CH78="",CG78&lt;&gt;""),TRUE))</formula>
    </cfRule>
    <cfRule type="expression" dxfId="1431" priority="2638">
      <formula>IF(CG78&gt;=CH78,IF(CG78="",FALSE,TRUE))</formula>
    </cfRule>
  </conditionalFormatting>
  <conditionalFormatting sqref="CI79">
    <cfRule type="expression" dxfId="1430" priority="2631">
      <formula>OR(IF(CI79&lt;CJ79,TRUE),IF(AND(CJ79="",CI79&lt;&gt;""),TRUE))</formula>
    </cfRule>
    <cfRule type="expression" dxfId="1429" priority="2632">
      <formula>IF(CI79&gt;=CJ79,IF(CI79="",FALSE,TRUE))</formula>
    </cfRule>
  </conditionalFormatting>
  <conditionalFormatting sqref="CG79">
    <cfRule type="expression" dxfId="1428" priority="2633">
      <formula>OR(IF(CG79&lt;CH79,TRUE),IF(AND(CH79="",CG79&lt;&gt;""),TRUE))</formula>
    </cfRule>
    <cfRule type="expression" dxfId="1427" priority="2634">
      <formula>IF(CG79&gt;=CH79,IF(CG79="",FALSE,TRUE))</formula>
    </cfRule>
  </conditionalFormatting>
  <conditionalFormatting sqref="CI80">
    <cfRule type="expression" dxfId="1426" priority="2627">
      <formula>OR(IF(CI80&lt;CJ80,TRUE),IF(AND(CJ80="",CI80&lt;&gt;""),TRUE))</formula>
    </cfRule>
    <cfRule type="expression" dxfId="1425" priority="2628">
      <formula>IF(CI80&gt;=CJ80,IF(CI80="",FALSE,TRUE))</formula>
    </cfRule>
  </conditionalFormatting>
  <conditionalFormatting sqref="CG80">
    <cfRule type="expression" dxfId="1424" priority="2629">
      <formula>OR(IF(CG80&lt;CH80,TRUE),IF(AND(CH80="",CG80&lt;&gt;""),TRUE))</formula>
    </cfRule>
    <cfRule type="expression" dxfId="1423" priority="2630">
      <formula>IF(CG80&gt;=CH80,IF(CG80="",FALSE,TRUE))</formula>
    </cfRule>
  </conditionalFormatting>
  <conditionalFormatting sqref="CI81">
    <cfRule type="expression" dxfId="1422" priority="2623">
      <formula>OR(IF(CI81&lt;CJ81,TRUE),IF(AND(CJ81="",CI81&lt;&gt;""),TRUE))</formula>
    </cfRule>
    <cfRule type="expression" dxfId="1421" priority="2624">
      <formula>IF(CI81&gt;=CJ81,IF(CI81="",FALSE,TRUE))</formula>
    </cfRule>
  </conditionalFormatting>
  <conditionalFormatting sqref="CG81">
    <cfRule type="expression" dxfId="1420" priority="2625">
      <formula>OR(IF(CG81&lt;CH81,TRUE),IF(AND(CH81="",CG81&lt;&gt;""),TRUE))</formula>
    </cfRule>
    <cfRule type="expression" dxfId="1419" priority="2626">
      <formula>IF(CG81&gt;=CH81,IF(CG81="",FALSE,TRUE))</formula>
    </cfRule>
  </conditionalFormatting>
  <conditionalFormatting sqref="CI82">
    <cfRule type="expression" dxfId="1418" priority="2619">
      <formula>OR(IF(CI82&lt;CJ82,TRUE),IF(AND(CJ82="",CI82&lt;&gt;""),TRUE))</formula>
    </cfRule>
    <cfRule type="expression" dxfId="1417" priority="2620">
      <formula>IF(CI82&gt;=CJ82,IF(CI82="",FALSE,TRUE))</formula>
    </cfRule>
  </conditionalFormatting>
  <conditionalFormatting sqref="CG82">
    <cfRule type="expression" dxfId="1416" priority="2621">
      <formula>OR(IF(CG82&lt;CH82,TRUE),IF(AND(CH82="",CG82&lt;&gt;""),TRUE))</formula>
    </cfRule>
    <cfRule type="expression" dxfId="1415" priority="2622">
      <formula>IF(CG82&gt;=CH82,IF(CG82="",FALSE,TRUE))</formula>
    </cfRule>
  </conditionalFormatting>
  <conditionalFormatting sqref="CI83">
    <cfRule type="expression" dxfId="1414" priority="2615">
      <formula>OR(IF(CI83&lt;CJ83,TRUE),IF(AND(CJ83="",CI83&lt;&gt;""),TRUE))</formula>
    </cfRule>
    <cfRule type="expression" dxfId="1413" priority="2616">
      <formula>IF(CI83&gt;=CJ83,IF(CI83="",FALSE,TRUE))</formula>
    </cfRule>
  </conditionalFormatting>
  <conditionalFormatting sqref="CG83">
    <cfRule type="expression" dxfId="1412" priority="2617">
      <formula>OR(IF(CG83&lt;CH83,TRUE),IF(AND(CH83="",CG83&lt;&gt;""),TRUE))</formula>
    </cfRule>
    <cfRule type="expression" dxfId="1411" priority="2618">
      <formula>IF(CG83&gt;=CH83,IF(CG83="",FALSE,TRUE))</formula>
    </cfRule>
  </conditionalFormatting>
  <conditionalFormatting sqref="CI84">
    <cfRule type="expression" dxfId="1410" priority="2611">
      <formula>OR(IF(CI84&lt;CJ84,TRUE),IF(AND(CJ84="",CI84&lt;&gt;""),TRUE))</formula>
    </cfRule>
    <cfRule type="expression" dxfId="1409" priority="2612">
      <formula>IF(CI84&gt;=CJ84,IF(CI84="",FALSE,TRUE))</formula>
    </cfRule>
  </conditionalFormatting>
  <conditionalFormatting sqref="CG84">
    <cfRule type="expression" dxfId="1408" priority="2613">
      <formula>OR(IF(CG84&lt;CH84,TRUE),IF(AND(CH84="",CG84&lt;&gt;""),TRUE))</formula>
    </cfRule>
    <cfRule type="expression" dxfId="1407" priority="2614">
      <formula>IF(CG84&gt;=CH84,IF(CG84="",FALSE,TRUE))</formula>
    </cfRule>
  </conditionalFormatting>
  <conditionalFormatting sqref="CI85">
    <cfRule type="expression" dxfId="1406" priority="2607">
      <formula>OR(IF(CI85&lt;CJ85,TRUE),IF(AND(CJ85="",CI85&lt;&gt;""),TRUE))</formula>
    </cfRule>
    <cfRule type="expression" dxfId="1405" priority="2608">
      <formula>IF(CI85&gt;=CJ85,IF(CI85="",FALSE,TRUE))</formula>
    </cfRule>
  </conditionalFormatting>
  <conditionalFormatting sqref="CG85">
    <cfRule type="expression" dxfId="1404" priority="2609">
      <formula>OR(IF(CG85&lt;CH85,TRUE),IF(AND(CH85="",CG85&lt;&gt;""),TRUE))</formula>
    </cfRule>
    <cfRule type="expression" dxfId="1403" priority="2610">
      <formula>IF(CG85&gt;=CH85,IF(CG85="",FALSE,TRUE))</formula>
    </cfRule>
  </conditionalFormatting>
  <conditionalFormatting sqref="CI86">
    <cfRule type="expression" dxfId="1402" priority="2603">
      <formula>OR(IF(CI86&lt;CJ86,TRUE),IF(AND(CJ86="",CI86&lt;&gt;""),TRUE))</formula>
    </cfRule>
    <cfRule type="expression" dxfId="1401" priority="2604">
      <formula>IF(CI86&gt;=CJ86,IF(CI86="",FALSE,TRUE))</formula>
    </cfRule>
  </conditionalFormatting>
  <conditionalFormatting sqref="CG86">
    <cfRule type="expression" dxfId="1400" priority="2605">
      <formula>OR(IF(CG86&lt;CH86,TRUE),IF(AND(CH86="",CG86&lt;&gt;""),TRUE))</formula>
    </cfRule>
    <cfRule type="expression" dxfId="1399" priority="2606">
      <formula>IF(CG86&gt;=CH86,IF(CG86="",FALSE,TRUE))</formula>
    </cfRule>
  </conditionalFormatting>
  <conditionalFormatting sqref="CI87">
    <cfRule type="expression" dxfId="1398" priority="2599">
      <formula>OR(IF(CI87&lt;CJ87,TRUE),IF(AND(CJ87="",CI87&lt;&gt;""),TRUE))</formula>
    </cfRule>
    <cfRule type="expression" dxfId="1397" priority="2600">
      <formula>IF(CI87&gt;=CJ87,IF(CI87="",FALSE,TRUE))</formula>
    </cfRule>
  </conditionalFormatting>
  <conditionalFormatting sqref="CG87">
    <cfRule type="expression" dxfId="1396" priority="2601">
      <formula>OR(IF(CG87&lt;CH87,TRUE),IF(AND(CH87="",CG87&lt;&gt;""),TRUE))</formula>
    </cfRule>
    <cfRule type="expression" dxfId="1395" priority="2602">
      <formula>IF(CG87&gt;=CH87,IF(CG87="",FALSE,TRUE))</formula>
    </cfRule>
  </conditionalFormatting>
  <conditionalFormatting sqref="CI88">
    <cfRule type="expression" dxfId="1394" priority="2595">
      <formula>OR(IF(CI88&lt;CJ88,TRUE),IF(AND(CJ88="",CI88&lt;&gt;""),TRUE))</formula>
    </cfRule>
    <cfRule type="expression" dxfId="1393" priority="2596">
      <formula>IF(CI88&gt;=CJ88,IF(CI88="",FALSE,TRUE))</formula>
    </cfRule>
  </conditionalFormatting>
  <conditionalFormatting sqref="CG88">
    <cfRule type="expression" dxfId="1392" priority="2597">
      <formula>OR(IF(CG88&lt;CH88,TRUE),IF(AND(CH88="",CG88&lt;&gt;""),TRUE))</formula>
    </cfRule>
    <cfRule type="expression" dxfId="1391" priority="2598">
      <formula>IF(CG88&gt;=CH88,IF(CG88="",FALSE,TRUE))</formula>
    </cfRule>
  </conditionalFormatting>
  <conditionalFormatting sqref="CI89:CI93">
    <cfRule type="expression" dxfId="1390" priority="2591">
      <formula>OR(IF(CI89&lt;CJ89,TRUE),IF(AND(CJ89="",CI89&lt;&gt;""),TRUE))</formula>
    </cfRule>
    <cfRule type="expression" dxfId="1389" priority="2592">
      <formula>IF(CI89&gt;=CJ89,IF(CI89="",FALSE,TRUE))</formula>
    </cfRule>
  </conditionalFormatting>
  <conditionalFormatting sqref="CG89:CG93">
    <cfRule type="expression" dxfId="1388" priority="2593">
      <formula>OR(IF(CG89&lt;CH89,TRUE),IF(AND(CH89="",CG89&lt;&gt;""),TRUE))</formula>
    </cfRule>
    <cfRule type="expression" dxfId="1387" priority="2594">
      <formula>IF(CG89&gt;=CH89,IF(CG89="",FALSE,TRUE))</formula>
    </cfRule>
  </conditionalFormatting>
  <conditionalFormatting sqref="CG26">
    <cfRule type="expression" dxfId="1386" priority="2589">
      <formula>OR(IF(CG26&lt;CH26,TRUE),IF(AND(CH26="",CG26&lt;&gt;""),TRUE))</formula>
    </cfRule>
    <cfRule type="expression" dxfId="1385" priority="2590">
      <formula>IF(CG26&gt;=CH26,IF(CG26="",FALSE,TRUE))</formula>
    </cfRule>
  </conditionalFormatting>
  <conditionalFormatting sqref="CI26">
    <cfRule type="expression" dxfId="1384" priority="2587">
      <formula>OR(IF(CI26&lt;CJ26,TRUE),IF(AND(CJ26="",CI26&lt;&gt;""),TRUE))</formula>
    </cfRule>
    <cfRule type="expression" dxfId="1383" priority="2588">
      <formula>IF(CI26&gt;=CJ26,IF(CI26="",FALSE,TRUE))</formula>
    </cfRule>
  </conditionalFormatting>
  <conditionalFormatting sqref="CG27">
    <cfRule type="expression" dxfId="1382" priority="2585">
      <formula>OR(IF(CG27&lt;CH27,TRUE),IF(AND(CH27="",CG27&lt;&gt;""),TRUE))</formula>
    </cfRule>
    <cfRule type="expression" dxfId="1381" priority="2586">
      <formula>IF(CG27&gt;=CH27,IF(CG27="",FALSE,TRUE))</formula>
    </cfRule>
  </conditionalFormatting>
  <conditionalFormatting sqref="CI27">
    <cfRule type="expression" dxfId="1380" priority="2583">
      <formula>OR(IF(CI27&lt;CJ27,TRUE),IF(AND(CJ27="",CI27&lt;&gt;""),TRUE))</formula>
    </cfRule>
    <cfRule type="expression" dxfId="1379" priority="2584">
      <formula>IF(CI27&gt;=CJ27,IF(CI27="",FALSE,TRUE))</formula>
    </cfRule>
  </conditionalFormatting>
  <conditionalFormatting sqref="CG28">
    <cfRule type="expression" dxfId="1378" priority="2581">
      <formula>OR(IF(CG28&lt;CH28,TRUE),IF(AND(CH28="",CG28&lt;&gt;""),TRUE))</formula>
    </cfRule>
    <cfRule type="expression" dxfId="1377" priority="2582">
      <formula>IF(CG28&gt;=CH28,IF(CG28="",FALSE,TRUE))</formula>
    </cfRule>
  </conditionalFormatting>
  <conditionalFormatting sqref="CI28">
    <cfRule type="expression" dxfId="1376" priority="2579">
      <formula>OR(IF(CI28&lt;CJ28,TRUE),IF(AND(CJ28="",CI28&lt;&gt;""),TRUE))</formula>
    </cfRule>
    <cfRule type="expression" dxfId="1375" priority="2580">
      <formula>IF(CI28&gt;=CJ28,IF(CI28="",FALSE,TRUE))</formula>
    </cfRule>
  </conditionalFormatting>
  <conditionalFormatting sqref="CG29">
    <cfRule type="expression" dxfId="1374" priority="2577">
      <formula>OR(IF(CG29&lt;CH29,TRUE),IF(AND(CH29="",CG29&lt;&gt;""),TRUE))</formula>
    </cfRule>
    <cfRule type="expression" dxfId="1373" priority="2578">
      <formula>IF(CG29&gt;=CH29,IF(CG29="",FALSE,TRUE))</formula>
    </cfRule>
  </conditionalFormatting>
  <conditionalFormatting sqref="CI29">
    <cfRule type="expression" dxfId="1372" priority="2575">
      <formula>OR(IF(CI29&lt;CJ29,TRUE),IF(AND(CJ29="",CI29&lt;&gt;""),TRUE))</formula>
    </cfRule>
    <cfRule type="expression" dxfId="1371" priority="2576">
      <formula>IF(CI29&gt;=CJ29,IF(CI29="",FALSE,TRUE))</formula>
    </cfRule>
  </conditionalFormatting>
  <conditionalFormatting sqref="CG30:CG31">
    <cfRule type="expression" dxfId="1370" priority="2573">
      <formula>OR(IF(CG30&lt;CH30,TRUE),IF(AND(CH30="",CG30&lt;&gt;""),TRUE))</formula>
    </cfRule>
    <cfRule type="expression" dxfId="1369" priority="2574">
      <formula>IF(CG30&gt;=CH30,IF(CG30="",FALSE,TRUE))</formula>
    </cfRule>
  </conditionalFormatting>
  <conditionalFormatting sqref="CI30:CI31">
    <cfRule type="expression" dxfId="1368" priority="2571">
      <formula>OR(IF(CI30&lt;CJ30,TRUE),IF(AND(CJ30="",CI30&lt;&gt;""),TRUE))</formula>
    </cfRule>
    <cfRule type="expression" dxfId="1367" priority="2572">
      <formula>IF(CI30&gt;=CJ30,IF(CI30="",FALSE,TRUE))</formula>
    </cfRule>
  </conditionalFormatting>
  <conditionalFormatting sqref="CG112:CG113">
    <cfRule type="expression" dxfId="1366" priority="2569">
      <formula>OR(IF(CG112&lt;CH112,TRUE),IF(AND(CH112="",CG112&lt;&gt;""),TRUE))</formula>
    </cfRule>
    <cfRule type="expression" dxfId="1365" priority="2570">
      <formula>IF(CG112&gt;=CH112,IF(CG112="",FALSE,TRUE))</formula>
    </cfRule>
  </conditionalFormatting>
  <conditionalFormatting sqref="CI112:CI113">
    <cfRule type="expression" dxfId="1364" priority="2567">
      <formula>OR(IF(CI112&lt;CJ112,TRUE),IF(AND(CJ112="",CI112&lt;&gt;""),TRUE))</formula>
    </cfRule>
    <cfRule type="expression" dxfId="1363" priority="2568">
      <formula>IF(CI112&gt;=CJ112,IF(CI112="",FALSE,TRUE))</formula>
    </cfRule>
  </conditionalFormatting>
  <conditionalFormatting sqref="CI110">
    <cfRule type="expression" dxfId="1362" priority="2563">
      <formula>OR(IF(CI110&lt;CJ110,TRUE),IF(AND(CJ110="",CI110&lt;&gt;""),TRUE))</formula>
    </cfRule>
    <cfRule type="expression" dxfId="1361" priority="2564">
      <formula>IF(CI110&gt;=CJ110,IF(CI110="",FALSE,TRUE))</formula>
    </cfRule>
  </conditionalFormatting>
  <conditionalFormatting sqref="CG110">
    <cfRule type="expression" dxfId="1360" priority="2565">
      <formula>OR(IF(CG110&lt;CH110,TRUE),IF(AND(CH110="",CG110&lt;&gt;""),TRUE))</formula>
    </cfRule>
    <cfRule type="expression" dxfId="1359" priority="2566">
      <formula>IF(CG110&gt;=CH110,IF(CG110="",FALSE,TRUE))</formula>
    </cfRule>
  </conditionalFormatting>
  <conditionalFormatting sqref="CP114:CP122 CN114:CN122">
    <cfRule type="expression" dxfId="1358" priority="2561">
      <formula>OR(IF(CN114&lt;CO114,TRUE),IF(AND(CO114="",CN114&lt;&gt;""),TRUE))</formula>
    </cfRule>
    <cfRule type="expression" dxfId="1357" priority="2562">
      <formula>IF(CN114&gt;=CO114,IF(CN114="",FALSE,TRUE))</formula>
    </cfRule>
  </conditionalFormatting>
  <conditionalFormatting sqref="CN20:CN24 CP20:CP24 CN5:CN17">
    <cfRule type="expression" dxfId="1356" priority="2559">
      <formula>OR(IF(CN5&lt;CO5,TRUE),IF(AND(CO5="",CN5&lt;&gt;""),TRUE))</formula>
    </cfRule>
    <cfRule type="expression" dxfId="1355" priority="2560">
      <formula>IF(CN5&gt;=CO5,IF(CN5="",FALSE,TRUE))</formula>
    </cfRule>
  </conditionalFormatting>
  <conditionalFormatting sqref="CP5:CP17">
    <cfRule type="expression" dxfId="1354" priority="2557">
      <formula>OR(IF(CP5&lt;CQ5,TRUE),IF(AND(CQ5="",CP5&lt;&gt;""),TRUE))</formula>
    </cfRule>
    <cfRule type="expression" dxfId="1353" priority="2558">
      <formula>IF(CP5&gt;=CQ5,IF(CP5="",FALSE,TRUE))</formula>
    </cfRule>
  </conditionalFormatting>
  <conditionalFormatting sqref="CN34:CN35">
    <cfRule type="expression" dxfId="1352" priority="2555">
      <formula>OR(IF(CN34&lt;CO34,TRUE),IF(AND(CO34="",CN34&lt;&gt;""),TRUE))</formula>
    </cfRule>
    <cfRule type="expression" dxfId="1351" priority="2556">
      <formula>IF(CN34&gt;=CO34,IF(CN34="",FALSE,TRUE))</formula>
    </cfRule>
  </conditionalFormatting>
  <conditionalFormatting sqref="CP36:CP45">
    <cfRule type="expression" dxfId="1350" priority="2545">
      <formula>OR(IF(CP36&lt;CQ36,TRUE),IF(AND(CQ36="",CP36&lt;&gt;""),TRUE))</formula>
    </cfRule>
    <cfRule type="expression" dxfId="1349" priority="2546">
      <formula>IF(CP36&gt;=CQ36,IF(CP36="",FALSE,TRUE))</formula>
    </cfRule>
  </conditionalFormatting>
  <conditionalFormatting sqref="CP34:CP35">
    <cfRule type="expression" dxfId="1348" priority="2553">
      <formula>OR(IF(CP34&lt;CQ34,TRUE),IF(AND(CQ34="",CP34&lt;&gt;""),TRUE))</formula>
    </cfRule>
    <cfRule type="expression" dxfId="1347" priority="2554">
      <formula>IF(CP34&gt;=CQ34,IF(CP34="",FALSE,TRUE))</formula>
    </cfRule>
  </conditionalFormatting>
  <conditionalFormatting sqref="CN25">
    <cfRule type="expression" dxfId="1346" priority="2551">
      <formula>OR(IF(CN25&lt;CO25,TRUE),IF(AND(CO25="",CN25&lt;&gt;""),TRUE))</formula>
    </cfRule>
    <cfRule type="expression" dxfId="1345" priority="2552">
      <formula>IF(CN25&gt;=CO25,IF(CN25="",FALSE,TRUE))</formula>
    </cfRule>
  </conditionalFormatting>
  <conditionalFormatting sqref="CP25">
    <cfRule type="expression" dxfId="1344" priority="2549">
      <formula>OR(IF(CP25&lt;CQ25,TRUE),IF(AND(CQ25="",CP25&lt;&gt;""),TRUE))</formula>
    </cfRule>
    <cfRule type="expression" dxfId="1343" priority="2550">
      <formula>IF(CP25&gt;=CQ25,IF(CP25="",FALSE,TRUE))</formula>
    </cfRule>
  </conditionalFormatting>
  <conditionalFormatting sqref="CN36:CN45">
    <cfRule type="expression" dxfId="1342" priority="2547">
      <formula>OR(IF(CN36&lt;CO36,TRUE),IF(AND(CO36="",CN36&lt;&gt;""),TRUE))</formula>
    </cfRule>
    <cfRule type="expression" dxfId="1341" priority="2548">
      <formula>IF(CN36&gt;=CO36,IF(CN36="",FALSE,TRUE))</formula>
    </cfRule>
  </conditionalFormatting>
  <conditionalFormatting sqref="CN49:CN50">
    <cfRule type="expression" dxfId="1340" priority="2543">
      <formula>OR(IF(CN49&lt;CO49,TRUE),IF(AND(CO49="",CN49&lt;&gt;""),TRUE))</formula>
    </cfRule>
    <cfRule type="expression" dxfId="1339" priority="2544">
      <formula>IF(CN49&gt;=CO49,IF(CN49="",FALSE,TRUE))</formula>
    </cfRule>
  </conditionalFormatting>
  <conditionalFormatting sqref="CP51:CP60">
    <cfRule type="expression" dxfId="1338" priority="2537">
      <formula>OR(IF(CP51&lt;CQ51,TRUE),IF(AND(CQ51="",CP51&lt;&gt;""),TRUE))</formula>
    </cfRule>
    <cfRule type="expression" dxfId="1337" priority="2538">
      <formula>IF(CP51&gt;=CQ51,IF(CP51="",FALSE,TRUE))</formula>
    </cfRule>
  </conditionalFormatting>
  <conditionalFormatting sqref="CP49:CP50">
    <cfRule type="expression" dxfId="1336" priority="2541">
      <formula>OR(IF(CP49&lt;CQ49,TRUE),IF(AND(CQ49="",CP49&lt;&gt;""),TRUE))</formula>
    </cfRule>
    <cfRule type="expression" dxfId="1335" priority="2542">
      <formula>IF(CP49&gt;=CQ49,IF(CP49="",FALSE,TRUE))</formula>
    </cfRule>
  </conditionalFormatting>
  <conditionalFormatting sqref="CN51:CN60">
    <cfRule type="expression" dxfId="1334" priority="2539">
      <formula>OR(IF(CN51&lt;CO51,TRUE),IF(AND(CO51="",CN51&lt;&gt;""),TRUE))</formula>
    </cfRule>
    <cfRule type="expression" dxfId="1333" priority="2540">
      <formula>IF(CN51&gt;=CO51,IF(CN51="",FALSE,TRUE))</formula>
    </cfRule>
  </conditionalFormatting>
  <conditionalFormatting sqref="CN65:CN66">
    <cfRule type="expression" dxfId="1332" priority="2535">
      <formula>OR(IF(CN65&lt;CO65,TRUE),IF(AND(CO65="",CN65&lt;&gt;""),TRUE))</formula>
    </cfRule>
    <cfRule type="expression" dxfId="1331" priority="2536">
      <formula>IF(CN65&gt;=CO65,IF(CN65="",FALSE,TRUE))</formula>
    </cfRule>
  </conditionalFormatting>
  <conditionalFormatting sqref="CP67:CP76">
    <cfRule type="expression" dxfId="1330" priority="2529">
      <formula>OR(IF(CP67&lt;CQ67,TRUE),IF(AND(CQ67="",CP67&lt;&gt;""),TRUE))</formula>
    </cfRule>
    <cfRule type="expression" dxfId="1329" priority="2530">
      <formula>IF(CP67&gt;=CQ67,IF(CP67="",FALSE,TRUE))</formula>
    </cfRule>
  </conditionalFormatting>
  <conditionalFormatting sqref="CP65:CP66">
    <cfRule type="expression" dxfId="1328" priority="2533">
      <formula>OR(IF(CP65&lt;CQ65,TRUE),IF(AND(CQ65="",CP65&lt;&gt;""),TRUE))</formula>
    </cfRule>
    <cfRule type="expression" dxfId="1327" priority="2534">
      <formula>IF(CP65&gt;=CQ65,IF(CP65="",FALSE,TRUE))</formula>
    </cfRule>
  </conditionalFormatting>
  <conditionalFormatting sqref="CN67:CN76">
    <cfRule type="expression" dxfId="1326" priority="2531">
      <formula>OR(IF(CN67&lt;CO67,TRUE),IF(AND(CO67="",CN67&lt;&gt;""),TRUE))</formula>
    </cfRule>
    <cfRule type="expression" dxfId="1325" priority="2532">
      <formula>IF(CN67&gt;=CO67,IF(CN67="",FALSE,TRUE))</formula>
    </cfRule>
  </conditionalFormatting>
  <conditionalFormatting sqref="CN95:CN96">
    <cfRule type="expression" dxfId="1324" priority="2527">
      <formula>OR(IF(CN95&lt;CO95,TRUE),IF(AND(CO95="",CN95&lt;&gt;""),TRUE))</formula>
    </cfRule>
    <cfRule type="expression" dxfId="1323" priority="2528">
      <formula>IF(CN95&gt;=CO95,IF(CN95="",FALSE,TRUE))</formula>
    </cfRule>
  </conditionalFormatting>
  <conditionalFormatting sqref="CP97:CP106">
    <cfRule type="expression" dxfId="1322" priority="2521">
      <formula>OR(IF(CP97&lt;CQ97,TRUE),IF(AND(CQ97="",CP97&lt;&gt;""),TRUE))</formula>
    </cfRule>
    <cfRule type="expression" dxfId="1321" priority="2522">
      <formula>IF(CP97&gt;=CQ97,IF(CP97="",FALSE,TRUE))</formula>
    </cfRule>
  </conditionalFormatting>
  <conditionalFormatting sqref="CP95:CP96">
    <cfRule type="expression" dxfId="1320" priority="2525">
      <formula>OR(IF(CP95&lt;CQ95,TRUE),IF(AND(CQ95="",CP95&lt;&gt;""),TRUE))</formula>
    </cfRule>
    <cfRule type="expression" dxfId="1319" priority="2526">
      <formula>IF(CP95&gt;=CQ95,IF(CP95="",FALSE,TRUE))</formula>
    </cfRule>
  </conditionalFormatting>
  <conditionalFormatting sqref="CN97:CN106">
    <cfRule type="expression" dxfId="1318" priority="2523">
      <formula>OR(IF(CN97&lt;CO97,TRUE),IF(AND(CO97="",CN97&lt;&gt;""),TRUE))</formula>
    </cfRule>
    <cfRule type="expression" dxfId="1317" priority="2524">
      <formula>IF(CN97&gt;=CO97,IF(CN97="",FALSE,TRUE))</formula>
    </cfRule>
  </conditionalFormatting>
  <conditionalFormatting sqref="CP77">
    <cfRule type="expression" dxfId="1316" priority="2517">
      <formula>OR(IF(CP77&lt;CQ77,TRUE),IF(AND(CQ77="",CP77&lt;&gt;""),TRUE))</formula>
    </cfRule>
    <cfRule type="expression" dxfId="1315" priority="2518">
      <formula>IF(CP77&gt;=CQ77,IF(CP77="",FALSE,TRUE))</formula>
    </cfRule>
  </conditionalFormatting>
  <conditionalFormatting sqref="CN77">
    <cfRule type="expression" dxfId="1314" priority="2519">
      <formula>OR(IF(CN77&lt;CO77,TRUE),IF(AND(CO77="",CN77&lt;&gt;""),TRUE))</formula>
    </cfRule>
    <cfRule type="expression" dxfId="1313" priority="2520">
      <formula>IF(CN77&gt;=CO77,IF(CN77="",FALSE,TRUE))</formula>
    </cfRule>
  </conditionalFormatting>
  <conditionalFormatting sqref="CP78">
    <cfRule type="expression" dxfId="1312" priority="2513">
      <formula>OR(IF(CP78&lt;CQ78,TRUE),IF(AND(CQ78="",CP78&lt;&gt;""),TRUE))</formula>
    </cfRule>
    <cfRule type="expression" dxfId="1311" priority="2514">
      <formula>IF(CP78&gt;=CQ78,IF(CP78="",FALSE,TRUE))</formula>
    </cfRule>
  </conditionalFormatting>
  <conditionalFormatting sqref="CN78">
    <cfRule type="expression" dxfId="1310" priority="2515">
      <formula>OR(IF(CN78&lt;CO78,TRUE),IF(AND(CO78="",CN78&lt;&gt;""),TRUE))</formula>
    </cfRule>
    <cfRule type="expression" dxfId="1309" priority="2516">
      <formula>IF(CN78&gt;=CO78,IF(CN78="",FALSE,TRUE))</formula>
    </cfRule>
  </conditionalFormatting>
  <conditionalFormatting sqref="CP79">
    <cfRule type="expression" dxfId="1308" priority="2509">
      <formula>OR(IF(CP79&lt;CQ79,TRUE),IF(AND(CQ79="",CP79&lt;&gt;""),TRUE))</formula>
    </cfRule>
    <cfRule type="expression" dxfId="1307" priority="2510">
      <formula>IF(CP79&gt;=CQ79,IF(CP79="",FALSE,TRUE))</formula>
    </cfRule>
  </conditionalFormatting>
  <conditionalFormatting sqref="CN79">
    <cfRule type="expression" dxfId="1306" priority="2511">
      <formula>OR(IF(CN79&lt;CO79,TRUE),IF(AND(CO79="",CN79&lt;&gt;""),TRUE))</formula>
    </cfRule>
    <cfRule type="expression" dxfId="1305" priority="2512">
      <formula>IF(CN79&gt;=CO79,IF(CN79="",FALSE,TRUE))</formula>
    </cfRule>
  </conditionalFormatting>
  <conditionalFormatting sqref="CP80">
    <cfRule type="expression" dxfId="1304" priority="2505">
      <formula>OR(IF(CP80&lt;CQ80,TRUE),IF(AND(CQ80="",CP80&lt;&gt;""),TRUE))</formula>
    </cfRule>
    <cfRule type="expression" dxfId="1303" priority="2506">
      <formula>IF(CP80&gt;=CQ80,IF(CP80="",FALSE,TRUE))</formula>
    </cfRule>
  </conditionalFormatting>
  <conditionalFormatting sqref="CN80">
    <cfRule type="expression" dxfId="1302" priority="2507">
      <formula>OR(IF(CN80&lt;CO80,TRUE),IF(AND(CO80="",CN80&lt;&gt;""),TRUE))</formula>
    </cfRule>
    <cfRule type="expression" dxfId="1301" priority="2508">
      <formula>IF(CN80&gt;=CO80,IF(CN80="",FALSE,TRUE))</formula>
    </cfRule>
  </conditionalFormatting>
  <conditionalFormatting sqref="CP81">
    <cfRule type="expression" dxfId="1300" priority="2501">
      <formula>OR(IF(CP81&lt;CQ81,TRUE),IF(AND(CQ81="",CP81&lt;&gt;""),TRUE))</formula>
    </cfRule>
    <cfRule type="expression" dxfId="1299" priority="2502">
      <formula>IF(CP81&gt;=CQ81,IF(CP81="",FALSE,TRUE))</formula>
    </cfRule>
  </conditionalFormatting>
  <conditionalFormatting sqref="CN81">
    <cfRule type="expression" dxfId="1298" priority="2503">
      <formula>OR(IF(CN81&lt;CO81,TRUE),IF(AND(CO81="",CN81&lt;&gt;""),TRUE))</formula>
    </cfRule>
    <cfRule type="expression" dxfId="1297" priority="2504">
      <formula>IF(CN81&gt;=CO81,IF(CN81="",FALSE,TRUE))</formula>
    </cfRule>
  </conditionalFormatting>
  <conditionalFormatting sqref="CP82">
    <cfRule type="expression" dxfId="1296" priority="2497">
      <formula>OR(IF(CP82&lt;CQ82,TRUE),IF(AND(CQ82="",CP82&lt;&gt;""),TRUE))</formula>
    </cfRule>
    <cfRule type="expression" dxfId="1295" priority="2498">
      <formula>IF(CP82&gt;=CQ82,IF(CP82="",FALSE,TRUE))</formula>
    </cfRule>
  </conditionalFormatting>
  <conditionalFormatting sqref="CN82">
    <cfRule type="expression" dxfId="1294" priority="2499">
      <formula>OR(IF(CN82&lt;CO82,TRUE),IF(AND(CO82="",CN82&lt;&gt;""),TRUE))</formula>
    </cfRule>
    <cfRule type="expression" dxfId="1293" priority="2500">
      <formula>IF(CN82&gt;=CO82,IF(CN82="",FALSE,TRUE))</formula>
    </cfRule>
  </conditionalFormatting>
  <conditionalFormatting sqref="CP83">
    <cfRule type="expression" dxfId="1292" priority="2493">
      <formula>OR(IF(CP83&lt;CQ83,TRUE),IF(AND(CQ83="",CP83&lt;&gt;""),TRUE))</formula>
    </cfRule>
    <cfRule type="expression" dxfId="1291" priority="2494">
      <formula>IF(CP83&gt;=CQ83,IF(CP83="",FALSE,TRUE))</formula>
    </cfRule>
  </conditionalFormatting>
  <conditionalFormatting sqref="CN83">
    <cfRule type="expression" dxfId="1290" priority="2495">
      <formula>OR(IF(CN83&lt;CO83,TRUE),IF(AND(CO83="",CN83&lt;&gt;""),TRUE))</formula>
    </cfRule>
    <cfRule type="expression" dxfId="1289" priority="2496">
      <formula>IF(CN83&gt;=CO83,IF(CN83="",FALSE,TRUE))</formula>
    </cfRule>
  </conditionalFormatting>
  <conditionalFormatting sqref="CP84">
    <cfRule type="expression" dxfId="1288" priority="2489">
      <formula>OR(IF(CP84&lt;CQ84,TRUE),IF(AND(CQ84="",CP84&lt;&gt;""),TRUE))</formula>
    </cfRule>
    <cfRule type="expression" dxfId="1287" priority="2490">
      <formula>IF(CP84&gt;=CQ84,IF(CP84="",FALSE,TRUE))</formula>
    </cfRule>
  </conditionalFormatting>
  <conditionalFormatting sqref="CN84">
    <cfRule type="expression" dxfId="1286" priority="2491">
      <formula>OR(IF(CN84&lt;CO84,TRUE),IF(AND(CO84="",CN84&lt;&gt;""),TRUE))</formula>
    </cfRule>
    <cfRule type="expression" dxfId="1285" priority="2492">
      <formula>IF(CN84&gt;=CO84,IF(CN84="",FALSE,TRUE))</formula>
    </cfRule>
  </conditionalFormatting>
  <conditionalFormatting sqref="CP85">
    <cfRule type="expression" dxfId="1284" priority="2485">
      <formula>OR(IF(CP85&lt;CQ85,TRUE),IF(AND(CQ85="",CP85&lt;&gt;""),TRUE))</formula>
    </cfRule>
    <cfRule type="expression" dxfId="1283" priority="2486">
      <formula>IF(CP85&gt;=CQ85,IF(CP85="",FALSE,TRUE))</formula>
    </cfRule>
  </conditionalFormatting>
  <conditionalFormatting sqref="CN85">
    <cfRule type="expression" dxfId="1282" priority="2487">
      <formula>OR(IF(CN85&lt;CO85,TRUE),IF(AND(CO85="",CN85&lt;&gt;""),TRUE))</formula>
    </cfRule>
    <cfRule type="expression" dxfId="1281" priority="2488">
      <formula>IF(CN85&gt;=CO85,IF(CN85="",FALSE,TRUE))</formula>
    </cfRule>
  </conditionalFormatting>
  <conditionalFormatting sqref="CP86">
    <cfRule type="expression" dxfId="1280" priority="2481">
      <formula>OR(IF(CP86&lt;CQ86,TRUE),IF(AND(CQ86="",CP86&lt;&gt;""),TRUE))</formula>
    </cfRule>
    <cfRule type="expression" dxfId="1279" priority="2482">
      <formula>IF(CP86&gt;=CQ86,IF(CP86="",FALSE,TRUE))</formula>
    </cfRule>
  </conditionalFormatting>
  <conditionalFormatting sqref="CN86">
    <cfRule type="expression" dxfId="1278" priority="2483">
      <formula>OR(IF(CN86&lt;CO86,TRUE),IF(AND(CO86="",CN86&lt;&gt;""),TRUE))</formula>
    </cfRule>
    <cfRule type="expression" dxfId="1277" priority="2484">
      <formula>IF(CN86&gt;=CO86,IF(CN86="",FALSE,TRUE))</formula>
    </cfRule>
  </conditionalFormatting>
  <conditionalFormatting sqref="CP87">
    <cfRule type="expression" dxfId="1276" priority="2477">
      <formula>OR(IF(CP87&lt;CQ87,TRUE),IF(AND(CQ87="",CP87&lt;&gt;""),TRUE))</formula>
    </cfRule>
    <cfRule type="expression" dxfId="1275" priority="2478">
      <formula>IF(CP87&gt;=CQ87,IF(CP87="",FALSE,TRUE))</formula>
    </cfRule>
  </conditionalFormatting>
  <conditionalFormatting sqref="CN87">
    <cfRule type="expression" dxfId="1274" priority="2479">
      <formula>OR(IF(CN87&lt;CO87,TRUE),IF(AND(CO87="",CN87&lt;&gt;""),TRUE))</formula>
    </cfRule>
    <cfRule type="expression" dxfId="1273" priority="2480">
      <formula>IF(CN87&gt;=CO87,IF(CN87="",FALSE,TRUE))</formula>
    </cfRule>
  </conditionalFormatting>
  <conditionalFormatting sqref="CP88">
    <cfRule type="expression" dxfId="1272" priority="2473">
      <formula>OR(IF(CP88&lt;CQ88,TRUE),IF(AND(CQ88="",CP88&lt;&gt;""),TRUE))</formula>
    </cfRule>
    <cfRule type="expression" dxfId="1271" priority="2474">
      <formula>IF(CP88&gt;=CQ88,IF(CP88="",FALSE,TRUE))</formula>
    </cfRule>
  </conditionalFormatting>
  <conditionalFormatting sqref="CN88">
    <cfRule type="expression" dxfId="1270" priority="2475">
      <formula>OR(IF(CN88&lt;CO88,TRUE),IF(AND(CO88="",CN88&lt;&gt;""),TRUE))</formula>
    </cfRule>
    <cfRule type="expression" dxfId="1269" priority="2476">
      <formula>IF(CN88&gt;=CO88,IF(CN88="",FALSE,TRUE))</formula>
    </cfRule>
  </conditionalFormatting>
  <conditionalFormatting sqref="CP89:CP93">
    <cfRule type="expression" dxfId="1268" priority="2469">
      <formula>OR(IF(CP89&lt;CQ89,TRUE),IF(AND(CQ89="",CP89&lt;&gt;""),TRUE))</formula>
    </cfRule>
    <cfRule type="expression" dxfId="1267" priority="2470">
      <formula>IF(CP89&gt;=CQ89,IF(CP89="",FALSE,TRUE))</formula>
    </cfRule>
  </conditionalFormatting>
  <conditionalFormatting sqref="CN89:CN93">
    <cfRule type="expression" dxfId="1266" priority="2471">
      <formula>OR(IF(CN89&lt;CO89,TRUE),IF(AND(CO89="",CN89&lt;&gt;""),TRUE))</formula>
    </cfRule>
    <cfRule type="expression" dxfId="1265" priority="2472">
      <formula>IF(CN89&gt;=CO89,IF(CN89="",FALSE,TRUE))</formula>
    </cfRule>
  </conditionalFormatting>
  <conditionalFormatting sqref="CN26">
    <cfRule type="expression" dxfId="1264" priority="2467">
      <formula>OR(IF(CN26&lt;CO26,TRUE),IF(AND(CO26="",CN26&lt;&gt;""),TRUE))</formula>
    </cfRule>
    <cfRule type="expression" dxfId="1263" priority="2468">
      <formula>IF(CN26&gt;=CO26,IF(CN26="",FALSE,TRUE))</formula>
    </cfRule>
  </conditionalFormatting>
  <conditionalFormatting sqref="CP26">
    <cfRule type="expression" dxfId="1262" priority="2465">
      <formula>OR(IF(CP26&lt;CQ26,TRUE),IF(AND(CQ26="",CP26&lt;&gt;""),TRUE))</formula>
    </cfRule>
    <cfRule type="expression" dxfId="1261" priority="2466">
      <formula>IF(CP26&gt;=CQ26,IF(CP26="",FALSE,TRUE))</formula>
    </cfRule>
  </conditionalFormatting>
  <conditionalFormatting sqref="CN27">
    <cfRule type="expression" dxfId="1260" priority="2463">
      <formula>OR(IF(CN27&lt;CO27,TRUE),IF(AND(CO27="",CN27&lt;&gt;""),TRUE))</formula>
    </cfRule>
    <cfRule type="expression" dxfId="1259" priority="2464">
      <formula>IF(CN27&gt;=CO27,IF(CN27="",FALSE,TRUE))</formula>
    </cfRule>
  </conditionalFormatting>
  <conditionalFormatting sqref="CP27">
    <cfRule type="expression" dxfId="1258" priority="2461">
      <formula>OR(IF(CP27&lt;CQ27,TRUE),IF(AND(CQ27="",CP27&lt;&gt;""),TRUE))</formula>
    </cfRule>
    <cfRule type="expression" dxfId="1257" priority="2462">
      <formula>IF(CP27&gt;=CQ27,IF(CP27="",FALSE,TRUE))</formula>
    </cfRule>
  </conditionalFormatting>
  <conditionalFormatting sqref="CN28">
    <cfRule type="expression" dxfId="1256" priority="2459">
      <formula>OR(IF(CN28&lt;CO28,TRUE),IF(AND(CO28="",CN28&lt;&gt;""),TRUE))</formula>
    </cfRule>
    <cfRule type="expression" dxfId="1255" priority="2460">
      <formula>IF(CN28&gt;=CO28,IF(CN28="",FALSE,TRUE))</formula>
    </cfRule>
  </conditionalFormatting>
  <conditionalFormatting sqref="CP28">
    <cfRule type="expression" dxfId="1254" priority="2457">
      <formula>OR(IF(CP28&lt;CQ28,TRUE),IF(AND(CQ28="",CP28&lt;&gt;""),TRUE))</formula>
    </cfRule>
    <cfRule type="expression" dxfId="1253" priority="2458">
      <formula>IF(CP28&gt;=CQ28,IF(CP28="",FALSE,TRUE))</formula>
    </cfRule>
  </conditionalFormatting>
  <conditionalFormatting sqref="CN29">
    <cfRule type="expression" dxfId="1252" priority="2455">
      <formula>OR(IF(CN29&lt;CO29,TRUE),IF(AND(CO29="",CN29&lt;&gt;""),TRUE))</formula>
    </cfRule>
    <cfRule type="expression" dxfId="1251" priority="2456">
      <formula>IF(CN29&gt;=CO29,IF(CN29="",FALSE,TRUE))</formula>
    </cfRule>
  </conditionalFormatting>
  <conditionalFormatting sqref="CP29">
    <cfRule type="expression" dxfId="1250" priority="2453">
      <formula>OR(IF(CP29&lt;CQ29,TRUE),IF(AND(CQ29="",CP29&lt;&gt;""),TRUE))</formula>
    </cfRule>
    <cfRule type="expression" dxfId="1249" priority="2454">
      <formula>IF(CP29&gt;=CQ29,IF(CP29="",FALSE,TRUE))</formula>
    </cfRule>
  </conditionalFormatting>
  <conditionalFormatting sqref="CN30:CN31">
    <cfRule type="expression" dxfId="1248" priority="2451">
      <formula>OR(IF(CN30&lt;CO30,TRUE),IF(AND(CO30="",CN30&lt;&gt;""),TRUE))</formula>
    </cfRule>
    <cfRule type="expression" dxfId="1247" priority="2452">
      <formula>IF(CN30&gt;=CO30,IF(CN30="",FALSE,TRUE))</formula>
    </cfRule>
  </conditionalFormatting>
  <conditionalFormatting sqref="CP30:CP31">
    <cfRule type="expression" dxfId="1246" priority="2449">
      <formula>OR(IF(CP30&lt;CQ30,TRUE),IF(AND(CQ30="",CP30&lt;&gt;""),TRUE))</formula>
    </cfRule>
    <cfRule type="expression" dxfId="1245" priority="2450">
      <formula>IF(CP30&gt;=CQ30,IF(CP30="",FALSE,TRUE))</formula>
    </cfRule>
  </conditionalFormatting>
  <conditionalFormatting sqref="CN112:CN113">
    <cfRule type="expression" dxfId="1244" priority="2447">
      <formula>OR(IF(CN112&lt;CO112,TRUE),IF(AND(CO112="",CN112&lt;&gt;""),TRUE))</formula>
    </cfRule>
    <cfRule type="expression" dxfId="1243" priority="2448">
      <formula>IF(CN112&gt;=CO112,IF(CN112="",FALSE,TRUE))</formula>
    </cfRule>
  </conditionalFormatting>
  <conditionalFormatting sqref="CP112:CP113">
    <cfRule type="expression" dxfId="1242" priority="2445">
      <formula>OR(IF(CP112&lt;CQ112,TRUE),IF(AND(CQ112="",CP112&lt;&gt;""),TRUE))</formula>
    </cfRule>
    <cfRule type="expression" dxfId="1241" priority="2446">
      <formula>IF(CP112&gt;=CQ112,IF(CP112="",FALSE,TRUE))</formula>
    </cfRule>
  </conditionalFormatting>
  <conditionalFormatting sqref="CP110">
    <cfRule type="expression" dxfId="1240" priority="2441">
      <formula>OR(IF(CP110&lt;CQ110,TRUE),IF(AND(CQ110="",CP110&lt;&gt;""),TRUE))</formula>
    </cfRule>
    <cfRule type="expression" dxfId="1239" priority="2442">
      <formula>IF(CP110&gt;=CQ110,IF(CP110="",FALSE,TRUE))</formula>
    </cfRule>
  </conditionalFormatting>
  <conditionalFormatting sqref="CN110">
    <cfRule type="expression" dxfId="1238" priority="2443">
      <formula>OR(IF(CN110&lt;CO110,TRUE),IF(AND(CO110="",CN110&lt;&gt;""),TRUE))</formula>
    </cfRule>
    <cfRule type="expression" dxfId="1237" priority="2444">
      <formula>IF(CN110&gt;=CO110,IF(CN110="",FALSE,TRUE))</formula>
    </cfRule>
  </conditionalFormatting>
  <conditionalFormatting sqref="CW114:CW122 CU114:CU122">
    <cfRule type="expression" dxfId="1236" priority="2439">
      <formula>OR(IF(CU114&lt;CV114,TRUE),IF(AND(CV114="",CU114&lt;&gt;""),TRUE))</formula>
    </cfRule>
    <cfRule type="expression" dxfId="1235" priority="2440">
      <formula>IF(CU114&gt;=CV114,IF(CU114="",FALSE,TRUE))</formula>
    </cfRule>
  </conditionalFormatting>
  <conditionalFormatting sqref="CU20:CU24 CW20:CW24 CU5:CU17">
    <cfRule type="expression" dxfId="1234" priority="2437">
      <formula>OR(IF(CU5&lt;CV5,TRUE),IF(AND(CV5="",CU5&lt;&gt;""),TRUE))</formula>
    </cfRule>
    <cfRule type="expression" dxfId="1233" priority="2438">
      <formula>IF(CU5&gt;=CV5,IF(CU5="",FALSE,TRUE))</formula>
    </cfRule>
  </conditionalFormatting>
  <conditionalFormatting sqref="CW5:CW17">
    <cfRule type="expression" dxfId="1232" priority="2435">
      <formula>OR(IF(CW5&lt;CX5,TRUE),IF(AND(CX5="",CW5&lt;&gt;""),TRUE))</formula>
    </cfRule>
    <cfRule type="expression" dxfId="1231" priority="2436">
      <formula>IF(CW5&gt;=CX5,IF(CW5="",FALSE,TRUE))</formula>
    </cfRule>
  </conditionalFormatting>
  <conditionalFormatting sqref="CU34:CU35">
    <cfRule type="expression" dxfId="1230" priority="2433">
      <formula>OR(IF(CU34&lt;CV34,TRUE),IF(AND(CV34="",CU34&lt;&gt;""),TRUE))</formula>
    </cfRule>
    <cfRule type="expression" dxfId="1229" priority="2434">
      <formula>IF(CU34&gt;=CV34,IF(CU34="",FALSE,TRUE))</formula>
    </cfRule>
  </conditionalFormatting>
  <conditionalFormatting sqref="CW36:CW45">
    <cfRule type="expression" dxfId="1228" priority="2423">
      <formula>OR(IF(CW36&lt;CX36,TRUE),IF(AND(CX36="",CW36&lt;&gt;""),TRUE))</formula>
    </cfRule>
    <cfRule type="expression" dxfId="1227" priority="2424">
      <formula>IF(CW36&gt;=CX36,IF(CW36="",FALSE,TRUE))</formula>
    </cfRule>
  </conditionalFormatting>
  <conditionalFormatting sqref="CW34:CW35">
    <cfRule type="expression" dxfId="1226" priority="2431">
      <formula>OR(IF(CW34&lt;CX34,TRUE),IF(AND(CX34="",CW34&lt;&gt;""),TRUE))</formula>
    </cfRule>
    <cfRule type="expression" dxfId="1225" priority="2432">
      <formula>IF(CW34&gt;=CX34,IF(CW34="",FALSE,TRUE))</formula>
    </cfRule>
  </conditionalFormatting>
  <conditionalFormatting sqref="CU25">
    <cfRule type="expression" dxfId="1224" priority="2429">
      <formula>OR(IF(CU25&lt;CV25,TRUE),IF(AND(CV25="",CU25&lt;&gt;""),TRUE))</formula>
    </cfRule>
    <cfRule type="expression" dxfId="1223" priority="2430">
      <formula>IF(CU25&gt;=CV25,IF(CU25="",FALSE,TRUE))</formula>
    </cfRule>
  </conditionalFormatting>
  <conditionalFormatting sqref="CW25">
    <cfRule type="expression" dxfId="1222" priority="2427">
      <formula>OR(IF(CW25&lt;CX25,TRUE),IF(AND(CX25="",CW25&lt;&gt;""),TRUE))</formula>
    </cfRule>
    <cfRule type="expression" dxfId="1221" priority="2428">
      <formula>IF(CW25&gt;=CX25,IF(CW25="",FALSE,TRUE))</formula>
    </cfRule>
  </conditionalFormatting>
  <conditionalFormatting sqref="CU36:CU45">
    <cfRule type="expression" dxfId="1220" priority="2425">
      <formula>OR(IF(CU36&lt;CV36,TRUE),IF(AND(CV36="",CU36&lt;&gt;""),TRUE))</formula>
    </cfRule>
    <cfRule type="expression" dxfId="1219" priority="2426">
      <formula>IF(CU36&gt;=CV36,IF(CU36="",FALSE,TRUE))</formula>
    </cfRule>
  </conditionalFormatting>
  <conditionalFormatting sqref="CU49:CU50">
    <cfRule type="expression" dxfId="1218" priority="2421">
      <formula>OR(IF(CU49&lt;CV49,TRUE),IF(AND(CV49="",CU49&lt;&gt;""),TRUE))</formula>
    </cfRule>
    <cfRule type="expression" dxfId="1217" priority="2422">
      <formula>IF(CU49&gt;=CV49,IF(CU49="",FALSE,TRUE))</formula>
    </cfRule>
  </conditionalFormatting>
  <conditionalFormatting sqref="CW51:CW60">
    <cfRule type="expression" dxfId="1216" priority="2415">
      <formula>OR(IF(CW51&lt;CX51,TRUE),IF(AND(CX51="",CW51&lt;&gt;""),TRUE))</formula>
    </cfRule>
    <cfRule type="expression" dxfId="1215" priority="2416">
      <formula>IF(CW51&gt;=CX51,IF(CW51="",FALSE,TRUE))</formula>
    </cfRule>
  </conditionalFormatting>
  <conditionalFormatting sqref="CW49:CW50">
    <cfRule type="expression" dxfId="1214" priority="2419">
      <formula>OR(IF(CW49&lt;CX49,TRUE),IF(AND(CX49="",CW49&lt;&gt;""),TRUE))</formula>
    </cfRule>
    <cfRule type="expression" dxfId="1213" priority="2420">
      <formula>IF(CW49&gt;=CX49,IF(CW49="",FALSE,TRUE))</formula>
    </cfRule>
  </conditionalFormatting>
  <conditionalFormatting sqref="CU51:CU60">
    <cfRule type="expression" dxfId="1212" priority="2417">
      <formula>OR(IF(CU51&lt;CV51,TRUE),IF(AND(CV51="",CU51&lt;&gt;""),TRUE))</formula>
    </cfRule>
    <cfRule type="expression" dxfId="1211" priority="2418">
      <formula>IF(CU51&gt;=CV51,IF(CU51="",FALSE,TRUE))</formula>
    </cfRule>
  </conditionalFormatting>
  <conditionalFormatting sqref="CU65:CU66">
    <cfRule type="expression" dxfId="1210" priority="2413">
      <formula>OR(IF(CU65&lt;CV65,TRUE),IF(AND(CV65="",CU65&lt;&gt;""),TRUE))</formula>
    </cfRule>
    <cfRule type="expression" dxfId="1209" priority="2414">
      <formula>IF(CU65&gt;=CV65,IF(CU65="",FALSE,TRUE))</formula>
    </cfRule>
  </conditionalFormatting>
  <conditionalFormatting sqref="CW67:CW76">
    <cfRule type="expression" dxfId="1208" priority="2407">
      <formula>OR(IF(CW67&lt;CX67,TRUE),IF(AND(CX67="",CW67&lt;&gt;""),TRUE))</formula>
    </cfRule>
    <cfRule type="expression" dxfId="1207" priority="2408">
      <formula>IF(CW67&gt;=CX67,IF(CW67="",FALSE,TRUE))</formula>
    </cfRule>
  </conditionalFormatting>
  <conditionalFormatting sqref="CW65:CW66">
    <cfRule type="expression" dxfId="1206" priority="2411">
      <formula>OR(IF(CW65&lt;CX65,TRUE),IF(AND(CX65="",CW65&lt;&gt;""),TRUE))</formula>
    </cfRule>
    <cfRule type="expression" dxfId="1205" priority="2412">
      <formula>IF(CW65&gt;=CX65,IF(CW65="",FALSE,TRUE))</formula>
    </cfRule>
  </conditionalFormatting>
  <conditionalFormatting sqref="CU67:CU76">
    <cfRule type="expression" dxfId="1204" priority="2409">
      <formula>OR(IF(CU67&lt;CV67,TRUE),IF(AND(CV67="",CU67&lt;&gt;""),TRUE))</formula>
    </cfRule>
    <cfRule type="expression" dxfId="1203" priority="2410">
      <formula>IF(CU67&gt;=CV67,IF(CU67="",FALSE,TRUE))</formula>
    </cfRule>
  </conditionalFormatting>
  <conditionalFormatting sqref="CU95:CU96">
    <cfRule type="expression" dxfId="1202" priority="2405">
      <formula>OR(IF(CU95&lt;CV95,TRUE),IF(AND(CV95="",CU95&lt;&gt;""),TRUE))</formula>
    </cfRule>
    <cfRule type="expression" dxfId="1201" priority="2406">
      <formula>IF(CU95&gt;=CV95,IF(CU95="",FALSE,TRUE))</formula>
    </cfRule>
  </conditionalFormatting>
  <conditionalFormatting sqref="CW97:CW106">
    <cfRule type="expression" dxfId="1200" priority="2399">
      <formula>OR(IF(CW97&lt;CX97,TRUE),IF(AND(CX97="",CW97&lt;&gt;""),TRUE))</formula>
    </cfRule>
    <cfRule type="expression" dxfId="1199" priority="2400">
      <formula>IF(CW97&gt;=CX97,IF(CW97="",FALSE,TRUE))</formula>
    </cfRule>
  </conditionalFormatting>
  <conditionalFormatting sqref="CW95:CW96">
    <cfRule type="expression" dxfId="1198" priority="2403">
      <formula>OR(IF(CW95&lt;CX95,TRUE),IF(AND(CX95="",CW95&lt;&gt;""),TRUE))</formula>
    </cfRule>
    <cfRule type="expression" dxfId="1197" priority="2404">
      <formula>IF(CW95&gt;=CX95,IF(CW95="",FALSE,TRUE))</formula>
    </cfRule>
  </conditionalFormatting>
  <conditionalFormatting sqref="CU97:CU106">
    <cfRule type="expression" dxfId="1196" priority="2401">
      <formula>OR(IF(CU97&lt;CV97,TRUE),IF(AND(CV97="",CU97&lt;&gt;""),TRUE))</formula>
    </cfRule>
    <cfRule type="expression" dxfId="1195" priority="2402">
      <formula>IF(CU97&gt;=CV97,IF(CU97="",FALSE,TRUE))</formula>
    </cfRule>
  </conditionalFormatting>
  <conditionalFormatting sqref="CW77">
    <cfRule type="expression" dxfId="1194" priority="2395">
      <formula>OR(IF(CW77&lt;CX77,TRUE),IF(AND(CX77="",CW77&lt;&gt;""),TRUE))</formula>
    </cfRule>
    <cfRule type="expression" dxfId="1193" priority="2396">
      <formula>IF(CW77&gt;=CX77,IF(CW77="",FALSE,TRUE))</formula>
    </cfRule>
  </conditionalFormatting>
  <conditionalFormatting sqref="CU77">
    <cfRule type="expression" dxfId="1192" priority="2397">
      <formula>OR(IF(CU77&lt;CV77,TRUE),IF(AND(CV77="",CU77&lt;&gt;""),TRUE))</formula>
    </cfRule>
    <cfRule type="expression" dxfId="1191" priority="2398">
      <formula>IF(CU77&gt;=CV77,IF(CU77="",FALSE,TRUE))</formula>
    </cfRule>
  </conditionalFormatting>
  <conditionalFormatting sqref="CW78">
    <cfRule type="expression" dxfId="1190" priority="2391">
      <formula>OR(IF(CW78&lt;CX78,TRUE),IF(AND(CX78="",CW78&lt;&gt;""),TRUE))</formula>
    </cfRule>
    <cfRule type="expression" dxfId="1189" priority="2392">
      <formula>IF(CW78&gt;=CX78,IF(CW78="",FALSE,TRUE))</formula>
    </cfRule>
  </conditionalFormatting>
  <conditionalFormatting sqref="CU78">
    <cfRule type="expression" dxfId="1188" priority="2393">
      <formula>OR(IF(CU78&lt;CV78,TRUE),IF(AND(CV78="",CU78&lt;&gt;""),TRUE))</formula>
    </cfRule>
    <cfRule type="expression" dxfId="1187" priority="2394">
      <formula>IF(CU78&gt;=CV78,IF(CU78="",FALSE,TRUE))</formula>
    </cfRule>
  </conditionalFormatting>
  <conditionalFormatting sqref="CW79">
    <cfRule type="expression" dxfId="1186" priority="2387">
      <formula>OR(IF(CW79&lt;CX79,TRUE),IF(AND(CX79="",CW79&lt;&gt;""),TRUE))</formula>
    </cfRule>
    <cfRule type="expression" dxfId="1185" priority="2388">
      <formula>IF(CW79&gt;=CX79,IF(CW79="",FALSE,TRUE))</formula>
    </cfRule>
  </conditionalFormatting>
  <conditionalFormatting sqref="CU79">
    <cfRule type="expression" dxfId="1184" priority="2389">
      <formula>OR(IF(CU79&lt;CV79,TRUE),IF(AND(CV79="",CU79&lt;&gt;""),TRUE))</formula>
    </cfRule>
    <cfRule type="expression" dxfId="1183" priority="2390">
      <formula>IF(CU79&gt;=CV79,IF(CU79="",FALSE,TRUE))</formula>
    </cfRule>
  </conditionalFormatting>
  <conditionalFormatting sqref="CW80">
    <cfRule type="expression" dxfId="1182" priority="2383">
      <formula>OR(IF(CW80&lt;CX80,TRUE),IF(AND(CX80="",CW80&lt;&gt;""),TRUE))</formula>
    </cfRule>
    <cfRule type="expression" dxfId="1181" priority="2384">
      <formula>IF(CW80&gt;=CX80,IF(CW80="",FALSE,TRUE))</formula>
    </cfRule>
  </conditionalFormatting>
  <conditionalFormatting sqref="CU80">
    <cfRule type="expression" dxfId="1180" priority="2385">
      <formula>OR(IF(CU80&lt;CV80,TRUE),IF(AND(CV80="",CU80&lt;&gt;""),TRUE))</formula>
    </cfRule>
    <cfRule type="expression" dxfId="1179" priority="2386">
      <formula>IF(CU80&gt;=CV80,IF(CU80="",FALSE,TRUE))</formula>
    </cfRule>
  </conditionalFormatting>
  <conditionalFormatting sqref="CW81">
    <cfRule type="expression" dxfId="1178" priority="2379">
      <formula>OR(IF(CW81&lt;CX81,TRUE),IF(AND(CX81="",CW81&lt;&gt;""),TRUE))</formula>
    </cfRule>
    <cfRule type="expression" dxfId="1177" priority="2380">
      <formula>IF(CW81&gt;=CX81,IF(CW81="",FALSE,TRUE))</formula>
    </cfRule>
  </conditionalFormatting>
  <conditionalFormatting sqref="CU81">
    <cfRule type="expression" dxfId="1176" priority="2381">
      <formula>OR(IF(CU81&lt;CV81,TRUE),IF(AND(CV81="",CU81&lt;&gt;""),TRUE))</formula>
    </cfRule>
    <cfRule type="expression" dxfId="1175" priority="2382">
      <formula>IF(CU81&gt;=CV81,IF(CU81="",FALSE,TRUE))</formula>
    </cfRule>
  </conditionalFormatting>
  <conditionalFormatting sqref="CW82">
    <cfRule type="expression" dxfId="1174" priority="2375">
      <formula>OR(IF(CW82&lt;CX82,TRUE),IF(AND(CX82="",CW82&lt;&gt;""),TRUE))</formula>
    </cfRule>
    <cfRule type="expression" dxfId="1173" priority="2376">
      <formula>IF(CW82&gt;=CX82,IF(CW82="",FALSE,TRUE))</formula>
    </cfRule>
  </conditionalFormatting>
  <conditionalFormatting sqref="CU82">
    <cfRule type="expression" dxfId="1172" priority="2377">
      <formula>OR(IF(CU82&lt;CV82,TRUE),IF(AND(CV82="",CU82&lt;&gt;""),TRUE))</formula>
    </cfRule>
    <cfRule type="expression" dxfId="1171" priority="2378">
      <formula>IF(CU82&gt;=CV82,IF(CU82="",FALSE,TRUE))</formula>
    </cfRule>
  </conditionalFormatting>
  <conditionalFormatting sqref="CW83">
    <cfRule type="expression" dxfId="1170" priority="2371">
      <formula>OR(IF(CW83&lt;CX83,TRUE),IF(AND(CX83="",CW83&lt;&gt;""),TRUE))</formula>
    </cfRule>
    <cfRule type="expression" dxfId="1169" priority="2372">
      <formula>IF(CW83&gt;=CX83,IF(CW83="",FALSE,TRUE))</formula>
    </cfRule>
  </conditionalFormatting>
  <conditionalFormatting sqref="CU83">
    <cfRule type="expression" dxfId="1168" priority="2373">
      <formula>OR(IF(CU83&lt;CV83,TRUE),IF(AND(CV83="",CU83&lt;&gt;""),TRUE))</formula>
    </cfRule>
    <cfRule type="expression" dxfId="1167" priority="2374">
      <formula>IF(CU83&gt;=CV83,IF(CU83="",FALSE,TRUE))</formula>
    </cfRule>
  </conditionalFormatting>
  <conditionalFormatting sqref="CW84">
    <cfRule type="expression" dxfId="1166" priority="2367">
      <formula>OR(IF(CW84&lt;CX84,TRUE),IF(AND(CX84="",CW84&lt;&gt;""),TRUE))</formula>
    </cfRule>
    <cfRule type="expression" dxfId="1165" priority="2368">
      <formula>IF(CW84&gt;=CX84,IF(CW84="",FALSE,TRUE))</formula>
    </cfRule>
  </conditionalFormatting>
  <conditionalFormatting sqref="CU84">
    <cfRule type="expression" dxfId="1164" priority="2369">
      <formula>OR(IF(CU84&lt;CV84,TRUE),IF(AND(CV84="",CU84&lt;&gt;""),TRUE))</formula>
    </cfRule>
    <cfRule type="expression" dxfId="1163" priority="2370">
      <formula>IF(CU84&gt;=CV84,IF(CU84="",FALSE,TRUE))</formula>
    </cfRule>
  </conditionalFormatting>
  <conditionalFormatting sqref="CW85">
    <cfRule type="expression" dxfId="1162" priority="2363">
      <formula>OR(IF(CW85&lt;CX85,TRUE),IF(AND(CX85="",CW85&lt;&gt;""),TRUE))</formula>
    </cfRule>
    <cfRule type="expression" dxfId="1161" priority="2364">
      <formula>IF(CW85&gt;=CX85,IF(CW85="",FALSE,TRUE))</formula>
    </cfRule>
  </conditionalFormatting>
  <conditionalFormatting sqref="CU85">
    <cfRule type="expression" dxfId="1160" priority="2365">
      <formula>OR(IF(CU85&lt;CV85,TRUE),IF(AND(CV85="",CU85&lt;&gt;""),TRUE))</formula>
    </cfRule>
    <cfRule type="expression" dxfId="1159" priority="2366">
      <formula>IF(CU85&gt;=CV85,IF(CU85="",FALSE,TRUE))</formula>
    </cfRule>
  </conditionalFormatting>
  <conditionalFormatting sqref="CW86">
    <cfRule type="expression" dxfId="1158" priority="2359">
      <formula>OR(IF(CW86&lt;CX86,TRUE),IF(AND(CX86="",CW86&lt;&gt;""),TRUE))</formula>
    </cfRule>
    <cfRule type="expression" dxfId="1157" priority="2360">
      <formula>IF(CW86&gt;=CX86,IF(CW86="",FALSE,TRUE))</formula>
    </cfRule>
  </conditionalFormatting>
  <conditionalFormatting sqref="CU86">
    <cfRule type="expression" dxfId="1156" priority="2361">
      <formula>OR(IF(CU86&lt;CV86,TRUE),IF(AND(CV86="",CU86&lt;&gt;""),TRUE))</formula>
    </cfRule>
    <cfRule type="expression" dxfId="1155" priority="2362">
      <formula>IF(CU86&gt;=CV86,IF(CU86="",FALSE,TRUE))</formula>
    </cfRule>
  </conditionalFormatting>
  <conditionalFormatting sqref="CW87">
    <cfRule type="expression" dxfId="1154" priority="2355">
      <formula>OR(IF(CW87&lt;CX87,TRUE),IF(AND(CX87="",CW87&lt;&gt;""),TRUE))</formula>
    </cfRule>
    <cfRule type="expression" dxfId="1153" priority="2356">
      <formula>IF(CW87&gt;=CX87,IF(CW87="",FALSE,TRUE))</formula>
    </cfRule>
  </conditionalFormatting>
  <conditionalFormatting sqref="CU87">
    <cfRule type="expression" dxfId="1152" priority="2357">
      <formula>OR(IF(CU87&lt;CV87,TRUE),IF(AND(CV87="",CU87&lt;&gt;""),TRUE))</formula>
    </cfRule>
    <cfRule type="expression" dxfId="1151" priority="2358">
      <formula>IF(CU87&gt;=CV87,IF(CU87="",FALSE,TRUE))</formula>
    </cfRule>
  </conditionalFormatting>
  <conditionalFormatting sqref="CW88">
    <cfRule type="expression" dxfId="1150" priority="2351">
      <formula>OR(IF(CW88&lt;CX88,TRUE),IF(AND(CX88="",CW88&lt;&gt;""),TRUE))</formula>
    </cfRule>
    <cfRule type="expression" dxfId="1149" priority="2352">
      <formula>IF(CW88&gt;=CX88,IF(CW88="",FALSE,TRUE))</formula>
    </cfRule>
  </conditionalFormatting>
  <conditionalFormatting sqref="CU88">
    <cfRule type="expression" dxfId="1148" priority="2353">
      <formula>OR(IF(CU88&lt;CV88,TRUE),IF(AND(CV88="",CU88&lt;&gt;""),TRUE))</formula>
    </cfRule>
    <cfRule type="expression" dxfId="1147" priority="2354">
      <formula>IF(CU88&gt;=CV88,IF(CU88="",FALSE,TRUE))</formula>
    </cfRule>
  </conditionalFormatting>
  <conditionalFormatting sqref="CW89:CW93">
    <cfRule type="expression" dxfId="1146" priority="2347">
      <formula>OR(IF(CW89&lt;CX89,TRUE),IF(AND(CX89="",CW89&lt;&gt;""),TRUE))</formula>
    </cfRule>
    <cfRule type="expression" dxfId="1145" priority="2348">
      <formula>IF(CW89&gt;=CX89,IF(CW89="",FALSE,TRUE))</formula>
    </cfRule>
  </conditionalFormatting>
  <conditionalFormatting sqref="CU89:CU93">
    <cfRule type="expression" dxfId="1144" priority="2349">
      <formula>OR(IF(CU89&lt;CV89,TRUE),IF(AND(CV89="",CU89&lt;&gt;""),TRUE))</formula>
    </cfRule>
    <cfRule type="expression" dxfId="1143" priority="2350">
      <formula>IF(CU89&gt;=CV89,IF(CU89="",FALSE,TRUE))</formula>
    </cfRule>
  </conditionalFormatting>
  <conditionalFormatting sqref="CU26">
    <cfRule type="expression" dxfId="1142" priority="2345">
      <formula>OR(IF(CU26&lt;CV26,TRUE),IF(AND(CV26="",CU26&lt;&gt;""),TRUE))</formula>
    </cfRule>
    <cfRule type="expression" dxfId="1141" priority="2346">
      <formula>IF(CU26&gt;=CV26,IF(CU26="",FALSE,TRUE))</formula>
    </cfRule>
  </conditionalFormatting>
  <conditionalFormatting sqref="CW26">
    <cfRule type="expression" dxfId="1140" priority="2343">
      <formula>OR(IF(CW26&lt;CX26,TRUE),IF(AND(CX26="",CW26&lt;&gt;""),TRUE))</formula>
    </cfRule>
    <cfRule type="expression" dxfId="1139" priority="2344">
      <formula>IF(CW26&gt;=CX26,IF(CW26="",FALSE,TRUE))</formula>
    </cfRule>
  </conditionalFormatting>
  <conditionalFormatting sqref="CU27">
    <cfRule type="expression" dxfId="1138" priority="2341">
      <formula>OR(IF(CU27&lt;CV27,TRUE),IF(AND(CV27="",CU27&lt;&gt;""),TRUE))</formula>
    </cfRule>
    <cfRule type="expression" dxfId="1137" priority="2342">
      <formula>IF(CU27&gt;=CV27,IF(CU27="",FALSE,TRUE))</formula>
    </cfRule>
  </conditionalFormatting>
  <conditionalFormatting sqref="CW27">
    <cfRule type="expression" dxfId="1136" priority="2339">
      <formula>OR(IF(CW27&lt;CX27,TRUE),IF(AND(CX27="",CW27&lt;&gt;""),TRUE))</formula>
    </cfRule>
    <cfRule type="expression" dxfId="1135" priority="2340">
      <formula>IF(CW27&gt;=CX27,IF(CW27="",FALSE,TRUE))</formula>
    </cfRule>
  </conditionalFormatting>
  <conditionalFormatting sqref="CU28">
    <cfRule type="expression" dxfId="1134" priority="2337">
      <formula>OR(IF(CU28&lt;CV28,TRUE),IF(AND(CV28="",CU28&lt;&gt;""),TRUE))</formula>
    </cfRule>
    <cfRule type="expression" dxfId="1133" priority="2338">
      <formula>IF(CU28&gt;=CV28,IF(CU28="",FALSE,TRUE))</formula>
    </cfRule>
  </conditionalFormatting>
  <conditionalFormatting sqref="CW28">
    <cfRule type="expression" dxfId="1132" priority="2335">
      <formula>OR(IF(CW28&lt;CX28,TRUE),IF(AND(CX28="",CW28&lt;&gt;""),TRUE))</formula>
    </cfRule>
    <cfRule type="expression" dxfId="1131" priority="2336">
      <formula>IF(CW28&gt;=CX28,IF(CW28="",FALSE,TRUE))</formula>
    </cfRule>
  </conditionalFormatting>
  <conditionalFormatting sqref="CU29">
    <cfRule type="expression" dxfId="1130" priority="2333">
      <formula>OR(IF(CU29&lt;CV29,TRUE),IF(AND(CV29="",CU29&lt;&gt;""),TRUE))</formula>
    </cfRule>
    <cfRule type="expression" dxfId="1129" priority="2334">
      <formula>IF(CU29&gt;=CV29,IF(CU29="",FALSE,TRUE))</formula>
    </cfRule>
  </conditionalFormatting>
  <conditionalFormatting sqref="CW29">
    <cfRule type="expression" dxfId="1128" priority="2331">
      <formula>OR(IF(CW29&lt;CX29,TRUE),IF(AND(CX29="",CW29&lt;&gt;""),TRUE))</formula>
    </cfRule>
    <cfRule type="expression" dxfId="1127" priority="2332">
      <formula>IF(CW29&gt;=CX29,IF(CW29="",FALSE,TRUE))</formula>
    </cfRule>
  </conditionalFormatting>
  <conditionalFormatting sqref="CU30:CU31">
    <cfRule type="expression" dxfId="1126" priority="2329">
      <formula>OR(IF(CU30&lt;CV30,TRUE),IF(AND(CV30="",CU30&lt;&gt;""),TRUE))</formula>
    </cfRule>
    <cfRule type="expression" dxfId="1125" priority="2330">
      <formula>IF(CU30&gt;=CV30,IF(CU30="",FALSE,TRUE))</formula>
    </cfRule>
  </conditionalFormatting>
  <conditionalFormatting sqref="CW30:CW31">
    <cfRule type="expression" dxfId="1124" priority="2327">
      <formula>OR(IF(CW30&lt;CX30,TRUE),IF(AND(CX30="",CW30&lt;&gt;""),TRUE))</formula>
    </cfRule>
    <cfRule type="expression" dxfId="1123" priority="2328">
      <formula>IF(CW30&gt;=CX30,IF(CW30="",FALSE,TRUE))</formula>
    </cfRule>
  </conditionalFormatting>
  <conditionalFormatting sqref="CU112:CU113">
    <cfRule type="expression" dxfId="1122" priority="2325">
      <formula>OR(IF(CU112&lt;CV112,TRUE),IF(AND(CV112="",CU112&lt;&gt;""),TRUE))</formula>
    </cfRule>
    <cfRule type="expression" dxfId="1121" priority="2326">
      <formula>IF(CU112&gt;=CV112,IF(CU112="",FALSE,TRUE))</formula>
    </cfRule>
  </conditionalFormatting>
  <conditionalFormatting sqref="CW112:CW113">
    <cfRule type="expression" dxfId="1120" priority="2323">
      <formula>OR(IF(CW112&lt;CX112,TRUE),IF(AND(CX112="",CW112&lt;&gt;""),TRUE))</formula>
    </cfRule>
    <cfRule type="expression" dxfId="1119" priority="2324">
      <formula>IF(CW112&gt;=CX112,IF(CW112="",FALSE,TRUE))</formula>
    </cfRule>
  </conditionalFormatting>
  <conditionalFormatting sqref="CW110">
    <cfRule type="expression" dxfId="1118" priority="2319">
      <formula>OR(IF(CW110&lt;CX110,TRUE),IF(AND(CX110="",CW110&lt;&gt;""),TRUE))</formula>
    </cfRule>
    <cfRule type="expression" dxfId="1117" priority="2320">
      <formula>IF(CW110&gt;=CX110,IF(CW110="",FALSE,TRUE))</formula>
    </cfRule>
  </conditionalFormatting>
  <conditionalFormatting sqref="CU110">
    <cfRule type="expression" dxfId="1116" priority="2321">
      <formula>OR(IF(CU110&lt;CV110,TRUE),IF(AND(CV110="",CU110&lt;&gt;""),TRUE))</formula>
    </cfRule>
    <cfRule type="expression" dxfId="1115" priority="2322">
      <formula>IF(CU110&gt;=CV110,IF(CU110="",FALSE,TRUE))</formula>
    </cfRule>
  </conditionalFormatting>
  <conditionalFormatting sqref="DD114:DD122 DB114:DB122">
    <cfRule type="expression" dxfId="1114" priority="2317">
      <formula>OR(IF(DB114&lt;DC114,TRUE),IF(AND(DC114="",DB114&lt;&gt;""),TRUE))</formula>
    </cfRule>
    <cfRule type="expression" dxfId="1113" priority="2318">
      <formula>IF(DB114&gt;=DC114,IF(DB114="",FALSE,TRUE))</formula>
    </cfRule>
  </conditionalFormatting>
  <conditionalFormatting sqref="DB20:DB24 DD20:DD24 DB5:DB17">
    <cfRule type="expression" dxfId="1112" priority="2315">
      <formula>OR(IF(DB5&lt;DC5,TRUE),IF(AND(DC5="",DB5&lt;&gt;""),TRUE))</formula>
    </cfRule>
    <cfRule type="expression" dxfId="1111" priority="2316">
      <formula>IF(DB5&gt;=DC5,IF(DB5="",FALSE,TRUE))</formula>
    </cfRule>
  </conditionalFormatting>
  <conditionalFormatting sqref="DD5:DD17">
    <cfRule type="expression" dxfId="1110" priority="2313">
      <formula>OR(IF(DD5&lt;DE5,TRUE),IF(AND(DE5="",DD5&lt;&gt;""),TRUE))</formula>
    </cfRule>
    <cfRule type="expression" dxfId="1109" priority="2314">
      <formula>IF(DD5&gt;=DE5,IF(DD5="",FALSE,TRUE))</formula>
    </cfRule>
  </conditionalFormatting>
  <conditionalFormatting sqref="DB34:DB35">
    <cfRule type="expression" dxfId="1108" priority="2311">
      <formula>OR(IF(DB34&lt;DC34,TRUE),IF(AND(DC34="",DB34&lt;&gt;""),TRUE))</formula>
    </cfRule>
    <cfRule type="expression" dxfId="1107" priority="2312">
      <formula>IF(DB34&gt;=DC34,IF(DB34="",FALSE,TRUE))</formula>
    </cfRule>
  </conditionalFormatting>
  <conditionalFormatting sqref="DD36:DD45">
    <cfRule type="expression" dxfId="1106" priority="2301">
      <formula>OR(IF(DD36&lt;DE36,TRUE),IF(AND(DE36="",DD36&lt;&gt;""),TRUE))</formula>
    </cfRule>
    <cfRule type="expression" dxfId="1105" priority="2302">
      <formula>IF(DD36&gt;=DE36,IF(DD36="",FALSE,TRUE))</formula>
    </cfRule>
  </conditionalFormatting>
  <conditionalFormatting sqref="DD34:DD35">
    <cfRule type="expression" dxfId="1104" priority="2309">
      <formula>OR(IF(DD34&lt;DE34,TRUE),IF(AND(DE34="",DD34&lt;&gt;""),TRUE))</formula>
    </cfRule>
    <cfRule type="expression" dxfId="1103" priority="2310">
      <formula>IF(DD34&gt;=DE34,IF(DD34="",FALSE,TRUE))</formula>
    </cfRule>
  </conditionalFormatting>
  <conditionalFormatting sqref="DB25">
    <cfRule type="expression" dxfId="1102" priority="2307">
      <formula>OR(IF(DB25&lt;DC25,TRUE),IF(AND(DC25="",DB25&lt;&gt;""),TRUE))</formula>
    </cfRule>
    <cfRule type="expression" dxfId="1101" priority="2308">
      <formula>IF(DB25&gt;=DC25,IF(DB25="",FALSE,TRUE))</formula>
    </cfRule>
  </conditionalFormatting>
  <conditionalFormatting sqref="DD25">
    <cfRule type="expression" dxfId="1100" priority="2305">
      <formula>OR(IF(DD25&lt;DE25,TRUE),IF(AND(DE25="",DD25&lt;&gt;""),TRUE))</formula>
    </cfRule>
    <cfRule type="expression" dxfId="1099" priority="2306">
      <formula>IF(DD25&gt;=DE25,IF(DD25="",FALSE,TRUE))</formula>
    </cfRule>
  </conditionalFormatting>
  <conditionalFormatting sqref="DB36:DB45">
    <cfRule type="expression" dxfId="1098" priority="2303">
      <formula>OR(IF(DB36&lt;DC36,TRUE),IF(AND(DC36="",DB36&lt;&gt;""),TRUE))</formula>
    </cfRule>
    <cfRule type="expression" dxfId="1097" priority="2304">
      <formula>IF(DB36&gt;=DC36,IF(DB36="",FALSE,TRUE))</formula>
    </cfRule>
  </conditionalFormatting>
  <conditionalFormatting sqref="DB49:DB50">
    <cfRule type="expression" dxfId="1096" priority="2299">
      <formula>OR(IF(DB49&lt;DC49,TRUE),IF(AND(DC49="",DB49&lt;&gt;""),TRUE))</formula>
    </cfRule>
    <cfRule type="expression" dxfId="1095" priority="2300">
      <formula>IF(DB49&gt;=DC49,IF(DB49="",FALSE,TRUE))</formula>
    </cfRule>
  </conditionalFormatting>
  <conditionalFormatting sqref="DD51:DD60">
    <cfRule type="expression" dxfId="1094" priority="2293">
      <formula>OR(IF(DD51&lt;DE51,TRUE),IF(AND(DE51="",DD51&lt;&gt;""),TRUE))</formula>
    </cfRule>
    <cfRule type="expression" dxfId="1093" priority="2294">
      <formula>IF(DD51&gt;=DE51,IF(DD51="",FALSE,TRUE))</formula>
    </cfRule>
  </conditionalFormatting>
  <conditionalFormatting sqref="DD49:DD50">
    <cfRule type="expression" dxfId="1092" priority="2297">
      <formula>OR(IF(DD49&lt;DE49,TRUE),IF(AND(DE49="",DD49&lt;&gt;""),TRUE))</formula>
    </cfRule>
    <cfRule type="expression" dxfId="1091" priority="2298">
      <formula>IF(DD49&gt;=DE49,IF(DD49="",FALSE,TRUE))</formula>
    </cfRule>
  </conditionalFormatting>
  <conditionalFormatting sqref="DB51:DB60">
    <cfRule type="expression" dxfId="1090" priority="2295">
      <formula>OR(IF(DB51&lt;DC51,TRUE),IF(AND(DC51="",DB51&lt;&gt;""),TRUE))</formula>
    </cfRule>
    <cfRule type="expression" dxfId="1089" priority="2296">
      <formula>IF(DB51&gt;=DC51,IF(DB51="",FALSE,TRUE))</formula>
    </cfRule>
  </conditionalFormatting>
  <conditionalFormatting sqref="DB65:DB66">
    <cfRule type="expression" dxfId="1088" priority="2291">
      <formula>OR(IF(DB65&lt;DC65,TRUE),IF(AND(DC65="",DB65&lt;&gt;""),TRUE))</formula>
    </cfRule>
    <cfRule type="expression" dxfId="1087" priority="2292">
      <formula>IF(DB65&gt;=DC65,IF(DB65="",FALSE,TRUE))</formula>
    </cfRule>
  </conditionalFormatting>
  <conditionalFormatting sqref="DD67:DD76">
    <cfRule type="expression" dxfId="1086" priority="2285">
      <formula>OR(IF(DD67&lt;DE67,TRUE),IF(AND(DE67="",DD67&lt;&gt;""),TRUE))</formula>
    </cfRule>
    <cfRule type="expression" dxfId="1085" priority="2286">
      <formula>IF(DD67&gt;=DE67,IF(DD67="",FALSE,TRUE))</formula>
    </cfRule>
  </conditionalFormatting>
  <conditionalFormatting sqref="DD65:DD66">
    <cfRule type="expression" dxfId="1084" priority="2289">
      <formula>OR(IF(DD65&lt;DE65,TRUE),IF(AND(DE65="",DD65&lt;&gt;""),TRUE))</formula>
    </cfRule>
    <cfRule type="expression" dxfId="1083" priority="2290">
      <formula>IF(DD65&gt;=DE65,IF(DD65="",FALSE,TRUE))</formula>
    </cfRule>
  </conditionalFormatting>
  <conditionalFormatting sqref="DB67:DB76">
    <cfRule type="expression" dxfId="1082" priority="2287">
      <formula>OR(IF(DB67&lt;DC67,TRUE),IF(AND(DC67="",DB67&lt;&gt;""),TRUE))</formula>
    </cfRule>
    <cfRule type="expression" dxfId="1081" priority="2288">
      <formula>IF(DB67&gt;=DC67,IF(DB67="",FALSE,TRUE))</formula>
    </cfRule>
  </conditionalFormatting>
  <conditionalFormatting sqref="DB95:DB96">
    <cfRule type="expression" dxfId="1080" priority="2283">
      <formula>OR(IF(DB95&lt;DC95,TRUE),IF(AND(DC95="",DB95&lt;&gt;""),TRUE))</formula>
    </cfRule>
    <cfRule type="expression" dxfId="1079" priority="2284">
      <formula>IF(DB95&gt;=DC95,IF(DB95="",FALSE,TRUE))</formula>
    </cfRule>
  </conditionalFormatting>
  <conditionalFormatting sqref="DD97:DD106">
    <cfRule type="expression" dxfId="1078" priority="2277">
      <formula>OR(IF(DD97&lt;DE97,TRUE),IF(AND(DE97="",DD97&lt;&gt;""),TRUE))</formula>
    </cfRule>
    <cfRule type="expression" dxfId="1077" priority="2278">
      <formula>IF(DD97&gt;=DE97,IF(DD97="",FALSE,TRUE))</formula>
    </cfRule>
  </conditionalFormatting>
  <conditionalFormatting sqref="DD95:DD96">
    <cfRule type="expression" dxfId="1076" priority="2281">
      <formula>OR(IF(DD95&lt;DE95,TRUE),IF(AND(DE95="",DD95&lt;&gt;""),TRUE))</formula>
    </cfRule>
    <cfRule type="expression" dxfId="1075" priority="2282">
      <formula>IF(DD95&gt;=DE95,IF(DD95="",FALSE,TRUE))</formula>
    </cfRule>
  </conditionalFormatting>
  <conditionalFormatting sqref="DB97:DB106">
    <cfRule type="expression" dxfId="1074" priority="2279">
      <formula>OR(IF(DB97&lt;DC97,TRUE),IF(AND(DC97="",DB97&lt;&gt;""),TRUE))</formula>
    </cfRule>
    <cfRule type="expression" dxfId="1073" priority="2280">
      <formula>IF(DB97&gt;=DC97,IF(DB97="",FALSE,TRUE))</formula>
    </cfRule>
  </conditionalFormatting>
  <conditionalFormatting sqref="DD77">
    <cfRule type="expression" dxfId="1072" priority="2273">
      <formula>OR(IF(DD77&lt;DE77,TRUE),IF(AND(DE77="",DD77&lt;&gt;""),TRUE))</formula>
    </cfRule>
    <cfRule type="expression" dxfId="1071" priority="2274">
      <formula>IF(DD77&gt;=DE77,IF(DD77="",FALSE,TRUE))</formula>
    </cfRule>
  </conditionalFormatting>
  <conditionalFormatting sqref="DB77">
    <cfRule type="expression" dxfId="1070" priority="2275">
      <formula>OR(IF(DB77&lt;DC77,TRUE),IF(AND(DC77="",DB77&lt;&gt;""),TRUE))</formula>
    </cfRule>
    <cfRule type="expression" dxfId="1069" priority="2276">
      <formula>IF(DB77&gt;=DC77,IF(DB77="",FALSE,TRUE))</formula>
    </cfRule>
  </conditionalFormatting>
  <conditionalFormatting sqref="DD78">
    <cfRule type="expression" dxfId="1068" priority="2269">
      <formula>OR(IF(DD78&lt;DE78,TRUE),IF(AND(DE78="",DD78&lt;&gt;""),TRUE))</formula>
    </cfRule>
    <cfRule type="expression" dxfId="1067" priority="2270">
      <formula>IF(DD78&gt;=DE78,IF(DD78="",FALSE,TRUE))</formula>
    </cfRule>
  </conditionalFormatting>
  <conditionalFormatting sqref="DB78">
    <cfRule type="expression" dxfId="1066" priority="2271">
      <formula>OR(IF(DB78&lt;DC78,TRUE),IF(AND(DC78="",DB78&lt;&gt;""),TRUE))</formula>
    </cfRule>
    <cfRule type="expression" dxfId="1065" priority="2272">
      <formula>IF(DB78&gt;=DC78,IF(DB78="",FALSE,TRUE))</formula>
    </cfRule>
  </conditionalFormatting>
  <conditionalFormatting sqref="DD79">
    <cfRule type="expression" dxfId="1064" priority="2265">
      <formula>OR(IF(DD79&lt;DE79,TRUE),IF(AND(DE79="",DD79&lt;&gt;""),TRUE))</formula>
    </cfRule>
    <cfRule type="expression" dxfId="1063" priority="2266">
      <formula>IF(DD79&gt;=DE79,IF(DD79="",FALSE,TRUE))</formula>
    </cfRule>
  </conditionalFormatting>
  <conditionalFormatting sqref="DB79">
    <cfRule type="expression" dxfId="1062" priority="2267">
      <formula>OR(IF(DB79&lt;DC79,TRUE),IF(AND(DC79="",DB79&lt;&gt;""),TRUE))</formula>
    </cfRule>
    <cfRule type="expression" dxfId="1061" priority="2268">
      <formula>IF(DB79&gt;=DC79,IF(DB79="",FALSE,TRUE))</formula>
    </cfRule>
  </conditionalFormatting>
  <conditionalFormatting sqref="DD80">
    <cfRule type="expression" dxfId="1060" priority="2261">
      <formula>OR(IF(DD80&lt;DE80,TRUE),IF(AND(DE80="",DD80&lt;&gt;""),TRUE))</formula>
    </cfRule>
    <cfRule type="expression" dxfId="1059" priority="2262">
      <formula>IF(DD80&gt;=DE80,IF(DD80="",FALSE,TRUE))</formula>
    </cfRule>
  </conditionalFormatting>
  <conditionalFormatting sqref="DB80">
    <cfRule type="expression" dxfId="1058" priority="2263">
      <formula>OR(IF(DB80&lt;DC80,TRUE),IF(AND(DC80="",DB80&lt;&gt;""),TRUE))</formula>
    </cfRule>
    <cfRule type="expression" dxfId="1057" priority="2264">
      <formula>IF(DB80&gt;=DC80,IF(DB80="",FALSE,TRUE))</formula>
    </cfRule>
  </conditionalFormatting>
  <conditionalFormatting sqref="DD81">
    <cfRule type="expression" dxfId="1056" priority="2257">
      <formula>OR(IF(DD81&lt;DE81,TRUE),IF(AND(DE81="",DD81&lt;&gt;""),TRUE))</formula>
    </cfRule>
    <cfRule type="expression" dxfId="1055" priority="2258">
      <formula>IF(DD81&gt;=DE81,IF(DD81="",FALSE,TRUE))</formula>
    </cfRule>
  </conditionalFormatting>
  <conditionalFormatting sqref="DB81">
    <cfRule type="expression" dxfId="1054" priority="2259">
      <formula>OR(IF(DB81&lt;DC81,TRUE),IF(AND(DC81="",DB81&lt;&gt;""),TRUE))</formula>
    </cfRule>
    <cfRule type="expression" dxfId="1053" priority="2260">
      <formula>IF(DB81&gt;=DC81,IF(DB81="",FALSE,TRUE))</formula>
    </cfRule>
  </conditionalFormatting>
  <conditionalFormatting sqref="DD82">
    <cfRule type="expression" dxfId="1052" priority="2253">
      <formula>OR(IF(DD82&lt;DE82,TRUE),IF(AND(DE82="",DD82&lt;&gt;""),TRUE))</formula>
    </cfRule>
    <cfRule type="expression" dxfId="1051" priority="2254">
      <formula>IF(DD82&gt;=DE82,IF(DD82="",FALSE,TRUE))</formula>
    </cfRule>
  </conditionalFormatting>
  <conditionalFormatting sqref="DB82">
    <cfRule type="expression" dxfId="1050" priority="2255">
      <formula>OR(IF(DB82&lt;DC82,TRUE),IF(AND(DC82="",DB82&lt;&gt;""),TRUE))</formula>
    </cfRule>
    <cfRule type="expression" dxfId="1049" priority="2256">
      <formula>IF(DB82&gt;=DC82,IF(DB82="",FALSE,TRUE))</formula>
    </cfRule>
  </conditionalFormatting>
  <conditionalFormatting sqref="DD83">
    <cfRule type="expression" dxfId="1048" priority="2249">
      <formula>OR(IF(DD83&lt;DE83,TRUE),IF(AND(DE83="",DD83&lt;&gt;""),TRUE))</formula>
    </cfRule>
    <cfRule type="expression" dxfId="1047" priority="2250">
      <formula>IF(DD83&gt;=DE83,IF(DD83="",FALSE,TRUE))</formula>
    </cfRule>
  </conditionalFormatting>
  <conditionalFormatting sqref="DB83">
    <cfRule type="expression" dxfId="1046" priority="2251">
      <formula>OR(IF(DB83&lt;DC83,TRUE),IF(AND(DC83="",DB83&lt;&gt;""),TRUE))</formula>
    </cfRule>
    <cfRule type="expression" dxfId="1045" priority="2252">
      <formula>IF(DB83&gt;=DC83,IF(DB83="",FALSE,TRUE))</formula>
    </cfRule>
  </conditionalFormatting>
  <conditionalFormatting sqref="DD84">
    <cfRule type="expression" dxfId="1044" priority="2245">
      <formula>OR(IF(DD84&lt;DE84,TRUE),IF(AND(DE84="",DD84&lt;&gt;""),TRUE))</formula>
    </cfRule>
    <cfRule type="expression" dxfId="1043" priority="2246">
      <formula>IF(DD84&gt;=DE84,IF(DD84="",FALSE,TRUE))</formula>
    </cfRule>
  </conditionalFormatting>
  <conditionalFormatting sqref="DB84">
    <cfRule type="expression" dxfId="1042" priority="2247">
      <formula>OR(IF(DB84&lt;DC84,TRUE),IF(AND(DC84="",DB84&lt;&gt;""),TRUE))</formula>
    </cfRule>
    <cfRule type="expression" dxfId="1041" priority="2248">
      <formula>IF(DB84&gt;=DC84,IF(DB84="",FALSE,TRUE))</formula>
    </cfRule>
  </conditionalFormatting>
  <conditionalFormatting sqref="DD85">
    <cfRule type="expression" dxfId="1040" priority="2241">
      <formula>OR(IF(DD85&lt;DE85,TRUE),IF(AND(DE85="",DD85&lt;&gt;""),TRUE))</formula>
    </cfRule>
    <cfRule type="expression" dxfId="1039" priority="2242">
      <formula>IF(DD85&gt;=DE85,IF(DD85="",FALSE,TRUE))</formula>
    </cfRule>
  </conditionalFormatting>
  <conditionalFormatting sqref="DB85">
    <cfRule type="expression" dxfId="1038" priority="2243">
      <formula>OR(IF(DB85&lt;DC85,TRUE),IF(AND(DC85="",DB85&lt;&gt;""),TRUE))</formula>
    </cfRule>
    <cfRule type="expression" dxfId="1037" priority="2244">
      <formula>IF(DB85&gt;=DC85,IF(DB85="",FALSE,TRUE))</formula>
    </cfRule>
  </conditionalFormatting>
  <conditionalFormatting sqref="DD86">
    <cfRule type="expression" dxfId="1036" priority="2237">
      <formula>OR(IF(DD86&lt;DE86,TRUE),IF(AND(DE86="",DD86&lt;&gt;""),TRUE))</formula>
    </cfRule>
    <cfRule type="expression" dxfId="1035" priority="2238">
      <formula>IF(DD86&gt;=DE86,IF(DD86="",FALSE,TRUE))</formula>
    </cfRule>
  </conditionalFormatting>
  <conditionalFormatting sqref="DB86">
    <cfRule type="expression" dxfId="1034" priority="2239">
      <formula>OR(IF(DB86&lt;DC86,TRUE),IF(AND(DC86="",DB86&lt;&gt;""),TRUE))</formula>
    </cfRule>
    <cfRule type="expression" dxfId="1033" priority="2240">
      <formula>IF(DB86&gt;=DC86,IF(DB86="",FALSE,TRUE))</formula>
    </cfRule>
  </conditionalFormatting>
  <conditionalFormatting sqref="DD87">
    <cfRule type="expression" dxfId="1032" priority="2233">
      <formula>OR(IF(DD87&lt;DE87,TRUE),IF(AND(DE87="",DD87&lt;&gt;""),TRUE))</formula>
    </cfRule>
    <cfRule type="expression" dxfId="1031" priority="2234">
      <formula>IF(DD87&gt;=DE87,IF(DD87="",FALSE,TRUE))</formula>
    </cfRule>
  </conditionalFormatting>
  <conditionalFormatting sqref="DB87">
    <cfRule type="expression" dxfId="1030" priority="2235">
      <formula>OR(IF(DB87&lt;DC87,TRUE),IF(AND(DC87="",DB87&lt;&gt;""),TRUE))</formula>
    </cfRule>
    <cfRule type="expression" dxfId="1029" priority="2236">
      <formula>IF(DB87&gt;=DC87,IF(DB87="",FALSE,TRUE))</formula>
    </cfRule>
  </conditionalFormatting>
  <conditionalFormatting sqref="DD88">
    <cfRule type="expression" dxfId="1028" priority="2229">
      <formula>OR(IF(DD88&lt;DE88,TRUE),IF(AND(DE88="",DD88&lt;&gt;""),TRUE))</formula>
    </cfRule>
    <cfRule type="expression" dxfId="1027" priority="2230">
      <formula>IF(DD88&gt;=DE88,IF(DD88="",FALSE,TRUE))</formula>
    </cfRule>
  </conditionalFormatting>
  <conditionalFormatting sqref="DB88">
    <cfRule type="expression" dxfId="1026" priority="2231">
      <formula>OR(IF(DB88&lt;DC88,TRUE),IF(AND(DC88="",DB88&lt;&gt;""),TRUE))</formula>
    </cfRule>
    <cfRule type="expression" dxfId="1025" priority="2232">
      <formula>IF(DB88&gt;=DC88,IF(DB88="",FALSE,TRUE))</formula>
    </cfRule>
  </conditionalFormatting>
  <conditionalFormatting sqref="DD89:DD93">
    <cfRule type="expression" dxfId="1024" priority="2225">
      <formula>OR(IF(DD89&lt;DE89,TRUE),IF(AND(DE89="",DD89&lt;&gt;""),TRUE))</formula>
    </cfRule>
    <cfRule type="expression" dxfId="1023" priority="2226">
      <formula>IF(DD89&gt;=DE89,IF(DD89="",FALSE,TRUE))</formula>
    </cfRule>
  </conditionalFormatting>
  <conditionalFormatting sqref="DB89:DB93">
    <cfRule type="expression" dxfId="1022" priority="2227">
      <formula>OR(IF(DB89&lt;DC89,TRUE),IF(AND(DC89="",DB89&lt;&gt;""),TRUE))</formula>
    </cfRule>
    <cfRule type="expression" dxfId="1021" priority="2228">
      <formula>IF(DB89&gt;=DC89,IF(DB89="",FALSE,TRUE))</formula>
    </cfRule>
  </conditionalFormatting>
  <conditionalFormatting sqref="DB26">
    <cfRule type="expression" dxfId="1020" priority="2223">
      <formula>OR(IF(DB26&lt;DC26,TRUE),IF(AND(DC26="",DB26&lt;&gt;""),TRUE))</formula>
    </cfRule>
    <cfRule type="expression" dxfId="1019" priority="2224">
      <formula>IF(DB26&gt;=DC26,IF(DB26="",FALSE,TRUE))</formula>
    </cfRule>
  </conditionalFormatting>
  <conditionalFormatting sqref="DD26">
    <cfRule type="expression" dxfId="1018" priority="2221">
      <formula>OR(IF(DD26&lt;DE26,TRUE),IF(AND(DE26="",DD26&lt;&gt;""),TRUE))</formula>
    </cfRule>
    <cfRule type="expression" dxfId="1017" priority="2222">
      <formula>IF(DD26&gt;=DE26,IF(DD26="",FALSE,TRUE))</formula>
    </cfRule>
  </conditionalFormatting>
  <conditionalFormatting sqref="DB27">
    <cfRule type="expression" dxfId="1016" priority="2219">
      <formula>OR(IF(DB27&lt;DC27,TRUE),IF(AND(DC27="",DB27&lt;&gt;""),TRUE))</formula>
    </cfRule>
    <cfRule type="expression" dxfId="1015" priority="2220">
      <formula>IF(DB27&gt;=DC27,IF(DB27="",FALSE,TRUE))</formula>
    </cfRule>
  </conditionalFormatting>
  <conditionalFormatting sqref="DD27">
    <cfRule type="expression" dxfId="1014" priority="2217">
      <formula>OR(IF(DD27&lt;DE27,TRUE),IF(AND(DE27="",DD27&lt;&gt;""),TRUE))</formula>
    </cfRule>
    <cfRule type="expression" dxfId="1013" priority="2218">
      <formula>IF(DD27&gt;=DE27,IF(DD27="",FALSE,TRUE))</formula>
    </cfRule>
  </conditionalFormatting>
  <conditionalFormatting sqref="DB28">
    <cfRule type="expression" dxfId="1012" priority="2215">
      <formula>OR(IF(DB28&lt;DC28,TRUE),IF(AND(DC28="",DB28&lt;&gt;""),TRUE))</formula>
    </cfRule>
    <cfRule type="expression" dxfId="1011" priority="2216">
      <formula>IF(DB28&gt;=DC28,IF(DB28="",FALSE,TRUE))</formula>
    </cfRule>
  </conditionalFormatting>
  <conditionalFormatting sqref="DD28">
    <cfRule type="expression" dxfId="1010" priority="2213">
      <formula>OR(IF(DD28&lt;DE28,TRUE),IF(AND(DE28="",DD28&lt;&gt;""),TRUE))</formula>
    </cfRule>
    <cfRule type="expression" dxfId="1009" priority="2214">
      <formula>IF(DD28&gt;=DE28,IF(DD28="",FALSE,TRUE))</formula>
    </cfRule>
  </conditionalFormatting>
  <conditionalFormatting sqref="DB29">
    <cfRule type="expression" dxfId="1008" priority="2211">
      <formula>OR(IF(DB29&lt;DC29,TRUE),IF(AND(DC29="",DB29&lt;&gt;""),TRUE))</formula>
    </cfRule>
    <cfRule type="expression" dxfId="1007" priority="2212">
      <formula>IF(DB29&gt;=DC29,IF(DB29="",FALSE,TRUE))</formula>
    </cfRule>
  </conditionalFormatting>
  <conditionalFormatting sqref="DD29">
    <cfRule type="expression" dxfId="1006" priority="2209">
      <formula>OR(IF(DD29&lt;DE29,TRUE),IF(AND(DE29="",DD29&lt;&gt;""),TRUE))</formula>
    </cfRule>
    <cfRule type="expression" dxfId="1005" priority="2210">
      <formula>IF(DD29&gt;=DE29,IF(DD29="",FALSE,TRUE))</formula>
    </cfRule>
  </conditionalFormatting>
  <conditionalFormatting sqref="DB30:DB31">
    <cfRule type="expression" dxfId="1004" priority="2207">
      <formula>OR(IF(DB30&lt;DC30,TRUE),IF(AND(DC30="",DB30&lt;&gt;""),TRUE))</formula>
    </cfRule>
    <cfRule type="expression" dxfId="1003" priority="2208">
      <formula>IF(DB30&gt;=DC30,IF(DB30="",FALSE,TRUE))</formula>
    </cfRule>
  </conditionalFormatting>
  <conditionalFormatting sqref="DD30:DD31">
    <cfRule type="expression" dxfId="1002" priority="2205">
      <formula>OR(IF(DD30&lt;DE30,TRUE),IF(AND(DE30="",DD30&lt;&gt;""),TRUE))</formula>
    </cfRule>
    <cfRule type="expression" dxfId="1001" priority="2206">
      <formula>IF(DD30&gt;=DE30,IF(DD30="",FALSE,TRUE))</formula>
    </cfRule>
  </conditionalFormatting>
  <conditionalFormatting sqref="DB112:DB113">
    <cfRule type="expression" dxfId="1000" priority="2203">
      <formula>OR(IF(DB112&lt;DC112,TRUE),IF(AND(DC112="",DB112&lt;&gt;""),TRUE))</formula>
    </cfRule>
    <cfRule type="expression" dxfId="999" priority="2204">
      <formula>IF(DB112&gt;=DC112,IF(DB112="",FALSE,TRUE))</formula>
    </cfRule>
  </conditionalFormatting>
  <conditionalFormatting sqref="DD112:DD113">
    <cfRule type="expression" dxfId="998" priority="2201">
      <formula>OR(IF(DD112&lt;DE112,TRUE),IF(AND(DE112="",DD112&lt;&gt;""),TRUE))</formula>
    </cfRule>
    <cfRule type="expression" dxfId="997" priority="2202">
      <formula>IF(DD112&gt;=DE112,IF(DD112="",FALSE,TRUE))</formula>
    </cfRule>
  </conditionalFormatting>
  <conditionalFormatting sqref="DD110">
    <cfRule type="expression" dxfId="996" priority="2197">
      <formula>OR(IF(DD110&lt;DE110,TRUE),IF(AND(DE110="",DD110&lt;&gt;""),TRUE))</formula>
    </cfRule>
    <cfRule type="expression" dxfId="995" priority="2198">
      <formula>IF(DD110&gt;=DE110,IF(DD110="",FALSE,TRUE))</formula>
    </cfRule>
  </conditionalFormatting>
  <conditionalFormatting sqref="DB110">
    <cfRule type="expression" dxfId="994" priority="2199">
      <formula>OR(IF(DB110&lt;DC110,TRUE),IF(AND(DC110="",DB110&lt;&gt;""),TRUE))</formula>
    </cfRule>
    <cfRule type="expression" dxfId="993" priority="2200">
      <formula>IF(DB110&gt;=DC110,IF(DB110="",FALSE,TRUE))</formula>
    </cfRule>
  </conditionalFormatting>
  <conditionalFormatting sqref="DK114:DK122 DI114:DI122">
    <cfRule type="expression" dxfId="992" priority="2195">
      <formula>OR(IF(DI114&lt;DJ114,TRUE),IF(AND(DJ114="",DI114&lt;&gt;""),TRUE))</formula>
    </cfRule>
    <cfRule type="expression" dxfId="991" priority="2196">
      <formula>IF(DI114&gt;=DJ114,IF(DI114="",FALSE,TRUE))</formula>
    </cfRule>
  </conditionalFormatting>
  <conditionalFormatting sqref="DI20:DI24 DK20:DK24 DI5:DI17">
    <cfRule type="expression" dxfId="990" priority="2193">
      <formula>OR(IF(DI5&lt;DJ5,TRUE),IF(AND(DJ5="",DI5&lt;&gt;""),TRUE))</formula>
    </cfRule>
    <cfRule type="expression" dxfId="989" priority="2194">
      <formula>IF(DI5&gt;=DJ5,IF(DI5="",FALSE,TRUE))</formula>
    </cfRule>
  </conditionalFormatting>
  <conditionalFormatting sqref="DK5:DK17">
    <cfRule type="expression" dxfId="988" priority="2191">
      <formula>OR(IF(DK5&lt;DL5,TRUE),IF(AND(DL5="",DK5&lt;&gt;""),TRUE))</formula>
    </cfRule>
    <cfRule type="expression" dxfId="987" priority="2192">
      <formula>IF(DK5&gt;=DL5,IF(DK5="",FALSE,TRUE))</formula>
    </cfRule>
  </conditionalFormatting>
  <conditionalFormatting sqref="DI34:DI35">
    <cfRule type="expression" dxfId="986" priority="2189">
      <formula>OR(IF(DI34&lt;DJ34,TRUE),IF(AND(DJ34="",DI34&lt;&gt;""),TRUE))</formula>
    </cfRule>
    <cfRule type="expression" dxfId="985" priority="2190">
      <formula>IF(DI34&gt;=DJ34,IF(DI34="",FALSE,TRUE))</formula>
    </cfRule>
  </conditionalFormatting>
  <conditionalFormatting sqref="DK36:DK45">
    <cfRule type="expression" dxfId="984" priority="2179">
      <formula>OR(IF(DK36&lt;DL36,TRUE),IF(AND(DL36="",DK36&lt;&gt;""),TRUE))</formula>
    </cfRule>
    <cfRule type="expression" dxfId="983" priority="2180">
      <formula>IF(DK36&gt;=DL36,IF(DK36="",FALSE,TRUE))</formula>
    </cfRule>
  </conditionalFormatting>
  <conditionalFormatting sqref="DK34:DK35">
    <cfRule type="expression" dxfId="982" priority="2187">
      <formula>OR(IF(DK34&lt;DL34,TRUE),IF(AND(DL34="",DK34&lt;&gt;""),TRUE))</formula>
    </cfRule>
    <cfRule type="expression" dxfId="981" priority="2188">
      <formula>IF(DK34&gt;=DL34,IF(DK34="",FALSE,TRUE))</formula>
    </cfRule>
  </conditionalFormatting>
  <conditionalFormatting sqref="DI25">
    <cfRule type="expression" dxfId="980" priority="2185">
      <formula>OR(IF(DI25&lt;DJ25,TRUE),IF(AND(DJ25="",DI25&lt;&gt;""),TRUE))</formula>
    </cfRule>
    <cfRule type="expression" dxfId="979" priority="2186">
      <formula>IF(DI25&gt;=DJ25,IF(DI25="",FALSE,TRUE))</formula>
    </cfRule>
  </conditionalFormatting>
  <conditionalFormatting sqref="DK25">
    <cfRule type="expression" dxfId="978" priority="2183">
      <formula>OR(IF(DK25&lt;DL25,TRUE),IF(AND(DL25="",DK25&lt;&gt;""),TRUE))</formula>
    </cfRule>
    <cfRule type="expression" dxfId="977" priority="2184">
      <formula>IF(DK25&gt;=DL25,IF(DK25="",FALSE,TRUE))</formula>
    </cfRule>
  </conditionalFormatting>
  <conditionalFormatting sqref="DI36:DI45">
    <cfRule type="expression" dxfId="976" priority="2181">
      <formula>OR(IF(DI36&lt;DJ36,TRUE),IF(AND(DJ36="",DI36&lt;&gt;""),TRUE))</formula>
    </cfRule>
    <cfRule type="expression" dxfId="975" priority="2182">
      <formula>IF(DI36&gt;=DJ36,IF(DI36="",FALSE,TRUE))</formula>
    </cfRule>
  </conditionalFormatting>
  <conditionalFormatting sqref="DI49:DI50">
    <cfRule type="expression" dxfId="974" priority="2177">
      <formula>OR(IF(DI49&lt;DJ49,TRUE),IF(AND(DJ49="",DI49&lt;&gt;""),TRUE))</formula>
    </cfRule>
    <cfRule type="expression" dxfId="973" priority="2178">
      <formula>IF(DI49&gt;=DJ49,IF(DI49="",FALSE,TRUE))</formula>
    </cfRule>
  </conditionalFormatting>
  <conditionalFormatting sqref="DK51:DK60">
    <cfRule type="expression" dxfId="972" priority="2171">
      <formula>OR(IF(DK51&lt;DL51,TRUE),IF(AND(DL51="",DK51&lt;&gt;""),TRUE))</formula>
    </cfRule>
    <cfRule type="expression" dxfId="971" priority="2172">
      <formula>IF(DK51&gt;=DL51,IF(DK51="",FALSE,TRUE))</formula>
    </cfRule>
  </conditionalFormatting>
  <conditionalFormatting sqref="DK49:DK50">
    <cfRule type="expression" dxfId="970" priority="2175">
      <formula>OR(IF(DK49&lt;DL49,TRUE),IF(AND(DL49="",DK49&lt;&gt;""),TRUE))</formula>
    </cfRule>
    <cfRule type="expression" dxfId="969" priority="2176">
      <formula>IF(DK49&gt;=DL49,IF(DK49="",FALSE,TRUE))</formula>
    </cfRule>
  </conditionalFormatting>
  <conditionalFormatting sqref="DI51:DI60">
    <cfRule type="expression" dxfId="968" priority="2173">
      <formula>OR(IF(DI51&lt;DJ51,TRUE),IF(AND(DJ51="",DI51&lt;&gt;""),TRUE))</formula>
    </cfRule>
    <cfRule type="expression" dxfId="967" priority="2174">
      <formula>IF(DI51&gt;=DJ51,IF(DI51="",FALSE,TRUE))</formula>
    </cfRule>
  </conditionalFormatting>
  <conditionalFormatting sqref="DI65:DI66">
    <cfRule type="expression" dxfId="966" priority="2169">
      <formula>OR(IF(DI65&lt;DJ65,TRUE),IF(AND(DJ65="",DI65&lt;&gt;""),TRUE))</formula>
    </cfRule>
    <cfRule type="expression" dxfId="965" priority="2170">
      <formula>IF(DI65&gt;=DJ65,IF(DI65="",FALSE,TRUE))</formula>
    </cfRule>
  </conditionalFormatting>
  <conditionalFormatting sqref="DK67:DK76">
    <cfRule type="expression" dxfId="964" priority="2163">
      <formula>OR(IF(DK67&lt;DL67,TRUE),IF(AND(DL67="",DK67&lt;&gt;""),TRUE))</formula>
    </cfRule>
    <cfRule type="expression" dxfId="963" priority="2164">
      <formula>IF(DK67&gt;=DL67,IF(DK67="",FALSE,TRUE))</formula>
    </cfRule>
  </conditionalFormatting>
  <conditionalFormatting sqref="DK65:DK66">
    <cfRule type="expression" dxfId="962" priority="2167">
      <formula>OR(IF(DK65&lt;DL65,TRUE),IF(AND(DL65="",DK65&lt;&gt;""),TRUE))</formula>
    </cfRule>
    <cfRule type="expression" dxfId="961" priority="2168">
      <formula>IF(DK65&gt;=DL65,IF(DK65="",FALSE,TRUE))</formula>
    </cfRule>
  </conditionalFormatting>
  <conditionalFormatting sqref="DI67:DI76">
    <cfRule type="expression" dxfId="960" priority="2165">
      <formula>OR(IF(DI67&lt;DJ67,TRUE),IF(AND(DJ67="",DI67&lt;&gt;""),TRUE))</formula>
    </cfRule>
    <cfRule type="expression" dxfId="959" priority="2166">
      <formula>IF(DI67&gt;=DJ67,IF(DI67="",FALSE,TRUE))</formula>
    </cfRule>
  </conditionalFormatting>
  <conditionalFormatting sqref="DI95:DI96">
    <cfRule type="expression" dxfId="958" priority="2161">
      <formula>OR(IF(DI95&lt;DJ95,TRUE),IF(AND(DJ95="",DI95&lt;&gt;""),TRUE))</formula>
    </cfRule>
    <cfRule type="expression" dxfId="957" priority="2162">
      <formula>IF(DI95&gt;=DJ95,IF(DI95="",FALSE,TRUE))</formula>
    </cfRule>
  </conditionalFormatting>
  <conditionalFormatting sqref="DK97:DK106">
    <cfRule type="expression" dxfId="956" priority="2155">
      <formula>OR(IF(DK97&lt;DL97,TRUE),IF(AND(DL97="",DK97&lt;&gt;""),TRUE))</formula>
    </cfRule>
    <cfRule type="expression" dxfId="955" priority="2156">
      <formula>IF(DK97&gt;=DL97,IF(DK97="",FALSE,TRUE))</formula>
    </cfRule>
  </conditionalFormatting>
  <conditionalFormatting sqref="DK95:DK96">
    <cfRule type="expression" dxfId="954" priority="2159">
      <formula>OR(IF(DK95&lt;DL95,TRUE),IF(AND(DL95="",DK95&lt;&gt;""),TRUE))</formula>
    </cfRule>
    <cfRule type="expression" dxfId="953" priority="2160">
      <formula>IF(DK95&gt;=DL95,IF(DK95="",FALSE,TRUE))</formula>
    </cfRule>
  </conditionalFormatting>
  <conditionalFormatting sqref="DI97:DI106">
    <cfRule type="expression" dxfId="952" priority="2157">
      <formula>OR(IF(DI97&lt;DJ97,TRUE),IF(AND(DJ97="",DI97&lt;&gt;""),TRUE))</formula>
    </cfRule>
    <cfRule type="expression" dxfId="951" priority="2158">
      <formula>IF(DI97&gt;=DJ97,IF(DI97="",FALSE,TRUE))</formula>
    </cfRule>
  </conditionalFormatting>
  <conditionalFormatting sqref="DK77">
    <cfRule type="expression" dxfId="950" priority="2151">
      <formula>OR(IF(DK77&lt;DL77,TRUE),IF(AND(DL77="",DK77&lt;&gt;""),TRUE))</formula>
    </cfRule>
    <cfRule type="expression" dxfId="949" priority="2152">
      <formula>IF(DK77&gt;=DL77,IF(DK77="",FALSE,TRUE))</formula>
    </cfRule>
  </conditionalFormatting>
  <conditionalFormatting sqref="DI77">
    <cfRule type="expression" dxfId="948" priority="2153">
      <formula>OR(IF(DI77&lt;DJ77,TRUE),IF(AND(DJ77="",DI77&lt;&gt;""),TRUE))</formula>
    </cfRule>
    <cfRule type="expression" dxfId="947" priority="2154">
      <formula>IF(DI77&gt;=DJ77,IF(DI77="",FALSE,TRUE))</formula>
    </cfRule>
  </conditionalFormatting>
  <conditionalFormatting sqref="DK78">
    <cfRule type="expression" dxfId="946" priority="2147">
      <formula>OR(IF(DK78&lt;DL78,TRUE),IF(AND(DL78="",DK78&lt;&gt;""),TRUE))</formula>
    </cfRule>
    <cfRule type="expression" dxfId="945" priority="2148">
      <formula>IF(DK78&gt;=DL78,IF(DK78="",FALSE,TRUE))</formula>
    </cfRule>
  </conditionalFormatting>
  <conditionalFormatting sqref="DI78">
    <cfRule type="expression" dxfId="944" priority="2149">
      <formula>OR(IF(DI78&lt;DJ78,TRUE),IF(AND(DJ78="",DI78&lt;&gt;""),TRUE))</formula>
    </cfRule>
    <cfRule type="expression" dxfId="943" priority="2150">
      <formula>IF(DI78&gt;=DJ78,IF(DI78="",FALSE,TRUE))</formula>
    </cfRule>
  </conditionalFormatting>
  <conditionalFormatting sqref="DK79">
    <cfRule type="expression" dxfId="942" priority="2143">
      <formula>OR(IF(DK79&lt;DL79,TRUE),IF(AND(DL79="",DK79&lt;&gt;""),TRUE))</formula>
    </cfRule>
    <cfRule type="expression" dxfId="941" priority="2144">
      <formula>IF(DK79&gt;=DL79,IF(DK79="",FALSE,TRUE))</formula>
    </cfRule>
  </conditionalFormatting>
  <conditionalFormatting sqref="DI79">
    <cfRule type="expression" dxfId="940" priority="2145">
      <formula>OR(IF(DI79&lt;DJ79,TRUE),IF(AND(DJ79="",DI79&lt;&gt;""),TRUE))</formula>
    </cfRule>
    <cfRule type="expression" dxfId="939" priority="2146">
      <formula>IF(DI79&gt;=DJ79,IF(DI79="",FALSE,TRUE))</formula>
    </cfRule>
  </conditionalFormatting>
  <conditionalFormatting sqref="DK80">
    <cfRule type="expression" dxfId="938" priority="2139">
      <formula>OR(IF(DK80&lt;DL80,TRUE),IF(AND(DL80="",DK80&lt;&gt;""),TRUE))</formula>
    </cfRule>
    <cfRule type="expression" dxfId="937" priority="2140">
      <formula>IF(DK80&gt;=DL80,IF(DK80="",FALSE,TRUE))</formula>
    </cfRule>
  </conditionalFormatting>
  <conditionalFormatting sqref="DI80">
    <cfRule type="expression" dxfId="936" priority="2141">
      <formula>OR(IF(DI80&lt;DJ80,TRUE),IF(AND(DJ80="",DI80&lt;&gt;""),TRUE))</formula>
    </cfRule>
    <cfRule type="expression" dxfId="935" priority="2142">
      <formula>IF(DI80&gt;=DJ80,IF(DI80="",FALSE,TRUE))</formula>
    </cfRule>
  </conditionalFormatting>
  <conditionalFormatting sqref="DK81">
    <cfRule type="expression" dxfId="934" priority="2135">
      <formula>OR(IF(DK81&lt;DL81,TRUE),IF(AND(DL81="",DK81&lt;&gt;""),TRUE))</formula>
    </cfRule>
    <cfRule type="expression" dxfId="933" priority="2136">
      <formula>IF(DK81&gt;=DL81,IF(DK81="",FALSE,TRUE))</formula>
    </cfRule>
  </conditionalFormatting>
  <conditionalFormatting sqref="DI81">
    <cfRule type="expression" dxfId="932" priority="2137">
      <formula>OR(IF(DI81&lt;DJ81,TRUE),IF(AND(DJ81="",DI81&lt;&gt;""),TRUE))</formula>
    </cfRule>
    <cfRule type="expression" dxfId="931" priority="2138">
      <formula>IF(DI81&gt;=DJ81,IF(DI81="",FALSE,TRUE))</formula>
    </cfRule>
  </conditionalFormatting>
  <conditionalFormatting sqref="DK82">
    <cfRule type="expression" dxfId="930" priority="2131">
      <formula>OR(IF(DK82&lt;DL82,TRUE),IF(AND(DL82="",DK82&lt;&gt;""),TRUE))</formula>
    </cfRule>
    <cfRule type="expression" dxfId="929" priority="2132">
      <formula>IF(DK82&gt;=DL82,IF(DK82="",FALSE,TRUE))</formula>
    </cfRule>
  </conditionalFormatting>
  <conditionalFormatting sqref="DI82">
    <cfRule type="expression" dxfId="928" priority="2133">
      <formula>OR(IF(DI82&lt;DJ82,TRUE),IF(AND(DJ82="",DI82&lt;&gt;""),TRUE))</formula>
    </cfRule>
    <cfRule type="expression" dxfId="927" priority="2134">
      <formula>IF(DI82&gt;=DJ82,IF(DI82="",FALSE,TRUE))</formula>
    </cfRule>
  </conditionalFormatting>
  <conditionalFormatting sqref="DK83">
    <cfRule type="expression" dxfId="926" priority="2127">
      <formula>OR(IF(DK83&lt;DL83,TRUE),IF(AND(DL83="",DK83&lt;&gt;""),TRUE))</formula>
    </cfRule>
    <cfRule type="expression" dxfId="925" priority="2128">
      <formula>IF(DK83&gt;=DL83,IF(DK83="",FALSE,TRUE))</formula>
    </cfRule>
  </conditionalFormatting>
  <conditionalFormatting sqref="DI83">
    <cfRule type="expression" dxfId="924" priority="2129">
      <formula>OR(IF(DI83&lt;DJ83,TRUE),IF(AND(DJ83="",DI83&lt;&gt;""),TRUE))</formula>
    </cfRule>
    <cfRule type="expression" dxfId="923" priority="2130">
      <formula>IF(DI83&gt;=DJ83,IF(DI83="",FALSE,TRUE))</formula>
    </cfRule>
  </conditionalFormatting>
  <conditionalFormatting sqref="DK84">
    <cfRule type="expression" dxfId="922" priority="2123">
      <formula>OR(IF(DK84&lt;DL84,TRUE),IF(AND(DL84="",DK84&lt;&gt;""),TRUE))</formula>
    </cfRule>
    <cfRule type="expression" dxfId="921" priority="2124">
      <formula>IF(DK84&gt;=DL84,IF(DK84="",FALSE,TRUE))</formula>
    </cfRule>
  </conditionalFormatting>
  <conditionalFormatting sqref="DI84">
    <cfRule type="expression" dxfId="920" priority="2125">
      <formula>OR(IF(DI84&lt;DJ84,TRUE),IF(AND(DJ84="",DI84&lt;&gt;""),TRUE))</formula>
    </cfRule>
    <cfRule type="expression" dxfId="919" priority="2126">
      <formula>IF(DI84&gt;=DJ84,IF(DI84="",FALSE,TRUE))</formula>
    </cfRule>
  </conditionalFormatting>
  <conditionalFormatting sqref="DK85">
    <cfRule type="expression" dxfId="918" priority="2119">
      <formula>OR(IF(DK85&lt;DL85,TRUE),IF(AND(DL85="",DK85&lt;&gt;""),TRUE))</formula>
    </cfRule>
    <cfRule type="expression" dxfId="917" priority="2120">
      <formula>IF(DK85&gt;=DL85,IF(DK85="",FALSE,TRUE))</formula>
    </cfRule>
  </conditionalFormatting>
  <conditionalFormatting sqref="DI85">
    <cfRule type="expression" dxfId="916" priority="2121">
      <formula>OR(IF(DI85&lt;DJ85,TRUE),IF(AND(DJ85="",DI85&lt;&gt;""),TRUE))</formula>
    </cfRule>
    <cfRule type="expression" dxfId="915" priority="2122">
      <formula>IF(DI85&gt;=DJ85,IF(DI85="",FALSE,TRUE))</formula>
    </cfRule>
  </conditionalFormatting>
  <conditionalFormatting sqref="DK86">
    <cfRule type="expression" dxfId="914" priority="2115">
      <formula>OR(IF(DK86&lt;DL86,TRUE),IF(AND(DL86="",DK86&lt;&gt;""),TRUE))</formula>
    </cfRule>
    <cfRule type="expression" dxfId="913" priority="2116">
      <formula>IF(DK86&gt;=DL86,IF(DK86="",FALSE,TRUE))</formula>
    </cfRule>
  </conditionalFormatting>
  <conditionalFormatting sqref="DI86">
    <cfRule type="expression" dxfId="912" priority="2117">
      <formula>OR(IF(DI86&lt;DJ86,TRUE),IF(AND(DJ86="",DI86&lt;&gt;""),TRUE))</formula>
    </cfRule>
    <cfRule type="expression" dxfId="911" priority="2118">
      <formula>IF(DI86&gt;=DJ86,IF(DI86="",FALSE,TRUE))</formula>
    </cfRule>
  </conditionalFormatting>
  <conditionalFormatting sqref="DK87">
    <cfRule type="expression" dxfId="910" priority="2111">
      <formula>OR(IF(DK87&lt;DL87,TRUE),IF(AND(DL87="",DK87&lt;&gt;""),TRUE))</formula>
    </cfRule>
    <cfRule type="expression" dxfId="909" priority="2112">
      <formula>IF(DK87&gt;=DL87,IF(DK87="",FALSE,TRUE))</formula>
    </cfRule>
  </conditionalFormatting>
  <conditionalFormatting sqref="DI87">
    <cfRule type="expression" dxfId="908" priority="2113">
      <formula>OR(IF(DI87&lt;DJ87,TRUE),IF(AND(DJ87="",DI87&lt;&gt;""),TRUE))</formula>
    </cfRule>
    <cfRule type="expression" dxfId="907" priority="2114">
      <formula>IF(DI87&gt;=DJ87,IF(DI87="",FALSE,TRUE))</formula>
    </cfRule>
  </conditionalFormatting>
  <conditionalFormatting sqref="DK88">
    <cfRule type="expression" dxfId="906" priority="2107">
      <formula>OR(IF(DK88&lt;DL88,TRUE),IF(AND(DL88="",DK88&lt;&gt;""),TRUE))</formula>
    </cfRule>
    <cfRule type="expression" dxfId="905" priority="2108">
      <formula>IF(DK88&gt;=DL88,IF(DK88="",FALSE,TRUE))</formula>
    </cfRule>
  </conditionalFormatting>
  <conditionalFormatting sqref="DI88">
    <cfRule type="expression" dxfId="904" priority="2109">
      <formula>OR(IF(DI88&lt;DJ88,TRUE),IF(AND(DJ88="",DI88&lt;&gt;""),TRUE))</formula>
    </cfRule>
    <cfRule type="expression" dxfId="903" priority="2110">
      <formula>IF(DI88&gt;=DJ88,IF(DI88="",FALSE,TRUE))</formula>
    </cfRule>
  </conditionalFormatting>
  <conditionalFormatting sqref="DK89:DK93">
    <cfRule type="expression" dxfId="902" priority="2103">
      <formula>OR(IF(DK89&lt;DL89,TRUE),IF(AND(DL89="",DK89&lt;&gt;""),TRUE))</formula>
    </cfRule>
    <cfRule type="expression" dxfId="901" priority="2104">
      <formula>IF(DK89&gt;=DL89,IF(DK89="",FALSE,TRUE))</formula>
    </cfRule>
  </conditionalFormatting>
  <conditionalFormatting sqref="DI89:DI93">
    <cfRule type="expression" dxfId="900" priority="2105">
      <formula>OR(IF(DI89&lt;DJ89,TRUE),IF(AND(DJ89="",DI89&lt;&gt;""),TRUE))</formula>
    </cfRule>
    <cfRule type="expression" dxfId="899" priority="2106">
      <formula>IF(DI89&gt;=DJ89,IF(DI89="",FALSE,TRUE))</formula>
    </cfRule>
  </conditionalFormatting>
  <conditionalFormatting sqref="DI26">
    <cfRule type="expression" dxfId="898" priority="2101">
      <formula>OR(IF(DI26&lt;DJ26,TRUE),IF(AND(DJ26="",DI26&lt;&gt;""),TRUE))</formula>
    </cfRule>
    <cfRule type="expression" dxfId="897" priority="2102">
      <formula>IF(DI26&gt;=DJ26,IF(DI26="",FALSE,TRUE))</formula>
    </cfRule>
  </conditionalFormatting>
  <conditionalFormatting sqref="DK26">
    <cfRule type="expression" dxfId="896" priority="2099">
      <formula>OR(IF(DK26&lt;DL26,TRUE),IF(AND(DL26="",DK26&lt;&gt;""),TRUE))</formula>
    </cfRule>
    <cfRule type="expression" dxfId="895" priority="2100">
      <formula>IF(DK26&gt;=DL26,IF(DK26="",FALSE,TRUE))</formula>
    </cfRule>
  </conditionalFormatting>
  <conditionalFormatting sqref="DI27">
    <cfRule type="expression" dxfId="894" priority="2097">
      <formula>OR(IF(DI27&lt;DJ27,TRUE),IF(AND(DJ27="",DI27&lt;&gt;""),TRUE))</formula>
    </cfRule>
    <cfRule type="expression" dxfId="893" priority="2098">
      <formula>IF(DI27&gt;=DJ27,IF(DI27="",FALSE,TRUE))</formula>
    </cfRule>
  </conditionalFormatting>
  <conditionalFormatting sqref="DK27">
    <cfRule type="expression" dxfId="892" priority="2095">
      <formula>OR(IF(DK27&lt;DL27,TRUE),IF(AND(DL27="",DK27&lt;&gt;""),TRUE))</formula>
    </cfRule>
    <cfRule type="expression" dxfId="891" priority="2096">
      <formula>IF(DK27&gt;=DL27,IF(DK27="",FALSE,TRUE))</formula>
    </cfRule>
  </conditionalFormatting>
  <conditionalFormatting sqref="DI28">
    <cfRule type="expression" dxfId="890" priority="2093">
      <formula>OR(IF(DI28&lt;DJ28,TRUE),IF(AND(DJ28="",DI28&lt;&gt;""),TRUE))</formula>
    </cfRule>
    <cfRule type="expression" dxfId="889" priority="2094">
      <formula>IF(DI28&gt;=DJ28,IF(DI28="",FALSE,TRUE))</formula>
    </cfRule>
  </conditionalFormatting>
  <conditionalFormatting sqref="DK28">
    <cfRule type="expression" dxfId="888" priority="2091">
      <formula>OR(IF(DK28&lt;DL28,TRUE),IF(AND(DL28="",DK28&lt;&gt;""),TRUE))</formula>
    </cfRule>
    <cfRule type="expression" dxfId="887" priority="2092">
      <formula>IF(DK28&gt;=DL28,IF(DK28="",FALSE,TRUE))</formula>
    </cfRule>
  </conditionalFormatting>
  <conditionalFormatting sqref="DI29">
    <cfRule type="expression" dxfId="886" priority="2089">
      <formula>OR(IF(DI29&lt;DJ29,TRUE),IF(AND(DJ29="",DI29&lt;&gt;""),TRUE))</formula>
    </cfRule>
    <cfRule type="expression" dxfId="885" priority="2090">
      <formula>IF(DI29&gt;=DJ29,IF(DI29="",FALSE,TRUE))</formula>
    </cfRule>
  </conditionalFormatting>
  <conditionalFormatting sqref="DK29">
    <cfRule type="expression" dxfId="884" priority="2087">
      <formula>OR(IF(DK29&lt;DL29,TRUE),IF(AND(DL29="",DK29&lt;&gt;""),TRUE))</formula>
    </cfRule>
    <cfRule type="expression" dxfId="883" priority="2088">
      <formula>IF(DK29&gt;=DL29,IF(DK29="",FALSE,TRUE))</formula>
    </cfRule>
  </conditionalFormatting>
  <conditionalFormatting sqref="DI30:DI31">
    <cfRule type="expression" dxfId="882" priority="2085">
      <formula>OR(IF(DI30&lt;DJ30,TRUE),IF(AND(DJ30="",DI30&lt;&gt;""),TRUE))</formula>
    </cfRule>
    <cfRule type="expression" dxfId="881" priority="2086">
      <formula>IF(DI30&gt;=DJ30,IF(DI30="",FALSE,TRUE))</formula>
    </cfRule>
  </conditionalFormatting>
  <conditionalFormatting sqref="DK30:DK31">
    <cfRule type="expression" dxfId="880" priority="2083">
      <formula>OR(IF(DK30&lt;DL30,TRUE),IF(AND(DL30="",DK30&lt;&gt;""),TRUE))</formula>
    </cfRule>
    <cfRule type="expression" dxfId="879" priority="2084">
      <formula>IF(DK30&gt;=DL30,IF(DK30="",FALSE,TRUE))</formula>
    </cfRule>
  </conditionalFormatting>
  <conditionalFormatting sqref="DI112:DI113">
    <cfRule type="expression" dxfId="878" priority="2081">
      <formula>OR(IF(DI112&lt;DJ112,TRUE),IF(AND(DJ112="",DI112&lt;&gt;""),TRUE))</formula>
    </cfRule>
    <cfRule type="expression" dxfId="877" priority="2082">
      <formula>IF(DI112&gt;=DJ112,IF(DI112="",FALSE,TRUE))</formula>
    </cfRule>
  </conditionalFormatting>
  <conditionalFormatting sqref="DK112:DK113">
    <cfRule type="expression" dxfId="876" priority="2079">
      <formula>OR(IF(DK112&lt;DL112,TRUE),IF(AND(DL112="",DK112&lt;&gt;""),TRUE))</formula>
    </cfRule>
    <cfRule type="expression" dxfId="875" priority="2080">
      <formula>IF(DK112&gt;=DL112,IF(DK112="",FALSE,TRUE))</formula>
    </cfRule>
  </conditionalFormatting>
  <conditionalFormatting sqref="DK110">
    <cfRule type="expression" dxfId="874" priority="2075">
      <formula>OR(IF(DK110&lt;DL110,TRUE),IF(AND(DL110="",DK110&lt;&gt;""),TRUE))</formula>
    </cfRule>
    <cfRule type="expression" dxfId="873" priority="2076">
      <formula>IF(DK110&gt;=DL110,IF(DK110="",FALSE,TRUE))</formula>
    </cfRule>
  </conditionalFormatting>
  <conditionalFormatting sqref="DI110">
    <cfRule type="expression" dxfId="872" priority="2077">
      <formula>OR(IF(DI110&lt;DJ110,TRUE),IF(AND(DJ110="",DI110&lt;&gt;""),TRUE))</formula>
    </cfRule>
    <cfRule type="expression" dxfId="871" priority="2078">
      <formula>IF(DI110&gt;=DJ110,IF(DI110="",FALSE,TRUE))</formula>
    </cfRule>
  </conditionalFormatting>
  <conditionalFormatting sqref="DR114:DR122 DP114:DP122">
    <cfRule type="expression" dxfId="870" priority="2073">
      <formula>OR(IF(DP114&lt;DQ114,TRUE),IF(AND(DQ114="",DP114&lt;&gt;""),TRUE))</formula>
    </cfRule>
    <cfRule type="expression" dxfId="869" priority="2074">
      <formula>IF(DP114&gt;=DQ114,IF(DP114="",FALSE,TRUE))</formula>
    </cfRule>
  </conditionalFormatting>
  <conditionalFormatting sqref="DP20:DP24 DR20:DR24 DP5:DP17">
    <cfRule type="expression" dxfId="868" priority="2071">
      <formula>OR(IF(DP5&lt;DQ5,TRUE),IF(AND(DQ5="",DP5&lt;&gt;""),TRUE))</formula>
    </cfRule>
    <cfRule type="expression" dxfId="867" priority="2072">
      <formula>IF(DP5&gt;=DQ5,IF(DP5="",FALSE,TRUE))</formula>
    </cfRule>
  </conditionalFormatting>
  <conditionalFormatting sqref="DR5:DR17">
    <cfRule type="expression" dxfId="866" priority="2069">
      <formula>OR(IF(DR5&lt;DS5,TRUE),IF(AND(DS5="",DR5&lt;&gt;""),TRUE))</formula>
    </cfRule>
    <cfRule type="expression" dxfId="865" priority="2070">
      <formula>IF(DR5&gt;=DS5,IF(DR5="",FALSE,TRUE))</formula>
    </cfRule>
  </conditionalFormatting>
  <conditionalFormatting sqref="DP34:DP35">
    <cfRule type="expression" dxfId="864" priority="2067">
      <formula>OR(IF(DP34&lt;DQ34,TRUE),IF(AND(DQ34="",DP34&lt;&gt;""),TRUE))</formula>
    </cfRule>
    <cfRule type="expression" dxfId="863" priority="2068">
      <formula>IF(DP34&gt;=DQ34,IF(DP34="",FALSE,TRUE))</formula>
    </cfRule>
  </conditionalFormatting>
  <conditionalFormatting sqref="DR36:DR45">
    <cfRule type="expression" dxfId="862" priority="2057">
      <formula>OR(IF(DR36&lt;DS36,TRUE),IF(AND(DS36="",DR36&lt;&gt;""),TRUE))</formula>
    </cfRule>
    <cfRule type="expression" dxfId="861" priority="2058">
      <formula>IF(DR36&gt;=DS36,IF(DR36="",FALSE,TRUE))</formula>
    </cfRule>
  </conditionalFormatting>
  <conditionalFormatting sqref="DR34:DR35">
    <cfRule type="expression" dxfId="860" priority="2065">
      <formula>OR(IF(DR34&lt;DS34,TRUE),IF(AND(DS34="",DR34&lt;&gt;""),TRUE))</formula>
    </cfRule>
    <cfRule type="expression" dxfId="859" priority="2066">
      <formula>IF(DR34&gt;=DS34,IF(DR34="",FALSE,TRUE))</formula>
    </cfRule>
  </conditionalFormatting>
  <conditionalFormatting sqref="DP25">
    <cfRule type="expression" dxfId="858" priority="2063">
      <formula>OR(IF(DP25&lt;DQ25,TRUE),IF(AND(DQ25="",DP25&lt;&gt;""),TRUE))</formula>
    </cfRule>
    <cfRule type="expression" dxfId="857" priority="2064">
      <formula>IF(DP25&gt;=DQ25,IF(DP25="",FALSE,TRUE))</formula>
    </cfRule>
  </conditionalFormatting>
  <conditionalFormatting sqref="DR25">
    <cfRule type="expression" dxfId="856" priority="2061">
      <formula>OR(IF(DR25&lt;DS25,TRUE),IF(AND(DS25="",DR25&lt;&gt;""),TRUE))</formula>
    </cfRule>
    <cfRule type="expression" dxfId="855" priority="2062">
      <formula>IF(DR25&gt;=DS25,IF(DR25="",FALSE,TRUE))</formula>
    </cfRule>
  </conditionalFormatting>
  <conditionalFormatting sqref="DP36:DP45">
    <cfRule type="expression" dxfId="854" priority="2059">
      <formula>OR(IF(DP36&lt;DQ36,TRUE),IF(AND(DQ36="",DP36&lt;&gt;""),TRUE))</formula>
    </cfRule>
    <cfRule type="expression" dxfId="853" priority="2060">
      <formula>IF(DP36&gt;=DQ36,IF(DP36="",FALSE,TRUE))</formula>
    </cfRule>
  </conditionalFormatting>
  <conditionalFormatting sqref="DP49:DP50">
    <cfRule type="expression" dxfId="852" priority="2055">
      <formula>OR(IF(DP49&lt;DQ49,TRUE),IF(AND(DQ49="",DP49&lt;&gt;""),TRUE))</formula>
    </cfRule>
    <cfRule type="expression" dxfId="851" priority="2056">
      <formula>IF(DP49&gt;=DQ49,IF(DP49="",FALSE,TRUE))</formula>
    </cfRule>
  </conditionalFormatting>
  <conditionalFormatting sqref="DR51:DR60">
    <cfRule type="expression" dxfId="850" priority="2049">
      <formula>OR(IF(DR51&lt;DS51,TRUE),IF(AND(DS51="",DR51&lt;&gt;""),TRUE))</formula>
    </cfRule>
    <cfRule type="expression" dxfId="849" priority="2050">
      <formula>IF(DR51&gt;=DS51,IF(DR51="",FALSE,TRUE))</formula>
    </cfRule>
  </conditionalFormatting>
  <conditionalFormatting sqref="DR49:DR50">
    <cfRule type="expression" dxfId="848" priority="2053">
      <formula>OR(IF(DR49&lt;DS49,TRUE),IF(AND(DS49="",DR49&lt;&gt;""),TRUE))</formula>
    </cfRule>
    <cfRule type="expression" dxfId="847" priority="2054">
      <formula>IF(DR49&gt;=DS49,IF(DR49="",FALSE,TRUE))</formula>
    </cfRule>
  </conditionalFormatting>
  <conditionalFormatting sqref="DP51:DP60">
    <cfRule type="expression" dxfId="846" priority="2051">
      <formula>OR(IF(DP51&lt;DQ51,TRUE),IF(AND(DQ51="",DP51&lt;&gt;""),TRUE))</formula>
    </cfRule>
    <cfRule type="expression" dxfId="845" priority="2052">
      <formula>IF(DP51&gt;=DQ51,IF(DP51="",FALSE,TRUE))</formula>
    </cfRule>
  </conditionalFormatting>
  <conditionalFormatting sqref="DP65:DP66">
    <cfRule type="expression" dxfId="844" priority="2047">
      <formula>OR(IF(DP65&lt;DQ65,TRUE),IF(AND(DQ65="",DP65&lt;&gt;""),TRUE))</formula>
    </cfRule>
    <cfRule type="expression" dxfId="843" priority="2048">
      <formula>IF(DP65&gt;=DQ65,IF(DP65="",FALSE,TRUE))</formula>
    </cfRule>
  </conditionalFormatting>
  <conditionalFormatting sqref="DR67:DR76">
    <cfRule type="expression" dxfId="842" priority="2041">
      <formula>OR(IF(DR67&lt;DS67,TRUE),IF(AND(DS67="",DR67&lt;&gt;""),TRUE))</formula>
    </cfRule>
    <cfRule type="expression" dxfId="841" priority="2042">
      <formula>IF(DR67&gt;=DS67,IF(DR67="",FALSE,TRUE))</formula>
    </cfRule>
  </conditionalFormatting>
  <conditionalFormatting sqref="DR65:DR66">
    <cfRule type="expression" dxfId="840" priority="2045">
      <formula>OR(IF(DR65&lt;DS65,TRUE),IF(AND(DS65="",DR65&lt;&gt;""),TRUE))</formula>
    </cfRule>
    <cfRule type="expression" dxfId="839" priority="2046">
      <formula>IF(DR65&gt;=DS65,IF(DR65="",FALSE,TRUE))</formula>
    </cfRule>
  </conditionalFormatting>
  <conditionalFormatting sqref="DP67:DP76">
    <cfRule type="expression" dxfId="838" priority="2043">
      <formula>OR(IF(DP67&lt;DQ67,TRUE),IF(AND(DQ67="",DP67&lt;&gt;""),TRUE))</formula>
    </cfRule>
    <cfRule type="expression" dxfId="837" priority="2044">
      <formula>IF(DP67&gt;=DQ67,IF(DP67="",FALSE,TRUE))</formula>
    </cfRule>
  </conditionalFormatting>
  <conditionalFormatting sqref="DP95:DP96">
    <cfRule type="expression" dxfId="836" priority="2039">
      <formula>OR(IF(DP95&lt;DQ95,TRUE),IF(AND(DQ95="",DP95&lt;&gt;""),TRUE))</formula>
    </cfRule>
    <cfRule type="expression" dxfId="835" priority="2040">
      <formula>IF(DP95&gt;=DQ95,IF(DP95="",FALSE,TRUE))</formula>
    </cfRule>
  </conditionalFormatting>
  <conditionalFormatting sqref="DR97:DR106">
    <cfRule type="expression" dxfId="834" priority="2033">
      <formula>OR(IF(DR97&lt;DS97,TRUE),IF(AND(DS97="",DR97&lt;&gt;""),TRUE))</formula>
    </cfRule>
    <cfRule type="expression" dxfId="833" priority="2034">
      <formula>IF(DR97&gt;=DS97,IF(DR97="",FALSE,TRUE))</formula>
    </cfRule>
  </conditionalFormatting>
  <conditionalFormatting sqref="DR95:DR96">
    <cfRule type="expression" dxfId="832" priority="2037">
      <formula>OR(IF(DR95&lt;DS95,TRUE),IF(AND(DS95="",DR95&lt;&gt;""),TRUE))</formula>
    </cfRule>
    <cfRule type="expression" dxfId="831" priority="2038">
      <formula>IF(DR95&gt;=DS95,IF(DR95="",FALSE,TRUE))</formula>
    </cfRule>
  </conditionalFormatting>
  <conditionalFormatting sqref="DP97:DP106">
    <cfRule type="expression" dxfId="830" priority="2035">
      <formula>OR(IF(DP97&lt;DQ97,TRUE),IF(AND(DQ97="",DP97&lt;&gt;""),TRUE))</formula>
    </cfRule>
    <cfRule type="expression" dxfId="829" priority="2036">
      <formula>IF(DP97&gt;=DQ97,IF(DP97="",FALSE,TRUE))</formula>
    </cfRule>
  </conditionalFormatting>
  <conditionalFormatting sqref="DR77">
    <cfRule type="expression" dxfId="828" priority="2029">
      <formula>OR(IF(DR77&lt;DS77,TRUE),IF(AND(DS77="",DR77&lt;&gt;""),TRUE))</formula>
    </cfRule>
    <cfRule type="expression" dxfId="827" priority="2030">
      <formula>IF(DR77&gt;=DS77,IF(DR77="",FALSE,TRUE))</formula>
    </cfRule>
  </conditionalFormatting>
  <conditionalFormatting sqref="DP77">
    <cfRule type="expression" dxfId="826" priority="2031">
      <formula>OR(IF(DP77&lt;DQ77,TRUE),IF(AND(DQ77="",DP77&lt;&gt;""),TRUE))</formula>
    </cfRule>
    <cfRule type="expression" dxfId="825" priority="2032">
      <formula>IF(DP77&gt;=DQ77,IF(DP77="",FALSE,TRUE))</formula>
    </cfRule>
  </conditionalFormatting>
  <conditionalFormatting sqref="DR78">
    <cfRule type="expression" dxfId="824" priority="2025">
      <formula>OR(IF(DR78&lt;DS78,TRUE),IF(AND(DS78="",DR78&lt;&gt;""),TRUE))</formula>
    </cfRule>
    <cfRule type="expression" dxfId="823" priority="2026">
      <formula>IF(DR78&gt;=DS78,IF(DR78="",FALSE,TRUE))</formula>
    </cfRule>
  </conditionalFormatting>
  <conditionalFormatting sqref="DP78">
    <cfRule type="expression" dxfId="822" priority="2027">
      <formula>OR(IF(DP78&lt;DQ78,TRUE),IF(AND(DQ78="",DP78&lt;&gt;""),TRUE))</formula>
    </cfRule>
    <cfRule type="expression" dxfId="821" priority="2028">
      <formula>IF(DP78&gt;=DQ78,IF(DP78="",FALSE,TRUE))</formula>
    </cfRule>
  </conditionalFormatting>
  <conditionalFormatting sqref="DR79">
    <cfRule type="expression" dxfId="820" priority="2021">
      <formula>OR(IF(DR79&lt;DS79,TRUE),IF(AND(DS79="",DR79&lt;&gt;""),TRUE))</formula>
    </cfRule>
    <cfRule type="expression" dxfId="819" priority="2022">
      <formula>IF(DR79&gt;=DS79,IF(DR79="",FALSE,TRUE))</formula>
    </cfRule>
  </conditionalFormatting>
  <conditionalFormatting sqref="DP79">
    <cfRule type="expression" dxfId="818" priority="2023">
      <formula>OR(IF(DP79&lt;DQ79,TRUE),IF(AND(DQ79="",DP79&lt;&gt;""),TRUE))</formula>
    </cfRule>
    <cfRule type="expression" dxfId="817" priority="2024">
      <formula>IF(DP79&gt;=DQ79,IF(DP79="",FALSE,TRUE))</formula>
    </cfRule>
  </conditionalFormatting>
  <conditionalFormatting sqref="DR80">
    <cfRule type="expression" dxfId="816" priority="2017">
      <formula>OR(IF(DR80&lt;DS80,TRUE),IF(AND(DS80="",DR80&lt;&gt;""),TRUE))</formula>
    </cfRule>
    <cfRule type="expression" dxfId="815" priority="2018">
      <formula>IF(DR80&gt;=DS80,IF(DR80="",FALSE,TRUE))</formula>
    </cfRule>
  </conditionalFormatting>
  <conditionalFormatting sqref="DP80">
    <cfRule type="expression" dxfId="814" priority="2019">
      <formula>OR(IF(DP80&lt;DQ80,TRUE),IF(AND(DQ80="",DP80&lt;&gt;""),TRUE))</formula>
    </cfRule>
    <cfRule type="expression" dxfId="813" priority="2020">
      <formula>IF(DP80&gt;=DQ80,IF(DP80="",FALSE,TRUE))</formula>
    </cfRule>
  </conditionalFormatting>
  <conditionalFormatting sqref="DR81">
    <cfRule type="expression" dxfId="812" priority="2013">
      <formula>OR(IF(DR81&lt;DS81,TRUE),IF(AND(DS81="",DR81&lt;&gt;""),TRUE))</formula>
    </cfRule>
    <cfRule type="expression" dxfId="811" priority="2014">
      <formula>IF(DR81&gt;=DS81,IF(DR81="",FALSE,TRUE))</formula>
    </cfRule>
  </conditionalFormatting>
  <conditionalFormatting sqref="DP81">
    <cfRule type="expression" dxfId="810" priority="2015">
      <formula>OR(IF(DP81&lt;DQ81,TRUE),IF(AND(DQ81="",DP81&lt;&gt;""),TRUE))</formula>
    </cfRule>
    <cfRule type="expression" dxfId="809" priority="2016">
      <formula>IF(DP81&gt;=DQ81,IF(DP81="",FALSE,TRUE))</formula>
    </cfRule>
  </conditionalFormatting>
  <conditionalFormatting sqref="DR82">
    <cfRule type="expression" dxfId="808" priority="2009">
      <formula>OR(IF(DR82&lt;DS82,TRUE),IF(AND(DS82="",DR82&lt;&gt;""),TRUE))</formula>
    </cfRule>
    <cfRule type="expression" dxfId="807" priority="2010">
      <formula>IF(DR82&gt;=DS82,IF(DR82="",FALSE,TRUE))</formula>
    </cfRule>
  </conditionalFormatting>
  <conditionalFormatting sqref="DP82">
    <cfRule type="expression" dxfId="806" priority="2011">
      <formula>OR(IF(DP82&lt;DQ82,TRUE),IF(AND(DQ82="",DP82&lt;&gt;""),TRUE))</formula>
    </cfRule>
    <cfRule type="expression" dxfId="805" priority="2012">
      <formula>IF(DP82&gt;=DQ82,IF(DP82="",FALSE,TRUE))</formula>
    </cfRule>
  </conditionalFormatting>
  <conditionalFormatting sqref="DR83">
    <cfRule type="expression" dxfId="804" priority="2005">
      <formula>OR(IF(DR83&lt;DS83,TRUE),IF(AND(DS83="",DR83&lt;&gt;""),TRUE))</formula>
    </cfRule>
    <cfRule type="expression" dxfId="803" priority="2006">
      <formula>IF(DR83&gt;=DS83,IF(DR83="",FALSE,TRUE))</formula>
    </cfRule>
  </conditionalFormatting>
  <conditionalFormatting sqref="DP83">
    <cfRule type="expression" dxfId="802" priority="2007">
      <formula>OR(IF(DP83&lt;DQ83,TRUE),IF(AND(DQ83="",DP83&lt;&gt;""),TRUE))</formula>
    </cfRule>
    <cfRule type="expression" dxfId="801" priority="2008">
      <formula>IF(DP83&gt;=DQ83,IF(DP83="",FALSE,TRUE))</formula>
    </cfRule>
  </conditionalFormatting>
  <conditionalFormatting sqref="DR84">
    <cfRule type="expression" dxfId="800" priority="2001">
      <formula>OR(IF(DR84&lt;DS84,TRUE),IF(AND(DS84="",DR84&lt;&gt;""),TRUE))</formula>
    </cfRule>
    <cfRule type="expression" dxfId="799" priority="2002">
      <formula>IF(DR84&gt;=DS84,IF(DR84="",FALSE,TRUE))</formula>
    </cfRule>
  </conditionalFormatting>
  <conditionalFormatting sqref="DP84">
    <cfRule type="expression" dxfId="798" priority="2003">
      <formula>OR(IF(DP84&lt;DQ84,TRUE),IF(AND(DQ84="",DP84&lt;&gt;""),TRUE))</formula>
    </cfRule>
    <cfRule type="expression" dxfId="797" priority="2004">
      <formula>IF(DP84&gt;=DQ84,IF(DP84="",FALSE,TRUE))</formula>
    </cfRule>
  </conditionalFormatting>
  <conditionalFormatting sqref="DR85">
    <cfRule type="expression" dxfId="796" priority="1997">
      <formula>OR(IF(DR85&lt;DS85,TRUE),IF(AND(DS85="",DR85&lt;&gt;""),TRUE))</formula>
    </cfRule>
    <cfRule type="expression" dxfId="795" priority="1998">
      <formula>IF(DR85&gt;=DS85,IF(DR85="",FALSE,TRUE))</formula>
    </cfRule>
  </conditionalFormatting>
  <conditionalFormatting sqref="DP85">
    <cfRule type="expression" dxfId="794" priority="1999">
      <formula>OR(IF(DP85&lt;DQ85,TRUE),IF(AND(DQ85="",DP85&lt;&gt;""),TRUE))</formula>
    </cfRule>
    <cfRule type="expression" dxfId="793" priority="2000">
      <formula>IF(DP85&gt;=DQ85,IF(DP85="",FALSE,TRUE))</formula>
    </cfRule>
  </conditionalFormatting>
  <conditionalFormatting sqref="DR86">
    <cfRule type="expression" dxfId="792" priority="1993">
      <formula>OR(IF(DR86&lt;DS86,TRUE),IF(AND(DS86="",DR86&lt;&gt;""),TRUE))</formula>
    </cfRule>
    <cfRule type="expression" dxfId="791" priority="1994">
      <formula>IF(DR86&gt;=DS86,IF(DR86="",FALSE,TRUE))</formula>
    </cfRule>
  </conditionalFormatting>
  <conditionalFormatting sqref="DP86">
    <cfRule type="expression" dxfId="790" priority="1995">
      <formula>OR(IF(DP86&lt;DQ86,TRUE),IF(AND(DQ86="",DP86&lt;&gt;""),TRUE))</formula>
    </cfRule>
    <cfRule type="expression" dxfId="789" priority="1996">
      <formula>IF(DP86&gt;=DQ86,IF(DP86="",FALSE,TRUE))</formula>
    </cfRule>
  </conditionalFormatting>
  <conditionalFormatting sqref="DR87">
    <cfRule type="expression" dxfId="788" priority="1989">
      <formula>OR(IF(DR87&lt;DS87,TRUE),IF(AND(DS87="",DR87&lt;&gt;""),TRUE))</formula>
    </cfRule>
    <cfRule type="expression" dxfId="787" priority="1990">
      <formula>IF(DR87&gt;=DS87,IF(DR87="",FALSE,TRUE))</formula>
    </cfRule>
  </conditionalFormatting>
  <conditionalFormatting sqref="DP87">
    <cfRule type="expression" dxfId="786" priority="1991">
      <formula>OR(IF(DP87&lt;DQ87,TRUE),IF(AND(DQ87="",DP87&lt;&gt;""),TRUE))</formula>
    </cfRule>
    <cfRule type="expression" dxfId="785" priority="1992">
      <formula>IF(DP87&gt;=DQ87,IF(DP87="",FALSE,TRUE))</formula>
    </cfRule>
  </conditionalFormatting>
  <conditionalFormatting sqref="DR88">
    <cfRule type="expression" dxfId="784" priority="1985">
      <formula>OR(IF(DR88&lt;DS88,TRUE),IF(AND(DS88="",DR88&lt;&gt;""),TRUE))</formula>
    </cfRule>
    <cfRule type="expression" dxfId="783" priority="1986">
      <formula>IF(DR88&gt;=DS88,IF(DR88="",FALSE,TRUE))</formula>
    </cfRule>
  </conditionalFormatting>
  <conditionalFormatting sqref="DP88">
    <cfRule type="expression" dxfId="782" priority="1987">
      <formula>OR(IF(DP88&lt;DQ88,TRUE),IF(AND(DQ88="",DP88&lt;&gt;""),TRUE))</formula>
    </cfRule>
    <cfRule type="expression" dxfId="781" priority="1988">
      <formula>IF(DP88&gt;=DQ88,IF(DP88="",FALSE,TRUE))</formula>
    </cfRule>
  </conditionalFormatting>
  <conditionalFormatting sqref="DR89:DR93">
    <cfRule type="expression" dxfId="780" priority="1981">
      <formula>OR(IF(DR89&lt;DS89,TRUE),IF(AND(DS89="",DR89&lt;&gt;""),TRUE))</formula>
    </cfRule>
    <cfRule type="expression" dxfId="779" priority="1982">
      <formula>IF(DR89&gt;=DS89,IF(DR89="",FALSE,TRUE))</formula>
    </cfRule>
  </conditionalFormatting>
  <conditionalFormatting sqref="DP89:DP93">
    <cfRule type="expression" dxfId="778" priority="1983">
      <formula>OR(IF(DP89&lt;DQ89,TRUE),IF(AND(DQ89="",DP89&lt;&gt;""),TRUE))</formula>
    </cfRule>
    <cfRule type="expression" dxfId="777" priority="1984">
      <formula>IF(DP89&gt;=DQ89,IF(DP89="",FALSE,TRUE))</formula>
    </cfRule>
  </conditionalFormatting>
  <conditionalFormatting sqref="DP26">
    <cfRule type="expression" dxfId="776" priority="1979">
      <formula>OR(IF(DP26&lt;DQ26,TRUE),IF(AND(DQ26="",DP26&lt;&gt;""),TRUE))</formula>
    </cfRule>
    <cfRule type="expression" dxfId="775" priority="1980">
      <formula>IF(DP26&gt;=DQ26,IF(DP26="",FALSE,TRUE))</formula>
    </cfRule>
  </conditionalFormatting>
  <conditionalFormatting sqref="DR26">
    <cfRule type="expression" dxfId="774" priority="1977">
      <formula>OR(IF(DR26&lt;DS26,TRUE),IF(AND(DS26="",DR26&lt;&gt;""),TRUE))</formula>
    </cfRule>
    <cfRule type="expression" dxfId="773" priority="1978">
      <formula>IF(DR26&gt;=DS26,IF(DR26="",FALSE,TRUE))</formula>
    </cfRule>
  </conditionalFormatting>
  <conditionalFormatting sqref="DP27">
    <cfRule type="expression" dxfId="772" priority="1975">
      <formula>OR(IF(DP27&lt;DQ27,TRUE),IF(AND(DQ27="",DP27&lt;&gt;""),TRUE))</formula>
    </cfRule>
    <cfRule type="expression" dxfId="771" priority="1976">
      <formula>IF(DP27&gt;=DQ27,IF(DP27="",FALSE,TRUE))</formula>
    </cfRule>
  </conditionalFormatting>
  <conditionalFormatting sqref="DR27">
    <cfRule type="expression" dxfId="770" priority="1973">
      <formula>OR(IF(DR27&lt;DS27,TRUE),IF(AND(DS27="",DR27&lt;&gt;""),TRUE))</formula>
    </cfRule>
    <cfRule type="expression" dxfId="769" priority="1974">
      <formula>IF(DR27&gt;=DS27,IF(DR27="",FALSE,TRUE))</formula>
    </cfRule>
  </conditionalFormatting>
  <conditionalFormatting sqref="DP28">
    <cfRule type="expression" dxfId="768" priority="1971">
      <formula>OR(IF(DP28&lt;DQ28,TRUE),IF(AND(DQ28="",DP28&lt;&gt;""),TRUE))</formula>
    </cfRule>
    <cfRule type="expression" dxfId="767" priority="1972">
      <formula>IF(DP28&gt;=DQ28,IF(DP28="",FALSE,TRUE))</formula>
    </cfRule>
  </conditionalFormatting>
  <conditionalFormatting sqref="DR28">
    <cfRule type="expression" dxfId="766" priority="1969">
      <formula>OR(IF(DR28&lt;DS28,TRUE),IF(AND(DS28="",DR28&lt;&gt;""),TRUE))</formula>
    </cfRule>
    <cfRule type="expression" dxfId="765" priority="1970">
      <formula>IF(DR28&gt;=DS28,IF(DR28="",FALSE,TRUE))</formula>
    </cfRule>
  </conditionalFormatting>
  <conditionalFormatting sqref="DP29">
    <cfRule type="expression" dxfId="764" priority="1967">
      <formula>OR(IF(DP29&lt;DQ29,TRUE),IF(AND(DQ29="",DP29&lt;&gt;""),TRUE))</formula>
    </cfRule>
    <cfRule type="expression" dxfId="763" priority="1968">
      <formula>IF(DP29&gt;=DQ29,IF(DP29="",FALSE,TRUE))</formula>
    </cfRule>
  </conditionalFormatting>
  <conditionalFormatting sqref="DR29">
    <cfRule type="expression" dxfId="762" priority="1965">
      <formula>OR(IF(DR29&lt;DS29,TRUE),IF(AND(DS29="",DR29&lt;&gt;""),TRUE))</formula>
    </cfRule>
    <cfRule type="expression" dxfId="761" priority="1966">
      <formula>IF(DR29&gt;=DS29,IF(DR29="",FALSE,TRUE))</formula>
    </cfRule>
  </conditionalFormatting>
  <conditionalFormatting sqref="DP30:DP31">
    <cfRule type="expression" dxfId="760" priority="1963">
      <formula>OR(IF(DP30&lt;DQ30,TRUE),IF(AND(DQ30="",DP30&lt;&gt;""),TRUE))</formula>
    </cfRule>
    <cfRule type="expression" dxfId="759" priority="1964">
      <formula>IF(DP30&gt;=DQ30,IF(DP30="",FALSE,TRUE))</formula>
    </cfRule>
  </conditionalFormatting>
  <conditionalFormatting sqref="DR30:DR31">
    <cfRule type="expression" dxfId="758" priority="1961">
      <formula>OR(IF(DR30&lt;DS30,TRUE),IF(AND(DS30="",DR30&lt;&gt;""),TRUE))</formula>
    </cfRule>
    <cfRule type="expression" dxfId="757" priority="1962">
      <formula>IF(DR30&gt;=DS30,IF(DR30="",FALSE,TRUE))</formula>
    </cfRule>
  </conditionalFormatting>
  <conditionalFormatting sqref="DP112:DP113">
    <cfRule type="expression" dxfId="756" priority="1959">
      <formula>OR(IF(DP112&lt;DQ112,TRUE),IF(AND(DQ112="",DP112&lt;&gt;""),TRUE))</formula>
    </cfRule>
    <cfRule type="expression" dxfId="755" priority="1960">
      <formula>IF(DP112&gt;=DQ112,IF(DP112="",FALSE,TRUE))</formula>
    </cfRule>
  </conditionalFormatting>
  <conditionalFormatting sqref="DR112:DR113">
    <cfRule type="expression" dxfId="754" priority="1957">
      <formula>OR(IF(DR112&lt;DS112,TRUE),IF(AND(DS112="",DR112&lt;&gt;""),TRUE))</formula>
    </cfRule>
    <cfRule type="expression" dxfId="753" priority="1958">
      <formula>IF(DR112&gt;=DS112,IF(DR112="",FALSE,TRUE))</formula>
    </cfRule>
  </conditionalFormatting>
  <conditionalFormatting sqref="DR110">
    <cfRule type="expression" dxfId="752" priority="1953">
      <formula>OR(IF(DR110&lt;DS110,TRUE),IF(AND(DS110="",DR110&lt;&gt;""),TRUE))</formula>
    </cfRule>
    <cfRule type="expression" dxfId="751" priority="1954">
      <formula>IF(DR110&gt;=DS110,IF(DR110="",FALSE,TRUE))</formula>
    </cfRule>
  </conditionalFormatting>
  <conditionalFormatting sqref="DP110">
    <cfRule type="expression" dxfId="750" priority="1955">
      <formula>OR(IF(DP110&lt;DQ110,TRUE),IF(AND(DQ110="",DP110&lt;&gt;""),TRUE))</formula>
    </cfRule>
    <cfRule type="expression" dxfId="749" priority="1956">
      <formula>IF(DP110&gt;=DQ110,IF(DP110="",FALSE,TRUE))</formula>
    </cfRule>
  </conditionalFormatting>
  <conditionalFormatting sqref="DY114:DY122 DW114:DW122">
    <cfRule type="expression" dxfId="748" priority="1951">
      <formula>OR(IF(DW114&lt;DX114,TRUE),IF(AND(DX114="",DW114&lt;&gt;""),TRUE))</formula>
    </cfRule>
    <cfRule type="expression" dxfId="747" priority="1952">
      <formula>IF(DW114&gt;=DX114,IF(DW114="",FALSE,TRUE))</formula>
    </cfRule>
  </conditionalFormatting>
  <conditionalFormatting sqref="DW20:DW24 DY20:DY24 DW5:DW17">
    <cfRule type="expression" dxfId="746" priority="1949">
      <formula>OR(IF(DW5&lt;DX5,TRUE),IF(AND(DX5="",DW5&lt;&gt;""),TRUE))</formula>
    </cfRule>
    <cfRule type="expression" dxfId="745" priority="1950">
      <formula>IF(DW5&gt;=DX5,IF(DW5="",FALSE,TRUE))</formula>
    </cfRule>
  </conditionalFormatting>
  <conditionalFormatting sqref="DY5:DY17">
    <cfRule type="expression" dxfId="744" priority="1947">
      <formula>OR(IF(DY5&lt;DZ5,TRUE),IF(AND(DZ5="",DY5&lt;&gt;""),TRUE))</formula>
    </cfRule>
    <cfRule type="expression" dxfId="743" priority="1948">
      <formula>IF(DY5&gt;=DZ5,IF(DY5="",FALSE,TRUE))</formula>
    </cfRule>
  </conditionalFormatting>
  <conditionalFormatting sqref="DW34:DW35">
    <cfRule type="expression" dxfId="742" priority="1945">
      <formula>OR(IF(DW34&lt;DX34,TRUE),IF(AND(DX34="",DW34&lt;&gt;""),TRUE))</formula>
    </cfRule>
    <cfRule type="expression" dxfId="741" priority="1946">
      <formula>IF(DW34&gt;=DX34,IF(DW34="",FALSE,TRUE))</formula>
    </cfRule>
  </conditionalFormatting>
  <conditionalFormatting sqref="DY36:DY45">
    <cfRule type="expression" dxfId="740" priority="1935">
      <formula>OR(IF(DY36&lt;DZ36,TRUE),IF(AND(DZ36="",DY36&lt;&gt;""),TRUE))</formula>
    </cfRule>
    <cfRule type="expression" dxfId="739" priority="1936">
      <formula>IF(DY36&gt;=DZ36,IF(DY36="",FALSE,TRUE))</formula>
    </cfRule>
  </conditionalFormatting>
  <conditionalFormatting sqref="DY34:DY35">
    <cfRule type="expression" dxfId="738" priority="1943">
      <formula>OR(IF(DY34&lt;DZ34,TRUE),IF(AND(DZ34="",DY34&lt;&gt;""),TRUE))</formula>
    </cfRule>
    <cfRule type="expression" dxfId="737" priority="1944">
      <formula>IF(DY34&gt;=DZ34,IF(DY34="",FALSE,TRUE))</formula>
    </cfRule>
  </conditionalFormatting>
  <conditionalFormatting sqref="DW25">
    <cfRule type="expression" dxfId="736" priority="1941">
      <formula>OR(IF(DW25&lt;DX25,TRUE),IF(AND(DX25="",DW25&lt;&gt;""),TRUE))</formula>
    </cfRule>
    <cfRule type="expression" dxfId="735" priority="1942">
      <formula>IF(DW25&gt;=DX25,IF(DW25="",FALSE,TRUE))</formula>
    </cfRule>
  </conditionalFormatting>
  <conditionalFormatting sqref="DY25">
    <cfRule type="expression" dxfId="734" priority="1939">
      <formula>OR(IF(DY25&lt;DZ25,TRUE),IF(AND(DZ25="",DY25&lt;&gt;""),TRUE))</formula>
    </cfRule>
    <cfRule type="expression" dxfId="733" priority="1940">
      <formula>IF(DY25&gt;=DZ25,IF(DY25="",FALSE,TRUE))</formula>
    </cfRule>
  </conditionalFormatting>
  <conditionalFormatting sqref="DW36:DW45">
    <cfRule type="expression" dxfId="732" priority="1937">
      <formula>OR(IF(DW36&lt;DX36,TRUE),IF(AND(DX36="",DW36&lt;&gt;""),TRUE))</formula>
    </cfRule>
    <cfRule type="expression" dxfId="731" priority="1938">
      <formula>IF(DW36&gt;=DX36,IF(DW36="",FALSE,TRUE))</formula>
    </cfRule>
  </conditionalFormatting>
  <conditionalFormatting sqref="DW49:DW50">
    <cfRule type="expression" dxfId="730" priority="1933">
      <formula>OR(IF(DW49&lt;DX49,TRUE),IF(AND(DX49="",DW49&lt;&gt;""),TRUE))</formula>
    </cfRule>
    <cfRule type="expression" dxfId="729" priority="1934">
      <formula>IF(DW49&gt;=DX49,IF(DW49="",FALSE,TRUE))</formula>
    </cfRule>
  </conditionalFormatting>
  <conditionalFormatting sqref="DY51:DY60">
    <cfRule type="expression" dxfId="728" priority="1927">
      <formula>OR(IF(DY51&lt;DZ51,TRUE),IF(AND(DZ51="",DY51&lt;&gt;""),TRUE))</formula>
    </cfRule>
    <cfRule type="expression" dxfId="727" priority="1928">
      <formula>IF(DY51&gt;=DZ51,IF(DY51="",FALSE,TRUE))</formula>
    </cfRule>
  </conditionalFormatting>
  <conditionalFormatting sqref="DY49:DY50">
    <cfRule type="expression" dxfId="726" priority="1931">
      <formula>OR(IF(DY49&lt;DZ49,TRUE),IF(AND(DZ49="",DY49&lt;&gt;""),TRUE))</formula>
    </cfRule>
    <cfRule type="expression" dxfId="725" priority="1932">
      <formula>IF(DY49&gt;=DZ49,IF(DY49="",FALSE,TRUE))</formula>
    </cfRule>
  </conditionalFormatting>
  <conditionalFormatting sqref="DW51:DW60">
    <cfRule type="expression" dxfId="724" priority="1929">
      <formula>OR(IF(DW51&lt;DX51,TRUE),IF(AND(DX51="",DW51&lt;&gt;""),TRUE))</formula>
    </cfRule>
    <cfRule type="expression" dxfId="723" priority="1930">
      <formula>IF(DW51&gt;=DX51,IF(DW51="",FALSE,TRUE))</formula>
    </cfRule>
  </conditionalFormatting>
  <conditionalFormatting sqref="DW65:DW66">
    <cfRule type="expression" dxfId="722" priority="1925">
      <formula>OR(IF(DW65&lt;DX65,TRUE),IF(AND(DX65="",DW65&lt;&gt;""),TRUE))</formula>
    </cfRule>
    <cfRule type="expression" dxfId="721" priority="1926">
      <formula>IF(DW65&gt;=DX65,IF(DW65="",FALSE,TRUE))</formula>
    </cfRule>
  </conditionalFormatting>
  <conditionalFormatting sqref="DY67:DY76">
    <cfRule type="expression" dxfId="720" priority="1919">
      <formula>OR(IF(DY67&lt;DZ67,TRUE),IF(AND(DZ67="",DY67&lt;&gt;""),TRUE))</formula>
    </cfRule>
    <cfRule type="expression" dxfId="719" priority="1920">
      <formula>IF(DY67&gt;=DZ67,IF(DY67="",FALSE,TRUE))</formula>
    </cfRule>
  </conditionalFormatting>
  <conditionalFormatting sqref="DY65:DY66">
    <cfRule type="expression" dxfId="718" priority="1923">
      <formula>OR(IF(DY65&lt;DZ65,TRUE),IF(AND(DZ65="",DY65&lt;&gt;""),TRUE))</formula>
    </cfRule>
    <cfRule type="expression" dxfId="717" priority="1924">
      <formula>IF(DY65&gt;=DZ65,IF(DY65="",FALSE,TRUE))</formula>
    </cfRule>
  </conditionalFormatting>
  <conditionalFormatting sqref="DW67:DW76">
    <cfRule type="expression" dxfId="716" priority="1921">
      <formula>OR(IF(DW67&lt;DX67,TRUE),IF(AND(DX67="",DW67&lt;&gt;""),TRUE))</formula>
    </cfRule>
    <cfRule type="expression" dxfId="715" priority="1922">
      <formula>IF(DW67&gt;=DX67,IF(DW67="",FALSE,TRUE))</formula>
    </cfRule>
  </conditionalFormatting>
  <conditionalFormatting sqref="DW95:DW96">
    <cfRule type="expression" dxfId="714" priority="1917">
      <formula>OR(IF(DW95&lt;DX95,TRUE),IF(AND(DX95="",DW95&lt;&gt;""),TRUE))</formula>
    </cfRule>
    <cfRule type="expression" dxfId="713" priority="1918">
      <formula>IF(DW95&gt;=DX95,IF(DW95="",FALSE,TRUE))</formula>
    </cfRule>
  </conditionalFormatting>
  <conditionalFormatting sqref="DY97:DY106">
    <cfRule type="expression" dxfId="712" priority="1911">
      <formula>OR(IF(DY97&lt;DZ97,TRUE),IF(AND(DZ97="",DY97&lt;&gt;""),TRUE))</formula>
    </cfRule>
    <cfRule type="expression" dxfId="711" priority="1912">
      <formula>IF(DY97&gt;=DZ97,IF(DY97="",FALSE,TRUE))</formula>
    </cfRule>
  </conditionalFormatting>
  <conditionalFormatting sqref="DY95:DY96">
    <cfRule type="expression" dxfId="710" priority="1915">
      <formula>OR(IF(DY95&lt;DZ95,TRUE),IF(AND(DZ95="",DY95&lt;&gt;""),TRUE))</formula>
    </cfRule>
    <cfRule type="expression" dxfId="709" priority="1916">
      <formula>IF(DY95&gt;=DZ95,IF(DY95="",FALSE,TRUE))</formula>
    </cfRule>
  </conditionalFormatting>
  <conditionalFormatting sqref="DW97:DW106">
    <cfRule type="expression" dxfId="708" priority="1913">
      <formula>OR(IF(DW97&lt;DX97,TRUE),IF(AND(DX97="",DW97&lt;&gt;""),TRUE))</formula>
    </cfRule>
    <cfRule type="expression" dxfId="707" priority="1914">
      <formula>IF(DW97&gt;=DX97,IF(DW97="",FALSE,TRUE))</formula>
    </cfRule>
  </conditionalFormatting>
  <conditionalFormatting sqref="DY77">
    <cfRule type="expression" dxfId="706" priority="1907">
      <formula>OR(IF(DY77&lt;DZ77,TRUE),IF(AND(DZ77="",DY77&lt;&gt;""),TRUE))</formula>
    </cfRule>
    <cfRule type="expression" dxfId="705" priority="1908">
      <formula>IF(DY77&gt;=DZ77,IF(DY77="",FALSE,TRUE))</formula>
    </cfRule>
  </conditionalFormatting>
  <conditionalFormatting sqref="DW77">
    <cfRule type="expression" dxfId="704" priority="1909">
      <formula>OR(IF(DW77&lt;DX77,TRUE),IF(AND(DX77="",DW77&lt;&gt;""),TRUE))</formula>
    </cfRule>
    <cfRule type="expression" dxfId="703" priority="1910">
      <formula>IF(DW77&gt;=DX77,IF(DW77="",FALSE,TRUE))</formula>
    </cfRule>
  </conditionalFormatting>
  <conditionalFormatting sqref="DY78">
    <cfRule type="expression" dxfId="702" priority="1903">
      <formula>OR(IF(DY78&lt;DZ78,TRUE),IF(AND(DZ78="",DY78&lt;&gt;""),TRUE))</formula>
    </cfRule>
    <cfRule type="expression" dxfId="701" priority="1904">
      <formula>IF(DY78&gt;=DZ78,IF(DY78="",FALSE,TRUE))</formula>
    </cfRule>
  </conditionalFormatting>
  <conditionalFormatting sqref="DW78">
    <cfRule type="expression" dxfId="700" priority="1905">
      <formula>OR(IF(DW78&lt;DX78,TRUE),IF(AND(DX78="",DW78&lt;&gt;""),TRUE))</formula>
    </cfRule>
    <cfRule type="expression" dxfId="699" priority="1906">
      <formula>IF(DW78&gt;=DX78,IF(DW78="",FALSE,TRUE))</formula>
    </cfRule>
  </conditionalFormatting>
  <conditionalFormatting sqref="DY79">
    <cfRule type="expression" dxfId="698" priority="1899">
      <formula>OR(IF(DY79&lt;DZ79,TRUE),IF(AND(DZ79="",DY79&lt;&gt;""),TRUE))</formula>
    </cfRule>
    <cfRule type="expression" dxfId="697" priority="1900">
      <formula>IF(DY79&gt;=DZ79,IF(DY79="",FALSE,TRUE))</formula>
    </cfRule>
  </conditionalFormatting>
  <conditionalFormatting sqref="DW79">
    <cfRule type="expression" dxfId="696" priority="1901">
      <formula>OR(IF(DW79&lt;DX79,TRUE),IF(AND(DX79="",DW79&lt;&gt;""),TRUE))</formula>
    </cfRule>
    <cfRule type="expression" dxfId="695" priority="1902">
      <formula>IF(DW79&gt;=DX79,IF(DW79="",FALSE,TRUE))</formula>
    </cfRule>
  </conditionalFormatting>
  <conditionalFormatting sqref="DY80">
    <cfRule type="expression" dxfId="694" priority="1895">
      <formula>OR(IF(DY80&lt;DZ80,TRUE),IF(AND(DZ80="",DY80&lt;&gt;""),TRUE))</formula>
    </cfRule>
    <cfRule type="expression" dxfId="693" priority="1896">
      <formula>IF(DY80&gt;=DZ80,IF(DY80="",FALSE,TRUE))</formula>
    </cfRule>
  </conditionalFormatting>
  <conditionalFormatting sqref="DW80">
    <cfRule type="expression" dxfId="692" priority="1897">
      <formula>OR(IF(DW80&lt;DX80,TRUE),IF(AND(DX80="",DW80&lt;&gt;""),TRUE))</formula>
    </cfRule>
    <cfRule type="expression" dxfId="691" priority="1898">
      <formula>IF(DW80&gt;=DX80,IF(DW80="",FALSE,TRUE))</formula>
    </cfRule>
  </conditionalFormatting>
  <conditionalFormatting sqref="DY81">
    <cfRule type="expression" dxfId="690" priority="1891">
      <formula>OR(IF(DY81&lt;DZ81,TRUE),IF(AND(DZ81="",DY81&lt;&gt;""),TRUE))</formula>
    </cfRule>
    <cfRule type="expression" dxfId="689" priority="1892">
      <formula>IF(DY81&gt;=DZ81,IF(DY81="",FALSE,TRUE))</formula>
    </cfRule>
  </conditionalFormatting>
  <conditionalFormatting sqref="DW81">
    <cfRule type="expression" dxfId="688" priority="1893">
      <formula>OR(IF(DW81&lt;DX81,TRUE),IF(AND(DX81="",DW81&lt;&gt;""),TRUE))</formula>
    </cfRule>
    <cfRule type="expression" dxfId="687" priority="1894">
      <formula>IF(DW81&gt;=DX81,IF(DW81="",FALSE,TRUE))</formula>
    </cfRule>
  </conditionalFormatting>
  <conditionalFormatting sqref="DY82">
    <cfRule type="expression" dxfId="686" priority="1887">
      <formula>OR(IF(DY82&lt;DZ82,TRUE),IF(AND(DZ82="",DY82&lt;&gt;""),TRUE))</formula>
    </cfRule>
    <cfRule type="expression" dxfId="685" priority="1888">
      <formula>IF(DY82&gt;=DZ82,IF(DY82="",FALSE,TRUE))</formula>
    </cfRule>
  </conditionalFormatting>
  <conditionalFormatting sqref="DW82">
    <cfRule type="expression" dxfId="684" priority="1889">
      <formula>OR(IF(DW82&lt;DX82,TRUE),IF(AND(DX82="",DW82&lt;&gt;""),TRUE))</formula>
    </cfRule>
    <cfRule type="expression" dxfId="683" priority="1890">
      <formula>IF(DW82&gt;=DX82,IF(DW82="",FALSE,TRUE))</formula>
    </cfRule>
  </conditionalFormatting>
  <conditionalFormatting sqref="DY83">
    <cfRule type="expression" dxfId="682" priority="1883">
      <formula>OR(IF(DY83&lt;DZ83,TRUE),IF(AND(DZ83="",DY83&lt;&gt;""),TRUE))</formula>
    </cfRule>
    <cfRule type="expression" dxfId="681" priority="1884">
      <formula>IF(DY83&gt;=DZ83,IF(DY83="",FALSE,TRUE))</formula>
    </cfRule>
  </conditionalFormatting>
  <conditionalFormatting sqref="DW83">
    <cfRule type="expression" dxfId="680" priority="1885">
      <formula>OR(IF(DW83&lt;DX83,TRUE),IF(AND(DX83="",DW83&lt;&gt;""),TRUE))</formula>
    </cfRule>
    <cfRule type="expression" dxfId="679" priority="1886">
      <formula>IF(DW83&gt;=DX83,IF(DW83="",FALSE,TRUE))</formula>
    </cfRule>
  </conditionalFormatting>
  <conditionalFormatting sqref="DY84">
    <cfRule type="expression" dxfId="678" priority="1879">
      <formula>OR(IF(DY84&lt;DZ84,TRUE),IF(AND(DZ84="",DY84&lt;&gt;""),TRUE))</formula>
    </cfRule>
    <cfRule type="expression" dxfId="677" priority="1880">
      <formula>IF(DY84&gt;=DZ84,IF(DY84="",FALSE,TRUE))</formula>
    </cfRule>
  </conditionalFormatting>
  <conditionalFormatting sqref="DW84">
    <cfRule type="expression" dxfId="676" priority="1881">
      <formula>OR(IF(DW84&lt;DX84,TRUE),IF(AND(DX84="",DW84&lt;&gt;""),TRUE))</formula>
    </cfRule>
    <cfRule type="expression" dxfId="675" priority="1882">
      <formula>IF(DW84&gt;=DX84,IF(DW84="",FALSE,TRUE))</formula>
    </cfRule>
  </conditionalFormatting>
  <conditionalFormatting sqref="DY85">
    <cfRule type="expression" dxfId="674" priority="1875">
      <formula>OR(IF(DY85&lt;DZ85,TRUE),IF(AND(DZ85="",DY85&lt;&gt;""),TRUE))</formula>
    </cfRule>
    <cfRule type="expression" dxfId="673" priority="1876">
      <formula>IF(DY85&gt;=DZ85,IF(DY85="",FALSE,TRUE))</formula>
    </cfRule>
  </conditionalFormatting>
  <conditionalFormatting sqref="DW85">
    <cfRule type="expression" dxfId="672" priority="1877">
      <formula>OR(IF(DW85&lt;DX85,TRUE),IF(AND(DX85="",DW85&lt;&gt;""),TRUE))</formula>
    </cfRule>
    <cfRule type="expression" dxfId="671" priority="1878">
      <formula>IF(DW85&gt;=DX85,IF(DW85="",FALSE,TRUE))</formula>
    </cfRule>
  </conditionalFormatting>
  <conditionalFormatting sqref="DY86">
    <cfRule type="expression" dxfId="670" priority="1871">
      <formula>OR(IF(DY86&lt;DZ86,TRUE),IF(AND(DZ86="",DY86&lt;&gt;""),TRUE))</formula>
    </cfRule>
    <cfRule type="expression" dxfId="669" priority="1872">
      <formula>IF(DY86&gt;=DZ86,IF(DY86="",FALSE,TRUE))</formula>
    </cfRule>
  </conditionalFormatting>
  <conditionalFormatting sqref="DW86">
    <cfRule type="expression" dxfId="668" priority="1873">
      <formula>OR(IF(DW86&lt;DX86,TRUE),IF(AND(DX86="",DW86&lt;&gt;""),TRUE))</formula>
    </cfRule>
    <cfRule type="expression" dxfId="667" priority="1874">
      <formula>IF(DW86&gt;=DX86,IF(DW86="",FALSE,TRUE))</formula>
    </cfRule>
  </conditionalFormatting>
  <conditionalFormatting sqref="DY87">
    <cfRule type="expression" dxfId="666" priority="1867">
      <formula>OR(IF(DY87&lt;DZ87,TRUE),IF(AND(DZ87="",DY87&lt;&gt;""),TRUE))</formula>
    </cfRule>
    <cfRule type="expression" dxfId="665" priority="1868">
      <formula>IF(DY87&gt;=DZ87,IF(DY87="",FALSE,TRUE))</formula>
    </cfRule>
  </conditionalFormatting>
  <conditionalFormatting sqref="DW87">
    <cfRule type="expression" dxfId="664" priority="1869">
      <formula>OR(IF(DW87&lt;DX87,TRUE),IF(AND(DX87="",DW87&lt;&gt;""),TRUE))</formula>
    </cfRule>
    <cfRule type="expression" dxfId="663" priority="1870">
      <formula>IF(DW87&gt;=DX87,IF(DW87="",FALSE,TRUE))</formula>
    </cfRule>
  </conditionalFormatting>
  <conditionalFormatting sqref="DY88">
    <cfRule type="expression" dxfId="662" priority="1863">
      <formula>OR(IF(DY88&lt;DZ88,TRUE),IF(AND(DZ88="",DY88&lt;&gt;""),TRUE))</formula>
    </cfRule>
    <cfRule type="expression" dxfId="661" priority="1864">
      <formula>IF(DY88&gt;=DZ88,IF(DY88="",FALSE,TRUE))</formula>
    </cfRule>
  </conditionalFormatting>
  <conditionalFormatting sqref="DW88">
    <cfRule type="expression" dxfId="660" priority="1865">
      <formula>OR(IF(DW88&lt;DX88,TRUE),IF(AND(DX88="",DW88&lt;&gt;""),TRUE))</formula>
    </cfRule>
    <cfRule type="expression" dxfId="659" priority="1866">
      <formula>IF(DW88&gt;=DX88,IF(DW88="",FALSE,TRUE))</formula>
    </cfRule>
  </conditionalFormatting>
  <conditionalFormatting sqref="DY89:DY93">
    <cfRule type="expression" dxfId="658" priority="1859">
      <formula>OR(IF(DY89&lt;DZ89,TRUE),IF(AND(DZ89="",DY89&lt;&gt;""),TRUE))</formula>
    </cfRule>
    <cfRule type="expression" dxfId="657" priority="1860">
      <formula>IF(DY89&gt;=DZ89,IF(DY89="",FALSE,TRUE))</formula>
    </cfRule>
  </conditionalFormatting>
  <conditionalFormatting sqref="DW89:DW93">
    <cfRule type="expression" dxfId="656" priority="1861">
      <formula>OR(IF(DW89&lt;DX89,TRUE),IF(AND(DX89="",DW89&lt;&gt;""),TRUE))</formula>
    </cfRule>
    <cfRule type="expression" dxfId="655" priority="1862">
      <formula>IF(DW89&gt;=DX89,IF(DW89="",FALSE,TRUE))</formula>
    </cfRule>
  </conditionalFormatting>
  <conditionalFormatting sqref="DW26">
    <cfRule type="expression" dxfId="654" priority="1857">
      <formula>OR(IF(DW26&lt;DX26,TRUE),IF(AND(DX26="",DW26&lt;&gt;""),TRUE))</formula>
    </cfRule>
    <cfRule type="expression" dxfId="653" priority="1858">
      <formula>IF(DW26&gt;=DX26,IF(DW26="",FALSE,TRUE))</formula>
    </cfRule>
  </conditionalFormatting>
  <conditionalFormatting sqref="DY26">
    <cfRule type="expression" dxfId="652" priority="1855">
      <formula>OR(IF(DY26&lt;DZ26,TRUE),IF(AND(DZ26="",DY26&lt;&gt;""),TRUE))</formula>
    </cfRule>
    <cfRule type="expression" dxfId="651" priority="1856">
      <formula>IF(DY26&gt;=DZ26,IF(DY26="",FALSE,TRUE))</formula>
    </cfRule>
  </conditionalFormatting>
  <conditionalFormatting sqref="DW27">
    <cfRule type="expression" dxfId="650" priority="1853">
      <formula>OR(IF(DW27&lt;DX27,TRUE),IF(AND(DX27="",DW27&lt;&gt;""),TRUE))</formula>
    </cfRule>
    <cfRule type="expression" dxfId="649" priority="1854">
      <formula>IF(DW27&gt;=DX27,IF(DW27="",FALSE,TRUE))</formula>
    </cfRule>
  </conditionalFormatting>
  <conditionalFormatting sqref="DY27">
    <cfRule type="expression" dxfId="648" priority="1851">
      <formula>OR(IF(DY27&lt;DZ27,TRUE),IF(AND(DZ27="",DY27&lt;&gt;""),TRUE))</formula>
    </cfRule>
    <cfRule type="expression" dxfId="647" priority="1852">
      <formula>IF(DY27&gt;=DZ27,IF(DY27="",FALSE,TRUE))</formula>
    </cfRule>
  </conditionalFormatting>
  <conditionalFormatting sqref="DW28">
    <cfRule type="expression" dxfId="646" priority="1849">
      <formula>OR(IF(DW28&lt;DX28,TRUE),IF(AND(DX28="",DW28&lt;&gt;""),TRUE))</formula>
    </cfRule>
    <cfRule type="expression" dxfId="645" priority="1850">
      <formula>IF(DW28&gt;=DX28,IF(DW28="",FALSE,TRUE))</formula>
    </cfRule>
  </conditionalFormatting>
  <conditionalFormatting sqref="DY28">
    <cfRule type="expression" dxfId="644" priority="1847">
      <formula>OR(IF(DY28&lt;DZ28,TRUE),IF(AND(DZ28="",DY28&lt;&gt;""),TRUE))</formula>
    </cfRule>
    <cfRule type="expression" dxfId="643" priority="1848">
      <formula>IF(DY28&gt;=DZ28,IF(DY28="",FALSE,TRUE))</formula>
    </cfRule>
  </conditionalFormatting>
  <conditionalFormatting sqref="DW29">
    <cfRule type="expression" dxfId="642" priority="1845">
      <formula>OR(IF(DW29&lt;DX29,TRUE),IF(AND(DX29="",DW29&lt;&gt;""),TRUE))</formula>
    </cfRule>
    <cfRule type="expression" dxfId="641" priority="1846">
      <formula>IF(DW29&gt;=DX29,IF(DW29="",FALSE,TRUE))</formula>
    </cfRule>
  </conditionalFormatting>
  <conditionalFormatting sqref="DY29">
    <cfRule type="expression" dxfId="640" priority="1843">
      <formula>OR(IF(DY29&lt;DZ29,TRUE),IF(AND(DZ29="",DY29&lt;&gt;""),TRUE))</formula>
    </cfRule>
    <cfRule type="expression" dxfId="639" priority="1844">
      <formula>IF(DY29&gt;=DZ29,IF(DY29="",FALSE,TRUE))</formula>
    </cfRule>
  </conditionalFormatting>
  <conditionalFormatting sqref="DW30:DW31">
    <cfRule type="expression" dxfId="638" priority="1841">
      <formula>OR(IF(DW30&lt;DX30,TRUE),IF(AND(DX30="",DW30&lt;&gt;""),TRUE))</formula>
    </cfRule>
    <cfRule type="expression" dxfId="637" priority="1842">
      <formula>IF(DW30&gt;=DX30,IF(DW30="",FALSE,TRUE))</formula>
    </cfRule>
  </conditionalFormatting>
  <conditionalFormatting sqref="DY30:DY31">
    <cfRule type="expression" dxfId="636" priority="1839">
      <formula>OR(IF(DY30&lt;DZ30,TRUE),IF(AND(DZ30="",DY30&lt;&gt;""),TRUE))</formula>
    </cfRule>
    <cfRule type="expression" dxfId="635" priority="1840">
      <formula>IF(DY30&gt;=DZ30,IF(DY30="",FALSE,TRUE))</formula>
    </cfRule>
  </conditionalFormatting>
  <conditionalFormatting sqref="DW112:DW113">
    <cfRule type="expression" dxfId="634" priority="1837">
      <formula>OR(IF(DW112&lt;DX112,TRUE),IF(AND(DX112="",DW112&lt;&gt;""),TRUE))</formula>
    </cfRule>
    <cfRule type="expression" dxfId="633" priority="1838">
      <formula>IF(DW112&gt;=DX112,IF(DW112="",FALSE,TRUE))</formula>
    </cfRule>
  </conditionalFormatting>
  <conditionalFormatting sqref="DY112:DY113">
    <cfRule type="expression" dxfId="632" priority="1835">
      <formula>OR(IF(DY112&lt;DZ112,TRUE),IF(AND(DZ112="",DY112&lt;&gt;""),TRUE))</formula>
    </cfRule>
    <cfRule type="expression" dxfId="631" priority="1836">
      <formula>IF(DY112&gt;=DZ112,IF(DY112="",FALSE,TRUE))</formula>
    </cfRule>
  </conditionalFormatting>
  <conditionalFormatting sqref="DY110">
    <cfRule type="expression" dxfId="630" priority="1831">
      <formula>OR(IF(DY110&lt;DZ110,TRUE),IF(AND(DZ110="",DY110&lt;&gt;""),TRUE))</formula>
    </cfRule>
    <cfRule type="expression" dxfId="629" priority="1832">
      <formula>IF(DY110&gt;=DZ110,IF(DY110="",FALSE,TRUE))</formula>
    </cfRule>
  </conditionalFormatting>
  <conditionalFormatting sqref="DW110">
    <cfRule type="expression" dxfId="628" priority="1833">
      <formula>OR(IF(DW110&lt;DX110,TRUE),IF(AND(DX110="",DW110&lt;&gt;""),TRUE))</formula>
    </cfRule>
    <cfRule type="expression" dxfId="627" priority="1834">
      <formula>IF(DW110&gt;=DX110,IF(DW110="",FALSE,TRUE))</formula>
    </cfRule>
  </conditionalFormatting>
  <conditionalFormatting sqref="EF114:EF122 ED114:ED122">
    <cfRule type="expression" dxfId="626" priority="1829">
      <formula>OR(IF(ED114&lt;EE114,TRUE),IF(AND(EE114="",ED114&lt;&gt;""),TRUE))</formula>
    </cfRule>
    <cfRule type="expression" dxfId="625" priority="1830">
      <formula>IF(ED114&gt;=EE114,IF(ED114="",FALSE,TRUE))</formula>
    </cfRule>
  </conditionalFormatting>
  <conditionalFormatting sqref="ED20:ED24 EF20:EF24 ED5:ED17">
    <cfRule type="expression" dxfId="624" priority="1827">
      <formula>OR(IF(ED5&lt;EE5,TRUE),IF(AND(EE5="",ED5&lt;&gt;""),TRUE))</formula>
    </cfRule>
    <cfRule type="expression" dxfId="623" priority="1828">
      <formula>IF(ED5&gt;=EE5,IF(ED5="",FALSE,TRUE))</formula>
    </cfRule>
  </conditionalFormatting>
  <conditionalFormatting sqref="EF5:EF17">
    <cfRule type="expression" dxfId="622" priority="1825">
      <formula>OR(IF(EF5&lt;EG5,TRUE),IF(AND(EG5="",EF5&lt;&gt;""),TRUE))</formula>
    </cfRule>
    <cfRule type="expression" dxfId="621" priority="1826">
      <formula>IF(EF5&gt;=EG5,IF(EF5="",FALSE,TRUE))</formula>
    </cfRule>
  </conditionalFormatting>
  <conditionalFormatting sqref="ED34:ED35">
    <cfRule type="expression" dxfId="620" priority="1823">
      <formula>OR(IF(ED34&lt;EE34,TRUE),IF(AND(EE34="",ED34&lt;&gt;""),TRUE))</formula>
    </cfRule>
    <cfRule type="expression" dxfId="619" priority="1824">
      <formula>IF(ED34&gt;=EE34,IF(ED34="",FALSE,TRUE))</formula>
    </cfRule>
  </conditionalFormatting>
  <conditionalFormatting sqref="EF36:EF45">
    <cfRule type="expression" dxfId="618" priority="1813">
      <formula>OR(IF(EF36&lt;EG36,TRUE),IF(AND(EG36="",EF36&lt;&gt;""),TRUE))</formula>
    </cfRule>
    <cfRule type="expression" dxfId="617" priority="1814">
      <formula>IF(EF36&gt;=EG36,IF(EF36="",FALSE,TRUE))</formula>
    </cfRule>
  </conditionalFormatting>
  <conditionalFormatting sqref="EF34:EF35">
    <cfRule type="expression" dxfId="616" priority="1821">
      <formula>OR(IF(EF34&lt;EG34,TRUE),IF(AND(EG34="",EF34&lt;&gt;""),TRUE))</formula>
    </cfRule>
    <cfRule type="expression" dxfId="615" priority="1822">
      <formula>IF(EF34&gt;=EG34,IF(EF34="",FALSE,TRUE))</formula>
    </cfRule>
  </conditionalFormatting>
  <conditionalFormatting sqref="ED25">
    <cfRule type="expression" dxfId="614" priority="1819">
      <formula>OR(IF(ED25&lt;EE25,TRUE),IF(AND(EE25="",ED25&lt;&gt;""),TRUE))</formula>
    </cfRule>
    <cfRule type="expression" dxfId="613" priority="1820">
      <formula>IF(ED25&gt;=EE25,IF(ED25="",FALSE,TRUE))</formula>
    </cfRule>
  </conditionalFormatting>
  <conditionalFormatting sqref="EF25">
    <cfRule type="expression" dxfId="612" priority="1817">
      <formula>OR(IF(EF25&lt;EG25,TRUE),IF(AND(EG25="",EF25&lt;&gt;""),TRUE))</formula>
    </cfRule>
    <cfRule type="expression" dxfId="611" priority="1818">
      <formula>IF(EF25&gt;=EG25,IF(EF25="",FALSE,TRUE))</formula>
    </cfRule>
  </conditionalFormatting>
  <conditionalFormatting sqref="ED36:ED45">
    <cfRule type="expression" dxfId="610" priority="1815">
      <formula>OR(IF(ED36&lt;EE36,TRUE),IF(AND(EE36="",ED36&lt;&gt;""),TRUE))</formula>
    </cfRule>
    <cfRule type="expression" dxfId="609" priority="1816">
      <formula>IF(ED36&gt;=EE36,IF(ED36="",FALSE,TRUE))</formula>
    </cfRule>
  </conditionalFormatting>
  <conditionalFormatting sqref="ED49:ED50">
    <cfRule type="expression" dxfId="608" priority="1811">
      <formula>OR(IF(ED49&lt;EE49,TRUE),IF(AND(EE49="",ED49&lt;&gt;""),TRUE))</formula>
    </cfRule>
    <cfRule type="expression" dxfId="607" priority="1812">
      <formula>IF(ED49&gt;=EE49,IF(ED49="",FALSE,TRUE))</formula>
    </cfRule>
  </conditionalFormatting>
  <conditionalFormatting sqref="EF51:EF60">
    <cfRule type="expression" dxfId="606" priority="1805">
      <formula>OR(IF(EF51&lt;EG51,TRUE),IF(AND(EG51="",EF51&lt;&gt;""),TRUE))</formula>
    </cfRule>
    <cfRule type="expression" dxfId="605" priority="1806">
      <formula>IF(EF51&gt;=EG51,IF(EF51="",FALSE,TRUE))</formula>
    </cfRule>
  </conditionalFormatting>
  <conditionalFormatting sqref="EF49:EF50">
    <cfRule type="expression" dxfId="604" priority="1809">
      <formula>OR(IF(EF49&lt;EG49,TRUE),IF(AND(EG49="",EF49&lt;&gt;""),TRUE))</formula>
    </cfRule>
    <cfRule type="expression" dxfId="603" priority="1810">
      <formula>IF(EF49&gt;=EG49,IF(EF49="",FALSE,TRUE))</formula>
    </cfRule>
  </conditionalFormatting>
  <conditionalFormatting sqref="ED51:ED60">
    <cfRule type="expression" dxfId="602" priority="1807">
      <formula>OR(IF(ED51&lt;EE51,TRUE),IF(AND(EE51="",ED51&lt;&gt;""),TRUE))</formula>
    </cfRule>
    <cfRule type="expression" dxfId="601" priority="1808">
      <formula>IF(ED51&gt;=EE51,IF(ED51="",FALSE,TRUE))</formula>
    </cfRule>
  </conditionalFormatting>
  <conditionalFormatting sqref="ED65:ED66">
    <cfRule type="expression" dxfId="600" priority="1803">
      <formula>OR(IF(ED65&lt;EE65,TRUE),IF(AND(EE65="",ED65&lt;&gt;""),TRUE))</formula>
    </cfRule>
    <cfRule type="expression" dxfId="599" priority="1804">
      <formula>IF(ED65&gt;=EE65,IF(ED65="",FALSE,TRUE))</formula>
    </cfRule>
  </conditionalFormatting>
  <conditionalFormatting sqref="EF67:EF76">
    <cfRule type="expression" dxfId="598" priority="1797">
      <formula>OR(IF(EF67&lt;EG67,TRUE),IF(AND(EG67="",EF67&lt;&gt;""),TRUE))</formula>
    </cfRule>
    <cfRule type="expression" dxfId="597" priority="1798">
      <formula>IF(EF67&gt;=EG67,IF(EF67="",FALSE,TRUE))</formula>
    </cfRule>
  </conditionalFormatting>
  <conditionalFormatting sqref="EF65:EF66">
    <cfRule type="expression" dxfId="596" priority="1801">
      <formula>OR(IF(EF65&lt;EG65,TRUE),IF(AND(EG65="",EF65&lt;&gt;""),TRUE))</formula>
    </cfRule>
    <cfRule type="expression" dxfId="595" priority="1802">
      <formula>IF(EF65&gt;=EG65,IF(EF65="",FALSE,TRUE))</formula>
    </cfRule>
  </conditionalFormatting>
  <conditionalFormatting sqref="ED67:ED76">
    <cfRule type="expression" dxfId="594" priority="1799">
      <formula>OR(IF(ED67&lt;EE67,TRUE),IF(AND(EE67="",ED67&lt;&gt;""),TRUE))</formula>
    </cfRule>
    <cfRule type="expression" dxfId="593" priority="1800">
      <formula>IF(ED67&gt;=EE67,IF(ED67="",FALSE,TRUE))</formula>
    </cfRule>
  </conditionalFormatting>
  <conditionalFormatting sqref="ED95:ED96">
    <cfRule type="expression" dxfId="592" priority="1795">
      <formula>OR(IF(ED95&lt;EE95,TRUE),IF(AND(EE95="",ED95&lt;&gt;""),TRUE))</formula>
    </cfRule>
    <cfRule type="expression" dxfId="591" priority="1796">
      <formula>IF(ED95&gt;=EE95,IF(ED95="",FALSE,TRUE))</formula>
    </cfRule>
  </conditionalFormatting>
  <conditionalFormatting sqref="EF97:EF106">
    <cfRule type="expression" dxfId="590" priority="1789">
      <formula>OR(IF(EF97&lt;EG97,TRUE),IF(AND(EG97="",EF97&lt;&gt;""),TRUE))</formula>
    </cfRule>
    <cfRule type="expression" dxfId="589" priority="1790">
      <formula>IF(EF97&gt;=EG97,IF(EF97="",FALSE,TRUE))</formula>
    </cfRule>
  </conditionalFormatting>
  <conditionalFormatting sqref="EF95:EF96">
    <cfRule type="expression" dxfId="588" priority="1793">
      <formula>OR(IF(EF95&lt;EG95,TRUE),IF(AND(EG95="",EF95&lt;&gt;""),TRUE))</formula>
    </cfRule>
    <cfRule type="expression" dxfId="587" priority="1794">
      <formula>IF(EF95&gt;=EG95,IF(EF95="",FALSE,TRUE))</formula>
    </cfRule>
  </conditionalFormatting>
  <conditionalFormatting sqref="ED97:ED106">
    <cfRule type="expression" dxfId="586" priority="1791">
      <formula>OR(IF(ED97&lt;EE97,TRUE),IF(AND(EE97="",ED97&lt;&gt;""),TRUE))</formula>
    </cfRule>
    <cfRule type="expression" dxfId="585" priority="1792">
      <formula>IF(ED97&gt;=EE97,IF(ED97="",FALSE,TRUE))</formula>
    </cfRule>
  </conditionalFormatting>
  <conditionalFormatting sqref="EF77">
    <cfRule type="expression" dxfId="584" priority="1785">
      <formula>OR(IF(EF77&lt;EG77,TRUE),IF(AND(EG77="",EF77&lt;&gt;""),TRUE))</formula>
    </cfRule>
    <cfRule type="expression" dxfId="583" priority="1786">
      <formula>IF(EF77&gt;=EG77,IF(EF77="",FALSE,TRUE))</formula>
    </cfRule>
  </conditionalFormatting>
  <conditionalFormatting sqref="ED77">
    <cfRule type="expression" dxfId="582" priority="1787">
      <formula>OR(IF(ED77&lt;EE77,TRUE),IF(AND(EE77="",ED77&lt;&gt;""),TRUE))</formula>
    </cfRule>
    <cfRule type="expression" dxfId="581" priority="1788">
      <formula>IF(ED77&gt;=EE77,IF(ED77="",FALSE,TRUE))</formula>
    </cfRule>
  </conditionalFormatting>
  <conditionalFormatting sqref="EF78">
    <cfRule type="expression" dxfId="580" priority="1781">
      <formula>OR(IF(EF78&lt;EG78,TRUE),IF(AND(EG78="",EF78&lt;&gt;""),TRUE))</formula>
    </cfRule>
    <cfRule type="expression" dxfId="579" priority="1782">
      <formula>IF(EF78&gt;=EG78,IF(EF78="",FALSE,TRUE))</formula>
    </cfRule>
  </conditionalFormatting>
  <conditionalFormatting sqref="ED78">
    <cfRule type="expression" dxfId="578" priority="1783">
      <formula>OR(IF(ED78&lt;EE78,TRUE),IF(AND(EE78="",ED78&lt;&gt;""),TRUE))</formula>
    </cfRule>
    <cfRule type="expression" dxfId="577" priority="1784">
      <formula>IF(ED78&gt;=EE78,IF(ED78="",FALSE,TRUE))</formula>
    </cfRule>
  </conditionalFormatting>
  <conditionalFormatting sqref="EF79">
    <cfRule type="expression" dxfId="576" priority="1777">
      <formula>OR(IF(EF79&lt;EG79,TRUE),IF(AND(EG79="",EF79&lt;&gt;""),TRUE))</formula>
    </cfRule>
    <cfRule type="expression" dxfId="575" priority="1778">
      <formula>IF(EF79&gt;=EG79,IF(EF79="",FALSE,TRUE))</formula>
    </cfRule>
  </conditionalFormatting>
  <conditionalFormatting sqref="ED79">
    <cfRule type="expression" dxfId="574" priority="1779">
      <formula>OR(IF(ED79&lt;EE79,TRUE),IF(AND(EE79="",ED79&lt;&gt;""),TRUE))</formula>
    </cfRule>
    <cfRule type="expression" dxfId="573" priority="1780">
      <formula>IF(ED79&gt;=EE79,IF(ED79="",FALSE,TRUE))</formula>
    </cfRule>
  </conditionalFormatting>
  <conditionalFormatting sqref="EF80">
    <cfRule type="expression" dxfId="572" priority="1773">
      <formula>OR(IF(EF80&lt;EG80,TRUE),IF(AND(EG80="",EF80&lt;&gt;""),TRUE))</formula>
    </cfRule>
    <cfRule type="expression" dxfId="571" priority="1774">
      <formula>IF(EF80&gt;=EG80,IF(EF80="",FALSE,TRUE))</formula>
    </cfRule>
  </conditionalFormatting>
  <conditionalFormatting sqref="ED80">
    <cfRule type="expression" dxfId="570" priority="1775">
      <formula>OR(IF(ED80&lt;EE80,TRUE),IF(AND(EE80="",ED80&lt;&gt;""),TRUE))</formula>
    </cfRule>
    <cfRule type="expression" dxfId="569" priority="1776">
      <formula>IF(ED80&gt;=EE80,IF(ED80="",FALSE,TRUE))</formula>
    </cfRule>
  </conditionalFormatting>
  <conditionalFormatting sqref="EF81">
    <cfRule type="expression" dxfId="568" priority="1769">
      <formula>OR(IF(EF81&lt;EG81,TRUE),IF(AND(EG81="",EF81&lt;&gt;""),TRUE))</formula>
    </cfRule>
    <cfRule type="expression" dxfId="567" priority="1770">
      <formula>IF(EF81&gt;=EG81,IF(EF81="",FALSE,TRUE))</formula>
    </cfRule>
  </conditionalFormatting>
  <conditionalFormatting sqref="ED81">
    <cfRule type="expression" dxfId="566" priority="1771">
      <formula>OR(IF(ED81&lt;EE81,TRUE),IF(AND(EE81="",ED81&lt;&gt;""),TRUE))</formula>
    </cfRule>
    <cfRule type="expression" dxfId="565" priority="1772">
      <formula>IF(ED81&gt;=EE81,IF(ED81="",FALSE,TRUE))</formula>
    </cfRule>
  </conditionalFormatting>
  <conditionalFormatting sqref="EF82">
    <cfRule type="expression" dxfId="564" priority="1765">
      <formula>OR(IF(EF82&lt;EG82,TRUE),IF(AND(EG82="",EF82&lt;&gt;""),TRUE))</formula>
    </cfRule>
    <cfRule type="expression" dxfId="563" priority="1766">
      <formula>IF(EF82&gt;=EG82,IF(EF82="",FALSE,TRUE))</formula>
    </cfRule>
  </conditionalFormatting>
  <conditionalFormatting sqref="ED82">
    <cfRule type="expression" dxfId="562" priority="1767">
      <formula>OR(IF(ED82&lt;EE82,TRUE),IF(AND(EE82="",ED82&lt;&gt;""),TRUE))</formula>
    </cfRule>
    <cfRule type="expression" dxfId="561" priority="1768">
      <formula>IF(ED82&gt;=EE82,IF(ED82="",FALSE,TRUE))</formula>
    </cfRule>
  </conditionalFormatting>
  <conditionalFormatting sqref="EF83">
    <cfRule type="expression" dxfId="560" priority="1761">
      <formula>OR(IF(EF83&lt;EG83,TRUE),IF(AND(EG83="",EF83&lt;&gt;""),TRUE))</formula>
    </cfRule>
    <cfRule type="expression" dxfId="559" priority="1762">
      <formula>IF(EF83&gt;=EG83,IF(EF83="",FALSE,TRUE))</formula>
    </cfRule>
  </conditionalFormatting>
  <conditionalFormatting sqref="ED83">
    <cfRule type="expression" dxfId="558" priority="1763">
      <formula>OR(IF(ED83&lt;EE83,TRUE),IF(AND(EE83="",ED83&lt;&gt;""),TRUE))</formula>
    </cfRule>
    <cfRule type="expression" dxfId="557" priority="1764">
      <formula>IF(ED83&gt;=EE83,IF(ED83="",FALSE,TRUE))</formula>
    </cfRule>
  </conditionalFormatting>
  <conditionalFormatting sqref="EF84">
    <cfRule type="expression" dxfId="556" priority="1757">
      <formula>OR(IF(EF84&lt;EG84,TRUE),IF(AND(EG84="",EF84&lt;&gt;""),TRUE))</formula>
    </cfRule>
    <cfRule type="expression" dxfId="555" priority="1758">
      <formula>IF(EF84&gt;=EG84,IF(EF84="",FALSE,TRUE))</formula>
    </cfRule>
  </conditionalFormatting>
  <conditionalFormatting sqref="ED84">
    <cfRule type="expression" dxfId="554" priority="1759">
      <formula>OR(IF(ED84&lt;EE84,TRUE),IF(AND(EE84="",ED84&lt;&gt;""),TRUE))</formula>
    </cfRule>
    <cfRule type="expression" dxfId="553" priority="1760">
      <formula>IF(ED84&gt;=EE84,IF(ED84="",FALSE,TRUE))</formula>
    </cfRule>
  </conditionalFormatting>
  <conditionalFormatting sqref="EF85">
    <cfRule type="expression" dxfId="552" priority="1753">
      <formula>OR(IF(EF85&lt;EG85,TRUE),IF(AND(EG85="",EF85&lt;&gt;""),TRUE))</formula>
    </cfRule>
    <cfRule type="expression" dxfId="551" priority="1754">
      <formula>IF(EF85&gt;=EG85,IF(EF85="",FALSE,TRUE))</formula>
    </cfRule>
  </conditionalFormatting>
  <conditionalFormatting sqref="ED85">
    <cfRule type="expression" dxfId="550" priority="1755">
      <formula>OR(IF(ED85&lt;EE85,TRUE),IF(AND(EE85="",ED85&lt;&gt;""),TRUE))</formula>
    </cfRule>
    <cfRule type="expression" dxfId="549" priority="1756">
      <formula>IF(ED85&gt;=EE85,IF(ED85="",FALSE,TRUE))</formula>
    </cfRule>
  </conditionalFormatting>
  <conditionalFormatting sqref="EF86">
    <cfRule type="expression" dxfId="548" priority="1749">
      <formula>OR(IF(EF86&lt;EG86,TRUE),IF(AND(EG86="",EF86&lt;&gt;""),TRUE))</formula>
    </cfRule>
    <cfRule type="expression" dxfId="547" priority="1750">
      <formula>IF(EF86&gt;=EG86,IF(EF86="",FALSE,TRUE))</formula>
    </cfRule>
  </conditionalFormatting>
  <conditionalFormatting sqref="ED86">
    <cfRule type="expression" dxfId="546" priority="1751">
      <formula>OR(IF(ED86&lt;EE86,TRUE),IF(AND(EE86="",ED86&lt;&gt;""),TRUE))</formula>
    </cfRule>
    <cfRule type="expression" dxfId="545" priority="1752">
      <formula>IF(ED86&gt;=EE86,IF(ED86="",FALSE,TRUE))</formula>
    </cfRule>
  </conditionalFormatting>
  <conditionalFormatting sqref="EF87">
    <cfRule type="expression" dxfId="544" priority="1745">
      <formula>OR(IF(EF87&lt;EG87,TRUE),IF(AND(EG87="",EF87&lt;&gt;""),TRUE))</formula>
    </cfRule>
    <cfRule type="expression" dxfId="543" priority="1746">
      <formula>IF(EF87&gt;=EG87,IF(EF87="",FALSE,TRUE))</formula>
    </cfRule>
  </conditionalFormatting>
  <conditionalFormatting sqref="ED87">
    <cfRule type="expression" dxfId="542" priority="1747">
      <formula>OR(IF(ED87&lt;EE87,TRUE),IF(AND(EE87="",ED87&lt;&gt;""),TRUE))</formula>
    </cfRule>
    <cfRule type="expression" dxfId="541" priority="1748">
      <formula>IF(ED87&gt;=EE87,IF(ED87="",FALSE,TRUE))</formula>
    </cfRule>
  </conditionalFormatting>
  <conditionalFormatting sqref="EF88">
    <cfRule type="expression" dxfId="540" priority="1741">
      <formula>OR(IF(EF88&lt;EG88,TRUE),IF(AND(EG88="",EF88&lt;&gt;""),TRUE))</formula>
    </cfRule>
    <cfRule type="expression" dxfId="539" priority="1742">
      <formula>IF(EF88&gt;=EG88,IF(EF88="",FALSE,TRUE))</formula>
    </cfRule>
  </conditionalFormatting>
  <conditionalFormatting sqref="ED88">
    <cfRule type="expression" dxfId="538" priority="1743">
      <formula>OR(IF(ED88&lt;EE88,TRUE),IF(AND(EE88="",ED88&lt;&gt;""),TRUE))</formula>
    </cfRule>
    <cfRule type="expression" dxfId="537" priority="1744">
      <formula>IF(ED88&gt;=EE88,IF(ED88="",FALSE,TRUE))</formula>
    </cfRule>
  </conditionalFormatting>
  <conditionalFormatting sqref="EF89:EF93">
    <cfRule type="expression" dxfId="536" priority="1737">
      <formula>OR(IF(EF89&lt;EG89,TRUE),IF(AND(EG89="",EF89&lt;&gt;""),TRUE))</formula>
    </cfRule>
    <cfRule type="expression" dxfId="535" priority="1738">
      <formula>IF(EF89&gt;=EG89,IF(EF89="",FALSE,TRUE))</formula>
    </cfRule>
  </conditionalFormatting>
  <conditionalFormatting sqref="ED89:ED93">
    <cfRule type="expression" dxfId="534" priority="1739">
      <formula>OR(IF(ED89&lt;EE89,TRUE),IF(AND(EE89="",ED89&lt;&gt;""),TRUE))</formula>
    </cfRule>
    <cfRule type="expression" dxfId="533" priority="1740">
      <formula>IF(ED89&gt;=EE89,IF(ED89="",FALSE,TRUE))</formula>
    </cfRule>
  </conditionalFormatting>
  <conditionalFormatting sqref="ED26">
    <cfRule type="expression" dxfId="532" priority="1735">
      <formula>OR(IF(ED26&lt;EE26,TRUE),IF(AND(EE26="",ED26&lt;&gt;""),TRUE))</formula>
    </cfRule>
    <cfRule type="expression" dxfId="531" priority="1736">
      <formula>IF(ED26&gt;=EE26,IF(ED26="",FALSE,TRUE))</formula>
    </cfRule>
  </conditionalFormatting>
  <conditionalFormatting sqref="EF26">
    <cfRule type="expression" dxfId="530" priority="1733">
      <formula>OR(IF(EF26&lt;EG26,TRUE),IF(AND(EG26="",EF26&lt;&gt;""),TRUE))</formula>
    </cfRule>
    <cfRule type="expression" dxfId="529" priority="1734">
      <formula>IF(EF26&gt;=EG26,IF(EF26="",FALSE,TRUE))</formula>
    </cfRule>
  </conditionalFormatting>
  <conditionalFormatting sqref="ED27">
    <cfRule type="expression" dxfId="528" priority="1731">
      <formula>OR(IF(ED27&lt;EE27,TRUE),IF(AND(EE27="",ED27&lt;&gt;""),TRUE))</formula>
    </cfRule>
    <cfRule type="expression" dxfId="527" priority="1732">
      <formula>IF(ED27&gt;=EE27,IF(ED27="",FALSE,TRUE))</formula>
    </cfRule>
  </conditionalFormatting>
  <conditionalFormatting sqref="EF27">
    <cfRule type="expression" dxfId="526" priority="1729">
      <formula>OR(IF(EF27&lt;EG27,TRUE),IF(AND(EG27="",EF27&lt;&gt;""),TRUE))</formula>
    </cfRule>
    <cfRule type="expression" dxfId="525" priority="1730">
      <formula>IF(EF27&gt;=EG27,IF(EF27="",FALSE,TRUE))</formula>
    </cfRule>
  </conditionalFormatting>
  <conditionalFormatting sqref="ED28">
    <cfRule type="expression" dxfId="524" priority="1727">
      <formula>OR(IF(ED28&lt;EE28,TRUE),IF(AND(EE28="",ED28&lt;&gt;""),TRUE))</formula>
    </cfRule>
    <cfRule type="expression" dxfId="523" priority="1728">
      <formula>IF(ED28&gt;=EE28,IF(ED28="",FALSE,TRUE))</formula>
    </cfRule>
  </conditionalFormatting>
  <conditionalFormatting sqref="EF28">
    <cfRule type="expression" dxfId="522" priority="1725">
      <formula>OR(IF(EF28&lt;EG28,TRUE),IF(AND(EG28="",EF28&lt;&gt;""),TRUE))</formula>
    </cfRule>
    <cfRule type="expression" dxfId="521" priority="1726">
      <formula>IF(EF28&gt;=EG28,IF(EF28="",FALSE,TRUE))</formula>
    </cfRule>
  </conditionalFormatting>
  <conditionalFormatting sqref="ED29">
    <cfRule type="expression" dxfId="520" priority="1723">
      <formula>OR(IF(ED29&lt;EE29,TRUE),IF(AND(EE29="",ED29&lt;&gt;""),TRUE))</formula>
    </cfRule>
    <cfRule type="expression" dxfId="519" priority="1724">
      <formula>IF(ED29&gt;=EE29,IF(ED29="",FALSE,TRUE))</formula>
    </cfRule>
  </conditionalFormatting>
  <conditionalFormatting sqref="EF29">
    <cfRule type="expression" dxfId="518" priority="1721">
      <formula>OR(IF(EF29&lt;EG29,TRUE),IF(AND(EG29="",EF29&lt;&gt;""),TRUE))</formula>
    </cfRule>
    <cfRule type="expression" dxfId="517" priority="1722">
      <formula>IF(EF29&gt;=EG29,IF(EF29="",FALSE,TRUE))</formula>
    </cfRule>
  </conditionalFormatting>
  <conditionalFormatting sqref="ED30:ED31">
    <cfRule type="expression" dxfId="516" priority="1719">
      <formula>OR(IF(ED30&lt;EE30,TRUE),IF(AND(EE30="",ED30&lt;&gt;""),TRUE))</formula>
    </cfRule>
    <cfRule type="expression" dxfId="515" priority="1720">
      <formula>IF(ED30&gt;=EE30,IF(ED30="",FALSE,TRUE))</formula>
    </cfRule>
  </conditionalFormatting>
  <conditionalFormatting sqref="EF30:EF31">
    <cfRule type="expression" dxfId="514" priority="1717">
      <formula>OR(IF(EF30&lt;EG30,TRUE),IF(AND(EG30="",EF30&lt;&gt;""),TRUE))</formula>
    </cfRule>
    <cfRule type="expression" dxfId="513" priority="1718">
      <formula>IF(EF30&gt;=EG30,IF(EF30="",FALSE,TRUE))</formula>
    </cfRule>
  </conditionalFormatting>
  <conditionalFormatting sqref="ED112:ED113">
    <cfRule type="expression" dxfId="512" priority="1715">
      <formula>OR(IF(ED112&lt;EE112,TRUE),IF(AND(EE112="",ED112&lt;&gt;""),TRUE))</formula>
    </cfRule>
    <cfRule type="expression" dxfId="511" priority="1716">
      <formula>IF(ED112&gt;=EE112,IF(ED112="",FALSE,TRUE))</formula>
    </cfRule>
  </conditionalFormatting>
  <conditionalFormatting sqref="EF112:EF113">
    <cfRule type="expression" dxfId="510" priority="1713">
      <formula>OR(IF(EF112&lt;EG112,TRUE),IF(AND(EG112="",EF112&lt;&gt;""),TRUE))</formula>
    </cfRule>
    <cfRule type="expression" dxfId="509" priority="1714">
      <formula>IF(EF112&gt;=EG112,IF(EF112="",FALSE,TRUE))</formula>
    </cfRule>
  </conditionalFormatting>
  <conditionalFormatting sqref="EF110">
    <cfRule type="expression" dxfId="508" priority="1709">
      <formula>OR(IF(EF110&lt;EG110,TRUE),IF(AND(EG110="",EF110&lt;&gt;""),TRUE))</formula>
    </cfRule>
    <cfRule type="expression" dxfId="507" priority="1710">
      <formula>IF(EF110&gt;=EG110,IF(EF110="",FALSE,TRUE))</formula>
    </cfRule>
  </conditionalFormatting>
  <conditionalFormatting sqref="ED110">
    <cfRule type="expression" dxfId="506" priority="1711">
      <formula>OR(IF(ED110&lt;EE110,TRUE),IF(AND(EE110="",ED110&lt;&gt;""),TRUE))</formula>
    </cfRule>
    <cfRule type="expression" dxfId="505" priority="1712">
      <formula>IF(ED110&gt;=EE110,IF(ED110="",FALSE,TRUE))</formula>
    </cfRule>
  </conditionalFormatting>
  <conditionalFormatting sqref="AZ114:AZ122 AX114:AX122">
    <cfRule type="expression" dxfId="504" priority="487">
      <formula>OR(IF(AX114&lt;AY114,TRUE),IF(AND(AY114="",AX114&lt;&gt;""),TRUE))</formula>
    </cfRule>
    <cfRule type="expression" dxfId="503" priority="488">
      <formula>IF(AX114&gt;=AY114,IF(AX114="",FALSE,TRUE))</formula>
    </cfRule>
  </conditionalFormatting>
  <conditionalFormatting sqref="AX20:AX24 AZ20:AZ24 AX5:AX17">
    <cfRule type="expression" dxfId="502" priority="485">
      <formula>OR(IF(AX5&lt;AY5,TRUE),IF(AND(AY5="",AX5&lt;&gt;""),TRUE))</formula>
    </cfRule>
    <cfRule type="expression" dxfId="501" priority="486">
      <formula>IF(AX5&gt;=AY5,IF(AX5="",FALSE,TRUE))</formula>
    </cfRule>
  </conditionalFormatting>
  <conditionalFormatting sqref="AZ5:AZ17">
    <cfRule type="expression" dxfId="500" priority="483">
      <formula>OR(IF(AZ5&lt;BA5,TRUE),IF(AND(BA5="",AZ5&lt;&gt;""),TRUE))</formula>
    </cfRule>
    <cfRule type="expression" dxfId="499" priority="484">
      <formula>IF(AZ5&gt;=BA5,IF(AZ5="",FALSE,TRUE))</formula>
    </cfRule>
  </conditionalFormatting>
  <conditionalFormatting sqref="AX34:AX35">
    <cfRule type="expression" dxfId="498" priority="481">
      <formula>OR(IF(AX34&lt;AY34,TRUE),IF(AND(AY34="",AX34&lt;&gt;""),TRUE))</formula>
    </cfRule>
    <cfRule type="expression" dxfId="497" priority="482">
      <formula>IF(AX34&gt;=AY34,IF(AX34="",FALSE,TRUE))</formula>
    </cfRule>
  </conditionalFormatting>
  <conditionalFormatting sqref="AZ34:AZ35">
    <cfRule type="expression" dxfId="496" priority="479">
      <formula>OR(IF(AZ34&lt;BA34,TRUE),IF(AND(BA34="",AZ34&lt;&gt;""),TRUE))</formula>
    </cfRule>
    <cfRule type="expression" dxfId="495" priority="480">
      <formula>IF(AZ34&gt;=BA34,IF(AZ34="",FALSE,TRUE))</formula>
    </cfRule>
  </conditionalFormatting>
  <conditionalFormatting sqref="AZ36:AZ45">
    <cfRule type="expression" dxfId="494" priority="471">
      <formula>OR(IF(AZ36&lt;BA36,TRUE),IF(AND(BA36="",AZ36&lt;&gt;""),TRUE))</formula>
    </cfRule>
    <cfRule type="expression" dxfId="493" priority="472">
      <formula>IF(AZ36&gt;=BA36,IF(AZ36="",FALSE,TRUE))</formula>
    </cfRule>
  </conditionalFormatting>
  <conditionalFormatting sqref="AX25">
    <cfRule type="expression" dxfId="492" priority="477">
      <formula>OR(IF(AX25&lt;AY25,TRUE),IF(AND(AY25="",AX25&lt;&gt;""),TRUE))</formula>
    </cfRule>
    <cfRule type="expression" dxfId="491" priority="478">
      <formula>IF(AX25&gt;=AY25,IF(AX25="",FALSE,TRUE))</formula>
    </cfRule>
  </conditionalFormatting>
  <conditionalFormatting sqref="AZ25">
    <cfRule type="expression" dxfId="490" priority="475">
      <formula>OR(IF(AZ25&lt;BA25,TRUE),IF(AND(BA25="",AZ25&lt;&gt;""),TRUE))</formula>
    </cfRule>
    <cfRule type="expression" dxfId="489" priority="476">
      <formula>IF(AZ25&gt;=BA25,IF(AZ25="",FALSE,TRUE))</formula>
    </cfRule>
  </conditionalFormatting>
  <conditionalFormatting sqref="AX36:AX45">
    <cfRule type="expression" dxfId="488" priority="473">
      <formula>OR(IF(AX36&lt;AY36,TRUE),IF(AND(AY36="",AX36&lt;&gt;""),TRUE))</formula>
    </cfRule>
    <cfRule type="expression" dxfId="487" priority="474">
      <formula>IF(AX36&gt;=AY36,IF(AX36="",FALSE,TRUE))</formula>
    </cfRule>
  </conditionalFormatting>
  <conditionalFormatting sqref="AX49:AX50">
    <cfRule type="expression" dxfId="486" priority="469">
      <formula>OR(IF(AX49&lt;AY49,TRUE),IF(AND(AY49="",AX49&lt;&gt;""),TRUE))</formula>
    </cfRule>
    <cfRule type="expression" dxfId="485" priority="470">
      <formula>IF(AX49&gt;=AY49,IF(AX49="",FALSE,TRUE))</formula>
    </cfRule>
  </conditionalFormatting>
  <conditionalFormatting sqref="AZ49:AZ50">
    <cfRule type="expression" dxfId="484" priority="467">
      <formula>OR(IF(AZ49&lt;BA49,TRUE),IF(AND(BA49="",AZ49&lt;&gt;""),TRUE))</formula>
    </cfRule>
    <cfRule type="expression" dxfId="483" priority="468">
      <formula>IF(AZ49&gt;=BA49,IF(AZ49="",FALSE,TRUE))</formula>
    </cfRule>
  </conditionalFormatting>
  <conditionalFormatting sqref="AZ51:AZ60">
    <cfRule type="expression" dxfId="482" priority="463">
      <formula>OR(IF(AZ51&lt;BA51,TRUE),IF(AND(BA51="",AZ51&lt;&gt;""),TRUE))</formula>
    </cfRule>
    <cfRule type="expression" dxfId="481" priority="464">
      <formula>IF(AZ51&gt;=BA51,IF(AZ51="",FALSE,TRUE))</formula>
    </cfRule>
  </conditionalFormatting>
  <conditionalFormatting sqref="AX51:AX60">
    <cfRule type="expression" dxfId="480" priority="465">
      <formula>OR(IF(AX51&lt;AY51,TRUE),IF(AND(AY51="",AX51&lt;&gt;""),TRUE))</formula>
    </cfRule>
    <cfRule type="expression" dxfId="479" priority="466">
      <formula>IF(AX51&gt;=AY51,IF(AX51="",FALSE,TRUE))</formula>
    </cfRule>
  </conditionalFormatting>
  <conditionalFormatting sqref="AX65:AX66">
    <cfRule type="expression" dxfId="478" priority="461">
      <formula>OR(IF(AX65&lt;AY65,TRUE),IF(AND(AY65="",AX65&lt;&gt;""),TRUE))</formula>
    </cfRule>
    <cfRule type="expression" dxfId="477" priority="462">
      <formula>IF(AX65&gt;=AY65,IF(AX65="",FALSE,TRUE))</formula>
    </cfRule>
  </conditionalFormatting>
  <conditionalFormatting sqref="AZ65:AZ66">
    <cfRule type="expression" dxfId="476" priority="459">
      <formula>OR(IF(AZ65&lt;BA65,TRUE),IF(AND(BA65="",AZ65&lt;&gt;""),TRUE))</formula>
    </cfRule>
    <cfRule type="expression" dxfId="475" priority="460">
      <formula>IF(AZ65&gt;=BA65,IF(AZ65="",FALSE,TRUE))</formula>
    </cfRule>
  </conditionalFormatting>
  <conditionalFormatting sqref="AZ67:AZ76">
    <cfRule type="expression" dxfId="474" priority="455">
      <formula>OR(IF(AZ67&lt;BA67,TRUE),IF(AND(BA67="",AZ67&lt;&gt;""),TRUE))</formula>
    </cfRule>
    <cfRule type="expression" dxfId="473" priority="456">
      <formula>IF(AZ67&gt;=BA67,IF(AZ67="",FALSE,TRUE))</formula>
    </cfRule>
  </conditionalFormatting>
  <conditionalFormatting sqref="AX67:AX76">
    <cfRule type="expression" dxfId="472" priority="457">
      <formula>OR(IF(AX67&lt;AY67,TRUE),IF(AND(AY67="",AX67&lt;&gt;""),TRUE))</formula>
    </cfRule>
    <cfRule type="expression" dxfId="471" priority="458">
      <formula>IF(AX67&gt;=AY67,IF(AX67="",FALSE,TRUE))</formula>
    </cfRule>
  </conditionalFormatting>
  <conditionalFormatting sqref="AX95:AX96">
    <cfRule type="expression" dxfId="470" priority="453">
      <formula>OR(IF(AX95&lt;AY95,TRUE),IF(AND(AY95="",AX95&lt;&gt;""),TRUE))</formula>
    </cfRule>
    <cfRule type="expression" dxfId="469" priority="454">
      <formula>IF(AX95&gt;=AY95,IF(AX95="",FALSE,TRUE))</formula>
    </cfRule>
  </conditionalFormatting>
  <conditionalFormatting sqref="AZ95:AZ96">
    <cfRule type="expression" dxfId="468" priority="451">
      <formula>OR(IF(AZ95&lt;BA95,TRUE),IF(AND(BA95="",AZ95&lt;&gt;""),TRUE))</formula>
    </cfRule>
    <cfRule type="expression" dxfId="467" priority="452">
      <formula>IF(AZ95&gt;=BA95,IF(AZ95="",FALSE,TRUE))</formula>
    </cfRule>
  </conditionalFormatting>
  <conditionalFormatting sqref="AZ97:AZ106">
    <cfRule type="expression" dxfId="466" priority="447">
      <formula>OR(IF(AZ97&lt;BA97,TRUE),IF(AND(BA97="",AZ97&lt;&gt;""),TRUE))</formula>
    </cfRule>
    <cfRule type="expression" dxfId="465" priority="448">
      <formula>IF(AZ97&gt;=BA97,IF(AZ97="",FALSE,TRUE))</formula>
    </cfRule>
  </conditionalFormatting>
  <conditionalFormatting sqref="AX97:AX106">
    <cfRule type="expression" dxfId="464" priority="449">
      <formula>OR(IF(AX97&lt;AY97,TRUE),IF(AND(AY97="",AX97&lt;&gt;""),TRUE))</formula>
    </cfRule>
    <cfRule type="expression" dxfId="463" priority="450">
      <formula>IF(AX97&gt;=AY97,IF(AX97="",FALSE,TRUE))</formula>
    </cfRule>
  </conditionalFormatting>
  <conditionalFormatting sqref="AZ77">
    <cfRule type="expression" dxfId="462" priority="443">
      <formula>OR(IF(AZ77&lt;BA77,TRUE),IF(AND(BA77="",AZ77&lt;&gt;""),TRUE))</formula>
    </cfRule>
    <cfRule type="expression" dxfId="461" priority="444">
      <formula>IF(AZ77&gt;=BA77,IF(AZ77="",FALSE,TRUE))</formula>
    </cfRule>
  </conditionalFormatting>
  <conditionalFormatting sqref="AX77">
    <cfRule type="expression" dxfId="460" priority="445">
      <formula>OR(IF(AX77&lt;AY77,TRUE),IF(AND(AY77="",AX77&lt;&gt;""),TRUE))</formula>
    </cfRule>
    <cfRule type="expression" dxfId="459" priority="446">
      <formula>IF(AX77&gt;=AY77,IF(AX77="",FALSE,TRUE))</formula>
    </cfRule>
  </conditionalFormatting>
  <conditionalFormatting sqref="AZ78">
    <cfRule type="expression" dxfId="458" priority="439">
      <formula>OR(IF(AZ78&lt;BA78,TRUE),IF(AND(BA78="",AZ78&lt;&gt;""),TRUE))</formula>
    </cfRule>
    <cfRule type="expression" dxfId="457" priority="440">
      <formula>IF(AZ78&gt;=BA78,IF(AZ78="",FALSE,TRUE))</formula>
    </cfRule>
  </conditionalFormatting>
  <conditionalFormatting sqref="AX78">
    <cfRule type="expression" dxfId="456" priority="441">
      <formula>OR(IF(AX78&lt;AY78,TRUE),IF(AND(AY78="",AX78&lt;&gt;""),TRUE))</formula>
    </cfRule>
    <cfRule type="expression" dxfId="455" priority="442">
      <formula>IF(AX78&gt;=AY78,IF(AX78="",FALSE,TRUE))</formula>
    </cfRule>
  </conditionalFormatting>
  <conditionalFormatting sqref="AZ79">
    <cfRule type="expression" dxfId="454" priority="435">
      <formula>OR(IF(AZ79&lt;BA79,TRUE),IF(AND(BA79="",AZ79&lt;&gt;""),TRUE))</formula>
    </cfRule>
    <cfRule type="expression" dxfId="453" priority="436">
      <formula>IF(AZ79&gt;=BA79,IF(AZ79="",FALSE,TRUE))</formula>
    </cfRule>
  </conditionalFormatting>
  <conditionalFormatting sqref="AX79">
    <cfRule type="expression" dxfId="452" priority="437">
      <formula>OR(IF(AX79&lt;AY79,TRUE),IF(AND(AY79="",AX79&lt;&gt;""),TRUE))</formula>
    </cfRule>
    <cfRule type="expression" dxfId="451" priority="438">
      <formula>IF(AX79&gt;=AY79,IF(AX79="",FALSE,TRUE))</formula>
    </cfRule>
  </conditionalFormatting>
  <conditionalFormatting sqref="AZ80">
    <cfRule type="expression" dxfId="450" priority="431">
      <formula>OR(IF(AZ80&lt;BA80,TRUE),IF(AND(BA80="",AZ80&lt;&gt;""),TRUE))</formula>
    </cfRule>
    <cfRule type="expression" dxfId="449" priority="432">
      <formula>IF(AZ80&gt;=BA80,IF(AZ80="",FALSE,TRUE))</formula>
    </cfRule>
  </conditionalFormatting>
  <conditionalFormatting sqref="AX80">
    <cfRule type="expression" dxfId="448" priority="433">
      <formula>OR(IF(AX80&lt;AY80,TRUE),IF(AND(AY80="",AX80&lt;&gt;""),TRUE))</formula>
    </cfRule>
    <cfRule type="expression" dxfId="447" priority="434">
      <formula>IF(AX80&gt;=AY80,IF(AX80="",FALSE,TRUE))</formula>
    </cfRule>
  </conditionalFormatting>
  <conditionalFormatting sqref="AZ81">
    <cfRule type="expression" dxfId="446" priority="427">
      <formula>OR(IF(AZ81&lt;BA81,TRUE),IF(AND(BA81="",AZ81&lt;&gt;""),TRUE))</formula>
    </cfRule>
    <cfRule type="expression" dxfId="445" priority="428">
      <formula>IF(AZ81&gt;=BA81,IF(AZ81="",FALSE,TRUE))</formula>
    </cfRule>
  </conditionalFormatting>
  <conditionalFormatting sqref="AX81">
    <cfRule type="expression" dxfId="444" priority="429">
      <formula>OR(IF(AX81&lt;AY81,TRUE),IF(AND(AY81="",AX81&lt;&gt;""),TRUE))</formula>
    </cfRule>
    <cfRule type="expression" dxfId="443" priority="430">
      <formula>IF(AX81&gt;=AY81,IF(AX81="",FALSE,TRUE))</formula>
    </cfRule>
  </conditionalFormatting>
  <conditionalFormatting sqref="AZ82">
    <cfRule type="expression" dxfId="442" priority="423">
      <formula>OR(IF(AZ82&lt;BA82,TRUE),IF(AND(BA82="",AZ82&lt;&gt;""),TRUE))</formula>
    </cfRule>
    <cfRule type="expression" dxfId="441" priority="424">
      <formula>IF(AZ82&gt;=BA82,IF(AZ82="",FALSE,TRUE))</formula>
    </cfRule>
  </conditionalFormatting>
  <conditionalFormatting sqref="AX82">
    <cfRule type="expression" dxfId="440" priority="425">
      <formula>OR(IF(AX82&lt;AY82,TRUE),IF(AND(AY82="",AX82&lt;&gt;""),TRUE))</formula>
    </cfRule>
    <cfRule type="expression" dxfId="439" priority="426">
      <formula>IF(AX82&gt;=AY82,IF(AX82="",FALSE,TRUE))</formula>
    </cfRule>
  </conditionalFormatting>
  <conditionalFormatting sqref="AZ83">
    <cfRule type="expression" dxfId="438" priority="419">
      <formula>OR(IF(AZ83&lt;BA83,TRUE),IF(AND(BA83="",AZ83&lt;&gt;""),TRUE))</formula>
    </cfRule>
    <cfRule type="expression" dxfId="437" priority="420">
      <formula>IF(AZ83&gt;=BA83,IF(AZ83="",FALSE,TRUE))</formula>
    </cfRule>
  </conditionalFormatting>
  <conditionalFormatting sqref="AX83">
    <cfRule type="expression" dxfId="436" priority="421">
      <formula>OR(IF(AX83&lt;AY83,TRUE),IF(AND(AY83="",AX83&lt;&gt;""),TRUE))</formula>
    </cfRule>
    <cfRule type="expression" dxfId="435" priority="422">
      <formula>IF(AX83&gt;=AY83,IF(AX83="",FALSE,TRUE))</formula>
    </cfRule>
  </conditionalFormatting>
  <conditionalFormatting sqref="AZ84">
    <cfRule type="expression" dxfId="434" priority="415">
      <formula>OR(IF(AZ84&lt;BA84,TRUE),IF(AND(BA84="",AZ84&lt;&gt;""),TRUE))</formula>
    </cfRule>
    <cfRule type="expression" dxfId="433" priority="416">
      <formula>IF(AZ84&gt;=BA84,IF(AZ84="",FALSE,TRUE))</formula>
    </cfRule>
  </conditionalFormatting>
  <conditionalFormatting sqref="AX84">
    <cfRule type="expression" dxfId="432" priority="417">
      <formula>OR(IF(AX84&lt;AY84,TRUE),IF(AND(AY84="",AX84&lt;&gt;""),TRUE))</formula>
    </cfRule>
    <cfRule type="expression" dxfId="431" priority="418">
      <formula>IF(AX84&gt;=AY84,IF(AX84="",FALSE,TRUE))</formula>
    </cfRule>
  </conditionalFormatting>
  <conditionalFormatting sqref="AZ85">
    <cfRule type="expression" dxfId="430" priority="411">
      <formula>OR(IF(AZ85&lt;BA85,TRUE),IF(AND(BA85="",AZ85&lt;&gt;""),TRUE))</formula>
    </cfRule>
    <cfRule type="expression" dxfId="429" priority="412">
      <formula>IF(AZ85&gt;=BA85,IF(AZ85="",FALSE,TRUE))</formula>
    </cfRule>
  </conditionalFormatting>
  <conditionalFormatting sqref="AX85">
    <cfRule type="expression" dxfId="428" priority="413">
      <formula>OR(IF(AX85&lt;AY85,TRUE),IF(AND(AY85="",AX85&lt;&gt;""),TRUE))</formula>
    </cfRule>
    <cfRule type="expression" dxfId="427" priority="414">
      <formula>IF(AX85&gt;=AY85,IF(AX85="",FALSE,TRUE))</formula>
    </cfRule>
  </conditionalFormatting>
  <conditionalFormatting sqref="AZ86">
    <cfRule type="expression" dxfId="426" priority="407">
      <formula>OR(IF(AZ86&lt;BA86,TRUE),IF(AND(BA86="",AZ86&lt;&gt;""),TRUE))</formula>
    </cfRule>
    <cfRule type="expression" dxfId="425" priority="408">
      <formula>IF(AZ86&gt;=BA86,IF(AZ86="",FALSE,TRUE))</formula>
    </cfRule>
  </conditionalFormatting>
  <conditionalFormatting sqref="AX86">
    <cfRule type="expression" dxfId="424" priority="409">
      <formula>OR(IF(AX86&lt;AY86,TRUE),IF(AND(AY86="",AX86&lt;&gt;""),TRUE))</formula>
    </cfRule>
    <cfRule type="expression" dxfId="423" priority="410">
      <formula>IF(AX86&gt;=AY86,IF(AX86="",FALSE,TRUE))</formula>
    </cfRule>
  </conditionalFormatting>
  <conditionalFormatting sqref="AZ87">
    <cfRule type="expression" dxfId="422" priority="403">
      <formula>OR(IF(AZ87&lt;BA87,TRUE),IF(AND(BA87="",AZ87&lt;&gt;""),TRUE))</formula>
    </cfRule>
    <cfRule type="expression" dxfId="421" priority="404">
      <formula>IF(AZ87&gt;=BA87,IF(AZ87="",FALSE,TRUE))</formula>
    </cfRule>
  </conditionalFormatting>
  <conditionalFormatting sqref="AX87">
    <cfRule type="expression" dxfId="420" priority="405">
      <formula>OR(IF(AX87&lt;AY87,TRUE),IF(AND(AY87="",AX87&lt;&gt;""),TRUE))</formula>
    </cfRule>
    <cfRule type="expression" dxfId="419" priority="406">
      <formula>IF(AX87&gt;=AY87,IF(AX87="",FALSE,TRUE))</formula>
    </cfRule>
  </conditionalFormatting>
  <conditionalFormatting sqref="AZ88">
    <cfRule type="expression" dxfId="418" priority="399">
      <formula>OR(IF(AZ88&lt;BA88,TRUE),IF(AND(BA88="",AZ88&lt;&gt;""),TRUE))</formula>
    </cfRule>
    <cfRule type="expression" dxfId="417" priority="400">
      <formula>IF(AZ88&gt;=BA88,IF(AZ88="",FALSE,TRUE))</formula>
    </cfRule>
  </conditionalFormatting>
  <conditionalFormatting sqref="AX88">
    <cfRule type="expression" dxfId="416" priority="401">
      <formula>OR(IF(AX88&lt;AY88,TRUE),IF(AND(AY88="",AX88&lt;&gt;""),TRUE))</formula>
    </cfRule>
    <cfRule type="expression" dxfId="415" priority="402">
      <formula>IF(AX88&gt;=AY88,IF(AX88="",FALSE,TRUE))</formula>
    </cfRule>
  </conditionalFormatting>
  <conditionalFormatting sqref="AZ89:AZ93">
    <cfRule type="expression" dxfId="414" priority="395">
      <formula>OR(IF(AZ89&lt;BA89,TRUE),IF(AND(BA89="",AZ89&lt;&gt;""),TRUE))</formula>
    </cfRule>
    <cfRule type="expression" dxfId="413" priority="396">
      <formula>IF(AZ89&gt;=BA89,IF(AZ89="",FALSE,TRUE))</formula>
    </cfRule>
  </conditionalFormatting>
  <conditionalFormatting sqref="AX89:AX93">
    <cfRule type="expression" dxfId="412" priority="397">
      <formula>OR(IF(AX89&lt;AY89,TRUE),IF(AND(AY89="",AX89&lt;&gt;""),TRUE))</formula>
    </cfRule>
    <cfRule type="expression" dxfId="411" priority="398">
      <formula>IF(AX89&gt;=AY89,IF(AX89="",FALSE,TRUE))</formula>
    </cfRule>
  </conditionalFormatting>
  <conditionalFormatting sqref="AX26">
    <cfRule type="expression" dxfId="410" priority="393">
      <formula>OR(IF(AX26&lt;AY26,TRUE),IF(AND(AY26="",AX26&lt;&gt;""),TRUE))</formula>
    </cfRule>
    <cfRule type="expression" dxfId="409" priority="394">
      <formula>IF(AX26&gt;=AY26,IF(AX26="",FALSE,TRUE))</formula>
    </cfRule>
  </conditionalFormatting>
  <conditionalFormatting sqref="AZ26">
    <cfRule type="expression" dxfId="408" priority="391">
      <formula>OR(IF(AZ26&lt;BA26,TRUE),IF(AND(BA26="",AZ26&lt;&gt;""),TRUE))</formula>
    </cfRule>
    <cfRule type="expression" dxfId="407" priority="392">
      <formula>IF(AZ26&gt;=BA26,IF(AZ26="",FALSE,TRUE))</formula>
    </cfRule>
  </conditionalFormatting>
  <conditionalFormatting sqref="AX27">
    <cfRule type="expression" dxfId="406" priority="389">
      <formula>OR(IF(AX27&lt;AY27,TRUE),IF(AND(AY27="",AX27&lt;&gt;""),TRUE))</formula>
    </cfRule>
    <cfRule type="expression" dxfId="405" priority="390">
      <formula>IF(AX27&gt;=AY27,IF(AX27="",FALSE,TRUE))</formula>
    </cfRule>
  </conditionalFormatting>
  <conditionalFormatting sqref="AZ27">
    <cfRule type="expression" dxfId="404" priority="387">
      <formula>OR(IF(AZ27&lt;BA27,TRUE),IF(AND(BA27="",AZ27&lt;&gt;""),TRUE))</formula>
    </cfRule>
    <cfRule type="expression" dxfId="403" priority="388">
      <formula>IF(AZ27&gt;=BA27,IF(AZ27="",FALSE,TRUE))</formula>
    </cfRule>
  </conditionalFormatting>
  <conditionalFormatting sqref="AX28">
    <cfRule type="expression" dxfId="402" priority="385">
      <formula>OR(IF(AX28&lt;AY28,TRUE),IF(AND(AY28="",AX28&lt;&gt;""),TRUE))</formula>
    </cfRule>
    <cfRule type="expression" dxfId="401" priority="386">
      <formula>IF(AX28&gt;=AY28,IF(AX28="",FALSE,TRUE))</formula>
    </cfRule>
  </conditionalFormatting>
  <conditionalFormatting sqref="AZ28">
    <cfRule type="expression" dxfId="400" priority="383">
      <formula>OR(IF(AZ28&lt;BA28,TRUE),IF(AND(BA28="",AZ28&lt;&gt;""),TRUE))</formula>
    </cfRule>
    <cfRule type="expression" dxfId="399" priority="384">
      <formula>IF(AZ28&gt;=BA28,IF(AZ28="",FALSE,TRUE))</formula>
    </cfRule>
  </conditionalFormatting>
  <conditionalFormatting sqref="AX29">
    <cfRule type="expression" dxfId="398" priority="381">
      <formula>OR(IF(AX29&lt;AY29,TRUE),IF(AND(AY29="",AX29&lt;&gt;""),TRUE))</formula>
    </cfRule>
    <cfRule type="expression" dxfId="397" priority="382">
      <formula>IF(AX29&gt;=AY29,IF(AX29="",FALSE,TRUE))</formula>
    </cfRule>
  </conditionalFormatting>
  <conditionalFormatting sqref="AZ29">
    <cfRule type="expression" dxfId="396" priority="379">
      <formula>OR(IF(AZ29&lt;BA29,TRUE),IF(AND(BA29="",AZ29&lt;&gt;""),TRUE))</formula>
    </cfRule>
    <cfRule type="expression" dxfId="395" priority="380">
      <formula>IF(AZ29&gt;=BA29,IF(AZ29="",FALSE,TRUE))</formula>
    </cfRule>
  </conditionalFormatting>
  <conditionalFormatting sqref="AX30:AX31">
    <cfRule type="expression" dxfId="394" priority="377">
      <formula>OR(IF(AX30&lt;AY30,TRUE),IF(AND(AY30="",AX30&lt;&gt;""),TRUE))</formula>
    </cfRule>
    <cfRule type="expression" dxfId="393" priority="378">
      <formula>IF(AX30&gt;=AY30,IF(AX30="",FALSE,TRUE))</formula>
    </cfRule>
  </conditionalFormatting>
  <conditionalFormatting sqref="AZ30:AZ31">
    <cfRule type="expression" dxfId="392" priority="375">
      <formula>OR(IF(AZ30&lt;BA30,TRUE),IF(AND(BA30="",AZ30&lt;&gt;""),TRUE))</formula>
    </cfRule>
    <cfRule type="expression" dxfId="391" priority="376">
      <formula>IF(AZ30&gt;=BA30,IF(AZ30="",FALSE,TRUE))</formula>
    </cfRule>
  </conditionalFormatting>
  <conditionalFormatting sqref="AX112:AX113">
    <cfRule type="expression" dxfId="390" priority="373">
      <formula>OR(IF(AX112&lt;AY112,TRUE),IF(AND(AY112="",AX112&lt;&gt;""),TRUE))</formula>
    </cfRule>
    <cfRule type="expression" dxfId="389" priority="374">
      <formula>IF(AX112&gt;=AY112,IF(AX112="",FALSE,TRUE))</formula>
    </cfRule>
  </conditionalFormatting>
  <conditionalFormatting sqref="AZ112:AZ113">
    <cfRule type="expression" dxfId="388" priority="371">
      <formula>OR(IF(AZ112&lt;BA112,TRUE),IF(AND(BA112="",AZ112&lt;&gt;""),TRUE))</formula>
    </cfRule>
    <cfRule type="expression" dxfId="387" priority="372">
      <formula>IF(AZ112&gt;=BA112,IF(AZ112="",FALSE,TRUE))</formula>
    </cfRule>
  </conditionalFormatting>
  <conditionalFormatting sqref="AZ110">
    <cfRule type="expression" dxfId="386" priority="367">
      <formula>OR(IF(AZ110&lt;BA110,TRUE),IF(AND(BA110="",AZ110&lt;&gt;""),TRUE))</formula>
    </cfRule>
    <cfRule type="expression" dxfId="385" priority="368">
      <formula>IF(AZ110&gt;=BA110,IF(AZ110="",FALSE,TRUE))</formula>
    </cfRule>
  </conditionalFormatting>
  <conditionalFormatting sqref="AX110">
    <cfRule type="expression" dxfId="384" priority="369">
      <formula>OR(IF(AX110&lt;AY110,TRUE),IF(AND(AY110="",AX110&lt;&gt;""),TRUE))</formula>
    </cfRule>
    <cfRule type="expression" dxfId="383" priority="370">
      <formula>IF(AX110&gt;=AY110,IF(AX110="",FALSE,TRUE))</formula>
    </cfRule>
  </conditionalFormatting>
  <conditionalFormatting sqref="BG114:BG122 BE114:BE122">
    <cfRule type="expression" dxfId="382" priority="365">
      <formula>OR(IF(BE114&lt;BF114,TRUE),IF(AND(BF114="",BE114&lt;&gt;""),TRUE))</formula>
    </cfRule>
    <cfRule type="expression" dxfId="381" priority="366">
      <formula>IF(BE114&gt;=BF114,IF(BE114="",FALSE,TRUE))</formula>
    </cfRule>
  </conditionalFormatting>
  <conditionalFormatting sqref="BE20:BE24 BG20:BG24 BE5:BE17">
    <cfRule type="expression" dxfId="380" priority="363">
      <formula>OR(IF(BE5&lt;BF5,TRUE),IF(AND(BF5="",BE5&lt;&gt;""),TRUE))</formula>
    </cfRule>
    <cfRule type="expression" dxfId="379" priority="364">
      <formula>IF(BE5&gt;=BF5,IF(BE5="",FALSE,TRUE))</formula>
    </cfRule>
  </conditionalFormatting>
  <conditionalFormatting sqref="BG5:BG17">
    <cfRule type="expression" dxfId="378" priority="361">
      <formula>OR(IF(BG5&lt;BH5,TRUE),IF(AND(BH5="",BG5&lt;&gt;""),TRUE))</formula>
    </cfRule>
    <cfRule type="expression" dxfId="377" priority="362">
      <formula>IF(BG5&gt;=BH5,IF(BG5="",FALSE,TRUE))</formula>
    </cfRule>
  </conditionalFormatting>
  <conditionalFormatting sqref="BE34:BE35">
    <cfRule type="expression" dxfId="376" priority="359">
      <formula>OR(IF(BE34&lt;BF34,TRUE),IF(AND(BF34="",BE34&lt;&gt;""),TRUE))</formula>
    </cfRule>
    <cfRule type="expression" dxfId="375" priority="360">
      <formula>IF(BE34&gt;=BF34,IF(BE34="",FALSE,TRUE))</formula>
    </cfRule>
  </conditionalFormatting>
  <conditionalFormatting sqref="BG34:BG35">
    <cfRule type="expression" dxfId="374" priority="357">
      <formula>OR(IF(BG34&lt;BH34,TRUE),IF(AND(BH34="",BG34&lt;&gt;""),TRUE))</formula>
    </cfRule>
    <cfRule type="expression" dxfId="373" priority="358">
      <formula>IF(BG34&gt;=BH34,IF(BG34="",FALSE,TRUE))</formula>
    </cfRule>
  </conditionalFormatting>
  <conditionalFormatting sqref="BG36:BG45">
    <cfRule type="expression" dxfId="372" priority="349">
      <formula>OR(IF(BG36&lt;BH36,TRUE),IF(AND(BH36="",BG36&lt;&gt;""),TRUE))</formula>
    </cfRule>
    <cfRule type="expression" dxfId="371" priority="350">
      <formula>IF(BG36&gt;=BH36,IF(BG36="",FALSE,TRUE))</formula>
    </cfRule>
  </conditionalFormatting>
  <conditionalFormatting sqref="BE25">
    <cfRule type="expression" dxfId="370" priority="355">
      <formula>OR(IF(BE25&lt;BF25,TRUE),IF(AND(BF25="",BE25&lt;&gt;""),TRUE))</formula>
    </cfRule>
    <cfRule type="expression" dxfId="369" priority="356">
      <formula>IF(BE25&gt;=BF25,IF(BE25="",FALSE,TRUE))</formula>
    </cfRule>
  </conditionalFormatting>
  <conditionalFormatting sqref="BG25">
    <cfRule type="expression" dxfId="368" priority="353">
      <formula>OR(IF(BG25&lt;BH25,TRUE),IF(AND(BH25="",BG25&lt;&gt;""),TRUE))</formula>
    </cfRule>
    <cfRule type="expression" dxfId="367" priority="354">
      <formula>IF(BG25&gt;=BH25,IF(BG25="",FALSE,TRUE))</formula>
    </cfRule>
  </conditionalFormatting>
  <conditionalFormatting sqref="BE36:BE45">
    <cfRule type="expression" dxfId="366" priority="351">
      <formula>OR(IF(BE36&lt;BF36,TRUE),IF(AND(BF36="",BE36&lt;&gt;""),TRUE))</formula>
    </cfRule>
    <cfRule type="expression" dxfId="365" priority="352">
      <formula>IF(BE36&gt;=BF36,IF(BE36="",FALSE,TRUE))</formula>
    </cfRule>
  </conditionalFormatting>
  <conditionalFormatting sqref="BE49:BE50">
    <cfRule type="expression" dxfId="364" priority="347">
      <formula>OR(IF(BE49&lt;BF49,TRUE),IF(AND(BF49="",BE49&lt;&gt;""),TRUE))</formula>
    </cfRule>
    <cfRule type="expression" dxfId="363" priority="348">
      <formula>IF(BE49&gt;=BF49,IF(BE49="",FALSE,TRUE))</formula>
    </cfRule>
  </conditionalFormatting>
  <conditionalFormatting sqref="BG49:BG50">
    <cfRule type="expression" dxfId="362" priority="345">
      <formula>OR(IF(BG49&lt;BH49,TRUE),IF(AND(BH49="",BG49&lt;&gt;""),TRUE))</formula>
    </cfRule>
    <cfRule type="expression" dxfId="361" priority="346">
      <formula>IF(BG49&gt;=BH49,IF(BG49="",FALSE,TRUE))</formula>
    </cfRule>
  </conditionalFormatting>
  <conditionalFormatting sqref="BG51:BG60">
    <cfRule type="expression" dxfId="360" priority="341">
      <formula>OR(IF(BG51&lt;BH51,TRUE),IF(AND(BH51="",BG51&lt;&gt;""),TRUE))</formula>
    </cfRule>
    <cfRule type="expression" dxfId="359" priority="342">
      <formula>IF(BG51&gt;=BH51,IF(BG51="",FALSE,TRUE))</formula>
    </cfRule>
  </conditionalFormatting>
  <conditionalFormatting sqref="BE51:BE60">
    <cfRule type="expression" dxfId="358" priority="343">
      <formula>OR(IF(BE51&lt;BF51,TRUE),IF(AND(BF51="",BE51&lt;&gt;""),TRUE))</formula>
    </cfRule>
    <cfRule type="expression" dxfId="357" priority="344">
      <formula>IF(BE51&gt;=BF51,IF(BE51="",FALSE,TRUE))</formula>
    </cfRule>
  </conditionalFormatting>
  <conditionalFormatting sqref="BE65:BE66">
    <cfRule type="expression" dxfId="356" priority="339">
      <formula>OR(IF(BE65&lt;BF65,TRUE),IF(AND(BF65="",BE65&lt;&gt;""),TRUE))</formula>
    </cfRule>
    <cfRule type="expression" dxfId="355" priority="340">
      <formula>IF(BE65&gt;=BF65,IF(BE65="",FALSE,TRUE))</formula>
    </cfRule>
  </conditionalFormatting>
  <conditionalFormatting sqref="BG65:BG66">
    <cfRule type="expression" dxfId="354" priority="337">
      <formula>OR(IF(BG65&lt;BH65,TRUE),IF(AND(BH65="",BG65&lt;&gt;""),TRUE))</formula>
    </cfRule>
    <cfRule type="expression" dxfId="353" priority="338">
      <formula>IF(BG65&gt;=BH65,IF(BG65="",FALSE,TRUE))</formula>
    </cfRule>
  </conditionalFormatting>
  <conditionalFormatting sqref="BG67:BG76">
    <cfRule type="expression" dxfId="352" priority="333">
      <formula>OR(IF(BG67&lt;BH67,TRUE),IF(AND(BH67="",BG67&lt;&gt;""),TRUE))</formula>
    </cfRule>
    <cfRule type="expression" dxfId="351" priority="334">
      <formula>IF(BG67&gt;=BH67,IF(BG67="",FALSE,TRUE))</formula>
    </cfRule>
  </conditionalFormatting>
  <conditionalFormatting sqref="BE67:BE76">
    <cfRule type="expression" dxfId="350" priority="335">
      <formula>OR(IF(BE67&lt;BF67,TRUE),IF(AND(BF67="",BE67&lt;&gt;""),TRUE))</formula>
    </cfRule>
    <cfRule type="expression" dxfId="349" priority="336">
      <formula>IF(BE67&gt;=BF67,IF(BE67="",FALSE,TRUE))</formula>
    </cfRule>
  </conditionalFormatting>
  <conditionalFormatting sqref="BE95:BE96">
    <cfRule type="expression" dxfId="348" priority="331">
      <formula>OR(IF(BE95&lt;BF95,TRUE),IF(AND(BF95="",BE95&lt;&gt;""),TRUE))</formula>
    </cfRule>
    <cfRule type="expression" dxfId="347" priority="332">
      <formula>IF(BE95&gt;=BF95,IF(BE95="",FALSE,TRUE))</formula>
    </cfRule>
  </conditionalFormatting>
  <conditionalFormatting sqref="BG95:BG96">
    <cfRule type="expression" dxfId="346" priority="329">
      <formula>OR(IF(BG95&lt;BH95,TRUE),IF(AND(BH95="",BG95&lt;&gt;""),TRUE))</formula>
    </cfRule>
    <cfRule type="expression" dxfId="345" priority="330">
      <formula>IF(BG95&gt;=BH95,IF(BG95="",FALSE,TRUE))</formula>
    </cfRule>
  </conditionalFormatting>
  <conditionalFormatting sqref="BG97:BG106">
    <cfRule type="expression" dxfId="344" priority="325">
      <formula>OR(IF(BG97&lt;BH97,TRUE),IF(AND(BH97="",BG97&lt;&gt;""),TRUE))</formula>
    </cfRule>
    <cfRule type="expression" dxfId="343" priority="326">
      <formula>IF(BG97&gt;=BH97,IF(BG97="",FALSE,TRUE))</formula>
    </cfRule>
  </conditionalFormatting>
  <conditionalFormatting sqref="BE97:BE106">
    <cfRule type="expression" dxfId="342" priority="327">
      <formula>OR(IF(BE97&lt;BF97,TRUE),IF(AND(BF97="",BE97&lt;&gt;""),TRUE))</formula>
    </cfRule>
    <cfRule type="expression" dxfId="341" priority="328">
      <formula>IF(BE97&gt;=BF97,IF(BE97="",FALSE,TRUE))</formula>
    </cfRule>
  </conditionalFormatting>
  <conditionalFormatting sqref="BG77">
    <cfRule type="expression" dxfId="340" priority="321">
      <formula>OR(IF(BG77&lt;BH77,TRUE),IF(AND(BH77="",BG77&lt;&gt;""),TRUE))</formula>
    </cfRule>
    <cfRule type="expression" dxfId="339" priority="322">
      <formula>IF(BG77&gt;=BH77,IF(BG77="",FALSE,TRUE))</formula>
    </cfRule>
  </conditionalFormatting>
  <conditionalFormatting sqref="BE77">
    <cfRule type="expression" dxfId="338" priority="323">
      <formula>OR(IF(BE77&lt;BF77,TRUE),IF(AND(BF77="",BE77&lt;&gt;""),TRUE))</formula>
    </cfRule>
    <cfRule type="expression" dxfId="337" priority="324">
      <formula>IF(BE77&gt;=BF77,IF(BE77="",FALSE,TRUE))</formula>
    </cfRule>
  </conditionalFormatting>
  <conditionalFormatting sqref="BG78">
    <cfRule type="expression" dxfId="336" priority="317">
      <formula>OR(IF(BG78&lt;BH78,TRUE),IF(AND(BH78="",BG78&lt;&gt;""),TRUE))</formula>
    </cfRule>
    <cfRule type="expression" dxfId="335" priority="318">
      <formula>IF(BG78&gt;=BH78,IF(BG78="",FALSE,TRUE))</formula>
    </cfRule>
  </conditionalFormatting>
  <conditionalFormatting sqref="BE78">
    <cfRule type="expression" dxfId="334" priority="319">
      <formula>OR(IF(BE78&lt;BF78,TRUE),IF(AND(BF78="",BE78&lt;&gt;""),TRUE))</formula>
    </cfRule>
    <cfRule type="expression" dxfId="333" priority="320">
      <formula>IF(BE78&gt;=BF78,IF(BE78="",FALSE,TRUE))</formula>
    </cfRule>
  </conditionalFormatting>
  <conditionalFormatting sqref="BG79">
    <cfRule type="expression" dxfId="332" priority="313">
      <formula>OR(IF(BG79&lt;BH79,TRUE),IF(AND(BH79="",BG79&lt;&gt;""),TRUE))</formula>
    </cfRule>
    <cfRule type="expression" dxfId="331" priority="314">
      <formula>IF(BG79&gt;=BH79,IF(BG79="",FALSE,TRUE))</formula>
    </cfRule>
  </conditionalFormatting>
  <conditionalFormatting sqref="BE79">
    <cfRule type="expression" dxfId="330" priority="315">
      <formula>OR(IF(BE79&lt;BF79,TRUE),IF(AND(BF79="",BE79&lt;&gt;""),TRUE))</formula>
    </cfRule>
    <cfRule type="expression" dxfId="329" priority="316">
      <formula>IF(BE79&gt;=BF79,IF(BE79="",FALSE,TRUE))</formula>
    </cfRule>
  </conditionalFormatting>
  <conditionalFormatting sqref="BG80">
    <cfRule type="expression" dxfId="328" priority="309">
      <formula>OR(IF(BG80&lt;BH80,TRUE),IF(AND(BH80="",BG80&lt;&gt;""),TRUE))</formula>
    </cfRule>
    <cfRule type="expression" dxfId="327" priority="310">
      <formula>IF(BG80&gt;=BH80,IF(BG80="",FALSE,TRUE))</formula>
    </cfRule>
  </conditionalFormatting>
  <conditionalFormatting sqref="BE80">
    <cfRule type="expression" dxfId="326" priority="311">
      <formula>OR(IF(BE80&lt;BF80,TRUE),IF(AND(BF80="",BE80&lt;&gt;""),TRUE))</formula>
    </cfRule>
    <cfRule type="expression" dxfId="325" priority="312">
      <formula>IF(BE80&gt;=BF80,IF(BE80="",FALSE,TRUE))</formula>
    </cfRule>
  </conditionalFormatting>
  <conditionalFormatting sqref="BG81">
    <cfRule type="expression" dxfId="324" priority="305">
      <formula>OR(IF(BG81&lt;BH81,TRUE),IF(AND(BH81="",BG81&lt;&gt;""),TRUE))</formula>
    </cfRule>
    <cfRule type="expression" dxfId="323" priority="306">
      <formula>IF(BG81&gt;=BH81,IF(BG81="",FALSE,TRUE))</formula>
    </cfRule>
  </conditionalFormatting>
  <conditionalFormatting sqref="BE81">
    <cfRule type="expression" dxfId="322" priority="307">
      <formula>OR(IF(BE81&lt;BF81,TRUE),IF(AND(BF81="",BE81&lt;&gt;""),TRUE))</formula>
    </cfRule>
    <cfRule type="expression" dxfId="321" priority="308">
      <formula>IF(BE81&gt;=BF81,IF(BE81="",FALSE,TRUE))</formula>
    </cfRule>
  </conditionalFormatting>
  <conditionalFormatting sqref="BG82">
    <cfRule type="expression" dxfId="320" priority="301">
      <formula>OR(IF(BG82&lt;BH82,TRUE),IF(AND(BH82="",BG82&lt;&gt;""),TRUE))</formula>
    </cfRule>
    <cfRule type="expression" dxfId="319" priority="302">
      <formula>IF(BG82&gt;=BH82,IF(BG82="",FALSE,TRUE))</formula>
    </cfRule>
  </conditionalFormatting>
  <conditionalFormatting sqref="BE82">
    <cfRule type="expression" dxfId="318" priority="303">
      <formula>OR(IF(BE82&lt;BF82,TRUE),IF(AND(BF82="",BE82&lt;&gt;""),TRUE))</formula>
    </cfRule>
    <cfRule type="expression" dxfId="317" priority="304">
      <formula>IF(BE82&gt;=BF82,IF(BE82="",FALSE,TRUE))</formula>
    </cfRule>
  </conditionalFormatting>
  <conditionalFormatting sqref="BG83">
    <cfRule type="expression" dxfId="316" priority="297">
      <formula>OR(IF(BG83&lt;BH83,TRUE),IF(AND(BH83="",BG83&lt;&gt;""),TRUE))</formula>
    </cfRule>
    <cfRule type="expression" dxfId="315" priority="298">
      <formula>IF(BG83&gt;=BH83,IF(BG83="",FALSE,TRUE))</formula>
    </cfRule>
  </conditionalFormatting>
  <conditionalFormatting sqref="BE83">
    <cfRule type="expression" dxfId="314" priority="299">
      <formula>OR(IF(BE83&lt;BF83,TRUE),IF(AND(BF83="",BE83&lt;&gt;""),TRUE))</formula>
    </cfRule>
    <cfRule type="expression" dxfId="313" priority="300">
      <formula>IF(BE83&gt;=BF83,IF(BE83="",FALSE,TRUE))</formula>
    </cfRule>
  </conditionalFormatting>
  <conditionalFormatting sqref="BG84">
    <cfRule type="expression" dxfId="312" priority="293">
      <formula>OR(IF(BG84&lt;BH84,TRUE),IF(AND(BH84="",BG84&lt;&gt;""),TRUE))</formula>
    </cfRule>
    <cfRule type="expression" dxfId="311" priority="294">
      <formula>IF(BG84&gt;=BH84,IF(BG84="",FALSE,TRUE))</formula>
    </cfRule>
  </conditionalFormatting>
  <conditionalFormatting sqref="BE84">
    <cfRule type="expression" dxfId="310" priority="295">
      <formula>OR(IF(BE84&lt;BF84,TRUE),IF(AND(BF84="",BE84&lt;&gt;""),TRUE))</formula>
    </cfRule>
    <cfRule type="expression" dxfId="309" priority="296">
      <formula>IF(BE84&gt;=BF84,IF(BE84="",FALSE,TRUE))</formula>
    </cfRule>
  </conditionalFormatting>
  <conditionalFormatting sqref="BG85">
    <cfRule type="expression" dxfId="308" priority="289">
      <formula>OR(IF(BG85&lt;BH85,TRUE),IF(AND(BH85="",BG85&lt;&gt;""),TRUE))</formula>
    </cfRule>
    <cfRule type="expression" dxfId="307" priority="290">
      <formula>IF(BG85&gt;=BH85,IF(BG85="",FALSE,TRUE))</formula>
    </cfRule>
  </conditionalFormatting>
  <conditionalFormatting sqref="BE85">
    <cfRule type="expression" dxfId="306" priority="291">
      <formula>OR(IF(BE85&lt;BF85,TRUE),IF(AND(BF85="",BE85&lt;&gt;""),TRUE))</formula>
    </cfRule>
    <cfRule type="expression" dxfId="305" priority="292">
      <formula>IF(BE85&gt;=BF85,IF(BE85="",FALSE,TRUE))</formula>
    </cfRule>
  </conditionalFormatting>
  <conditionalFormatting sqref="BG86">
    <cfRule type="expression" dxfId="304" priority="285">
      <formula>OR(IF(BG86&lt;BH86,TRUE),IF(AND(BH86="",BG86&lt;&gt;""),TRUE))</formula>
    </cfRule>
    <cfRule type="expression" dxfId="303" priority="286">
      <formula>IF(BG86&gt;=BH86,IF(BG86="",FALSE,TRUE))</formula>
    </cfRule>
  </conditionalFormatting>
  <conditionalFormatting sqref="BE86">
    <cfRule type="expression" dxfId="302" priority="287">
      <formula>OR(IF(BE86&lt;BF86,TRUE),IF(AND(BF86="",BE86&lt;&gt;""),TRUE))</formula>
    </cfRule>
    <cfRule type="expression" dxfId="301" priority="288">
      <formula>IF(BE86&gt;=BF86,IF(BE86="",FALSE,TRUE))</formula>
    </cfRule>
  </conditionalFormatting>
  <conditionalFormatting sqref="BG87">
    <cfRule type="expression" dxfId="300" priority="281">
      <formula>OR(IF(BG87&lt;BH87,TRUE),IF(AND(BH87="",BG87&lt;&gt;""),TRUE))</formula>
    </cfRule>
    <cfRule type="expression" dxfId="299" priority="282">
      <formula>IF(BG87&gt;=BH87,IF(BG87="",FALSE,TRUE))</formula>
    </cfRule>
  </conditionalFormatting>
  <conditionalFormatting sqref="BE87">
    <cfRule type="expression" dxfId="298" priority="283">
      <formula>OR(IF(BE87&lt;BF87,TRUE),IF(AND(BF87="",BE87&lt;&gt;""),TRUE))</formula>
    </cfRule>
    <cfRule type="expression" dxfId="297" priority="284">
      <formula>IF(BE87&gt;=BF87,IF(BE87="",FALSE,TRUE))</formula>
    </cfRule>
  </conditionalFormatting>
  <conditionalFormatting sqref="BG88">
    <cfRule type="expression" dxfId="296" priority="277">
      <formula>OR(IF(BG88&lt;BH88,TRUE),IF(AND(BH88="",BG88&lt;&gt;""),TRUE))</formula>
    </cfRule>
    <cfRule type="expression" dxfId="295" priority="278">
      <formula>IF(BG88&gt;=BH88,IF(BG88="",FALSE,TRUE))</formula>
    </cfRule>
  </conditionalFormatting>
  <conditionalFormatting sqref="BE88">
    <cfRule type="expression" dxfId="294" priority="279">
      <formula>OR(IF(BE88&lt;BF88,TRUE),IF(AND(BF88="",BE88&lt;&gt;""),TRUE))</formula>
    </cfRule>
    <cfRule type="expression" dxfId="293" priority="280">
      <formula>IF(BE88&gt;=BF88,IF(BE88="",FALSE,TRUE))</formula>
    </cfRule>
  </conditionalFormatting>
  <conditionalFormatting sqref="BG89:BG93">
    <cfRule type="expression" dxfId="292" priority="273">
      <formula>OR(IF(BG89&lt;BH89,TRUE),IF(AND(BH89="",BG89&lt;&gt;""),TRUE))</formula>
    </cfRule>
    <cfRule type="expression" dxfId="291" priority="274">
      <formula>IF(BG89&gt;=BH89,IF(BG89="",FALSE,TRUE))</formula>
    </cfRule>
  </conditionalFormatting>
  <conditionalFormatting sqref="BE89:BE93">
    <cfRule type="expression" dxfId="290" priority="275">
      <formula>OR(IF(BE89&lt;BF89,TRUE),IF(AND(BF89="",BE89&lt;&gt;""),TRUE))</formula>
    </cfRule>
    <cfRule type="expression" dxfId="289" priority="276">
      <formula>IF(BE89&gt;=BF89,IF(BE89="",FALSE,TRUE))</formula>
    </cfRule>
  </conditionalFormatting>
  <conditionalFormatting sqref="BE26">
    <cfRule type="expression" dxfId="288" priority="271">
      <formula>OR(IF(BE26&lt;BF26,TRUE),IF(AND(BF26="",BE26&lt;&gt;""),TRUE))</formula>
    </cfRule>
    <cfRule type="expression" dxfId="287" priority="272">
      <formula>IF(BE26&gt;=BF26,IF(BE26="",FALSE,TRUE))</formula>
    </cfRule>
  </conditionalFormatting>
  <conditionalFormatting sqref="BG26">
    <cfRule type="expression" dxfId="286" priority="269">
      <formula>OR(IF(BG26&lt;BH26,TRUE),IF(AND(BH26="",BG26&lt;&gt;""),TRUE))</formula>
    </cfRule>
    <cfRule type="expression" dxfId="285" priority="270">
      <formula>IF(BG26&gt;=BH26,IF(BG26="",FALSE,TRUE))</formula>
    </cfRule>
  </conditionalFormatting>
  <conditionalFormatting sqref="BE27">
    <cfRule type="expression" dxfId="284" priority="267">
      <formula>OR(IF(BE27&lt;BF27,TRUE),IF(AND(BF27="",BE27&lt;&gt;""),TRUE))</formula>
    </cfRule>
    <cfRule type="expression" dxfId="283" priority="268">
      <formula>IF(BE27&gt;=BF27,IF(BE27="",FALSE,TRUE))</formula>
    </cfRule>
  </conditionalFormatting>
  <conditionalFormatting sqref="BG27">
    <cfRule type="expression" dxfId="282" priority="265">
      <formula>OR(IF(BG27&lt;BH27,TRUE),IF(AND(BH27="",BG27&lt;&gt;""),TRUE))</formula>
    </cfRule>
    <cfRule type="expression" dxfId="281" priority="266">
      <formula>IF(BG27&gt;=BH27,IF(BG27="",FALSE,TRUE))</formula>
    </cfRule>
  </conditionalFormatting>
  <conditionalFormatting sqref="BE28">
    <cfRule type="expression" dxfId="280" priority="263">
      <formula>OR(IF(BE28&lt;BF28,TRUE),IF(AND(BF28="",BE28&lt;&gt;""),TRUE))</formula>
    </cfRule>
    <cfRule type="expression" dxfId="279" priority="264">
      <formula>IF(BE28&gt;=BF28,IF(BE28="",FALSE,TRUE))</formula>
    </cfRule>
  </conditionalFormatting>
  <conditionalFormatting sqref="BG28">
    <cfRule type="expression" dxfId="278" priority="261">
      <formula>OR(IF(BG28&lt;BH28,TRUE),IF(AND(BH28="",BG28&lt;&gt;""),TRUE))</formula>
    </cfRule>
    <cfRule type="expression" dxfId="277" priority="262">
      <formula>IF(BG28&gt;=BH28,IF(BG28="",FALSE,TRUE))</formula>
    </cfRule>
  </conditionalFormatting>
  <conditionalFormatting sqref="BE29">
    <cfRule type="expression" dxfId="276" priority="259">
      <formula>OR(IF(BE29&lt;BF29,TRUE),IF(AND(BF29="",BE29&lt;&gt;""),TRUE))</formula>
    </cfRule>
    <cfRule type="expression" dxfId="275" priority="260">
      <formula>IF(BE29&gt;=BF29,IF(BE29="",FALSE,TRUE))</formula>
    </cfRule>
  </conditionalFormatting>
  <conditionalFormatting sqref="BG29">
    <cfRule type="expression" dxfId="274" priority="257">
      <formula>OR(IF(BG29&lt;BH29,TRUE),IF(AND(BH29="",BG29&lt;&gt;""),TRUE))</formula>
    </cfRule>
    <cfRule type="expression" dxfId="273" priority="258">
      <formula>IF(BG29&gt;=BH29,IF(BG29="",FALSE,TRUE))</formula>
    </cfRule>
  </conditionalFormatting>
  <conditionalFormatting sqref="BE30:BE31">
    <cfRule type="expression" dxfId="272" priority="255">
      <formula>OR(IF(BE30&lt;BF30,TRUE),IF(AND(BF30="",BE30&lt;&gt;""),TRUE))</formula>
    </cfRule>
    <cfRule type="expression" dxfId="271" priority="256">
      <formula>IF(BE30&gt;=BF30,IF(BE30="",FALSE,TRUE))</formula>
    </cfRule>
  </conditionalFormatting>
  <conditionalFormatting sqref="BG30:BG31">
    <cfRule type="expression" dxfId="270" priority="253">
      <formula>OR(IF(BG30&lt;BH30,TRUE),IF(AND(BH30="",BG30&lt;&gt;""),TRUE))</formula>
    </cfRule>
    <cfRule type="expression" dxfId="269" priority="254">
      <formula>IF(BG30&gt;=BH30,IF(BG30="",FALSE,TRUE))</formula>
    </cfRule>
  </conditionalFormatting>
  <conditionalFormatting sqref="BE112:BE113">
    <cfRule type="expression" dxfId="268" priority="251">
      <formula>OR(IF(BE112&lt;BF112,TRUE),IF(AND(BF112="",BE112&lt;&gt;""),TRUE))</formula>
    </cfRule>
    <cfRule type="expression" dxfId="267" priority="252">
      <formula>IF(BE112&gt;=BF112,IF(BE112="",FALSE,TRUE))</formula>
    </cfRule>
  </conditionalFormatting>
  <conditionalFormatting sqref="BG112:BG113">
    <cfRule type="expression" dxfId="266" priority="249">
      <formula>OR(IF(BG112&lt;BH112,TRUE),IF(AND(BH112="",BG112&lt;&gt;""),TRUE))</formula>
    </cfRule>
    <cfRule type="expression" dxfId="265" priority="250">
      <formula>IF(BG112&gt;=BH112,IF(BG112="",FALSE,TRUE))</formula>
    </cfRule>
  </conditionalFormatting>
  <conditionalFormatting sqref="BG110">
    <cfRule type="expression" dxfId="264" priority="245">
      <formula>OR(IF(BG110&lt;BH110,TRUE),IF(AND(BH110="",BG110&lt;&gt;""),TRUE))</formula>
    </cfRule>
    <cfRule type="expression" dxfId="263" priority="246">
      <formula>IF(BG110&gt;=BH110,IF(BG110="",FALSE,TRUE))</formula>
    </cfRule>
  </conditionalFormatting>
  <conditionalFormatting sqref="BE110">
    <cfRule type="expression" dxfId="262" priority="247">
      <formula>OR(IF(BE110&lt;BF110,TRUE),IF(AND(BF110="",BE110&lt;&gt;""),TRUE))</formula>
    </cfRule>
    <cfRule type="expression" dxfId="261" priority="248">
      <formula>IF(BE110&gt;=BF110,IF(BE110="",FALSE,TRUE))</formula>
    </cfRule>
  </conditionalFormatting>
  <conditionalFormatting sqref="BN114:BN122 BL114:BL122">
    <cfRule type="expression" dxfId="260" priority="243">
      <formula>OR(IF(BL114&lt;BM114,TRUE),IF(AND(BM114="",BL114&lt;&gt;""),TRUE))</formula>
    </cfRule>
    <cfRule type="expression" dxfId="259" priority="244">
      <formula>IF(BL114&gt;=BM114,IF(BL114="",FALSE,TRUE))</formula>
    </cfRule>
  </conditionalFormatting>
  <conditionalFormatting sqref="BL20:BL24 BN20:BN24 BL5:BL17">
    <cfRule type="expression" dxfId="258" priority="241">
      <formula>OR(IF(BL5&lt;BM5,TRUE),IF(AND(BM5="",BL5&lt;&gt;""),TRUE))</formula>
    </cfRule>
    <cfRule type="expression" dxfId="257" priority="242">
      <formula>IF(BL5&gt;=BM5,IF(BL5="",FALSE,TRUE))</formula>
    </cfRule>
  </conditionalFormatting>
  <conditionalFormatting sqref="BN5:BN17">
    <cfRule type="expression" dxfId="256" priority="239">
      <formula>OR(IF(BN5&lt;BO5,TRUE),IF(AND(BO5="",BN5&lt;&gt;""),TRUE))</formula>
    </cfRule>
    <cfRule type="expression" dxfId="255" priority="240">
      <formula>IF(BN5&gt;=BO5,IF(BN5="",FALSE,TRUE))</formula>
    </cfRule>
  </conditionalFormatting>
  <conditionalFormatting sqref="BL34:BL35">
    <cfRule type="expression" dxfId="254" priority="237">
      <formula>OR(IF(BL34&lt;BM34,TRUE),IF(AND(BM34="",BL34&lt;&gt;""),TRUE))</formula>
    </cfRule>
    <cfRule type="expression" dxfId="253" priority="238">
      <formula>IF(BL34&gt;=BM34,IF(BL34="",FALSE,TRUE))</formula>
    </cfRule>
  </conditionalFormatting>
  <conditionalFormatting sqref="BN34:BN35">
    <cfRule type="expression" dxfId="252" priority="235">
      <formula>OR(IF(BN34&lt;BO34,TRUE),IF(AND(BO34="",BN34&lt;&gt;""),TRUE))</formula>
    </cfRule>
    <cfRule type="expression" dxfId="251" priority="236">
      <formula>IF(BN34&gt;=BO34,IF(BN34="",FALSE,TRUE))</formula>
    </cfRule>
  </conditionalFormatting>
  <conditionalFormatting sqref="BN36:BN45">
    <cfRule type="expression" dxfId="250" priority="227">
      <formula>OR(IF(BN36&lt;BO36,TRUE),IF(AND(BO36="",BN36&lt;&gt;""),TRUE))</formula>
    </cfRule>
    <cfRule type="expression" dxfId="249" priority="228">
      <formula>IF(BN36&gt;=BO36,IF(BN36="",FALSE,TRUE))</formula>
    </cfRule>
  </conditionalFormatting>
  <conditionalFormatting sqref="BL25">
    <cfRule type="expression" dxfId="248" priority="233">
      <formula>OR(IF(BL25&lt;BM25,TRUE),IF(AND(BM25="",BL25&lt;&gt;""),TRUE))</formula>
    </cfRule>
    <cfRule type="expression" dxfId="247" priority="234">
      <formula>IF(BL25&gt;=BM25,IF(BL25="",FALSE,TRUE))</formula>
    </cfRule>
  </conditionalFormatting>
  <conditionalFormatting sqref="BN25">
    <cfRule type="expression" dxfId="246" priority="231">
      <formula>OR(IF(BN25&lt;BO25,TRUE),IF(AND(BO25="",BN25&lt;&gt;""),TRUE))</formula>
    </cfRule>
    <cfRule type="expression" dxfId="245" priority="232">
      <formula>IF(BN25&gt;=BO25,IF(BN25="",FALSE,TRUE))</formula>
    </cfRule>
  </conditionalFormatting>
  <conditionalFormatting sqref="BL36:BL45">
    <cfRule type="expression" dxfId="244" priority="229">
      <formula>OR(IF(BL36&lt;BM36,TRUE),IF(AND(BM36="",BL36&lt;&gt;""),TRUE))</formula>
    </cfRule>
    <cfRule type="expression" dxfId="243" priority="230">
      <formula>IF(BL36&gt;=BM36,IF(BL36="",FALSE,TRUE))</formula>
    </cfRule>
  </conditionalFormatting>
  <conditionalFormatting sqref="BL49:BL50">
    <cfRule type="expression" dxfId="242" priority="225">
      <formula>OR(IF(BL49&lt;BM49,TRUE),IF(AND(BM49="",BL49&lt;&gt;""),TRUE))</formula>
    </cfRule>
    <cfRule type="expression" dxfId="241" priority="226">
      <formula>IF(BL49&gt;=BM49,IF(BL49="",FALSE,TRUE))</formula>
    </cfRule>
  </conditionalFormatting>
  <conditionalFormatting sqref="BN49:BN50">
    <cfRule type="expression" dxfId="240" priority="223">
      <formula>OR(IF(BN49&lt;BO49,TRUE),IF(AND(BO49="",BN49&lt;&gt;""),TRUE))</formula>
    </cfRule>
    <cfRule type="expression" dxfId="239" priority="224">
      <formula>IF(BN49&gt;=BO49,IF(BN49="",FALSE,TRUE))</formula>
    </cfRule>
  </conditionalFormatting>
  <conditionalFormatting sqref="BN51:BN60">
    <cfRule type="expression" dxfId="238" priority="219">
      <formula>OR(IF(BN51&lt;BO51,TRUE),IF(AND(BO51="",BN51&lt;&gt;""),TRUE))</formula>
    </cfRule>
    <cfRule type="expression" dxfId="237" priority="220">
      <formula>IF(BN51&gt;=BO51,IF(BN51="",FALSE,TRUE))</formula>
    </cfRule>
  </conditionalFormatting>
  <conditionalFormatting sqref="BL51:BL60">
    <cfRule type="expression" dxfId="236" priority="221">
      <formula>OR(IF(BL51&lt;BM51,TRUE),IF(AND(BM51="",BL51&lt;&gt;""),TRUE))</formula>
    </cfRule>
    <cfRule type="expression" dxfId="235" priority="222">
      <formula>IF(BL51&gt;=BM51,IF(BL51="",FALSE,TRUE))</formula>
    </cfRule>
  </conditionalFormatting>
  <conditionalFormatting sqref="BL65:BL66">
    <cfRule type="expression" dxfId="234" priority="217">
      <formula>OR(IF(BL65&lt;BM65,TRUE),IF(AND(BM65="",BL65&lt;&gt;""),TRUE))</formula>
    </cfRule>
    <cfRule type="expression" dxfId="233" priority="218">
      <formula>IF(BL65&gt;=BM65,IF(BL65="",FALSE,TRUE))</formula>
    </cfRule>
  </conditionalFormatting>
  <conditionalFormatting sqref="BN65:BN66">
    <cfRule type="expression" dxfId="232" priority="215">
      <formula>OR(IF(BN65&lt;BO65,TRUE),IF(AND(BO65="",BN65&lt;&gt;""),TRUE))</formula>
    </cfRule>
    <cfRule type="expression" dxfId="231" priority="216">
      <formula>IF(BN65&gt;=BO65,IF(BN65="",FALSE,TRUE))</formula>
    </cfRule>
  </conditionalFormatting>
  <conditionalFormatting sqref="BN67:BN76">
    <cfRule type="expression" dxfId="230" priority="211">
      <formula>OR(IF(BN67&lt;BO67,TRUE),IF(AND(BO67="",BN67&lt;&gt;""),TRUE))</formula>
    </cfRule>
    <cfRule type="expression" dxfId="229" priority="212">
      <formula>IF(BN67&gt;=BO67,IF(BN67="",FALSE,TRUE))</formula>
    </cfRule>
  </conditionalFormatting>
  <conditionalFormatting sqref="BL67:BL76">
    <cfRule type="expression" dxfId="228" priority="213">
      <formula>OR(IF(BL67&lt;BM67,TRUE),IF(AND(BM67="",BL67&lt;&gt;""),TRUE))</formula>
    </cfRule>
    <cfRule type="expression" dxfId="227" priority="214">
      <formula>IF(BL67&gt;=BM67,IF(BL67="",FALSE,TRUE))</formula>
    </cfRule>
  </conditionalFormatting>
  <conditionalFormatting sqref="BL95:BL96">
    <cfRule type="expression" dxfId="226" priority="209">
      <formula>OR(IF(BL95&lt;BM95,TRUE),IF(AND(BM95="",BL95&lt;&gt;""),TRUE))</formula>
    </cfRule>
    <cfRule type="expression" dxfId="225" priority="210">
      <formula>IF(BL95&gt;=BM95,IF(BL95="",FALSE,TRUE))</formula>
    </cfRule>
  </conditionalFormatting>
  <conditionalFormatting sqref="BN95:BN96">
    <cfRule type="expression" dxfId="224" priority="207">
      <formula>OR(IF(BN95&lt;BO95,TRUE),IF(AND(BO95="",BN95&lt;&gt;""),TRUE))</formula>
    </cfRule>
    <cfRule type="expression" dxfId="223" priority="208">
      <formula>IF(BN95&gt;=BO95,IF(BN95="",FALSE,TRUE))</formula>
    </cfRule>
  </conditionalFormatting>
  <conditionalFormatting sqref="BN97:BN106">
    <cfRule type="expression" dxfId="222" priority="203">
      <formula>OR(IF(BN97&lt;BO97,TRUE),IF(AND(BO97="",BN97&lt;&gt;""),TRUE))</formula>
    </cfRule>
    <cfRule type="expression" dxfId="221" priority="204">
      <formula>IF(BN97&gt;=BO97,IF(BN97="",FALSE,TRUE))</formula>
    </cfRule>
  </conditionalFormatting>
  <conditionalFormatting sqref="BL97:BL106">
    <cfRule type="expression" dxfId="220" priority="205">
      <formula>OR(IF(BL97&lt;BM97,TRUE),IF(AND(BM97="",BL97&lt;&gt;""),TRUE))</formula>
    </cfRule>
    <cfRule type="expression" dxfId="219" priority="206">
      <formula>IF(BL97&gt;=BM97,IF(BL97="",FALSE,TRUE))</formula>
    </cfRule>
  </conditionalFormatting>
  <conditionalFormatting sqref="BN77">
    <cfRule type="expression" dxfId="218" priority="199">
      <formula>OR(IF(BN77&lt;BO77,TRUE),IF(AND(BO77="",BN77&lt;&gt;""),TRUE))</formula>
    </cfRule>
    <cfRule type="expression" dxfId="217" priority="200">
      <formula>IF(BN77&gt;=BO77,IF(BN77="",FALSE,TRUE))</formula>
    </cfRule>
  </conditionalFormatting>
  <conditionalFormatting sqref="BL77">
    <cfRule type="expression" dxfId="216" priority="201">
      <formula>OR(IF(BL77&lt;BM77,TRUE),IF(AND(BM77="",BL77&lt;&gt;""),TRUE))</formula>
    </cfRule>
    <cfRule type="expression" dxfId="215" priority="202">
      <formula>IF(BL77&gt;=BM77,IF(BL77="",FALSE,TRUE))</formula>
    </cfRule>
  </conditionalFormatting>
  <conditionalFormatting sqref="BN78">
    <cfRule type="expression" dxfId="214" priority="195">
      <formula>OR(IF(BN78&lt;BO78,TRUE),IF(AND(BO78="",BN78&lt;&gt;""),TRUE))</formula>
    </cfRule>
    <cfRule type="expression" dxfId="213" priority="196">
      <formula>IF(BN78&gt;=BO78,IF(BN78="",FALSE,TRUE))</formula>
    </cfRule>
  </conditionalFormatting>
  <conditionalFormatting sqref="BL78">
    <cfRule type="expression" dxfId="212" priority="197">
      <formula>OR(IF(BL78&lt;BM78,TRUE),IF(AND(BM78="",BL78&lt;&gt;""),TRUE))</formula>
    </cfRule>
    <cfRule type="expression" dxfId="211" priority="198">
      <formula>IF(BL78&gt;=BM78,IF(BL78="",FALSE,TRUE))</formula>
    </cfRule>
  </conditionalFormatting>
  <conditionalFormatting sqref="BN79">
    <cfRule type="expression" dxfId="210" priority="191">
      <formula>OR(IF(BN79&lt;BO79,TRUE),IF(AND(BO79="",BN79&lt;&gt;""),TRUE))</formula>
    </cfRule>
    <cfRule type="expression" dxfId="209" priority="192">
      <formula>IF(BN79&gt;=BO79,IF(BN79="",FALSE,TRUE))</formula>
    </cfRule>
  </conditionalFormatting>
  <conditionalFormatting sqref="BL79">
    <cfRule type="expression" dxfId="208" priority="193">
      <formula>OR(IF(BL79&lt;BM79,TRUE),IF(AND(BM79="",BL79&lt;&gt;""),TRUE))</formula>
    </cfRule>
    <cfRule type="expression" dxfId="207" priority="194">
      <formula>IF(BL79&gt;=BM79,IF(BL79="",FALSE,TRUE))</formula>
    </cfRule>
  </conditionalFormatting>
  <conditionalFormatting sqref="BN80">
    <cfRule type="expression" dxfId="206" priority="187">
      <formula>OR(IF(BN80&lt;BO80,TRUE),IF(AND(BO80="",BN80&lt;&gt;""),TRUE))</formula>
    </cfRule>
    <cfRule type="expression" dxfId="205" priority="188">
      <formula>IF(BN80&gt;=BO80,IF(BN80="",FALSE,TRUE))</formula>
    </cfRule>
  </conditionalFormatting>
  <conditionalFormatting sqref="BL80">
    <cfRule type="expression" dxfId="204" priority="189">
      <formula>OR(IF(BL80&lt;BM80,TRUE),IF(AND(BM80="",BL80&lt;&gt;""),TRUE))</formula>
    </cfRule>
    <cfRule type="expression" dxfId="203" priority="190">
      <formula>IF(BL80&gt;=BM80,IF(BL80="",FALSE,TRUE))</formula>
    </cfRule>
  </conditionalFormatting>
  <conditionalFormatting sqref="BN81">
    <cfRule type="expression" dxfId="202" priority="183">
      <formula>OR(IF(BN81&lt;BO81,TRUE),IF(AND(BO81="",BN81&lt;&gt;""),TRUE))</formula>
    </cfRule>
    <cfRule type="expression" dxfId="201" priority="184">
      <formula>IF(BN81&gt;=BO81,IF(BN81="",FALSE,TRUE))</formula>
    </cfRule>
  </conditionalFormatting>
  <conditionalFormatting sqref="BL81">
    <cfRule type="expression" dxfId="200" priority="185">
      <formula>OR(IF(BL81&lt;BM81,TRUE),IF(AND(BM81="",BL81&lt;&gt;""),TRUE))</formula>
    </cfRule>
    <cfRule type="expression" dxfId="199" priority="186">
      <formula>IF(BL81&gt;=BM81,IF(BL81="",FALSE,TRUE))</formula>
    </cfRule>
  </conditionalFormatting>
  <conditionalFormatting sqref="BN82">
    <cfRule type="expression" dxfId="198" priority="179">
      <formula>OR(IF(BN82&lt;BO82,TRUE),IF(AND(BO82="",BN82&lt;&gt;""),TRUE))</formula>
    </cfRule>
    <cfRule type="expression" dxfId="197" priority="180">
      <formula>IF(BN82&gt;=BO82,IF(BN82="",FALSE,TRUE))</formula>
    </cfRule>
  </conditionalFormatting>
  <conditionalFormatting sqref="BL82">
    <cfRule type="expression" dxfId="196" priority="181">
      <formula>OR(IF(BL82&lt;BM82,TRUE),IF(AND(BM82="",BL82&lt;&gt;""),TRUE))</formula>
    </cfRule>
    <cfRule type="expression" dxfId="195" priority="182">
      <formula>IF(BL82&gt;=BM82,IF(BL82="",FALSE,TRUE))</formula>
    </cfRule>
  </conditionalFormatting>
  <conditionalFormatting sqref="BN83">
    <cfRule type="expression" dxfId="194" priority="175">
      <formula>OR(IF(BN83&lt;BO83,TRUE),IF(AND(BO83="",BN83&lt;&gt;""),TRUE))</formula>
    </cfRule>
    <cfRule type="expression" dxfId="193" priority="176">
      <formula>IF(BN83&gt;=BO83,IF(BN83="",FALSE,TRUE))</formula>
    </cfRule>
  </conditionalFormatting>
  <conditionalFormatting sqref="BL83">
    <cfRule type="expression" dxfId="192" priority="177">
      <formula>OR(IF(BL83&lt;BM83,TRUE),IF(AND(BM83="",BL83&lt;&gt;""),TRUE))</formula>
    </cfRule>
    <cfRule type="expression" dxfId="191" priority="178">
      <formula>IF(BL83&gt;=BM83,IF(BL83="",FALSE,TRUE))</formula>
    </cfRule>
  </conditionalFormatting>
  <conditionalFormatting sqref="BN84">
    <cfRule type="expression" dxfId="190" priority="171">
      <formula>OR(IF(BN84&lt;BO84,TRUE),IF(AND(BO84="",BN84&lt;&gt;""),TRUE))</formula>
    </cfRule>
    <cfRule type="expression" dxfId="189" priority="172">
      <formula>IF(BN84&gt;=BO84,IF(BN84="",FALSE,TRUE))</formula>
    </cfRule>
  </conditionalFormatting>
  <conditionalFormatting sqref="BL84">
    <cfRule type="expression" dxfId="188" priority="173">
      <formula>OR(IF(BL84&lt;BM84,TRUE),IF(AND(BM84="",BL84&lt;&gt;""),TRUE))</formula>
    </cfRule>
    <cfRule type="expression" dxfId="187" priority="174">
      <formula>IF(BL84&gt;=BM84,IF(BL84="",FALSE,TRUE))</formula>
    </cfRule>
  </conditionalFormatting>
  <conditionalFormatting sqref="BN85">
    <cfRule type="expression" dxfId="186" priority="167">
      <formula>OR(IF(BN85&lt;BO85,TRUE),IF(AND(BO85="",BN85&lt;&gt;""),TRUE))</formula>
    </cfRule>
    <cfRule type="expression" dxfId="185" priority="168">
      <formula>IF(BN85&gt;=BO85,IF(BN85="",FALSE,TRUE))</formula>
    </cfRule>
  </conditionalFormatting>
  <conditionalFormatting sqref="BL85">
    <cfRule type="expression" dxfId="184" priority="169">
      <formula>OR(IF(BL85&lt;BM85,TRUE),IF(AND(BM85="",BL85&lt;&gt;""),TRUE))</formula>
    </cfRule>
    <cfRule type="expression" dxfId="183" priority="170">
      <formula>IF(BL85&gt;=BM85,IF(BL85="",FALSE,TRUE))</formula>
    </cfRule>
  </conditionalFormatting>
  <conditionalFormatting sqref="BN86">
    <cfRule type="expression" dxfId="182" priority="163">
      <formula>OR(IF(BN86&lt;BO86,TRUE),IF(AND(BO86="",BN86&lt;&gt;""),TRUE))</formula>
    </cfRule>
    <cfRule type="expression" dxfId="181" priority="164">
      <formula>IF(BN86&gt;=BO86,IF(BN86="",FALSE,TRUE))</formula>
    </cfRule>
  </conditionalFormatting>
  <conditionalFormatting sqref="BL86">
    <cfRule type="expression" dxfId="180" priority="165">
      <formula>OR(IF(BL86&lt;BM86,TRUE),IF(AND(BM86="",BL86&lt;&gt;""),TRUE))</formula>
    </cfRule>
    <cfRule type="expression" dxfId="179" priority="166">
      <formula>IF(BL86&gt;=BM86,IF(BL86="",FALSE,TRUE))</formula>
    </cfRule>
  </conditionalFormatting>
  <conditionalFormatting sqref="BN87">
    <cfRule type="expression" dxfId="178" priority="159">
      <formula>OR(IF(BN87&lt;BO87,TRUE),IF(AND(BO87="",BN87&lt;&gt;""),TRUE))</formula>
    </cfRule>
    <cfRule type="expression" dxfId="177" priority="160">
      <formula>IF(BN87&gt;=BO87,IF(BN87="",FALSE,TRUE))</formula>
    </cfRule>
  </conditionalFormatting>
  <conditionalFormatting sqref="BL87">
    <cfRule type="expression" dxfId="176" priority="161">
      <formula>OR(IF(BL87&lt;BM87,TRUE),IF(AND(BM87="",BL87&lt;&gt;""),TRUE))</formula>
    </cfRule>
    <cfRule type="expression" dxfId="175" priority="162">
      <formula>IF(BL87&gt;=BM87,IF(BL87="",FALSE,TRUE))</formula>
    </cfRule>
  </conditionalFormatting>
  <conditionalFormatting sqref="BN88">
    <cfRule type="expression" dxfId="174" priority="155">
      <formula>OR(IF(BN88&lt;BO88,TRUE),IF(AND(BO88="",BN88&lt;&gt;""),TRUE))</formula>
    </cfRule>
    <cfRule type="expression" dxfId="173" priority="156">
      <formula>IF(BN88&gt;=BO88,IF(BN88="",FALSE,TRUE))</formula>
    </cfRule>
  </conditionalFormatting>
  <conditionalFormatting sqref="BL88">
    <cfRule type="expression" dxfId="172" priority="157">
      <formula>OR(IF(BL88&lt;BM88,TRUE),IF(AND(BM88="",BL88&lt;&gt;""),TRUE))</formula>
    </cfRule>
    <cfRule type="expression" dxfId="171" priority="158">
      <formula>IF(BL88&gt;=BM88,IF(BL88="",FALSE,TRUE))</formula>
    </cfRule>
  </conditionalFormatting>
  <conditionalFormatting sqref="BN89:BN93">
    <cfRule type="expression" dxfId="170" priority="151">
      <formula>OR(IF(BN89&lt;BO89,TRUE),IF(AND(BO89="",BN89&lt;&gt;""),TRUE))</formula>
    </cfRule>
    <cfRule type="expression" dxfId="169" priority="152">
      <formula>IF(BN89&gt;=BO89,IF(BN89="",FALSE,TRUE))</formula>
    </cfRule>
  </conditionalFormatting>
  <conditionalFormatting sqref="BL89:BL93">
    <cfRule type="expression" dxfId="168" priority="153">
      <formula>OR(IF(BL89&lt;BM89,TRUE),IF(AND(BM89="",BL89&lt;&gt;""),TRUE))</formula>
    </cfRule>
    <cfRule type="expression" dxfId="167" priority="154">
      <formula>IF(BL89&gt;=BM89,IF(BL89="",FALSE,TRUE))</formula>
    </cfRule>
  </conditionalFormatting>
  <conditionalFormatting sqref="BL26">
    <cfRule type="expression" dxfId="166" priority="149">
      <formula>OR(IF(BL26&lt;BM26,TRUE),IF(AND(BM26="",BL26&lt;&gt;""),TRUE))</formula>
    </cfRule>
    <cfRule type="expression" dxfId="165" priority="150">
      <formula>IF(BL26&gt;=BM26,IF(BL26="",FALSE,TRUE))</formula>
    </cfRule>
  </conditionalFormatting>
  <conditionalFormatting sqref="BN26">
    <cfRule type="expression" dxfId="164" priority="147">
      <formula>OR(IF(BN26&lt;BO26,TRUE),IF(AND(BO26="",BN26&lt;&gt;""),TRUE))</formula>
    </cfRule>
    <cfRule type="expression" dxfId="163" priority="148">
      <formula>IF(BN26&gt;=BO26,IF(BN26="",FALSE,TRUE))</formula>
    </cfRule>
  </conditionalFormatting>
  <conditionalFormatting sqref="BL27">
    <cfRule type="expression" dxfId="162" priority="145">
      <formula>OR(IF(BL27&lt;BM27,TRUE),IF(AND(BM27="",BL27&lt;&gt;""),TRUE))</formula>
    </cfRule>
    <cfRule type="expression" dxfId="161" priority="146">
      <formula>IF(BL27&gt;=BM27,IF(BL27="",FALSE,TRUE))</formula>
    </cfRule>
  </conditionalFormatting>
  <conditionalFormatting sqref="BN27">
    <cfRule type="expression" dxfId="160" priority="143">
      <formula>OR(IF(BN27&lt;BO27,TRUE),IF(AND(BO27="",BN27&lt;&gt;""),TRUE))</formula>
    </cfRule>
    <cfRule type="expression" dxfId="159" priority="144">
      <formula>IF(BN27&gt;=BO27,IF(BN27="",FALSE,TRUE))</formula>
    </cfRule>
  </conditionalFormatting>
  <conditionalFormatting sqref="BL28">
    <cfRule type="expression" dxfId="158" priority="141">
      <formula>OR(IF(BL28&lt;BM28,TRUE),IF(AND(BM28="",BL28&lt;&gt;""),TRUE))</formula>
    </cfRule>
    <cfRule type="expression" dxfId="157" priority="142">
      <formula>IF(BL28&gt;=BM28,IF(BL28="",FALSE,TRUE))</formula>
    </cfRule>
  </conditionalFormatting>
  <conditionalFormatting sqref="BN28">
    <cfRule type="expression" dxfId="156" priority="139">
      <formula>OR(IF(BN28&lt;BO28,TRUE),IF(AND(BO28="",BN28&lt;&gt;""),TRUE))</formula>
    </cfRule>
    <cfRule type="expression" dxfId="155" priority="140">
      <formula>IF(BN28&gt;=BO28,IF(BN28="",FALSE,TRUE))</formula>
    </cfRule>
  </conditionalFormatting>
  <conditionalFormatting sqref="BL29">
    <cfRule type="expression" dxfId="154" priority="137">
      <formula>OR(IF(BL29&lt;BM29,TRUE),IF(AND(BM29="",BL29&lt;&gt;""),TRUE))</formula>
    </cfRule>
    <cfRule type="expression" dxfId="153" priority="138">
      <formula>IF(BL29&gt;=BM29,IF(BL29="",FALSE,TRUE))</formula>
    </cfRule>
  </conditionalFormatting>
  <conditionalFormatting sqref="BN29">
    <cfRule type="expression" dxfId="152" priority="135">
      <formula>OR(IF(BN29&lt;BO29,TRUE),IF(AND(BO29="",BN29&lt;&gt;""),TRUE))</formula>
    </cfRule>
    <cfRule type="expression" dxfId="151" priority="136">
      <formula>IF(BN29&gt;=BO29,IF(BN29="",FALSE,TRUE))</formula>
    </cfRule>
  </conditionalFormatting>
  <conditionalFormatting sqref="BL30:BL31">
    <cfRule type="expression" dxfId="150" priority="133">
      <formula>OR(IF(BL30&lt;BM30,TRUE),IF(AND(BM30="",BL30&lt;&gt;""),TRUE))</formula>
    </cfRule>
    <cfRule type="expression" dxfId="149" priority="134">
      <formula>IF(BL30&gt;=BM30,IF(BL30="",FALSE,TRUE))</formula>
    </cfRule>
  </conditionalFormatting>
  <conditionalFormatting sqref="BN30:BN31">
    <cfRule type="expression" dxfId="148" priority="131">
      <formula>OR(IF(BN30&lt;BO30,TRUE),IF(AND(BO30="",BN30&lt;&gt;""),TRUE))</formula>
    </cfRule>
    <cfRule type="expression" dxfId="147" priority="132">
      <formula>IF(BN30&gt;=BO30,IF(BN30="",FALSE,TRUE))</formula>
    </cfRule>
  </conditionalFormatting>
  <conditionalFormatting sqref="BL112:BL113">
    <cfRule type="expression" dxfId="146" priority="129">
      <formula>OR(IF(BL112&lt;BM112,TRUE),IF(AND(BM112="",BL112&lt;&gt;""),TRUE))</formula>
    </cfRule>
    <cfRule type="expression" dxfId="145" priority="130">
      <formula>IF(BL112&gt;=BM112,IF(BL112="",FALSE,TRUE))</formula>
    </cfRule>
  </conditionalFormatting>
  <conditionalFormatting sqref="BN112:BN113">
    <cfRule type="expression" dxfId="144" priority="127">
      <formula>OR(IF(BN112&lt;BO112,TRUE),IF(AND(BO112="",BN112&lt;&gt;""),TRUE))</formula>
    </cfRule>
    <cfRule type="expression" dxfId="143" priority="128">
      <formula>IF(BN112&gt;=BO112,IF(BN112="",FALSE,TRUE))</formula>
    </cfRule>
  </conditionalFormatting>
  <conditionalFormatting sqref="BN110">
    <cfRule type="expression" dxfId="142" priority="123">
      <formula>OR(IF(BN110&lt;BO110,TRUE),IF(AND(BO110="",BN110&lt;&gt;""),TRUE))</formula>
    </cfRule>
    <cfRule type="expression" dxfId="141" priority="124">
      <formula>IF(BN110&gt;=BO110,IF(BN110="",FALSE,TRUE))</formula>
    </cfRule>
  </conditionalFormatting>
  <conditionalFormatting sqref="BL110">
    <cfRule type="expression" dxfId="140" priority="125">
      <formula>OR(IF(BL110&lt;BM110,TRUE),IF(AND(BM110="",BL110&lt;&gt;""),TRUE))</formula>
    </cfRule>
    <cfRule type="expression" dxfId="139" priority="126">
      <formula>IF(BL110&gt;=BM110,IF(BL110="",FALSE,TRUE))</formula>
    </cfRule>
  </conditionalFormatting>
  <conditionalFormatting sqref="BU114:BU122 BS114:BS122">
    <cfRule type="expression" dxfId="138" priority="121">
      <formula>OR(IF(BS114&lt;BT114,TRUE),IF(AND(BT114="",BS114&lt;&gt;""),TRUE))</formula>
    </cfRule>
    <cfRule type="expression" dxfId="137" priority="122">
      <formula>IF(BS114&gt;=BT114,IF(BS114="",FALSE,TRUE))</formula>
    </cfRule>
  </conditionalFormatting>
  <conditionalFormatting sqref="BS20:BS24 BU20:BU24 BS5:BS17">
    <cfRule type="expression" dxfId="136" priority="119">
      <formula>OR(IF(BS5&lt;BT5,TRUE),IF(AND(BT5="",BS5&lt;&gt;""),TRUE))</formula>
    </cfRule>
    <cfRule type="expression" dxfId="135" priority="120">
      <formula>IF(BS5&gt;=BT5,IF(BS5="",FALSE,TRUE))</formula>
    </cfRule>
  </conditionalFormatting>
  <conditionalFormatting sqref="BU5:BU17">
    <cfRule type="expression" dxfId="134" priority="117">
      <formula>OR(IF(BU5&lt;BV5,TRUE),IF(AND(BV5="",BU5&lt;&gt;""),TRUE))</formula>
    </cfRule>
    <cfRule type="expression" dxfId="133" priority="118">
      <formula>IF(BU5&gt;=BV5,IF(BU5="",FALSE,TRUE))</formula>
    </cfRule>
  </conditionalFormatting>
  <conditionalFormatting sqref="BS34:BS35">
    <cfRule type="expression" dxfId="132" priority="115">
      <formula>OR(IF(BS34&lt;BT34,TRUE),IF(AND(BT34="",BS34&lt;&gt;""),TRUE))</formula>
    </cfRule>
    <cfRule type="expression" dxfId="131" priority="116">
      <formula>IF(BS34&gt;=BT34,IF(BS34="",FALSE,TRUE))</formula>
    </cfRule>
  </conditionalFormatting>
  <conditionalFormatting sqref="BU34:BU35">
    <cfRule type="expression" dxfId="130" priority="113">
      <formula>OR(IF(BU34&lt;BV34,TRUE),IF(AND(BV34="",BU34&lt;&gt;""),TRUE))</formula>
    </cfRule>
    <cfRule type="expression" dxfId="129" priority="114">
      <formula>IF(BU34&gt;=BV34,IF(BU34="",FALSE,TRUE))</formula>
    </cfRule>
  </conditionalFormatting>
  <conditionalFormatting sqref="BU36:BU45">
    <cfRule type="expression" dxfId="128" priority="105">
      <formula>OR(IF(BU36&lt;BV36,TRUE),IF(AND(BV36="",BU36&lt;&gt;""),TRUE))</formula>
    </cfRule>
    <cfRule type="expression" dxfId="127" priority="106">
      <formula>IF(BU36&gt;=BV36,IF(BU36="",FALSE,TRUE))</formula>
    </cfRule>
  </conditionalFormatting>
  <conditionalFormatting sqref="BS25">
    <cfRule type="expression" dxfId="126" priority="111">
      <formula>OR(IF(BS25&lt;BT25,TRUE),IF(AND(BT25="",BS25&lt;&gt;""),TRUE))</formula>
    </cfRule>
    <cfRule type="expression" dxfId="125" priority="112">
      <formula>IF(BS25&gt;=BT25,IF(BS25="",FALSE,TRUE))</formula>
    </cfRule>
  </conditionalFormatting>
  <conditionalFormatting sqref="BU25">
    <cfRule type="expression" dxfId="124" priority="109">
      <formula>OR(IF(BU25&lt;BV25,TRUE),IF(AND(BV25="",BU25&lt;&gt;""),TRUE))</formula>
    </cfRule>
    <cfRule type="expression" dxfId="123" priority="110">
      <formula>IF(BU25&gt;=BV25,IF(BU25="",FALSE,TRUE))</formula>
    </cfRule>
  </conditionalFormatting>
  <conditionalFormatting sqref="BS36:BS45">
    <cfRule type="expression" dxfId="122" priority="107">
      <formula>OR(IF(BS36&lt;BT36,TRUE),IF(AND(BT36="",BS36&lt;&gt;""),TRUE))</formula>
    </cfRule>
    <cfRule type="expression" dxfId="121" priority="108">
      <formula>IF(BS36&gt;=BT36,IF(BS36="",FALSE,TRUE))</formula>
    </cfRule>
  </conditionalFormatting>
  <conditionalFormatting sqref="BS49:BS50">
    <cfRule type="expression" dxfId="120" priority="103">
      <formula>OR(IF(BS49&lt;BT49,TRUE),IF(AND(BT49="",BS49&lt;&gt;""),TRUE))</formula>
    </cfRule>
    <cfRule type="expression" dxfId="119" priority="104">
      <formula>IF(BS49&gt;=BT49,IF(BS49="",FALSE,TRUE))</formula>
    </cfRule>
  </conditionalFormatting>
  <conditionalFormatting sqref="BU49:BU50">
    <cfRule type="expression" dxfId="118" priority="101">
      <formula>OR(IF(BU49&lt;BV49,TRUE),IF(AND(BV49="",BU49&lt;&gt;""),TRUE))</formula>
    </cfRule>
    <cfRule type="expression" dxfId="117" priority="102">
      <formula>IF(BU49&gt;=BV49,IF(BU49="",FALSE,TRUE))</formula>
    </cfRule>
  </conditionalFormatting>
  <conditionalFormatting sqref="BU51:BU60">
    <cfRule type="expression" dxfId="116" priority="97">
      <formula>OR(IF(BU51&lt;BV51,TRUE),IF(AND(BV51="",BU51&lt;&gt;""),TRUE))</formula>
    </cfRule>
    <cfRule type="expression" dxfId="115" priority="98">
      <formula>IF(BU51&gt;=BV51,IF(BU51="",FALSE,TRUE))</formula>
    </cfRule>
  </conditionalFormatting>
  <conditionalFormatting sqref="BS51:BS60">
    <cfRule type="expression" dxfId="114" priority="99">
      <formula>OR(IF(BS51&lt;BT51,TRUE),IF(AND(BT51="",BS51&lt;&gt;""),TRUE))</formula>
    </cfRule>
    <cfRule type="expression" dxfId="113" priority="100">
      <formula>IF(BS51&gt;=BT51,IF(BS51="",FALSE,TRUE))</formula>
    </cfRule>
  </conditionalFormatting>
  <conditionalFormatting sqref="BS65:BS66">
    <cfRule type="expression" dxfId="112" priority="95">
      <formula>OR(IF(BS65&lt;BT65,TRUE),IF(AND(BT65="",BS65&lt;&gt;""),TRUE))</formula>
    </cfRule>
    <cfRule type="expression" dxfId="111" priority="96">
      <formula>IF(BS65&gt;=BT65,IF(BS65="",FALSE,TRUE))</formula>
    </cfRule>
  </conditionalFormatting>
  <conditionalFormatting sqref="BU65:BU66">
    <cfRule type="expression" dxfId="110" priority="93">
      <formula>OR(IF(BU65&lt;BV65,TRUE),IF(AND(BV65="",BU65&lt;&gt;""),TRUE))</formula>
    </cfRule>
    <cfRule type="expression" dxfId="109" priority="94">
      <formula>IF(BU65&gt;=BV65,IF(BU65="",FALSE,TRUE))</formula>
    </cfRule>
  </conditionalFormatting>
  <conditionalFormatting sqref="BU67:BU76">
    <cfRule type="expression" dxfId="108" priority="89">
      <formula>OR(IF(BU67&lt;BV67,TRUE),IF(AND(BV67="",BU67&lt;&gt;""),TRUE))</formula>
    </cfRule>
    <cfRule type="expression" dxfId="107" priority="90">
      <formula>IF(BU67&gt;=BV67,IF(BU67="",FALSE,TRUE))</formula>
    </cfRule>
  </conditionalFormatting>
  <conditionalFormatting sqref="BS67:BS76">
    <cfRule type="expression" dxfId="106" priority="91">
      <formula>OR(IF(BS67&lt;BT67,TRUE),IF(AND(BT67="",BS67&lt;&gt;""),TRUE))</formula>
    </cfRule>
    <cfRule type="expression" dxfId="105" priority="92">
      <formula>IF(BS67&gt;=BT67,IF(BS67="",FALSE,TRUE))</formula>
    </cfRule>
  </conditionalFormatting>
  <conditionalFormatting sqref="BS95:BS96">
    <cfRule type="expression" dxfId="104" priority="87">
      <formula>OR(IF(BS95&lt;BT95,TRUE),IF(AND(BT95="",BS95&lt;&gt;""),TRUE))</formula>
    </cfRule>
    <cfRule type="expression" dxfId="103" priority="88">
      <formula>IF(BS95&gt;=BT95,IF(BS95="",FALSE,TRUE))</formula>
    </cfRule>
  </conditionalFormatting>
  <conditionalFormatting sqref="BU95:BU96">
    <cfRule type="expression" dxfId="102" priority="85">
      <formula>OR(IF(BU95&lt;BV95,TRUE),IF(AND(BV95="",BU95&lt;&gt;""),TRUE))</formula>
    </cfRule>
    <cfRule type="expression" dxfId="101" priority="86">
      <formula>IF(BU95&gt;=BV95,IF(BU95="",FALSE,TRUE))</formula>
    </cfRule>
  </conditionalFormatting>
  <conditionalFormatting sqref="BU97:BU106">
    <cfRule type="expression" dxfId="100" priority="81">
      <formula>OR(IF(BU97&lt;BV97,TRUE),IF(AND(BV97="",BU97&lt;&gt;""),TRUE))</formula>
    </cfRule>
    <cfRule type="expression" dxfId="99" priority="82">
      <formula>IF(BU97&gt;=BV97,IF(BU97="",FALSE,TRUE))</formula>
    </cfRule>
  </conditionalFormatting>
  <conditionalFormatting sqref="BS97:BS106">
    <cfRule type="expression" dxfId="98" priority="83">
      <formula>OR(IF(BS97&lt;BT97,TRUE),IF(AND(BT97="",BS97&lt;&gt;""),TRUE))</formula>
    </cfRule>
    <cfRule type="expression" dxfId="97" priority="84">
      <formula>IF(BS97&gt;=BT97,IF(BS97="",FALSE,TRUE))</formula>
    </cfRule>
  </conditionalFormatting>
  <conditionalFormatting sqref="BU77">
    <cfRule type="expression" dxfId="96" priority="77">
      <formula>OR(IF(BU77&lt;BV77,TRUE),IF(AND(BV77="",BU77&lt;&gt;""),TRUE))</formula>
    </cfRule>
    <cfRule type="expression" dxfId="95" priority="78">
      <formula>IF(BU77&gt;=BV77,IF(BU77="",FALSE,TRUE))</formula>
    </cfRule>
  </conditionalFormatting>
  <conditionalFormatting sqref="BS77">
    <cfRule type="expression" dxfId="94" priority="79">
      <formula>OR(IF(BS77&lt;BT77,TRUE),IF(AND(BT77="",BS77&lt;&gt;""),TRUE))</formula>
    </cfRule>
    <cfRule type="expression" dxfId="93" priority="80">
      <formula>IF(BS77&gt;=BT77,IF(BS77="",FALSE,TRUE))</formula>
    </cfRule>
  </conditionalFormatting>
  <conditionalFormatting sqref="BU78">
    <cfRule type="expression" dxfId="92" priority="73">
      <formula>OR(IF(BU78&lt;BV78,TRUE),IF(AND(BV78="",BU78&lt;&gt;""),TRUE))</formula>
    </cfRule>
    <cfRule type="expression" dxfId="91" priority="74">
      <formula>IF(BU78&gt;=BV78,IF(BU78="",FALSE,TRUE))</formula>
    </cfRule>
  </conditionalFormatting>
  <conditionalFormatting sqref="BS78">
    <cfRule type="expression" dxfId="90" priority="75">
      <formula>OR(IF(BS78&lt;BT78,TRUE),IF(AND(BT78="",BS78&lt;&gt;""),TRUE))</formula>
    </cfRule>
    <cfRule type="expression" dxfId="89" priority="76">
      <formula>IF(BS78&gt;=BT78,IF(BS78="",FALSE,TRUE))</formula>
    </cfRule>
  </conditionalFormatting>
  <conditionalFormatting sqref="BU79">
    <cfRule type="expression" dxfId="88" priority="69">
      <formula>OR(IF(BU79&lt;BV79,TRUE),IF(AND(BV79="",BU79&lt;&gt;""),TRUE))</formula>
    </cfRule>
    <cfRule type="expression" dxfId="87" priority="70">
      <formula>IF(BU79&gt;=BV79,IF(BU79="",FALSE,TRUE))</formula>
    </cfRule>
  </conditionalFormatting>
  <conditionalFormatting sqref="BS79">
    <cfRule type="expression" dxfId="86" priority="71">
      <formula>OR(IF(BS79&lt;BT79,TRUE),IF(AND(BT79="",BS79&lt;&gt;""),TRUE))</formula>
    </cfRule>
    <cfRule type="expression" dxfId="85" priority="72">
      <formula>IF(BS79&gt;=BT79,IF(BS79="",FALSE,TRUE))</formula>
    </cfRule>
  </conditionalFormatting>
  <conditionalFormatting sqref="BU80">
    <cfRule type="expression" dxfId="84" priority="65">
      <formula>OR(IF(BU80&lt;BV80,TRUE),IF(AND(BV80="",BU80&lt;&gt;""),TRUE))</formula>
    </cfRule>
    <cfRule type="expression" dxfId="83" priority="66">
      <formula>IF(BU80&gt;=BV80,IF(BU80="",FALSE,TRUE))</formula>
    </cfRule>
  </conditionalFormatting>
  <conditionalFormatting sqref="BS80">
    <cfRule type="expression" dxfId="82" priority="67">
      <formula>OR(IF(BS80&lt;BT80,TRUE),IF(AND(BT80="",BS80&lt;&gt;""),TRUE))</formula>
    </cfRule>
    <cfRule type="expression" dxfId="81" priority="68">
      <formula>IF(BS80&gt;=BT80,IF(BS80="",FALSE,TRUE))</formula>
    </cfRule>
  </conditionalFormatting>
  <conditionalFormatting sqref="BU81">
    <cfRule type="expression" dxfId="80" priority="61">
      <formula>OR(IF(BU81&lt;BV81,TRUE),IF(AND(BV81="",BU81&lt;&gt;""),TRUE))</formula>
    </cfRule>
    <cfRule type="expression" dxfId="79" priority="62">
      <formula>IF(BU81&gt;=BV81,IF(BU81="",FALSE,TRUE))</formula>
    </cfRule>
  </conditionalFormatting>
  <conditionalFormatting sqref="BS81">
    <cfRule type="expression" dxfId="78" priority="63">
      <formula>OR(IF(BS81&lt;BT81,TRUE),IF(AND(BT81="",BS81&lt;&gt;""),TRUE))</formula>
    </cfRule>
    <cfRule type="expression" dxfId="77" priority="64">
      <formula>IF(BS81&gt;=BT81,IF(BS81="",FALSE,TRUE))</formula>
    </cfRule>
  </conditionalFormatting>
  <conditionalFormatting sqref="BU82">
    <cfRule type="expression" dxfId="76" priority="57">
      <formula>OR(IF(BU82&lt;BV82,TRUE),IF(AND(BV82="",BU82&lt;&gt;""),TRUE))</formula>
    </cfRule>
    <cfRule type="expression" dxfId="75" priority="58">
      <formula>IF(BU82&gt;=BV82,IF(BU82="",FALSE,TRUE))</formula>
    </cfRule>
  </conditionalFormatting>
  <conditionalFormatting sqref="BS82">
    <cfRule type="expression" dxfId="74" priority="59">
      <formula>OR(IF(BS82&lt;BT82,TRUE),IF(AND(BT82="",BS82&lt;&gt;""),TRUE))</formula>
    </cfRule>
    <cfRule type="expression" dxfId="73" priority="60">
      <formula>IF(BS82&gt;=BT82,IF(BS82="",FALSE,TRUE))</formula>
    </cfRule>
  </conditionalFormatting>
  <conditionalFormatting sqref="BU83">
    <cfRule type="expression" dxfId="72" priority="53">
      <formula>OR(IF(BU83&lt;BV83,TRUE),IF(AND(BV83="",BU83&lt;&gt;""),TRUE))</formula>
    </cfRule>
    <cfRule type="expression" dxfId="71" priority="54">
      <formula>IF(BU83&gt;=BV83,IF(BU83="",FALSE,TRUE))</formula>
    </cfRule>
  </conditionalFormatting>
  <conditionalFormatting sqref="BS83">
    <cfRule type="expression" dxfId="70" priority="55">
      <formula>OR(IF(BS83&lt;BT83,TRUE),IF(AND(BT83="",BS83&lt;&gt;""),TRUE))</formula>
    </cfRule>
    <cfRule type="expression" dxfId="69" priority="56">
      <formula>IF(BS83&gt;=BT83,IF(BS83="",FALSE,TRUE))</formula>
    </cfRule>
  </conditionalFormatting>
  <conditionalFormatting sqref="BU84">
    <cfRule type="expression" dxfId="68" priority="49">
      <formula>OR(IF(BU84&lt;BV84,TRUE),IF(AND(BV84="",BU84&lt;&gt;""),TRUE))</formula>
    </cfRule>
    <cfRule type="expression" dxfId="67" priority="50">
      <formula>IF(BU84&gt;=BV84,IF(BU84="",FALSE,TRUE))</formula>
    </cfRule>
  </conditionalFormatting>
  <conditionalFormatting sqref="BS84">
    <cfRule type="expression" dxfId="66" priority="51">
      <formula>OR(IF(BS84&lt;BT84,TRUE),IF(AND(BT84="",BS84&lt;&gt;""),TRUE))</formula>
    </cfRule>
    <cfRule type="expression" dxfId="65" priority="52">
      <formula>IF(BS84&gt;=BT84,IF(BS84="",FALSE,TRUE))</formula>
    </cfRule>
  </conditionalFormatting>
  <conditionalFormatting sqref="BU85">
    <cfRule type="expression" dxfId="64" priority="45">
      <formula>OR(IF(BU85&lt;BV85,TRUE),IF(AND(BV85="",BU85&lt;&gt;""),TRUE))</formula>
    </cfRule>
    <cfRule type="expression" dxfId="63" priority="46">
      <formula>IF(BU85&gt;=BV85,IF(BU85="",FALSE,TRUE))</formula>
    </cfRule>
  </conditionalFormatting>
  <conditionalFormatting sqref="BS85">
    <cfRule type="expression" dxfId="62" priority="47">
      <formula>OR(IF(BS85&lt;BT85,TRUE),IF(AND(BT85="",BS85&lt;&gt;""),TRUE))</formula>
    </cfRule>
    <cfRule type="expression" dxfId="61" priority="48">
      <formula>IF(BS85&gt;=BT85,IF(BS85="",FALSE,TRUE))</formula>
    </cfRule>
  </conditionalFormatting>
  <conditionalFormatting sqref="BU86">
    <cfRule type="expression" dxfId="60" priority="41">
      <formula>OR(IF(BU86&lt;BV86,TRUE),IF(AND(BV86="",BU86&lt;&gt;""),TRUE))</formula>
    </cfRule>
    <cfRule type="expression" dxfId="59" priority="42">
      <formula>IF(BU86&gt;=BV86,IF(BU86="",FALSE,TRUE))</formula>
    </cfRule>
  </conditionalFormatting>
  <conditionalFormatting sqref="BS86">
    <cfRule type="expression" dxfId="58" priority="43">
      <formula>OR(IF(BS86&lt;BT86,TRUE),IF(AND(BT86="",BS86&lt;&gt;""),TRUE))</formula>
    </cfRule>
    <cfRule type="expression" dxfId="57" priority="44">
      <formula>IF(BS86&gt;=BT86,IF(BS86="",FALSE,TRUE))</formula>
    </cfRule>
  </conditionalFormatting>
  <conditionalFormatting sqref="BU87">
    <cfRule type="expression" dxfId="56" priority="37">
      <formula>OR(IF(BU87&lt;BV87,TRUE),IF(AND(BV87="",BU87&lt;&gt;""),TRUE))</formula>
    </cfRule>
    <cfRule type="expression" dxfId="55" priority="38">
      <formula>IF(BU87&gt;=BV87,IF(BU87="",FALSE,TRUE))</formula>
    </cfRule>
  </conditionalFormatting>
  <conditionalFormatting sqref="BS87">
    <cfRule type="expression" dxfId="54" priority="39">
      <formula>OR(IF(BS87&lt;BT87,TRUE),IF(AND(BT87="",BS87&lt;&gt;""),TRUE))</formula>
    </cfRule>
    <cfRule type="expression" dxfId="53" priority="40">
      <formula>IF(BS87&gt;=BT87,IF(BS87="",FALSE,TRUE))</formula>
    </cfRule>
  </conditionalFormatting>
  <conditionalFormatting sqref="BU88">
    <cfRule type="expression" dxfId="52" priority="33">
      <formula>OR(IF(BU88&lt;BV88,TRUE),IF(AND(BV88="",BU88&lt;&gt;""),TRUE))</formula>
    </cfRule>
    <cfRule type="expression" dxfId="51" priority="34">
      <formula>IF(BU88&gt;=BV88,IF(BU88="",FALSE,TRUE))</formula>
    </cfRule>
  </conditionalFormatting>
  <conditionalFormatting sqref="BS88">
    <cfRule type="expression" dxfId="50" priority="35">
      <formula>OR(IF(BS88&lt;BT88,TRUE),IF(AND(BT88="",BS88&lt;&gt;""),TRUE))</formula>
    </cfRule>
    <cfRule type="expression" dxfId="49" priority="36">
      <formula>IF(BS88&gt;=BT88,IF(BS88="",FALSE,TRUE))</formula>
    </cfRule>
  </conditionalFormatting>
  <conditionalFormatting sqref="BU89:BU93">
    <cfRule type="expression" dxfId="48" priority="29">
      <formula>OR(IF(BU89&lt;BV89,TRUE),IF(AND(BV89="",BU89&lt;&gt;""),TRUE))</formula>
    </cfRule>
    <cfRule type="expression" dxfId="47" priority="30">
      <formula>IF(BU89&gt;=BV89,IF(BU89="",FALSE,TRUE))</formula>
    </cfRule>
  </conditionalFormatting>
  <conditionalFormatting sqref="BS89:BS93">
    <cfRule type="expression" dxfId="46" priority="31">
      <formula>OR(IF(BS89&lt;BT89,TRUE),IF(AND(BT89="",BS89&lt;&gt;""),TRUE))</formula>
    </cfRule>
    <cfRule type="expression" dxfId="45" priority="32">
      <formula>IF(BS89&gt;=BT89,IF(BS89="",FALSE,TRUE))</formula>
    </cfRule>
  </conditionalFormatting>
  <conditionalFormatting sqref="BS26">
    <cfRule type="expression" dxfId="44" priority="27">
      <formula>OR(IF(BS26&lt;BT26,TRUE),IF(AND(BT26="",BS26&lt;&gt;""),TRUE))</formula>
    </cfRule>
    <cfRule type="expression" dxfId="43" priority="28">
      <formula>IF(BS26&gt;=BT26,IF(BS26="",FALSE,TRUE))</formula>
    </cfRule>
  </conditionalFormatting>
  <conditionalFormatting sqref="BU26">
    <cfRule type="expression" dxfId="42" priority="25">
      <formula>OR(IF(BU26&lt;BV26,TRUE),IF(AND(BV26="",BU26&lt;&gt;""),TRUE))</formula>
    </cfRule>
    <cfRule type="expression" dxfId="41" priority="26">
      <formula>IF(BU26&gt;=BV26,IF(BU26="",FALSE,TRUE))</formula>
    </cfRule>
  </conditionalFormatting>
  <conditionalFormatting sqref="BS27">
    <cfRule type="expression" dxfId="40" priority="23">
      <formula>OR(IF(BS27&lt;BT27,TRUE),IF(AND(BT27="",BS27&lt;&gt;""),TRUE))</formula>
    </cfRule>
    <cfRule type="expression" dxfId="39" priority="24">
      <formula>IF(BS27&gt;=BT27,IF(BS27="",FALSE,TRUE))</formula>
    </cfRule>
  </conditionalFormatting>
  <conditionalFormatting sqref="BU27">
    <cfRule type="expression" dxfId="38" priority="21">
      <formula>OR(IF(BU27&lt;BV27,TRUE),IF(AND(BV27="",BU27&lt;&gt;""),TRUE))</formula>
    </cfRule>
    <cfRule type="expression" dxfId="37" priority="22">
      <formula>IF(BU27&gt;=BV27,IF(BU27="",FALSE,TRUE))</formula>
    </cfRule>
  </conditionalFormatting>
  <conditionalFormatting sqref="BS28">
    <cfRule type="expression" dxfId="36" priority="19">
      <formula>OR(IF(BS28&lt;BT28,TRUE),IF(AND(BT28="",BS28&lt;&gt;""),TRUE))</formula>
    </cfRule>
    <cfRule type="expression" dxfId="35" priority="20">
      <formula>IF(BS28&gt;=BT28,IF(BS28="",FALSE,TRUE))</formula>
    </cfRule>
  </conditionalFormatting>
  <conditionalFormatting sqref="BU28">
    <cfRule type="expression" dxfId="34" priority="17">
      <formula>OR(IF(BU28&lt;BV28,TRUE),IF(AND(BV28="",BU28&lt;&gt;""),TRUE))</formula>
    </cfRule>
    <cfRule type="expression" dxfId="33" priority="18">
      <formula>IF(BU28&gt;=BV28,IF(BU28="",FALSE,TRUE))</formula>
    </cfRule>
  </conditionalFormatting>
  <conditionalFormatting sqref="BS29">
    <cfRule type="expression" dxfId="32" priority="15">
      <formula>OR(IF(BS29&lt;BT29,TRUE),IF(AND(BT29="",BS29&lt;&gt;""),TRUE))</formula>
    </cfRule>
    <cfRule type="expression" dxfId="31" priority="16">
      <formula>IF(BS29&gt;=BT29,IF(BS29="",FALSE,TRUE))</formula>
    </cfRule>
  </conditionalFormatting>
  <conditionalFormatting sqref="BU29">
    <cfRule type="expression" dxfId="30" priority="13">
      <formula>OR(IF(BU29&lt;BV29,TRUE),IF(AND(BV29="",BU29&lt;&gt;""),TRUE))</formula>
    </cfRule>
    <cfRule type="expression" dxfId="29" priority="14">
      <formula>IF(BU29&gt;=BV29,IF(BU29="",FALSE,TRUE))</formula>
    </cfRule>
  </conditionalFormatting>
  <conditionalFormatting sqref="BS30:BS31">
    <cfRule type="expression" dxfId="28" priority="11">
      <formula>OR(IF(BS30&lt;BT30,TRUE),IF(AND(BT30="",BS30&lt;&gt;""),TRUE))</formula>
    </cfRule>
    <cfRule type="expression" dxfId="27" priority="12">
      <formula>IF(BS30&gt;=BT30,IF(BS30="",FALSE,TRUE))</formula>
    </cfRule>
  </conditionalFormatting>
  <conditionalFormatting sqref="BU30:BU31">
    <cfRule type="expression" dxfId="26" priority="9">
      <formula>OR(IF(BU30&lt;BV30,TRUE),IF(AND(BV30="",BU30&lt;&gt;""),TRUE))</formula>
    </cfRule>
    <cfRule type="expression" dxfId="25" priority="10">
      <formula>IF(BU30&gt;=BV30,IF(BU30="",FALSE,TRUE))</formula>
    </cfRule>
  </conditionalFormatting>
  <conditionalFormatting sqref="BS112:BS113">
    <cfRule type="expression" dxfId="24" priority="7">
      <formula>OR(IF(BS112&lt;BT112,TRUE),IF(AND(BT112="",BS112&lt;&gt;""),TRUE))</formula>
    </cfRule>
    <cfRule type="expression" dxfId="23" priority="8">
      <formula>IF(BS112&gt;=BT112,IF(BS112="",FALSE,TRUE))</formula>
    </cfRule>
  </conditionalFormatting>
  <conditionalFormatting sqref="BU112:BU113">
    <cfRule type="expression" dxfId="22" priority="5">
      <formula>OR(IF(BU112&lt;BV112,TRUE),IF(AND(BV112="",BU112&lt;&gt;""),TRUE))</formula>
    </cfRule>
    <cfRule type="expression" dxfId="21" priority="6">
      <formula>IF(BU112&gt;=BV112,IF(BU112="",FALSE,TRUE))</formula>
    </cfRule>
  </conditionalFormatting>
  <conditionalFormatting sqref="BU110">
    <cfRule type="expression" dxfId="20" priority="1">
      <formula>OR(IF(BU110&lt;BV110,TRUE),IF(AND(BV110="",BU110&lt;&gt;""),TRUE))</formula>
    </cfRule>
    <cfRule type="expression" dxfId="19" priority="2">
      <formula>IF(BU110&gt;=BV110,IF(BU110="",FALSE,TRUE))</formula>
    </cfRule>
  </conditionalFormatting>
  <conditionalFormatting sqref="BS110">
    <cfRule type="expression" dxfId="18" priority="3">
      <formula>OR(IF(BS110&lt;BT110,TRUE),IF(AND(BT110="",BS110&lt;&gt;""),TRUE))</formula>
    </cfRule>
    <cfRule type="expression" dxfId="17" priority="4">
      <formula>IF(BS110&gt;=BT110,IF(BS110="",FALSE,TRUE))</formula>
    </cfRule>
  </conditionalFormatting>
  <dataValidations count="1">
    <dataValidation type="list" allowBlank="1" showInputMessage="1" showErrorMessage="1" sqref="BS110:BV110 V34:Y45 V5:Y17 AC34:AF45 AC5:AF17 AJ34:AM45 AJ5:AM17 AQ34:AT45 AQ5:AT17 AX34:BA45 ED34:EG45 ED65:EG93 AX5:BA17 AX49:BA60 O5:R17 V49:Y60 AC49:AF60 AJ49:AM60 AQ49:AT60 AX95:BA106 ED5:EG17 O49:R60 O95:R106 V95:Y106 AC95:AF106 AJ95:AM106 AQ95:AT106 AX65:BA93 ED49:EG60 AQ65:AT93 AJ65:AM93 V65:Y93 O34:R45 O65:R93 ED95:EG106 V20:Y31 AC20:AF31 AJ20:AM31 AQ20:AT31 ED20:EG31 AX20:BA31 O20:R31 AX112:BA122 O112:R122 V112:Y122 AC112:AF122 AJ112:AM122 AQ112:AT122 AX110:BA110 ED110:EG110 AQ110:AT110 AJ110:AM110 AC110:AF110 V110:Y110 O110:R110 ED112:EG122 BE34:BH45 BE5:BH17 BE49:BH60 BE95:BH106 BE65:BH93 BE20:BH31 BE112:BH122 BE110:BH110 BL34:BO45 BL5:BO17 BL49:BO60 BL95:BO106 BL65:BO93 BL20:BO31 BL112:BO122 BL110:BO110 BZ34:CC45 BZ65:CC93 BZ5:CC17 BZ49:CC60 BZ95:CC106 BZ20:CC31 BZ110:CC110 BZ112:CC122 CG34:CJ45 CG65:CJ93 CG5:CJ17 CG49:CJ60 CG95:CJ106 CG20:CJ31 CG110:CJ110 CG112:CJ122 CN34:CQ45 CN65:CQ93 CN5:CQ17 CN49:CQ60 CN95:CQ106 CN20:CQ31 CN110:CQ110 CN112:CQ122 CU34:CX45 CU65:CX93 CU5:CX17 CU49:CX60 CU95:CX106 CU20:CX31 CU110:CX110 CU112:CX122 DB34:DE45 DB65:DE93 DB5:DE17 DB49:DE60 DB95:DE106 DB20:DE31 DB110:DE110 DB112:DE122 DI34:DL45 DI65:DL93 DI5:DL17 DI49:DL60 DI95:DL106 DI20:DL31 DI110:DL110 DI112:DL122 DP34:DS45 DP65:DS93 DP5:DS17 DP49:DS60 DP95:DS106 DP20:DS31 DP110:DS110 DP112:DS122 DW34:DZ45 DW65:DZ93 DW5:DZ17 DW49:DZ60 DW95:DZ106 DW20:DZ31 DW110:DZ110 DW112:DZ122 BS34:BV45 BS5:BV17 BS49:BV60 BS95:BV106 BS65:BV93 BS20:BV31 BS112:BV122 AC65:AF93" xr:uid="{00000000-0002-0000-0100-000000000000}">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26D1C-419E-4590-80B5-4CB879D860BD}">
  <dimension ref="I11"/>
  <sheetViews>
    <sheetView workbookViewId="0">
      <selection activeCell="L29" sqref="L29"/>
    </sheetView>
  </sheetViews>
  <sheetFormatPr baseColWidth="10" defaultColWidth="8.83203125" defaultRowHeight="16" x14ac:dyDescent="0.2"/>
  <sheetData>
    <row r="11" spans="9:9" x14ac:dyDescent="0.2">
      <c r="I11">
        <f>(3*96)/22</f>
        <v>13.090909090909092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6"/>
  <sheetViews>
    <sheetView workbookViewId="0">
      <selection activeCell="I18" sqref="I18"/>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45</v>
      </c>
      <c r="B1" s="17" t="s">
        <v>42</v>
      </c>
      <c r="C1" s="17" t="s">
        <v>43</v>
      </c>
      <c r="D1" s="17" t="s">
        <v>44</v>
      </c>
      <c r="E1" s="1" t="s">
        <v>46</v>
      </c>
      <c r="F1" s="1" t="s">
        <v>47</v>
      </c>
      <c r="G1" s="1" t="s">
        <v>48</v>
      </c>
      <c r="H1" s="1" t="s">
        <v>49</v>
      </c>
      <c r="I1" s="1" t="s">
        <v>50</v>
      </c>
      <c r="J1" s="1" t="s">
        <v>51</v>
      </c>
      <c r="K1" s="1" t="s">
        <v>52</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00000000-0002-0000-0200-000000000000}">
      <formula1>"Ja,Nein"</formula1>
    </dataValidation>
    <dataValidation type="list" allowBlank="1" showInputMessage="1" showErrorMessage="1" sqref="D2" xr:uid="{00000000-0002-0000-0200-000001000000}">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7"/>
  <sheetViews>
    <sheetView topLeftCell="A30" zoomScale="117" workbookViewId="0">
      <selection activeCell="D36" sqref="D36"/>
    </sheetView>
  </sheetViews>
  <sheetFormatPr baseColWidth="10" defaultColWidth="10.6640625" defaultRowHeight="16" x14ac:dyDescent="0.2"/>
  <cols>
    <col min="4" max="4" width="30.5" customWidth="1"/>
  </cols>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c r="D12" t="s">
        <v>211</v>
      </c>
    </row>
    <row r="13" spans="1:8" x14ac:dyDescent="0.2">
      <c r="A13" s="10">
        <v>0.33333333333333398</v>
      </c>
      <c r="D13" t="s">
        <v>211</v>
      </c>
    </row>
    <row r="14" spans="1:8" x14ac:dyDescent="0.2">
      <c r="A14" s="10">
        <v>0.35416666666666702</v>
      </c>
      <c r="D14" t="s">
        <v>211</v>
      </c>
    </row>
    <row r="15" spans="1:8" x14ac:dyDescent="0.2">
      <c r="A15" s="10">
        <v>0.375</v>
      </c>
      <c r="D15" t="s">
        <v>211</v>
      </c>
    </row>
    <row r="16" spans="1:8" x14ac:dyDescent="0.2">
      <c r="A16" s="10">
        <v>0.39583333333333398</v>
      </c>
      <c r="D16" t="s">
        <v>211</v>
      </c>
    </row>
    <row r="17" spans="1:4" x14ac:dyDescent="0.2">
      <c r="A17" s="10">
        <v>0.41666666666666702</v>
      </c>
      <c r="D17" t="s">
        <v>211</v>
      </c>
    </row>
    <row r="18" spans="1:4" x14ac:dyDescent="0.2">
      <c r="A18" s="10">
        <v>0.4375</v>
      </c>
      <c r="D18" t="s">
        <v>211</v>
      </c>
    </row>
    <row r="19" spans="1:4" x14ac:dyDescent="0.2">
      <c r="A19" s="10">
        <v>0.45833333333333398</v>
      </c>
      <c r="D19" t="s">
        <v>211</v>
      </c>
    </row>
    <row r="20" spans="1:4" x14ac:dyDescent="0.2">
      <c r="A20" s="10">
        <v>0.47916666666666702</v>
      </c>
      <c r="D20" t="s">
        <v>211</v>
      </c>
    </row>
    <row r="21" spans="1:4" x14ac:dyDescent="0.2">
      <c r="A21" s="10">
        <v>0.5</v>
      </c>
      <c r="D21" t="s">
        <v>212</v>
      </c>
    </row>
    <row r="22" spans="1:4" x14ac:dyDescent="0.2">
      <c r="A22" s="10">
        <v>0.52083333333333404</v>
      </c>
      <c r="D22" t="s">
        <v>212</v>
      </c>
    </row>
    <row r="23" spans="1:4" x14ac:dyDescent="0.2">
      <c r="A23" s="10">
        <v>0.54166666666666696</v>
      </c>
      <c r="D23" t="s">
        <v>212</v>
      </c>
    </row>
    <row r="24" spans="1:4" x14ac:dyDescent="0.2">
      <c r="A24" s="10">
        <v>0.5625</v>
      </c>
      <c r="D24" t="s">
        <v>212</v>
      </c>
    </row>
    <row r="25" spans="1:4" x14ac:dyDescent="0.2">
      <c r="A25" s="10">
        <v>0.58333333333333404</v>
      </c>
      <c r="D25" t="s">
        <v>212</v>
      </c>
    </row>
    <row r="26" spans="1:4" x14ac:dyDescent="0.2">
      <c r="A26" s="10">
        <v>0.60416666666666696</v>
      </c>
      <c r="D26" t="s">
        <v>213</v>
      </c>
    </row>
    <row r="27" spans="1:4" x14ac:dyDescent="0.2">
      <c r="A27" s="10">
        <v>0.625000000000001</v>
      </c>
      <c r="D27" t="s">
        <v>213</v>
      </c>
    </row>
    <row r="28" spans="1:4" x14ac:dyDescent="0.2">
      <c r="A28" s="10">
        <v>0.64583333333333404</v>
      </c>
      <c r="D28" t="s">
        <v>213</v>
      </c>
    </row>
    <row r="29" spans="1:4" x14ac:dyDescent="0.2">
      <c r="A29" s="10">
        <v>0.66666666666666696</v>
      </c>
      <c r="D29" t="s">
        <v>213</v>
      </c>
    </row>
    <row r="30" spans="1:4" x14ac:dyDescent="0.2">
      <c r="A30" s="10">
        <v>0.687500000000001</v>
      </c>
      <c r="D30" t="s">
        <v>213</v>
      </c>
    </row>
    <row r="31" spans="1:4" x14ac:dyDescent="0.2">
      <c r="A31" s="10">
        <v>0.70833333333333404</v>
      </c>
      <c r="D31" t="s">
        <v>213</v>
      </c>
    </row>
    <row r="32" spans="1:4" x14ac:dyDescent="0.2">
      <c r="A32" s="10">
        <v>0.72916666666666696</v>
      </c>
      <c r="D32" t="s">
        <v>213</v>
      </c>
    </row>
    <row r="33" spans="1:4" x14ac:dyDescent="0.2">
      <c r="A33" s="10">
        <v>0.750000000000001</v>
      </c>
      <c r="D33" t="s">
        <v>213</v>
      </c>
    </row>
    <row r="34" spans="1:4" x14ac:dyDescent="0.2">
      <c r="A34" s="10">
        <v>0.77083333333333404</v>
      </c>
      <c r="D34" t="s">
        <v>213</v>
      </c>
    </row>
    <row r="35" spans="1:4" x14ac:dyDescent="0.2">
      <c r="A35" s="10">
        <v>0.79166666666666696</v>
      </c>
    </row>
    <row r="36" spans="1:4" x14ac:dyDescent="0.2">
      <c r="A36" s="10">
        <v>0.812500000000001</v>
      </c>
    </row>
    <row r="37" spans="1:4" x14ac:dyDescent="0.2">
      <c r="A37" s="10">
        <v>0.83333333333333404</v>
      </c>
    </row>
    <row r="38" spans="1:4" x14ac:dyDescent="0.2">
      <c r="A38" s="10">
        <v>0.85416666666666696</v>
      </c>
    </row>
    <row r="39" spans="1:4" x14ac:dyDescent="0.2">
      <c r="A39" s="10">
        <v>0.875000000000001</v>
      </c>
    </row>
    <row r="40" spans="1:4" x14ac:dyDescent="0.2">
      <c r="A40" s="10">
        <v>0.89583333333333404</v>
      </c>
    </row>
    <row r="41" spans="1:4" x14ac:dyDescent="0.2">
      <c r="A41" s="10">
        <v>0.91666666666666696</v>
      </c>
    </row>
    <row r="42" spans="1:4" x14ac:dyDescent="0.2">
      <c r="A42" s="10">
        <v>0.937500000000001</v>
      </c>
    </row>
    <row r="43" spans="1:4" x14ac:dyDescent="0.2">
      <c r="A43" s="10">
        <v>0.95833333333333404</v>
      </c>
    </row>
    <row r="44" spans="1:4" x14ac:dyDescent="0.2">
      <c r="A44" s="10">
        <v>0.97916666666666696</v>
      </c>
    </row>
    <row r="45" spans="1:4" x14ac:dyDescent="0.2">
      <c r="A45" s="10">
        <v>1</v>
      </c>
    </row>
    <row r="46" spans="1:4" x14ac:dyDescent="0.2">
      <c r="A46" s="10">
        <v>1.0208333333333299</v>
      </c>
    </row>
    <row r="47" spans="1:4" x14ac:dyDescent="0.2">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FD47-7A74-47BD-B6C2-FE6A56B2E789}">
  <dimension ref="A1"/>
  <sheetViews>
    <sheetView workbookViewId="0">
      <selection activeCell="J34" sqref="J34"/>
    </sheetView>
  </sheetViews>
  <sheetFormatPr baseColWidth="10" defaultColWidth="8.83203125"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ANLEITUNG (2)</vt:lpstr>
      <vt:lpstr>Semesterplan</vt:lpstr>
      <vt:lpstr>Sheet3</vt:lpstr>
      <vt:lpstr>COMMITTMENT</vt:lpstr>
      <vt:lpstr>Wochenplan KW 07</vt:lpstr>
      <vt:lpstr>Wochenplan KW 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2022-02-18T08:30:55Z</dcterms:modified>
</cp:coreProperties>
</file>