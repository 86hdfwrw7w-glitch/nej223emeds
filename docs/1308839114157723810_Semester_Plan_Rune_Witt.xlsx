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runewitt/Documents/Semester 1/"/>
    </mc:Choice>
  </mc:AlternateContent>
  <xr:revisionPtr revIDLastSave="0" documentId="13_ncr:1_{CCBB45B9-3D2D-B54A-BC8E-DC54950D5CA6}" xr6:coauthVersionLast="47" xr6:coauthVersionMax="47" xr10:uidLastSave="{00000000-0000-0000-0000-000000000000}"/>
  <bookViews>
    <workbookView xWindow="0" yWindow="740" windowWidth="29400" windowHeight="1688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64" i="7" l="1" a="1"/>
  <c r="K64" i="7" s="1"/>
  <c r="J64" i="7" a="1"/>
  <c r="J64" i="7" s="1"/>
  <c r="I64" i="7"/>
  <c r="I9" i="7"/>
  <c r="I10" i="7"/>
  <c r="I11" i="7"/>
  <c r="I12" i="7"/>
  <c r="I13" i="7"/>
  <c r="I14" i="7"/>
  <c r="I15" i="7"/>
  <c r="I53" i="7"/>
  <c r="I54" i="7"/>
  <c r="I55" i="7"/>
  <c r="I56" i="7"/>
  <c r="I57" i="7"/>
  <c r="I58" i="7"/>
  <c r="I59" i="7"/>
  <c r="I60" i="7"/>
  <c r="I61" i="7"/>
  <c r="I62" i="7"/>
  <c r="I63" i="7"/>
  <c r="I46" i="7"/>
  <c r="I47" i="7"/>
  <c r="I24" i="7"/>
  <c r="I25" i="7"/>
  <c r="I26" i="7"/>
  <c r="I27" i="7"/>
  <c r="I28" i="7"/>
  <c r="I29" i="7"/>
  <c r="I30" i="7"/>
  <c r="I31" i="7"/>
  <c r="I32" i="7"/>
  <c r="B72" i="7"/>
  <c r="E73" i="7"/>
  <c r="E74" i="7"/>
  <c r="E75" i="7"/>
  <c r="E72" i="7"/>
  <c r="J9" i="7"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6" i="7" a="1"/>
  <c r="J46" i="7" s="1"/>
  <c r="K46" i="7" a="1"/>
  <c r="K46" i="7" s="1"/>
  <c r="J47" i="7" a="1"/>
  <c r="J47" i="7" s="1"/>
  <c r="K47" i="7" a="1"/>
  <c r="K47" i="7" s="1"/>
  <c r="J53" i="7" a="1"/>
  <c r="J53" i="7" s="1"/>
  <c r="K53" i="7" a="1"/>
  <c r="K53"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G36" i="7"/>
  <c r="G18" i="7"/>
  <c r="C11" i="10"/>
  <c r="C12" i="10" s="1"/>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2" i="7" a="1"/>
  <c r="K52" i="7" s="1"/>
  <c r="J52" i="7" a="1"/>
  <c r="J52" i="7" s="1"/>
  <c r="I52" i="7"/>
  <c r="K51" i="7" a="1"/>
  <c r="K51" i="7" s="1"/>
  <c r="J51" i="7" a="1"/>
  <c r="J51" i="7" s="1"/>
  <c r="I51" i="7"/>
  <c r="G50" i="7"/>
  <c r="K34" i="7" a="1"/>
  <c r="K34" i="7" s="1"/>
  <c r="J34" i="7" a="1"/>
  <c r="J34" i="7" s="1"/>
  <c r="K19" i="7" a="1"/>
  <c r="K19" i="7" s="1"/>
  <c r="J19" i="7" a="1"/>
  <c r="J19" i="7" s="1"/>
  <c r="K48" i="7" a="1"/>
  <c r="K48" i="7" s="1"/>
  <c r="J48" i="7" a="1"/>
  <c r="J48"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8" i="7"/>
  <c r="I45" i="7"/>
  <c r="I44" i="7"/>
  <c r="I43" i="7"/>
  <c r="I42" i="7"/>
  <c r="I41" i="7"/>
  <c r="I40" i="7"/>
  <c r="I39" i="7"/>
  <c r="I38" i="7"/>
  <c r="I37" i="7"/>
  <c r="I34" i="7"/>
  <c r="I19" i="7"/>
  <c r="I6" i="7"/>
  <c r="I7" i="7"/>
  <c r="I8" i="7"/>
  <c r="I16" i="7"/>
  <c r="I5" i="7"/>
  <c r="I50" i="7" l="1"/>
  <c r="K50" i="7"/>
  <c r="J50" i="7"/>
  <c r="I36" i="7"/>
  <c r="J36" i="7"/>
  <c r="K36" i="7"/>
  <c r="I18" i="7"/>
  <c r="J18" i="7"/>
  <c r="K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<sst xmlns="http://schemas.openxmlformats.org/spreadsheetml/2006/main" count="435" uniqueCount="174">
  <si>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</si>
  <si>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</si>
  <si>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</si>
  <si>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</si>
  <si>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</si>
  <si>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</si>
  <si>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</si>
  <si>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</si>
  <si>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</si>
  <si>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</si>
  <si>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</si>
  <si>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</si>
  <si>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</si>
  <si>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</si>
  <si>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</si>
  <si>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</si>
  <si>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</si>
  <si>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</si>
  <si>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</si>
  <si>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</si>
  <si>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</si>
  <si>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</si>
  <si>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</si>
  <si>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</si>
  <si>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</si>
  <si>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</si>
  <si>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</si>
  <si>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</si>
  <si>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</si>
  <si>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</si>
  <si>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</si>
  <si>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</si>
  <si>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</si>
  <si>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</si>
  <si>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</si>
  <si>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</si>
  <si>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</si>
  <si>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</si>
  <si>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</si>
  <si>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</si>
  <si>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</si>
  <si>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</si>
  <si>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</si>
  <si>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</si>
  <si>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</si>
  <si>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</si>
  <si>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</si>
  <si>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</si>
  <si>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</si>
  <si>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</si>
  <si>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</si>
  <si>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</si>
  <si>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</si>
  <si>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</si>
  <si>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</si>
  <si>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</si>
  <si>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</si>
  <si>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</si>
  <si>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</si>
  <si>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</si>
  <si>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</si>
  <si>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</si>
  <si>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</si>
  <si>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</si>
  <si>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</si>
  <si>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</si>
  <si>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</si>
  <si>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</si>
  <si>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</si>
  <si>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</si>
  <si>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</si>
  <si>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</si>
  <si>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</si>
  <si>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</si>
  <si>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</si>
  <si>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</si>
  <si>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</si>
  <si>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</si>
  <si>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</si>
  <si>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</si>
  <si>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</si>
  <si>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</si>
  <si>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</si>
  <si>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</si>
  <si>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</si>
  <si>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</si>
  <si>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</si>
  <si>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</si>
  <si>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</si>
  <si>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</si>
  <si>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</si>
  <si>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</si>
  <si>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</si>
  <si>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</si>
  <si>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</si>
  <si>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</si>
  <si>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</si>
  <si>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</si>
  <si>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</si>
  <si>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</si>
  <si>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</si>
  <si>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</si>
  <si>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</si>
  <si>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</si>
  <si>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</si>
  <si>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</si>
  <si>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</si>
  <si>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</si>
  <si>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</si>
  <si>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</si>
  <si>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</si>
  <si>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</si>
  <si>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</si>
  <si>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</si>
  <si>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</si>
  <si>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</si>
  <si>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</si>
  <si>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</si>
  <si>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</si>
  <si>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</si>
  <si>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</si>
  <si>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</si>
  <si>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</si>
  <si>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</si>
  <si>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</si>
  <si>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</si>
  <si>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</si>
  <si>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</si>
  <si>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</si>
  <si>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</si>
  <si>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12) Tabellen zu Verteilungsfunktionen und Quantilen</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</si>
  <si>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</si>
  <si>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</si>
  <si>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</si>
  <si>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</si>
  <si>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</si>
  <si>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</si>
  <si>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</si>
  <si>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</si>
  <si>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</si>
  <si>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</si>
  <si>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</si>
  <si>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</si>
  <si>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</si>
  <si>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</si>
  <si>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</si>
  <si>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</si>
  <si>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</si>
  <si>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</si>
  <si>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</si>
  <si>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</si>
  <si>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</si>
  <si>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</si>
  <si>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</si>
  <si>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</si>
  <si>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</si>
  <si>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</si>
  <si>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</si>
  <si>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</si>
  <si>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</si>
  <si>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</si>
  <si>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</si>
  <si>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</si>
  <si>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Verteilung nach Kapitel</t>
  </si>
  <si>
    <t>Verteilung nach CP</t>
  </si>
  <si>
    <t>3 Lvl Ups</t>
  </si>
  <si>
    <t>4 Lvl Ups</t>
  </si>
  <si>
    <t>3 lvl ups</t>
  </si>
  <si>
    <t>Vorlesung Mathe</t>
  </si>
  <si>
    <t>Statistik</t>
  </si>
  <si>
    <t>Mathe</t>
  </si>
  <si>
    <t>ACC</t>
  </si>
  <si>
    <t xml:space="preserve">Einfürung </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</si>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</sst>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56FF5E"/>
        <bgColor indexed="64"/>
      </patternFill>
    </fill>
    <fill>
      <patternFill patternType="solid">
        <fgColor rgb="FFFF231B"/>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 fontId="0" fillId="0" borderId="0" xfId="0" applyNumberFormat="1"/>
    <xf numFmtId="164" fontId="0" fillId="5" borderId="0" xfId="0" applyNumberFormat="1" applyFill="1"/>
    <xf numFmtId="0" fontId="0" fillId="7" borderId="0" xfId="0" applyFill="1"/>
    <xf numFmtId="0" fontId="0" fillId="8" borderId="0" xfId="0" applyFill="1"/>
    <xf numFmtId="0" fontId="1" fillId="2" borderId="0" xfId="0" applyFont="1" applyFill="1" applyAlignment="1">
      <alignment horizontal="center"/>
    </xf>
    <xf numFmtId="0" fontId="0" fillId="0" borderId="0" xfId="0" applyNumberFormat="1"/>
  </cellXfs>
  <cellStyles count="1">
    <cellStyle name="Standard" xfId="0" builtinId="0"/>
  </cellStyles>
  <dxfs count="9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231B"/>
      <color rgb="FFFDFF05"/>
      <color rgb="FF56FF5E"/>
      <color rgb="FF00FF29"/>
      <color rgb="FFC4FF87"/>
      <color rgb="FFFFDE7F"/>
      <color rgb="FFFF755A"/>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4">
  <autoFilter ref="A1:K46" xr:uid="{6E266E34-2786-2747-BCE7-51B74867A564}"/>
  <tableColumns count="11">
    <tableColumn id="1" xr3:uid="{95FD92F7-3DC8-704D-A103-A7EDDAB255AB}" name="Datum" dataDxfId="93"/>
    <tableColumn id="2" xr3:uid="{F464D510-8166-E740-A343-FB84BDEF877F}" name="Lerneinheiten durchgezogen" dataDxfId="92"/>
    <tableColumn id="3" xr3:uid="{75F52B08-1A00-0848-BBE6-1EDF7B31B1AD}" name="Tagesplan erstellt" dataDxfId="91"/>
    <tableColumn id="4" xr3:uid="{E6B18D89-E799-AD48-9DAA-37AEE1D29011}" name="Konzentrationslevel" dataDxfId="9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E24" sqref="E2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13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39</v>
      </c>
      <c r="D11" t="s">
        <v>66</v>
      </c>
    </row>
    <row r="12" spans="1:4" x14ac:dyDescent="0.2">
      <c r="A12" t="s">
        <v>69</v>
      </c>
      <c r="B12" t="s">
        <v>68</v>
      </c>
      <c r="C12" s="21">
        <f>C11/C10</f>
        <v>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75"/>
  <sheetViews>
    <sheetView showGridLines="0" tabSelected="1" zoomScale="84" zoomScaleNormal="70" workbookViewId="0">
      <pane xSplit="12" topLeftCell="AU1" activePane="topRight" state="frozen"/>
      <selection pane="topRight" activeCell="AW56" sqref="AW56"/>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3"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G1" s="13" t="s">
        <v>34</v>
      </c>
      <c r="I1" s="13" t="s">
        <v>34</v>
      </c>
      <c r="J1" s="13" t="s">
        <v>34</v>
      </c>
      <c r="K1" s="13" t="s">
        <v>34</v>
      </c>
    </row>
    <row r="2" spans="2:145" x14ac:dyDescent="0.2">
      <c r="I2" s="24" t="s">
        <v>27</v>
      </c>
      <c r="J2" s="24"/>
      <c r="K2" s="24"/>
      <c r="L2" s="24"/>
      <c r="N2" s="24" t="s">
        <v>131</v>
      </c>
      <c r="O2" s="24"/>
      <c r="P2" s="24"/>
      <c r="Q2" s="24"/>
      <c r="R2" s="24"/>
      <c r="S2" s="24"/>
      <c r="U2" s="24" t="s">
        <v>132</v>
      </c>
      <c r="V2" s="24"/>
      <c r="W2" s="24"/>
      <c r="X2" s="24"/>
      <c r="Y2" s="24"/>
      <c r="Z2" s="24"/>
      <c r="AB2" s="24" t="s">
        <v>133</v>
      </c>
      <c r="AC2" s="24"/>
      <c r="AD2" s="24"/>
      <c r="AE2" s="24"/>
      <c r="AF2" s="24"/>
      <c r="AG2" s="24"/>
      <c r="AI2" s="24" t="s">
        <v>134</v>
      </c>
      <c r="AJ2" s="24"/>
      <c r="AK2" s="24"/>
      <c r="AL2" s="24"/>
      <c r="AM2" s="24"/>
      <c r="AN2" s="24"/>
      <c r="AP2" s="24" t="s">
        <v>135</v>
      </c>
      <c r="AQ2" s="24"/>
      <c r="AR2" s="24"/>
      <c r="AS2" s="24"/>
      <c r="AT2" s="24"/>
      <c r="AU2" s="24"/>
      <c r="AW2" s="24" t="s">
        <v>136</v>
      </c>
      <c r="AX2" s="24"/>
      <c r="AY2" s="24"/>
      <c r="AZ2" s="24"/>
      <c r="BA2" s="24"/>
      <c r="BB2" s="24"/>
      <c r="BD2" s="24" t="s">
        <v>137</v>
      </c>
      <c r="BE2" s="24"/>
      <c r="BF2" s="24"/>
      <c r="BG2" s="24"/>
      <c r="BH2" s="24"/>
      <c r="BI2" s="24"/>
      <c r="BK2" s="24" t="s">
        <v>138</v>
      </c>
      <c r="BL2" s="24"/>
      <c r="BM2" s="24"/>
      <c r="BN2" s="24"/>
      <c r="BO2" s="24"/>
      <c r="BP2" s="24"/>
      <c r="BR2" s="24" t="s">
        <v>139</v>
      </c>
      <c r="BS2" s="24"/>
      <c r="BT2" s="24"/>
      <c r="BU2" s="24"/>
      <c r="BV2" s="24"/>
      <c r="BW2" s="24"/>
      <c r="BY2" s="24" t="s">
        <v>140</v>
      </c>
      <c r="BZ2" s="24"/>
      <c r="CA2" s="24"/>
      <c r="CB2" s="24"/>
      <c r="CC2" s="24"/>
      <c r="CD2" s="24"/>
      <c r="CF2" s="24" t="s">
        <v>141</v>
      </c>
      <c r="CG2" s="24"/>
      <c r="CH2" s="24"/>
      <c r="CI2" s="24"/>
      <c r="CJ2" s="24"/>
      <c r="CK2" s="24"/>
      <c r="CM2" s="24" t="s">
        <v>142</v>
      </c>
      <c r="CN2" s="24"/>
      <c r="CO2" s="24"/>
      <c r="CP2" s="24"/>
      <c r="CQ2" s="24"/>
      <c r="CR2" s="24"/>
      <c r="CT2" s="24" t="s">
        <v>143</v>
      </c>
      <c r="CU2" s="24"/>
      <c r="CV2" s="24"/>
      <c r="CW2" s="24"/>
      <c r="CX2" s="24"/>
      <c r="CY2" s="24"/>
      <c r="DA2" s="24" t="s">
        <v>144</v>
      </c>
      <c r="DB2" s="24"/>
      <c r="DC2" s="24"/>
      <c r="DD2" s="24"/>
      <c r="DE2" s="24"/>
      <c r="DF2" s="24"/>
      <c r="DH2" s="24" t="s">
        <v>145</v>
      </c>
      <c r="DI2" s="24"/>
      <c r="DJ2" s="24"/>
      <c r="DK2" s="24"/>
      <c r="DL2" s="24"/>
      <c r="DM2" s="24"/>
      <c r="DO2" s="24" t="s">
        <v>146</v>
      </c>
      <c r="DP2" s="24"/>
      <c r="DQ2" s="24"/>
      <c r="DR2" s="24"/>
      <c r="DS2" s="24"/>
      <c r="DT2" s="24"/>
      <c r="DV2" s="24" t="s">
        <v>147</v>
      </c>
      <c r="DW2" s="24"/>
      <c r="DX2" s="24"/>
      <c r="DY2" s="24"/>
      <c r="DZ2" s="24"/>
      <c r="EA2" s="24"/>
      <c r="EC2" s="24" t="s">
        <v>148</v>
      </c>
      <c r="ED2" s="24"/>
      <c r="EE2" s="24"/>
      <c r="EF2" s="24"/>
      <c r="EG2" s="24"/>
      <c r="EH2" s="24"/>
      <c r="EJ2" s="24" t="s">
        <v>149</v>
      </c>
      <c r="EK2" s="24"/>
      <c r="EL2" s="24"/>
      <c r="EM2" s="24"/>
      <c r="EN2" s="24"/>
      <c r="EO2" s="24"/>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F4" t="s">
        <v>165</v>
      </c>
      <c r="G4" s="10">
        <f>+SUM(G5:G16)</f>
        <v>1</v>
      </c>
      <c r="I4" s="12">
        <f>+SUM(I5:I16)</f>
        <v>34.5</v>
      </c>
      <c r="J4" s="11">
        <f>+SUMPRODUCT(G5:G16,J5:J16)</f>
        <v>0.64000000000000012</v>
      </c>
      <c r="K4" s="11">
        <f>+SUMPRODUCT(G5:G16,K5:K16)</f>
        <v>0.64000000000000012</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7</v>
      </c>
      <c r="J5" s="11" cm="1">
        <f t="array" ref="J5">MAX(IF($N$3:$EH$3=$J$3,N5:EH5))</f>
        <v>1</v>
      </c>
      <c r="K5" s="11" cm="1">
        <f t="array" ref="K5">MAX(IF($N$3:$EH$3=$J$3,N5:EH5))</f>
        <v>1</v>
      </c>
      <c r="L5" s="9"/>
      <c r="N5">
        <v>4.5</v>
      </c>
      <c r="O5" s="10">
        <v>0.5</v>
      </c>
      <c r="P5" s="10">
        <v>0.5</v>
      </c>
      <c r="Q5" s="10">
        <v>0.5</v>
      </c>
      <c r="R5" s="10">
        <v>0.5</v>
      </c>
      <c r="U5">
        <v>1.5</v>
      </c>
      <c r="V5" s="10">
        <v>0.8</v>
      </c>
      <c r="W5" s="10">
        <v>0.8</v>
      </c>
      <c r="X5" s="10">
        <v>0.8</v>
      </c>
      <c r="Y5" s="10">
        <v>0.8</v>
      </c>
      <c r="AC5" s="10">
        <v>0.8</v>
      </c>
      <c r="AD5" s="10">
        <v>0.8</v>
      </c>
      <c r="AE5" s="10">
        <v>0.8</v>
      </c>
      <c r="AF5" s="10">
        <v>0.8</v>
      </c>
      <c r="AJ5" s="10">
        <v>0.8</v>
      </c>
      <c r="AK5" s="10">
        <v>0.8</v>
      </c>
      <c r="AL5" s="10">
        <v>0.8</v>
      </c>
      <c r="AM5" s="10">
        <v>0.8</v>
      </c>
      <c r="AP5">
        <v>1</v>
      </c>
      <c r="AQ5" s="10">
        <v>1</v>
      </c>
      <c r="AR5" s="10">
        <v>1</v>
      </c>
      <c r="AS5" s="10">
        <v>1</v>
      </c>
      <c r="AT5" s="10">
        <v>1</v>
      </c>
      <c r="AX5" s="10">
        <v>1</v>
      </c>
      <c r="AY5" s="10">
        <v>1</v>
      </c>
      <c r="AZ5" s="10">
        <v>1</v>
      </c>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7.5</v>
      </c>
      <c r="J6" s="11" cm="1">
        <f t="array" ref="J6">MAX(IF($N$3:$EH$3=$J$3,N6:EH6))</f>
        <v>1</v>
      </c>
      <c r="K6" s="11" cm="1">
        <f t="array" ref="K6">MAX(IF($N$3:$EH$3=$J$3,N6:EH6))</f>
        <v>1</v>
      </c>
      <c r="L6" s="9"/>
      <c r="N6">
        <v>3</v>
      </c>
      <c r="O6" s="10">
        <v>0.5</v>
      </c>
      <c r="P6" s="10">
        <v>0.5</v>
      </c>
      <c r="Q6" s="10">
        <v>0.5</v>
      </c>
      <c r="R6" s="10">
        <v>0.5</v>
      </c>
      <c r="V6" s="10">
        <v>0.5</v>
      </c>
      <c r="W6" s="10">
        <v>0.5</v>
      </c>
      <c r="X6" s="10">
        <v>0.5</v>
      </c>
      <c r="Y6" s="10">
        <v>0.5</v>
      </c>
      <c r="AB6">
        <v>2.5</v>
      </c>
      <c r="AC6" s="10">
        <v>0.8</v>
      </c>
      <c r="AD6" s="10">
        <v>0.8</v>
      </c>
      <c r="AE6" s="10">
        <v>0.8</v>
      </c>
      <c r="AF6" s="10">
        <v>0.8</v>
      </c>
      <c r="AJ6" s="10">
        <v>0.8</v>
      </c>
      <c r="AK6" s="10">
        <v>0.8</v>
      </c>
      <c r="AL6" s="10">
        <v>0.8</v>
      </c>
      <c r="AM6" s="10">
        <v>0.8</v>
      </c>
      <c r="AP6">
        <v>2</v>
      </c>
      <c r="AQ6" s="10">
        <v>1</v>
      </c>
      <c r="AR6" s="10">
        <v>1</v>
      </c>
      <c r="AS6" s="10">
        <v>1</v>
      </c>
      <c r="AT6" s="10">
        <v>1</v>
      </c>
      <c r="AX6" s="10">
        <v>1</v>
      </c>
      <c r="AY6" s="10">
        <v>1</v>
      </c>
      <c r="AZ6" s="10">
        <v>1</v>
      </c>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1.5</v>
      </c>
      <c r="J7" s="11" cm="1">
        <f t="array" ref="J7">MAX(IF($N$3:$EH$3=$J$3,N7:EH7))</f>
        <v>0.8</v>
      </c>
      <c r="K7" s="11" cm="1">
        <f t="array" ref="K7">MAX(IF($N$3:$EH$3=$J$3,N7:EH7))</f>
        <v>0.8</v>
      </c>
      <c r="L7" s="9"/>
      <c r="O7" s="10"/>
      <c r="P7" s="10">
        <v>0.5</v>
      </c>
      <c r="Q7" s="10"/>
      <c r="R7" s="10">
        <v>0.5</v>
      </c>
      <c r="U7">
        <v>1</v>
      </c>
      <c r="V7" s="10">
        <v>0.5</v>
      </c>
      <c r="W7" s="10">
        <v>0.5</v>
      </c>
      <c r="X7" s="10">
        <v>0.5</v>
      </c>
      <c r="Y7" s="10">
        <v>0.5</v>
      </c>
      <c r="AC7" s="10">
        <v>0.5</v>
      </c>
      <c r="AD7" s="10">
        <v>0.5</v>
      </c>
      <c r="AE7" s="10">
        <v>0.5</v>
      </c>
      <c r="AF7" s="10">
        <v>0.5</v>
      </c>
      <c r="AI7">
        <v>0.5</v>
      </c>
      <c r="AJ7" s="10">
        <v>0.8</v>
      </c>
      <c r="AK7" s="10">
        <v>0.8</v>
      </c>
      <c r="AL7" s="10">
        <v>0.8</v>
      </c>
      <c r="AM7" s="10">
        <v>0.8</v>
      </c>
      <c r="AQ7" s="10">
        <v>0.8</v>
      </c>
      <c r="AR7" s="10">
        <v>0.8</v>
      </c>
      <c r="AS7" s="10">
        <v>0.8</v>
      </c>
      <c r="AT7" s="10">
        <v>0.8</v>
      </c>
      <c r="AX7" s="10">
        <v>0.8</v>
      </c>
      <c r="AY7" s="10">
        <v>0.8</v>
      </c>
      <c r="AZ7" s="10">
        <v>0.8</v>
      </c>
      <c r="BA7" s="10">
        <v>0.8</v>
      </c>
      <c r="BE7" s="10"/>
      <c r="BF7" s="10">
        <v>0.8</v>
      </c>
      <c r="BG7" s="10"/>
      <c r="BH7" s="10">
        <v>0.8</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3.5</v>
      </c>
      <c r="J8" s="11" cm="1">
        <f t="array" ref="J8">MAX(IF($N$3:$EH$3=$J$3,N8:EH8))</f>
        <v>0.8</v>
      </c>
      <c r="K8" s="11" cm="1">
        <f t="array" ref="K8">MAX(IF($N$3:$EH$3=$J$3,N8:EH8))</f>
        <v>0.8</v>
      </c>
      <c r="L8" s="9"/>
      <c r="O8" s="10"/>
      <c r="P8" s="10"/>
      <c r="Q8" s="10"/>
      <c r="R8" s="10"/>
      <c r="U8">
        <v>2</v>
      </c>
      <c r="V8" s="10">
        <v>0.5</v>
      </c>
      <c r="W8" s="10">
        <v>0.5</v>
      </c>
      <c r="X8" s="10">
        <v>0.5</v>
      </c>
      <c r="Y8" s="10">
        <v>0.5</v>
      </c>
      <c r="AC8" s="10">
        <v>0.5</v>
      </c>
      <c r="AD8" s="10">
        <v>0.5</v>
      </c>
      <c r="AE8" s="10">
        <v>0.5</v>
      </c>
      <c r="AF8" s="10">
        <v>0.5</v>
      </c>
      <c r="AJ8" s="10">
        <v>0.5</v>
      </c>
      <c r="AK8" s="10">
        <v>0.5</v>
      </c>
      <c r="AL8" s="10">
        <v>0.5</v>
      </c>
      <c r="AM8" s="10">
        <v>0.5</v>
      </c>
      <c r="AQ8" s="10">
        <v>0.5</v>
      </c>
      <c r="AR8" s="10">
        <v>0.5</v>
      </c>
      <c r="AS8" s="10">
        <v>0.5</v>
      </c>
      <c r="AT8" s="10">
        <v>0.5</v>
      </c>
      <c r="AW8">
        <v>1.5</v>
      </c>
      <c r="AX8" s="10">
        <v>0.8</v>
      </c>
      <c r="AY8" s="10">
        <v>0.8</v>
      </c>
      <c r="AZ8" s="10">
        <v>0.8</v>
      </c>
      <c r="BA8" s="10">
        <v>0.8</v>
      </c>
      <c r="BE8" s="10"/>
      <c r="BF8" s="10">
        <v>0.8</v>
      </c>
      <c r="BG8" s="10"/>
      <c r="BH8" s="10">
        <v>0.8</v>
      </c>
      <c r="BL8" s="10"/>
      <c r="BM8" s="10">
        <v>0.8</v>
      </c>
      <c r="BN8" s="10"/>
      <c r="BO8" s="10">
        <v>0.8</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f t="shared" ref="I9:I15" si="0">+SUMIF($N$3:$ZS$3,I$3,$N9:$ZS9)</f>
        <v>3.5</v>
      </c>
      <c r="J9" s="11" cm="1">
        <f t="array" ref="J9">MAX(IF($N$3:$EH$3=$J$3,N9:EH9))</f>
        <v>0.8</v>
      </c>
      <c r="K9" s="11" cm="1">
        <f t="array" ref="K9">MAX(IF($N$3:$EH$3=$J$3,N9:EH9))</f>
        <v>0.8</v>
      </c>
      <c r="L9" s="9"/>
      <c r="O9" s="10"/>
      <c r="P9" s="10"/>
      <c r="Q9" s="10"/>
      <c r="R9" s="10"/>
      <c r="V9" s="10"/>
      <c r="W9" s="10"/>
      <c r="X9" s="10"/>
      <c r="Y9" s="10"/>
      <c r="AB9">
        <v>2</v>
      </c>
      <c r="AC9" s="10">
        <v>0.5</v>
      </c>
      <c r="AD9" s="10">
        <v>0.5</v>
      </c>
      <c r="AE9" s="10">
        <v>0.5</v>
      </c>
      <c r="AF9" s="10">
        <v>0.5</v>
      </c>
      <c r="AJ9" s="10">
        <v>0.5</v>
      </c>
      <c r="AK9" s="10">
        <v>0.5</v>
      </c>
      <c r="AL9" s="10">
        <v>0.5</v>
      </c>
      <c r="AM9" s="10">
        <v>0.5</v>
      </c>
      <c r="AQ9" s="10">
        <v>0.5</v>
      </c>
      <c r="AR9" s="10">
        <v>0.5</v>
      </c>
      <c r="AS9" s="10">
        <v>0.5</v>
      </c>
      <c r="AT9" s="10">
        <v>0.5</v>
      </c>
      <c r="AW9">
        <v>1.5</v>
      </c>
      <c r="AX9" s="10">
        <v>0.8</v>
      </c>
      <c r="AY9" s="10">
        <v>0.8</v>
      </c>
      <c r="AZ9" s="10">
        <v>0.8</v>
      </c>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f t="shared" si="0"/>
        <v>0.5</v>
      </c>
      <c r="J10" s="11" cm="1">
        <f t="array" ref="J10">MAX(IF($N$3:$EH$3=$J$3,N10:EH10))</f>
        <v>0.5</v>
      </c>
      <c r="K10" s="11" cm="1">
        <f t="array" ref="K10">MAX(IF($N$3:$EH$3=$J$3,N10:EH10))</f>
        <v>0.5</v>
      </c>
      <c r="L10" s="9"/>
      <c r="O10" s="10"/>
      <c r="P10" s="10"/>
      <c r="Q10" s="10"/>
      <c r="R10" s="10"/>
      <c r="V10" s="10"/>
      <c r="W10" s="10"/>
      <c r="X10" s="10"/>
      <c r="Y10" s="10"/>
      <c r="AB10">
        <v>0.5</v>
      </c>
      <c r="AC10" s="10">
        <v>0.5</v>
      </c>
      <c r="AD10" s="10">
        <v>0.5</v>
      </c>
      <c r="AE10" s="10">
        <v>0.5</v>
      </c>
      <c r="AF10" s="10">
        <v>0.5</v>
      </c>
      <c r="AJ10" s="10">
        <v>0.5</v>
      </c>
      <c r="AK10" s="10">
        <v>0.5</v>
      </c>
      <c r="AL10" s="10">
        <v>0.5</v>
      </c>
      <c r="AM10" s="10">
        <v>0.5</v>
      </c>
      <c r="AQ10" s="10">
        <v>0.5</v>
      </c>
      <c r="AR10" s="10">
        <v>0.5</v>
      </c>
      <c r="AS10" s="10">
        <v>0.5</v>
      </c>
      <c r="AT10" s="10">
        <v>0.5</v>
      </c>
      <c r="AX10" s="10">
        <v>0.5</v>
      </c>
      <c r="AY10" s="10">
        <v>0.5</v>
      </c>
      <c r="AZ10" s="10">
        <v>0.5</v>
      </c>
      <c r="BA10" s="10">
        <v>0.5</v>
      </c>
      <c r="BE10" s="10"/>
      <c r="BF10" s="10">
        <v>0.8</v>
      </c>
      <c r="BG10" s="10"/>
      <c r="BH10" s="10">
        <v>0.8</v>
      </c>
      <c r="BL10" s="10"/>
      <c r="BM10" s="10">
        <v>0.8</v>
      </c>
      <c r="BN10" s="10"/>
      <c r="BO10" s="10">
        <v>0.8</v>
      </c>
      <c r="BS10" s="10"/>
      <c r="BT10" s="10">
        <v>0.8</v>
      </c>
      <c r="BU10" s="10"/>
      <c r="BV10" s="10">
        <v>0.8</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f t="shared" si="0"/>
        <v>2</v>
      </c>
      <c r="J11" s="11" cm="1">
        <f t="array" ref="J11">MAX(IF($N$3:$EH$3=$J$3,N11:EH11))</f>
        <v>0.5</v>
      </c>
      <c r="K11" s="11" cm="1">
        <f t="array" ref="K11">MAX(IF($N$3:$EH$3=$J$3,N11:EH11))</f>
        <v>0.5</v>
      </c>
      <c r="L11" s="9"/>
      <c r="O11" s="10"/>
      <c r="P11" s="10"/>
      <c r="Q11" s="10"/>
      <c r="R11" s="10"/>
      <c r="V11" s="10"/>
      <c r="W11" s="10"/>
      <c r="X11" s="10"/>
      <c r="Y11" s="10"/>
      <c r="AC11" s="10"/>
      <c r="AD11" s="10"/>
      <c r="AE11" s="10"/>
      <c r="AF11" s="10"/>
      <c r="AI11">
        <v>2</v>
      </c>
      <c r="AJ11" s="10">
        <v>0.5</v>
      </c>
      <c r="AK11" s="10">
        <v>0.5</v>
      </c>
      <c r="AL11" s="10">
        <v>0.5</v>
      </c>
      <c r="AM11" s="10">
        <v>0.5</v>
      </c>
      <c r="AQ11" s="10">
        <v>0.5</v>
      </c>
      <c r="AR11" s="10">
        <v>0.5</v>
      </c>
      <c r="AS11" s="10">
        <v>0.5</v>
      </c>
      <c r="AT11" s="10">
        <v>0.5</v>
      </c>
      <c r="AX11" s="10">
        <v>0.5</v>
      </c>
      <c r="AY11" s="10">
        <v>0.5</v>
      </c>
      <c r="AZ11" s="10">
        <v>0.5</v>
      </c>
      <c r="BA11" s="10">
        <v>0.5</v>
      </c>
      <c r="BE11" s="10"/>
      <c r="BF11" s="10">
        <v>0.5</v>
      </c>
      <c r="BG11" s="10"/>
      <c r="BH11" s="10">
        <v>0.5</v>
      </c>
      <c r="BL11" s="10"/>
      <c r="BM11" s="10">
        <v>0.8</v>
      </c>
      <c r="BN11" s="10"/>
      <c r="BO11" s="10">
        <v>0.8</v>
      </c>
      <c r="BS11" s="10"/>
      <c r="BT11" s="10">
        <v>0.8</v>
      </c>
      <c r="BU11" s="10"/>
      <c r="BV11" s="10">
        <v>0.8</v>
      </c>
      <c r="BZ11" s="10"/>
      <c r="CA11" s="10">
        <v>0.8</v>
      </c>
      <c r="CB11" s="10"/>
      <c r="CC11" s="10">
        <v>0.8</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f t="shared" si="0"/>
        <v>4</v>
      </c>
      <c r="J12" s="11" cm="1">
        <f t="array" ref="J12">MAX(IF($N$3:$EH$3=$J$3,N12:EH12))</f>
        <v>0.5</v>
      </c>
      <c r="K12" s="11" cm="1">
        <f t="array" ref="K12">MAX(IF($N$3:$EH$3=$J$3,N12:EH12))</f>
        <v>0.5</v>
      </c>
      <c r="L12" s="9"/>
      <c r="O12" s="10"/>
      <c r="P12" s="10"/>
      <c r="Q12" s="10"/>
      <c r="R12" s="10"/>
      <c r="V12" s="10"/>
      <c r="W12" s="10"/>
      <c r="X12" s="10"/>
      <c r="Y12" s="10"/>
      <c r="AC12" s="10"/>
      <c r="AD12" s="10"/>
      <c r="AE12" s="10"/>
      <c r="AF12" s="10"/>
      <c r="AI12">
        <v>4</v>
      </c>
      <c r="AJ12" s="10">
        <v>0.5</v>
      </c>
      <c r="AK12" s="10">
        <v>0.5</v>
      </c>
      <c r="AL12" s="10">
        <v>0.5</v>
      </c>
      <c r="AM12" s="10">
        <v>0.5</v>
      </c>
      <c r="AQ12" s="10">
        <v>0.5</v>
      </c>
      <c r="AR12" s="10">
        <v>0.5</v>
      </c>
      <c r="AS12" s="10">
        <v>0.5</v>
      </c>
      <c r="AT12" s="10">
        <v>0.5</v>
      </c>
      <c r="AX12" s="10">
        <v>0.5</v>
      </c>
      <c r="AY12" s="10">
        <v>0.5</v>
      </c>
      <c r="AZ12" s="10">
        <v>0.5</v>
      </c>
      <c r="BA12" s="10">
        <v>0.5</v>
      </c>
      <c r="BE12" s="10"/>
      <c r="BF12" s="10">
        <v>0.5</v>
      </c>
      <c r="BG12" s="10"/>
      <c r="BH12" s="10">
        <v>0.5</v>
      </c>
      <c r="BL12" s="10"/>
      <c r="BM12" s="10">
        <v>0.8</v>
      </c>
      <c r="BN12" s="10"/>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f t="shared" si="0"/>
        <v>2</v>
      </c>
      <c r="J13" s="11" cm="1">
        <f t="array" ref="J13">MAX(IF($N$3:$EH$3=$J$3,N13:EH13))</f>
        <v>0.5</v>
      </c>
      <c r="K13" s="11" cm="1">
        <f t="array" ref="K13">MAX(IF($N$3:$EH$3=$J$3,N13:EH13))</f>
        <v>0.5</v>
      </c>
      <c r="L13" s="9"/>
      <c r="O13" s="10"/>
      <c r="P13" s="10"/>
      <c r="Q13" s="10"/>
      <c r="R13" s="10"/>
      <c r="V13" s="10"/>
      <c r="W13" s="10"/>
      <c r="X13" s="10"/>
      <c r="Y13" s="10"/>
      <c r="AC13" s="10"/>
      <c r="AD13" s="10"/>
      <c r="AE13" s="10"/>
      <c r="AF13" s="10"/>
      <c r="AJ13" s="10"/>
      <c r="AK13" s="10"/>
      <c r="AL13" s="10"/>
      <c r="AM13" s="10"/>
      <c r="AP13">
        <v>2</v>
      </c>
      <c r="AQ13" s="10">
        <v>0.5</v>
      </c>
      <c r="AR13" s="10">
        <v>0.5</v>
      </c>
      <c r="AS13" s="10">
        <v>0.5</v>
      </c>
      <c r="AT13" s="10">
        <v>0.5</v>
      </c>
      <c r="AX13" s="10">
        <v>0.5</v>
      </c>
      <c r="AY13" s="10">
        <v>0.5</v>
      </c>
      <c r="AZ13" s="10">
        <v>0.5</v>
      </c>
      <c r="BA13" s="10">
        <v>0.5</v>
      </c>
      <c r="BE13" s="10"/>
      <c r="BF13" s="10">
        <v>0.5</v>
      </c>
      <c r="BG13" s="10"/>
      <c r="BH13" s="10">
        <v>0.5</v>
      </c>
      <c r="BL13" s="10"/>
      <c r="BM13" s="10">
        <v>0.5</v>
      </c>
      <c r="BN13" s="10"/>
      <c r="BO13" s="10">
        <v>0.5</v>
      </c>
      <c r="BS13" s="10"/>
      <c r="BT13" s="10">
        <v>0.8</v>
      </c>
      <c r="BU13" s="10"/>
      <c r="BV13" s="10">
        <v>0.8</v>
      </c>
      <c r="BZ13" s="10"/>
      <c r="CA13" s="10">
        <v>0.8</v>
      </c>
      <c r="CB13" s="10"/>
      <c r="CC13" s="10">
        <v>0.8</v>
      </c>
      <c r="CG13" s="10"/>
      <c r="CH13" s="10">
        <v>0.8</v>
      </c>
      <c r="CI13" s="10"/>
      <c r="CJ13" s="10">
        <v>0.8</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f t="shared" si="0"/>
        <v>3</v>
      </c>
      <c r="J14" s="11" cm="1">
        <f t="array" ref="J14">MAX(IF($N$3:$EH$3=$J$3,N14:EH14))</f>
        <v>0.5</v>
      </c>
      <c r="K14" s="11" cm="1">
        <f t="array" ref="K14">MAX(IF($N$3:$EH$3=$J$3,N14:EH14))</f>
        <v>0.5</v>
      </c>
      <c r="L14" s="9"/>
      <c r="O14" s="10"/>
      <c r="P14" s="10"/>
      <c r="Q14" s="10"/>
      <c r="R14" s="10"/>
      <c r="V14" s="10"/>
      <c r="W14" s="10"/>
      <c r="X14" s="10"/>
      <c r="Y14" s="10"/>
      <c r="AC14" s="10"/>
      <c r="AD14" s="10"/>
      <c r="AE14" s="10"/>
      <c r="AF14" s="10"/>
      <c r="AJ14" s="10"/>
      <c r="AK14" s="10"/>
      <c r="AL14" s="10"/>
      <c r="AM14" s="10"/>
      <c r="AQ14" s="10"/>
      <c r="AR14" s="10"/>
      <c r="AS14" s="10"/>
      <c r="AT14" s="10"/>
      <c r="AW14">
        <v>3</v>
      </c>
      <c r="AX14" s="10">
        <v>0.5</v>
      </c>
      <c r="AY14" s="10">
        <v>0.5</v>
      </c>
      <c r="AZ14" s="10">
        <v>0.5</v>
      </c>
      <c r="BA14" s="10">
        <v>0.5</v>
      </c>
      <c r="BE14" s="10"/>
      <c r="BF14" s="10">
        <v>0.5</v>
      </c>
      <c r="BG14" s="10"/>
      <c r="BH14" s="10">
        <v>0.5</v>
      </c>
      <c r="BL14" s="10"/>
      <c r="BM14" s="10">
        <v>0.5</v>
      </c>
      <c r="BN14" s="10"/>
      <c r="BO14" s="10">
        <v>0.5</v>
      </c>
      <c r="BS14" s="10"/>
      <c r="BT14" s="10">
        <v>0.8</v>
      </c>
      <c r="BU14" s="10"/>
      <c r="BV14" s="10">
        <v>0.8</v>
      </c>
      <c r="BZ14" s="10"/>
      <c r="CA14" s="10">
        <v>0.8</v>
      </c>
      <c r="CB14" s="10"/>
      <c r="CC14" s="10">
        <v>0.8</v>
      </c>
      <c r="CG14" s="10"/>
      <c r="CH14" s="10">
        <v>0.8</v>
      </c>
      <c r="CI14" s="10"/>
      <c r="CJ14" s="10">
        <v>0.8</v>
      </c>
      <c r="CN14" s="10"/>
      <c r="CO14" s="10">
        <v>1</v>
      </c>
      <c r="CP14" s="10"/>
      <c r="CQ14" s="10">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v>0.5</v>
      </c>
      <c r="BG15" s="10"/>
      <c r="BH15" s="10">
        <v>0.5</v>
      </c>
      <c r="BL15" s="10"/>
      <c r="BM15" s="10">
        <v>0.5</v>
      </c>
      <c r="BN15" s="10"/>
      <c r="BO15" s="10">
        <v>0.5</v>
      </c>
      <c r="BS15" s="10"/>
      <c r="BT15" s="10">
        <v>0.5</v>
      </c>
      <c r="BU15" s="10"/>
      <c r="BV15" s="10">
        <v>0.5</v>
      </c>
      <c r="BZ15" s="10"/>
      <c r="CA15" s="10">
        <v>0.8</v>
      </c>
      <c r="CB15" s="10"/>
      <c r="CC15" s="10">
        <v>0.8</v>
      </c>
      <c r="CG15" s="10"/>
      <c r="CH15" s="10">
        <v>0.8</v>
      </c>
      <c r="CI15" s="10"/>
      <c r="CJ15" s="10">
        <v>0.8</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v>0.5</v>
      </c>
      <c r="BG16" s="10"/>
      <c r="BH16" s="10">
        <v>0.5</v>
      </c>
      <c r="BL16" s="10"/>
      <c r="BM16" s="10">
        <v>0.5</v>
      </c>
      <c r="BN16" s="10"/>
      <c r="BO16" s="10">
        <v>0.5</v>
      </c>
      <c r="BS16" s="10"/>
      <c r="BT16" s="10">
        <v>0.5</v>
      </c>
      <c r="BU16" s="10"/>
      <c r="BV16" s="10">
        <v>0.5</v>
      </c>
      <c r="BZ16" s="10"/>
      <c r="CA16" s="10">
        <v>0.5</v>
      </c>
      <c r="CB16" s="10"/>
      <c r="CC16" s="10">
        <v>0.5</v>
      </c>
      <c r="CG16" s="10"/>
      <c r="CH16" s="10">
        <v>0.8</v>
      </c>
      <c r="CI16" s="10"/>
      <c r="CJ16" s="10">
        <v>0.8</v>
      </c>
      <c r="CN16" s="10"/>
      <c r="CO16" s="10">
        <v>0.8</v>
      </c>
      <c r="CP16" s="10"/>
      <c r="CQ16" s="10">
        <v>0.8</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F18" t="s">
        <v>166</v>
      </c>
      <c r="G18" s="10">
        <f>+SUM(G19:G34)</f>
        <v>1.0000000000000002</v>
      </c>
      <c r="I18" s="12">
        <f>+SUM(I19:I34)</f>
        <v>23.5</v>
      </c>
      <c r="J18" s="11">
        <f>+SUMPRODUCT(G19:G34,J19:J34)</f>
        <v>0.4900000000000001</v>
      </c>
      <c r="K18" s="11">
        <f>+SUMPRODUCT(G19:G34,K19:K34)</f>
        <v>0.4900000000000001</v>
      </c>
      <c r="L18" s="9"/>
      <c r="N18" s="12"/>
      <c r="U18" s="12"/>
      <c r="AB18" s="12"/>
      <c r="AI18" s="12"/>
      <c r="AP18" s="12"/>
    </row>
    <row r="19" spans="2:144" outlineLevel="1" x14ac:dyDescent="0.2">
      <c r="B19" t="s">
        <v>28</v>
      </c>
      <c r="C19" t="s">
        <v>89</v>
      </c>
      <c r="E19" s="9"/>
      <c r="F19" t="s">
        <v>30</v>
      </c>
      <c r="G19" s="10">
        <v>0.05</v>
      </c>
      <c r="I19" s="9">
        <f>+SUMIF($N$3:$ZS$3,I$3,$N19:$ZS19)</f>
        <v>1</v>
      </c>
      <c r="J19" s="11" cm="1">
        <f t="array" ref="J19">MAX(IF($N$3:$EH$3=$J$3,N19:EH19))</f>
        <v>1</v>
      </c>
      <c r="K19" s="11" cm="1">
        <f t="array" ref="K19">MAX(IF($N$3:$EH$3=$J$3,N19:EH19))</f>
        <v>1</v>
      </c>
      <c r="L19" s="9"/>
      <c r="N19">
        <v>1</v>
      </c>
      <c r="O19" s="10">
        <v>0.5</v>
      </c>
      <c r="P19" s="10">
        <v>0.5</v>
      </c>
      <c r="Q19" s="10">
        <v>0.5</v>
      </c>
      <c r="R19" s="10">
        <v>0.5</v>
      </c>
      <c r="V19" s="10">
        <v>0.8</v>
      </c>
      <c r="W19" s="10">
        <v>0.8</v>
      </c>
      <c r="X19" s="10">
        <v>0.8</v>
      </c>
      <c r="Y19" s="10">
        <v>0.8</v>
      </c>
      <c r="AC19" s="10">
        <v>0.8</v>
      </c>
      <c r="AD19" s="10">
        <v>0.8</v>
      </c>
      <c r="AE19" s="10">
        <v>0.8</v>
      </c>
      <c r="AF19" s="10">
        <v>0.8</v>
      </c>
      <c r="AJ19" s="10">
        <v>0.8</v>
      </c>
      <c r="AK19" s="10">
        <v>0.8</v>
      </c>
      <c r="AL19" s="10">
        <v>0.8</v>
      </c>
      <c r="AM19" s="10">
        <v>0.8</v>
      </c>
      <c r="AQ19" s="10">
        <v>1</v>
      </c>
      <c r="AR19" s="10">
        <v>1</v>
      </c>
      <c r="AS19" s="10">
        <v>1</v>
      </c>
      <c r="AT19" s="10">
        <v>1</v>
      </c>
      <c r="AX19" s="10">
        <v>1</v>
      </c>
      <c r="AY19" s="10">
        <v>1</v>
      </c>
      <c r="AZ19" s="10">
        <v>1</v>
      </c>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1</v>
      </c>
      <c r="J20" s="11" cm="1">
        <f t="array" ref="J20">MAX(IF($N$3:$EH$3=$J$3,N20:EH20))</f>
        <v>0.8</v>
      </c>
      <c r="K20" s="11" cm="1">
        <f t="array" ref="K20">MAX(IF($N$3:$EH$3=$J$3,N20:EH20))</f>
        <v>0.8</v>
      </c>
      <c r="L20" s="9"/>
      <c r="N20">
        <v>1</v>
      </c>
      <c r="O20" s="10">
        <v>0.5</v>
      </c>
      <c r="P20" s="10">
        <v>0.5</v>
      </c>
      <c r="Q20" s="10">
        <v>0.5</v>
      </c>
      <c r="R20" s="10">
        <v>0.5</v>
      </c>
      <c r="V20" s="10">
        <v>0.5</v>
      </c>
      <c r="W20" s="10">
        <v>0.5</v>
      </c>
      <c r="X20" s="10">
        <v>0.5</v>
      </c>
      <c r="Y20" s="10">
        <v>0.5</v>
      </c>
      <c r="AC20" s="10">
        <v>0.8</v>
      </c>
      <c r="AD20" s="10">
        <v>0.8</v>
      </c>
      <c r="AE20" s="10">
        <v>0.8</v>
      </c>
      <c r="AF20" s="10">
        <v>0.8</v>
      </c>
      <c r="AJ20" s="10">
        <v>0.8</v>
      </c>
      <c r="AK20" s="10">
        <v>0.8</v>
      </c>
      <c r="AL20" s="10">
        <v>0.8</v>
      </c>
      <c r="AM20" s="10">
        <v>0.8</v>
      </c>
      <c r="AQ20" s="10">
        <v>0.8</v>
      </c>
      <c r="AR20" s="10">
        <v>0.8</v>
      </c>
      <c r="AS20" s="10">
        <v>0.8</v>
      </c>
      <c r="AT20" s="10">
        <v>0.8</v>
      </c>
      <c r="AX20" s="10"/>
      <c r="AY20" s="10">
        <v>1</v>
      </c>
      <c r="AZ20" s="10"/>
      <c r="BA20" s="10">
        <v>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2.5</v>
      </c>
      <c r="J21" s="11" cm="1">
        <f t="array" ref="J21">MAX(IF($N$3:$EH$3=$J$3,N21:EH21))</f>
        <v>0.8</v>
      </c>
      <c r="K21" s="11" cm="1">
        <f t="array" ref="K21">MAX(IF($N$3:$EH$3=$J$3,N21:EH21))</f>
        <v>0.8</v>
      </c>
      <c r="L21" s="9"/>
      <c r="N21">
        <v>1</v>
      </c>
      <c r="O21" s="10">
        <v>0.5</v>
      </c>
      <c r="P21" s="10">
        <v>0.5</v>
      </c>
      <c r="Q21" s="10">
        <v>0.5</v>
      </c>
      <c r="R21" s="10">
        <v>0.5</v>
      </c>
      <c r="V21" s="10">
        <v>0.5</v>
      </c>
      <c r="W21" s="10">
        <v>0.5</v>
      </c>
      <c r="X21" s="10">
        <v>0.5</v>
      </c>
      <c r="Y21" s="10">
        <v>0.5</v>
      </c>
      <c r="AC21" s="10">
        <v>0.5</v>
      </c>
      <c r="AD21" s="10">
        <v>0.5</v>
      </c>
      <c r="AE21" s="10">
        <v>0.5</v>
      </c>
      <c r="AF21" s="10">
        <v>0.5</v>
      </c>
      <c r="AI21">
        <v>1.5</v>
      </c>
      <c r="AJ21" s="10">
        <v>0.8</v>
      </c>
      <c r="AK21" s="10">
        <v>0.8</v>
      </c>
      <c r="AL21" s="10">
        <v>0.8</v>
      </c>
      <c r="AM21" s="10">
        <v>0.8</v>
      </c>
      <c r="AQ21" s="10">
        <v>0.8</v>
      </c>
      <c r="AR21" s="10">
        <v>0.8</v>
      </c>
      <c r="AS21" s="10">
        <v>0.8</v>
      </c>
      <c r="AT21" s="10">
        <v>0.8</v>
      </c>
      <c r="AX21" s="10"/>
      <c r="AY21" s="10">
        <v>1</v>
      </c>
      <c r="AZ21" s="10"/>
      <c r="BA21" s="10">
        <v>1</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1</v>
      </c>
      <c r="J22" s="11" cm="1">
        <f t="array" ref="J22">MAX(IF($N$3:$EH$3=$J$3,N22:EH22))</f>
        <v>0.8</v>
      </c>
      <c r="K22" s="11" cm="1">
        <f t="array" ref="K22">MAX(IF($N$3:$EH$3=$J$3,N22:EH22))</f>
        <v>0.8</v>
      </c>
      <c r="L22" s="9"/>
      <c r="O22" s="10"/>
      <c r="P22" s="10">
        <v>0.5</v>
      </c>
      <c r="Q22" s="10"/>
      <c r="R22" s="10">
        <v>0.5</v>
      </c>
      <c r="U22">
        <v>1</v>
      </c>
      <c r="V22" s="10">
        <v>0.5</v>
      </c>
      <c r="W22" s="10">
        <v>0.5</v>
      </c>
      <c r="X22" s="10">
        <v>0.5</v>
      </c>
      <c r="Y22" s="10">
        <v>0.5</v>
      </c>
      <c r="AC22" s="10">
        <v>0.5</v>
      </c>
      <c r="AD22" s="10">
        <v>0.5</v>
      </c>
      <c r="AE22" s="10">
        <v>0.5</v>
      </c>
      <c r="AF22" s="10">
        <v>0.5</v>
      </c>
      <c r="AJ22" s="10">
        <v>0.8</v>
      </c>
      <c r="AK22" s="10">
        <v>0.8</v>
      </c>
      <c r="AL22" s="10">
        <v>0.8</v>
      </c>
      <c r="AM22" s="10">
        <v>0.8</v>
      </c>
      <c r="AQ22" s="10">
        <v>0.8</v>
      </c>
      <c r="AR22" s="10">
        <v>0.8</v>
      </c>
      <c r="AS22" s="10">
        <v>0.8</v>
      </c>
      <c r="AT22" s="10">
        <v>0.8</v>
      </c>
      <c r="AX22" s="10">
        <v>0.8</v>
      </c>
      <c r="AY22" s="10">
        <v>0.8</v>
      </c>
      <c r="AZ22" s="10">
        <v>0.8</v>
      </c>
      <c r="BA22" s="10">
        <v>0.8</v>
      </c>
      <c r="BE22" s="10"/>
      <c r="BF22" s="10">
        <v>0.8</v>
      </c>
      <c r="BG22" s="10"/>
      <c r="BH22" s="10">
        <v>0.8</v>
      </c>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2.5</v>
      </c>
      <c r="J23" s="11" cm="1">
        <f t="array" ref="J23">MAX(IF($N$3:$EH$3=$J$3,N23:EH23))</f>
        <v>0.8</v>
      </c>
      <c r="K23" s="11" cm="1">
        <f t="array" ref="K23">MAX(IF($N$3:$EH$3=$J$3,N23:EH23))</f>
        <v>0.8</v>
      </c>
      <c r="L23" s="9"/>
      <c r="O23" s="10"/>
      <c r="P23" s="10"/>
      <c r="Q23" s="10"/>
      <c r="R23" s="10"/>
      <c r="U23">
        <v>1.5</v>
      </c>
      <c r="V23" s="10">
        <v>0.5</v>
      </c>
      <c r="W23" s="10">
        <v>0.5</v>
      </c>
      <c r="X23" s="10">
        <v>0.5</v>
      </c>
      <c r="Y23" s="10">
        <v>0.5</v>
      </c>
      <c r="AC23" s="10">
        <v>0.5</v>
      </c>
      <c r="AD23" s="10">
        <v>0.5</v>
      </c>
      <c r="AE23" s="10">
        <v>0.5</v>
      </c>
      <c r="AF23" s="10">
        <v>0.5</v>
      </c>
      <c r="AJ23" s="10">
        <v>0.5</v>
      </c>
      <c r="AK23" s="10">
        <v>0.5</v>
      </c>
      <c r="AL23" s="10">
        <v>0.5</v>
      </c>
      <c r="AM23" s="10">
        <v>0.5</v>
      </c>
      <c r="AP23">
        <v>1</v>
      </c>
      <c r="AQ23" s="10">
        <v>0.8</v>
      </c>
      <c r="AR23" s="10">
        <v>0.8</v>
      </c>
      <c r="AS23" s="10">
        <v>0.8</v>
      </c>
      <c r="AT23" s="10">
        <v>0.8</v>
      </c>
      <c r="AX23" s="10">
        <v>0.8</v>
      </c>
      <c r="AY23" s="10">
        <v>0.8</v>
      </c>
      <c r="AZ23" s="10">
        <v>0.8</v>
      </c>
      <c r="BA23" s="10">
        <v>0.8</v>
      </c>
      <c r="BE23" s="10"/>
      <c r="BF23" s="10">
        <v>0.8</v>
      </c>
      <c r="BG23" s="10"/>
      <c r="BH23" s="10">
        <v>0.8</v>
      </c>
      <c r="BL23" s="10"/>
      <c r="BM23" s="10">
        <v>1</v>
      </c>
      <c r="BN23" s="10"/>
      <c r="BO23" s="10">
        <v>1</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f t="shared" ref="I24:I32" si="1">+SUMIF($N$3:$ZS$3,I$3,$N24:$ZS24)</f>
        <v>5.5</v>
      </c>
      <c r="J24" s="11" cm="1">
        <f t="array" ref="J24">MAX(IF($N$3:$EH$3=$J$3,N24:EH24))</f>
        <v>0.8</v>
      </c>
      <c r="K24" s="11" cm="1">
        <f t="array" ref="K24">MAX(IF($N$3:$EH$3=$J$3,N24:EH24))</f>
        <v>0.8</v>
      </c>
      <c r="L24" s="9"/>
      <c r="O24" s="10"/>
      <c r="P24" s="10"/>
      <c r="Q24" s="10"/>
      <c r="R24" s="10"/>
      <c r="U24">
        <v>2.5</v>
      </c>
      <c r="V24" s="10">
        <v>0.5</v>
      </c>
      <c r="W24" s="10">
        <v>0.5</v>
      </c>
      <c r="X24" s="10">
        <v>0.5</v>
      </c>
      <c r="Y24" s="10">
        <v>0.5</v>
      </c>
      <c r="AC24" s="10">
        <v>0.5</v>
      </c>
      <c r="AD24" s="10">
        <v>0.5</v>
      </c>
      <c r="AE24" s="10">
        <v>0.5</v>
      </c>
      <c r="AF24" s="10">
        <v>0.5</v>
      </c>
      <c r="AJ24" s="10">
        <v>0.5</v>
      </c>
      <c r="AK24" s="10">
        <v>0.5</v>
      </c>
      <c r="AL24" s="10">
        <v>0.5</v>
      </c>
      <c r="AM24" s="10">
        <v>0.5</v>
      </c>
      <c r="AP24">
        <v>3</v>
      </c>
      <c r="AQ24" s="10">
        <v>0.8</v>
      </c>
      <c r="AR24" s="10">
        <v>0.8</v>
      </c>
      <c r="AS24" s="10">
        <v>0.8</v>
      </c>
      <c r="AT24" s="10">
        <v>0.8</v>
      </c>
      <c r="AX24" s="10">
        <v>0.8</v>
      </c>
      <c r="AY24" s="10">
        <v>0.8</v>
      </c>
      <c r="AZ24" s="10">
        <v>0.8</v>
      </c>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f t="shared" si="1"/>
        <v>1</v>
      </c>
      <c r="J25" s="11" cm="1">
        <f t="array" ref="J25">MAX(IF($N$3:$EH$3=$J$3,N25:EH25))</f>
        <v>0.5</v>
      </c>
      <c r="K25" s="11" cm="1">
        <f t="array" ref="K25">MAX(IF($N$3:$EH$3=$J$3,N25:EH25))</f>
        <v>0.5</v>
      </c>
      <c r="L25" s="9"/>
      <c r="O25" s="10"/>
      <c r="P25" s="10"/>
      <c r="Q25" s="10"/>
      <c r="R25" s="10"/>
      <c r="U25">
        <v>1</v>
      </c>
      <c r="V25" s="10">
        <v>0.5</v>
      </c>
      <c r="W25" s="10">
        <v>0.5</v>
      </c>
      <c r="X25" s="10">
        <v>0.5</v>
      </c>
      <c r="Y25" s="10">
        <v>0.5</v>
      </c>
      <c r="AC25" s="10">
        <v>0.5</v>
      </c>
      <c r="AD25" s="10">
        <v>0.5</v>
      </c>
      <c r="AE25" s="10">
        <v>0.5</v>
      </c>
      <c r="AF25" s="10">
        <v>0.5</v>
      </c>
      <c r="AJ25" s="10">
        <v>0.5</v>
      </c>
      <c r="AK25" s="10">
        <v>0.5</v>
      </c>
      <c r="AL25" s="10">
        <v>0.5</v>
      </c>
      <c r="AM25" s="10">
        <v>0.5</v>
      </c>
      <c r="AQ25" s="10"/>
      <c r="AR25" s="10">
        <v>0.8</v>
      </c>
      <c r="AS25" s="10"/>
      <c r="AT25" s="10">
        <v>0.8</v>
      </c>
      <c r="AX25" s="10"/>
      <c r="AY25" s="10">
        <v>0.8</v>
      </c>
      <c r="AZ25" s="10"/>
      <c r="BA25" s="10">
        <v>0.8</v>
      </c>
      <c r="BE25" s="10"/>
      <c r="BF25" s="10">
        <v>0.8</v>
      </c>
      <c r="BG25" s="10"/>
      <c r="BH25" s="10">
        <v>0.8</v>
      </c>
      <c r="BL25" s="10"/>
      <c r="BM25" s="10">
        <v>0.8</v>
      </c>
      <c r="BN25" s="10"/>
      <c r="BO25" s="10">
        <v>0.8</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f t="shared" si="1"/>
        <v>3</v>
      </c>
      <c r="J26" s="11" cm="1">
        <f t="array" ref="J26">MAX(IF($N$3:$EH$3=$J$3,N26:EH26))</f>
        <v>0.5</v>
      </c>
      <c r="K26" s="11" cm="1">
        <f t="array" ref="K26">MAX(IF($N$3:$EH$3=$J$3,N26:EH26))</f>
        <v>0.5</v>
      </c>
      <c r="L26" s="9"/>
      <c r="P26" s="10"/>
      <c r="Q26" s="10"/>
      <c r="R26" s="10"/>
      <c r="V26" s="10"/>
      <c r="W26" s="10"/>
      <c r="X26" s="10"/>
      <c r="Y26" s="10"/>
      <c r="AB26">
        <v>3</v>
      </c>
      <c r="AC26" s="10">
        <v>0.5</v>
      </c>
      <c r="AD26" s="10">
        <v>0.5</v>
      </c>
      <c r="AE26" s="10">
        <v>0.5</v>
      </c>
      <c r="AF26" s="10">
        <v>0.5</v>
      </c>
      <c r="AJ26" s="10">
        <v>0.5</v>
      </c>
      <c r="AK26" s="10">
        <v>0.5</v>
      </c>
      <c r="AL26" s="10">
        <v>0.5</v>
      </c>
      <c r="AM26" s="10">
        <v>0.5</v>
      </c>
      <c r="AQ26" s="10">
        <v>0.5</v>
      </c>
      <c r="AR26" s="10">
        <v>0.5</v>
      </c>
      <c r="AS26" s="10">
        <v>0.5</v>
      </c>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f t="shared" si="1"/>
        <v>1.5</v>
      </c>
      <c r="J27" s="11" cm="1">
        <f t="array" ref="J27">MAX(IF($N$3:$EH$3=$J$3,N27:EH27))</f>
        <v>0.5</v>
      </c>
      <c r="K27" s="11" cm="1">
        <f t="array" ref="K27">MAX(IF($N$3:$EH$3=$J$3,N27:EH27))</f>
        <v>0.5</v>
      </c>
      <c r="L27" s="9"/>
      <c r="O27" s="10"/>
      <c r="P27" s="10"/>
      <c r="Q27" s="10"/>
      <c r="R27" s="10"/>
      <c r="V27" s="10"/>
      <c r="W27" s="10"/>
      <c r="X27" s="10"/>
      <c r="Y27" s="10"/>
      <c r="AB27">
        <v>1.5</v>
      </c>
      <c r="AC27" s="10">
        <v>0.5</v>
      </c>
      <c r="AD27" s="10">
        <v>0.5</v>
      </c>
      <c r="AE27" s="10">
        <v>0.5</v>
      </c>
      <c r="AF27" s="10">
        <v>0.5</v>
      </c>
      <c r="AJ27" s="10">
        <v>0.5</v>
      </c>
      <c r="AK27" s="10">
        <v>0.5</v>
      </c>
      <c r="AL27" s="10">
        <v>0.5</v>
      </c>
      <c r="AM27" s="10">
        <v>0.5</v>
      </c>
      <c r="AQ27" s="10">
        <v>0.5</v>
      </c>
      <c r="AR27" s="10">
        <v>0.5</v>
      </c>
      <c r="AS27" s="10">
        <v>0.5</v>
      </c>
      <c r="AT27" s="10">
        <v>0.5</v>
      </c>
      <c r="AX27" s="10"/>
      <c r="AY27" s="10">
        <v>0.8</v>
      </c>
      <c r="AZ27" s="10"/>
      <c r="BA27" s="10">
        <v>0.8</v>
      </c>
      <c r="BE27" s="10"/>
      <c r="BF27" s="10">
        <v>0.8</v>
      </c>
      <c r="BG27" s="10"/>
      <c r="BH27" s="10">
        <v>0.8</v>
      </c>
      <c r="BL27" s="10"/>
      <c r="BM27" s="10">
        <v>0.8</v>
      </c>
      <c r="BN27" s="10"/>
      <c r="BO27" s="10">
        <v>0.8</v>
      </c>
      <c r="BS27" s="10"/>
      <c r="BT27" s="10">
        <v>0.8</v>
      </c>
      <c r="BU27" s="10"/>
      <c r="BV27" s="10">
        <v>0.8</v>
      </c>
      <c r="BZ27" s="10"/>
      <c r="CA27" s="10">
        <v>1</v>
      </c>
      <c r="CB27" s="10"/>
      <c r="CC27" s="10">
        <v>1</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f t="shared" si="1"/>
        <v>1.5</v>
      </c>
      <c r="J28" s="11" cm="1">
        <f t="array" ref="J28">MAX(IF($N$3:$EH$3=$J$3,N28:EH28))</f>
        <v>0.5</v>
      </c>
      <c r="K28" s="11" cm="1">
        <f t="array" ref="K28">MAX(IF($N$3:$EH$3=$J$3,N28:EH28))</f>
        <v>0.5</v>
      </c>
      <c r="L28" s="9"/>
      <c r="O28" s="10"/>
      <c r="P28" s="10"/>
      <c r="Q28" s="10"/>
      <c r="R28" s="10"/>
      <c r="V28" s="10"/>
      <c r="W28" s="10"/>
      <c r="X28" s="10"/>
      <c r="Y28" s="10"/>
      <c r="AB28">
        <v>1.5</v>
      </c>
      <c r="AC28" s="10">
        <v>0.5</v>
      </c>
      <c r="AD28" s="10">
        <v>0.5</v>
      </c>
      <c r="AE28" s="10">
        <v>0.5</v>
      </c>
      <c r="AF28" s="10">
        <v>0.5</v>
      </c>
      <c r="AJ28" s="10">
        <v>0.5</v>
      </c>
      <c r="AK28" s="10">
        <v>0.5</v>
      </c>
      <c r="AL28" s="10">
        <v>0.5</v>
      </c>
      <c r="AM28" s="10">
        <v>0.5</v>
      </c>
      <c r="AQ28" s="10">
        <v>0.5</v>
      </c>
      <c r="AR28" s="10">
        <v>0.5</v>
      </c>
      <c r="AS28" s="10">
        <v>0.5</v>
      </c>
      <c r="AT28" s="10">
        <v>0.5</v>
      </c>
      <c r="AX28" s="10">
        <v>0.5</v>
      </c>
      <c r="AY28" s="10">
        <v>0.5</v>
      </c>
      <c r="AZ28" s="10">
        <v>0.5</v>
      </c>
      <c r="BA28" s="10">
        <v>0.5</v>
      </c>
      <c r="BE28" s="10"/>
      <c r="BF28" s="10">
        <v>0.8</v>
      </c>
      <c r="BG28" s="10"/>
      <c r="BH28" s="10">
        <v>0.8</v>
      </c>
      <c r="BL28" s="10"/>
      <c r="BM28" s="10">
        <v>0.8</v>
      </c>
      <c r="BN28" s="10"/>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f t="shared" si="1"/>
        <v>1.5</v>
      </c>
      <c r="J29" s="11" cm="1">
        <f t="array" ref="J29">MAX(IF($N$3:$EH$3=$J$3,N29:EH29))</f>
        <v>0.5</v>
      </c>
      <c r="K29" s="11" cm="1">
        <f t="array" ref="K29">MAX(IF($N$3:$EH$3=$J$3,N29:EH29))</f>
        <v>0.5</v>
      </c>
      <c r="L29" s="9"/>
      <c r="O29" s="10"/>
      <c r="P29" s="10"/>
      <c r="Q29" s="10"/>
      <c r="R29" s="10"/>
      <c r="V29" s="10"/>
      <c r="W29" s="10"/>
      <c r="X29" s="10"/>
      <c r="Y29" s="10"/>
      <c r="AC29" s="10"/>
      <c r="AD29" s="10"/>
      <c r="AE29" s="10"/>
      <c r="AF29" s="10"/>
      <c r="AI29">
        <v>1.5</v>
      </c>
      <c r="AJ29" s="10">
        <v>0.5</v>
      </c>
      <c r="AK29" s="10">
        <v>0.5</v>
      </c>
      <c r="AL29" s="10">
        <v>0.5</v>
      </c>
      <c r="AM29" s="10">
        <v>0.5</v>
      </c>
      <c r="AQ29" s="10">
        <v>0.5</v>
      </c>
      <c r="AR29" s="10">
        <v>0.5</v>
      </c>
      <c r="AS29" s="10">
        <v>0.5</v>
      </c>
      <c r="AT29" s="10">
        <v>0.5</v>
      </c>
      <c r="AX29" s="10">
        <v>0.5</v>
      </c>
      <c r="AY29" s="10">
        <v>0.5</v>
      </c>
      <c r="AZ29" s="10">
        <v>0.5</v>
      </c>
      <c r="BA29" s="10">
        <v>0.5</v>
      </c>
      <c r="BE29" s="10"/>
      <c r="BF29" s="10">
        <v>0.5</v>
      </c>
      <c r="BG29" s="10"/>
      <c r="BH29" s="10">
        <v>0.5</v>
      </c>
      <c r="BL29" s="10"/>
      <c r="BM29" s="10">
        <v>0.8</v>
      </c>
      <c r="BN29" s="10"/>
      <c r="BO29" s="10">
        <v>0.8</v>
      </c>
      <c r="BS29" s="10"/>
      <c r="BT29" s="10">
        <v>0.8</v>
      </c>
      <c r="BU29" s="10"/>
      <c r="BV29" s="10">
        <v>0.8</v>
      </c>
      <c r="BZ29" s="10"/>
      <c r="CA29" s="10">
        <v>0.8</v>
      </c>
      <c r="CB29" s="10"/>
      <c r="CC29" s="10">
        <v>0.8</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f t="shared" si="1"/>
        <v>1.5</v>
      </c>
      <c r="J30" s="11" cm="1">
        <f t="array" ref="J30">MAX(IF($N$3:$EH$3=$J$3,N30:EH30))</f>
        <v>0.5</v>
      </c>
      <c r="K30" s="11" cm="1">
        <f t="array" ref="K30">MAX(IF($N$3:$EH$3=$J$3,N30:EH30))</f>
        <v>0.5</v>
      </c>
      <c r="L30" s="9"/>
      <c r="O30" s="10"/>
      <c r="P30" s="10"/>
      <c r="Q30" s="10"/>
      <c r="R30" s="10"/>
      <c r="V30" s="10"/>
      <c r="W30" s="10"/>
      <c r="X30" s="10"/>
      <c r="Y30" s="10"/>
      <c r="AC30" s="10"/>
      <c r="AD30" s="10"/>
      <c r="AE30" s="10"/>
      <c r="AF30" s="10"/>
      <c r="AI30">
        <v>1.5</v>
      </c>
      <c r="AJ30" s="10">
        <v>0.5</v>
      </c>
      <c r="AK30" s="10">
        <v>0.5</v>
      </c>
      <c r="AL30" s="10">
        <v>0.5</v>
      </c>
      <c r="AM30" s="10">
        <v>0.5</v>
      </c>
      <c r="AQ30" s="10">
        <v>0.5</v>
      </c>
      <c r="AR30" s="10">
        <v>0.5</v>
      </c>
      <c r="AS30" s="10">
        <v>0.5</v>
      </c>
      <c r="AT30" s="10">
        <v>0.5</v>
      </c>
      <c r="AX30" s="10">
        <v>0.5</v>
      </c>
      <c r="AY30" s="10">
        <v>0.5</v>
      </c>
      <c r="AZ30" s="10">
        <v>0.5</v>
      </c>
      <c r="BA30" s="10">
        <v>0.5</v>
      </c>
      <c r="BE30" s="10"/>
      <c r="BF30" s="10">
        <v>0.5</v>
      </c>
      <c r="BG30" s="10"/>
      <c r="BH30" s="10">
        <v>0.5</v>
      </c>
      <c r="BL30" s="10"/>
      <c r="BM30" s="10">
        <v>0.5</v>
      </c>
      <c r="BN30" s="10"/>
      <c r="BO30" s="10">
        <v>0.5</v>
      </c>
      <c r="BS30" s="10"/>
      <c r="BT30" s="10">
        <v>0.8</v>
      </c>
      <c r="BU30" s="10"/>
      <c r="BV30" s="10">
        <v>0.8</v>
      </c>
      <c r="BZ30" s="10"/>
      <c r="CA30" s="10">
        <v>0.8</v>
      </c>
      <c r="CB30" s="10"/>
      <c r="CC30" s="10">
        <v>0.8</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 t="shared" si="1"/>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v>0.5</v>
      </c>
      <c r="BG31" s="10"/>
      <c r="BH31" s="10">
        <v>0.5</v>
      </c>
      <c r="BL31" s="10"/>
      <c r="BM31" s="10">
        <v>0.5</v>
      </c>
      <c r="BN31" s="10"/>
      <c r="BO31" s="10">
        <v>0.5</v>
      </c>
      <c r="BS31" s="10"/>
      <c r="BT31" s="10">
        <v>0.8</v>
      </c>
      <c r="BU31" s="10"/>
      <c r="BV31" s="10">
        <v>0.8</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f t="shared" si="1"/>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0.5</v>
      </c>
      <c r="BU32" s="10"/>
      <c r="BV32" s="10">
        <v>0.5</v>
      </c>
      <c r="BZ32" s="10"/>
      <c r="CA32" s="10">
        <v>0.8</v>
      </c>
      <c r="CB32" s="10"/>
      <c r="CC32" s="10">
        <v>0.8</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v>0.5</v>
      </c>
      <c r="BG33" s="10"/>
      <c r="BH33" s="10">
        <v>0.5</v>
      </c>
      <c r="BL33" s="10"/>
      <c r="BM33" s="10">
        <v>0.5</v>
      </c>
      <c r="BN33" s="10"/>
      <c r="BO33" s="10">
        <v>0.5</v>
      </c>
      <c r="BS33" s="10"/>
      <c r="BT33" s="10">
        <v>0.5</v>
      </c>
      <c r="BU33" s="10"/>
      <c r="BV33" s="10">
        <v>0.5</v>
      </c>
      <c r="BZ33" s="10"/>
      <c r="CA33" s="10">
        <v>0.8</v>
      </c>
      <c r="CB33" s="10"/>
      <c r="CC33" s="10">
        <v>0.8</v>
      </c>
      <c r="CG33" s="10"/>
      <c r="CH33" s="10">
        <v>0.8</v>
      </c>
      <c r="CI33" s="10"/>
      <c r="CJ33" s="10">
        <v>0.8</v>
      </c>
      <c r="CN33" s="10"/>
      <c r="CO33" s="10">
        <v>0.8</v>
      </c>
      <c r="CP33" s="10"/>
      <c r="CQ33" s="10">
        <v>0.8</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0.5</v>
      </c>
      <c r="CB34" s="10"/>
      <c r="CC34" s="10">
        <v>0.5</v>
      </c>
      <c r="CG34" s="10"/>
      <c r="CH34" s="10">
        <v>0.8</v>
      </c>
      <c r="CI34" s="10"/>
      <c r="CJ34" s="10">
        <v>0.8</v>
      </c>
      <c r="CN34" s="10"/>
      <c r="CO34" s="10">
        <v>0.8</v>
      </c>
      <c r="CP34" s="10"/>
      <c r="CQ34" s="10">
        <v>0.8</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F36" t="s">
        <v>165</v>
      </c>
      <c r="G36" s="10">
        <f>+SUM(G37:G48)</f>
        <v>1.0000000000000002</v>
      </c>
      <c r="I36" s="12">
        <f>+SUM(I37:I48)</f>
        <v>51.25</v>
      </c>
      <c r="J36" s="11">
        <f>+SUMPRODUCT(G37:G48,J37:J48)</f>
        <v>0.6150000000000001</v>
      </c>
      <c r="K36" s="11">
        <f>+SUMPRODUCT(G37:G48,K37:K48)</f>
        <v>0.6150000000000001</v>
      </c>
      <c r="L36" s="9"/>
      <c r="N36" s="12"/>
      <c r="U36" s="12"/>
      <c r="AB36" s="12"/>
      <c r="AI36" s="12"/>
      <c r="AP36" s="12"/>
    </row>
    <row r="37" spans="2:144" outlineLevel="1" x14ac:dyDescent="0.2">
      <c r="B37" t="s">
        <v>28</v>
      </c>
      <c r="C37" t="s">
        <v>106</v>
      </c>
      <c r="E37" s="9"/>
      <c r="F37" t="s">
        <v>119</v>
      </c>
      <c r="G37" s="10">
        <v>0.1</v>
      </c>
      <c r="I37" s="9">
        <f t="shared" ref="I37:I47" si="2">+SUMIF($N$3:$ZS$3,I$3,$N37:$ZS37)</f>
        <v>10.5</v>
      </c>
      <c r="J37" s="11" cm="1">
        <f t="array" ref="J37">MAX(IF($N$3:$EH$3=$J$3,N37:EH37))</f>
        <v>1</v>
      </c>
      <c r="K37" s="11" cm="1">
        <f t="array" ref="K37">MAX(IF($N$3:$EH$3=$J$3,N37:EH37))</f>
        <v>1</v>
      </c>
      <c r="L37" s="9"/>
      <c r="N37">
        <v>6.5</v>
      </c>
      <c r="O37" s="10">
        <v>0.8</v>
      </c>
      <c r="P37" s="10">
        <v>0.5</v>
      </c>
      <c r="Q37" s="10">
        <v>0.8</v>
      </c>
      <c r="R37" s="10">
        <v>0.5</v>
      </c>
      <c r="U37">
        <v>1</v>
      </c>
      <c r="V37" s="10">
        <v>0.8</v>
      </c>
      <c r="W37" s="10">
        <v>0.8</v>
      </c>
      <c r="X37" s="10">
        <v>0.8</v>
      </c>
      <c r="Y37" s="10">
        <v>0.8</v>
      </c>
      <c r="AC37" s="10">
        <v>0.8</v>
      </c>
      <c r="AD37" s="10">
        <v>0.8</v>
      </c>
      <c r="AE37" s="10">
        <v>0.8</v>
      </c>
      <c r="AF37" s="10">
        <v>0.8</v>
      </c>
      <c r="AJ37" s="10">
        <v>0.8</v>
      </c>
      <c r="AK37" s="10">
        <v>0.8</v>
      </c>
      <c r="AL37" s="10">
        <v>0.8</v>
      </c>
      <c r="AM37" s="10">
        <v>0.8</v>
      </c>
      <c r="AP37">
        <v>3</v>
      </c>
      <c r="AQ37" s="10">
        <v>1</v>
      </c>
      <c r="AR37" s="10">
        <v>1</v>
      </c>
      <c r="AS37" s="10">
        <v>1</v>
      </c>
      <c r="AT37" s="10">
        <v>1</v>
      </c>
      <c r="AX37" s="10">
        <v>1</v>
      </c>
      <c r="AY37" s="10">
        <v>1</v>
      </c>
      <c r="AZ37" s="10">
        <v>1</v>
      </c>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2"/>
        <v>4</v>
      </c>
      <c r="J38" s="11" cm="1">
        <f t="array" ref="J38">MAX(IF($N$3:$EH$3=$J$3,N38:EH38))</f>
        <v>1</v>
      </c>
      <c r="K38" s="11" cm="1">
        <f t="array" ref="K38">MAX(IF($N$3:$EH$3=$J$3,N38:EH38))</f>
        <v>1</v>
      </c>
      <c r="L38" s="9"/>
      <c r="N38">
        <v>1.5</v>
      </c>
      <c r="O38" s="10">
        <v>0.5</v>
      </c>
      <c r="P38" s="10">
        <v>0.5</v>
      </c>
      <c r="Q38" s="10">
        <v>0.5</v>
      </c>
      <c r="R38" s="10">
        <v>0.5</v>
      </c>
      <c r="U38">
        <v>1.5</v>
      </c>
      <c r="V38" s="10">
        <v>0.5</v>
      </c>
      <c r="W38" s="10">
        <v>0.5</v>
      </c>
      <c r="X38" s="10">
        <v>0.5</v>
      </c>
      <c r="Y38" s="10">
        <v>0.5</v>
      </c>
      <c r="AB38">
        <v>1</v>
      </c>
      <c r="AC38" s="10">
        <v>0.8</v>
      </c>
      <c r="AD38" s="10">
        <v>0.8</v>
      </c>
      <c r="AE38" s="10">
        <v>0.8</v>
      </c>
      <c r="AF38" s="10">
        <v>0.8</v>
      </c>
      <c r="AJ38" s="10">
        <v>0.8</v>
      </c>
      <c r="AK38" s="10">
        <v>0.8</v>
      </c>
      <c r="AL38" s="10">
        <v>0.8</v>
      </c>
      <c r="AM38" s="10">
        <v>0.8</v>
      </c>
      <c r="AQ38" s="10">
        <v>0.8</v>
      </c>
      <c r="AR38" s="10">
        <v>0.8</v>
      </c>
      <c r="AS38" s="10">
        <v>0.8</v>
      </c>
      <c r="AT38" s="10">
        <v>0.8</v>
      </c>
      <c r="AW38" t="s">
        <v>173</v>
      </c>
      <c r="AX38" s="10">
        <v>1</v>
      </c>
      <c r="AY38" s="10">
        <v>1</v>
      </c>
      <c r="AZ38" s="10">
        <v>1</v>
      </c>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121</v>
      </c>
      <c r="G39" s="10">
        <v>0.1</v>
      </c>
      <c r="I39" s="9">
        <f t="shared" si="2"/>
        <v>5.5</v>
      </c>
      <c r="J39" s="11" cm="1">
        <f t="array" ref="J39">MAX(IF($N$3:$EH$3=$J$3,N39:EH39))</f>
        <v>0.8</v>
      </c>
      <c r="K39" s="11" cm="1">
        <f t="array" ref="K39">MAX(IF($N$3:$EH$3=$J$3,N39:EH39))</f>
        <v>0.8</v>
      </c>
      <c r="L39" s="9"/>
      <c r="O39" s="10"/>
      <c r="P39" s="10">
        <v>0.5</v>
      </c>
      <c r="Q39" s="10"/>
      <c r="R39" s="10">
        <v>0.5</v>
      </c>
      <c r="U39">
        <v>2</v>
      </c>
      <c r="V39" s="10">
        <v>0.5</v>
      </c>
      <c r="W39" s="10">
        <v>0.5</v>
      </c>
      <c r="X39" s="10">
        <v>0.5</v>
      </c>
      <c r="Y39" s="10">
        <v>0.5</v>
      </c>
      <c r="AC39" s="10">
        <v>0.5</v>
      </c>
      <c r="AD39" s="10">
        <v>0.5</v>
      </c>
      <c r="AE39" s="10">
        <v>0.5</v>
      </c>
      <c r="AF39" s="10">
        <v>0.5</v>
      </c>
      <c r="AI39">
        <v>3.5</v>
      </c>
      <c r="AJ39" s="10">
        <v>0.8</v>
      </c>
      <c r="AK39" s="10">
        <v>0.8</v>
      </c>
      <c r="AL39" s="10">
        <v>0.8</v>
      </c>
      <c r="AM39" s="10">
        <v>0.8</v>
      </c>
      <c r="AQ39" s="10">
        <v>0.8</v>
      </c>
      <c r="AR39" s="10">
        <v>0.8</v>
      </c>
      <c r="AS39" s="10">
        <v>0.8</v>
      </c>
      <c r="AT39" s="10">
        <v>0.8</v>
      </c>
      <c r="AX39" s="10">
        <v>0.8</v>
      </c>
      <c r="AY39" s="10">
        <v>0.8</v>
      </c>
      <c r="AZ39" s="10">
        <v>0.8</v>
      </c>
      <c r="BA39" s="10">
        <v>0.8</v>
      </c>
      <c r="BE39" s="10"/>
      <c r="BF39" s="10">
        <v>0.8</v>
      </c>
      <c r="BG39" s="10"/>
      <c r="BH39" s="10">
        <v>0.8</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122</v>
      </c>
      <c r="G40" s="10">
        <v>0.05</v>
      </c>
      <c r="I40" s="9">
        <f t="shared" si="2"/>
        <v>6</v>
      </c>
      <c r="J40" s="11" cm="1">
        <f t="array" ref="J40">MAX(IF($N$3:$EH$3=$J$3,N40:EH40))</f>
        <v>0.8</v>
      </c>
      <c r="K40" s="11" cm="1">
        <f t="array" ref="K40">MAX(IF($N$3:$EH$3=$J$3,N40:EH40))</f>
        <v>0.8</v>
      </c>
      <c r="L40" s="9"/>
      <c r="O40" s="10"/>
      <c r="P40" s="10"/>
      <c r="Q40" s="10"/>
      <c r="R40" s="10"/>
      <c r="U40">
        <v>4.5</v>
      </c>
      <c r="V40" s="10">
        <v>0.5</v>
      </c>
      <c r="W40" s="10">
        <v>0.5</v>
      </c>
      <c r="X40" s="10">
        <v>0.5</v>
      </c>
      <c r="Y40" s="10">
        <v>0.5</v>
      </c>
      <c r="AC40" s="10">
        <v>0.5</v>
      </c>
      <c r="AD40" s="10">
        <v>0.5</v>
      </c>
      <c r="AE40" s="10">
        <v>0.5</v>
      </c>
      <c r="AF40" s="10">
        <v>0.5</v>
      </c>
      <c r="AJ40" s="10">
        <v>0.5</v>
      </c>
      <c r="AK40" s="10">
        <v>0.5</v>
      </c>
      <c r="AL40" s="10">
        <v>0.5</v>
      </c>
      <c r="AM40" s="10">
        <v>0.5</v>
      </c>
      <c r="AP40">
        <v>1.5</v>
      </c>
      <c r="AQ40" s="10">
        <v>0.8</v>
      </c>
      <c r="AR40" s="10">
        <v>0.8</v>
      </c>
      <c r="AS40" s="10">
        <v>0.8</v>
      </c>
      <c r="AT40" s="10">
        <v>0.8</v>
      </c>
      <c r="AX40" s="10">
        <v>0.8</v>
      </c>
      <c r="AY40" s="10">
        <v>0.8</v>
      </c>
      <c r="AZ40" s="10">
        <v>0.8</v>
      </c>
      <c r="BA40" s="10">
        <v>0.8</v>
      </c>
      <c r="BE40" s="10"/>
      <c r="BF40" s="10">
        <v>0.8</v>
      </c>
      <c r="BG40" s="10"/>
      <c r="BH40" s="10">
        <v>0.8</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123</v>
      </c>
      <c r="G41" s="10">
        <v>0.1</v>
      </c>
      <c r="I41" s="9">
        <f t="shared" si="2"/>
        <v>5.5</v>
      </c>
      <c r="J41" s="11" cm="1">
        <f t="array" ref="J41">MAX(IF($N$3:$EH$3=$J$3,N41:EH41))</f>
        <v>0.8</v>
      </c>
      <c r="K41" s="11" cm="1">
        <f t="array" ref="K41">MAX(IF($N$3:$EH$3=$J$3,N41:EH41))</f>
        <v>0.8</v>
      </c>
      <c r="L41" s="9"/>
      <c r="O41" s="10"/>
      <c r="P41" s="10"/>
      <c r="Q41" s="10"/>
      <c r="R41" s="10"/>
      <c r="U41">
        <v>3</v>
      </c>
      <c r="V41" s="10">
        <v>0.5</v>
      </c>
      <c r="W41" s="10">
        <v>0.5</v>
      </c>
      <c r="X41" s="10">
        <v>0.5</v>
      </c>
      <c r="Y41" s="10">
        <v>0.5</v>
      </c>
      <c r="AC41" s="10">
        <v>0.5</v>
      </c>
      <c r="AD41" s="10">
        <v>0.5</v>
      </c>
      <c r="AE41" s="10">
        <v>0.5</v>
      </c>
      <c r="AF41" s="10">
        <v>0.5</v>
      </c>
      <c r="AJ41" s="10">
        <v>0.5</v>
      </c>
      <c r="AK41" s="10">
        <v>0.5</v>
      </c>
      <c r="AL41" s="10">
        <v>0.5</v>
      </c>
      <c r="AM41" s="10">
        <v>0.5</v>
      </c>
      <c r="AQ41" s="10">
        <v>0.5</v>
      </c>
      <c r="AR41" s="10">
        <v>0.5</v>
      </c>
      <c r="AS41" s="10">
        <v>0.5</v>
      </c>
      <c r="AT41" s="10">
        <v>0.5</v>
      </c>
      <c r="AW41">
        <v>2.5</v>
      </c>
      <c r="AX41" s="10">
        <v>0.8</v>
      </c>
      <c r="AY41" s="10">
        <v>0.8</v>
      </c>
      <c r="AZ41" s="10">
        <v>0.8</v>
      </c>
      <c r="BA41" s="10">
        <v>0.8</v>
      </c>
      <c r="BE41" s="10"/>
      <c r="BF41" s="10">
        <v>0.8</v>
      </c>
      <c r="BG41" s="10"/>
      <c r="BH41" s="10">
        <v>0.8</v>
      </c>
      <c r="BL41" s="10"/>
      <c r="BM41" s="10">
        <v>0.8</v>
      </c>
      <c r="BN41" s="10"/>
      <c r="BO41" s="10">
        <v>0.8</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124</v>
      </c>
      <c r="G42" s="10">
        <v>0.05</v>
      </c>
      <c r="I42" s="9">
        <f t="shared" si="2"/>
        <v>8.25</v>
      </c>
      <c r="J42" s="11" cm="1">
        <f t="array" ref="J42">MAX(IF($N$3:$EH$3=$J$3,N42:EH42))</f>
        <v>0.8</v>
      </c>
      <c r="K42" s="11" cm="1">
        <f t="array" ref="K42">MAX(IF($N$3:$EH$3=$J$3,N42:EH42))</f>
        <v>0.8</v>
      </c>
      <c r="L42" s="9"/>
      <c r="O42" s="10"/>
      <c r="P42" s="10"/>
      <c r="Q42" s="10"/>
      <c r="R42" s="10"/>
      <c r="V42" s="10"/>
      <c r="W42" s="10"/>
      <c r="X42" s="10"/>
      <c r="Y42" s="10"/>
      <c r="AB42">
        <v>4</v>
      </c>
      <c r="AC42" s="10">
        <v>0.5</v>
      </c>
      <c r="AD42" s="10">
        <v>0.5</v>
      </c>
      <c r="AE42" s="10">
        <v>0.5</v>
      </c>
      <c r="AF42" s="10">
        <v>0.5</v>
      </c>
      <c r="AJ42" s="10">
        <v>0.5</v>
      </c>
      <c r="AK42" s="10">
        <v>0.5</v>
      </c>
      <c r="AL42" s="10">
        <v>0.5</v>
      </c>
      <c r="AM42" s="10">
        <v>0.5</v>
      </c>
      <c r="AQ42" s="10">
        <v>0.5</v>
      </c>
      <c r="AR42" s="10">
        <v>0.5</v>
      </c>
      <c r="AS42" s="10">
        <v>0.5</v>
      </c>
      <c r="AT42" s="10">
        <v>0.5</v>
      </c>
      <c r="AW42" s="25">
        <v>4.25</v>
      </c>
      <c r="AX42" s="10">
        <v>0.8</v>
      </c>
      <c r="AY42" s="10">
        <v>0.8</v>
      </c>
      <c r="AZ42" s="10">
        <v>0.8</v>
      </c>
      <c r="BA42" s="10">
        <v>0.8</v>
      </c>
      <c r="BE42" s="10"/>
      <c r="BF42" s="10">
        <v>0.8</v>
      </c>
      <c r="BG42" s="10"/>
      <c r="BH42" s="10">
        <v>0.8</v>
      </c>
      <c r="BL42" s="10"/>
      <c r="BM42" s="10">
        <v>0.8</v>
      </c>
      <c r="BN42" s="10"/>
      <c r="BO42" s="10">
        <v>0.8</v>
      </c>
      <c r="BS42" s="10"/>
      <c r="BT42" s="10">
        <v>0.8</v>
      </c>
      <c r="BU42" s="10"/>
      <c r="BV42" s="10">
        <v>0.8</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125</v>
      </c>
      <c r="G43" s="10">
        <v>0.1</v>
      </c>
      <c r="I43" s="9">
        <f t="shared" si="2"/>
        <v>2</v>
      </c>
      <c r="J43" s="11" cm="1">
        <f t="array" ref="J43">MAX(IF($N$3:$EH$3=$J$3,N43:EH43))</f>
        <v>0.5</v>
      </c>
      <c r="K43" s="11" cm="1">
        <f t="array" ref="K43">MAX(IF($N$3:$EH$3=$J$3,N43:EH43))</f>
        <v>0.5</v>
      </c>
      <c r="L43" s="9"/>
      <c r="O43" s="10"/>
      <c r="P43" s="10"/>
      <c r="Q43" s="10"/>
      <c r="R43" s="10"/>
      <c r="V43" s="10"/>
      <c r="W43" s="10"/>
      <c r="X43" s="10"/>
      <c r="Y43" s="10"/>
      <c r="AB43">
        <v>2</v>
      </c>
      <c r="AC43" s="10">
        <v>0.5</v>
      </c>
      <c r="AD43" s="10">
        <v>0.5</v>
      </c>
      <c r="AE43" s="10">
        <v>0.5</v>
      </c>
      <c r="AF43" s="10">
        <v>0.5</v>
      </c>
      <c r="AJ43" s="10">
        <v>0.5</v>
      </c>
      <c r="AK43" s="10">
        <v>0.5</v>
      </c>
      <c r="AL43" s="10">
        <v>0.5</v>
      </c>
      <c r="AM43" s="10">
        <v>0.5</v>
      </c>
      <c r="AQ43" s="10">
        <v>0.5</v>
      </c>
      <c r="AR43" s="10">
        <v>0.5</v>
      </c>
      <c r="AS43" s="10">
        <v>0.5</v>
      </c>
      <c r="AT43" s="10">
        <v>0.5</v>
      </c>
      <c r="AX43" s="10">
        <v>0.5</v>
      </c>
      <c r="AY43" s="10">
        <v>0.5</v>
      </c>
      <c r="AZ43" s="10">
        <v>0.5</v>
      </c>
      <c r="BA43" s="10">
        <v>0.5</v>
      </c>
      <c r="BE43" s="10"/>
      <c r="BF43" s="10">
        <v>0.8</v>
      </c>
      <c r="BG43" s="10"/>
      <c r="BH43" s="10">
        <v>0.8</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126</v>
      </c>
      <c r="G44" s="10">
        <v>0.1</v>
      </c>
      <c r="I44" s="9">
        <f t="shared" si="2"/>
        <v>3</v>
      </c>
      <c r="J44" s="11" cm="1">
        <f t="array" ref="J44">MAX(IF($N$3:$EH$3=$J$3,N44:EH44))</f>
        <v>0.5</v>
      </c>
      <c r="K44" s="11" cm="1">
        <f t="array" ref="K44">MAX(IF($N$3:$EH$3=$J$3,N44:EH44))</f>
        <v>0.5</v>
      </c>
      <c r="L44" s="9"/>
      <c r="O44" s="10"/>
      <c r="P44" s="10"/>
      <c r="Q44" s="10"/>
      <c r="R44" s="10"/>
      <c r="V44" s="10"/>
      <c r="W44" s="10"/>
      <c r="X44" s="10"/>
      <c r="Y44" s="10"/>
      <c r="AC44" s="10"/>
      <c r="AD44" s="10"/>
      <c r="AE44" s="10"/>
      <c r="AF44" s="10"/>
      <c r="AI44">
        <v>3</v>
      </c>
      <c r="AJ44" s="10">
        <v>0.5</v>
      </c>
      <c r="AK44" s="10">
        <v>0.5</v>
      </c>
      <c r="AL44" s="10">
        <v>0.5</v>
      </c>
      <c r="AM44" s="10">
        <v>0.5</v>
      </c>
      <c r="AQ44" s="10">
        <v>0.5</v>
      </c>
      <c r="AR44" s="10">
        <v>0.5</v>
      </c>
      <c r="AS44" s="10">
        <v>0.5</v>
      </c>
      <c r="AT44" s="10">
        <v>0.5</v>
      </c>
      <c r="AX44" s="10">
        <v>0.5</v>
      </c>
      <c r="AY44" s="10">
        <v>0.5</v>
      </c>
      <c r="AZ44" s="10">
        <v>0.5</v>
      </c>
      <c r="BA44" s="10">
        <v>0.5</v>
      </c>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127</v>
      </c>
      <c r="G45" s="10">
        <v>0.05</v>
      </c>
      <c r="I45" s="9">
        <f t="shared" si="2"/>
        <v>3.5</v>
      </c>
      <c r="J45" s="11" cm="1">
        <f t="array" ref="J45">MAX(IF($N$3:$EH$3=$J$3,N45:EH45))</f>
        <v>0.5</v>
      </c>
      <c r="K45" s="11" cm="1">
        <f t="array" ref="K45">MAX(IF($N$3:$EH$3=$J$3,N45:EH45))</f>
        <v>0.5</v>
      </c>
      <c r="L45" s="9"/>
      <c r="O45" s="10"/>
      <c r="P45" s="10"/>
      <c r="Q45" s="10"/>
      <c r="R45" s="10"/>
      <c r="V45" s="10"/>
      <c r="W45" s="10"/>
      <c r="X45" s="10"/>
      <c r="Y45" s="10"/>
      <c r="AC45" s="10"/>
      <c r="AD45" s="10"/>
      <c r="AE45" s="10"/>
      <c r="AF45" s="10"/>
      <c r="AI45">
        <v>3.5</v>
      </c>
      <c r="AJ45" s="10">
        <v>0.5</v>
      </c>
      <c r="AK45" s="10">
        <v>0.5</v>
      </c>
      <c r="AL45" s="10">
        <v>0.5</v>
      </c>
      <c r="AM45" s="10">
        <v>0.5</v>
      </c>
      <c r="AQ45" s="10">
        <v>0.5</v>
      </c>
      <c r="AR45" s="10">
        <v>0.5</v>
      </c>
      <c r="AS45" s="10">
        <v>0.5</v>
      </c>
      <c r="AT45" s="10">
        <v>0.5</v>
      </c>
      <c r="AX45" s="10">
        <v>0.5</v>
      </c>
      <c r="AY45" s="10">
        <v>0.5</v>
      </c>
      <c r="AZ45" s="10">
        <v>0.5</v>
      </c>
      <c r="BA45" s="10">
        <v>0.5</v>
      </c>
      <c r="BE45" s="10"/>
      <c r="BF45" s="10">
        <v>0.5</v>
      </c>
      <c r="BG45" s="10"/>
      <c r="BH45" s="10">
        <v>0.5</v>
      </c>
      <c r="BL45" s="10"/>
      <c r="BM45" s="10">
        <v>0.5</v>
      </c>
      <c r="BN45" s="10"/>
      <c r="BO45" s="10">
        <v>0.5</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128</v>
      </c>
      <c r="G46" s="10">
        <v>0.1</v>
      </c>
      <c r="I46" s="9">
        <f t="shared" si="2"/>
        <v>3</v>
      </c>
      <c r="J46" s="11" cm="1">
        <f t="array" ref="J46">MAX(IF($N$3:$EH$3=$J$3,N46:EH46))</f>
        <v>0.5</v>
      </c>
      <c r="K46" s="11" cm="1">
        <f t="array" ref="K46">MAX(IF($N$3:$EH$3=$J$3,N46:EH46))</f>
        <v>0.5</v>
      </c>
      <c r="L46" s="9"/>
      <c r="O46" s="10"/>
      <c r="P46" s="10"/>
      <c r="Q46" s="10"/>
      <c r="R46" s="10"/>
      <c r="V46" s="10"/>
      <c r="W46" s="10"/>
      <c r="X46" s="10"/>
      <c r="Y46" s="10"/>
      <c r="AC46" s="10"/>
      <c r="AD46" s="10"/>
      <c r="AE46" s="10"/>
      <c r="AF46" s="10"/>
      <c r="AJ46" s="10"/>
      <c r="AK46" s="10"/>
      <c r="AL46" s="10"/>
      <c r="AM46" s="10"/>
      <c r="AP46">
        <v>3</v>
      </c>
      <c r="AQ46" s="10">
        <v>0.5</v>
      </c>
      <c r="AR46" s="10">
        <v>0.5</v>
      </c>
      <c r="AS46" s="10">
        <v>0.5</v>
      </c>
      <c r="AT46" s="10">
        <v>0.5</v>
      </c>
      <c r="AX46" s="10">
        <v>0.5</v>
      </c>
      <c r="AY46" s="10">
        <v>0.5</v>
      </c>
      <c r="AZ46" s="10">
        <v>0.5</v>
      </c>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129</v>
      </c>
      <c r="G47" s="10">
        <v>0.05</v>
      </c>
      <c r="I47" s="9">
        <f t="shared" si="2"/>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v>0.5</v>
      </c>
      <c r="BG47" s="10"/>
      <c r="BH47" s="10">
        <v>0.5</v>
      </c>
      <c r="BL47" s="10"/>
      <c r="BM47" s="10">
        <v>0.5</v>
      </c>
      <c r="BN47" s="10"/>
      <c r="BO47" s="10">
        <v>0.5</v>
      </c>
      <c r="BS47" s="10"/>
      <c r="BT47" s="10">
        <v>0.5</v>
      </c>
      <c r="BU47" s="10"/>
      <c r="BV47" s="10">
        <v>0.5</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130</v>
      </c>
      <c r="G48" s="10">
        <v>0.1</v>
      </c>
      <c r="I48" s="9">
        <f>+SUMIF($N$3:$ZS$3,I$3,$N48:$ZS48)</f>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0.8</v>
      </c>
      <c r="CP48" s="10"/>
      <c r="CQ48" s="10">
        <v>0.8</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50" spans="2:144" x14ac:dyDescent="0.2">
      <c r="B50" t="s">
        <v>27</v>
      </c>
      <c r="C50" t="s">
        <v>90</v>
      </c>
      <c r="D50" s="19">
        <v>45715</v>
      </c>
      <c r="E50" s="9">
        <v>5</v>
      </c>
      <c r="F50" t="s">
        <v>167</v>
      </c>
      <c r="G50" s="10">
        <f>+SUM(G51:G63)</f>
        <v>1</v>
      </c>
      <c r="I50" s="12">
        <f>+SUM(I51:I63)</f>
        <v>10.75</v>
      </c>
      <c r="J50" s="11">
        <f>+SUMPRODUCT(G51:G63,J51:J63)</f>
        <v>0.27</v>
      </c>
      <c r="K50" s="11">
        <f>+SUMPRODUCT(G51:G63,K51:K63)</f>
        <v>0.27</v>
      </c>
      <c r="L50" s="9"/>
      <c r="N50" s="12"/>
      <c r="U50" s="12"/>
      <c r="AB50" s="12"/>
      <c r="AI50" s="12"/>
      <c r="AP50" s="12"/>
    </row>
    <row r="51" spans="2:144" outlineLevel="1" x14ac:dyDescent="0.2">
      <c r="B51" t="s">
        <v>28</v>
      </c>
      <c r="C51" t="s">
        <v>90</v>
      </c>
      <c r="E51" s="9"/>
      <c r="F51" t="s">
        <v>150</v>
      </c>
      <c r="G51" s="10">
        <v>0.05</v>
      </c>
      <c r="I51" s="9">
        <f>+SUMIF($N$3:$ZS$3,I$3,$N51:$ZS51)</f>
        <v>2.5</v>
      </c>
      <c r="J51" s="11" cm="1">
        <f t="array" ref="J51">MAX(IF($N$3:$EH$3=$J$3,N51:EH51))</f>
        <v>1</v>
      </c>
      <c r="K51" s="11" cm="1">
        <f t="array" ref="K51">MAX(IF($N$3:$EH$3=$J$3,N51:EH51))</f>
        <v>1</v>
      </c>
      <c r="L51" s="9"/>
      <c r="O51" s="10"/>
      <c r="P51" s="10">
        <v>0.5</v>
      </c>
      <c r="Q51" s="10"/>
      <c r="R51" s="10">
        <v>0.5</v>
      </c>
      <c r="U51">
        <v>2</v>
      </c>
      <c r="V51" s="10">
        <v>0.8</v>
      </c>
      <c r="W51" s="10">
        <v>0.8</v>
      </c>
      <c r="X51" s="10">
        <v>0.8</v>
      </c>
      <c r="Y51" s="10">
        <v>0.8</v>
      </c>
      <c r="AB51">
        <v>0.5</v>
      </c>
      <c r="AC51" s="10">
        <v>1</v>
      </c>
      <c r="AD51" s="10">
        <v>0.8</v>
      </c>
      <c r="AE51" s="10">
        <v>1</v>
      </c>
      <c r="AF51" s="10">
        <v>0.8</v>
      </c>
      <c r="AJ51" s="10">
        <v>1</v>
      </c>
      <c r="AK51" s="10">
        <v>0.8</v>
      </c>
      <c r="AL51" s="10">
        <v>1</v>
      </c>
      <c r="AM51" s="10">
        <v>0.8</v>
      </c>
      <c r="AQ51" s="10">
        <v>1</v>
      </c>
      <c r="AR51" s="10">
        <v>1</v>
      </c>
      <c r="AS51" s="10">
        <v>1</v>
      </c>
      <c r="AT51" s="10">
        <v>1</v>
      </c>
      <c r="AX51" s="10">
        <v>0.8</v>
      </c>
      <c r="AY51" s="10">
        <v>1</v>
      </c>
      <c r="AZ51" s="10">
        <v>0.8</v>
      </c>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outlineLevel="1" x14ac:dyDescent="0.2">
      <c r="B52" t="s">
        <v>28</v>
      </c>
      <c r="C52" t="s">
        <v>90</v>
      </c>
      <c r="E52" s="9"/>
      <c r="F52" t="s">
        <v>151</v>
      </c>
      <c r="G52" s="10">
        <v>0.05</v>
      </c>
      <c r="I52" s="9">
        <f>+SUMIF($N$3:$ZS$3,I$3,$N52:$ZS52)</f>
        <v>3</v>
      </c>
      <c r="J52" s="11" cm="1">
        <f t="array" ref="J52">MAX(IF($N$3:$EH$3=$J$3,N52:EH52))</f>
        <v>0.8</v>
      </c>
      <c r="K52" s="11" cm="1">
        <f t="array" ref="K52">MAX(IF($N$3:$EH$3=$J$3,N52:EH52))</f>
        <v>0.8</v>
      </c>
      <c r="L52" s="9"/>
      <c r="O52" s="10"/>
      <c r="P52" s="10">
        <v>0.5</v>
      </c>
      <c r="Q52" s="10"/>
      <c r="R52" s="10">
        <v>0.5</v>
      </c>
      <c r="V52" s="10"/>
      <c r="W52" s="10">
        <v>0.5</v>
      </c>
      <c r="X52" s="10"/>
      <c r="Y52" s="10">
        <v>0.5</v>
      </c>
      <c r="AB52">
        <v>2</v>
      </c>
      <c r="AC52" s="10">
        <v>0.8</v>
      </c>
      <c r="AD52" s="10">
        <v>0.8</v>
      </c>
      <c r="AE52" s="10">
        <v>0.8</v>
      </c>
      <c r="AF52" s="10">
        <v>0.8</v>
      </c>
      <c r="AI52">
        <v>1</v>
      </c>
      <c r="AJ52" s="10">
        <v>0.8</v>
      </c>
      <c r="AK52" s="10">
        <v>0.8</v>
      </c>
      <c r="AL52" s="10">
        <v>0.8</v>
      </c>
      <c r="AM52" s="10">
        <v>0.8</v>
      </c>
      <c r="AQ52" s="10">
        <v>0.8</v>
      </c>
      <c r="AR52" s="10">
        <v>0.8</v>
      </c>
      <c r="AS52" s="10">
        <v>0.8</v>
      </c>
      <c r="AT52" s="10">
        <v>0.8</v>
      </c>
      <c r="AX52" s="10">
        <v>0.8</v>
      </c>
      <c r="AY52" s="10">
        <v>1</v>
      </c>
      <c r="AZ52" s="10">
        <v>0.8</v>
      </c>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152</v>
      </c>
      <c r="G53" s="10">
        <v>0.05</v>
      </c>
      <c r="I53" s="9">
        <f t="shared" ref="I53:I64" si="3">+SUMIF($N$3:$ZS$3,I$3,$N53:$ZS53)</f>
        <v>2</v>
      </c>
      <c r="J53" s="11" cm="1">
        <f t="array" ref="J53">MAX(IF($N$3:$EH$3=$J$3,N53:EH53))</f>
        <v>1</v>
      </c>
      <c r="K53" s="11" cm="1">
        <f t="array" ref="K53">MAX(IF($N$3:$EH$3=$J$3,N53:EH53))</f>
        <v>1</v>
      </c>
      <c r="L53" s="9"/>
      <c r="O53" s="10"/>
      <c r="P53" s="10">
        <v>0.5</v>
      </c>
      <c r="Q53" s="10"/>
      <c r="R53" s="10">
        <v>0.5</v>
      </c>
      <c r="V53" s="10"/>
      <c r="W53" s="10">
        <v>0.5</v>
      </c>
      <c r="X53" s="10"/>
      <c r="Y53" s="10">
        <v>0.5</v>
      </c>
      <c r="AB53">
        <v>1.5</v>
      </c>
      <c r="AC53" s="10">
        <v>0.8</v>
      </c>
      <c r="AD53" s="10">
        <v>0.5</v>
      </c>
      <c r="AE53" s="10">
        <v>0.8</v>
      </c>
      <c r="AF53" s="10">
        <v>0.5</v>
      </c>
      <c r="AI53">
        <v>0.5</v>
      </c>
      <c r="AJ53" s="10">
        <v>1</v>
      </c>
      <c r="AK53" s="10">
        <v>0.8</v>
      </c>
      <c r="AL53" s="10">
        <v>1</v>
      </c>
      <c r="AM53" s="10">
        <v>0.8</v>
      </c>
      <c r="AQ53" s="10">
        <v>1</v>
      </c>
      <c r="AR53" s="10">
        <v>0.8</v>
      </c>
      <c r="AS53" s="10">
        <v>1</v>
      </c>
      <c r="AT53" s="10">
        <v>0.8</v>
      </c>
      <c r="AX53" s="10">
        <v>0.8</v>
      </c>
      <c r="AY53" s="10">
        <v>0.8</v>
      </c>
      <c r="AZ53" s="10">
        <v>0.8</v>
      </c>
      <c r="BA53" s="10">
        <v>0.8</v>
      </c>
      <c r="BE53" s="10"/>
      <c r="BF53" s="10">
        <v>0.8</v>
      </c>
      <c r="BG53" s="10"/>
      <c r="BH53" s="10">
        <v>0.8</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153</v>
      </c>
      <c r="G54" s="10">
        <v>0.1</v>
      </c>
      <c r="I54" s="9">
        <f t="shared" si="3"/>
        <v>2.5</v>
      </c>
      <c r="J54" s="11" cm="1">
        <f t="array" ref="J54">MAX(IF($N$3:$EH$3=$J$3,N54:EH54))</f>
        <v>0.8</v>
      </c>
      <c r="K54" s="11" cm="1">
        <f t="array" ref="K54">MAX(IF($N$3:$EH$3=$J$3,N54:EH54))</f>
        <v>0.8</v>
      </c>
      <c r="L54" s="9"/>
      <c r="O54" s="10"/>
      <c r="P54" s="10"/>
      <c r="Q54" s="10"/>
      <c r="R54" s="10"/>
      <c r="V54" s="10"/>
      <c r="W54" s="10">
        <v>0.5</v>
      </c>
      <c r="X54" s="10"/>
      <c r="Y54" s="10">
        <v>0.5</v>
      </c>
      <c r="AC54" s="10"/>
      <c r="AD54" s="10">
        <v>0.5</v>
      </c>
      <c r="AE54" s="10"/>
      <c r="AF54" s="10">
        <v>0.5</v>
      </c>
      <c r="AJ54" s="10"/>
      <c r="AK54" s="10">
        <v>0.5</v>
      </c>
      <c r="AL54" s="10"/>
      <c r="AM54" s="10">
        <v>0.5</v>
      </c>
      <c r="AP54">
        <v>2.5</v>
      </c>
      <c r="AQ54" s="10">
        <v>0.8</v>
      </c>
      <c r="AR54" s="10">
        <v>0.8</v>
      </c>
      <c r="AS54" s="10">
        <v>0.8</v>
      </c>
      <c r="AT54" s="10">
        <v>0.8</v>
      </c>
      <c r="AX54" s="10">
        <v>0.8</v>
      </c>
      <c r="AY54" s="10">
        <v>0.8</v>
      </c>
      <c r="AZ54" s="10">
        <v>0.8</v>
      </c>
      <c r="BA54" s="10">
        <v>0.8</v>
      </c>
      <c r="BE54" s="10"/>
      <c r="BF54" s="10">
        <v>0.8</v>
      </c>
      <c r="BG54" s="10"/>
      <c r="BH54" s="10">
        <v>0.8</v>
      </c>
      <c r="BL54" s="10"/>
      <c r="BM54" s="10">
        <v>0.8</v>
      </c>
      <c r="BN54" s="10"/>
      <c r="BO54" s="10">
        <v>0.8</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154</v>
      </c>
      <c r="G55" s="10">
        <v>0.1</v>
      </c>
      <c r="I55" s="9">
        <f t="shared" si="3"/>
        <v>0.75</v>
      </c>
      <c r="J55" s="11" cm="1">
        <f t="array" ref="J55">MAX(IF($N$3:$EH$3=$J$3,N55:EH55))</f>
        <v>0.5</v>
      </c>
      <c r="K55" s="11" cm="1">
        <f t="array" ref="K55">MAX(IF($N$3:$EH$3=$J$3,N55:EH55))</f>
        <v>0.5</v>
      </c>
      <c r="L55" s="9"/>
      <c r="O55" s="10"/>
      <c r="P55" s="10"/>
      <c r="Q55" s="10"/>
      <c r="R55" s="10"/>
      <c r="V55" s="10"/>
      <c r="W55" s="10">
        <v>0.5</v>
      </c>
      <c r="X55" s="10"/>
      <c r="Y55" s="10">
        <v>0.5</v>
      </c>
      <c r="AC55" s="10"/>
      <c r="AD55" s="10">
        <v>0.5</v>
      </c>
      <c r="AE55" s="10"/>
      <c r="AF55" s="10">
        <v>0.5</v>
      </c>
      <c r="AJ55" s="10"/>
      <c r="AK55" s="10">
        <v>0.5</v>
      </c>
      <c r="AL55" s="10"/>
      <c r="AM55" s="10">
        <v>0.5</v>
      </c>
      <c r="AQ55" s="10"/>
      <c r="AR55" s="10">
        <v>0.5</v>
      </c>
      <c r="AS55" s="10"/>
      <c r="AT55" s="10">
        <v>0.5</v>
      </c>
      <c r="AW55">
        <v>0.75</v>
      </c>
      <c r="AX55" s="10">
        <v>0.5</v>
      </c>
      <c r="AY55" s="10">
        <v>0.8</v>
      </c>
      <c r="AZ55" s="10">
        <v>0.5</v>
      </c>
      <c r="BA55" s="10">
        <v>0.8</v>
      </c>
      <c r="BE55" s="10"/>
      <c r="BF55" s="10">
        <v>0.8</v>
      </c>
      <c r="BG55" s="10"/>
      <c r="BH55" s="10">
        <v>0.8</v>
      </c>
      <c r="BL55" s="10"/>
      <c r="BM55" s="10">
        <v>0.8</v>
      </c>
      <c r="BN55" s="10"/>
      <c r="BO55" s="10">
        <v>0.8</v>
      </c>
      <c r="BS55" s="10"/>
      <c r="BT55" s="10">
        <v>0.8</v>
      </c>
      <c r="BU55" s="10"/>
      <c r="BV55" s="10">
        <v>0.8</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155</v>
      </c>
      <c r="G56" s="10">
        <v>0.1</v>
      </c>
      <c r="I56" s="9">
        <f t="shared" si="3"/>
        <v>0</v>
      </c>
      <c r="J56" s="11" cm="1">
        <f t="array" ref="J56">MAX(IF($N$3:$EH$3=$J$3,N56:EH56))</f>
        <v>0</v>
      </c>
      <c r="K56" s="11" cm="1">
        <f t="array" ref="K56">MAX(IF($N$3:$EH$3=$J$3,N56:EH56))</f>
        <v>0</v>
      </c>
      <c r="L56" s="9"/>
      <c r="O56" s="10"/>
      <c r="P56" s="10"/>
      <c r="Q56" s="10"/>
      <c r="R56" s="10"/>
      <c r="V56" s="10"/>
      <c r="W56" s="10"/>
      <c r="X56" s="10"/>
      <c r="Y56" s="10"/>
      <c r="AC56" s="10"/>
      <c r="AD56" s="10">
        <v>0.5</v>
      </c>
      <c r="AE56" s="10"/>
      <c r="AF56" s="10">
        <v>0.5</v>
      </c>
      <c r="AJ56" s="10"/>
      <c r="AK56" s="10">
        <v>0.5</v>
      </c>
      <c r="AL56" s="10"/>
      <c r="AM56" s="10">
        <v>0.5</v>
      </c>
      <c r="AQ56" s="10"/>
      <c r="AR56" s="10">
        <v>0.5</v>
      </c>
      <c r="AS56" s="10"/>
      <c r="AT56" s="10">
        <v>0.5</v>
      </c>
      <c r="AX56" s="10"/>
      <c r="AY56" s="10">
        <v>0.8</v>
      </c>
      <c r="AZ56" s="10"/>
      <c r="BA56" s="10">
        <v>0.8</v>
      </c>
      <c r="BE56" s="10"/>
      <c r="BF56" s="10">
        <v>0.8</v>
      </c>
      <c r="BG56" s="10"/>
      <c r="BH56" s="10">
        <v>0.8</v>
      </c>
      <c r="BL56" s="10"/>
      <c r="BM56" s="10">
        <v>0.8</v>
      </c>
      <c r="BN56" s="10"/>
      <c r="BO56" s="10">
        <v>0.8</v>
      </c>
      <c r="BS56" s="10"/>
      <c r="BT56" s="10">
        <v>0.8</v>
      </c>
      <c r="BU56" s="10"/>
      <c r="BV56" s="10">
        <v>0.8</v>
      </c>
      <c r="BZ56" s="10"/>
      <c r="CA56" s="10">
        <v>0.8</v>
      </c>
      <c r="CB56" s="10"/>
      <c r="CC56" s="10">
        <v>0.8</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156</v>
      </c>
      <c r="G57" s="10">
        <v>0.1</v>
      </c>
      <c r="I57" s="9">
        <f t="shared" si="3"/>
        <v>0</v>
      </c>
      <c r="J57" s="11" cm="1">
        <f t="array" ref="J57">MAX(IF($N$3:$EH$3=$J$3,N57:EH57))</f>
        <v>0</v>
      </c>
      <c r="K57" s="11" cm="1">
        <f t="array" ref="K57">MAX(IF($N$3:$EH$3=$J$3,N57:EH57))</f>
        <v>0</v>
      </c>
      <c r="L57" s="9"/>
      <c r="O57" s="10"/>
      <c r="P57" s="10"/>
      <c r="Q57" s="10"/>
      <c r="R57" s="10"/>
      <c r="V57" s="10"/>
      <c r="W57" s="10"/>
      <c r="X57" s="10"/>
      <c r="Y57" s="10"/>
      <c r="AC57" s="10"/>
      <c r="AD57" s="10">
        <v>0.5</v>
      </c>
      <c r="AE57" s="10"/>
      <c r="AF57" s="10">
        <v>0.5</v>
      </c>
      <c r="AJ57" s="10"/>
      <c r="AK57" s="10">
        <v>0.5</v>
      </c>
      <c r="AL57" s="10"/>
      <c r="AM57" s="10">
        <v>0.5</v>
      </c>
      <c r="AQ57" s="10"/>
      <c r="AR57" s="10">
        <v>0.5</v>
      </c>
      <c r="AS57" s="10"/>
      <c r="AT57" s="10">
        <v>0.5</v>
      </c>
      <c r="AX57" s="10"/>
      <c r="AY57" s="10">
        <v>0.5</v>
      </c>
      <c r="AZ57" s="10"/>
      <c r="BA57" s="10">
        <v>0.5</v>
      </c>
      <c r="BE57" s="10"/>
      <c r="BF57" s="10">
        <v>0.8</v>
      </c>
      <c r="BG57" s="10"/>
      <c r="BH57" s="10">
        <v>0.8</v>
      </c>
      <c r="BL57" s="10"/>
      <c r="BM57" s="10">
        <v>0.8</v>
      </c>
      <c r="BN57" s="10"/>
      <c r="BO57" s="10">
        <v>0.8</v>
      </c>
      <c r="BS57" s="10"/>
      <c r="BT57" s="10">
        <v>0.8</v>
      </c>
      <c r="BU57" s="10"/>
      <c r="BV57" s="10">
        <v>0.8</v>
      </c>
      <c r="BZ57" s="10"/>
      <c r="CA57" s="10">
        <v>0.8</v>
      </c>
      <c r="CB57" s="10"/>
      <c r="CC57" s="10">
        <v>0.8</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157</v>
      </c>
      <c r="G58" s="10">
        <v>0.1</v>
      </c>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v>0.5</v>
      </c>
      <c r="AL58" s="10"/>
      <c r="AM58" s="10">
        <v>0.5</v>
      </c>
      <c r="AQ58" s="10"/>
      <c r="AR58" s="10">
        <v>0.5</v>
      </c>
      <c r="AS58" s="10"/>
      <c r="AT58" s="10">
        <v>0.5</v>
      </c>
      <c r="AX58" s="10"/>
      <c r="AY58" s="10">
        <v>0.5</v>
      </c>
      <c r="AZ58" s="10"/>
      <c r="BA58" s="10">
        <v>0.5</v>
      </c>
      <c r="BE58" s="10"/>
      <c r="BF58" s="10">
        <v>0.5</v>
      </c>
      <c r="BG58" s="10"/>
      <c r="BH58" s="10">
        <v>0.5</v>
      </c>
      <c r="BL58" s="10"/>
      <c r="BM58" s="10">
        <v>0.8</v>
      </c>
      <c r="BN58" s="10"/>
      <c r="BO58" s="10">
        <v>0.8</v>
      </c>
      <c r="BS58" s="10"/>
      <c r="BT58" s="10">
        <v>0.8</v>
      </c>
      <c r="BU58" s="10"/>
      <c r="BV58" s="10">
        <v>0.8</v>
      </c>
      <c r="BZ58" s="10"/>
      <c r="CA58" s="10">
        <v>0.8</v>
      </c>
      <c r="CB58" s="10"/>
      <c r="CC58" s="10">
        <v>0.8</v>
      </c>
      <c r="CG58" s="10"/>
      <c r="CH58" s="10">
        <v>1</v>
      </c>
      <c r="CI58" s="10"/>
      <c r="CJ58" s="10">
        <v>1</v>
      </c>
      <c r="CN58" s="10"/>
      <c r="CO58" s="10">
        <v>1</v>
      </c>
      <c r="CP58" s="10"/>
      <c r="CQ58" s="10">
        <v>1</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158</v>
      </c>
      <c r="G59" s="10">
        <v>0.05</v>
      </c>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0.5</v>
      </c>
      <c r="AZ59" s="10"/>
      <c r="BA59" s="10">
        <v>0.5</v>
      </c>
      <c r="BE59" s="10"/>
      <c r="BF59" s="10">
        <v>0.5</v>
      </c>
      <c r="BG59" s="10"/>
      <c r="BH59" s="10">
        <v>0.5</v>
      </c>
      <c r="BL59" s="10"/>
      <c r="BM59" s="10">
        <v>0.5</v>
      </c>
      <c r="BN59" s="10"/>
      <c r="BO59" s="10">
        <v>0.5</v>
      </c>
      <c r="BS59" s="10"/>
      <c r="BT59" s="10">
        <v>0.8</v>
      </c>
      <c r="BU59" s="10"/>
      <c r="BV59" s="10">
        <v>0.8</v>
      </c>
      <c r="BZ59" s="10"/>
      <c r="CA59" s="10">
        <v>0.8</v>
      </c>
      <c r="CB59" s="10"/>
      <c r="CC59" s="10">
        <v>0.8</v>
      </c>
      <c r="CG59" s="10"/>
      <c r="CH59" s="10">
        <v>0.8</v>
      </c>
      <c r="CI59" s="10"/>
      <c r="CJ59" s="10">
        <v>0.8</v>
      </c>
      <c r="CN59" s="10"/>
      <c r="CO59" s="10">
        <v>1</v>
      </c>
      <c r="CP59" s="10"/>
      <c r="CQ59" s="10">
        <v>1</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159</v>
      </c>
      <c r="G60" s="10">
        <v>0.1</v>
      </c>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0.5</v>
      </c>
      <c r="BN60" s="10"/>
      <c r="BO60" s="10">
        <v>0.5</v>
      </c>
      <c r="BS60" s="10"/>
      <c r="BT60" s="10">
        <v>0.8</v>
      </c>
      <c r="BU60" s="10"/>
      <c r="BV60" s="10">
        <v>0.8</v>
      </c>
      <c r="BZ60" s="10"/>
      <c r="CA60" s="10">
        <v>0.8</v>
      </c>
      <c r="CB60" s="10"/>
      <c r="CC60" s="10">
        <v>0.8</v>
      </c>
      <c r="CG60" s="10"/>
      <c r="CH60" s="10">
        <v>0.8</v>
      </c>
      <c r="CI60" s="10"/>
      <c r="CJ60" s="10">
        <v>0.8</v>
      </c>
      <c r="CN60" s="10"/>
      <c r="CO60" s="10">
        <v>1</v>
      </c>
      <c r="CP60" s="10"/>
      <c r="CQ60" s="10">
        <v>1</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160</v>
      </c>
      <c r="G61" s="10">
        <v>0.05</v>
      </c>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v>0.5</v>
      </c>
      <c r="BG61" s="10"/>
      <c r="BH61" s="10">
        <v>0.5</v>
      </c>
      <c r="BL61" s="10"/>
      <c r="BM61" s="10">
        <v>0.5</v>
      </c>
      <c r="BN61" s="10"/>
      <c r="BO61" s="10">
        <v>0.5</v>
      </c>
      <c r="BS61" s="10"/>
      <c r="BT61" s="10">
        <v>0.5</v>
      </c>
      <c r="BU61" s="10"/>
      <c r="BV61" s="10">
        <v>0.5</v>
      </c>
      <c r="BZ61" s="10"/>
      <c r="CA61" s="10">
        <v>0.8</v>
      </c>
      <c r="CB61" s="10"/>
      <c r="CC61" s="10">
        <v>0.8</v>
      </c>
      <c r="CG61" s="10"/>
      <c r="CH61" s="10">
        <v>0.8</v>
      </c>
      <c r="CI61" s="10"/>
      <c r="CJ61" s="10">
        <v>0.8</v>
      </c>
      <c r="CN61" s="10"/>
      <c r="CO61" s="10">
        <v>1</v>
      </c>
      <c r="CP61" s="10"/>
      <c r="CQ61" s="10">
        <v>1</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161</v>
      </c>
      <c r="G62" s="10">
        <v>0.1</v>
      </c>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0.8</v>
      </c>
      <c r="CP62" s="10"/>
      <c r="CQ62" s="10">
        <v>0.8</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162</v>
      </c>
      <c r="G63" s="10">
        <v>0.05</v>
      </c>
      <c r="I63" s="9">
        <f t="shared" si="3"/>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v>0.5</v>
      </c>
      <c r="BN63" s="10"/>
      <c r="BO63" s="10">
        <v>0.5</v>
      </c>
      <c r="BS63" s="10"/>
      <c r="BT63" s="10">
        <v>0.5</v>
      </c>
      <c r="BU63" s="10"/>
      <c r="BV63" s="10">
        <v>0.5</v>
      </c>
      <c r="BZ63" s="10"/>
      <c r="CA63" s="10">
        <v>0.5</v>
      </c>
      <c r="CB63" s="10"/>
      <c r="CC63" s="10">
        <v>0.5</v>
      </c>
      <c r="CG63" s="10"/>
      <c r="CH63" s="10">
        <v>0.8</v>
      </c>
      <c r="CI63" s="10"/>
      <c r="CJ63" s="10">
        <v>0.8</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4" spans="2:144" outlineLevel="1" x14ac:dyDescent="0.2">
      <c r="B64" t="s">
        <v>28</v>
      </c>
      <c r="C64" t="s">
        <v>90</v>
      </c>
      <c r="E64" s="9"/>
      <c r="F64" t="s">
        <v>172</v>
      </c>
      <c r="G64" s="10">
        <v>0.05</v>
      </c>
      <c r="I64" s="9">
        <f t="shared" si="3"/>
        <v>0.5</v>
      </c>
      <c r="J64" s="11" cm="1">
        <f t="array" ref="J64">MAX(IF($N$3:$EH$3=$J$3,N64:EH64))</f>
        <v>0.5</v>
      </c>
      <c r="K64" s="11" cm="1">
        <f t="array" ref="K64">MAX(IF($N$3:$EH$3=$J$3,N64:EH64))</f>
        <v>0.5</v>
      </c>
      <c r="L64" s="9"/>
      <c r="O64" s="10"/>
      <c r="P64" s="10"/>
      <c r="Q64" s="10"/>
      <c r="R64" s="10"/>
      <c r="V64" s="10"/>
      <c r="W64" s="10"/>
      <c r="X64" s="10"/>
      <c r="Y64" s="10"/>
      <c r="AB64">
        <v>0.5</v>
      </c>
      <c r="AC64" s="10">
        <v>0.5</v>
      </c>
      <c r="AD64" s="10">
        <v>1</v>
      </c>
      <c r="AE64" s="10">
        <v>0.5</v>
      </c>
      <c r="AF64" s="10">
        <v>1</v>
      </c>
      <c r="AJ64" s="10"/>
      <c r="AK64" s="10">
        <v>1</v>
      </c>
      <c r="AL64" s="10"/>
      <c r="AM64" s="10">
        <v>1</v>
      </c>
      <c r="AQ64" s="10"/>
      <c r="AR64" s="10">
        <v>1</v>
      </c>
      <c r="AS64" s="10"/>
      <c r="AT64" s="10">
        <v>1</v>
      </c>
      <c r="AX64" s="10"/>
      <c r="AY64" s="10">
        <v>1</v>
      </c>
      <c r="AZ64" s="10"/>
      <c r="BA64" s="10">
        <v>1</v>
      </c>
      <c r="BE64" s="10"/>
      <c r="BF64" s="10">
        <v>1</v>
      </c>
      <c r="BG64" s="10"/>
      <c r="BH64" s="10">
        <v>1</v>
      </c>
      <c r="BL64" s="10"/>
      <c r="BM64" s="10">
        <v>0.5</v>
      </c>
      <c r="BN64" s="10"/>
      <c r="BO64" s="10">
        <v>0.5</v>
      </c>
      <c r="BS64" s="10"/>
      <c r="BT64" s="10">
        <v>0.5</v>
      </c>
      <c r="BU64" s="10"/>
      <c r="BV64" s="10">
        <v>0.5</v>
      </c>
      <c r="BZ64" s="10"/>
      <c r="CA64" s="10">
        <v>0.5</v>
      </c>
      <c r="CB64" s="10"/>
      <c r="CC64" s="10">
        <v>0.5</v>
      </c>
      <c r="CG64" s="10"/>
      <c r="CH64" s="10">
        <v>0.8</v>
      </c>
      <c r="CI64" s="10"/>
      <c r="CJ64" s="10">
        <v>0.8</v>
      </c>
      <c r="CN64" s="10"/>
      <c r="CO64" s="10">
        <v>0.8</v>
      </c>
      <c r="CP64" s="10"/>
      <c r="CQ64" s="10">
        <v>0.8</v>
      </c>
      <c r="CU64" s="10"/>
      <c r="CV64" s="10">
        <v>1</v>
      </c>
      <c r="CW64" s="10"/>
      <c r="CX64" s="10">
        <v>1</v>
      </c>
      <c r="DB64" s="10"/>
      <c r="DC64" s="10"/>
      <c r="DD64" s="10"/>
      <c r="DE64" s="10"/>
      <c r="DI64" s="10"/>
      <c r="DJ64" s="10"/>
      <c r="DK64" s="10"/>
      <c r="DL64" s="10"/>
      <c r="DP64" s="10"/>
      <c r="DQ64" s="10"/>
      <c r="DR64" s="10"/>
      <c r="DS64" s="10"/>
      <c r="DW64" s="10"/>
      <c r="DX64" s="10"/>
      <c r="DY64" s="10"/>
      <c r="DZ64" s="10"/>
      <c r="ED64" s="10"/>
      <c r="EE64" s="10"/>
      <c r="EF64" s="10"/>
      <c r="EG64" s="10"/>
      <c r="EK64" s="10"/>
      <c r="EL64" s="10"/>
      <c r="EM64" s="10"/>
      <c r="EN64" s="10"/>
    </row>
    <row r="70" spans="2:5" x14ac:dyDescent="0.2">
      <c r="B70" t="s">
        <v>164</v>
      </c>
      <c r="D70" t="s">
        <v>163</v>
      </c>
    </row>
    <row r="71" spans="2:5" x14ac:dyDescent="0.2">
      <c r="B71">
        <v>12</v>
      </c>
      <c r="C71">
        <v>30</v>
      </c>
      <c r="D71" s="16">
        <v>53</v>
      </c>
      <c r="E71">
        <v>100</v>
      </c>
    </row>
    <row r="72" spans="2:5" x14ac:dyDescent="0.2">
      <c r="B72">
        <f>+B71/3</f>
        <v>4</v>
      </c>
      <c r="C72" s="20">
        <v>10</v>
      </c>
      <c r="D72">
        <v>12</v>
      </c>
      <c r="E72">
        <f>$E$71/$D$71*D72</f>
        <v>22.641509433962263</v>
      </c>
    </row>
    <row r="73" spans="2:5" x14ac:dyDescent="0.2">
      <c r="B73">
        <v>3</v>
      </c>
      <c r="C73" s="20">
        <v>5</v>
      </c>
      <c r="D73">
        <v>16</v>
      </c>
      <c r="E73">
        <f>$E$71/$D$71*D73</f>
        <v>30.188679245283019</v>
      </c>
    </row>
    <row r="74" spans="2:5" x14ac:dyDescent="0.2">
      <c r="B74">
        <v>4</v>
      </c>
      <c r="C74" s="20">
        <v>10</v>
      </c>
      <c r="D74">
        <v>12</v>
      </c>
      <c r="E74">
        <f>$E$71/$D$71*D74</f>
        <v>22.641509433962263</v>
      </c>
    </row>
    <row r="75" spans="2:5" x14ac:dyDescent="0.2">
      <c r="B75">
        <v>2</v>
      </c>
      <c r="C75" s="20">
        <v>5</v>
      </c>
      <c r="D75">
        <v>13</v>
      </c>
      <c r="E75">
        <f>$E$71/$D$71*D75</f>
        <v>24.528301886792452</v>
      </c>
    </row>
  </sheetData>
  <mergeCells count="20">
    <mergeCell ref="EC2:EH2"/>
    <mergeCell ref="EJ2:EO2"/>
    <mergeCell ref="DH2:DM2"/>
    <mergeCell ref="DO2:DT2"/>
    <mergeCell ref="DV2:EA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16">
    <cfRule type="colorScale" priority="879">
      <colorScale>
        <cfvo type="percent" val="0"/>
        <cfvo type="percent" val="100"/>
        <color rgb="FFFF231B"/>
        <color rgb="FF10FF07"/>
      </colorScale>
    </cfRule>
  </conditionalFormatting>
  <conditionalFormatting sqref="J20">
    <cfRule type="colorScale" priority="328">
      <colorScale>
        <cfvo type="percent" val="0"/>
        <cfvo type="percent" val="100"/>
        <color rgb="FFFF231B"/>
        <color rgb="FF10FF07"/>
      </colorScale>
    </cfRule>
  </conditionalFormatting>
  <conditionalFormatting sqref="J21">
    <cfRule type="colorScale" priority="309">
      <colorScale>
        <cfvo type="percent" val="0"/>
        <cfvo type="percent" val="100"/>
        <color rgb="FFFF231B"/>
        <color rgb="FF10FF07"/>
      </colorScale>
    </cfRule>
  </conditionalFormatting>
  <conditionalFormatting sqref="J22:J34 J19">
    <cfRule type="colorScale" priority="562">
      <colorScale>
        <cfvo type="percent" val="0"/>
        <cfvo type="percent" val="100"/>
        <color rgb="FFFF231B"/>
        <color rgb="FF10FF07"/>
      </colorScale>
    </cfRule>
  </conditionalFormatting>
  <conditionalFormatting sqref="J37:J48">
    <cfRule type="colorScale" priority="883">
      <colorScale>
        <cfvo type="percent" val="0"/>
        <cfvo type="percent" val="100"/>
        <color rgb="FFFF231B"/>
        <color rgb="FF10FF07"/>
      </colorScale>
    </cfRule>
  </conditionalFormatting>
  <conditionalFormatting sqref="J51:J64">
    <cfRule type="colorScale" priority="967">
      <colorScale>
        <cfvo type="percent" val="0"/>
        <cfvo type="percent" val="100"/>
        <color rgb="FFFF231B"/>
        <color rgb="FF10FF07"/>
      </colorScale>
    </cfRule>
  </conditionalFormatting>
  <conditionalFormatting sqref="J6:K16">
    <cfRule type="colorScale" priority="881">
      <colorScale>
        <cfvo type="percent" val="0"/>
        <cfvo type="percent" val="100"/>
        <color rgb="FFFF231B"/>
        <color rgb="FF10FF07"/>
      </colorScale>
    </cfRule>
  </conditionalFormatting>
  <conditionalFormatting sqref="J20:K20">
    <cfRule type="colorScale" priority="329">
      <colorScale>
        <cfvo type="percent" val="0"/>
        <cfvo type="percent" val="100"/>
        <color rgb="FFFF231B"/>
        <color rgb="FF10FF07"/>
      </colorScale>
    </cfRule>
  </conditionalFormatting>
  <conditionalFormatting sqref="J21:K21">
    <cfRule type="colorScale" priority="310">
      <colorScale>
        <cfvo type="percent" val="0"/>
        <cfvo type="percent" val="100"/>
        <color rgb="FFFF231B"/>
        <color rgb="FF10FF07"/>
      </colorScale>
    </cfRule>
  </conditionalFormatting>
  <conditionalFormatting sqref="J22:K34">
    <cfRule type="colorScale" priority="563">
      <colorScale>
        <cfvo type="percent" val="0"/>
        <cfvo type="percent" val="100"/>
        <color rgb="FFFF231B"/>
        <color rgb="FF10FF07"/>
      </colorScale>
    </cfRule>
  </conditionalFormatting>
  <conditionalFormatting sqref="J38:K48">
    <cfRule type="colorScale" priority="884">
      <colorScale>
        <cfvo type="percent" val="0"/>
        <cfvo type="percent" val="100"/>
        <color rgb="FFFF231B"/>
        <color rgb="FF10FF07"/>
      </colorScale>
    </cfRule>
  </conditionalFormatting>
  <conditionalFormatting sqref="J52:K63">
    <cfRule type="colorScale" priority="968">
      <colorScale>
        <cfvo type="percent" val="0"/>
        <cfvo type="percent" val="100"/>
        <color rgb="FFFF231B"/>
        <color rgb="FF10FF07"/>
      </colorScale>
    </cfRule>
  </conditionalFormatting>
  <conditionalFormatting sqref="J64:K64">
    <cfRule type="colorScale" priority="69">
      <colorScale>
        <cfvo type="percent" val="0"/>
        <cfvo type="percent" val="100"/>
        <color rgb="FFFF231B"/>
        <color rgb="FF10FF07"/>
      </colorScale>
    </cfRule>
  </conditionalFormatting>
  <conditionalFormatting sqref="K5:K16">
    <cfRule type="colorScale" priority="882">
      <colorScale>
        <cfvo type="percent" val="0"/>
        <cfvo type="percent" val="100"/>
        <color rgb="FFFF231B"/>
        <color rgb="FF10FF07"/>
      </colorScale>
    </cfRule>
  </conditionalFormatting>
  <conditionalFormatting sqref="K20">
    <cfRule type="colorScale" priority="327">
      <colorScale>
        <cfvo type="percent" val="0"/>
        <cfvo type="percent" val="100"/>
        <color rgb="FFFF231B"/>
        <color rgb="FF10FF07"/>
      </colorScale>
    </cfRule>
  </conditionalFormatting>
  <conditionalFormatting sqref="K21">
    <cfRule type="colorScale" priority="308">
      <colorScale>
        <cfvo type="percent" val="0"/>
        <cfvo type="percent" val="100"/>
        <color rgb="FFFF231B"/>
        <color rgb="FF10FF07"/>
      </colorScale>
    </cfRule>
  </conditionalFormatting>
  <conditionalFormatting sqref="K22:K34 K19">
    <cfRule type="colorScale" priority="561">
      <colorScale>
        <cfvo type="percent" val="0"/>
        <cfvo type="percent" val="100"/>
        <color rgb="FFFF231B"/>
        <color rgb="FF10FF07"/>
      </colorScale>
    </cfRule>
  </conditionalFormatting>
  <conditionalFormatting sqref="K37:K48">
    <cfRule type="colorScale" priority="885">
      <colorScale>
        <cfvo type="percent" val="0"/>
        <cfvo type="percent" val="100"/>
        <color rgb="FFFF231B"/>
        <color rgb="FF10FF07"/>
      </colorScale>
    </cfRule>
  </conditionalFormatting>
  <conditionalFormatting sqref="K51:K64">
    <cfRule type="colorScale" priority="969">
      <colorScale>
        <cfvo type="percent" val="0"/>
        <cfvo type="percent" val="100"/>
        <color rgb="FFFF231B"/>
        <color rgb="FF10FF07"/>
      </colorScale>
    </cfRule>
  </conditionalFormatting>
  <conditionalFormatting sqref="O5 Q5:Q16 AC5:AC16 AE5:AE16 AJ5:AJ16 AL5:AL16 BE5:BE16 BG5:BG16 BL5:BL16 BN5:BN16 BS5:BS16 BU5:BU16 BZ5:BZ16 CB5:CB16 CG5:CG16 CI5:CI16 CN5:CN16 CP5:CP16 CU5:CU16 CW5:CW16 DB5:DB16 DD5:DD16 O7:O16 O19:O25 O28:O34 O37:O48 Q37:Q48 V37:V48 X37:X48 AC37:AC48 AE37:AE48 AJ37:AJ48 AL37:AL48 AQ37:AQ48 AS37:AS48 BE37:BE48 BG37:BG48 BL37:BL48 BN37:BN48 BS37:BS48 BU37:BU48 BZ37:BZ48 CB37:CB48 CG37:CG48 CI37:CI48 CN37:CN48 CP37:CP48 CU37:CU48 CW37:CW48 DB37:DB48 DD37:DD48 O51:O64 Q51:Q64 V51:V64 X51:X64 AC51:AC64 AE51:AE64 AJ51:AJ64 AL51:AL64 AQ51:AQ64 AS51:AS64 AX51:AX64 AZ51:AZ64 BE51:BE64 BG51:BG64 BL51:BL64 BN51:BN64 BS51:BS64 BU51:BU64 BZ51:BZ64 CB51:CB64 CG51:CG64 CI51:CI64 CN51:CN64 CP51:CP64 CU51:CU64 CW51:CW64 DB51:DB64 DD51:DD64 DI51:DI64 DK51:DK64 DP51:DP64 DR51:DR64 DW51:DW64 DY51:DY64 ED51:ED64 EF51:EF64 EK51:EK64 EM51:EM64 AX37:AX48 AZ37:AZ48">
    <cfRule type="expression" dxfId="89" priority="748">
      <formula>OR(IF(O5&lt;P5,TRUE),IF(AND(P5="",O5&lt;&gt;""),TRUE))</formula>
    </cfRule>
    <cfRule type="expression" dxfId="88" priority="749">
      <formula>IF(O5&gt;=P5,IF(O5="",FALSE,TRUE))</formula>
    </cfRule>
  </conditionalFormatting>
  <conditionalFormatting sqref="O6">
    <cfRule type="expression" dxfId="87" priority="972">
      <formula>OR(IF(O6&lt;P7,TRUE),IF(AND(P7="",O6&lt;&gt;""),TRUE))</formula>
    </cfRule>
    <cfRule type="expression" dxfId="86" priority="973">
      <formula>IF(O6&gt;=P7,IF(O6="",FALSE,TRUE))</formula>
    </cfRule>
  </conditionalFormatting>
  <conditionalFormatting sqref="O27">
    <cfRule type="expression" dxfId="85" priority="976">
      <formula>OR(IF(O27&lt;P26,TRUE),IF(AND(P26="",O27&lt;&gt;""),TRUE))</formula>
    </cfRule>
    <cfRule type="expression" dxfId="84" priority="977">
      <formula>IF(O27&gt;=P26,IF(O27="",FALSE,TRUE))</formula>
    </cfRule>
  </conditionalFormatting>
  <conditionalFormatting sqref="Q19:Q34">
    <cfRule type="expression" dxfId="83" priority="102">
      <formula>OR(IF(Q19&lt;R19,TRUE),IF(AND(R19="",Q19&lt;&gt;""),TRUE))</formula>
    </cfRule>
    <cfRule type="expression" dxfId="82" priority="103">
      <formula>IF(Q19&gt;=R19,IF(Q19="",FALSE,TRUE))</formula>
    </cfRule>
  </conditionalFormatting>
  <conditionalFormatting sqref="V5:V16">
    <cfRule type="expression" dxfId="81" priority="76">
      <formula>OR(IF(V5&lt;W5,TRUE),IF(AND(W5="",V5&lt;&gt;""),TRUE))</formula>
    </cfRule>
    <cfRule type="expression" dxfId="80" priority="77">
      <formula>IF(V5&gt;=W5,IF(V5="",FALSE,TRUE))</formula>
    </cfRule>
  </conditionalFormatting>
  <conditionalFormatting sqref="V19:V34 X19:X34">
    <cfRule type="expression" dxfId="79" priority="98">
      <formula>OR(IF(V19&lt;W19,TRUE),IF(AND(W19="",V19&lt;&gt;""),TRUE))</formula>
    </cfRule>
    <cfRule type="expression" dxfId="78" priority="99">
      <formula>IF(V19&gt;=W19,IF(V19="",FALSE,TRUE))</formula>
    </cfRule>
  </conditionalFormatting>
  <conditionalFormatting sqref="X5:X16">
    <cfRule type="expression" dxfId="77" priority="74">
      <formula>OR(IF(X5&lt;Y5,TRUE),IF(AND(Y5="",X5&lt;&gt;""),TRUE))</formula>
    </cfRule>
    <cfRule type="expression" dxfId="76" priority="75">
      <formula>IF(X5&gt;=Y5,IF(X5="",FALSE,TRUE))</formula>
    </cfRule>
  </conditionalFormatting>
  <conditionalFormatting sqref="AC19:AC34">
    <cfRule type="expression" dxfId="75" priority="72">
      <formula>OR(IF(AC19&lt;AD19,TRUE),IF(AND(AD19="",AC19&lt;&gt;""),TRUE))</formula>
    </cfRule>
    <cfRule type="expression" dxfId="74" priority="73">
      <formula>IF(AC19&gt;=AD19,IF(AC19="",FALSE,TRUE))</formula>
    </cfRule>
  </conditionalFormatting>
  <conditionalFormatting sqref="AE19:AE34">
    <cfRule type="expression" dxfId="73" priority="70">
      <formula>OR(IF(AE19&lt;AF19,TRUE),IF(AND(AF19="",AE19&lt;&gt;""),TRUE))</formula>
    </cfRule>
    <cfRule type="expression" dxfId="72" priority="71">
      <formula>IF(AE19&gt;=AF19,IF(AE19="",FALSE,TRUE))</formula>
    </cfRule>
  </conditionalFormatting>
  <conditionalFormatting sqref="AJ19:AJ34">
    <cfRule type="expression" dxfId="71" priority="65">
      <formula>OR(IF(AJ19&lt;AK19,TRUE),IF(AND(AK19="",AJ19&lt;&gt;""),TRUE))</formula>
    </cfRule>
    <cfRule type="expression" dxfId="70" priority="66">
      <formula>IF(AJ19&gt;=AK19,IF(AJ19="",FALSE,TRUE))</formula>
    </cfRule>
  </conditionalFormatting>
  <conditionalFormatting sqref="AL19:AL34">
    <cfRule type="expression" dxfId="69" priority="57">
      <formula>OR(IF(AL19&lt;AM19,TRUE),IF(AND(AM19="",AL19&lt;&gt;""),TRUE))</formula>
    </cfRule>
    <cfRule type="expression" dxfId="68" priority="58">
      <formula>IF(AL19&gt;=AM19,IF(AL19="",FALSE,TRUE))</formula>
    </cfRule>
  </conditionalFormatting>
  <conditionalFormatting sqref="AQ5:AQ16">
    <cfRule type="expression" dxfId="67" priority="31">
      <formula>OR(IF(AQ5&lt;AR5,TRUE),IF(AND(AR5="",AQ5&lt;&gt;""),TRUE))</formula>
    </cfRule>
    <cfRule type="expression" dxfId="66" priority="32">
      <formula>IF(AQ5&gt;=AR5,IF(AQ5="",FALSE,TRUE))</formula>
    </cfRule>
  </conditionalFormatting>
  <conditionalFormatting sqref="AQ19:AQ34">
    <cfRule type="expression" dxfId="65" priority="49">
      <formula>OR(IF(AQ19&lt;AR19,TRUE),IF(AND(AR19="",AQ19&lt;&gt;""),TRUE))</formula>
    </cfRule>
    <cfRule type="expression" dxfId="64" priority="50">
      <formula>IF(AQ19&gt;=AR19,IF(AQ19="",FALSE,TRUE))</formula>
    </cfRule>
  </conditionalFormatting>
  <conditionalFormatting sqref="AS5:AS16">
    <cfRule type="expression" dxfId="63" priority="29">
      <formula>OR(IF(AS5&lt;AT5,TRUE),IF(AND(AT5="",AS5&lt;&gt;""),TRUE))</formula>
    </cfRule>
    <cfRule type="expression" dxfId="62" priority="30">
      <formula>IF(AS5&gt;=AT5,IF(AS5="",FALSE,TRUE))</formula>
    </cfRule>
  </conditionalFormatting>
  <conditionalFormatting sqref="AS19:AS34">
    <cfRule type="expression" dxfId="61" priority="35">
      <formula>OR(IF(AS19&lt;AT19,TRUE),IF(AND(AT19="",AS19&lt;&gt;""),TRUE))</formula>
    </cfRule>
    <cfRule type="expression" dxfId="60" priority="36">
      <formula>IF(AS19&gt;=AT19,IF(AS19="",FALSE,TRUE))</formula>
    </cfRule>
  </conditionalFormatting>
  <conditionalFormatting sqref="AX5:AX16">
    <cfRule type="expression" dxfId="59" priority="27">
      <formula>OR(IF(AX5&lt;AY5,TRUE),IF(AND(AY5="",AX5&lt;&gt;""),TRUE))</formula>
    </cfRule>
    <cfRule type="expression" dxfId="58" priority="28">
      <formula>IF(AX5&gt;=AY5,IF(AX5="",FALSE,TRUE))</formula>
    </cfRule>
  </conditionalFormatting>
  <conditionalFormatting sqref="AX19:AX34">
    <cfRule type="expression" dxfId="57" priority="9">
      <formula>OR(IF(AX19&lt;AY19,TRUE),IF(AND(AY19="",AX19&lt;&gt;""),TRUE))</formula>
    </cfRule>
    <cfRule type="expression" dxfId="56" priority="10">
      <formula>IF(AX19&gt;=AY19,IF(AX19="",FALSE,TRUE))</formula>
    </cfRule>
  </conditionalFormatting>
  <conditionalFormatting sqref="AZ5:AZ7 AZ10:AZ16">
    <cfRule type="expression" dxfId="55" priority="5">
      <formula>OR(IF(AZ5&lt;BA5,TRUE),IF(AND(BA5="",AZ5&lt;&gt;""),TRUE))</formula>
    </cfRule>
    <cfRule type="expression" dxfId="54" priority="6">
      <formula>IF(AZ5&gt;=BA5,IF(AZ5="",FALSE,TRUE))</formula>
    </cfRule>
  </conditionalFormatting>
  <conditionalFormatting sqref="AZ19:AZ34">
    <cfRule type="expression" dxfId="53" priority="7">
      <formula>OR(IF(AZ19&lt;BA19,TRUE),IF(AND(BA19="",AZ19&lt;&gt;""),TRUE))</formula>
    </cfRule>
    <cfRule type="expression" dxfId="52" priority="8">
      <formula>IF(AZ19&gt;=BA19,IF(AZ19="",FALSE,TRUE))</formula>
    </cfRule>
  </conditionalFormatting>
  <conditionalFormatting sqref="BE19:BE34 BG19:BG34">
    <cfRule type="expression" dxfId="51" priority="88">
      <formula>OR(IF(BE19&lt;BF19,TRUE),IF(AND(BF19="",BE19&lt;&gt;""),TRUE))</formula>
    </cfRule>
    <cfRule type="expression" dxfId="50" priority="89">
      <formula>IF(BE19&gt;=BF19,IF(BE19="",FALSE,TRUE))</formula>
    </cfRule>
  </conditionalFormatting>
  <conditionalFormatting sqref="BL19:BL34 BN19:BN34">
    <cfRule type="expression" dxfId="49" priority="86">
      <formula>OR(IF(BL19&lt;BM19,TRUE),IF(AND(BM19="",BL19&lt;&gt;""),TRUE))</formula>
    </cfRule>
    <cfRule type="expression" dxfId="48" priority="87">
      <formula>IF(BL19&gt;=BM19,IF(BL19="",FALSE,TRUE))</formula>
    </cfRule>
  </conditionalFormatting>
  <conditionalFormatting sqref="BS19:BS34 BU19:BU34">
    <cfRule type="expression" dxfId="47" priority="84">
      <formula>OR(IF(BS19&lt;BT19,TRUE),IF(AND(BT19="",BS19&lt;&gt;""),TRUE))</formula>
    </cfRule>
    <cfRule type="expression" dxfId="46" priority="85">
      <formula>IF(BS19&gt;=BT19,IF(BS19="",FALSE,TRUE))</formula>
    </cfRule>
  </conditionalFormatting>
  <conditionalFormatting sqref="BZ19:BZ34 CB19:CB34">
    <cfRule type="expression" dxfId="45" priority="82">
      <formula>OR(IF(BZ19&lt;CA19,TRUE),IF(AND(CA19="",BZ19&lt;&gt;""),TRUE))</formula>
    </cfRule>
    <cfRule type="expression" dxfId="44" priority="83">
      <formula>IF(BZ19&gt;=CA19,IF(BZ19="",FALSE,TRUE))</formula>
    </cfRule>
  </conditionalFormatting>
  <conditionalFormatting sqref="CG19:CG34 CI19:CI34">
    <cfRule type="expression" dxfId="43" priority="80">
      <formula>OR(IF(CG19&lt;CH19,TRUE),IF(AND(CH19="",CG19&lt;&gt;""),TRUE))</formula>
    </cfRule>
    <cfRule type="expression" dxfId="42" priority="81">
      <formula>IF(CG19&gt;=CH19,IF(CG19="",FALSE,TRUE))</formula>
    </cfRule>
  </conditionalFormatting>
  <conditionalFormatting sqref="CN19:CN34 CP19:CP34">
    <cfRule type="expression" dxfId="41" priority="78">
      <formula>OR(IF(CN19&lt;CO19,TRUE),IF(AND(CO19="",CN19&lt;&gt;""),TRUE))</formula>
    </cfRule>
    <cfRule type="expression" dxfId="40" priority="79">
      <formula>IF(CN19&gt;=CO19,IF(CN19="",FALSE,TRUE))</formula>
    </cfRule>
  </conditionalFormatting>
  <conditionalFormatting sqref="CU19:CU34 CW19:CW34">
    <cfRule type="expression" dxfId="39" priority="206">
      <formula>OR(IF(CU19&lt;CV19,TRUE),IF(AND(CV19="",CU19&lt;&gt;""),TRUE))</formula>
    </cfRule>
    <cfRule type="expression" dxfId="38" priority="207">
      <formula>IF(CU19&gt;=CV19,IF(CU19="",FALSE,TRUE))</formula>
    </cfRule>
  </conditionalFormatting>
  <conditionalFormatting sqref="DB19:DB34 DD19:DD34">
    <cfRule type="expression" dxfId="37" priority="186">
      <formula>OR(IF(DB19&lt;DC19,TRUE),IF(AND(DC19="",DB19&lt;&gt;""),TRUE))</formula>
    </cfRule>
    <cfRule type="expression" dxfId="36" priority="187">
      <formula>IF(DB19&gt;=DC19,IF(DB19="",FALSE,TRUE))</formula>
    </cfRule>
  </conditionalFormatting>
  <conditionalFormatting sqref="DI5:DI16 DK5:DK16 DI37:DI48 DK37:DK48">
    <cfRule type="expression" dxfId="35" priority="182">
      <formula>OR(IF(DI5&lt;DJ5,TRUE),IF(AND(DJ5="",DI5&lt;&gt;""),TRUE))</formula>
    </cfRule>
    <cfRule type="expression" dxfId="34" priority="183">
      <formula>IF(DI5&gt;=DJ5,IF(DI5="",FALSE,TRUE))</formula>
    </cfRule>
  </conditionalFormatting>
  <conditionalFormatting sqref="DI19:DI34 DK19:DK34">
    <cfRule type="expression" dxfId="33" priority="180">
      <formula>OR(IF(DI19&lt;DJ19,TRUE),IF(AND(DJ19="",DI19&lt;&gt;""),TRUE))</formula>
    </cfRule>
    <cfRule type="expression" dxfId="32" priority="181">
      <formula>IF(DI19&gt;=DJ19,IF(DI19="",FALSE,TRUE))</formula>
    </cfRule>
  </conditionalFormatting>
  <conditionalFormatting sqref="DP5:DP16 DR5:DR16 DP37:DP48 DR37:DR48">
    <cfRule type="expression" dxfId="31" priority="178">
      <formula>OR(IF(DP5&lt;DQ5,TRUE),IF(AND(DQ5="",DP5&lt;&gt;""),TRUE))</formula>
    </cfRule>
    <cfRule type="expression" dxfId="30" priority="179">
      <formula>IF(DP5&gt;=DQ5,IF(DP5="",FALSE,TRUE))</formula>
    </cfRule>
  </conditionalFormatting>
  <conditionalFormatting sqref="DP19:DP34 DR19:DR34">
    <cfRule type="expression" dxfId="29" priority="176">
      <formula>OR(IF(DP19&lt;DQ19,TRUE),IF(AND(DQ19="",DP19&lt;&gt;""),TRUE))</formula>
    </cfRule>
    <cfRule type="expression" dxfId="28" priority="177">
      <formula>IF(DP19&gt;=DQ19,IF(DP19="",FALSE,TRUE))</formula>
    </cfRule>
  </conditionalFormatting>
  <conditionalFormatting sqref="DW5:DW16 DY5:DY16 DW37:DW48 DY37:DY48">
    <cfRule type="expression" dxfId="27" priority="174">
      <formula>OR(IF(DW5&lt;DX5,TRUE),IF(AND(DX5="",DW5&lt;&gt;""),TRUE))</formula>
    </cfRule>
    <cfRule type="expression" dxfId="26" priority="175">
      <formula>IF(DW5&gt;=DX5,IF(DW5="",FALSE,TRUE))</formula>
    </cfRule>
  </conditionalFormatting>
  <conditionalFormatting sqref="DW19:DW34 DY19:DY34">
    <cfRule type="expression" dxfId="25" priority="172">
      <formula>OR(IF(DW19&lt;DX19,TRUE),IF(AND(DX19="",DW19&lt;&gt;""),TRUE))</formula>
    </cfRule>
    <cfRule type="expression" dxfId="24" priority="173">
      <formula>IF(DW19&gt;=DX19,IF(DW19="",FALSE,TRUE))</formula>
    </cfRule>
  </conditionalFormatting>
  <conditionalFormatting sqref="ED5:ED16 EF5:EF16 ED37:ED48 EF37:EF48">
    <cfRule type="expression" dxfId="23" priority="170">
      <formula>OR(IF(ED5&lt;EE5,TRUE),IF(AND(EE5="",ED5&lt;&gt;""),TRUE))</formula>
    </cfRule>
    <cfRule type="expression" dxfId="22" priority="171">
      <formula>IF(ED5&gt;=EE5,IF(ED5="",FALSE,TRUE))</formula>
    </cfRule>
  </conditionalFormatting>
  <conditionalFormatting sqref="ED19:ED34 EF19:EF34">
    <cfRule type="expression" dxfId="21" priority="168">
      <formula>OR(IF(ED19&lt;EE19,TRUE),IF(AND(EE19="",ED19&lt;&gt;""),TRUE))</formula>
    </cfRule>
    <cfRule type="expression" dxfId="20" priority="169">
      <formula>IF(ED19&gt;=EE19,IF(ED19="",FALSE,TRUE))</formula>
    </cfRule>
  </conditionalFormatting>
  <conditionalFormatting sqref="EK5:EK16 EM5:EM16 EK37:EK48 EM37:EM48">
    <cfRule type="expression" dxfId="19" priority="166">
      <formula>OR(IF(EK5&lt;EL5,TRUE),IF(AND(EL5="",EK5&lt;&gt;""),TRUE))</formula>
    </cfRule>
    <cfRule type="expression" dxfId="18" priority="167">
      <formula>IF(EK5&gt;=EL5,IF(EK5="",FALSE,TRUE))</formula>
    </cfRule>
  </conditionalFormatting>
  <conditionalFormatting sqref="EK19:EK34 EM19:EM34">
    <cfRule type="expression" dxfId="17" priority="164">
      <formula>OR(IF(EK19&lt;EL19,TRUE),IF(AND(EL19="",EK19&lt;&gt;""),TRUE))</formula>
    </cfRule>
    <cfRule type="expression" dxfId="16" priority="165">
      <formula>IF(EK19&gt;=EL19,IF(EK19="",FALSE,TRUE))</formula>
    </cfRule>
  </conditionalFormatting>
  <conditionalFormatting sqref="AZ8">
    <cfRule type="expression" dxfId="15" priority="3">
      <formula>OR(IF(AZ8&lt;BA8,TRUE),IF(AND(BA8="",AZ8&lt;&gt;""),TRUE))</formula>
    </cfRule>
    <cfRule type="expression" dxfId="14" priority="4">
      <formula>IF(AZ8&gt;=BA8,IF(AZ8="",FALSE,TRUE))</formula>
    </cfRule>
  </conditionalFormatting>
  <conditionalFormatting sqref="AZ9">
    <cfRule type="expression" dxfId="13" priority="1">
      <formula>OR(IF(AZ9&lt;BA9,TRUE),IF(AND(BA9="",AZ9&lt;&gt;""),TRUE))</formula>
    </cfRule>
    <cfRule type="expression" dxfId="12" priority="2">
      <formula>IF(AZ9&gt;=BA9,IF(AZ9="",FALSE,TRUE))</formula>
    </cfRule>
  </conditionalFormatting>
  <dataValidations count="1">
    <dataValidation type="list" allowBlank="1" showInputMessage="1" showErrorMessage="1" sqref="CG37:CJ48 AJ51:AM64 BS19:BV34 BZ5:CC16 CG19:CJ34 V19:Y34 AJ5:AM16 AQ51:AT64 BE5:BH16 BL37:BO48 BS5:BV16 BZ37:CC48 AC19:AF34 BE19:BH34 AJ19:AM34 BE51:BH64 AC5:AF16 BZ19:CC34 BL19:BO34 BS37:BV48 BL51:BO64 AX51:BA64 AQ19:AT34 V5:Y16 BZ51:CC64 CG5:CJ16 AX19:BA34 AQ37:AT48 EK5:EN16 EK19:EN34 EK37:EN48 P26:R27 V37:Y48 O37:R48 CU5:CX16 CU19:CX34 DB5:DE16 DB19:DE34 DB37:DE48 CG51:CJ64 DI5:DL16 DI19:DL34 DI37:DL48 DP5:DS16 DP19:DS34 DP37:DS48 DW5:DZ16 DW19:DZ34 DW37:DZ48 ED5:EG16 ED19:EG34 ED37:EG48 AQ5:AT16 BE37:BH48 AJ37:AM48 AX5:BA16 ED51:EG64 DW51:DZ64 DP51:DS64 DI51:DL64 CU37:CX48 DB51:DE64 EK51:EN64 AC37:AF48 AC51:AF64 BS51:BV64 CU51:CX64 V51:Y64 O51:R64 BL5:BO16 CN19:CQ34 CN5:CQ16 CN37:CQ48 CN51:CQ64 O5:R16 O27 O19:R25 O28:R34 AX37:BA4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9"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9" zoomScale="117" workbookViewId="0">
      <selection activeCell="E18" sqref="E18"/>
    </sheetView>
  </sheetViews>
  <sheetFormatPr baseColWidth="10" defaultColWidth="10.6640625" defaultRowHeight="16" x14ac:dyDescent="0.2"/>
  <cols>
    <col min="5" max="6" width="15.1640625" bestFit="1" customWidth="1"/>
  </cols>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c r="E14" s="22" t="s">
        <v>169</v>
      </c>
    </row>
    <row r="15" spans="1:8" x14ac:dyDescent="0.2">
      <c r="A15" s="8">
        <v>0.375</v>
      </c>
      <c r="E15" s="22" t="s">
        <v>169</v>
      </c>
    </row>
    <row r="16" spans="1:8" x14ac:dyDescent="0.2">
      <c r="A16" s="8">
        <v>0.39583333333333398</v>
      </c>
      <c r="E16" s="22" t="s">
        <v>169</v>
      </c>
    </row>
    <row r="17" spans="1:6" x14ac:dyDescent="0.2">
      <c r="A17" s="8">
        <v>0.41666666666666702</v>
      </c>
      <c r="E17" s="22" t="s">
        <v>169</v>
      </c>
      <c r="F17" s="23" t="s">
        <v>171</v>
      </c>
    </row>
    <row r="18" spans="1:6" x14ac:dyDescent="0.2">
      <c r="A18" s="8">
        <v>0.4375</v>
      </c>
      <c r="F18" s="23" t="s">
        <v>171</v>
      </c>
    </row>
    <row r="19" spans="1:6" x14ac:dyDescent="0.2">
      <c r="A19" s="8">
        <v>0.45833333333333398</v>
      </c>
      <c r="F19" s="23" t="s">
        <v>171</v>
      </c>
    </row>
    <row r="20" spans="1:6" x14ac:dyDescent="0.2">
      <c r="A20" s="8">
        <v>0.47916666666666702</v>
      </c>
      <c r="F20" s="23" t="s">
        <v>171</v>
      </c>
    </row>
    <row r="21" spans="1:6" x14ac:dyDescent="0.2">
      <c r="A21" s="8">
        <v>0.5</v>
      </c>
      <c r="E21" s="13" t="s">
        <v>170</v>
      </c>
      <c r="F21" s="23" t="s">
        <v>171</v>
      </c>
    </row>
    <row r="22" spans="1:6" x14ac:dyDescent="0.2">
      <c r="A22" s="8">
        <v>0.52083333333333404</v>
      </c>
      <c r="E22" s="13" t="s">
        <v>170</v>
      </c>
      <c r="F22" s="13" t="s">
        <v>168</v>
      </c>
    </row>
    <row r="23" spans="1:6" x14ac:dyDescent="0.2">
      <c r="A23" s="8">
        <v>0.54166666666666696</v>
      </c>
      <c r="F23" s="13" t="s">
        <v>168</v>
      </c>
    </row>
    <row r="24" spans="1:6" x14ac:dyDescent="0.2">
      <c r="A24" s="8">
        <v>0.5625</v>
      </c>
      <c r="F24" s="13" t="s">
        <v>168</v>
      </c>
    </row>
    <row r="25" spans="1:6" x14ac:dyDescent="0.2">
      <c r="A25" s="8">
        <v>0.58333333333333404</v>
      </c>
      <c r="E25" s="13" t="s">
        <v>168</v>
      </c>
      <c r="F25" s="13" t="s">
        <v>168</v>
      </c>
    </row>
    <row r="26" spans="1:6" x14ac:dyDescent="0.2">
      <c r="A26" s="8">
        <v>0.60416666666666696</v>
      </c>
      <c r="E26" s="13" t="s">
        <v>168</v>
      </c>
      <c r="F26" s="13" t="s">
        <v>168</v>
      </c>
    </row>
    <row r="27" spans="1:6" x14ac:dyDescent="0.2">
      <c r="A27" s="8">
        <v>0.625000000000001</v>
      </c>
      <c r="E27" s="13" t="s">
        <v>168</v>
      </c>
    </row>
    <row r="28" spans="1:6" x14ac:dyDescent="0.2">
      <c r="A28" s="8">
        <v>0.64583333333333404</v>
      </c>
      <c r="E28" s="13" t="s">
        <v>168</v>
      </c>
      <c r="F28" s="13" t="s">
        <v>170</v>
      </c>
    </row>
    <row r="29" spans="1:6" x14ac:dyDescent="0.2">
      <c r="A29" s="8">
        <v>0.66666666666666696</v>
      </c>
      <c r="E29" s="13" t="s">
        <v>168</v>
      </c>
      <c r="F29" s="13" t="s">
        <v>170</v>
      </c>
    </row>
    <row r="30" spans="1:6" x14ac:dyDescent="0.2">
      <c r="A30" s="8">
        <v>0.687500000000001</v>
      </c>
    </row>
    <row r="31" spans="1:6" x14ac:dyDescent="0.2">
      <c r="A31" s="8">
        <v>0.70833333333333404</v>
      </c>
      <c r="E31" s="13" t="s">
        <v>170</v>
      </c>
      <c r="F31" s="23" t="s">
        <v>171</v>
      </c>
    </row>
    <row r="32" spans="1:6" x14ac:dyDescent="0.2">
      <c r="A32" s="8">
        <v>0.72916666666666696</v>
      </c>
      <c r="E32" s="13" t="s">
        <v>170</v>
      </c>
      <c r="F32" s="23" t="s">
        <v>171</v>
      </c>
    </row>
    <row r="33" spans="1:6" x14ac:dyDescent="0.2">
      <c r="A33" s="8">
        <v>0.750000000000001</v>
      </c>
      <c r="F33" s="23" t="s">
        <v>171</v>
      </c>
    </row>
    <row r="34" spans="1:6" x14ac:dyDescent="0.2">
      <c r="A34" s="8">
        <v>0.77083333333333404</v>
      </c>
      <c r="F34" s="23" t="s">
        <v>171</v>
      </c>
    </row>
    <row r="35" spans="1:6" x14ac:dyDescent="0.2">
      <c r="A35" s="8">
        <v>0.79166666666666696</v>
      </c>
    </row>
    <row r="36" spans="1:6" x14ac:dyDescent="0.2">
      <c r="A36" s="8">
        <v>0.812500000000001</v>
      </c>
    </row>
    <row r="37" spans="1:6" x14ac:dyDescent="0.2">
      <c r="A37" s="8">
        <v>0.83333333333333404</v>
      </c>
    </row>
    <row r="38" spans="1:6" x14ac:dyDescent="0.2">
      <c r="A38" s="8">
        <v>0.85416666666666696</v>
      </c>
    </row>
    <row r="39" spans="1:6" x14ac:dyDescent="0.2">
      <c r="A39" s="8">
        <v>0.875000000000001</v>
      </c>
    </row>
    <row r="40" spans="1:6" x14ac:dyDescent="0.2">
      <c r="A40" s="8">
        <v>0.89583333333333404</v>
      </c>
    </row>
    <row r="41" spans="1:6" x14ac:dyDescent="0.2">
      <c r="A41" s="8">
        <v>0.91666666666666696</v>
      </c>
    </row>
    <row r="42" spans="1:6" x14ac:dyDescent="0.2">
      <c r="A42" s="8">
        <v>0.937500000000001</v>
      </c>
    </row>
    <row r="43" spans="1:6" x14ac:dyDescent="0.2">
      <c r="A43" s="8">
        <v>0.95833333333333404</v>
      </c>
    </row>
    <row r="44" spans="1:6" x14ac:dyDescent="0.2">
      <c r="A44" s="8">
        <v>0.97916666666666696</v>
      </c>
    </row>
    <row r="45" spans="1:6" x14ac:dyDescent="0.2">
      <c r="A45" s="8">
        <v>1</v>
      </c>
    </row>
    <row r="46" spans="1:6" x14ac:dyDescent="0.2">
      <c r="A46" s="8">
        <v>1.0208333333333299</v>
      </c>
    </row>
    <row r="47" spans="1:6"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F20" sqref="F20"/>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Witt Richard</cp:lastModifiedBy>
  <dcterms:created xsi:type="dcterms:W3CDTF">2020-04-19T13:33:28Z</dcterms:created>
  <dcterms:modified xsi:type="dcterms:W3CDTF">2024-11-20T16:30:14Z</dcterms:modified>
</cp:coreProperties>
</file>