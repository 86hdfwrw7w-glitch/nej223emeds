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tephan\Downloads\"/>
    </mc:Choice>
  </mc:AlternateContent>
  <xr:revisionPtr revIDLastSave="0" documentId="13_ncr:1_{E5E4550F-C8F4-4088-8A19-B0F386894598}" xr6:coauthVersionLast="47" xr6:coauthVersionMax="47" xr10:uidLastSave="{00000000-0000-0000-0000-000000000000}"/>
  <bookViews>
    <workbookView xWindow="828" yWindow="-108" windowWidth="22320" windowHeight="13176"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9" i="7" l="1"/>
  <c r="N4" i="7"/>
  <c r="K39" i="7" a="1"/>
  <c r="K39" i="7" s="1"/>
  <c r="J39" i="7" a="1"/>
  <c r="J39" i="7" s="1"/>
  <c r="K10" i="7" a="1"/>
  <c r="K10" i="7" s="1"/>
  <c r="K11" i="7" a="1"/>
  <c r="K11" i="7" s="1"/>
  <c r="K12" i="7" a="1"/>
  <c r="K12" i="7" s="1"/>
  <c r="K13" i="7" a="1"/>
  <c r="K13" i="7" s="1"/>
  <c r="K14" i="7" a="1"/>
  <c r="K14" i="7" s="1"/>
  <c r="K15" i="7" a="1"/>
  <c r="K15" i="7" s="1"/>
  <c r="J15" i="7" a="1"/>
  <c r="J15" i="7" s="1"/>
  <c r="J6" i="7" a="1"/>
  <c r="J6" i="7" s="1"/>
  <c r="J7" i="7" a="1"/>
  <c r="J7" i="7" s="1"/>
  <c r="J8" i="7" a="1"/>
  <c r="J8" i="7" s="1"/>
  <c r="J9" i="7" a="1"/>
  <c r="J9" i="7" s="1"/>
  <c r="J10" i="7" a="1"/>
  <c r="J10" i="7" s="1"/>
  <c r="J11" i="7" a="1"/>
  <c r="J11" i="7" s="1"/>
  <c r="J12" i="7" a="1"/>
  <c r="J12" i="7" s="1"/>
  <c r="J13" i="7" a="1"/>
  <c r="J13" i="7" s="1"/>
  <c r="J14" i="7" a="1"/>
  <c r="J14" i="7" s="1"/>
  <c r="J5" i="7" a="1"/>
  <c r="J5" i="7" s="1"/>
  <c r="G17" i="7"/>
  <c r="C11" i="10"/>
  <c r="C7" i="10"/>
  <c r="K9" i="7" a="1"/>
  <c r="K9" i="7" s="1"/>
  <c r="BK4" i="7"/>
  <c r="BD4" i="7"/>
  <c r="AW4" i="7"/>
  <c r="AP4" i="7"/>
  <c r="AI4" i="7"/>
  <c r="AB4" i="7"/>
  <c r="K20" i="7" a="1"/>
  <c r="K20" i="7" s="1"/>
  <c r="J20" i="7" a="1"/>
  <c r="J20" i="7" s="1"/>
  <c r="I20" i="7"/>
  <c r="K19" i="7" a="1"/>
  <c r="K19" i="7" s="1"/>
  <c r="J19" i="7" a="1"/>
  <c r="J19" i="7" s="1"/>
  <c r="I19"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G41" i="7"/>
  <c r="U4" i="7"/>
  <c r="C12" i="10"/>
  <c r="K25" i="7" a="1"/>
  <c r="K25" i="7" s="1"/>
  <c r="J25" i="7" a="1"/>
  <c r="J25" i="7" s="1"/>
  <c r="K24" i="7" a="1"/>
  <c r="K24" i="7" s="1"/>
  <c r="J24" i="7" a="1"/>
  <c r="J24" i="7" s="1"/>
  <c r="K23" i="7" a="1"/>
  <c r="K23" i="7" s="1"/>
  <c r="J23" i="7" a="1"/>
  <c r="J23" i="7" s="1"/>
  <c r="K22" i="7" a="1"/>
  <c r="K22" i="7" s="1"/>
  <c r="J22" i="7" a="1"/>
  <c r="J22" i="7" s="1"/>
  <c r="K21" i="7" a="1"/>
  <c r="K21" i="7" s="1"/>
  <c r="J21" i="7" a="1"/>
  <c r="J21" i="7" s="1"/>
  <c r="K18" i="7" a="1"/>
  <c r="K18" i="7" s="1"/>
  <c r="J18" i="7" a="1"/>
  <c r="J18"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8" i="7" a="1"/>
  <c r="K8" i="7" s="1"/>
  <c r="K7" i="7" a="1"/>
  <c r="K7" i="7" s="1"/>
  <c r="K6" i="7" a="1"/>
  <c r="K6" i="7" s="1"/>
  <c r="K5" i="7" a="1"/>
  <c r="K5" i="7" s="1"/>
  <c r="I38" i="7"/>
  <c r="I37" i="7"/>
  <c r="I36" i="7"/>
  <c r="I35" i="7"/>
  <c r="I34" i="7"/>
  <c r="I33" i="7"/>
  <c r="I32" i="7"/>
  <c r="I31" i="7"/>
  <c r="I30" i="7"/>
  <c r="I29" i="7"/>
  <c r="I28" i="7"/>
  <c r="I25" i="7"/>
  <c r="I24" i="7"/>
  <c r="I23" i="7"/>
  <c r="I22" i="7"/>
  <c r="I21" i="7"/>
  <c r="I18" i="7"/>
  <c r="I6" i="7"/>
  <c r="I7" i="7"/>
  <c r="I8" i="7"/>
  <c r="I9" i="7"/>
  <c r="I5" i="7"/>
  <c r="G27" i="7"/>
  <c r="I41" i="7" l="1"/>
  <c r="K41" i="7"/>
  <c r="J41" i="7"/>
  <c r="I27" i="7"/>
  <c r="J27" i="7"/>
  <c r="K27"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<sst xmlns="http://schemas.openxmlformats.org/spreadsheetml/2006/main" count="292" uniqueCount="141">
  <si>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</si>
  <si>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</si>
  <si>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</si>
  <si>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</si>
  <si>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</si>
  <si>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</si>
  <si>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</si>
  <si>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</si>
  <si>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</si>
  <si>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</si>
  <si>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</si>
  <si>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</si>
  <si>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</si>
  <si>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</si>
  <si>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</si>
  <si>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</si>
  <si>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</si>
  <si>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</si>
  <si>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</si>
  <si>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</si>
  <si>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</si>
  <si>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</si>
  <si>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</si>
  <si>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</si>
  <si>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</si>
  <si>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</si>
  <si>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</si>
  <si>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</si>
  <si>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</si>
  <si>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</si>
  <si>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</si>
  <si>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</si>
  <si>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</si>
  <si>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</si>
  <si>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</si>
  <si>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</si>
  <si>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</si>
  <si>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</si>
  <si>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</si>
  <si>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</si>
  <si>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</si>
  <si>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</si>
  <si>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</si>
  <si>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</si>
  <si>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</si>
  <si>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</si>
  <si>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</si>
  <si>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</si>
  <si>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</si>
  <si>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</si>
  <si>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</si>
  <si>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</si>
  <si>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</si>
  <si>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</si>
  <si>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</si>
  <si>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</si>
  <si>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</si>
  <si>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</si>
  <si>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</si>
  <si>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</si>
  <si>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</si>
  <si>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</si>
  <si>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</si>
  <si>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</si>
  <si>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</si>
  <si>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</si>
  <si>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</si>
  <si>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</si>
  <si>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</si>
  <si>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</si>
  <si>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</si>
  <si>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</si>
  <si>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</si>
  <si>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</si>
  <si>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</si>
  <si>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</si>
  <si>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</si>
  <si>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</si>
  <si>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</si>
  <si>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</si>
  <si>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</si>
  <si>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</si>
  <si>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</si>
  <si>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</si>
  <si>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</si>
  <si>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</si>
  <si>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</si>
  <si>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</si>
  <si>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</si>
  <si>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</si>
  <si>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</si>
  <si>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</si>
  <si>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Mathe</t>
  </si>
  <si>
    <t>1) Mengen</t>
  </si>
  <si>
    <t>2) Abbildungen</t>
  </si>
  <si>
    <t>3) Vektorräume</t>
  </si>
  <si>
    <t>4) Matrizen</t>
  </si>
  <si>
    <t>5) Lineare Abbildungen</t>
  </si>
  <si>
    <t>6) Lineare Gleichungssysteme</t>
  </si>
  <si>
    <t>7) Determinanten</t>
  </si>
  <si>
    <t>8) Normen und Skalarprodukte</t>
  </si>
  <si>
    <t>9) Eigenwerte und Eigenvektoren</t>
  </si>
  <si>
    <t>10) Anwendungen</t>
  </si>
  <si>
    <t>11) Zentralitätsmasse</t>
  </si>
  <si>
    <t>BWL</t>
  </si>
  <si>
    <t>2) Untersuchungsobjekte</t>
  </si>
  <si>
    <t>3) Grundbegriffe</t>
  </si>
  <si>
    <t>4) Grundlagen der Entscheidungstheorie</t>
  </si>
  <si>
    <t>5) Erfassen, Abbilden und Steuern von Unternehmen</t>
  </si>
  <si>
    <t>6)Entstehung von Unternehmen</t>
  </si>
  <si>
    <t>7) Zielorientierte Führung von Unternehmen</t>
  </si>
  <si>
    <t>8) Einzelwirtschaftliche Optimierung</t>
  </si>
  <si>
    <t>Datenbanken</t>
  </si>
  <si>
    <t>1) SELECT</t>
  </si>
  <si>
    <t>2) FROM</t>
  </si>
  <si>
    <t>3) GROUP BY</t>
  </si>
  <si>
    <t>5) Union, EXCEPT And INTERSECT</t>
  </si>
  <si>
    <t>6) Verbund (join)</t>
  </si>
  <si>
    <t>7) äußerer Verbund (Outer Join)</t>
  </si>
  <si>
    <t>8) Order by</t>
  </si>
  <si>
    <t>9) UPDATE</t>
  </si>
  <si>
    <t>10) CREATE TABLE</t>
  </si>
  <si>
    <t>11) SICHTEN (VIEWS)</t>
  </si>
  <si>
    <t>12) TRIGGER</t>
  </si>
  <si>
    <t>13) Entity-Relationship-Modell</t>
  </si>
  <si>
    <t>Softwaretechnik</t>
  </si>
  <si>
    <t>1) Definition Softwaretechnik</t>
  </si>
  <si>
    <t>2) Warum?</t>
  </si>
  <si>
    <t>3) Wo?</t>
  </si>
  <si>
    <t>4) Wie?</t>
  </si>
  <si>
    <t>5)Wer?</t>
  </si>
  <si>
    <t>6) Wann?</t>
  </si>
  <si>
    <t>7) Was?</t>
  </si>
  <si>
    <t>8) Womit?</t>
  </si>
  <si>
    <t>9) Requirements Engineering</t>
  </si>
  <si>
    <t>10) CASE</t>
  </si>
  <si>
    <t>11) UML</t>
  </si>
  <si>
    <t>12) Beziehungen</t>
  </si>
  <si>
    <t>13) Von UML zu Java</t>
  </si>
  <si>
    <t>Klausur Mathe</t>
  </si>
  <si>
    <t>kw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</si>
</sst>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5" fillId="7" borderId="0" xfId="0" applyNumberFormat="1" applyFont="1" applyFill="1"/>
    <xf numFmtId="9" fontId="0" fillId="7" borderId="0" xfId="0" applyNumberFormat="1" applyFill="1"/>
    <xf numFmtId="9" fontId="0" fillId="8" borderId="0" xfId="0" applyNumberFormat="1" applyFill="1"/>
    <xf numFmtId="0" fontId="1" fillId="2" borderId="0" xfId="0" applyFont="1" applyFill="1" applyAlignment="1">
      <alignment horizontal="center"/>
    </xf>
  </cellXfs>
  <cellStyles count="1">
    <cellStyle name="Standard" xfId="0" builtinId="0"/>
  </cellStyles>
  <dxfs count="177">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76">
  <autoFilter ref="A1:K46" xr:uid="{6E266E34-2786-2747-BCE7-51B74867A564}"/>
  <tableColumns count="11">
    <tableColumn id="1" xr3:uid="{95FD92F7-3DC8-704D-A103-A7EDDAB255AB}" name="Datum" dataDxfId="175"/>
    <tableColumn id="2" xr3:uid="{F464D510-8166-E740-A343-FB84BDEF877F}" name="Lerneinheiten durchgezogen" dataDxfId="174"/>
    <tableColumn id="3" xr3:uid="{75F52B08-1A00-0848-BBE6-1EDF7B31B1AD}" name="Tagesplan erstellt" dataDxfId="173"/>
    <tableColumn id="4" xr3:uid="{E6B18D89-E799-AD48-9DAA-37AEE1D29011}" name="Konzentrationslevel" dataDxfId="17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5.6"/>
  <cols>
    <col min="1" max="1" width="11.796875" customWidth="1"/>
    <col min="2" max="2" width="62.69921875" customWidth="1"/>
  </cols>
  <sheetData>
    <row r="2" spans="1:4">
      <c r="C2" s="18" t="s">
        <v>74</v>
      </c>
    </row>
    <row r="3" spans="1:4">
      <c r="C3" s="17" t="s">
        <v>59</v>
      </c>
    </row>
    <row r="4" spans="1:4">
      <c r="C4" s="16" t="s">
        <v>73</v>
      </c>
    </row>
    <row r="5" spans="1:4">
      <c r="A5" s="2" t="s">
        <v>56</v>
      </c>
      <c r="B5" s="2" t="s">
        <v>57</v>
      </c>
      <c r="C5" s="2" t="s">
        <v>58</v>
      </c>
      <c r="D5" s="2" t="s">
        <v>60</v>
      </c>
    </row>
    <row r="6" spans="1:4">
      <c r="A6" t="s">
        <v>52</v>
      </c>
      <c r="B6" s="18" t="s">
        <v>55</v>
      </c>
      <c r="D6" t="s">
        <v>89</v>
      </c>
    </row>
    <row r="7" spans="1:4">
      <c r="A7" t="s">
        <v>63</v>
      </c>
      <c r="B7" t="s">
        <v>64</v>
      </c>
      <c r="C7" s="16">
        <f>13+13+8+11</f>
        <v>45</v>
      </c>
    </row>
    <row r="8" spans="1:4">
      <c r="A8" t="s">
        <v>54</v>
      </c>
      <c r="B8" s="18" t="s">
        <v>53</v>
      </c>
      <c r="D8" t="s">
        <v>77</v>
      </c>
    </row>
    <row r="9" spans="1:4">
      <c r="A9" t="s">
        <v>62</v>
      </c>
      <c r="B9" s="18" t="s">
        <v>75</v>
      </c>
      <c r="D9" t="s">
        <v>78</v>
      </c>
    </row>
    <row r="10" spans="1:4">
      <c r="A10" t="s">
        <v>66</v>
      </c>
      <c r="B10" t="s">
        <v>65</v>
      </c>
      <c r="C10" s="16">
        <v>6</v>
      </c>
      <c r="D10" t="s">
        <v>61</v>
      </c>
    </row>
    <row r="11" spans="1:4">
      <c r="A11" t="s">
        <v>67</v>
      </c>
      <c r="B11" t="s">
        <v>69</v>
      </c>
      <c r="C11" s="16">
        <f>42*3</f>
        <v>126</v>
      </c>
      <c r="D11" t="s">
        <v>68</v>
      </c>
    </row>
    <row r="12" spans="1:4">
      <c r="A12" t="s">
        <v>71</v>
      </c>
      <c r="B12" t="s">
        <v>70</v>
      </c>
      <c r="C12" s="17">
        <f>C11/C10</f>
        <v>21</v>
      </c>
    </row>
    <row r="13" spans="1:4">
      <c r="A13" t="s">
        <v>76</v>
      </c>
      <c r="B13" t="s">
        <v>72</v>
      </c>
      <c r="D13" t="s">
        <v>79</v>
      </c>
    </row>
    <row r="14" spans="1:4">
      <c r="A14" t="s">
        <v>80</v>
      </c>
      <c r="B14" t="s">
        <v>81</v>
      </c>
      <c r="D14" t="s">
        <v>82</v>
      </c>
    </row>
    <row r="15" spans="1:4">
      <c r="A15" t="s">
        <v>83</v>
      </c>
      <c r="B15" s="18" t="s">
        <v>84</v>
      </c>
    </row>
    <row r="16" spans="1:4">
      <c r="A16" t="s">
        <v>87</v>
      </c>
      <c r="B16" s="18"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54"/>
  <sheetViews>
    <sheetView showGridLines="0" tabSelected="1" zoomScale="75" zoomScaleNormal="83" workbookViewId="0">
      <pane xSplit="12" topLeftCell="O1" activePane="topRight" state="frozen"/>
      <selection pane="topRight" activeCell="O27" sqref="O27"/>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s>
  <sheetData>
    <row r="1" spans="2:68" ht="33.6">
      <c r="B1" s="4" t="s">
        <v>0</v>
      </c>
      <c r="D1" s="4"/>
      <c r="G1" s="13" t="s">
        <v>35</v>
      </c>
      <c r="I1" s="13" t="s">
        <v>35</v>
      </c>
      <c r="J1" s="13" t="s">
        <v>35</v>
      </c>
      <c r="K1" s="13" t="s">
        <v>35</v>
      </c>
    </row>
    <row r="2" spans="2:68">
      <c r="I2" s="23" t="s">
        <v>28</v>
      </c>
      <c r="J2" s="23"/>
      <c r="K2" s="23"/>
      <c r="L2" s="23"/>
      <c r="N2" s="23" t="s">
        <v>40</v>
      </c>
      <c r="O2" s="23"/>
      <c r="P2" s="23"/>
      <c r="Q2" s="23"/>
      <c r="R2" s="23"/>
      <c r="S2" s="23"/>
      <c r="U2" s="23" t="s">
        <v>90</v>
      </c>
      <c r="V2" s="23"/>
      <c r="W2" s="23"/>
      <c r="X2" s="23"/>
      <c r="Y2" s="23"/>
      <c r="Z2" s="23"/>
      <c r="AB2" s="23" t="s">
        <v>140</v>
      </c>
      <c r="AC2" s="23"/>
      <c r="AD2" s="23"/>
      <c r="AE2" s="23"/>
      <c r="AF2" s="23"/>
      <c r="AG2" s="23"/>
      <c r="AI2" s="23" t="s">
        <v>139</v>
      </c>
      <c r="AJ2" s="23"/>
      <c r="AK2" s="23"/>
      <c r="AL2" s="23"/>
      <c r="AM2" s="23"/>
      <c r="AN2" s="23"/>
      <c r="AP2" s="23" t="s">
        <v>90</v>
      </c>
      <c r="AQ2" s="23"/>
      <c r="AR2" s="23"/>
      <c r="AS2" s="23"/>
      <c r="AT2" s="23"/>
      <c r="AU2" s="23"/>
      <c r="AW2" s="23" t="s">
        <v>90</v>
      </c>
      <c r="AX2" s="23"/>
      <c r="AY2" s="23"/>
      <c r="AZ2" s="23"/>
      <c r="BA2" s="23"/>
      <c r="BB2" s="23"/>
      <c r="BD2" s="23" t="s">
        <v>90</v>
      </c>
      <c r="BE2" s="23"/>
      <c r="BF2" s="23"/>
      <c r="BG2" s="23"/>
      <c r="BH2" s="23"/>
      <c r="BI2" s="23"/>
      <c r="BK2" s="23" t="s">
        <v>91</v>
      </c>
      <c r="BL2" s="23"/>
      <c r="BM2" s="23"/>
      <c r="BN2" s="23"/>
      <c r="BO2" s="23"/>
      <c r="BP2" s="23"/>
    </row>
    <row r="3" spans="2:68">
      <c r="B3" s="5" t="s">
        <v>27</v>
      </c>
      <c r="C3" s="5" t="s">
        <v>1</v>
      </c>
      <c r="D3" s="5" t="s">
        <v>25</v>
      </c>
      <c r="E3" s="6" t="s">
        <v>32</v>
      </c>
      <c r="F3" s="5" t="s">
        <v>30</v>
      </c>
      <c r="G3" s="5" t="s">
        <v>33</v>
      </c>
      <c r="I3" s="6" t="s">
        <v>12</v>
      </c>
      <c r="J3" s="6" t="s">
        <v>3</v>
      </c>
      <c r="K3" s="6" t="s">
        <v>4</v>
      </c>
      <c r="L3" s="6" t="s">
        <v>13</v>
      </c>
      <c r="N3" s="5" t="s">
        <v>12</v>
      </c>
      <c r="O3" s="5" t="s">
        <v>3</v>
      </c>
      <c r="P3" s="5" t="s">
        <v>34</v>
      </c>
      <c r="Q3" s="5" t="s">
        <v>4</v>
      </c>
      <c r="R3" s="5" t="s">
        <v>34</v>
      </c>
      <c r="S3" s="5" t="s">
        <v>13</v>
      </c>
      <c r="U3" s="5" t="s">
        <v>12</v>
      </c>
      <c r="V3" s="5" t="s">
        <v>3</v>
      </c>
      <c r="W3" s="5" t="s">
        <v>34</v>
      </c>
      <c r="X3" s="5" t="s">
        <v>4</v>
      </c>
      <c r="Y3" s="5" t="s">
        <v>34</v>
      </c>
      <c r="Z3" s="5" t="s">
        <v>13</v>
      </c>
      <c r="AB3" s="5" t="s">
        <v>12</v>
      </c>
      <c r="AC3" s="5" t="s">
        <v>3</v>
      </c>
      <c r="AD3" s="5" t="s">
        <v>34</v>
      </c>
      <c r="AE3" s="5" t="s">
        <v>4</v>
      </c>
      <c r="AF3" s="5" t="s">
        <v>34</v>
      </c>
      <c r="AG3" s="5" t="s">
        <v>13</v>
      </c>
      <c r="AI3" s="5" t="s">
        <v>12</v>
      </c>
      <c r="AJ3" s="5" t="s">
        <v>3</v>
      </c>
      <c r="AK3" s="5" t="s">
        <v>34</v>
      </c>
      <c r="AL3" s="5" t="s">
        <v>4</v>
      </c>
      <c r="AM3" s="5" t="s">
        <v>34</v>
      </c>
      <c r="AN3" s="5" t="s">
        <v>13</v>
      </c>
      <c r="AP3" s="5" t="s">
        <v>12</v>
      </c>
      <c r="AQ3" s="5" t="s">
        <v>3</v>
      </c>
      <c r="AR3" s="5" t="s">
        <v>34</v>
      </c>
      <c r="AS3" s="5" t="s">
        <v>4</v>
      </c>
      <c r="AT3" s="5" t="s">
        <v>34</v>
      </c>
      <c r="AU3" s="5" t="s">
        <v>13</v>
      </c>
      <c r="AW3" s="5" t="s">
        <v>12</v>
      </c>
      <c r="AX3" s="5" t="s">
        <v>3</v>
      </c>
      <c r="AY3" s="5" t="s">
        <v>34</v>
      </c>
      <c r="AZ3" s="5" t="s">
        <v>4</v>
      </c>
      <c r="BA3" s="5" t="s">
        <v>34</v>
      </c>
      <c r="BB3" s="5" t="s">
        <v>13</v>
      </c>
      <c r="BD3" s="5" t="s">
        <v>12</v>
      </c>
      <c r="BE3" s="5" t="s">
        <v>3</v>
      </c>
      <c r="BF3" s="5" t="s">
        <v>34</v>
      </c>
      <c r="BG3" s="5" t="s">
        <v>4</v>
      </c>
      <c r="BH3" s="5" t="s">
        <v>34</v>
      </c>
      <c r="BI3" s="5" t="s">
        <v>13</v>
      </c>
      <c r="BK3" s="5" t="s">
        <v>12</v>
      </c>
      <c r="BL3" s="5" t="s">
        <v>3</v>
      </c>
      <c r="BM3" s="5" t="s">
        <v>34</v>
      </c>
      <c r="BN3" s="5" t="s">
        <v>4</v>
      </c>
      <c r="BO3" s="5" t="s">
        <v>34</v>
      </c>
      <c r="BP3" s="5" t="s">
        <v>13</v>
      </c>
    </row>
    <row r="4" spans="2:68">
      <c r="B4" t="s">
        <v>28</v>
      </c>
      <c r="C4" t="s">
        <v>92</v>
      </c>
      <c r="D4" s="19">
        <v>45113</v>
      </c>
      <c r="E4" s="9">
        <v>5</v>
      </c>
      <c r="G4" s="10">
        <v>0.5</v>
      </c>
      <c r="I4" s="12">
        <f>+SUM(I5:I15)</f>
        <v>0</v>
      </c>
      <c r="J4" s="11">
        <f>+SUMPRODUCT(G5:G15,J5:J15)</f>
        <v>0.3</v>
      </c>
      <c r="K4" s="11">
        <f>+SUMPRODUCT(G5:G15,K5:K15)</f>
        <v>0.3</v>
      </c>
      <c r="L4" s="9"/>
      <c r="N4" s="12">
        <f>+SUM(N5:N15)</f>
        <v>0</v>
      </c>
      <c r="U4" s="12">
        <f>+SUM(U5:U15)</f>
        <v>0</v>
      </c>
      <c r="AB4" s="12">
        <f>+SUM(AB5:AB15)</f>
        <v>0</v>
      </c>
      <c r="AI4" s="12">
        <f>+SUM(AI5:AI15)</f>
        <v>0</v>
      </c>
      <c r="AP4" s="12">
        <f>+SUM(AP5:AP15)</f>
        <v>0</v>
      </c>
      <c r="AW4" s="12">
        <f>+SUM(AW5:AW15)</f>
        <v>0</v>
      </c>
      <c r="BD4" s="12">
        <f>+SUM(BD5:BD15)</f>
        <v>0</v>
      </c>
      <c r="BK4" s="12">
        <f>+SUM(BK5:BK15)</f>
        <v>0</v>
      </c>
    </row>
    <row r="5" spans="2:68" outlineLevel="1">
      <c r="B5" t="s">
        <v>29</v>
      </c>
      <c r="C5" t="s">
        <v>92</v>
      </c>
      <c r="E5" s="9"/>
      <c r="F5" t="s">
        <v>93</v>
      </c>
      <c r="G5" s="10">
        <v>0.1</v>
      </c>
      <c r="I5" s="9">
        <f>+SUMIF($M$3:$YJ$3,I$3,$M5:$YJ5)</f>
        <v>0</v>
      </c>
      <c r="J5" s="11" cm="1">
        <f t="array" ref="J5">MAX(IF($M$3:$CR$3=$J$3,M5:CR5))</f>
        <v>1</v>
      </c>
      <c r="K5" s="11" cm="1">
        <f t="array" ref="K5">MAX(IF($M$3:$CR$3=$J$3,M5:CR5))</f>
        <v>1</v>
      </c>
      <c r="L5" s="9"/>
      <c r="O5" s="10">
        <v>1</v>
      </c>
      <c r="P5" s="10"/>
      <c r="Q5" s="10">
        <v>1</v>
      </c>
      <c r="R5" s="10"/>
      <c r="V5" s="10"/>
      <c r="W5" s="10"/>
      <c r="X5" s="10"/>
      <c r="Y5" s="10"/>
      <c r="AC5" s="10"/>
      <c r="AD5" s="10">
        <v>1</v>
      </c>
      <c r="AE5" s="10"/>
      <c r="AF5" s="10">
        <v>1</v>
      </c>
      <c r="AJ5" s="10"/>
      <c r="AK5" s="10">
        <v>1</v>
      </c>
      <c r="AL5" s="10"/>
      <c r="AM5" s="10">
        <v>1</v>
      </c>
      <c r="AQ5" s="22"/>
      <c r="AR5" s="10"/>
      <c r="AS5" s="10"/>
      <c r="AT5" s="10"/>
      <c r="AX5" s="10"/>
      <c r="AY5" s="10"/>
      <c r="AZ5" s="10"/>
      <c r="BA5" s="10"/>
      <c r="BE5" s="10"/>
      <c r="BF5" s="10"/>
      <c r="BG5" s="10"/>
      <c r="BH5" s="10"/>
      <c r="BL5" s="10"/>
      <c r="BM5" s="10"/>
      <c r="BN5" s="10"/>
      <c r="BO5" s="10"/>
    </row>
    <row r="6" spans="2:68" outlineLevel="1">
      <c r="B6" t="s">
        <v>29</v>
      </c>
      <c r="C6" t="s">
        <v>92</v>
      </c>
      <c r="E6" s="9"/>
      <c r="F6" t="s">
        <v>94</v>
      </c>
      <c r="G6" s="10">
        <v>0.05</v>
      </c>
      <c r="I6" s="9">
        <f>+SUMIF($M$3:$YJ$3,I$3,$M6:$YJ6)</f>
        <v>0</v>
      </c>
      <c r="J6" s="11" cm="1">
        <f t="array" ref="J6">MAX(IF($M$3:$CR$3=$J$3,M6:CR6))</f>
        <v>1</v>
      </c>
      <c r="K6" s="11" cm="1">
        <f t="array" ref="K6">MAX(IF($M$3:$CR$3=$J$3,M6:CR6))</f>
        <v>1</v>
      </c>
      <c r="L6" s="9"/>
      <c r="O6" s="10">
        <v>1</v>
      </c>
      <c r="P6" s="10"/>
      <c r="Q6" s="10">
        <v>1</v>
      </c>
      <c r="R6" s="10"/>
      <c r="V6" s="10"/>
      <c r="W6" s="10"/>
      <c r="X6" s="10"/>
      <c r="Y6" s="10"/>
      <c r="AC6" s="10"/>
      <c r="AD6" s="10">
        <v>1</v>
      </c>
      <c r="AE6" s="10"/>
      <c r="AF6" s="10">
        <v>1</v>
      </c>
      <c r="AJ6" s="10"/>
      <c r="AK6" s="10">
        <v>1</v>
      </c>
      <c r="AL6" s="10"/>
      <c r="AM6" s="10">
        <v>1</v>
      </c>
      <c r="AQ6" s="22"/>
      <c r="AR6" s="10"/>
      <c r="AS6" s="10"/>
      <c r="AX6" s="10"/>
      <c r="AY6" s="10"/>
      <c r="AZ6" s="10"/>
      <c r="BA6" s="10"/>
      <c r="BE6" s="10"/>
      <c r="BF6" s="10"/>
      <c r="BG6" s="10"/>
      <c r="BH6" s="10"/>
      <c r="BM6" s="10"/>
      <c r="BN6" s="10"/>
      <c r="BO6" s="10"/>
    </row>
    <row r="7" spans="2:68" outlineLevel="1">
      <c r="B7" t="s">
        <v>29</v>
      </c>
      <c r="C7" t="s">
        <v>92</v>
      </c>
      <c r="E7" s="9"/>
      <c r="F7" t="s">
        <v>95</v>
      </c>
      <c r="G7" s="10">
        <v>0.05</v>
      </c>
      <c r="I7" s="9">
        <f>+SUMIF($M$3:$YJ$3,I$3,$M7:$YJ7)</f>
        <v>0</v>
      </c>
      <c r="J7" s="11" cm="1">
        <f t="array" ref="J7">MAX(IF($M$3:$CR$3=$J$3,M7:CR7))</f>
        <v>1</v>
      </c>
      <c r="K7" s="11" cm="1">
        <f t="array" ref="K7">MAX(IF($M$3:$CR$3=$J$3,M7:CR7))</f>
        <v>1</v>
      </c>
      <c r="L7" s="9"/>
      <c r="O7" s="10">
        <v>1</v>
      </c>
      <c r="P7" s="10"/>
      <c r="Q7" s="10">
        <v>1</v>
      </c>
      <c r="R7" s="10"/>
      <c r="V7" s="10"/>
      <c r="W7" s="10"/>
      <c r="X7" s="10"/>
      <c r="Y7" s="10"/>
      <c r="AC7" s="10"/>
      <c r="AD7" s="10">
        <v>1</v>
      </c>
      <c r="AE7" s="10"/>
      <c r="AF7" s="10">
        <v>1</v>
      </c>
      <c r="AJ7" s="10"/>
      <c r="AK7" s="10">
        <v>1</v>
      </c>
      <c r="AL7" s="10"/>
      <c r="AM7" s="10">
        <v>1</v>
      </c>
      <c r="AQ7" s="22"/>
      <c r="AR7" s="10"/>
      <c r="AS7" s="10"/>
      <c r="AT7" s="10"/>
      <c r="AX7" s="10"/>
      <c r="AY7" s="10"/>
      <c r="AZ7" s="10"/>
      <c r="BA7" s="10"/>
      <c r="BE7" s="10"/>
      <c r="BF7" s="10"/>
      <c r="BG7" s="10"/>
      <c r="BH7" s="10"/>
      <c r="BL7" s="10"/>
      <c r="BM7" s="10"/>
      <c r="BN7" s="10"/>
      <c r="BO7" s="10"/>
    </row>
    <row r="8" spans="2:68" outlineLevel="1">
      <c r="B8" t="s">
        <v>29</v>
      </c>
      <c r="C8" t="s">
        <v>92</v>
      </c>
      <c r="E8" s="9"/>
      <c r="F8" t="s">
        <v>96</v>
      </c>
      <c r="G8" s="10">
        <v>0.05</v>
      </c>
      <c r="I8" s="9">
        <f>+SUMIF($M$3:$YJ$3,I$3,$M8:$YJ8)</f>
        <v>0</v>
      </c>
      <c r="J8" s="11" cm="1">
        <f t="array" ref="J8">MAX(IF($M$3:$CR$3=$J$3,M8:CR8))</f>
        <v>1</v>
      </c>
      <c r="K8" s="11" cm="1">
        <f t="array" ref="K8">MAX(IF($M$3:$CR$3=$J$3,M8:CR8))</f>
        <v>1</v>
      </c>
      <c r="L8" s="9"/>
      <c r="O8" s="10">
        <v>1</v>
      </c>
      <c r="P8" s="10"/>
      <c r="Q8" s="10">
        <v>1</v>
      </c>
      <c r="R8" s="10"/>
      <c r="V8" s="10"/>
      <c r="W8" s="10"/>
      <c r="X8" s="10"/>
      <c r="Y8" s="10"/>
      <c r="AC8" s="10"/>
      <c r="AD8" s="10">
        <v>1</v>
      </c>
      <c r="AE8" s="10"/>
      <c r="AF8" s="10">
        <v>1</v>
      </c>
      <c r="AJ8" s="10"/>
      <c r="AK8" s="10">
        <v>1</v>
      </c>
      <c r="AL8" s="10"/>
      <c r="AM8" s="10">
        <v>1</v>
      </c>
      <c r="AQ8" s="22"/>
      <c r="AR8" s="10"/>
      <c r="AS8" s="10"/>
      <c r="AT8" s="10"/>
      <c r="AX8" s="10"/>
      <c r="AY8" s="10"/>
      <c r="AZ8" s="10"/>
      <c r="BA8" s="10"/>
      <c r="BE8" s="10"/>
      <c r="BF8" s="10"/>
      <c r="BG8" s="10"/>
      <c r="BH8" s="10"/>
      <c r="BL8" s="10"/>
      <c r="BM8" s="10"/>
      <c r="BN8" s="10"/>
      <c r="BO8" s="10"/>
    </row>
    <row r="9" spans="2:68" outlineLevel="1">
      <c r="B9" t="s">
        <v>29</v>
      </c>
      <c r="C9" t="s">
        <v>92</v>
      </c>
      <c r="E9" s="9"/>
      <c r="F9" t="s">
        <v>97</v>
      </c>
      <c r="G9" s="10">
        <v>0.05</v>
      </c>
      <c r="I9" s="9">
        <f>+SUMIF($M$3:$YJ$3,I$3,$M9:$YJ9)</f>
        <v>0</v>
      </c>
      <c r="J9" s="11" cm="1">
        <f t="array" ref="J9">MAX(IF($M$3:$CR$3=$J$3,M9:CR9))</f>
        <v>1</v>
      </c>
      <c r="K9" s="11" cm="1">
        <f t="array" ref="K9">MAX(IF($M$3:$CR$3=$J$3,M9:CR9))</f>
        <v>1</v>
      </c>
      <c r="L9" s="9"/>
      <c r="O9" s="10">
        <v>1</v>
      </c>
      <c r="P9" s="10"/>
      <c r="Q9" s="10">
        <v>1</v>
      </c>
      <c r="R9" s="10"/>
      <c r="V9" s="10"/>
      <c r="W9" s="10"/>
      <c r="X9" s="10"/>
      <c r="Y9" s="10"/>
      <c r="AC9" s="10"/>
      <c r="AD9" s="10">
        <v>1</v>
      </c>
      <c r="AE9" s="10"/>
      <c r="AF9" s="10">
        <v>1</v>
      </c>
      <c r="AJ9" s="10"/>
      <c r="AK9" s="10">
        <v>1</v>
      </c>
      <c r="AL9" s="21"/>
      <c r="AM9" s="10">
        <v>1</v>
      </c>
      <c r="AQ9" s="22"/>
      <c r="AR9" s="10"/>
      <c r="AS9" s="10"/>
      <c r="AT9" s="10"/>
      <c r="AX9" s="10"/>
      <c r="AY9" s="10"/>
      <c r="AZ9" s="10"/>
      <c r="BA9" s="10"/>
      <c r="BE9" s="10"/>
      <c r="BF9" s="10"/>
      <c r="BG9" s="10"/>
      <c r="BH9" s="10"/>
      <c r="BL9" s="10"/>
      <c r="BM9" s="10"/>
      <c r="BN9" s="10"/>
      <c r="BO9" s="10"/>
    </row>
    <row r="10" spans="2:68" outlineLevel="1">
      <c r="B10" t="s">
        <v>29</v>
      </c>
      <c r="C10" t="s">
        <v>92</v>
      </c>
      <c r="E10" s="9"/>
      <c r="F10" t="s">
        <v>98</v>
      </c>
      <c r="G10" s="10"/>
      <c r="I10" s="9"/>
      <c r="J10" s="11" cm="1">
        <f t="array" ref="J10">MAX(IF($M$3:$CR$3=$J$3,M10:CR10))</f>
        <v>1</v>
      </c>
      <c r="K10" s="11" cm="1">
        <f t="array" ref="K10">MAX(IF($M$3:$CR$3=$J$3,M10:CR10))</f>
        <v>1</v>
      </c>
      <c r="L10" s="9"/>
      <c r="O10" s="10">
        <v>1</v>
      </c>
      <c r="P10" s="10"/>
      <c r="Q10" s="10">
        <v>1</v>
      </c>
      <c r="R10" s="10"/>
      <c r="V10" s="10"/>
      <c r="W10" s="10"/>
      <c r="X10" s="10"/>
      <c r="Y10" s="10"/>
      <c r="AC10" s="10"/>
      <c r="AD10" s="10"/>
      <c r="AE10" s="10"/>
      <c r="AF10" s="10"/>
      <c r="AJ10" s="20"/>
      <c r="AK10" s="10"/>
      <c r="AL10" s="21"/>
      <c r="AM10" s="10"/>
      <c r="AQ10" s="10"/>
      <c r="AR10" s="10"/>
      <c r="AS10" s="10"/>
      <c r="AT10" s="10"/>
      <c r="AX10" s="10"/>
      <c r="AY10" s="10"/>
      <c r="AZ10" s="10"/>
      <c r="BA10" s="10"/>
      <c r="BE10" s="10"/>
      <c r="BF10" s="10"/>
      <c r="BG10" s="10"/>
      <c r="BH10" s="10"/>
      <c r="BL10" s="10"/>
      <c r="BM10" s="10"/>
      <c r="BN10" s="10"/>
      <c r="BO10" s="10"/>
    </row>
    <row r="11" spans="2:68" outlineLevel="1">
      <c r="B11" t="s">
        <v>29</v>
      </c>
      <c r="C11" t="s">
        <v>92</v>
      </c>
      <c r="E11" s="9"/>
      <c r="F11" t="s">
        <v>99</v>
      </c>
      <c r="G11" s="10"/>
      <c r="I11" s="9"/>
      <c r="J11" s="11" cm="1">
        <f t="array" ref="J11">MAX(IF($M$3:$CR$3=$J$3,M11:CR11))</f>
        <v>0.3</v>
      </c>
      <c r="K11" s="11" cm="1">
        <f t="array" ref="K11">MAX(IF($M$3:$CR$3=$J$3,M11:CR11))</f>
        <v>0.3</v>
      </c>
      <c r="L11" s="9"/>
      <c r="O11" s="10">
        <v>0.3</v>
      </c>
      <c r="P11" s="10"/>
      <c r="Q11" s="10">
        <v>0.3</v>
      </c>
      <c r="R11" s="10"/>
      <c r="V11" s="10"/>
      <c r="W11" s="10"/>
      <c r="X11" s="10"/>
      <c r="Y11" s="10"/>
      <c r="AC11" s="10"/>
      <c r="AD11" s="10"/>
      <c r="AE11" s="10"/>
      <c r="AF11" s="10"/>
      <c r="AJ11" s="21"/>
      <c r="AK11" s="10"/>
      <c r="AL11" s="21"/>
      <c r="AM11" s="10"/>
      <c r="AQ11" s="10"/>
      <c r="AR11" s="10"/>
      <c r="AS11" s="10"/>
      <c r="AT11" s="10"/>
      <c r="AX11" s="10"/>
      <c r="AY11" s="10"/>
      <c r="AZ11" s="10"/>
      <c r="BA11" s="10"/>
      <c r="BE11" s="10"/>
      <c r="BF11" s="10"/>
      <c r="BG11" s="10"/>
      <c r="BH11" s="10"/>
      <c r="BL11" s="10"/>
      <c r="BM11" s="10"/>
      <c r="BN11" s="10"/>
      <c r="BO11" s="10"/>
    </row>
    <row r="12" spans="2:68" outlineLevel="1">
      <c r="B12" t="s">
        <v>29</v>
      </c>
      <c r="C12" t="s">
        <v>92</v>
      </c>
      <c r="E12" s="9"/>
      <c r="F12" t="s">
        <v>100</v>
      </c>
      <c r="G12" s="10"/>
      <c r="I12" s="9"/>
      <c r="J12" s="11" cm="1">
        <f t="array" ref="J12">MAX(IF($M$3:$CR$3=$J$3,M12:CR12))</f>
        <v>0.1</v>
      </c>
      <c r="K12" s="11" cm="1">
        <f t="array" ref="K12">MAX(IF($M$3:$CR$3=$J$3,M12:CR12))</f>
        <v>0.1</v>
      </c>
      <c r="L12" s="9"/>
      <c r="O12" s="10">
        <v>0.1</v>
      </c>
      <c r="P12" s="10"/>
      <c r="Q12" s="10">
        <v>0.1</v>
      </c>
      <c r="R12" s="10"/>
      <c r="V12" s="10"/>
      <c r="W12" s="10"/>
      <c r="X12" s="10"/>
      <c r="Y12" s="10"/>
      <c r="AC12" s="10"/>
      <c r="AD12" s="10"/>
      <c r="AE12" s="10"/>
      <c r="AF12" s="10"/>
      <c r="AJ12" s="21"/>
      <c r="AK12" s="10"/>
      <c r="AL12" s="21"/>
      <c r="AM12" s="10"/>
      <c r="AQ12" s="10"/>
      <c r="AR12" s="10"/>
      <c r="AS12" s="10"/>
      <c r="AT12" s="10"/>
      <c r="AX12" s="10"/>
      <c r="AY12" s="10"/>
      <c r="AZ12" s="10"/>
      <c r="BA12" s="10"/>
      <c r="BE12" s="10"/>
      <c r="BF12" s="10"/>
      <c r="BG12" s="10"/>
      <c r="BH12" s="10"/>
      <c r="BL12" s="10"/>
      <c r="BM12" s="10"/>
      <c r="BN12" s="10"/>
      <c r="BO12" s="10"/>
    </row>
    <row r="13" spans="2:68" outlineLevel="1">
      <c r="B13" t="s">
        <v>29</v>
      </c>
      <c r="C13" t="s">
        <v>92</v>
      </c>
      <c r="E13" s="9"/>
      <c r="F13" t="s">
        <v>101</v>
      </c>
      <c r="G13" s="10"/>
      <c r="I13" s="9"/>
      <c r="J13" s="11" cm="1">
        <f t="array" ref="J13">MAX(IF($M$3:$CR$3=$J$3,M13:CR13))</f>
        <v>0.1</v>
      </c>
      <c r="K13" s="11" cm="1">
        <f t="array" ref="K13">MAX(IF($M$3:$CR$3=$J$3,M13:CR13))</f>
        <v>0.1</v>
      </c>
      <c r="L13" s="9"/>
      <c r="O13" s="10">
        <v>0.1</v>
      </c>
      <c r="P13" s="10"/>
      <c r="Q13" s="10">
        <v>0.1</v>
      </c>
      <c r="R13" s="10"/>
      <c r="V13" s="10"/>
      <c r="W13" s="10"/>
      <c r="X13" s="10"/>
      <c r="Y13" s="10"/>
      <c r="AC13" s="10"/>
      <c r="AD13" s="10"/>
      <c r="AE13" s="10"/>
      <c r="AF13" s="10"/>
      <c r="AJ13" s="21"/>
      <c r="AK13" s="10"/>
      <c r="AL13" s="21"/>
      <c r="AM13" s="10"/>
      <c r="AQ13" s="10"/>
      <c r="AR13" s="10"/>
      <c r="AS13" s="10"/>
      <c r="AT13" s="10"/>
      <c r="AX13" s="10"/>
      <c r="AY13" s="10"/>
      <c r="AZ13" s="10"/>
      <c r="BA13" s="10"/>
      <c r="BE13" s="10"/>
      <c r="BF13" s="10"/>
      <c r="BG13" s="10"/>
      <c r="BH13" s="10"/>
      <c r="BL13" s="10"/>
      <c r="BM13" s="10"/>
      <c r="BN13" s="10"/>
      <c r="BO13" s="10"/>
    </row>
    <row r="14" spans="2:68" outlineLevel="1">
      <c r="B14" t="s">
        <v>29</v>
      </c>
      <c r="C14" t="s">
        <v>92</v>
      </c>
      <c r="E14" s="9"/>
      <c r="F14" t="s">
        <v>102</v>
      </c>
      <c r="G14" s="10"/>
      <c r="I14" s="9"/>
      <c r="J14" s="11" cm="1">
        <f t="array" ref="J14">MAX(IF($M$3:$CR$3=$J$3,M14:CR14))</f>
        <v>0.1</v>
      </c>
      <c r="K14" s="11" cm="1">
        <f t="array" ref="K14">MAX(IF($M$3:$CR$3=$J$3,M14:CR14))</f>
        <v>0.1</v>
      </c>
      <c r="L14" s="9"/>
      <c r="O14" s="10">
        <v>0.1</v>
      </c>
      <c r="P14" s="10"/>
      <c r="Q14" s="10">
        <v>0.1</v>
      </c>
      <c r="R14" s="10"/>
      <c r="V14" s="10"/>
      <c r="W14" s="10"/>
      <c r="X14" s="10"/>
      <c r="Y14" s="10"/>
      <c r="AC14" s="10"/>
      <c r="AD14" s="10"/>
      <c r="AE14" s="10"/>
      <c r="AF14" s="10"/>
      <c r="AJ14" s="21"/>
      <c r="AK14" s="10"/>
      <c r="AL14" s="21"/>
      <c r="AM14" s="10"/>
      <c r="AQ14" s="10"/>
      <c r="AR14" s="10"/>
      <c r="AS14" s="10"/>
      <c r="AT14" s="10"/>
      <c r="AX14" s="10"/>
      <c r="AY14" s="10"/>
      <c r="AZ14" s="10"/>
      <c r="BA14" s="10"/>
      <c r="BE14" s="10"/>
      <c r="BF14" s="10"/>
      <c r="BG14" s="10"/>
      <c r="BH14" s="10"/>
      <c r="BL14" s="10"/>
      <c r="BM14" s="10"/>
      <c r="BN14" s="10"/>
      <c r="BO14" s="10"/>
    </row>
    <row r="15" spans="2:68" outlineLevel="1">
      <c r="B15" t="s">
        <v>29</v>
      </c>
      <c r="C15" t="s">
        <v>92</v>
      </c>
      <c r="E15" s="9"/>
      <c r="F15" t="s">
        <v>103</v>
      </c>
      <c r="G15" s="10"/>
      <c r="I15" s="9"/>
      <c r="J15" s="11" cm="1">
        <f t="array" ref="J15">MAX(IF($M$3:$CR$3=$J$3,M15:CR15))</f>
        <v>0.1</v>
      </c>
      <c r="K15" s="11" cm="1">
        <f t="array" ref="K15">MAX(IF($M$3:$CR$3=$J$3,M15:CR15))</f>
        <v>0.1</v>
      </c>
      <c r="L15" s="9"/>
      <c r="O15" s="10">
        <v>0.1</v>
      </c>
      <c r="P15" s="10"/>
      <c r="Q15" s="10">
        <v>0.1</v>
      </c>
      <c r="R15" s="10"/>
      <c r="V15" s="10"/>
      <c r="W15" s="10"/>
      <c r="X15" s="10"/>
      <c r="Y15" s="10"/>
      <c r="AC15" s="10"/>
      <c r="AD15" s="10"/>
      <c r="AE15" s="10"/>
      <c r="AF15" s="10"/>
      <c r="AJ15" s="21"/>
      <c r="AK15" s="10"/>
      <c r="AL15" s="21"/>
      <c r="AM15" s="10"/>
      <c r="AQ15" s="10"/>
      <c r="AR15" s="10"/>
      <c r="AS15" s="10"/>
      <c r="AT15" s="10"/>
      <c r="AX15" s="10"/>
      <c r="AY15" s="10"/>
      <c r="AZ15" s="10"/>
      <c r="BA15" s="10"/>
      <c r="BE15" s="10"/>
      <c r="BF15" s="10"/>
      <c r="BG15" s="10"/>
      <c r="BH15" s="10"/>
      <c r="BL15" s="10"/>
      <c r="BM15" s="10"/>
      <c r="BN15" s="10"/>
      <c r="BO15" s="10"/>
    </row>
    <row r="17" spans="2:67">
      <c r="B17" t="s">
        <v>28</v>
      </c>
      <c r="C17" t="s">
        <v>104</v>
      </c>
      <c r="D17" s="19">
        <v>45133</v>
      </c>
      <c r="E17" s="9">
        <v>5</v>
      </c>
      <c r="G17" s="10">
        <f>+SUM(G18:G25)</f>
        <v>1.25</v>
      </c>
      <c r="I17" s="12">
        <f>+SUM(I18:I25)</f>
        <v>0</v>
      </c>
      <c r="J17" s="11">
        <f>+SUMPRODUCT(G18:G25,J18:J25)</f>
        <v>0.76500000000000012</v>
      </c>
      <c r="K17" s="11">
        <f>+SUMPRODUCT(G18:G25,K18:K25)</f>
        <v>0.76500000000000012</v>
      </c>
      <c r="L17" s="9"/>
    </row>
    <row r="18" spans="2:67" outlineLevel="1">
      <c r="B18" t="s">
        <v>29</v>
      </c>
      <c r="C18" t="s">
        <v>104</v>
      </c>
      <c r="D18" s="19">
        <v>45196</v>
      </c>
      <c r="E18" s="9"/>
      <c r="F18" t="s">
        <v>31</v>
      </c>
      <c r="G18" s="10">
        <v>0.05</v>
      </c>
      <c r="I18" s="9">
        <f t="shared" ref="I18:I25" si="0">+SUMIF($M$3:$YJ$3,I$3,$M18:$YJ18)</f>
        <v>0</v>
      </c>
      <c r="J18" s="11" cm="1">
        <f t="array" ref="J18">MAX(IF($M$3:$CR$3=$J$3,M18:CR18))</f>
        <v>1</v>
      </c>
      <c r="K18" s="11" cm="1">
        <f t="array" ref="K18">MAX(IF($M$3:$CR$3=$J$3,M18:CR18))</f>
        <v>1</v>
      </c>
      <c r="L18" s="9"/>
      <c r="O18" s="10">
        <v>1</v>
      </c>
      <c r="P18" s="10"/>
      <c r="Q18" s="10">
        <v>1</v>
      </c>
      <c r="R18" s="10"/>
      <c r="V18" s="10"/>
      <c r="W18" s="10"/>
      <c r="X18" s="10"/>
      <c r="Y18" s="10"/>
      <c r="AC18" s="10"/>
      <c r="AD18" s="10">
        <v>1</v>
      </c>
      <c r="AE18" s="10"/>
      <c r="AF18" s="10">
        <v>1</v>
      </c>
      <c r="AJ18" s="10"/>
      <c r="AK18" s="10">
        <v>1</v>
      </c>
      <c r="AL18" s="10"/>
      <c r="AM18" s="10">
        <v>1</v>
      </c>
      <c r="AQ18" s="10"/>
      <c r="AR18" s="10">
        <v>1</v>
      </c>
      <c r="AS18" s="10"/>
      <c r="AT18" s="10">
        <v>1</v>
      </c>
      <c r="AX18" s="10"/>
      <c r="AY18" s="10"/>
      <c r="AZ18" s="10"/>
      <c r="BA18" s="10"/>
      <c r="BE18" s="10"/>
      <c r="BF18" s="10"/>
      <c r="BG18" s="10"/>
      <c r="BH18" s="10"/>
      <c r="BL18" s="10"/>
      <c r="BM18" s="10"/>
      <c r="BN18" s="10"/>
      <c r="BO18" s="10"/>
    </row>
    <row r="19" spans="2:67" outlineLevel="1">
      <c r="B19" t="s">
        <v>29</v>
      </c>
      <c r="C19" t="s">
        <v>104</v>
      </c>
      <c r="E19" s="9"/>
      <c r="F19" t="s">
        <v>105</v>
      </c>
      <c r="G19" s="10">
        <v>0.1</v>
      </c>
      <c r="I19" s="9">
        <f t="shared" si="0"/>
        <v>0</v>
      </c>
      <c r="J19" s="11" cm="1">
        <f t="array" ref="J19">MAX(IF($M$3:$CR$3=$J$3,M19:CR19))</f>
        <v>0.9</v>
      </c>
      <c r="K19" s="11" cm="1">
        <f t="array" ref="K19">MAX(IF($M$3:$CR$3=$J$3,M19:CR19))</f>
        <v>0.9</v>
      </c>
      <c r="L19" s="9"/>
      <c r="O19" s="10">
        <v>0.9</v>
      </c>
      <c r="P19" s="10"/>
      <c r="Q19" s="10">
        <v>0.9</v>
      </c>
      <c r="R19" s="10"/>
      <c r="V19" s="10"/>
      <c r="W19" s="10"/>
      <c r="X19" s="10"/>
      <c r="Y19" s="10"/>
      <c r="AC19" s="10"/>
      <c r="AD19" s="10">
        <v>0.8</v>
      </c>
      <c r="AE19" s="10"/>
      <c r="AF19" s="10">
        <v>0.8</v>
      </c>
      <c r="AJ19" s="10"/>
      <c r="AK19" s="10">
        <v>1</v>
      </c>
      <c r="AL19" s="10"/>
      <c r="AM19" s="10">
        <v>1</v>
      </c>
      <c r="AQ19" s="10"/>
      <c r="AR19" s="10">
        <v>1</v>
      </c>
      <c r="AS19" s="10"/>
      <c r="AT19" s="10">
        <v>1</v>
      </c>
      <c r="AX19" s="10"/>
      <c r="AY19" s="10"/>
      <c r="AZ19" s="10"/>
      <c r="BA19" s="10"/>
      <c r="BE19" s="10"/>
      <c r="BF19" s="10"/>
      <c r="BG19" s="10"/>
      <c r="BH19" s="10"/>
      <c r="BL19" s="10"/>
      <c r="BM19" s="10"/>
      <c r="BN19" s="10"/>
      <c r="BO19" s="10"/>
    </row>
    <row r="20" spans="2:67" outlineLevel="1">
      <c r="B20" t="s">
        <v>29</v>
      </c>
      <c r="C20" t="s">
        <v>104</v>
      </c>
      <c r="E20" s="9"/>
      <c r="F20" t="s">
        <v>106</v>
      </c>
      <c r="G20" s="10">
        <v>0.2</v>
      </c>
      <c r="I20" s="9">
        <f t="shared" si="0"/>
        <v>0</v>
      </c>
      <c r="J20" s="11" cm="1">
        <f t="array" ref="J20">MAX(IF($M$3:$CR$3=$J$3,M20:CR20))</f>
        <v>0.9</v>
      </c>
      <c r="K20" s="11" cm="1">
        <f t="array" ref="K20">MAX(IF($M$3:$CR$3=$J$3,M20:CR20))</f>
        <v>0.9</v>
      </c>
      <c r="L20" s="9"/>
      <c r="O20" s="10">
        <v>0.9</v>
      </c>
      <c r="P20" s="10"/>
      <c r="Q20" s="10">
        <v>0.9</v>
      </c>
      <c r="R20" s="10"/>
      <c r="V20" s="10"/>
      <c r="W20" s="10"/>
      <c r="X20" s="10"/>
      <c r="Y20" s="10"/>
      <c r="AC20" s="10"/>
      <c r="AD20" s="10">
        <v>0.8</v>
      </c>
      <c r="AE20" s="10"/>
      <c r="AF20" s="10">
        <v>0.8</v>
      </c>
      <c r="AJ20" s="10"/>
      <c r="AK20" s="10">
        <v>1</v>
      </c>
      <c r="AL20" s="10"/>
      <c r="AM20" s="10">
        <v>1</v>
      </c>
      <c r="AQ20" s="10"/>
      <c r="AR20" s="10">
        <v>1</v>
      </c>
      <c r="AS20" s="10"/>
      <c r="AT20" s="10">
        <v>1</v>
      </c>
      <c r="AX20" s="10"/>
      <c r="AY20" s="10"/>
      <c r="AZ20" s="10"/>
      <c r="BA20" s="10"/>
      <c r="BE20" s="10"/>
      <c r="BF20" s="10"/>
      <c r="BG20" s="10"/>
      <c r="BH20" s="10"/>
      <c r="BL20" s="10"/>
      <c r="BM20" s="10"/>
      <c r="BN20" s="10"/>
      <c r="BO20" s="10"/>
    </row>
    <row r="21" spans="2:67" outlineLevel="1">
      <c r="B21" t="s">
        <v>29</v>
      </c>
      <c r="C21" t="s">
        <v>104</v>
      </c>
      <c r="E21" s="9"/>
      <c r="F21" t="s">
        <v>107</v>
      </c>
      <c r="G21" s="10">
        <v>0.2</v>
      </c>
      <c r="I21" s="9">
        <f t="shared" si="0"/>
        <v>0</v>
      </c>
      <c r="J21" s="11" cm="1">
        <f t="array" ref="J21">MAX(IF($M$3:$CR$3=$J$3,M21:CR21))</f>
        <v>0.9</v>
      </c>
      <c r="K21" s="11" cm="1">
        <f t="array" ref="K21">MAX(IF($M$3:$CR$3=$J$3,M21:CR21))</f>
        <v>0.9</v>
      </c>
      <c r="L21" s="9"/>
      <c r="O21" s="10">
        <v>0.9</v>
      </c>
      <c r="P21" s="10"/>
      <c r="Q21" s="10">
        <v>0.9</v>
      </c>
      <c r="R21" s="10"/>
      <c r="V21" s="10"/>
      <c r="W21" s="10"/>
      <c r="X21" s="10"/>
      <c r="Y21" s="10"/>
      <c r="AC21" s="10"/>
      <c r="AD21" s="10">
        <v>0.8</v>
      </c>
      <c r="AE21" s="10"/>
      <c r="AF21" s="10">
        <v>0.8</v>
      </c>
      <c r="AJ21" s="10"/>
      <c r="AK21" s="10">
        <v>1</v>
      </c>
      <c r="AL21" s="10"/>
      <c r="AM21" s="10">
        <v>1</v>
      </c>
      <c r="AQ21" s="10"/>
      <c r="AR21" s="10">
        <v>1</v>
      </c>
      <c r="AS21" s="10"/>
      <c r="AT21" s="10">
        <v>1</v>
      </c>
      <c r="AX21" s="10"/>
      <c r="AY21" s="10"/>
      <c r="AZ21" s="10"/>
      <c r="BA21" s="10"/>
      <c r="BE21" s="10"/>
      <c r="BF21" s="10"/>
      <c r="BG21" s="10"/>
      <c r="BH21" s="10"/>
      <c r="BL21" s="10"/>
      <c r="BM21" s="10"/>
      <c r="BN21" s="10"/>
      <c r="BO21" s="10"/>
    </row>
    <row r="22" spans="2:67" outlineLevel="1">
      <c r="B22" t="s">
        <v>29</v>
      </c>
      <c r="C22" t="s">
        <v>104</v>
      </c>
      <c r="E22" s="9"/>
      <c r="F22" t="s">
        <v>108</v>
      </c>
      <c r="G22" s="10">
        <v>0.15</v>
      </c>
      <c r="I22" s="9">
        <f t="shared" si="0"/>
        <v>0</v>
      </c>
      <c r="J22" s="11" cm="1">
        <f t="array" ref="J22">MAX(IF($M$3:$CR$3=$J$3,M22:CR22))</f>
        <v>0.4</v>
      </c>
      <c r="K22" s="11" cm="1">
        <f t="array" ref="K22">MAX(IF($M$3:$CR$3=$J$3,M22:CR22))</f>
        <v>0.4</v>
      </c>
      <c r="L22" s="9"/>
      <c r="O22" s="10">
        <v>0.4</v>
      </c>
      <c r="P22" s="10"/>
      <c r="Q22" s="10">
        <v>0.4</v>
      </c>
      <c r="R22" s="10"/>
      <c r="V22" s="10"/>
      <c r="W22" s="10"/>
      <c r="X22" s="10"/>
      <c r="Y22" s="10"/>
      <c r="AC22" s="10"/>
      <c r="AD22" s="10">
        <v>0.8</v>
      </c>
      <c r="AE22" s="10"/>
      <c r="AF22" s="10">
        <v>0.8</v>
      </c>
      <c r="AJ22" s="10"/>
      <c r="AK22" s="10">
        <v>0.8</v>
      </c>
      <c r="AL22" s="10"/>
      <c r="AM22" s="10">
        <v>0.8</v>
      </c>
      <c r="AQ22" s="10"/>
      <c r="AR22" s="10">
        <v>1</v>
      </c>
      <c r="AS22" s="10"/>
      <c r="AT22" s="10">
        <v>1</v>
      </c>
      <c r="AX22" s="10"/>
      <c r="AY22" s="10"/>
      <c r="AZ22" s="10"/>
      <c r="BA22" s="10"/>
      <c r="BE22" s="10"/>
      <c r="BF22" s="10"/>
      <c r="BG22" s="10"/>
      <c r="BH22" s="10"/>
      <c r="BL22" s="10"/>
      <c r="BM22" s="10"/>
      <c r="BN22" s="10"/>
      <c r="BO22" s="10"/>
    </row>
    <row r="23" spans="2:67" outlineLevel="1">
      <c r="B23" t="s">
        <v>29</v>
      </c>
      <c r="C23" t="s">
        <v>104</v>
      </c>
      <c r="E23" s="9"/>
      <c r="F23" t="s">
        <v>109</v>
      </c>
      <c r="G23" s="10">
        <v>0.15</v>
      </c>
      <c r="I23" s="9">
        <f t="shared" si="0"/>
        <v>0</v>
      </c>
      <c r="J23" s="11" cm="1">
        <f t="array" ref="J23">MAX(IF($M$3:$CR$3=$J$3,M23:CR23))</f>
        <v>0.3</v>
      </c>
      <c r="K23" s="11" cm="1">
        <f t="array" ref="K23">MAX(IF($M$3:$CR$3=$J$3,M23:CR23))</f>
        <v>0.3</v>
      </c>
      <c r="L23" s="9"/>
      <c r="O23" s="10">
        <v>0.3</v>
      </c>
      <c r="P23" s="10"/>
      <c r="Q23" s="10">
        <v>0.7</v>
      </c>
      <c r="R23" s="10"/>
      <c r="V23" s="10"/>
      <c r="W23" s="10"/>
      <c r="X23" s="10"/>
      <c r="Y23" s="10"/>
      <c r="AC23" s="10"/>
      <c r="AD23" s="10">
        <v>0.8</v>
      </c>
      <c r="AE23" s="10"/>
      <c r="AF23" s="10">
        <v>0.8</v>
      </c>
      <c r="AJ23" s="10"/>
      <c r="AK23" s="10">
        <v>0.8</v>
      </c>
      <c r="AL23" s="10"/>
      <c r="AM23" s="10">
        <v>0.8</v>
      </c>
      <c r="AQ23" s="10"/>
      <c r="AR23" s="10">
        <v>1</v>
      </c>
      <c r="AS23" s="10"/>
      <c r="AT23" s="10">
        <v>1</v>
      </c>
      <c r="AX23" s="10"/>
      <c r="AY23" s="10"/>
      <c r="AZ23" s="10"/>
      <c r="BA23" s="10"/>
      <c r="BE23" s="10"/>
      <c r="BF23" s="10"/>
      <c r="BG23" s="10"/>
      <c r="BH23" s="10"/>
      <c r="BL23" s="10"/>
      <c r="BM23" s="10"/>
      <c r="BN23" s="10"/>
      <c r="BO23" s="10"/>
    </row>
    <row r="24" spans="2:67" outlineLevel="1">
      <c r="B24" t="s">
        <v>29</v>
      </c>
      <c r="C24" t="s">
        <v>104</v>
      </c>
      <c r="E24" s="9"/>
      <c r="F24" t="s">
        <v>110</v>
      </c>
      <c r="G24" s="10">
        <v>0.2</v>
      </c>
      <c r="I24" s="9">
        <f t="shared" si="0"/>
        <v>0</v>
      </c>
      <c r="J24" s="11" cm="1">
        <f t="array" ref="J24">MAX(IF($M$3:$CR$3=$J$3,M24:CR24))</f>
        <v>0.6</v>
      </c>
      <c r="K24" s="11" cm="1">
        <f t="array" ref="K24">MAX(IF($M$3:$CR$3=$J$3,M24:CR24))</f>
        <v>0.6</v>
      </c>
      <c r="L24" s="9"/>
      <c r="O24" s="10">
        <v>0.6</v>
      </c>
      <c r="P24" s="10"/>
      <c r="Q24" s="10">
        <v>0.8</v>
      </c>
      <c r="R24" s="10"/>
      <c r="V24" s="10"/>
      <c r="W24" s="10"/>
      <c r="X24" s="10"/>
      <c r="Y24" s="10"/>
      <c r="AC24" s="10"/>
      <c r="AD24" s="10">
        <v>0.8</v>
      </c>
      <c r="AE24" s="10"/>
      <c r="AF24" s="10">
        <v>0.8</v>
      </c>
      <c r="AJ24" s="10"/>
      <c r="AK24" s="10">
        <v>0.8</v>
      </c>
      <c r="AL24" s="10"/>
      <c r="AM24" s="10">
        <v>0.8</v>
      </c>
      <c r="AQ24" s="10"/>
      <c r="AR24" s="10">
        <v>1</v>
      </c>
      <c r="AS24" s="10"/>
      <c r="AT24" s="10">
        <v>1</v>
      </c>
      <c r="AX24" s="10"/>
      <c r="AY24" s="10"/>
      <c r="AZ24" s="10"/>
      <c r="BA24" s="10"/>
      <c r="BE24" s="10"/>
      <c r="BF24" s="10"/>
      <c r="BG24" s="10"/>
      <c r="BH24" s="10"/>
      <c r="BL24" s="10"/>
      <c r="BM24" s="10"/>
      <c r="BN24" s="10"/>
      <c r="BO24" s="10"/>
    </row>
    <row r="25" spans="2:67" outlineLevel="1">
      <c r="B25" t="s">
        <v>29</v>
      </c>
      <c r="C25" t="s">
        <v>104</v>
      </c>
      <c r="E25" s="9"/>
      <c r="F25" t="s">
        <v>111</v>
      </c>
      <c r="G25" s="10">
        <v>0.2</v>
      </c>
      <c r="I25" s="9">
        <f t="shared" si="0"/>
        <v>0</v>
      </c>
      <c r="J25" s="11" cm="1">
        <f t="array" ref="J25">MAX(IF($M$3:$CR$3=$J$3,M25:CR25))</f>
        <v>0.2</v>
      </c>
      <c r="K25" s="11" cm="1">
        <f t="array" ref="K25">MAX(IF($M$3:$CR$3=$J$3,M25:CR25))</f>
        <v>0.2</v>
      </c>
      <c r="L25" s="9"/>
      <c r="O25" s="10">
        <v>0.2</v>
      </c>
      <c r="P25" s="10"/>
      <c r="Q25" s="10">
        <v>0.1</v>
      </c>
      <c r="R25" s="10"/>
      <c r="V25" s="10"/>
      <c r="W25" s="10"/>
      <c r="X25" s="10"/>
      <c r="Y25" s="10"/>
      <c r="AC25" s="10"/>
      <c r="AD25" s="10">
        <v>0.8</v>
      </c>
      <c r="AE25" s="10"/>
      <c r="AF25" s="10">
        <v>0.8</v>
      </c>
      <c r="AJ25" s="10"/>
      <c r="AK25" s="10">
        <v>0.8</v>
      </c>
      <c r="AL25" s="10"/>
      <c r="AM25" s="10">
        <v>0.8</v>
      </c>
      <c r="AQ25" s="10"/>
      <c r="AR25" s="10">
        <v>1</v>
      </c>
      <c r="AS25" s="10"/>
      <c r="AT25" s="10">
        <v>1</v>
      </c>
      <c r="AX25" s="10"/>
      <c r="AY25" s="10"/>
      <c r="AZ25" s="10"/>
      <c r="BA25" s="10"/>
      <c r="BE25" s="10"/>
      <c r="BF25" s="10"/>
      <c r="BG25" s="10"/>
      <c r="BH25" s="10"/>
      <c r="BL25" s="10"/>
      <c r="BM25" s="10"/>
      <c r="BN25" s="10"/>
      <c r="BO25" s="10"/>
    </row>
    <row r="27" spans="2:67">
      <c r="B27" t="s">
        <v>28</v>
      </c>
      <c r="C27" t="s">
        <v>112</v>
      </c>
      <c r="D27" s="19">
        <v>45125</v>
      </c>
      <c r="E27" s="9">
        <v>5</v>
      </c>
      <c r="G27" s="10">
        <f>+SUM(G28:G38)</f>
        <v>0.94999999999999984</v>
      </c>
      <c r="I27" s="12">
        <f>+SUM(I28:I38)</f>
        <v>0</v>
      </c>
      <c r="J27" s="11">
        <f>+SUMPRODUCT(G28:G38,J28:J38)</f>
        <v>0</v>
      </c>
      <c r="K27" s="11">
        <f>+SUMPRODUCT(G28:G38,K28:K38)</f>
        <v>0</v>
      </c>
      <c r="L27" s="9"/>
    </row>
    <row r="28" spans="2:67" outlineLevel="1">
      <c r="B28" t="s">
        <v>29</v>
      </c>
      <c r="C28" t="s">
        <v>112</v>
      </c>
      <c r="D28" s="19">
        <v>45188</v>
      </c>
      <c r="E28" s="9"/>
      <c r="F28" t="s">
        <v>113</v>
      </c>
      <c r="G28" s="10">
        <v>0.1</v>
      </c>
      <c r="I28" s="9">
        <f t="shared" ref="I28:I39" si="1">+SUMIF($M$3:$YJ$3,I$3,$M28:$YJ28)</f>
        <v>0</v>
      </c>
      <c r="J28" s="11" cm="1">
        <f t="array" ref="J28">MAX(IF($M$3:$CR$3=$J$3,M28:CR28))</f>
        <v>0</v>
      </c>
      <c r="K28" s="11" cm="1">
        <f t="array" ref="K28">MAX(IF($M$3:$CR$3=$J$3,M28:CR28))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row>
    <row r="29" spans="2:67" outlineLevel="1">
      <c r="B29" t="s">
        <v>29</v>
      </c>
      <c r="C29" t="s">
        <v>112</v>
      </c>
      <c r="E29" s="9"/>
      <c r="F29" t="s">
        <v>114</v>
      </c>
      <c r="G29" s="10">
        <v>0.05</v>
      </c>
      <c r="I29" s="9">
        <f t="shared" si="1"/>
        <v>0</v>
      </c>
      <c r="J29" s="11" cm="1">
        <f t="array" ref="J29">MAX(IF($M$3:$CR$3=$J$3,M29:CR29))</f>
        <v>0</v>
      </c>
      <c r="K29" s="11" cm="1">
        <f t="array" ref="K29">MAX(IF($M$3:$CR$3=$J$3,M29:CR29))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row>
    <row r="30" spans="2:67" outlineLevel="1">
      <c r="B30" t="s">
        <v>29</v>
      </c>
      <c r="C30" t="s">
        <v>112</v>
      </c>
      <c r="E30" s="9"/>
      <c r="F30" t="s">
        <v>115</v>
      </c>
      <c r="G30" s="10">
        <v>0.05</v>
      </c>
      <c r="I30" s="9">
        <f t="shared" si="1"/>
        <v>0</v>
      </c>
      <c r="J30" s="11" cm="1">
        <f t="array" ref="J30">MAX(IF($M$3:$CR$3=$J$3,M30:CR30))</f>
        <v>0</v>
      </c>
      <c r="K30" s="11" cm="1">
        <f t="array" ref="K30">MAX(IF($M$3:$CR$3=$J$3,M30:CR30))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row>
    <row r="31" spans="2:67" outlineLevel="1">
      <c r="B31" t="s">
        <v>29</v>
      </c>
      <c r="C31" t="s">
        <v>112</v>
      </c>
      <c r="E31" s="9"/>
      <c r="F31" t="s">
        <v>116</v>
      </c>
      <c r="G31" s="10">
        <v>0.05</v>
      </c>
      <c r="I31" s="9">
        <f t="shared" si="1"/>
        <v>0</v>
      </c>
      <c r="J31" s="11" cm="1">
        <f t="array" ref="J31">MAX(IF($M$3:$CR$3=$J$3,M31:CR31))</f>
        <v>0</v>
      </c>
      <c r="K31" s="11" cm="1">
        <f t="array" ref="K31">MAX(IF($M$3:$CR$3=$J$3,M31:CR31))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row>
    <row r="32" spans="2:67" outlineLevel="1">
      <c r="B32" t="s">
        <v>29</v>
      </c>
      <c r="C32" t="s">
        <v>112</v>
      </c>
      <c r="E32" s="9"/>
      <c r="F32" t="s">
        <v>117</v>
      </c>
      <c r="G32" s="10">
        <v>0.1</v>
      </c>
      <c r="I32" s="9">
        <f t="shared" si="1"/>
        <v>0</v>
      </c>
      <c r="J32" s="11" cm="1">
        <f t="array" ref="J32">MAX(IF($M$3:$CR$3=$J$3,M32:CR32))</f>
        <v>0</v>
      </c>
      <c r="K32" s="11" cm="1">
        <f t="array" ref="K32">MAX(IF($M$3:$CR$3=$J$3,M32:CR32))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row>
    <row r="33" spans="2:67" outlineLevel="1">
      <c r="B33" t="s">
        <v>29</v>
      </c>
      <c r="C33" t="s">
        <v>112</v>
      </c>
      <c r="E33" s="9"/>
      <c r="F33" t="s">
        <v>118</v>
      </c>
      <c r="G33" s="10">
        <v>0.1</v>
      </c>
      <c r="I33" s="9">
        <f t="shared" si="1"/>
        <v>0</v>
      </c>
      <c r="J33" s="11" cm="1">
        <f t="array" ref="J33">MAX(IF($M$3:$CR$3=$J$3,M33:CR33))</f>
        <v>0</v>
      </c>
      <c r="K33" s="11" cm="1">
        <f t="array" ref="K33">MAX(IF($M$3:$CR$3=$J$3,M33:CR33))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row>
    <row r="34" spans="2:67" outlineLevel="1">
      <c r="B34" t="s">
        <v>29</v>
      </c>
      <c r="C34" t="s">
        <v>2</v>
      </c>
      <c r="E34" s="9"/>
      <c r="F34" t="s">
        <v>119</v>
      </c>
      <c r="G34" s="10">
        <v>0.1</v>
      </c>
      <c r="I34" s="9">
        <f t="shared" si="1"/>
        <v>0</v>
      </c>
      <c r="J34" s="11" cm="1">
        <f t="array" ref="J34">MAX(IF($M$3:$CR$3=$J$3,M34:CR34))</f>
        <v>0</v>
      </c>
      <c r="K34" s="11" cm="1">
        <f t="array" ref="K34">MAX(IF($M$3:$CR$3=$J$3,M34:CR34))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row>
    <row r="35" spans="2:67" outlineLevel="1">
      <c r="B35" t="s">
        <v>29</v>
      </c>
      <c r="C35" t="s">
        <v>2</v>
      </c>
      <c r="E35" s="9"/>
      <c r="F35" t="s">
        <v>120</v>
      </c>
      <c r="G35" s="10">
        <v>0.1</v>
      </c>
      <c r="I35" s="9">
        <f t="shared" si="1"/>
        <v>0</v>
      </c>
      <c r="J35" s="11" cm="1">
        <f t="array" ref="J35">MAX(IF($M$3:$CR$3=$J$3,M35:CR35))</f>
        <v>0</v>
      </c>
      <c r="K35" s="11" cm="1">
        <f t="array" ref="K35">MAX(IF($M$3:$CR$3=$J$3,M35:CR35))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row>
    <row r="36" spans="2:67" outlineLevel="1">
      <c r="B36" t="s">
        <v>29</v>
      </c>
      <c r="C36" t="s">
        <v>2</v>
      </c>
      <c r="E36" s="9"/>
      <c r="F36" t="s">
        <v>121</v>
      </c>
      <c r="G36" s="10">
        <v>0.1</v>
      </c>
      <c r="I36" s="9">
        <f t="shared" si="1"/>
        <v>0</v>
      </c>
      <c r="J36" s="11" cm="1">
        <f t="array" ref="J36">MAX(IF($M$3:$CR$3=$J$3,M36:CR36))</f>
        <v>0</v>
      </c>
      <c r="K36" s="11" cm="1">
        <f t="array" ref="K36">MAX(IF($M$3:$CR$3=$J$3,M36:CR36))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row>
    <row r="37" spans="2:67" outlineLevel="1">
      <c r="B37" t="s">
        <v>29</v>
      </c>
      <c r="C37" t="s">
        <v>2</v>
      </c>
      <c r="E37" s="9"/>
      <c r="F37" t="s">
        <v>122</v>
      </c>
      <c r="G37" s="10">
        <v>0.1</v>
      </c>
      <c r="I37" s="9">
        <f t="shared" si="1"/>
        <v>0</v>
      </c>
      <c r="J37" s="11" cm="1">
        <f t="array" ref="J37">MAX(IF($M$3:$CR$3=$J$3,M37:CR37))</f>
        <v>0</v>
      </c>
      <c r="K37" s="11" cm="1">
        <f t="array" ref="K37">MAX(IF($M$3:$CR$3=$J$3,M37:CR37))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row>
    <row r="38" spans="2:67" outlineLevel="1">
      <c r="B38" t="s">
        <v>29</v>
      </c>
      <c r="C38" t="s">
        <v>2</v>
      </c>
      <c r="E38" s="9"/>
      <c r="F38" t="s">
        <v>123</v>
      </c>
      <c r="G38" s="10">
        <v>0.1</v>
      </c>
      <c r="I38" s="9">
        <f t="shared" si="1"/>
        <v>0</v>
      </c>
      <c r="J38" s="11" cm="1">
        <f t="array" ref="J38">MAX(IF($M$3:$CR$3=$J$3,M38:CR38))</f>
        <v>0</v>
      </c>
      <c r="K38" s="11" cm="1">
        <f t="array" ref="K38">MAX(IF($M$3:$CR$3=$J$3,M38:CR38))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row>
    <row r="39" spans="2:67" outlineLevel="1">
      <c r="B39" t="s">
        <v>29</v>
      </c>
      <c r="C39" t="s">
        <v>112</v>
      </c>
      <c r="E39" s="9"/>
      <c r="F39" t="s">
        <v>124</v>
      </c>
      <c r="G39" s="10"/>
      <c r="I39" s="9">
        <f t="shared" si="1"/>
        <v>0</v>
      </c>
      <c r="J39" s="11" cm="1">
        <f t="array" ref="J39">MAX(IF($M$3:$CR$3=$J$3,M39:CR39))</f>
        <v>0</v>
      </c>
      <c r="K39" s="11" cm="1">
        <f t="array" ref="K39">MAX(IF($M$3:$CR$3=$J$3,M39:CR39))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row>
    <row r="41" spans="2:67">
      <c r="B41" t="s">
        <v>28</v>
      </c>
      <c r="C41" t="s">
        <v>125</v>
      </c>
      <c r="D41" s="19">
        <v>45134</v>
      </c>
      <c r="E41" s="9">
        <v>5</v>
      </c>
      <c r="G41" s="10">
        <f>+SUM(G42:G48)</f>
        <v>0.64999999999999991</v>
      </c>
      <c r="I41" s="12">
        <f>+SUM(I42:I48)</f>
        <v>0</v>
      </c>
      <c r="J41" s="11">
        <f>+SUMPRODUCT(G42:G48,J42:J48)</f>
        <v>0.45500000000000002</v>
      </c>
      <c r="K41" s="11">
        <f>+SUMPRODUCT(G42:G48,K42:K48)</f>
        <v>0.45500000000000002</v>
      </c>
      <c r="L41" s="9"/>
    </row>
    <row r="42" spans="2:67" outlineLevel="1">
      <c r="B42" t="s">
        <v>29</v>
      </c>
      <c r="C42" t="s">
        <v>125</v>
      </c>
      <c r="D42" s="19">
        <v>45197</v>
      </c>
      <c r="E42" s="9"/>
      <c r="F42" t="s">
        <v>126</v>
      </c>
      <c r="G42" s="10">
        <v>0.1</v>
      </c>
      <c r="I42" s="9">
        <f t="shared" ref="I42:I54" si="2">+SUMIF($M$3:$YJ$3,I$3,$M42:$YJ42)</f>
        <v>0</v>
      </c>
      <c r="J42" s="11" cm="1">
        <f t="array" ref="J42">MAX(IF($M$3:$CR$3=$J$3,M42:CR42))</f>
        <v>0.9</v>
      </c>
      <c r="K42" s="11" cm="1">
        <f t="array" ref="K42">MAX(IF($M$3:$CR$3=$J$3,M42:CR42))</f>
        <v>0.9</v>
      </c>
      <c r="L42" s="9"/>
      <c r="O42" s="10">
        <v>0.9</v>
      </c>
      <c r="P42" s="10"/>
      <c r="Q42" s="10"/>
      <c r="R42" s="10"/>
      <c r="V42" s="10"/>
      <c r="W42" s="10"/>
      <c r="X42" s="10"/>
      <c r="Y42" s="10"/>
      <c r="AC42" s="10"/>
      <c r="AD42" s="10">
        <v>1</v>
      </c>
      <c r="AE42" s="10"/>
      <c r="AF42" s="10">
        <v>1</v>
      </c>
      <c r="AJ42" s="10"/>
      <c r="AK42" s="10">
        <v>1</v>
      </c>
      <c r="AL42" s="10"/>
      <c r="AM42" s="10">
        <v>1</v>
      </c>
      <c r="AQ42" s="10"/>
      <c r="AR42" s="10">
        <v>1</v>
      </c>
      <c r="AS42" s="10"/>
      <c r="AT42" s="10">
        <v>1</v>
      </c>
      <c r="AX42" s="10"/>
      <c r="AY42" s="10"/>
      <c r="AZ42" s="10"/>
      <c r="BA42" s="10"/>
      <c r="BE42" s="10"/>
      <c r="BF42" s="10"/>
      <c r="BG42" s="10"/>
      <c r="BH42" s="10"/>
      <c r="BL42" s="10"/>
      <c r="BM42" s="10"/>
      <c r="BN42" s="10"/>
      <c r="BO42" s="10"/>
    </row>
    <row r="43" spans="2:67" outlineLevel="1">
      <c r="B43" t="s">
        <v>29</v>
      </c>
      <c r="C43" t="s">
        <v>125</v>
      </c>
      <c r="E43" s="9"/>
      <c r="F43" t="s">
        <v>127</v>
      </c>
      <c r="G43" s="10">
        <v>0.05</v>
      </c>
      <c r="I43" s="9">
        <f t="shared" si="2"/>
        <v>0</v>
      </c>
      <c r="J43" s="11" cm="1">
        <f t="array" ref="J43">MAX(IF($M$3:$CR$3=$J$3,M43:CR43))</f>
        <v>0.9</v>
      </c>
      <c r="K43" s="11" cm="1">
        <f t="array" ref="K43">MAX(IF($M$3:$CR$3=$J$3,M43:CR43))</f>
        <v>0.9</v>
      </c>
      <c r="L43" s="9"/>
      <c r="O43" s="10">
        <v>0.9</v>
      </c>
      <c r="P43" s="10"/>
      <c r="Q43" s="10"/>
      <c r="R43" s="10"/>
      <c r="V43" s="10"/>
      <c r="W43" s="10"/>
      <c r="X43" s="10"/>
      <c r="Y43" s="10"/>
      <c r="AC43" s="10"/>
      <c r="AD43" s="10">
        <v>1</v>
      </c>
      <c r="AE43" s="10"/>
      <c r="AF43" s="10">
        <v>1</v>
      </c>
      <c r="AJ43" s="10"/>
      <c r="AK43" s="10">
        <v>1</v>
      </c>
      <c r="AL43" s="10"/>
      <c r="AM43" s="10">
        <v>1</v>
      </c>
      <c r="AQ43" s="10"/>
      <c r="AR43" s="10">
        <v>1</v>
      </c>
      <c r="AS43" s="10"/>
      <c r="AT43" s="10">
        <v>1</v>
      </c>
      <c r="AX43" s="10"/>
      <c r="AY43" s="10"/>
      <c r="AZ43" s="10"/>
      <c r="BA43" s="10"/>
      <c r="BE43" s="10"/>
      <c r="BF43" s="10"/>
      <c r="BG43" s="10"/>
      <c r="BH43" s="10"/>
      <c r="BL43" s="10"/>
      <c r="BM43" s="10"/>
      <c r="BN43" s="10"/>
      <c r="BO43" s="10"/>
    </row>
    <row r="44" spans="2:67" outlineLevel="1">
      <c r="B44" t="s">
        <v>29</v>
      </c>
      <c r="C44" t="s">
        <v>125</v>
      </c>
      <c r="E44" s="9"/>
      <c r="F44" t="s">
        <v>128</v>
      </c>
      <c r="G44" s="10">
        <v>0.1</v>
      </c>
      <c r="I44" s="9">
        <f t="shared" si="2"/>
        <v>0</v>
      </c>
      <c r="J44" s="11" cm="1">
        <f t="array" ref="J44">MAX(IF($M$3:$CR$3=$J$3,M44:CR44))</f>
        <v>0.6</v>
      </c>
      <c r="K44" s="11" cm="1">
        <f t="array" ref="K44">MAX(IF($M$3:$CR$3=$J$3,M44:CR44))</f>
        <v>0.6</v>
      </c>
      <c r="L44" s="9"/>
      <c r="O44" s="10">
        <v>0.6</v>
      </c>
      <c r="P44" s="10"/>
      <c r="Q44" s="10"/>
      <c r="R44" s="10"/>
      <c r="V44" s="10"/>
      <c r="W44" s="10"/>
      <c r="X44" s="10"/>
      <c r="Y44" s="10"/>
      <c r="AC44" s="10"/>
      <c r="AD44" s="10">
        <v>0.8</v>
      </c>
      <c r="AE44" s="10"/>
      <c r="AF44" s="10">
        <v>0.8</v>
      </c>
      <c r="AJ44" s="10"/>
      <c r="AK44" s="10">
        <v>1</v>
      </c>
      <c r="AL44" s="10"/>
      <c r="AM44" s="10">
        <v>1</v>
      </c>
      <c r="AQ44" s="10"/>
      <c r="AR44" s="10">
        <v>1</v>
      </c>
      <c r="AS44" s="10"/>
      <c r="AT44" s="10">
        <v>1</v>
      </c>
      <c r="AX44" s="10"/>
      <c r="AY44" s="10"/>
      <c r="AZ44" s="10"/>
      <c r="BA44" s="10"/>
      <c r="BE44" s="10"/>
      <c r="BF44" s="10"/>
      <c r="BG44" s="10"/>
      <c r="BH44" s="10"/>
      <c r="BL44" s="10"/>
      <c r="BM44" s="10"/>
      <c r="BN44" s="10"/>
      <c r="BO44" s="10"/>
    </row>
    <row r="45" spans="2:67" outlineLevel="1">
      <c r="B45" t="s">
        <v>29</v>
      </c>
      <c r="C45" t="s">
        <v>125</v>
      </c>
      <c r="E45" s="9"/>
      <c r="F45" t="s">
        <v>129</v>
      </c>
      <c r="G45" s="10">
        <v>0.1</v>
      </c>
      <c r="I45" s="9">
        <f t="shared" si="2"/>
        <v>0</v>
      </c>
      <c r="J45" s="11" cm="1">
        <f t="array" ref="J45">MAX(IF($M$3:$CR$3=$J$3,M45:CR45))</f>
        <v>0.7</v>
      </c>
      <c r="K45" s="11" cm="1">
        <f t="array" ref="K45">MAX(IF($M$3:$CR$3=$J$3,M45:CR45))</f>
        <v>0.7</v>
      </c>
      <c r="L45" s="9"/>
      <c r="O45" s="10">
        <v>0.7</v>
      </c>
      <c r="P45" s="10"/>
      <c r="Q45" s="10"/>
      <c r="R45" s="10"/>
      <c r="V45" s="10"/>
      <c r="W45" s="10"/>
      <c r="X45" s="10"/>
      <c r="Y45" s="10"/>
      <c r="AC45" s="10"/>
      <c r="AD45" s="10">
        <v>0.8</v>
      </c>
      <c r="AE45" s="10"/>
      <c r="AF45" s="10">
        <v>0.8</v>
      </c>
      <c r="AJ45" s="10"/>
      <c r="AK45" s="10">
        <v>1</v>
      </c>
      <c r="AL45" s="10"/>
      <c r="AM45" s="10">
        <v>1</v>
      </c>
      <c r="AQ45" s="10"/>
      <c r="AR45" s="10">
        <v>1</v>
      </c>
      <c r="AS45" s="10"/>
      <c r="AT45" s="10">
        <v>1</v>
      </c>
      <c r="AX45" s="10"/>
      <c r="AY45" s="10"/>
      <c r="AZ45" s="10"/>
      <c r="BA45" s="10"/>
      <c r="BE45" s="10"/>
      <c r="BF45" s="10"/>
      <c r="BG45" s="10"/>
      <c r="BH45" s="10"/>
      <c r="BL45" s="10"/>
      <c r="BM45" s="10"/>
      <c r="BN45" s="10"/>
      <c r="BO45" s="10"/>
    </row>
    <row r="46" spans="2:67" outlineLevel="1">
      <c r="B46" t="s">
        <v>29</v>
      </c>
      <c r="C46" t="s">
        <v>125</v>
      </c>
      <c r="E46" s="9"/>
      <c r="F46" t="s">
        <v>130</v>
      </c>
      <c r="G46" s="10">
        <v>0.1</v>
      </c>
      <c r="I46" s="9">
        <f t="shared" si="2"/>
        <v>0</v>
      </c>
      <c r="J46" s="11" cm="1">
        <f t="array" ref="J46">MAX(IF($M$3:$CR$3=$J$3,M46:CR46))</f>
        <v>0.9</v>
      </c>
      <c r="K46" s="11" cm="1">
        <f t="array" ref="K46">MAX(IF($M$3:$CR$3=$J$3,M46:CR46))</f>
        <v>0.9</v>
      </c>
      <c r="L46" s="9"/>
      <c r="O46" s="10">
        <v>0.9</v>
      </c>
      <c r="P46" s="10"/>
      <c r="Q46" s="10"/>
      <c r="R46" s="10"/>
      <c r="V46" s="10"/>
      <c r="W46" s="10"/>
      <c r="X46" s="10"/>
      <c r="Y46" s="10"/>
      <c r="AC46" s="10"/>
      <c r="AD46" s="10">
        <v>0.8</v>
      </c>
      <c r="AE46" s="10"/>
      <c r="AF46" s="10">
        <v>0.8</v>
      </c>
      <c r="AJ46" s="10"/>
      <c r="AK46" s="10">
        <v>1</v>
      </c>
      <c r="AL46" s="10"/>
      <c r="AM46" s="10">
        <v>1</v>
      </c>
      <c r="AQ46" s="10"/>
      <c r="AR46" s="10">
        <v>1</v>
      </c>
      <c r="AS46" s="10"/>
      <c r="AT46" s="10">
        <v>1</v>
      </c>
      <c r="AX46" s="10"/>
      <c r="AY46" s="10"/>
      <c r="AZ46" s="10"/>
      <c r="BA46" s="10"/>
      <c r="BE46" s="10"/>
      <c r="BF46" s="10"/>
      <c r="BG46" s="10"/>
      <c r="BH46" s="10"/>
      <c r="BL46" s="10"/>
      <c r="BM46" s="10"/>
      <c r="BN46" s="10"/>
      <c r="BO46" s="10"/>
    </row>
    <row r="47" spans="2:67" outlineLevel="1">
      <c r="B47" t="s">
        <v>29</v>
      </c>
      <c r="C47" t="s">
        <v>125</v>
      </c>
      <c r="E47" s="9"/>
      <c r="F47" t="s">
        <v>131</v>
      </c>
      <c r="G47" s="10">
        <v>0.1</v>
      </c>
      <c r="I47" s="9">
        <f t="shared" si="2"/>
        <v>0</v>
      </c>
      <c r="J47" s="11" cm="1">
        <f t="array" ref="J47">MAX(IF($M$3:$CR$3=$J$3,M47:CR47))</f>
        <v>0.5</v>
      </c>
      <c r="K47" s="11" cm="1">
        <f t="array" ref="K47">MAX(IF($M$3:$CR$3=$J$3,M47:CR47))</f>
        <v>0.5</v>
      </c>
      <c r="L47" s="9"/>
      <c r="O47" s="10">
        <v>0.5</v>
      </c>
      <c r="P47" s="10"/>
      <c r="Q47" s="10"/>
      <c r="R47" s="10"/>
      <c r="V47" s="10"/>
      <c r="W47" s="10"/>
      <c r="X47" s="10"/>
      <c r="Y47" s="10"/>
      <c r="AC47" s="10"/>
      <c r="AD47" s="10">
        <v>0.8</v>
      </c>
      <c r="AE47" s="10"/>
      <c r="AF47" s="10">
        <v>0.8</v>
      </c>
      <c r="AJ47" s="10"/>
      <c r="AK47" s="10">
        <v>0.8</v>
      </c>
      <c r="AL47" s="10"/>
      <c r="AM47" s="10">
        <v>0.8</v>
      </c>
      <c r="AQ47" s="10"/>
      <c r="AR47" s="10">
        <v>1</v>
      </c>
      <c r="AS47" s="10"/>
      <c r="AT47" s="10">
        <v>1</v>
      </c>
      <c r="AX47" s="10"/>
      <c r="AY47" s="10"/>
      <c r="AZ47" s="10"/>
      <c r="BA47" s="10"/>
      <c r="BE47" s="10"/>
      <c r="BF47" s="10"/>
      <c r="BG47" s="10"/>
      <c r="BH47" s="10"/>
      <c r="BL47" s="10"/>
      <c r="BM47" s="10"/>
      <c r="BN47" s="10"/>
      <c r="BO47" s="10"/>
    </row>
    <row r="48" spans="2:67" outlineLevel="1">
      <c r="B48" t="s">
        <v>29</v>
      </c>
      <c r="C48" t="s">
        <v>125</v>
      </c>
      <c r="E48" s="9"/>
      <c r="F48" t="s">
        <v>132</v>
      </c>
      <c r="G48" s="10">
        <v>0.1</v>
      </c>
      <c r="I48" s="9">
        <f t="shared" si="2"/>
        <v>0</v>
      </c>
      <c r="J48" s="11" cm="1">
        <f t="array" ref="J48">MAX(IF($M$3:$CR$3=$J$3,M48:CR48))</f>
        <v>0.5</v>
      </c>
      <c r="K48" s="11" cm="1">
        <f t="array" ref="K48">MAX(IF($M$3:$CR$3=$J$3,M48:CR48))</f>
        <v>0.5</v>
      </c>
      <c r="L48" s="9"/>
      <c r="O48" s="10">
        <v>0.5</v>
      </c>
      <c r="P48" s="10"/>
      <c r="Q48" s="10"/>
      <c r="R48" s="10"/>
      <c r="V48" s="10"/>
      <c r="W48" s="10"/>
      <c r="X48" s="10"/>
      <c r="Y48" s="10"/>
      <c r="AC48" s="10"/>
      <c r="AD48" s="10">
        <v>0.8</v>
      </c>
      <c r="AE48" s="10"/>
      <c r="AF48" s="10">
        <v>0.8</v>
      </c>
      <c r="AJ48" s="10"/>
      <c r="AK48" s="10">
        <v>0.8</v>
      </c>
      <c r="AL48" s="10"/>
      <c r="AM48" s="10">
        <v>0.8</v>
      </c>
      <c r="AQ48" s="10"/>
      <c r="AR48" s="10">
        <v>1</v>
      </c>
      <c r="AS48" s="10"/>
      <c r="AT48" s="10">
        <v>1</v>
      </c>
      <c r="AX48" s="10"/>
      <c r="AY48" s="10"/>
      <c r="AZ48" s="10"/>
      <c r="BA48" s="10"/>
      <c r="BE48" s="10"/>
      <c r="BF48" s="10"/>
      <c r="BG48" s="10"/>
      <c r="BH48" s="10"/>
      <c r="BL48" s="10"/>
      <c r="BM48" s="10"/>
      <c r="BN48" s="10"/>
      <c r="BO48" s="10"/>
    </row>
    <row r="49" spans="2:67" outlineLevel="1">
      <c r="B49" t="s">
        <v>29</v>
      </c>
      <c r="C49" t="s">
        <v>125</v>
      </c>
      <c r="E49" s="9"/>
      <c r="F49" t="s">
        <v>133</v>
      </c>
      <c r="G49" s="10">
        <v>0.1</v>
      </c>
      <c r="I49" s="9">
        <f t="shared" si="2"/>
        <v>0</v>
      </c>
      <c r="J49" s="11" cm="1">
        <f t="array" ref="J49">MAX(IF($M$3:$CR$3=$J$3,M49:CR49))</f>
        <v>0.7</v>
      </c>
      <c r="K49" s="11" cm="1">
        <f t="array" ref="K49">MAX(IF($M$3:$CR$3=$J$3,M49:CR49))</f>
        <v>0.7</v>
      </c>
      <c r="L49" s="9"/>
      <c r="O49" s="10">
        <v>0.7</v>
      </c>
      <c r="P49" s="10"/>
      <c r="Q49" s="10"/>
      <c r="R49" s="10"/>
      <c r="V49" s="10"/>
      <c r="W49" s="10"/>
      <c r="X49" s="10"/>
      <c r="Y49" s="10">
        <v>1</v>
      </c>
      <c r="AC49" s="10"/>
      <c r="AD49" s="10">
        <v>1</v>
      </c>
      <c r="AE49" s="10"/>
      <c r="AF49" s="10">
        <v>1</v>
      </c>
      <c r="AJ49" s="10"/>
      <c r="AK49" s="10">
        <v>1</v>
      </c>
      <c r="AL49" s="10"/>
      <c r="AM49" s="10">
        <v>1</v>
      </c>
      <c r="AQ49" s="10"/>
      <c r="AR49" s="10">
        <v>1</v>
      </c>
      <c r="AS49" s="10"/>
      <c r="AT49" s="10">
        <v>1</v>
      </c>
      <c r="AX49" s="10"/>
      <c r="AY49" s="10"/>
      <c r="AZ49" s="10"/>
      <c r="BA49" s="10"/>
      <c r="BE49" s="10"/>
      <c r="BF49" s="10"/>
      <c r="BG49" s="10"/>
      <c r="BH49" s="10"/>
      <c r="BL49" s="10"/>
      <c r="BM49" s="10"/>
      <c r="BN49" s="10"/>
      <c r="BO49" s="10"/>
    </row>
    <row r="50" spans="2:67" outlineLevel="1">
      <c r="B50" t="s">
        <v>29</v>
      </c>
      <c r="C50" t="s">
        <v>125</v>
      </c>
      <c r="E50" s="9"/>
      <c r="F50" t="s">
        <v>134</v>
      </c>
      <c r="G50" s="10">
        <v>0.05</v>
      </c>
      <c r="I50" s="9">
        <f t="shared" si="2"/>
        <v>0</v>
      </c>
      <c r="J50" s="11" cm="1">
        <f t="array" ref="J50">MAX(IF($M$3:$CR$3=$J$3,M50:CR50))</f>
        <v>0.3</v>
      </c>
      <c r="K50" s="11" cm="1">
        <f t="array" ref="K50">MAX(IF($M$3:$CR$3=$J$3,M50:CR50))</f>
        <v>0.3</v>
      </c>
      <c r="L50" s="9"/>
      <c r="O50" s="10">
        <v>0.3</v>
      </c>
      <c r="P50" s="10"/>
      <c r="Q50" s="10"/>
      <c r="R50" s="10"/>
      <c r="V50" s="10"/>
      <c r="W50" s="10"/>
      <c r="X50" s="10"/>
      <c r="Y50" s="10">
        <v>1</v>
      </c>
      <c r="AC50" s="10"/>
      <c r="AD50" s="10">
        <v>1</v>
      </c>
      <c r="AE50" s="10"/>
      <c r="AF50" s="10">
        <v>1</v>
      </c>
      <c r="AJ50" s="10"/>
      <c r="AK50" s="10">
        <v>1</v>
      </c>
      <c r="AL50" s="10"/>
      <c r="AM50" s="10">
        <v>1</v>
      </c>
      <c r="AQ50" s="10"/>
      <c r="AR50" s="10">
        <v>1</v>
      </c>
      <c r="AS50" s="10"/>
      <c r="AT50" s="10">
        <v>1</v>
      </c>
      <c r="AX50" s="10"/>
      <c r="AY50" s="10"/>
      <c r="AZ50" s="10"/>
      <c r="BA50" s="10"/>
      <c r="BE50" s="10"/>
      <c r="BF50" s="10"/>
      <c r="BG50" s="10"/>
      <c r="BH50" s="10"/>
      <c r="BL50" s="10"/>
      <c r="BM50" s="10"/>
      <c r="BN50" s="10"/>
      <c r="BO50" s="10"/>
    </row>
    <row r="51" spans="2:67" outlineLevel="1">
      <c r="B51" t="s">
        <v>29</v>
      </c>
      <c r="C51" t="s">
        <v>125</v>
      </c>
      <c r="E51" s="9"/>
      <c r="F51" t="s">
        <v>135</v>
      </c>
      <c r="G51" s="10">
        <v>0.05</v>
      </c>
      <c r="I51" s="9">
        <f t="shared" si="2"/>
        <v>0</v>
      </c>
      <c r="J51" s="11" cm="1">
        <f t="array" ref="J51">MAX(IF($M$3:$CR$3=$J$3,M51:CR51))</f>
        <v>0.2</v>
      </c>
      <c r="K51" s="11" cm="1">
        <f t="array" ref="K51">MAX(IF($M$3:$CR$3=$J$3,M51:CR51))</f>
        <v>0.2</v>
      </c>
      <c r="L51" s="9"/>
      <c r="O51" s="10">
        <v>0.2</v>
      </c>
      <c r="P51" s="10"/>
      <c r="Q51" s="10"/>
      <c r="R51" s="10"/>
      <c r="V51" s="10"/>
      <c r="W51" s="10"/>
      <c r="X51" s="10"/>
      <c r="Y51" s="10">
        <v>0.8</v>
      </c>
      <c r="AC51" s="10"/>
      <c r="AD51" s="10">
        <v>1</v>
      </c>
      <c r="AE51" s="10"/>
      <c r="AF51" s="10">
        <v>1</v>
      </c>
      <c r="AJ51" s="10"/>
      <c r="AK51" s="10">
        <v>1</v>
      </c>
      <c r="AL51" s="10"/>
      <c r="AM51" s="10">
        <v>1</v>
      </c>
      <c r="AQ51" s="10"/>
      <c r="AR51" s="10">
        <v>1</v>
      </c>
      <c r="AS51" s="10"/>
      <c r="AT51" s="10">
        <v>1</v>
      </c>
      <c r="AX51" s="10"/>
      <c r="AY51" s="10"/>
      <c r="AZ51" s="10"/>
      <c r="BA51" s="10"/>
      <c r="BE51" s="10"/>
      <c r="BF51" s="10"/>
      <c r="BG51" s="10"/>
      <c r="BH51" s="10"/>
      <c r="BL51" s="10"/>
      <c r="BM51" s="10"/>
      <c r="BN51" s="10"/>
      <c r="BO51" s="10"/>
    </row>
    <row r="52" spans="2:67" outlineLevel="1">
      <c r="B52" t="s">
        <v>29</v>
      </c>
      <c r="C52" t="s">
        <v>125</v>
      </c>
      <c r="E52" s="9"/>
      <c r="F52" t="s">
        <v>136</v>
      </c>
      <c r="G52" s="10">
        <v>0.1</v>
      </c>
      <c r="I52" s="9">
        <f t="shared" si="2"/>
        <v>0</v>
      </c>
      <c r="J52" s="11" cm="1">
        <f t="array" ref="J52">MAX(IF($M$3:$CR$3=$J$3,M52:CR52))</f>
        <v>0</v>
      </c>
      <c r="K52" s="11" cm="1">
        <f t="array" ref="K52">MAX(IF($M$3:$CR$3=$J$3,M52:CR52))</f>
        <v>0</v>
      </c>
      <c r="L52" s="9"/>
      <c r="O52" s="10"/>
      <c r="P52" s="10"/>
      <c r="Q52" s="10"/>
      <c r="R52" s="10"/>
      <c r="V52" s="10"/>
      <c r="W52" s="10"/>
      <c r="X52" s="10"/>
      <c r="Y52" s="10">
        <v>0.8</v>
      </c>
      <c r="AC52" s="10"/>
      <c r="AD52" s="10">
        <v>0.8</v>
      </c>
      <c r="AE52" s="10"/>
      <c r="AF52" s="10">
        <v>0.8</v>
      </c>
      <c r="AJ52" s="10"/>
      <c r="AK52" s="10">
        <v>1</v>
      </c>
      <c r="AL52" s="10"/>
      <c r="AM52" s="10">
        <v>1</v>
      </c>
      <c r="AQ52" s="10"/>
      <c r="AR52" s="10">
        <v>1</v>
      </c>
      <c r="AS52" s="10"/>
      <c r="AT52" s="10">
        <v>1</v>
      </c>
      <c r="AX52" s="10"/>
      <c r="AY52" s="10"/>
      <c r="AZ52" s="10"/>
      <c r="BA52" s="10"/>
      <c r="BE52" s="10"/>
      <c r="BF52" s="10"/>
      <c r="BG52" s="10"/>
      <c r="BH52" s="10"/>
      <c r="BL52" s="10"/>
      <c r="BM52" s="10"/>
      <c r="BN52" s="10"/>
      <c r="BO52" s="10"/>
    </row>
    <row r="53" spans="2:67" outlineLevel="1">
      <c r="B53" t="s">
        <v>29</v>
      </c>
      <c r="C53" t="s">
        <v>125</v>
      </c>
      <c r="E53" s="9"/>
      <c r="F53" t="s">
        <v>137</v>
      </c>
      <c r="G53" s="10">
        <v>0.1</v>
      </c>
      <c r="I53" s="9">
        <f t="shared" si="2"/>
        <v>0</v>
      </c>
      <c r="J53" s="11" cm="1">
        <f t="array" ref="J53">MAX(IF($M$3:$CR$3=$J$3,M53:CR53))</f>
        <v>0</v>
      </c>
      <c r="K53" s="11" cm="1">
        <f t="array" ref="K53">MAX(IF($M$3:$CR$3=$J$3,M53:CR53))</f>
        <v>0</v>
      </c>
      <c r="L53" s="9"/>
      <c r="O53" s="10"/>
      <c r="P53" s="10"/>
      <c r="Q53" s="10"/>
      <c r="R53" s="10"/>
      <c r="V53" s="10"/>
      <c r="W53" s="10"/>
      <c r="X53" s="10"/>
      <c r="Y53" s="10">
        <v>0.8</v>
      </c>
      <c r="AC53" s="10"/>
      <c r="AD53" s="10">
        <v>0.8</v>
      </c>
      <c r="AE53" s="10"/>
      <c r="AF53" s="10">
        <v>0.8</v>
      </c>
      <c r="AJ53" s="10"/>
      <c r="AK53" s="10">
        <v>1</v>
      </c>
      <c r="AL53" s="10"/>
      <c r="AM53" s="10">
        <v>1</v>
      </c>
      <c r="AQ53" s="10"/>
      <c r="AR53" s="10">
        <v>1</v>
      </c>
      <c r="AS53" s="10"/>
      <c r="AT53" s="10">
        <v>1</v>
      </c>
      <c r="AX53" s="10"/>
      <c r="AY53" s="10"/>
      <c r="AZ53" s="10"/>
      <c r="BA53" s="10"/>
      <c r="BE53" s="10"/>
      <c r="BF53" s="10"/>
      <c r="BG53" s="10"/>
      <c r="BH53" s="10"/>
      <c r="BL53" s="10"/>
      <c r="BM53" s="10"/>
      <c r="BN53" s="10"/>
      <c r="BO53" s="10"/>
    </row>
    <row r="54" spans="2:67" outlineLevel="1">
      <c r="B54" t="s">
        <v>29</v>
      </c>
      <c r="C54" t="s">
        <v>125</v>
      </c>
      <c r="E54" s="9"/>
      <c r="F54" t="s">
        <v>138</v>
      </c>
      <c r="G54" s="10">
        <v>0.1</v>
      </c>
      <c r="I54" s="9">
        <f t="shared" si="2"/>
        <v>0</v>
      </c>
      <c r="J54" s="11" cm="1">
        <f t="array" ref="J54">MAX(IF($M$3:$CR$3=$J$3,M54:CR54))</f>
        <v>0</v>
      </c>
      <c r="K54" s="11" cm="1">
        <f t="array" ref="K54">MAX(IF($M$3:$CR$3=$J$3,M54:CR54))</f>
        <v>0</v>
      </c>
      <c r="L54" s="9"/>
      <c r="O54" s="10"/>
      <c r="P54" s="10"/>
      <c r="Q54" s="10"/>
      <c r="R54" s="10"/>
      <c r="V54" s="10"/>
      <c r="W54" s="10"/>
      <c r="X54" s="10"/>
      <c r="Y54" s="10">
        <v>0.8</v>
      </c>
      <c r="AC54" s="10"/>
      <c r="AD54" s="10">
        <v>0.8</v>
      </c>
      <c r="AE54" s="10"/>
      <c r="AF54" s="10">
        <v>0.8</v>
      </c>
      <c r="AJ54" s="10"/>
      <c r="AK54" s="10">
        <v>1</v>
      </c>
      <c r="AL54" s="10"/>
      <c r="AM54" s="10">
        <v>1</v>
      </c>
      <c r="AQ54" s="10"/>
      <c r="AR54" s="10">
        <v>1</v>
      </c>
      <c r="AS54" s="10"/>
      <c r="AT54" s="10">
        <v>1</v>
      </c>
      <c r="AX54" s="10"/>
      <c r="AY54" s="10"/>
      <c r="AZ54" s="10"/>
      <c r="BA54" s="10"/>
      <c r="BE54" s="10"/>
      <c r="BF54" s="10"/>
      <c r="BG54" s="10"/>
      <c r="BH54" s="10"/>
      <c r="BL54" s="10"/>
      <c r="BM54" s="10"/>
      <c r="BN54" s="10"/>
      <c r="BO54" s="10"/>
    </row>
  </sheetData>
  <mergeCells count="9">
    <mergeCell ref="I2:L2"/>
    <mergeCell ref="N2:S2"/>
    <mergeCell ref="BD2:BI2"/>
    <mergeCell ref="BK2:BP2"/>
    <mergeCell ref="U2:Z2"/>
    <mergeCell ref="AB2:AG2"/>
    <mergeCell ref="AI2:AN2"/>
    <mergeCell ref="AP2:AU2"/>
    <mergeCell ref="AW2:BB2"/>
  </mergeCells>
  <conditionalFormatting sqref="Q30:Q39 X30:X39 V30:V39 AL5:AL8 X21:X24 V21:V24 AE21:AE24 AC21:AC24 AL21:AL24 AJ21:AJ24 AS21:AS24 AQ21:AQ24 AZ21:AZ24 AX21:AX24 BG21:BG24 BE21:BE24 BN21:BN24 BL21:BL24 Q44:Q54 X44:X54 V44:V54 AE44:AE54 AC44:AC54 AL44:AL54 AJ44:AJ54 AS44:AS54 AQ44:AQ54 AZ44:AZ54 AX44:AX54 BG44:BG54 BE44:BE54 BN44:BN54 BL44:BL54 V5:V15 X5:X15 AC5:AC15 AE5:AE15 AX5:AX15 AZ5:AZ15 BE5:BE15 BG5:BG15 BN5:BN15 O5:O15 Q5:Q15 AJ5:AJ15 BL7:BL15 AQ5:AQ15 AS7:AS15">
    <cfRule type="expression" dxfId="171" priority="575">
      <formula>OR(IF(O5&lt;P5,TRUE),IF(AND(P5="",O5&lt;&gt;""),TRUE))</formula>
    </cfRule>
    <cfRule type="expression" dxfId="170" priority="576">
      <formula>IF(O5&gt;=P5,IF(O5="",FALSE,TRUE))</formula>
    </cfRule>
  </conditionalFormatting>
  <conditionalFormatting sqref="O18 Q18">
    <cfRule type="expression" dxfId="169" priority="410">
      <formula>OR(IF(O18&lt;P18,TRUE),IF(AND(P18="",O18&lt;&gt;""),TRUE))</formula>
    </cfRule>
    <cfRule type="expression" dxfId="168" priority="411">
      <formula>IF(O18&gt;=P18,IF(O18="",FALSE,TRUE))</formula>
    </cfRule>
  </conditionalFormatting>
  <conditionalFormatting sqref="Q28:Q29">
    <cfRule type="expression" dxfId="167" priority="404">
      <formula>OR(IF(Q28&lt;R28,TRUE),IF(AND(R28="",Q28&lt;&gt;""),TRUE))</formula>
    </cfRule>
    <cfRule type="expression" dxfId="166" priority="405">
      <formula>IF(Q28&gt;=R28,IF(Q28="",FALSE,TRUE))</formula>
    </cfRule>
  </conditionalFormatting>
  <conditionalFormatting sqref="V18 X18">
    <cfRule type="expression" dxfId="165" priority="386">
      <formula>OR(IF(V18&lt;W18,TRUE),IF(AND(W18="",V18&lt;&gt;""),TRUE))</formula>
    </cfRule>
    <cfRule type="expression" dxfId="164" priority="387">
      <formula>IF(V18&gt;=W18,IF(V18="",FALSE,TRUE))</formula>
    </cfRule>
  </conditionalFormatting>
  <conditionalFormatting sqref="V28:V29">
    <cfRule type="expression" dxfId="163" priority="382">
      <formula>OR(IF(V28&lt;W28,TRUE),IF(AND(W28="",V28&lt;&gt;""),TRUE))</formula>
    </cfRule>
    <cfRule type="expression" dxfId="162" priority="383">
      <formula>IF(V28&gt;=W28,IF(V28="",FALSE,TRUE))</formula>
    </cfRule>
  </conditionalFormatting>
  <conditionalFormatting sqref="X28:X29">
    <cfRule type="expression" dxfId="161" priority="380">
      <formula>OR(IF(X28&lt;Y28,TRUE),IF(AND(Y28="",X28&lt;&gt;""),TRUE))</formula>
    </cfRule>
    <cfRule type="expression" dxfId="160" priority="381">
      <formula>IF(X28&gt;=Y28,IF(X28="",FALSE,TRUE))</formula>
    </cfRule>
  </conditionalFormatting>
  <conditionalFormatting sqref="V25">
    <cfRule type="expression" dxfId="159" priority="378">
      <formula>OR(IF(V25&lt;W25,TRUE),IF(AND(W25="",V25&lt;&gt;""),TRUE))</formula>
    </cfRule>
    <cfRule type="expression" dxfId="158" priority="379">
      <formula>IF(V25&gt;=W25,IF(V25="",FALSE,TRUE))</formula>
    </cfRule>
  </conditionalFormatting>
  <conditionalFormatting sqref="X25">
    <cfRule type="expression" dxfId="157" priority="376">
      <formula>OR(IF(X25&lt;Y25,TRUE),IF(AND(Y25="",X25&lt;&gt;""),TRUE))</formula>
    </cfRule>
    <cfRule type="expression" dxfId="156" priority="377">
      <formula>IF(X25&gt;=Y25,IF(X25="",FALSE,TRUE))</formula>
    </cfRule>
  </conditionalFormatting>
  <conditionalFormatting sqref="Q42:Q43">
    <cfRule type="expression" dxfId="155" priority="253">
      <formula>OR(IF(Q42&lt;R42,TRUE),IF(AND(R42="",Q42&lt;&gt;""),TRUE))</formula>
    </cfRule>
    <cfRule type="expression" dxfId="154" priority="254">
      <formula>IF(Q42&gt;=R42,IF(Q42="",FALSE,TRUE))</formula>
    </cfRule>
  </conditionalFormatting>
  <conditionalFormatting sqref="V42:V43">
    <cfRule type="expression" dxfId="153" priority="244">
      <formula>OR(IF(V42&lt;W42,TRUE),IF(AND(W42="",V42&lt;&gt;""),TRUE))</formula>
    </cfRule>
    <cfRule type="expression" dxfId="152" priority="245">
      <formula>IF(V42&gt;=W42,IF(V42="",FALSE,TRUE))</formula>
    </cfRule>
  </conditionalFormatting>
  <conditionalFormatting sqref="X42:X43">
    <cfRule type="expression" dxfId="151" priority="242">
      <formula>OR(IF(X42&lt;Y42,TRUE),IF(AND(Y42="",X42&lt;&gt;""),TRUE))</formula>
    </cfRule>
    <cfRule type="expression" dxfId="150" priority="243">
      <formula>IF(X42&gt;=Y42,IF(X42="",FALSE,TRUE))</formula>
    </cfRule>
  </conditionalFormatting>
  <conditionalFormatting sqref="O19:O25 Q19:Q25">
    <cfRule type="expression" dxfId="149" priority="157">
      <formula>OR(IF(O19&lt;P19,TRUE),IF(AND(P19="",O19&lt;&gt;""),TRUE))</formula>
    </cfRule>
    <cfRule type="expression" dxfId="148" priority="158">
      <formula>IF(O19&gt;=P19,IF(O19="",FALSE,TRUE))</formula>
    </cfRule>
  </conditionalFormatting>
  <conditionalFormatting sqref="J19:K19">
    <cfRule type="colorScale" priority="156">
      <colorScale>
        <cfvo type="percent" val="0"/>
        <cfvo type="percent" val="100"/>
        <color rgb="FFFF231B"/>
        <color rgb="FF10FF07"/>
      </colorScale>
    </cfRule>
  </conditionalFormatting>
  <conditionalFormatting sqref="J19">
    <cfRule type="colorScale" priority="155">
      <colorScale>
        <cfvo type="percent" val="0"/>
        <cfvo type="percent" val="100"/>
        <color rgb="FFFF231B"/>
        <color rgb="FF10FF07"/>
      </colorScale>
    </cfRule>
  </conditionalFormatting>
  <conditionalFormatting sqref="K19">
    <cfRule type="colorScale" priority="154">
      <colorScale>
        <cfvo type="percent" val="0"/>
        <cfvo type="percent" val="100"/>
        <color rgb="FFFF231B"/>
        <color rgb="FF10FF07"/>
      </colorScale>
    </cfRule>
  </conditionalFormatting>
  <conditionalFormatting sqref="V19 X19">
    <cfRule type="expression" dxfId="147" priority="152">
      <formula>OR(IF(V19&lt;W19,TRUE),IF(AND(W19="",V19&lt;&gt;""),TRUE))</formula>
    </cfRule>
    <cfRule type="expression" dxfId="146" priority="153">
      <formula>IF(V19&gt;=W19,IF(V19="",FALSE,TRUE))</formula>
    </cfRule>
  </conditionalFormatting>
  <conditionalFormatting sqref="J20:K20">
    <cfRule type="colorScale" priority="137">
      <colorScale>
        <cfvo type="percent" val="0"/>
        <cfvo type="percent" val="100"/>
        <color rgb="FFFF231B"/>
        <color rgb="FF10FF07"/>
      </colorScale>
    </cfRule>
  </conditionalFormatting>
  <conditionalFormatting sqref="J20">
    <cfRule type="colorScale" priority="136">
      <colorScale>
        <cfvo type="percent" val="0"/>
        <cfvo type="percent" val="100"/>
        <color rgb="FFFF231B"/>
        <color rgb="FF10FF07"/>
      </colorScale>
    </cfRule>
  </conditionalFormatting>
  <conditionalFormatting sqref="K20">
    <cfRule type="colorScale" priority="135">
      <colorScale>
        <cfvo type="percent" val="0"/>
        <cfvo type="percent" val="100"/>
        <color rgb="FFFF231B"/>
        <color rgb="FF10FF07"/>
      </colorScale>
    </cfRule>
  </conditionalFormatting>
  <conditionalFormatting sqref="X20 V20">
    <cfRule type="expression" dxfId="145" priority="133">
      <formula>OR(IF(V20&lt;W20,TRUE),IF(AND(W20="",V20&lt;&gt;""),TRUE))</formula>
    </cfRule>
    <cfRule type="expression" dxfId="144" priority="134">
      <formula>IF(V20&gt;=W20,IF(V20="",FALSE,TRUE))</formula>
    </cfRule>
  </conditionalFormatting>
  <conditionalFormatting sqref="J29:K39">
    <cfRule type="colorScale" priority="665">
      <colorScale>
        <cfvo type="percent" val="0"/>
        <cfvo type="percent" val="100"/>
        <color rgb="FFFF231B"/>
        <color rgb="FF10FF07"/>
      </colorScale>
    </cfRule>
  </conditionalFormatting>
  <conditionalFormatting sqref="J28:J39">
    <cfRule type="colorScale" priority="667">
      <colorScale>
        <cfvo type="percent" val="0"/>
        <cfvo type="percent" val="100"/>
        <color rgb="FFFF231B"/>
        <color rgb="FF10FF07"/>
      </colorScale>
    </cfRule>
  </conditionalFormatting>
  <conditionalFormatting sqref="K28:K39">
    <cfRule type="colorScale" priority="669">
      <colorScale>
        <cfvo type="percent" val="0"/>
        <cfvo type="percent" val="100"/>
        <color rgb="FFFF231B"/>
        <color rgb="FF10FF07"/>
      </colorScale>
    </cfRule>
  </conditionalFormatting>
  <conditionalFormatting sqref="J43:K48">
    <cfRule type="colorScale" priority="698">
      <colorScale>
        <cfvo type="percent" val="0"/>
        <cfvo type="percent" val="100"/>
        <color rgb="FFFF231B"/>
        <color rgb="FF10FF07"/>
      </colorScale>
    </cfRule>
  </conditionalFormatting>
  <conditionalFormatting sqref="J42:J48">
    <cfRule type="colorScale" priority="700">
      <colorScale>
        <cfvo type="percent" val="0"/>
        <cfvo type="percent" val="100"/>
        <color rgb="FFFF231B"/>
        <color rgb="FF10FF07"/>
      </colorScale>
    </cfRule>
  </conditionalFormatting>
  <conditionalFormatting sqref="K42:K48">
    <cfRule type="colorScale" priority="702">
      <colorScale>
        <cfvo type="percent" val="0"/>
        <cfvo type="percent" val="100"/>
        <color rgb="FFFF231B"/>
        <color rgb="FF10FF07"/>
      </colorScale>
    </cfRule>
  </conditionalFormatting>
  <conditionalFormatting sqref="AE30:AE39 AC30:AC39">
    <cfRule type="expression" dxfId="143" priority="131">
      <formula>OR(IF(AC30&lt;AD30,TRUE),IF(AND(AD30="",AC30&lt;&gt;""),TRUE))</formula>
    </cfRule>
    <cfRule type="expression" dxfId="142" priority="132">
      <formula>IF(AC30&gt;=AD30,IF(AC30="",FALSE,TRUE))</formula>
    </cfRule>
  </conditionalFormatting>
  <conditionalFormatting sqref="AC18 AE18">
    <cfRule type="expression" dxfId="141" priority="129">
      <formula>OR(IF(AC18&lt;AD18,TRUE),IF(AND(AD18="",AC18&lt;&gt;""),TRUE))</formula>
    </cfRule>
    <cfRule type="expression" dxfId="140" priority="130">
      <formula>IF(AC18&gt;=AD18,IF(AC18="",FALSE,TRUE))</formula>
    </cfRule>
  </conditionalFormatting>
  <conditionalFormatting sqref="AC28:AC29">
    <cfRule type="expression" dxfId="139" priority="127">
      <formula>OR(IF(AC28&lt;AD28,TRUE),IF(AND(AD28="",AC28&lt;&gt;""),TRUE))</formula>
    </cfRule>
    <cfRule type="expression" dxfId="138" priority="128">
      <formula>IF(AC28&gt;=AD28,IF(AC28="",FALSE,TRUE))</formula>
    </cfRule>
  </conditionalFormatting>
  <conditionalFormatting sqref="AE28:AE29">
    <cfRule type="expression" dxfId="137" priority="125">
      <formula>OR(IF(AE28&lt;AF28,TRUE),IF(AND(AF28="",AE28&lt;&gt;""),TRUE))</formula>
    </cfRule>
    <cfRule type="expression" dxfId="136" priority="126">
      <formula>IF(AE28&gt;=AF28,IF(AE28="",FALSE,TRUE))</formula>
    </cfRule>
  </conditionalFormatting>
  <conditionalFormatting sqref="AC25">
    <cfRule type="expression" dxfId="135" priority="123">
      <formula>OR(IF(AC25&lt;AD25,TRUE),IF(AND(AD25="",AC25&lt;&gt;""),TRUE))</formula>
    </cfRule>
    <cfRule type="expression" dxfId="134" priority="124">
      <formula>IF(AC25&gt;=AD25,IF(AC25="",FALSE,TRUE))</formula>
    </cfRule>
  </conditionalFormatting>
  <conditionalFormatting sqref="AE25">
    <cfRule type="expression" dxfId="133" priority="121">
      <formula>OR(IF(AE25&lt;AF25,TRUE),IF(AND(AF25="",AE25&lt;&gt;""),TRUE))</formula>
    </cfRule>
    <cfRule type="expression" dxfId="132" priority="122">
      <formula>IF(AE25&gt;=AF25,IF(AE25="",FALSE,TRUE))</formula>
    </cfRule>
  </conditionalFormatting>
  <conditionalFormatting sqref="AC42:AC43">
    <cfRule type="expression" dxfId="131" priority="119">
      <formula>OR(IF(AC42&lt;AD42,TRUE),IF(AND(AD42="",AC42&lt;&gt;""),TRUE))</formula>
    </cfRule>
    <cfRule type="expression" dxfId="130" priority="120">
      <formula>IF(AC42&gt;=AD42,IF(AC42="",FALSE,TRUE))</formula>
    </cfRule>
  </conditionalFormatting>
  <conditionalFormatting sqref="AE42:AE43">
    <cfRule type="expression" dxfId="129" priority="117">
      <formula>OR(IF(AE42&lt;AF42,TRUE),IF(AND(AF42="",AE42&lt;&gt;""),TRUE))</formula>
    </cfRule>
    <cfRule type="expression" dxfId="128" priority="118">
      <formula>IF(AE42&gt;=AF42,IF(AE42="",FALSE,TRUE))</formula>
    </cfRule>
  </conditionalFormatting>
  <conditionalFormatting sqref="AC19 AE19">
    <cfRule type="expression" dxfId="127" priority="115">
      <formula>OR(IF(AC19&lt;AD19,TRUE),IF(AND(AD19="",AC19&lt;&gt;""),TRUE))</formula>
    </cfRule>
    <cfRule type="expression" dxfId="126" priority="116">
      <formula>IF(AC19&gt;=AD19,IF(AC19="",FALSE,TRUE))</formula>
    </cfRule>
  </conditionalFormatting>
  <conditionalFormatting sqref="AE20 AC20">
    <cfRule type="expression" dxfId="125" priority="113">
      <formula>OR(IF(AC20&lt;AD20,TRUE),IF(AND(AD20="",AC20&lt;&gt;""),TRUE))</formula>
    </cfRule>
    <cfRule type="expression" dxfId="124" priority="114">
      <formula>IF(AC20&gt;=AD20,IF(AC20="",FALSE,TRUE))</formula>
    </cfRule>
  </conditionalFormatting>
  <conditionalFormatting sqref="AL30:AL39 AJ30:AJ39">
    <cfRule type="expression" dxfId="123" priority="111">
      <formula>OR(IF(AJ30&lt;AK30,TRUE),IF(AND(AK30="",AJ30&lt;&gt;""),TRUE))</formula>
    </cfRule>
    <cfRule type="expression" dxfId="122" priority="112">
      <formula>IF(AJ30&gt;=AK30,IF(AJ30="",FALSE,TRUE))</formula>
    </cfRule>
  </conditionalFormatting>
  <conditionalFormatting sqref="AJ18 AL18">
    <cfRule type="expression" dxfId="121" priority="109">
      <formula>OR(IF(AJ18&lt;AK18,TRUE),IF(AND(AK18="",AJ18&lt;&gt;""),TRUE))</formula>
    </cfRule>
    <cfRule type="expression" dxfId="120" priority="110">
      <formula>IF(AJ18&gt;=AK18,IF(AJ18="",FALSE,TRUE))</formula>
    </cfRule>
  </conditionalFormatting>
  <conditionalFormatting sqref="AJ28:AJ29">
    <cfRule type="expression" dxfId="119" priority="107">
      <formula>OR(IF(AJ28&lt;AK28,TRUE),IF(AND(AK28="",AJ28&lt;&gt;""),TRUE))</formula>
    </cfRule>
    <cfRule type="expression" dxfId="118" priority="108">
      <formula>IF(AJ28&gt;=AK28,IF(AJ28="",FALSE,TRUE))</formula>
    </cfRule>
  </conditionalFormatting>
  <conditionalFormatting sqref="AL28:AL29">
    <cfRule type="expression" dxfId="117" priority="105">
      <formula>OR(IF(AL28&lt;AM28,TRUE),IF(AND(AM28="",AL28&lt;&gt;""),TRUE))</formula>
    </cfRule>
    <cfRule type="expression" dxfId="116" priority="106">
      <formula>IF(AL28&gt;=AM28,IF(AL28="",FALSE,TRUE))</formula>
    </cfRule>
  </conditionalFormatting>
  <conditionalFormatting sqref="AJ25">
    <cfRule type="expression" dxfId="115" priority="103">
      <formula>OR(IF(AJ25&lt;AK25,TRUE),IF(AND(AK25="",AJ25&lt;&gt;""),TRUE))</formula>
    </cfRule>
    <cfRule type="expression" dxfId="114" priority="104">
      <formula>IF(AJ25&gt;=AK25,IF(AJ25="",FALSE,TRUE))</formula>
    </cfRule>
  </conditionalFormatting>
  <conditionalFormatting sqref="AL25">
    <cfRule type="expression" dxfId="113" priority="101">
      <formula>OR(IF(AL25&lt;AM25,TRUE),IF(AND(AM25="",AL25&lt;&gt;""),TRUE))</formula>
    </cfRule>
    <cfRule type="expression" dxfId="112" priority="102">
      <formula>IF(AL25&gt;=AM25,IF(AL25="",FALSE,TRUE))</formula>
    </cfRule>
  </conditionalFormatting>
  <conditionalFormatting sqref="AJ42:AJ43">
    <cfRule type="expression" dxfId="111" priority="99">
      <formula>OR(IF(AJ42&lt;AK42,TRUE),IF(AND(AK42="",AJ42&lt;&gt;""),TRUE))</formula>
    </cfRule>
    <cfRule type="expression" dxfId="110" priority="100">
      <formula>IF(AJ42&gt;=AK42,IF(AJ42="",FALSE,TRUE))</formula>
    </cfRule>
  </conditionalFormatting>
  <conditionalFormatting sqref="AL42:AL43">
    <cfRule type="expression" dxfId="109" priority="97">
      <formula>OR(IF(AL42&lt;AM42,TRUE),IF(AND(AM42="",AL42&lt;&gt;""),TRUE))</formula>
    </cfRule>
    <cfRule type="expression" dxfId="108" priority="98">
      <formula>IF(AL42&gt;=AM42,IF(AL42="",FALSE,TRUE))</formula>
    </cfRule>
  </conditionalFormatting>
  <conditionalFormatting sqref="AJ19 AL19">
    <cfRule type="expression" dxfId="107" priority="95">
      <formula>OR(IF(AJ19&lt;AK19,TRUE),IF(AND(AK19="",AJ19&lt;&gt;""),TRUE))</formula>
    </cfRule>
    <cfRule type="expression" dxfId="106" priority="96">
      <formula>IF(AJ19&gt;=AK19,IF(AJ19="",FALSE,TRUE))</formula>
    </cfRule>
  </conditionalFormatting>
  <conditionalFormatting sqref="AL20 AJ20">
    <cfRule type="expression" dxfId="105" priority="93">
      <formula>OR(IF(AJ20&lt;AK20,TRUE),IF(AND(AK20="",AJ20&lt;&gt;""),TRUE))</formula>
    </cfRule>
    <cfRule type="expression" dxfId="104" priority="94">
      <formula>IF(AJ20&gt;=AK20,IF(AJ20="",FALSE,TRUE))</formula>
    </cfRule>
  </conditionalFormatting>
  <conditionalFormatting sqref="AS30:AS39 AQ30:AQ39">
    <cfRule type="expression" dxfId="103" priority="91">
      <formula>OR(IF(AQ30&lt;AR30,TRUE),IF(AND(AR30="",AQ30&lt;&gt;""),TRUE))</formula>
    </cfRule>
    <cfRule type="expression" dxfId="102" priority="92">
      <formula>IF(AQ30&gt;=AR30,IF(AQ30="",FALSE,TRUE))</formula>
    </cfRule>
  </conditionalFormatting>
  <conditionalFormatting sqref="AQ18 AS18">
    <cfRule type="expression" dxfId="101" priority="89">
      <formula>OR(IF(AQ18&lt;AR18,TRUE),IF(AND(AR18="",AQ18&lt;&gt;""),TRUE))</formula>
    </cfRule>
    <cfRule type="expression" dxfId="100" priority="90">
      <formula>IF(AQ18&gt;=AR18,IF(AQ18="",FALSE,TRUE))</formula>
    </cfRule>
  </conditionalFormatting>
  <conditionalFormatting sqref="AQ28:AQ29">
    <cfRule type="expression" dxfId="99" priority="87">
      <formula>OR(IF(AQ28&lt;AR28,TRUE),IF(AND(AR28="",AQ28&lt;&gt;""),TRUE))</formula>
    </cfRule>
    <cfRule type="expression" dxfId="98" priority="88">
      <formula>IF(AQ28&gt;=AR28,IF(AQ28="",FALSE,TRUE))</formula>
    </cfRule>
  </conditionalFormatting>
  <conditionalFormatting sqref="AS28:AS29">
    <cfRule type="expression" dxfId="97" priority="85">
      <formula>OR(IF(AS28&lt;AT28,TRUE),IF(AND(AT28="",AS28&lt;&gt;""),TRUE))</formula>
    </cfRule>
    <cfRule type="expression" dxfId="96" priority="86">
      <formula>IF(AS28&gt;=AT28,IF(AS28="",FALSE,TRUE))</formula>
    </cfRule>
  </conditionalFormatting>
  <conditionalFormatting sqref="AQ25">
    <cfRule type="expression" dxfId="95" priority="83">
      <formula>OR(IF(AQ25&lt;AR25,TRUE),IF(AND(AR25="",AQ25&lt;&gt;""),TRUE))</formula>
    </cfRule>
    <cfRule type="expression" dxfId="94" priority="84">
      <formula>IF(AQ25&gt;=AR25,IF(AQ25="",FALSE,TRUE))</formula>
    </cfRule>
  </conditionalFormatting>
  <conditionalFormatting sqref="AS25">
    <cfRule type="expression" dxfId="93" priority="81">
      <formula>OR(IF(AS25&lt;AT25,TRUE),IF(AND(AT25="",AS25&lt;&gt;""),TRUE))</formula>
    </cfRule>
    <cfRule type="expression" dxfId="92" priority="82">
      <formula>IF(AS25&gt;=AT25,IF(AS25="",FALSE,TRUE))</formula>
    </cfRule>
  </conditionalFormatting>
  <conditionalFormatting sqref="AQ42:AQ43">
    <cfRule type="expression" dxfId="91" priority="79">
      <formula>OR(IF(AQ42&lt;AR42,TRUE),IF(AND(AR42="",AQ42&lt;&gt;""),TRUE))</formula>
    </cfRule>
    <cfRule type="expression" dxfId="90" priority="80">
      <formula>IF(AQ42&gt;=AR42,IF(AQ42="",FALSE,TRUE))</formula>
    </cfRule>
  </conditionalFormatting>
  <conditionalFormatting sqref="AS42:AS43">
    <cfRule type="expression" dxfId="89" priority="77">
      <formula>OR(IF(AS42&lt;AT42,TRUE),IF(AND(AT42="",AS42&lt;&gt;""),TRUE))</formula>
    </cfRule>
    <cfRule type="expression" dxfId="88" priority="78">
      <formula>IF(AS42&gt;=AT42,IF(AS42="",FALSE,TRUE))</formula>
    </cfRule>
  </conditionalFormatting>
  <conditionalFormatting sqref="AQ19 AS19">
    <cfRule type="expression" dxfId="87" priority="75">
      <formula>OR(IF(AQ19&lt;AR19,TRUE),IF(AND(AR19="",AQ19&lt;&gt;""),TRUE))</formula>
    </cfRule>
    <cfRule type="expression" dxfId="86" priority="76">
      <formula>IF(AQ19&gt;=AR19,IF(AQ19="",FALSE,TRUE))</formula>
    </cfRule>
  </conditionalFormatting>
  <conditionalFormatting sqref="AS20 AQ20">
    <cfRule type="expression" dxfId="85" priority="73">
      <formula>OR(IF(AQ20&lt;AR20,TRUE),IF(AND(AR20="",AQ20&lt;&gt;""),TRUE))</formula>
    </cfRule>
    <cfRule type="expression" dxfId="84" priority="74">
      <formula>IF(AQ20&gt;=AR20,IF(AQ20="",FALSE,TRUE))</formula>
    </cfRule>
  </conditionalFormatting>
  <conditionalFormatting sqref="AZ30:AZ39 AX30:AX39">
    <cfRule type="expression" dxfId="83" priority="71">
      <formula>OR(IF(AX30&lt;AY30,TRUE),IF(AND(AY30="",AX30&lt;&gt;""),TRUE))</formula>
    </cfRule>
    <cfRule type="expression" dxfId="82" priority="72">
      <formula>IF(AX30&gt;=AY30,IF(AX30="",FALSE,TRUE))</formula>
    </cfRule>
  </conditionalFormatting>
  <conditionalFormatting sqref="AX18 AZ18">
    <cfRule type="expression" dxfId="81" priority="69">
      <formula>OR(IF(AX18&lt;AY18,TRUE),IF(AND(AY18="",AX18&lt;&gt;""),TRUE))</formula>
    </cfRule>
    <cfRule type="expression" dxfId="80" priority="70">
      <formula>IF(AX18&gt;=AY18,IF(AX18="",FALSE,TRUE))</formula>
    </cfRule>
  </conditionalFormatting>
  <conditionalFormatting sqref="AX28:AX29">
    <cfRule type="expression" dxfId="79" priority="67">
      <formula>OR(IF(AX28&lt;AY28,TRUE),IF(AND(AY28="",AX28&lt;&gt;""),TRUE))</formula>
    </cfRule>
    <cfRule type="expression" dxfId="78" priority="68">
      <formula>IF(AX28&gt;=AY28,IF(AX28="",FALSE,TRUE))</formula>
    </cfRule>
  </conditionalFormatting>
  <conditionalFormatting sqref="AZ28:AZ29">
    <cfRule type="expression" dxfId="77" priority="65">
      <formula>OR(IF(AZ28&lt;BA28,TRUE),IF(AND(BA28="",AZ28&lt;&gt;""),TRUE))</formula>
    </cfRule>
    <cfRule type="expression" dxfId="76" priority="66">
      <formula>IF(AZ28&gt;=BA28,IF(AZ28="",FALSE,TRUE))</formula>
    </cfRule>
  </conditionalFormatting>
  <conditionalFormatting sqref="AX25">
    <cfRule type="expression" dxfId="75" priority="63">
      <formula>OR(IF(AX25&lt;AY25,TRUE),IF(AND(AY25="",AX25&lt;&gt;""),TRUE))</formula>
    </cfRule>
    <cfRule type="expression" dxfId="74" priority="64">
      <formula>IF(AX25&gt;=AY25,IF(AX25="",FALSE,TRUE))</formula>
    </cfRule>
  </conditionalFormatting>
  <conditionalFormatting sqref="AZ25">
    <cfRule type="expression" dxfId="73" priority="61">
      <formula>OR(IF(AZ25&lt;BA25,TRUE),IF(AND(BA25="",AZ25&lt;&gt;""),TRUE))</formula>
    </cfRule>
    <cfRule type="expression" dxfId="72" priority="62">
      <formula>IF(AZ25&gt;=BA25,IF(AZ25="",FALSE,TRUE))</formula>
    </cfRule>
  </conditionalFormatting>
  <conditionalFormatting sqref="AX42:AX43">
    <cfRule type="expression" dxfId="71" priority="59">
      <formula>OR(IF(AX42&lt;AY42,TRUE),IF(AND(AY42="",AX42&lt;&gt;""),TRUE))</formula>
    </cfRule>
    <cfRule type="expression" dxfId="70" priority="60">
      <formula>IF(AX42&gt;=AY42,IF(AX42="",FALSE,TRUE))</formula>
    </cfRule>
  </conditionalFormatting>
  <conditionalFormatting sqref="AZ42:AZ43">
    <cfRule type="expression" dxfId="69" priority="57">
      <formula>OR(IF(AZ42&lt;BA42,TRUE),IF(AND(BA42="",AZ42&lt;&gt;""),TRUE))</formula>
    </cfRule>
    <cfRule type="expression" dxfId="68" priority="58">
      <formula>IF(AZ42&gt;=BA42,IF(AZ42="",FALSE,TRUE))</formula>
    </cfRule>
  </conditionalFormatting>
  <conditionalFormatting sqref="AX19 AZ19">
    <cfRule type="expression" dxfId="67" priority="55">
      <formula>OR(IF(AX19&lt;AY19,TRUE),IF(AND(AY19="",AX19&lt;&gt;""),TRUE))</formula>
    </cfRule>
    <cfRule type="expression" dxfId="66" priority="56">
      <formula>IF(AX19&gt;=AY19,IF(AX19="",FALSE,TRUE))</formula>
    </cfRule>
  </conditionalFormatting>
  <conditionalFormatting sqref="AZ20 AX20">
    <cfRule type="expression" dxfId="65" priority="53">
      <formula>OR(IF(AX20&lt;AY20,TRUE),IF(AND(AY20="",AX20&lt;&gt;""),TRUE))</formula>
    </cfRule>
    <cfRule type="expression" dxfId="64" priority="54">
      <formula>IF(AX20&gt;=AY20,IF(AX20="",FALSE,TRUE))</formula>
    </cfRule>
  </conditionalFormatting>
  <conditionalFormatting sqref="BG30:BG39 BE30:BE39">
    <cfRule type="expression" dxfId="63" priority="51">
      <formula>OR(IF(BE30&lt;BF30,TRUE),IF(AND(BF30="",BE30&lt;&gt;""),TRUE))</formula>
    </cfRule>
    <cfRule type="expression" dxfId="62" priority="52">
      <formula>IF(BE30&gt;=BF30,IF(BE30="",FALSE,TRUE))</formula>
    </cfRule>
  </conditionalFormatting>
  <conditionalFormatting sqref="BE18 BG18">
    <cfRule type="expression" dxfId="61" priority="49">
      <formula>OR(IF(BE18&lt;BF18,TRUE),IF(AND(BF18="",BE18&lt;&gt;""),TRUE))</formula>
    </cfRule>
    <cfRule type="expression" dxfId="60" priority="50">
      <formula>IF(BE18&gt;=BF18,IF(BE18="",FALSE,TRUE))</formula>
    </cfRule>
  </conditionalFormatting>
  <conditionalFormatting sqref="BE28:BE29">
    <cfRule type="expression" dxfId="59" priority="47">
      <formula>OR(IF(BE28&lt;BF28,TRUE),IF(AND(BF28="",BE28&lt;&gt;""),TRUE))</formula>
    </cfRule>
    <cfRule type="expression" dxfId="58" priority="48">
      <formula>IF(BE28&gt;=BF28,IF(BE28="",FALSE,TRUE))</formula>
    </cfRule>
  </conditionalFormatting>
  <conditionalFormatting sqref="BG28:BG29">
    <cfRule type="expression" dxfId="57" priority="45">
      <formula>OR(IF(BG28&lt;BH28,TRUE),IF(AND(BH28="",BG28&lt;&gt;""),TRUE))</formula>
    </cfRule>
    <cfRule type="expression" dxfId="56" priority="46">
      <formula>IF(BG28&gt;=BH28,IF(BG28="",FALSE,TRUE))</formula>
    </cfRule>
  </conditionalFormatting>
  <conditionalFormatting sqref="BE25">
    <cfRule type="expression" dxfId="55" priority="43">
      <formula>OR(IF(BE25&lt;BF25,TRUE),IF(AND(BF25="",BE25&lt;&gt;""),TRUE))</formula>
    </cfRule>
    <cfRule type="expression" dxfId="54" priority="44">
      <formula>IF(BE25&gt;=BF25,IF(BE25="",FALSE,TRUE))</formula>
    </cfRule>
  </conditionalFormatting>
  <conditionalFormatting sqref="BG25">
    <cfRule type="expression" dxfId="53" priority="41">
      <formula>OR(IF(BG25&lt;BH25,TRUE),IF(AND(BH25="",BG25&lt;&gt;""),TRUE))</formula>
    </cfRule>
    <cfRule type="expression" dxfId="52" priority="42">
      <formula>IF(BG25&gt;=BH25,IF(BG25="",FALSE,TRUE))</formula>
    </cfRule>
  </conditionalFormatting>
  <conditionalFormatting sqref="BE42:BE43">
    <cfRule type="expression" dxfId="51" priority="39">
      <formula>OR(IF(BE42&lt;BF42,TRUE),IF(AND(BF42="",BE42&lt;&gt;""),TRUE))</formula>
    </cfRule>
    <cfRule type="expression" dxfId="50" priority="40">
      <formula>IF(BE42&gt;=BF42,IF(BE42="",FALSE,TRUE))</formula>
    </cfRule>
  </conditionalFormatting>
  <conditionalFormatting sqref="BG42:BG43">
    <cfRule type="expression" dxfId="49" priority="37">
      <formula>OR(IF(BG42&lt;BH42,TRUE),IF(AND(BH42="",BG42&lt;&gt;""),TRUE))</formula>
    </cfRule>
    <cfRule type="expression" dxfId="48" priority="38">
      <formula>IF(BG42&gt;=BH42,IF(BG42="",FALSE,TRUE))</formula>
    </cfRule>
  </conditionalFormatting>
  <conditionalFormatting sqref="BE19 BG19">
    <cfRule type="expression" dxfId="47" priority="35">
      <formula>OR(IF(BE19&lt;BF19,TRUE),IF(AND(BF19="",BE19&lt;&gt;""),TRUE))</formula>
    </cfRule>
    <cfRule type="expression" dxfId="46" priority="36">
      <formula>IF(BE19&gt;=BF19,IF(BE19="",FALSE,TRUE))</formula>
    </cfRule>
  </conditionalFormatting>
  <conditionalFormatting sqref="BG20 BE20">
    <cfRule type="expression" dxfId="45" priority="33">
      <formula>OR(IF(BE20&lt;BF20,TRUE),IF(AND(BF20="",BE20&lt;&gt;""),TRUE))</formula>
    </cfRule>
    <cfRule type="expression" dxfId="44" priority="34">
      <formula>IF(BE20&gt;=BF20,IF(BE20="",FALSE,TRUE))</formula>
    </cfRule>
  </conditionalFormatting>
  <conditionalFormatting sqref="BN30:BN39 BL30:BL39">
    <cfRule type="expression" dxfId="43" priority="31">
      <formula>OR(IF(BL30&lt;BM30,TRUE),IF(AND(BM30="",BL30&lt;&gt;""),TRUE))</formula>
    </cfRule>
    <cfRule type="expression" dxfId="42" priority="32">
      <formula>IF(BL30&gt;=BM30,IF(BL30="",FALSE,TRUE))</formula>
    </cfRule>
  </conditionalFormatting>
  <conditionalFormatting sqref="BL18 BN18">
    <cfRule type="expression" dxfId="41" priority="29">
      <formula>OR(IF(BL18&lt;BM18,TRUE),IF(AND(BM18="",BL18&lt;&gt;""),TRUE))</formula>
    </cfRule>
    <cfRule type="expression" dxfId="40" priority="30">
      <formula>IF(BL18&gt;=BM18,IF(BL18="",FALSE,TRUE))</formula>
    </cfRule>
  </conditionalFormatting>
  <conditionalFormatting sqref="BL28:BL29">
    <cfRule type="expression" dxfId="39" priority="27">
      <formula>OR(IF(BL28&lt;BM28,TRUE),IF(AND(BM28="",BL28&lt;&gt;""),TRUE))</formula>
    </cfRule>
    <cfRule type="expression" dxfId="38" priority="28">
      <formula>IF(BL28&gt;=BM28,IF(BL28="",FALSE,TRUE))</formula>
    </cfRule>
  </conditionalFormatting>
  <conditionalFormatting sqref="BN28:BN29">
    <cfRule type="expression" dxfId="37" priority="25">
      <formula>OR(IF(BN28&lt;BO28,TRUE),IF(AND(BO28="",BN28&lt;&gt;""),TRUE))</formula>
    </cfRule>
    <cfRule type="expression" dxfId="36" priority="26">
      <formula>IF(BN28&gt;=BO28,IF(BN28="",FALSE,TRUE))</formula>
    </cfRule>
  </conditionalFormatting>
  <conditionalFormatting sqref="BL25">
    <cfRule type="expression" dxfId="35" priority="23">
      <formula>OR(IF(BL25&lt;BM25,TRUE),IF(AND(BM25="",BL25&lt;&gt;""),TRUE))</formula>
    </cfRule>
    <cfRule type="expression" dxfId="34" priority="24">
      <formula>IF(BL25&gt;=BM25,IF(BL25="",FALSE,TRUE))</formula>
    </cfRule>
  </conditionalFormatting>
  <conditionalFormatting sqref="BN25">
    <cfRule type="expression" dxfId="33" priority="21">
      <formula>OR(IF(BN25&lt;BO25,TRUE),IF(AND(BO25="",BN25&lt;&gt;""),TRUE))</formula>
    </cfRule>
    <cfRule type="expression" dxfId="32" priority="22">
      <formula>IF(BN25&gt;=BO25,IF(BN25="",FALSE,TRUE))</formula>
    </cfRule>
  </conditionalFormatting>
  <conditionalFormatting sqref="BL42:BL43">
    <cfRule type="expression" dxfId="31" priority="19">
      <formula>OR(IF(BL42&lt;BM42,TRUE),IF(AND(BM42="",BL42&lt;&gt;""),TRUE))</formula>
    </cfRule>
    <cfRule type="expression" dxfId="30" priority="20">
      <formula>IF(BL42&gt;=BM42,IF(BL42="",FALSE,TRUE))</formula>
    </cfRule>
  </conditionalFormatting>
  <conditionalFormatting sqref="BN42:BN43">
    <cfRule type="expression" dxfId="29" priority="17">
      <formula>OR(IF(BN42&lt;BO42,TRUE),IF(AND(BO42="",BN42&lt;&gt;""),TRUE))</formula>
    </cfRule>
    <cfRule type="expression" dxfId="28" priority="18">
      <formula>IF(BN42&gt;=BO42,IF(BN42="",FALSE,TRUE))</formula>
    </cfRule>
  </conditionalFormatting>
  <conditionalFormatting sqref="BL19 BN19">
    <cfRule type="expression" dxfId="27" priority="15">
      <formula>OR(IF(BL19&lt;BM19,TRUE),IF(AND(BM19="",BL19&lt;&gt;""),TRUE))</formula>
    </cfRule>
    <cfRule type="expression" dxfId="26" priority="16">
      <formula>IF(BL19&gt;=BM19,IF(BL19="",FALSE,TRUE))</formula>
    </cfRule>
  </conditionalFormatting>
  <conditionalFormatting sqref="BN20 BL20">
    <cfRule type="expression" dxfId="25" priority="13">
      <formula>OR(IF(BL20&lt;BM20,TRUE),IF(AND(BM20="",BL20&lt;&gt;""),TRUE))</formula>
    </cfRule>
    <cfRule type="expression" dxfId="24" priority="14">
      <formula>IF(BL20&gt;=BM20,IF(BL20="",FALSE,TRUE))</formula>
    </cfRule>
  </conditionalFormatting>
  <conditionalFormatting sqref="AL9:AL15">
    <cfRule type="expression" dxfId="23" priority="11">
      <formula>OR(IF(AL9&lt;AM9,TRUE),IF(AND(AM9="",AL9&lt;&gt;""),TRUE))</formula>
    </cfRule>
    <cfRule type="expression" dxfId="22" priority="12">
      <formula>IF(AL9&gt;=AM9,IF(AL9="",FALSE,TRUE))</formula>
    </cfRule>
  </conditionalFormatting>
  <conditionalFormatting sqref="J21:K25">
    <cfRule type="colorScale" priority="857">
      <colorScale>
        <cfvo type="percent" val="0"/>
        <cfvo type="percent" val="100"/>
        <color rgb="FFFF231B"/>
        <color rgb="FF10FF07"/>
      </colorScale>
    </cfRule>
  </conditionalFormatting>
  <conditionalFormatting sqref="J21:J25 J18">
    <cfRule type="colorScale" priority="859">
      <colorScale>
        <cfvo type="percent" val="0"/>
        <cfvo type="percent" val="100"/>
        <color rgb="FFFF231B"/>
        <color rgb="FF10FF07"/>
      </colorScale>
    </cfRule>
  </conditionalFormatting>
  <conditionalFormatting sqref="K21:K25 K18">
    <cfRule type="colorScale" priority="862">
      <colorScale>
        <cfvo type="percent" val="0"/>
        <cfvo type="percent" val="100"/>
        <color rgb="FFFF231B"/>
        <color rgb="FF10FF07"/>
      </colorScale>
    </cfRule>
  </conditionalFormatting>
  <conditionalFormatting sqref="J50:K54">
    <cfRule type="colorScale" priority="1222">
      <colorScale>
        <cfvo type="percent" val="0"/>
        <cfvo type="percent" val="100"/>
        <color rgb="FFFF231B"/>
        <color rgb="FF10FF07"/>
      </colorScale>
    </cfRule>
  </conditionalFormatting>
  <conditionalFormatting sqref="J49:J54">
    <cfRule type="colorScale" priority="1223">
      <colorScale>
        <cfvo type="percent" val="0"/>
        <cfvo type="percent" val="100"/>
        <color rgb="FFFF231B"/>
        <color rgb="FF10FF07"/>
      </colorScale>
    </cfRule>
  </conditionalFormatting>
  <conditionalFormatting sqref="K49:K54">
    <cfRule type="colorScale" priority="1224">
      <colorScale>
        <cfvo type="percent" val="0"/>
        <cfvo type="percent" val="100"/>
        <color rgb="FFFF231B"/>
        <color rgb="FF10FF07"/>
      </colorScale>
    </cfRule>
  </conditionalFormatting>
  <conditionalFormatting sqref="J6:K15">
    <cfRule type="colorScale" priority="1257">
      <colorScale>
        <cfvo type="percent" val="0"/>
        <cfvo type="percent" val="100"/>
        <color rgb="FFFF231B"/>
        <color rgb="FF10FF07"/>
      </colorScale>
    </cfRule>
  </conditionalFormatting>
  <conditionalFormatting sqref="J5:J15">
    <cfRule type="colorScale" priority="1258">
      <colorScale>
        <cfvo type="percent" val="0"/>
        <cfvo type="percent" val="100"/>
        <color rgb="FFFF231B"/>
        <color rgb="FF10FF07"/>
      </colorScale>
    </cfRule>
  </conditionalFormatting>
  <conditionalFormatting sqref="K5:K15">
    <cfRule type="colorScale" priority="1259">
      <colorScale>
        <cfvo type="percent" val="0"/>
        <cfvo type="percent" val="100"/>
        <color rgb="FFFF231B"/>
        <color rgb="FF10FF07"/>
      </colorScale>
    </cfRule>
  </conditionalFormatting>
  <conditionalFormatting sqref="O28:O39">
    <cfRule type="expression" dxfId="21" priority="9">
      <formula>OR(IF(O28&lt;P28,TRUE),IF(AND(P28="",O28&lt;&gt;""),TRUE))</formula>
    </cfRule>
    <cfRule type="expression" dxfId="20" priority="10">
      <formula>IF(O28&gt;=P28,IF(O28="",FALSE,TRUE))</formula>
    </cfRule>
  </conditionalFormatting>
  <conditionalFormatting sqref="O42:O54">
    <cfRule type="expression" dxfId="19" priority="1">
      <formula>OR(IF(O42&lt;P42,TRUE),IF(AND(P42="",O42&lt;&gt;""),TRUE))</formula>
    </cfRule>
    <cfRule type="expression" dxfId="18" priority="2">
      <formula>IF(O42&gt;=P42,IF(O42="",FALSE,TRUE))</formula>
    </cfRule>
  </conditionalFormatting>
  <conditionalFormatting sqref="BL5">
    <cfRule type="expression" dxfId="17" priority="1262">
      <formula>OR(IF(BL5&lt;BM6,TRUE),IF(AND(BM6="",BL5&lt;&gt;""),TRUE))</formula>
    </cfRule>
    <cfRule type="expression" dxfId="16" priority="1263">
      <formula>IF(BL5&gt;=BM6,IF(BL5="",FALSE,TRUE))</formula>
    </cfRule>
  </conditionalFormatting>
  <conditionalFormatting sqref="AS6">
    <cfRule type="expression" dxfId="15" priority="1266">
      <formula>OR(IF(AS6&lt;AT5,TRUE),IF(AND(AT5="",AS6&lt;&gt;""),TRUE))</formula>
    </cfRule>
    <cfRule type="expression" dxfId="14" priority="1267">
      <formula>IF(AS6&gt;=AT5,IF(AS6="",FALSE,TRUE))</formula>
    </cfRule>
  </conditionalFormatting>
  <conditionalFormatting sqref="AS5">
    <cfRule type="expression" dxfId="13" priority="1268">
      <formula>OR(IF(AS5&lt;#REF!,TRUE),IF(AND(#REF!="",AS5&lt;&gt;""),TRUE))</formula>
    </cfRule>
    <cfRule type="expression" dxfId="12" priority="1269">
      <formula>IF(AS5&gt;=#REF!,IF(AS5="",FALSE,TRUE))</formula>
    </cfRule>
  </conditionalFormatting>
  <dataValidations count="1">
    <dataValidation type="list" allowBlank="1" showInputMessage="1" showErrorMessage="1" sqref="V5:Y15 V28:Y39 O42:R54 AC5:AF15 AC28:AF39 AJ28:AM39 O18:R25 BM5:BO6 AQ28:AT39 AX5:BA15 AX28:BA39 BE5:BH15 BE28:BH39 BL28:BO39 O5:R15 V18:Y25 AC18:AF25 AQ18:AT25 AX18:BA25 BE18:BH25 BL18:BO25 AJ18:AM25 BE42:BH54 AX42:BA54 BL42:BO54 AJ42:AM54 AC42:AF54 O28:R39 V42:Y54 AQ42:AT54 AJ5:AM15 BL5 BL7:BO15 AT5 AQ7:AT15 AQ5:AS6"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9921875" defaultRowHeight="15.6"/>
  <cols>
    <col min="2" max="2" width="161" customWidth="1"/>
    <col min="3" max="3" width="10.796875"/>
  </cols>
  <sheetData>
    <row r="4" spans="2:2" ht="21">
      <c r="B4" s="3" t="s">
        <v>17</v>
      </c>
    </row>
    <row r="6" spans="2:2">
      <c r="B6" s="2" t="s">
        <v>14</v>
      </c>
    </row>
    <row r="7" spans="2:2" ht="46.8">
      <c r="B7" s="1" t="s">
        <v>15</v>
      </c>
    </row>
    <row r="9" spans="2:2">
      <c r="B9" s="2" t="s">
        <v>16</v>
      </c>
    </row>
    <row r="10" spans="2:2" ht="62.4">
      <c r="B10" s="1" t="s">
        <v>37</v>
      </c>
    </row>
    <row r="12" spans="2:2">
      <c r="B12" s="2" t="s">
        <v>18</v>
      </c>
    </row>
    <row r="13" spans="2:2" ht="140.4">
      <c r="B13" s="1" t="s">
        <v>19</v>
      </c>
    </row>
    <row r="15" spans="2:2">
      <c r="B15" s="2" t="s">
        <v>20</v>
      </c>
    </row>
    <row r="16" spans="2:2" ht="109.2">
      <c r="B16" s="1" t="s">
        <v>21</v>
      </c>
    </row>
    <row r="17" spans="2:2">
      <c r="B17" s="1"/>
    </row>
    <row r="18" spans="2:2">
      <c r="B18" s="2" t="s">
        <v>36</v>
      </c>
    </row>
    <row r="19" spans="2:2" ht="140.4">
      <c r="B19" s="1" t="s">
        <v>38</v>
      </c>
    </row>
    <row r="21" spans="2:2">
      <c r="B21" s="2" t="s">
        <v>22</v>
      </c>
    </row>
    <row r="22" spans="2:2" ht="124.8">
      <c r="B22" s="1" t="s">
        <v>39</v>
      </c>
    </row>
    <row r="24" spans="2:2">
      <c r="B24" s="2" t="s">
        <v>23</v>
      </c>
    </row>
    <row r="25" spans="2:2" ht="124.8">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44</v>
      </c>
      <c r="B1" s="15" t="s">
        <v>41</v>
      </c>
      <c r="C1" s="15" t="s">
        <v>42</v>
      </c>
      <c r="D1" s="15" t="s">
        <v>43</v>
      </c>
      <c r="E1" s="1" t="s">
        <v>45</v>
      </c>
      <c r="F1" s="1" t="s">
        <v>46</v>
      </c>
      <c r="G1" s="1" t="s">
        <v>47</v>
      </c>
      <c r="H1" s="1" t="s">
        <v>48</v>
      </c>
      <c r="I1" s="1" t="s">
        <v>49</v>
      </c>
      <c r="J1" s="1" t="s">
        <v>50</v>
      </c>
      <c r="K1" s="1" t="s">
        <v>51</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Stephan</cp:lastModifiedBy>
  <dcterms:created xsi:type="dcterms:W3CDTF">2020-04-19T13:33:28Z</dcterms:created>
  <dcterms:modified xsi:type="dcterms:W3CDTF">2023-06-22T16:56:36Z</dcterms:modified>
</cp:coreProperties>
</file>