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Bewerbung\Studium\Uni mannheim\1. Semester\Allgemein\"/>
    </mc:Choice>
  </mc:AlternateContent>
  <xr:revisionPtr revIDLastSave="0" documentId="13_ncr:1_{E1561224-4DB7-4B0C-81C3-C9E59C035698}" xr6:coauthVersionLast="47" xr6:coauthVersionMax="47" xr10:uidLastSave="{00000000-0000-0000-0000-000000000000}"/>
  <bookViews>
    <workbookView xWindow="-120" yWindow="-120" windowWidth="29040" windowHeight="157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10" l="1"/>
  <c r="N19" i="7"/>
  <c r="G4" i="7"/>
  <c r="G57" i="7"/>
  <c r="G71" i="7"/>
  <c r="C12" i="10"/>
  <c r="EC4" i="7"/>
  <c r="DV4" i="7"/>
  <c r="DO4" i="7"/>
  <c r="DH4" i="7"/>
  <c r="DA4" i="7"/>
  <c r="K92" i="7" a="1"/>
  <c r="K92" i="7" s="1"/>
  <c r="J92" i="7" a="1"/>
  <c r="J92" i="7" s="1"/>
  <c r="I92" i="7"/>
  <c r="K91" i="7" a="1"/>
  <c r="K91" i="7" s="1"/>
  <c r="J91" i="7" a="1"/>
  <c r="J91" i="7" s="1"/>
  <c r="I91"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N71" i="7"/>
  <c r="K68" i="7" a="1"/>
  <c r="K68" i="7" s="1"/>
  <c r="J68" i="7" a="1"/>
  <c r="J68" i="7" s="1"/>
  <c r="I68" i="7"/>
  <c r="K67" i="7" a="1"/>
  <c r="K67" i="7" s="1"/>
  <c r="J67" i="7" a="1"/>
  <c r="J67" i="7" s="1"/>
  <c r="I67" i="7"/>
  <c r="K66" i="7" a="1"/>
  <c r="K66" i="7" s="1"/>
  <c r="J66" i="7" a="1"/>
  <c r="J66" i="7" s="1"/>
  <c r="I66" i="7"/>
  <c r="K65" i="7" a="1"/>
  <c r="K65" i="7" s="1"/>
  <c r="J65" i="7" a="1"/>
  <c r="J65" i="7" s="1"/>
  <c r="I65" i="7"/>
  <c r="K53" i="7" a="1"/>
  <c r="K53" i="7" s="1"/>
  <c r="J53" i="7" a="1"/>
  <c r="J53" i="7" s="1"/>
  <c r="I53" i="7"/>
  <c r="K52" i="7" a="1"/>
  <c r="K52" i="7" s="1"/>
  <c r="J52" i="7" a="1"/>
  <c r="J52" i="7" s="1"/>
  <c r="I52" i="7"/>
  <c r="K51" i="7" a="1"/>
  <c r="K51" i="7" s="1"/>
  <c r="J51" i="7" a="1"/>
  <c r="J51" i="7" s="1"/>
  <c r="I51" i="7"/>
  <c r="K50" i="7" a="1"/>
  <c r="K50" i="7" s="1"/>
  <c r="J50" i="7" a="1"/>
  <c r="J50" i="7" s="1"/>
  <c r="I50" i="7"/>
  <c r="I49" i="7"/>
  <c r="N48" i="7"/>
  <c r="G48" i="7"/>
  <c r="K14" i="7" a="1"/>
  <c r="K14" i="7" s="1"/>
  <c r="J14" i="7" a="1"/>
  <c r="J14" i="7" s="1"/>
  <c r="I14" i="7"/>
  <c r="K13" i="7" a="1"/>
  <c r="K13" i="7" s="1"/>
  <c r="J13" i="7" a="1"/>
  <c r="J13" i="7" s="1"/>
  <c r="I13" i="7"/>
  <c r="K12" i="7" a="1"/>
  <c r="K12" i="7" s="1"/>
  <c r="J12" i="7" a="1"/>
  <c r="J12" i="7" s="1"/>
  <c r="I12" i="7"/>
  <c r="K11" i="7" a="1"/>
  <c r="K11" i="7" s="1"/>
  <c r="J11" i="7" a="1"/>
  <c r="J11" i="7" s="1"/>
  <c r="I11" i="7"/>
  <c r="K10" i="7" a="1"/>
  <c r="K10" i="7" s="1"/>
  <c r="J10" i="7" a="1"/>
  <c r="J10" i="7" s="1"/>
  <c r="I10" i="7"/>
  <c r="I22" i="7"/>
  <c r="K21" i="7" a="1"/>
  <c r="K21" i="7" s="1"/>
  <c r="J21" i="7" a="1"/>
  <c r="J21" i="7" s="1"/>
  <c r="I21" i="7"/>
  <c r="K99" i="7" a="1"/>
  <c r="K99" i="7" s="1"/>
  <c r="J99" i="7" a="1"/>
  <c r="J99" i="7" s="1"/>
  <c r="I99" i="7"/>
  <c r="K98" i="7" a="1"/>
  <c r="K98" i="7" s="1"/>
  <c r="J98" i="7" a="1"/>
  <c r="J98" i="7" s="1"/>
  <c r="I98" i="7"/>
  <c r="K97" i="7" a="1"/>
  <c r="K97" i="7" s="1"/>
  <c r="J97" i="7" a="1"/>
  <c r="J97" i="7" s="1"/>
  <c r="I97" i="7"/>
  <c r="K96" i="7" a="1"/>
  <c r="K96" i="7" s="1"/>
  <c r="J96" i="7" a="1"/>
  <c r="J96" i="7" s="1"/>
  <c r="I96" i="7"/>
  <c r="K95" i="7" a="1"/>
  <c r="K95" i="7" s="1"/>
  <c r="J95" i="7" a="1"/>
  <c r="J95" i="7" s="1"/>
  <c r="I95" i="7"/>
  <c r="K94" i="7" a="1"/>
  <c r="K94" i="7" s="1"/>
  <c r="J94" i="7" a="1"/>
  <c r="J94" i="7" s="1"/>
  <c r="I94" i="7"/>
  <c r="K93" i="7" a="1"/>
  <c r="K93" i="7" s="1"/>
  <c r="J93" i="7" a="1"/>
  <c r="J93" i="7" s="1"/>
  <c r="I93" i="7"/>
  <c r="K90" i="7" a="1"/>
  <c r="K90" i="7" s="1"/>
  <c r="J90" i="7" a="1"/>
  <c r="J90" i="7" s="1"/>
  <c r="I90" i="7"/>
  <c r="K89" i="7" a="1"/>
  <c r="K89" i="7" s="1"/>
  <c r="J89" i="7" a="1"/>
  <c r="J89" i="7" s="1"/>
  <c r="I89" i="7"/>
  <c r="K88" i="7" a="1"/>
  <c r="K88" i="7" s="1"/>
  <c r="J88" i="7" a="1"/>
  <c r="J88" i="7" s="1"/>
  <c r="I88" i="7"/>
  <c r="N87" i="7"/>
  <c r="G87"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N57" i="7"/>
  <c r="K25" i="7" a="1"/>
  <c r="K25" i="7" s="1"/>
  <c r="J25" i="7" a="1"/>
  <c r="J25" i="7" s="1"/>
  <c r="K24" i="7" a="1"/>
  <c r="K24" i="7" s="1"/>
  <c r="J24" i="7" a="1"/>
  <c r="J24" i="7" s="1"/>
  <c r="K23" i="7" a="1"/>
  <c r="K23" i="7" s="1"/>
  <c r="J23" i="7" a="1"/>
  <c r="J23" i="7" s="1"/>
  <c r="K20" i="7" a="1"/>
  <c r="K20" i="7" s="1"/>
  <c r="J20" i="7" a="1"/>
  <c r="J20" i="7" s="1"/>
  <c r="K45" i="7" a="1"/>
  <c r="K45" i="7" s="1"/>
  <c r="J45" i="7" a="1"/>
  <c r="J45" i="7" s="1"/>
  <c r="K44" i="7" a="1"/>
  <c r="K44" i="7" s="1"/>
  <c r="J44" i="7" a="1"/>
  <c r="J44" i="7" s="1"/>
  <c r="K43" i="7" a="1"/>
  <c r="K43" i="7" s="1"/>
  <c r="J43" i="7" a="1"/>
  <c r="J43" i="7" s="1"/>
  <c r="K9" i="7" a="1"/>
  <c r="K9" i="7" s="1"/>
  <c r="J9" i="7" a="1"/>
  <c r="J9" i="7" s="1"/>
  <c r="K8" i="7" a="1"/>
  <c r="K8" i="7" s="1"/>
  <c r="J8" i="7" a="1"/>
  <c r="J8" i="7" s="1"/>
  <c r="K7" i="7" a="1"/>
  <c r="K7" i="7" s="1"/>
  <c r="J7" i="7" a="1"/>
  <c r="J7" i="7" s="1"/>
  <c r="K6" i="7" a="1"/>
  <c r="K6" i="7" s="1"/>
  <c r="J6" i="7" a="1"/>
  <c r="J6" i="7" s="1"/>
  <c r="K5" i="7" a="1"/>
  <c r="K5" i="7" s="1"/>
  <c r="J5" i="7" a="1"/>
  <c r="J5" i="7" s="1"/>
  <c r="AB19" i="7"/>
  <c r="U19" i="7"/>
  <c r="AB4" i="7"/>
  <c r="U4" i="7"/>
  <c r="AB40" i="7"/>
  <c r="U40" i="7"/>
  <c r="I45" i="7"/>
  <c r="I44" i="7"/>
  <c r="I43" i="7"/>
  <c r="I42" i="7"/>
  <c r="I41" i="7"/>
  <c r="I25" i="7"/>
  <c r="I24" i="7"/>
  <c r="I23" i="7"/>
  <c r="I20" i="7"/>
  <c r="I6" i="7"/>
  <c r="I7" i="7"/>
  <c r="I8" i="7"/>
  <c r="I9" i="7"/>
  <c r="I5" i="7"/>
  <c r="N40" i="7"/>
  <c r="G40" i="7"/>
  <c r="G19" i="7"/>
  <c r="K71" i="7" l="1"/>
  <c r="J71" i="7"/>
  <c r="J57" i="7"/>
  <c r="K57" i="7"/>
  <c r="I71" i="7"/>
  <c r="I48" i="7"/>
  <c r="J48" i="7"/>
  <c r="K48" i="7"/>
  <c r="I87" i="7"/>
  <c r="I57" i="7"/>
  <c r="J87" i="7"/>
  <c r="K87" i="7"/>
  <c r="I40" i="7"/>
  <c r="I19" i="7"/>
  <c r="J19" i="7"/>
  <c r="K19"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<sst xmlns="http://schemas.openxmlformats.org/spreadsheetml/2006/main" count="434" uniqueCount="190">
  <si>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</si>
  <si>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</si>
  <si>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</si>
  <si>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</si>
  <si>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</si>
  <si>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</si>
  <si>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</si>
  <si>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</si>
  <si>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</si>
  <si>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</si>
  <si>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</si>
  <si>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</si>
  <si>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</si>
  <si>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</si>
  <si>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</si>
  <si>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</si>
  <si>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</si>
  <si>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</si>
  <si>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</si>
  <si>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</si>
  <si>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</si>
  <si>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</si>
  <si>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</si>
  <si>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</si>
  <si>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</si>
  <si>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</si>
  <si>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</si>
  <si>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</si>
  <si>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</si>
  <si>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</si>
  <si>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</si>
  <si>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</si>
  <si>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</si>
  <si>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</si>
  <si>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</si>
  <si>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</si>
  <si>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</si>
  <si>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</si>
  <si>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</si>
  <si>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</si>
  <si>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</si>
  <si>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</si>
  <si>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</si>
  <si>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</si>
  <si>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</si>
  <si>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</si>
  <si>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</si>
  <si>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</si>
  <si>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</si>
  <si>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</si>
  <si>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</si>
  <si>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</si>
  <si>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</si>
  <si>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</si>
  <si>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</si>
  <si>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</si>
  <si>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</si>
  <si>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</si>
  <si>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</si>
  <si>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</si>
  <si>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</si>
  <si>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</si>
  <si>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</si>
  <si>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</si>
  <si>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</si>
  <si>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</si>
  <si>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</si>
  <si>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</si>
  <si>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</si>
  <si>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</si>
  <si>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</si>
  <si>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</si>
  <si>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</si>
  <si>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</si>
  <si>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</si>
  <si>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</si>
  <si>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</si>
  <si>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</si>
  <si>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</si>
  <si>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</si>
  <si>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</si>
  <si>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</si>
  <si>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</si>
  <si>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</si>
  <si>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</si>
  <si>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</si>
  <si>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</si>
  <si>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Accounting</t>
  </si>
  <si>
    <t>1) Intro</t>
  </si>
  <si>
    <t>3) Record Keeping Basics - Income Statement</t>
  </si>
  <si>
    <t>2) Record Keeping Basics - BS</t>
  </si>
  <si>
    <t>4) Acct Standards - BS Asset Reporting</t>
  </si>
  <si>
    <t>5) cash Flow Statement</t>
  </si>
  <si>
    <t>6) Revenue Recognition Advanced</t>
  </si>
  <si>
    <t>7) Working Capital</t>
  </si>
  <si>
    <t>8) Non-current Assets</t>
  </si>
  <si>
    <t>9) Non-current Liabilities</t>
  </si>
  <si>
    <t>10) Shareholders Equity</t>
  </si>
  <si>
    <t>Analysis</t>
  </si>
  <si>
    <t>1) Aussagenlogik</t>
  </si>
  <si>
    <t>2) Mengen und Funktionen</t>
  </si>
  <si>
    <t>Finanzmathematik</t>
  </si>
  <si>
    <t>1)  Motivation, Zahlungsströme, Finanzinstrumente, Zinsrechnung</t>
  </si>
  <si>
    <t>2)  Unterjährige Verzinsung, Kapitalwert, Bewertung von Zahlungsströmen</t>
  </si>
  <si>
    <t>3) Rentenrechnung (Zinsrechnung für eine bestimmte Art von Zahlungsströmen</t>
  </si>
  <si>
    <t>4) Tilgungsrechnung,</t>
  </si>
  <si>
    <t>5)  Kurs- und Renditerechnung</t>
  </si>
  <si>
    <t>Quantitative Methoden</t>
  </si>
  <si>
    <t>1)  Grundlagen der Matrixrechnung</t>
  </si>
  <si>
    <t>2)  Weiterführende Matrixrechnung</t>
  </si>
  <si>
    <t>3) innerbetriebliche Materialverflechtung</t>
  </si>
  <si>
    <t>4) Allgemeine lineare Gleichungssysteme</t>
  </si>
  <si>
    <t>5)  Lineare Optimierung</t>
  </si>
  <si>
    <t xml:space="preserve"> Kp 35: Stabilisierungspolitik</t>
  </si>
  <si>
    <t xml:space="preserve"> Kp 34: Gesamtwirtschaftliche Nachfrage &amp; Angebot</t>
  </si>
  <si>
    <t xml:space="preserve"> Kp31: Grundsätzliches über die offene Volkswirtschaft</t>
  </si>
  <si>
    <t xml:space="preserve"> Kp30: Geldmengenwachstum und Inflation</t>
  </si>
  <si>
    <t xml:space="preserve"> Kp 29: Das monetäre System</t>
  </si>
  <si>
    <t xml:space="preserve"> KP 28: Arbeitslosigkeit</t>
  </si>
  <si>
    <t xml:space="preserve"> Kp 26 : Das Finanzsystem Sparen und Investieren</t>
  </si>
  <si>
    <t xml:space="preserve"> Kp 25 Produktion und Wachstum</t>
  </si>
  <si>
    <t xml:space="preserve"> Die Messung der Lebenserhaltungskosten</t>
  </si>
  <si>
    <t xml:space="preserve"> BIP</t>
  </si>
  <si>
    <t xml:space="preserve"> Einführung: Mikro vs Makro</t>
  </si>
  <si>
    <t>GVWL- Makro</t>
  </si>
  <si>
    <t>GVWL - Mikro</t>
  </si>
  <si>
    <t>GVWL - Makro</t>
  </si>
  <si>
    <t>Kp 1 : Grundlagen der VWL</t>
  </si>
  <si>
    <t xml:space="preserve"> Kp 3: Interpendenz und Handelsvorteile</t>
  </si>
  <si>
    <t xml:space="preserve"> Kp 4: Nachfrage, Angebot und Marktgleichgewicht</t>
  </si>
  <si>
    <t xml:space="preserve"> Kp 5 : Elastizität und Ihre Anwendungen</t>
  </si>
  <si>
    <t xml:space="preserve"> KP 6: Das Marktmodell in der wirtschaftspolitischen Analyse</t>
  </si>
  <si>
    <t xml:space="preserve"> Kp 7: Zur Effizienz von Märkten</t>
  </si>
  <si>
    <t xml:space="preserve"> Kp 8: Produktionsfunktion und Produktionskosten</t>
  </si>
  <si>
    <t xml:space="preserve"> Kp9: Unternehmen in vollständiger Konkurrenz</t>
  </si>
  <si>
    <t xml:space="preserve"> Kp 11: Monopol, monopolistische Konkurrenz, Preisdifferenzierung und Werbung</t>
  </si>
  <si>
    <t xml:space="preserve"> Kp 12: Oligopol und Spieltheorie</t>
  </si>
  <si>
    <t xml:space="preserve"> Kp 12: Marktversagen</t>
  </si>
  <si>
    <t>Strategic and International Management</t>
  </si>
  <si>
    <t xml:space="preserve"> Business strategy: Vision, mission, objectives</t>
  </si>
  <si>
    <t xml:space="preserve"> Distribution &amp; E-Commerce</t>
  </si>
  <si>
    <t>Implementierung &amp; Controlling</t>
  </si>
  <si>
    <t xml:space="preserve"> Micro-foundations of strategy: Biases, heuristics and self-management</t>
  </si>
  <si>
    <t>The five generic competitive strategies</t>
  </si>
  <si>
    <t xml:space="preserve"> Corporate Strategy</t>
  </si>
  <si>
    <t>Global Strategy</t>
  </si>
  <si>
    <t xml:space="preserve"> Evaluating a companys external and internal environment</t>
  </si>
  <si>
    <t>Guest Lecture with XXX</t>
  </si>
  <si>
    <t>Strategy Execution 2</t>
  </si>
  <si>
    <t xml:space="preserve"> Strategy Execution 1</t>
  </si>
  <si>
    <t>1.9 - 7.9</t>
  </si>
  <si>
    <t>08.- 14.09</t>
  </si>
  <si>
    <t>15- 21.09</t>
  </si>
  <si>
    <t>22.09- 28.09</t>
  </si>
  <si>
    <t>29.09 - 5.10</t>
  </si>
  <si>
    <t>6.10 - 12.10</t>
  </si>
  <si>
    <t>KlausurFinanzmathematik 13.10 - 19.10</t>
  </si>
  <si>
    <t>20.10 - 26.10</t>
  </si>
  <si>
    <t>27.10 - 02.11</t>
  </si>
  <si>
    <t>03.11 -9.11</t>
  </si>
  <si>
    <t>10.11 - 16.11</t>
  </si>
  <si>
    <t>17.11 - 23.11</t>
  </si>
  <si>
    <t>24.11 - 30.11</t>
  </si>
  <si>
    <t>1.12 - 7.12</t>
  </si>
  <si>
    <t>Klausuren</t>
  </si>
  <si>
    <t>8.12- 14.12: Klausuren</t>
  </si>
  <si>
    <t>18.0 - 24.08. 2025</t>
  </si>
  <si>
    <t>25. - 31.08 Ersti Woche</t>
  </si>
  <si>
    <t>Servus Daniel,</t>
  </si>
  <si>
    <t>ich bin erst vor 4 Monaten zu Pumpkin gestoßen, weswegen ich dir es fürs erste Semester nicht direkt zeigen kann.</t>
  </si>
  <si>
    <t>Jedoch, wenn es dir hilft, hier eine Einschätzung meinerseits:</t>
  </si>
  <si>
    <t>Finanzmathematik: Erste Klausur ende Oktober. Einfache Klausur, die nicht Lernumfangreich ist jedoch ist sie wichtige im Himblick auf SpringWeeks und Bewerbungen</t>
  </si>
  <si>
    <t>GVWL: Inhaltlich nicht schwer, aber der Lernumfang ist schon recht hoch, würde mir ausreichend Zeit nehmen. Ist ebenfalls wichtig für die finale Notenübersicht auf dem Bachelor Zeugnis.</t>
  </si>
  <si>
    <t>Analysis: Einfache Klausur, Inhaltlich umfangreich, aber die Klausuren sind meistens recht einfach. Würde sie eher etwas weniger stark gewichten.</t>
  </si>
  <si>
    <t>Quantitative Methoden:  Sehr Lernumfangreich trotz 3 ECTS, würde es etwas stärker gewichten</t>
  </si>
  <si>
    <t>Accounting:  Sehr umfangreich, ist vermutlich die schwierigste Klausur im 1. Semester, würde mir extra Zeit hierfür nehmen.</t>
  </si>
  <si>
    <t>Management: Klausur ist relativ leicht, jedoch ist der Material sehr umfangreich.</t>
  </si>
  <si>
    <t>Nach meiner Einschätzung würde ich es letztlich in folgenden Reihenfolge aufteilen:</t>
  </si>
  <si>
    <t>1. Accounting</t>
  </si>
  <si>
    <t>2. ⁠GVWL</t>
  </si>
  <si>
    <t xml:space="preserve">3. ⁠Management </t>
  </si>
  <si>
    <t>4. ⁠QM</t>
  </si>
  <si>
    <t>5. ⁠Analysis</t>
  </si>
  <si>
    <t>6. ⁠Fima ( Da sie midterm ist und du danach noch 5-6 Wochen für die anderen Klausuren hast)</t>
  </si>
  <si>
    <t>Es kommt auch ein bisschen drauf an ob du versuchen willst alles auf 1.Termin zu schreiben, denn es gibt noch die 2. Termine anfang Februar</t>
  </si>
  <si>
    <t>Von Cezar</t>
  </si>
  <si>
    <t>3) Funktionen mehrerer Variablen</t>
  </si>
  <si>
    <t>4) Mathematisches Handwerkszeug</t>
  </si>
  <si>
    <t>5) Multivariate Optimierung ohne Nebenbedingungen</t>
  </si>
  <si>
    <t>6) Optimierung mit Gleichungsnebenbedingungen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</si>
</sst>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8"/>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0" fontId="1" fillId="2" borderId="0" xfId="0" applyFont="1" applyFill="1" applyAlignment="1">
      <alignment horizontal="center"/>
    </xf>
  </cellXfs>
  <cellStyles count="1">
    <cellStyle name="Standard" xfId="0" builtinId="0"/>
  </cellStyles>
  <dxfs count="74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136" totalsRowShown="0" headerRowDxfId="4">
  <autoFilter ref="A1:K13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54"/>
  <sheetViews>
    <sheetView zoomScale="75" zoomScaleNormal="75" workbookViewId="0">
      <selection activeCell="E13" sqref="E13"/>
    </sheetView>
  </sheetViews>
  <sheetFormatPr baseColWidth="10" defaultRowHeight="15.75"/>
  <cols>
    <col min="1" max="1" width="11.875" customWidth="1"/>
    <col min="2" max="2" width="62.62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v>60</v>
      </c>
    </row>
    <row r="8" spans="1:4">
      <c r="A8" t="s">
        <v>51</v>
      </c>
      <c r="B8" s="21" t="s">
        <v>50</v>
      </c>
      <c r="C8" s="9"/>
      <c r="D8" t="s">
        <v>74</v>
      </c>
    </row>
    <row r="9" spans="1:4">
      <c r="A9" t="s">
        <v>59</v>
      </c>
      <c r="B9" s="21" t="s">
        <v>72</v>
      </c>
      <c r="D9" t="s">
        <v>75</v>
      </c>
    </row>
    <row r="10" spans="1:4">
      <c r="A10" t="s">
        <v>63</v>
      </c>
      <c r="B10" t="s">
        <v>62</v>
      </c>
      <c r="C10" s="19">
        <v>13.5</v>
      </c>
      <c r="D10" t="s">
        <v>58</v>
      </c>
    </row>
    <row r="11" spans="1:4">
      <c r="A11" t="s">
        <v>64</v>
      </c>
      <c r="B11" t="s">
        <v>66</v>
      </c>
      <c r="C11" s="19">
        <f>60*3</f>
        <v>180</v>
      </c>
      <c r="D11" t="s">
        <v>65</v>
      </c>
    </row>
    <row r="12" spans="1:4">
      <c r="A12" t="s">
        <v>68</v>
      </c>
      <c r="B12" t="s">
        <v>67</v>
      </c>
      <c r="C12" s="20">
        <f>C11/C10</f>
        <v>13.333333333333334</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row r="29" spans="1:2">
      <c r="B29" t="s">
        <v>185</v>
      </c>
    </row>
    <row r="30" spans="1:2">
      <c r="B30" t="s">
        <v>168</v>
      </c>
    </row>
    <row r="31" spans="1:2">
      <c r="B31" t="s">
        <v>169</v>
      </c>
    </row>
    <row r="32" spans="1:2">
      <c r="B32" t="s">
        <v>170</v>
      </c>
    </row>
    <row r="34" spans="2:2">
      <c r="B34" t="s">
        <v>171</v>
      </c>
    </row>
    <row r="36" spans="2:2">
      <c r="B36" t="s">
        <v>172</v>
      </c>
    </row>
    <row r="38" spans="2:2">
      <c r="B38" t="s">
        <v>173</v>
      </c>
    </row>
    <row r="40" spans="2:2">
      <c r="B40" t="s">
        <v>174</v>
      </c>
    </row>
    <row r="42" spans="2:2">
      <c r="B42" t="s">
        <v>175</v>
      </c>
    </row>
    <row r="44" spans="2:2">
      <c r="B44" t="s">
        <v>176</v>
      </c>
    </row>
    <row r="46" spans="2:2" ht="23.25">
      <c r="B46" s="23" t="s">
        <v>177</v>
      </c>
    </row>
    <row r="47" spans="2:2" ht="23.25">
      <c r="B47" s="23" t="s">
        <v>178</v>
      </c>
    </row>
    <row r="48" spans="2:2" ht="23.25">
      <c r="B48" s="23" t="s">
        <v>179</v>
      </c>
    </row>
    <row r="49" spans="2:2" ht="23.25">
      <c r="B49" s="23" t="s">
        <v>180</v>
      </c>
    </row>
    <row r="50" spans="2:2" ht="23.25">
      <c r="B50" s="23" t="s">
        <v>181</v>
      </c>
    </row>
    <row r="51" spans="2:2" ht="23.25">
      <c r="B51" s="23" t="s">
        <v>182</v>
      </c>
    </row>
    <row r="52" spans="2:2" ht="23.25">
      <c r="B52" s="23" t="s">
        <v>183</v>
      </c>
    </row>
    <row r="54" spans="2:2">
      <c r="B54" t="s">
        <v>184</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99"/>
  <sheetViews>
    <sheetView showGridLines="0" tabSelected="1" topLeftCell="A16" zoomScale="59" zoomScaleNormal="59" workbookViewId="0">
      <pane xSplit="12" topLeftCell="M1" activePane="topRight" state="frozen"/>
      <selection pane="topRight" activeCell="AM90" sqref="AM90"/>
    </sheetView>
  </sheetViews>
  <sheetFormatPr baseColWidth="10" defaultColWidth="8.875" defaultRowHeight="15.75" outlineLevelRow="1"/>
  <cols>
    <col min="3" max="3" width="25" customWidth="1"/>
    <col min="4" max="4" width="13" bestFit="1" customWidth="1"/>
    <col min="5" max="5" width="4.875" bestFit="1" customWidth="1"/>
    <col min="6" max="6" width="64.625" customWidth="1"/>
    <col min="7" max="7" width="19.375" customWidth="1"/>
    <col min="8" max="8" width="2.5" customWidth="1"/>
    <col min="9" max="9" width="9.125" customWidth="1"/>
    <col min="10" max="10" width="17.625" customWidth="1"/>
    <col min="11" max="11" width="15.5" customWidth="1"/>
    <col min="12" max="12" width="4.125"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s>
  <sheetData>
    <row r="1" spans="2:138" ht="33.75">
      <c r="B1" s="5" t="s">
        <v>0</v>
      </c>
      <c r="D1" s="5"/>
      <c r="G1" s="15" t="s">
        <v>33</v>
      </c>
      <c r="I1" s="15" t="s">
        <v>33</v>
      </c>
      <c r="J1" s="15" t="s">
        <v>33</v>
      </c>
      <c r="K1" s="15" t="s">
        <v>33</v>
      </c>
    </row>
    <row r="2" spans="2:138">
      <c r="I2" s="24" t="s">
        <v>27</v>
      </c>
      <c r="J2" s="24"/>
      <c r="K2" s="24"/>
      <c r="L2" s="24"/>
      <c r="N2" s="24" t="s">
        <v>166</v>
      </c>
      <c r="O2" s="24"/>
      <c r="P2" s="24"/>
      <c r="Q2" s="24"/>
      <c r="R2" s="24"/>
      <c r="S2" s="24"/>
      <c r="U2" s="24" t="s">
        <v>167</v>
      </c>
      <c r="V2" s="24"/>
      <c r="W2" s="24"/>
      <c r="X2" s="24"/>
      <c r="Y2" s="24"/>
      <c r="Z2" s="24"/>
      <c r="AB2" s="24" t="s">
        <v>150</v>
      </c>
      <c r="AC2" s="24"/>
      <c r="AD2" s="24"/>
      <c r="AE2" s="24"/>
      <c r="AF2" s="24"/>
      <c r="AG2" s="24"/>
      <c r="AI2" s="24" t="s">
        <v>151</v>
      </c>
      <c r="AJ2" s="24"/>
      <c r="AK2" s="24"/>
      <c r="AL2" s="24"/>
      <c r="AM2" s="24"/>
      <c r="AN2" s="24"/>
      <c r="AP2" s="24" t="s">
        <v>152</v>
      </c>
      <c r="AQ2" s="24"/>
      <c r="AR2" s="24"/>
      <c r="AS2" s="24"/>
      <c r="AT2" s="24"/>
      <c r="AU2" s="24"/>
      <c r="AW2" s="24" t="s">
        <v>153</v>
      </c>
      <c r="AX2" s="24"/>
      <c r="AY2" s="24"/>
      <c r="AZ2" s="24"/>
      <c r="BA2" s="24"/>
      <c r="BB2" s="24"/>
      <c r="BD2" s="24" t="s">
        <v>154</v>
      </c>
      <c r="BE2" s="24"/>
      <c r="BF2" s="24"/>
      <c r="BG2" s="24"/>
      <c r="BH2" s="24"/>
      <c r="BI2" s="24"/>
      <c r="BK2" s="24" t="s">
        <v>155</v>
      </c>
      <c r="BL2" s="24"/>
      <c r="BM2" s="24"/>
      <c r="BN2" s="24"/>
      <c r="BO2" s="24"/>
      <c r="BP2" s="24"/>
      <c r="BR2" s="24" t="s">
        <v>156</v>
      </c>
      <c r="BS2" s="24"/>
      <c r="BT2" s="24"/>
      <c r="BU2" s="24"/>
      <c r="BV2" s="24"/>
      <c r="BW2" s="24"/>
      <c r="BY2" s="24" t="s">
        <v>157</v>
      </c>
      <c r="BZ2" s="24"/>
      <c r="CA2" s="24"/>
      <c r="CB2" s="24"/>
      <c r="CC2" s="24"/>
      <c r="CD2" s="24"/>
      <c r="CF2" s="24" t="s">
        <v>158</v>
      </c>
      <c r="CG2" s="24"/>
      <c r="CH2" s="24"/>
      <c r="CI2" s="24"/>
      <c r="CJ2" s="24"/>
      <c r="CK2" s="24"/>
      <c r="CM2" s="24" t="s">
        <v>159</v>
      </c>
      <c r="CN2" s="24"/>
      <c r="CO2" s="24"/>
      <c r="CP2" s="24"/>
      <c r="CQ2" s="24"/>
      <c r="CR2" s="24"/>
      <c r="CT2" s="24" t="s">
        <v>160</v>
      </c>
      <c r="CU2" s="24"/>
      <c r="CV2" s="24"/>
      <c r="CW2" s="24"/>
      <c r="CX2" s="24"/>
      <c r="CY2" s="24"/>
      <c r="DA2" s="24" t="s">
        <v>161</v>
      </c>
      <c r="DB2" s="24"/>
      <c r="DC2" s="24"/>
      <c r="DD2" s="24"/>
      <c r="DE2" s="24"/>
      <c r="DF2" s="24"/>
      <c r="DH2" s="24" t="s">
        <v>162</v>
      </c>
      <c r="DI2" s="24"/>
      <c r="DJ2" s="24"/>
      <c r="DK2" s="24"/>
      <c r="DL2" s="24"/>
      <c r="DM2" s="24"/>
      <c r="DO2" s="24" t="s">
        <v>163</v>
      </c>
      <c r="DP2" s="24"/>
      <c r="DQ2" s="24"/>
      <c r="DR2" s="24"/>
      <c r="DS2" s="24"/>
      <c r="DT2" s="24"/>
      <c r="DV2" s="24" t="s">
        <v>165</v>
      </c>
      <c r="DW2" s="24"/>
      <c r="DX2" s="24"/>
      <c r="DY2" s="24"/>
      <c r="DZ2" s="24"/>
      <c r="EA2" s="24"/>
      <c r="EC2" s="24" t="s">
        <v>164</v>
      </c>
      <c r="ED2" s="24"/>
      <c r="EE2" s="24"/>
      <c r="EF2" s="24"/>
      <c r="EG2" s="24"/>
      <c r="EH2" s="24"/>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87</v>
      </c>
      <c r="D4" s="22">
        <v>46000</v>
      </c>
      <c r="E4" s="11">
        <v>6</v>
      </c>
      <c r="G4" s="12">
        <f>+SUM(G5:G17)</f>
        <v>0.99999999999999989</v>
      </c>
      <c r="I4" s="14">
        <f>+SUM(I5:I17)</f>
        <v>0</v>
      </c>
      <c r="J4" s="13">
        <f>+SUMPRODUCT(G5:G17,J5:J17)</f>
        <v>0</v>
      </c>
      <c r="K4" s="13">
        <f>+SUMPRODUCT(G5:G17,K5:K17)</f>
        <v>0</v>
      </c>
      <c r="L4" s="11"/>
      <c r="N4" s="14"/>
      <c r="U4" s="14">
        <f>+SUM(U5:U17)</f>
        <v>0</v>
      </c>
      <c r="AB4" s="14">
        <f>+SUM(AB5:AB17)</f>
        <v>0</v>
      </c>
      <c r="AI4" s="14"/>
      <c r="AP4" s="14"/>
      <c r="AW4" s="14"/>
      <c r="BD4" s="14"/>
      <c r="BK4" s="14"/>
      <c r="BR4" s="14"/>
      <c r="BY4" s="14"/>
      <c r="CF4" s="14"/>
      <c r="CM4" s="14"/>
      <c r="CT4" s="14"/>
      <c r="DA4" s="14">
        <f>+SUM(DA5:DA17)</f>
        <v>0</v>
      </c>
      <c r="DH4" s="14">
        <f>+SUM(DH5:DH17)</f>
        <v>0</v>
      </c>
      <c r="DO4" s="14">
        <f>+SUM(DO5:DO17)</f>
        <v>0</v>
      </c>
      <c r="DV4" s="14">
        <f>+SUM(DV5:DV17)</f>
        <v>0</v>
      </c>
      <c r="EC4" s="14">
        <f>+SUM(EC5:EC17)</f>
        <v>0</v>
      </c>
    </row>
    <row r="5" spans="2:138" ht="15.75" customHeight="1" outlineLevel="1">
      <c r="B5" t="s">
        <v>28</v>
      </c>
      <c r="C5" t="s">
        <v>87</v>
      </c>
      <c r="E5" s="11"/>
      <c r="F5" t="s">
        <v>88</v>
      </c>
      <c r="G5" s="12">
        <v>0.1</v>
      </c>
      <c r="I5" s="11">
        <f>+SUMIF($N$3:$AAA$3,I$3,$N5:$AAA5)</f>
        <v>0</v>
      </c>
      <c r="J5" s="13" cm="1">
        <f t="array" ref="J5">MAX(IF($N$3:$EI$3=$J$3,N5:EI5))</f>
        <v>0</v>
      </c>
      <c r="K5" s="13" cm="1">
        <f t="array" ref="K5">MAX(IF($N$3:$EI$3=$J$3,N5:EI5))</f>
        <v>0</v>
      </c>
      <c r="L5" s="11"/>
      <c r="O5" s="12"/>
      <c r="P5" s="12">
        <v>0.5</v>
      </c>
      <c r="Q5" s="12"/>
      <c r="R5" s="12">
        <v>0.5</v>
      </c>
      <c r="V5" s="12"/>
      <c r="W5" s="12"/>
      <c r="X5" s="12"/>
      <c r="Y5" s="12"/>
      <c r="AC5" s="12"/>
      <c r="AD5" s="12"/>
      <c r="AE5" s="12"/>
      <c r="AF5" s="12"/>
      <c r="AJ5" s="12"/>
      <c r="AK5" s="12"/>
      <c r="AL5" s="12"/>
      <c r="AM5" s="12"/>
      <c r="AQ5" s="12"/>
      <c r="AR5" s="12">
        <v>0.8</v>
      </c>
      <c r="AS5" s="12"/>
      <c r="AT5" s="12">
        <v>0.8</v>
      </c>
      <c r="AX5" s="12"/>
      <c r="AY5" s="12">
        <v>0.8</v>
      </c>
      <c r="AZ5" s="12"/>
      <c r="BA5" s="12">
        <v>0.8</v>
      </c>
      <c r="BE5" s="12"/>
      <c r="BF5" s="12">
        <v>0.8</v>
      </c>
      <c r="BG5" s="12"/>
      <c r="BH5" s="12">
        <v>0.8</v>
      </c>
      <c r="BL5" s="12"/>
      <c r="BM5" s="12">
        <v>0.8</v>
      </c>
      <c r="BN5" s="12"/>
      <c r="BO5" s="12">
        <v>0.8</v>
      </c>
      <c r="BS5" s="12"/>
      <c r="BT5" s="12">
        <v>0.8</v>
      </c>
      <c r="BU5" s="12"/>
      <c r="BV5" s="12">
        <v>0.8</v>
      </c>
      <c r="BZ5" s="12"/>
      <c r="CA5" s="12">
        <v>0.8</v>
      </c>
      <c r="CB5" s="12"/>
      <c r="CC5" s="12">
        <v>0.8</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c r="DR5" s="12"/>
      <c r="DS5" s="12"/>
      <c r="DW5" s="12"/>
      <c r="DX5" s="12"/>
      <c r="DY5" s="12"/>
      <c r="DZ5" s="12"/>
      <c r="ED5" s="12"/>
      <c r="EE5" s="12"/>
      <c r="EF5" s="12"/>
      <c r="EG5" s="12"/>
    </row>
    <row r="6" spans="2:138" ht="15.75" customHeight="1" outlineLevel="1">
      <c r="B6" t="s">
        <v>28</v>
      </c>
      <c r="C6" t="s">
        <v>87</v>
      </c>
      <c r="E6" s="11"/>
      <c r="F6" t="s">
        <v>90</v>
      </c>
      <c r="G6" s="12">
        <v>0.1</v>
      </c>
      <c r="I6" s="11">
        <f t="shared" ref="I6:I14" si="0">+SUMIF($N$3:$AAA$3,I$3,$N6:$AAA6)</f>
        <v>0</v>
      </c>
      <c r="J6" s="13" cm="1">
        <f t="array" ref="J6">MAX(IF($N$3:$EI$3=$J$3,N6:EI6))</f>
        <v>0</v>
      </c>
      <c r="K6" s="13" cm="1">
        <f t="array" ref="K6">MAX(IF($N$3:$EI$3=$J$3,N6:EI6))</f>
        <v>0</v>
      </c>
      <c r="L6" s="11"/>
      <c r="O6" s="12"/>
      <c r="P6" s="12"/>
      <c r="Q6" s="12"/>
      <c r="R6" s="12"/>
      <c r="V6" s="12"/>
      <c r="W6" s="12"/>
      <c r="X6" s="12"/>
      <c r="Y6" s="12"/>
      <c r="AC6" s="12"/>
      <c r="AD6" s="12">
        <v>0.5</v>
      </c>
      <c r="AE6" s="12"/>
      <c r="AF6" s="12">
        <v>0.5</v>
      </c>
      <c r="AJ6" s="12"/>
      <c r="AK6" s="12">
        <v>0.5</v>
      </c>
      <c r="AL6" s="12"/>
      <c r="AM6" s="12">
        <v>0.5</v>
      </c>
      <c r="AQ6" s="12"/>
      <c r="AR6" s="12">
        <v>0.8</v>
      </c>
      <c r="AS6" s="12"/>
      <c r="AT6" s="12">
        <v>0.8</v>
      </c>
      <c r="AX6" s="12"/>
      <c r="AY6" s="12">
        <v>0.8</v>
      </c>
      <c r="AZ6" s="12"/>
      <c r="BA6" s="12">
        <v>0.8</v>
      </c>
      <c r="BE6" s="12"/>
      <c r="BF6" s="12">
        <v>0.8</v>
      </c>
      <c r="BG6" s="12"/>
      <c r="BH6" s="12">
        <v>0.8</v>
      </c>
      <c r="BL6" s="12"/>
      <c r="BM6" s="12">
        <v>0.8</v>
      </c>
      <c r="BN6" s="12"/>
      <c r="BO6" s="12">
        <v>0.8</v>
      </c>
      <c r="BS6" s="12"/>
      <c r="BT6" s="12">
        <v>0.8</v>
      </c>
      <c r="BU6" s="12"/>
      <c r="BV6" s="12">
        <v>0.8</v>
      </c>
      <c r="BZ6" s="12"/>
      <c r="CA6" s="12">
        <v>0.8</v>
      </c>
      <c r="CB6" s="12"/>
      <c r="CC6" s="12">
        <v>0.8</v>
      </c>
      <c r="CG6" s="12"/>
      <c r="CH6" s="12">
        <v>0.8</v>
      </c>
      <c r="CI6" s="12"/>
      <c r="CJ6" s="12">
        <v>0.8</v>
      </c>
      <c r="CN6" s="12"/>
      <c r="CO6" s="12">
        <v>1</v>
      </c>
      <c r="CP6" s="12"/>
      <c r="CQ6" s="12">
        <v>1</v>
      </c>
      <c r="CU6" s="12"/>
      <c r="CV6" s="12">
        <v>1</v>
      </c>
      <c r="CW6" s="12"/>
      <c r="CX6" s="12">
        <v>1</v>
      </c>
      <c r="DB6" s="12"/>
      <c r="DC6" s="12">
        <v>1</v>
      </c>
      <c r="DD6" s="12"/>
      <c r="DE6" s="12">
        <v>1</v>
      </c>
      <c r="DI6" s="12"/>
      <c r="DJ6" s="12">
        <v>1</v>
      </c>
      <c r="DK6" s="12"/>
      <c r="DL6" s="12">
        <v>1</v>
      </c>
      <c r="DP6" s="12"/>
      <c r="DQ6" s="12"/>
      <c r="DR6" s="12"/>
      <c r="DS6" s="12"/>
      <c r="DW6" s="12"/>
      <c r="DX6" s="12"/>
      <c r="DY6" s="12"/>
      <c r="DZ6" s="12"/>
      <c r="ED6" s="12"/>
      <c r="EE6" s="12"/>
      <c r="EF6" s="12"/>
      <c r="EG6" s="12"/>
    </row>
    <row r="7" spans="2:138" ht="15.75" customHeight="1" outlineLevel="1">
      <c r="B7" t="s">
        <v>28</v>
      </c>
      <c r="C7" t="s">
        <v>87</v>
      </c>
      <c r="E7" s="11"/>
      <c r="F7" t="s">
        <v>89</v>
      </c>
      <c r="G7" s="12">
        <v>0.1</v>
      </c>
      <c r="I7" s="11">
        <f t="shared" si="0"/>
        <v>0</v>
      </c>
      <c r="J7" s="13" cm="1">
        <f t="array" ref="J7">MAX(IF($N$3:$EI$3=$J$3,N7:EI7))</f>
        <v>0</v>
      </c>
      <c r="K7" s="13" cm="1">
        <f t="array" ref="K7">MAX(IF($N$3:$EI$3=$J$3,N7:EI7))</f>
        <v>0</v>
      </c>
      <c r="L7" s="11"/>
      <c r="O7" s="12"/>
      <c r="P7" s="12"/>
      <c r="Q7" s="12"/>
      <c r="R7" s="12"/>
      <c r="V7" s="12"/>
      <c r="W7" s="12"/>
      <c r="X7" s="12"/>
      <c r="Y7" s="12"/>
      <c r="AC7" s="12"/>
      <c r="AD7" s="12">
        <v>0.5</v>
      </c>
      <c r="AE7" s="12"/>
      <c r="AF7" s="12">
        <v>0.5</v>
      </c>
      <c r="AJ7" s="12"/>
      <c r="AK7" s="12">
        <v>0.5</v>
      </c>
      <c r="AL7" s="12"/>
      <c r="AM7" s="12">
        <v>0.5</v>
      </c>
      <c r="AQ7" s="12"/>
      <c r="AR7" s="12">
        <v>0.8</v>
      </c>
      <c r="AS7" s="12"/>
      <c r="AT7" s="12">
        <v>0.8</v>
      </c>
      <c r="AX7" s="12"/>
      <c r="AY7" s="12">
        <v>0.8</v>
      </c>
      <c r="AZ7" s="12"/>
      <c r="BA7" s="12">
        <v>0.8</v>
      </c>
      <c r="BE7" s="12"/>
      <c r="BF7" s="12">
        <v>0.8</v>
      </c>
      <c r="BG7" s="12"/>
      <c r="BH7" s="12">
        <v>0.8</v>
      </c>
      <c r="BL7" s="12"/>
      <c r="BM7" s="12">
        <v>0.8</v>
      </c>
      <c r="BN7" s="12"/>
      <c r="BO7" s="12">
        <v>0.8</v>
      </c>
      <c r="BS7" s="12"/>
      <c r="BT7" s="12">
        <v>0.8</v>
      </c>
      <c r="BU7" s="12"/>
      <c r="BV7" s="12">
        <v>0.8</v>
      </c>
      <c r="BZ7" s="12"/>
      <c r="CA7" s="12">
        <v>0.8</v>
      </c>
      <c r="CB7" s="12"/>
      <c r="CC7" s="12">
        <v>0.8</v>
      </c>
      <c r="CG7" s="12"/>
      <c r="CH7" s="12">
        <v>0.8</v>
      </c>
      <c r="CI7" s="12"/>
      <c r="CJ7" s="12">
        <v>0.8</v>
      </c>
      <c r="CN7" s="12"/>
      <c r="CO7" s="12">
        <v>0.8</v>
      </c>
      <c r="CP7" s="12"/>
      <c r="CQ7" s="12">
        <v>0.8</v>
      </c>
      <c r="CU7" s="12"/>
      <c r="CV7" s="12">
        <v>1</v>
      </c>
      <c r="CW7" s="12"/>
      <c r="CX7" s="12">
        <v>1</v>
      </c>
      <c r="DB7" s="12"/>
      <c r="DC7" s="12">
        <v>1</v>
      </c>
      <c r="DD7" s="12"/>
      <c r="DE7" s="12">
        <v>1</v>
      </c>
      <c r="DI7" s="12"/>
      <c r="DJ7" s="12">
        <v>1</v>
      </c>
      <c r="DK7" s="12"/>
      <c r="DL7" s="12">
        <v>1</v>
      </c>
      <c r="DP7" s="12"/>
      <c r="DQ7" s="12"/>
      <c r="DR7" s="12"/>
      <c r="DS7" s="12"/>
      <c r="DW7" s="12"/>
      <c r="DX7" s="12"/>
      <c r="DY7" s="12"/>
      <c r="DZ7" s="12"/>
      <c r="ED7" s="12"/>
      <c r="EE7" s="12"/>
      <c r="EF7" s="12"/>
      <c r="EG7" s="12"/>
    </row>
    <row r="8" spans="2:138" ht="15.75" customHeight="1" outlineLevel="1">
      <c r="B8" t="s">
        <v>28</v>
      </c>
      <c r="C8" t="s">
        <v>87</v>
      </c>
      <c r="E8" s="11"/>
      <c r="F8" t="s">
        <v>91</v>
      </c>
      <c r="G8" s="12">
        <v>0.1</v>
      </c>
      <c r="I8" s="11">
        <f t="shared" si="0"/>
        <v>0</v>
      </c>
      <c r="J8" s="13" cm="1">
        <f t="array" ref="J8">MAX(IF($N$3:$EI$3=$J$3,N8:EI8))</f>
        <v>0</v>
      </c>
      <c r="K8" s="13" cm="1">
        <f t="array" ref="K8">MAX(IF($N$3:$EI$3=$J$3,N8:EI8))</f>
        <v>0</v>
      </c>
      <c r="L8" s="11"/>
      <c r="O8" s="12"/>
      <c r="P8" s="12"/>
      <c r="Q8" s="12"/>
      <c r="R8" s="12"/>
      <c r="V8" s="12"/>
      <c r="W8" s="12"/>
      <c r="X8" s="12"/>
      <c r="Y8" s="12"/>
      <c r="AC8" s="12"/>
      <c r="AD8" s="12">
        <v>0.5</v>
      </c>
      <c r="AE8" s="12"/>
      <c r="AF8" s="12">
        <v>0.5</v>
      </c>
      <c r="AJ8" s="12"/>
      <c r="AK8" s="12">
        <v>0.5</v>
      </c>
      <c r="AL8" s="12"/>
      <c r="AM8" s="12">
        <v>0.5</v>
      </c>
      <c r="AQ8" s="12"/>
      <c r="AR8" s="12">
        <v>0.5</v>
      </c>
      <c r="AS8" s="12"/>
      <c r="AT8" s="12">
        <v>0.5</v>
      </c>
      <c r="AX8" s="12"/>
      <c r="AY8" s="12">
        <v>0.8</v>
      </c>
      <c r="AZ8" s="12"/>
      <c r="BA8" s="12">
        <v>0.8</v>
      </c>
      <c r="BE8" s="12"/>
      <c r="BF8" s="12">
        <v>0.8</v>
      </c>
      <c r="BG8" s="12"/>
      <c r="BH8" s="12">
        <v>0.8</v>
      </c>
      <c r="BL8" s="12"/>
      <c r="BM8" s="12">
        <v>0.8</v>
      </c>
      <c r="BN8" s="12"/>
      <c r="BO8" s="12">
        <v>0.8</v>
      </c>
      <c r="BS8" s="12"/>
      <c r="BT8" s="12">
        <v>0.8</v>
      </c>
      <c r="BU8" s="12"/>
      <c r="BV8" s="12">
        <v>0.8</v>
      </c>
      <c r="BZ8" s="12"/>
      <c r="CA8" s="12">
        <v>0.8</v>
      </c>
      <c r="CB8" s="12"/>
      <c r="CC8" s="12">
        <v>0.8</v>
      </c>
      <c r="CG8" s="12"/>
      <c r="CH8" s="12">
        <v>0.8</v>
      </c>
      <c r="CI8" s="12"/>
      <c r="CJ8" s="12">
        <v>0.8</v>
      </c>
      <c r="CN8" s="12"/>
      <c r="CO8" s="12">
        <v>0.8</v>
      </c>
      <c r="CP8" s="12"/>
      <c r="CQ8" s="12">
        <v>0.8</v>
      </c>
      <c r="CU8" s="12"/>
      <c r="CV8" s="12">
        <v>1</v>
      </c>
      <c r="CW8" s="12"/>
      <c r="CX8" s="12">
        <v>1</v>
      </c>
      <c r="DB8" s="12"/>
      <c r="DC8" s="12">
        <v>1</v>
      </c>
      <c r="DD8" s="12"/>
      <c r="DE8" s="12">
        <v>1</v>
      </c>
      <c r="DI8" s="12"/>
      <c r="DJ8" s="12">
        <v>1</v>
      </c>
      <c r="DK8" s="12"/>
      <c r="DL8" s="12">
        <v>1</v>
      </c>
      <c r="DP8" s="12"/>
      <c r="DQ8" s="12"/>
      <c r="DR8" s="12"/>
      <c r="DS8" s="12"/>
      <c r="DW8" s="12"/>
      <c r="DX8" s="12"/>
      <c r="DY8" s="12"/>
      <c r="DZ8" s="12"/>
      <c r="ED8" s="12"/>
      <c r="EE8" s="12"/>
      <c r="EF8" s="12"/>
      <c r="EG8" s="12"/>
    </row>
    <row r="9" spans="2:138" ht="15.75" customHeight="1" outlineLevel="1">
      <c r="B9" t="s">
        <v>28</v>
      </c>
      <c r="C9" t="s">
        <v>87</v>
      </c>
      <c r="E9" s="11"/>
      <c r="F9" t="s">
        <v>92</v>
      </c>
      <c r="G9" s="12">
        <v>0.1</v>
      </c>
      <c r="I9" s="11">
        <f t="shared" si="0"/>
        <v>0</v>
      </c>
      <c r="J9" s="13" cm="1">
        <f t="array" ref="J9">MAX(IF($N$3:$EI$3=$J$3,N9:EI9))</f>
        <v>0</v>
      </c>
      <c r="K9" s="13" cm="1">
        <f t="array" ref="K9">MAX(IF($N$3:$EI$3=$J$3,N9:EI9))</f>
        <v>0</v>
      </c>
      <c r="L9" s="11"/>
      <c r="O9" s="12"/>
      <c r="P9" s="12"/>
      <c r="Q9" s="12"/>
      <c r="R9" s="12"/>
      <c r="V9" s="12"/>
      <c r="W9" s="12"/>
      <c r="X9" s="12"/>
      <c r="Y9" s="12"/>
      <c r="AC9" s="12"/>
      <c r="AD9" s="12">
        <v>0.5</v>
      </c>
      <c r="AE9" s="12"/>
      <c r="AF9" s="12">
        <v>0.5</v>
      </c>
      <c r="AJ9" s="12"/>
      <c r="AK9" s="12">
        <v>0.5</v>
      </c>
      <c r="AL9" s="12"/>
      <c r="AM9" s="12">
        <v>0.5</v>
      </c>
      <c r="AQ9" s="12"/>
      <c r="AR9" s="12">
        <v>0.5</v>
      </c>
      <c r="AS9" s="12"/>
      <c r="AT9" s="12">
        <v>0.5</v>
      </c>
      <c r="AX9" s="12"/>
      <c r="AY9" s="12">
        <v>0.5</v>
      </c>
      <c r="AZ9" s="12"/>
      <c r="BA9" s="12">
        <v>0.5</v>
      </c>
      <c r="BE9" s="12"/>
      <c r="BF9" s="12">
        <v>0.8</v>
      </c>
      <c r="BG9" s="12"/>
      <c r="BH9" s="12">
        <v>0.8</v>
      </c>
      <c r="BL9" s="12"/>
      <c r="BM9" s="12">
        <v>0.8</v>
      </c>
      <c r="BN9" s="12"/>
      <c r="BO9" s="12">
        <v>0.8</v>
      </c>
      <c r="BS9" s="12"/>
      <c r="BT9" s="12">
        <v>0.8</v>
      </c>
      <c r="BU9" s="12"/>
      <c r="BV9" s="12">
        <v>0.8</v>
      </c>
      <c r="BZ9" s="12"/>
      <c r="CA9" s="12">
        <v>0.8</v>
      </c>
      <c r="CB9" s="12"/>
      <c r="CC9" s="12">
        <v>0.8</v>
      </c>
      <c r="CG9" s="12"/>
      <c r="CH9" s="12">
        <v>0.8</v>
      </c>
      <c r="CI9" s="12"/>
      <c r="CJ9" s="12">
        <v>0.8</v>
      </c>
      <c r="CN9" s="12"/>
      <c r="CO9" s="12">
        <v>0.8</v>
      </c>
      <c r="CP9" s="12"/>
      <c r="CQ9" s="12">
        <v>0.8</v>
      </c>
      <c r="CU9" s="12"/>
      <c r="CV9" s="12">
        <v>1</v>
      </c>
      <c r="CW9" s="12"/>
      <c r="CX9" s="12">
        <v>1</v>
      </c>
      <c r="DB9" s="12"/>
      <c r="DC9" s="12">
        <v>1</v>
      </c>
      <c r="DD9" s="12"/>
      <c r="DE9" s="12">
        <v>1</v>
      </c>
      <c r="DI9" s="12"/>
      <c r="DJ9" s="12">
        <v>1</v>
      </c>
      <c r="DK9" s="12"/>
      <c r="DL9" s="12">
        <v>1</v>
      </c>
      <c r="DP9" s="12"/>
      <c r="DQ9" s="12"/>
      <c r="DR9" s="12"/>
      <c r="DS9" s="12"/>
      <c r="DW9" s="12"/>
      <c r="DX9" s="12"/>
      <c r="DY9" s="12"/>
      <c r="DZ9" s="12"/>
      <c r="ED9" s="12"/>
      <c r="EE9" s="12"/>
      <c r="EF9" s="12"/>
      <c r="EG9" s="12"/>
    </row>
    <row r="10" spans="2:138" ht="15.75" customHeight="1" outlineLevel="1">
      <c r="B10" t="s">
        <v>28</v>
      </c>
      <c r="C10" t="s">
        <v>87</v>
      </c>
      <c r="E10" s="11"/>
      <c r="F10" t="s">
        <v>93</v>
      </c>
      <c r="G10" s="12">
        <v>0.1</v>
      </c>
      <c r="I10" s="11">
        <f t="shared" si="0"/>
        <v>0</v>
      </c>
      <c r="J10" s="13" cm="1">
        <f t="array" ref="J10">MAX(IF($N$3:$EI$3=$J$3,N10:EI10))</f>
        <v>0</v>
      </c>
      <c r="K10" s="13" cm="1">
        <f t="array" ref="K10">MAX(IF($N$3:$EI$3=$J$3,N10:EI10))</f>
        <v>0</v>
      </c>
      <c r="L10" s="11"/>
      <c r="O10" s="12"/>
      <c r="P10" s="12"/>
      <c r="Q10" s="12"/>
      <c r="R10" s="12"/>
      <c r="V10" s="12"/>
      <c r="W10" s="12"/>
      <c r="X10" s="12"/>
      <c r="Y10" s="12"/>
      <c r="AC10" s="12"/>
      <c r="AD10" s="12"/>
      <c r="AE10" s="12"/>
      <c r="AF10" s="12"/>
      <c r="AJ10" s="12"/>
      <c r="AK10" s="12"/>
      <c r="AL10" s="12"/>
      <c r="AM10" s="12"/>
      <c r="AQ10" s="12"/>
      <c r="AR10" s="12">
        <v>0.5</v>
      </c>
      <c r="AS10" s="12"/>
      <c r="AT10" s="12">
        <v>0.5</v>
      </c>
      <c r="AX10" s="12"/>
      <c r="AY10" s="12">
        <v>0.5</v>
      </c>
      <c r="AZ10" s="12"/>
      <c r="BA10" s="12">
        <v>0.5</v>
      </c>
      <c r="BE10" s="12"/>
      <c r="BF10" s="12">
        <v>0.5</v>
      </c>
      <c r="BG10" s="12"/>
      <c r="BH10" s="12">
        <v>0.5</v>
      </c>
      <c r="BL10" s="12"/>
      <c r="BM10" s="12">
        <v>0.5</v>
      </c>
      <c r="BN10" s="12"/>
      <c r="BO10" s="12">
        <v>0.5</v>
      </c>
      <c r="BP10" s="12"/>
      <c r="BS10" s="12"/>
      <c r="BT10" s="12">
        <v>0.8</v>
      </c>
      <c r="BU10" s="12"/>
      <c r="BV10" s="12">
        <v>0.8</v>
      </c>
      <c r="BZ10" s="12"/>
      <c r="CA10" s="12">
        <v>0.8</v>
      </c>
      <c r="CB10" s="12"/>
      <c r="CC10" s="12">
        <v>0.8</v>
      </c>
      <c r="CG10" s="12"/>
      <c r="CH10" s="12">
        <v>0.8</v>
      </c>
      <c r="CI10" s="12"/>
      <c r="CJ10" s="12">
        <v>0.8</v>
      </c>
      <c r="CN10" s="12"/>
      <c r="CO10" s="12">
        <v>0.8</v>
      </c>
      <c r="CP10" s="12"/>
      <c r="CQ10" s="12">
        <v>0.8</v>
      </c>
      <c r="CU10" s="12"/>
      <c r="CV10" s="12">
        <v>0.8</v>
      </c>
      <c r="CW10" s="12"/>
      <c r="CX10" s="12">
        <v>0.8</v>
      </c>
      <c r="DB10" s="12"/>
      <c r="DC10" s="12">
        <v>1</v>
      </c>
      <c r="DD10" s="12"/>
      <c r="DE10" s="12">
        <v>1</v>
      </c>
      <c r="DI10" s="12"/>
      <c r="DJ10" s="12">
        <v>1</v>
      </c>
      <c r="DK10" s="12"/>
      <c r="DL10" s="12">
        <v>1</v>
      </c>
      <c r="DP10" s="12"/>
      <c r="DQ10" s="12"/>
      <c r="DR10" s="12"/>
      <c r="DS10" s="12"/>
      <c r="DW10" s="12"/>
      <c r="DX10" s="12"/>
      <c r="DY10" s="12"/>
      <c r="DZ10" s="12"/>
      <c r="ED10" s="12"/>
      <c r="EE10" s="12"/>
      <c r="EF10" s="12"/>
      <c r="EG10" s="12"/>
    </row>
    <row r="11" spans="2:138" ht="15.75" customHeight="1" outlineLevel="1">
      <c r="B11" t="s">
        <v>28</v>
      </c>
      <c r="C11" t="s">
        <v>87</v>
      </c>
      <c r="E11" s="11"/>
      <c r="F11" t="s">
        <v>94</v>
      </c>
      <c r="G11" s="12">
        <v>0.1</v>
      </c>
      <c r="I11" s="11">
        <f t="shared" si="0"/>
        <v>0</v>
      </c>
      <c r="J11" s="13" cm="1">
        <f t="array" ref="J11">MAX(IF($N$3:$EI$3=$J$3,N11:EI11))</f>
        <v>0</v>
      </c>
      <c r="K11" s="13" cm="1">
        <f t="array" ref="K11">MAX(IF($N$3:$EI$3=$J$3,N11:EI11))</f>
        <v>0</v>
      </c>
      <c r="L11" s="11"/>
      <c r="O11" s="12"/>
      <c r="P11" s="12"/>
      <c r="Q11" s="12"/>
      <c r="R11" s="12"/>
      <c r="V11" s="12"/>
      <c r="W11" s="12"/>
      <c r="X11" s="12"/>
      <c r="Y11" s="12"/>
      <c r="AC11" s="12"/>
      <c r="AD11" s="12"/>
      <c r="AE11" s="12"/>
      <c r="AF11" s="12"/>
      <c r="AJ11" s="12"/>
      <c r="AK11" s="12"/>
      <c r="AL11" s="12"/>
      <c r="AM11" s="12"/>
      <c r="AQ11" s="12"/>
      <c r="AR11" s="12"/>
      <c r="AS11" s="12"/>
      <c r="AT11" s="12"/>
      <c r="AX11" s="12"/>
      <c r="AY11" s="12">
        <v>0.5</v>
      </c>
      <c r="AZ11" s="12"/>
      <c r="BA11" s="12">
        <v>0.5</v>
      </c>
      <c r="BE11" s="12"/>
      <c r="BF11" s="12">
        <v>0.5</v>
      </c>
      <c r="BG11" s="12"/>
      <c r="BH11" s="12">
        <v>0.5</v>
      </c>
      <c r="BL11" s="12"/>
      <c r="BM11" s="12">
        <v>0.5</v>
      </c>
      <c r="BN11" s="12"/>
      <c r="BO11" s="12">
        <v>0.5</v>
      </c>
      <c r="BP11" s="12"/>
      <c r="BS11" s="12"/>
      <c r="BT11" s="12">
        <v>0.5</v>
      </c>
      <c r="BU11" s="12"/>
      <c r="BV11" s="12">
        <v>0.5</v>
      </c>
      <c r="BZ11" s="12"/>
      <c r="CA11" s="12">
        <v>0.8</v>
      </c>
      <c r="CB11" s="12"/>
      <c r="CC11" s="12">
        <v>0.8</v>
      </c>
      <c r="CG11" s="12"/>
      <c r="CH11" s="12">
        <v>0.8</v>
      </c>
      <c r="CI11" s="12"/>
      <c r="CJ11" s="12">
        <v>0.8</v>
      </c>
      <c r="CN11" s="12"/>
      <c r="CO11" s="12">
        <v>0.8</v>
      </c>
      <c r="CP11" s="12"/>
      <c r="CQ11" s="12">
        <v>0.8</v>
      </c>
      <c r="CU11" s="12"/>
      <c r="CV11" s="12">
        <v>0.8</v>
      </c>
      <c r="CW11" s="12"/>
      <c r="CX11" s="12">
        <v>0.8</v>
      </c>
      <c r="DB11" s="12"/>
      <c r="DC11" s="12">
        <v>1</v>
      </c>
      <c r="DD11" s="12"/>
      <c r="DE11" s="12">
        <v>1</v>
      </c>
      <c r="DI11" s="12"/>
      <c r="DJ11" s="12">
        <v>1</v>
      </c>
      <c r="DK11" s="12"/>
      <c r="DL11" s="12">
        <v>1</v>
      </c>
      <c r="DP11" s="12"/>
      <c r="DQ11" s="12"/>
      <c r="DR11" s="12"/>
      <c r="DS11" s="12"/>
      <c r="DW11" s="12"/>
      <c r="DX11" s="12"/>
      <c r="DY11" s="12"/>
      <c r="DZ11" s="12"/>
      <c r="ED11" s="12"/>
      <c r="EE11" s="12"/>
      <c r="EF11" s="12"/>
      <c r="EG11" s="12"/>
    </row>
    <row r="12" spans="2:138" ht="15.75" customHeight="1" outlineLevel="1">
      <c r="B12" t="s">
        <v>28</v>
      </c>
      <c r="C12" t="s">
        <v>87</v>
      </c>
      <c r="E12" s="11"/>
      <c r="F12" t="s">
        <v>95</v>
      </c>
      <c r="G12" s="12">
        <v>0.1</v>
      </c>
      <c r="I12" s="11">
        <f t="shared" si="0"/>
        <v>0</v>
      </c>
      <c r="J12" s="13" cm="1">
        <f t="array" ref="J12">MAX(IF($N$3:$EI$3=$J$3,N12:EI12))</f>
        <v>0</v>
      </c>
      <c r="K12" s="13" cm="1">
        <f t="array" ref="K12">MAX(IF($N$3:$EI$3=$J$3,N12:EI12))</f>
        <v>0</v>
      </c>
      <c r="L12" s="11"/>
      <c r="O12" s="12"/>
      <c r="P12" s="12"/>
      <c r="Q12" s="12"/>
      <c r="R12" s="12"/>
      <c r="V12" s="12"/>
      <c r="W12" s="12"/>
      <c r="X12" s="12"/>
      <c r="Y12" s="12"/>
      <c r="AC12" s="12"/>
      <c r="AD12" s="12"/>
      <c r="AE12" s="12"/>
      <c r="AF12" s="12"/>
      <c r="AJ12" s="12"/>
      <c r="AK12" s="12"/>
      <c r="AL12" s="12"/>
      <c r="AM12" s="12"/>
      <c r="AQ12" s="12"/>
      <c r="AR12" s="12"/>
      <c r="AS12" s="12"/>
      <c r="AT12" s="12"/>
      <c r="AX12" s="12"/>
      <c r="AY12" s="12">
        <v>0.5</v>
      </c>
      <c r="AZ12" s="12"/>
      <c r="BA12" s="12">
        <v>0.5</v>
      </c>
      <c r="BE12" s="12"/>
      <c r="BF12" s="12">
        <v>0.5</v>
      </c>
      <c r="BG12" s="12"/>
      <c r="BH12" s="12">
        <v>0.5</v>
      </c>
      <c r="BL12" s="12"/>
      <c r="BM12" s="12">
        <v>0.5</v>
      </c>
      <c r="BN12" s="12"/>
      <c r="BO12" s="12">
        <v>0.5</v>
      </c>
      <c r="BP12" s="12"/>
      <c r="BS12" s="12"/>
      <c r="BT12" s="12">
        <v>0.5</v>
      </c>
      <c r="BU12" s="12"/>
      <c r="BV12" s="12">
        <v>0.5</v>
      </c>
      <c r="BZ12" s="12"/>
      <c r="CA12" s="12">
        <v>0.8</v>
      </c>
      <c r="CB12" s="12"/>
      <c r="CC12" s="12">
        <v>0.8</v>
      </c>
      <c r="CG12" s="12"/>
      <c r="CH12" s="12">
        <v>0.8</v>
      </c>
      <c r="CI12" s="12"/>
      <c r="CJ12" s="12">
        <v>0.8</v>
      </c>
      <c r="CN12" s="12"/>
      <c r="CO12" s="12">
        <v>0.8</v>
      </c>
      <c r="CP12" s="12"/>
      <c r="CQ12" s="12">
        <v>0.8</v>
      </c>
      <c r="CU12" s="12"/>
      <c r="CV12" s="12">
        <v>0.8</v>
      </c>
      <c r="CW12" s="12"/>
      <c r="CX12" s="12">
        <v>0.8</v>
      </c>
      <c r="DB12" s="12"/>
      <c r="DC12" s="12">
        <v>1</v>
      </c>
      <c r="DD12" s="12"/>
      <c r="DE12" s="12">
        <v>1</v>
      </c>
      <c r="DI12" s="12"/>
      <c r="DJ12" s="12">
        <v>1</v>
      </c>
      <c r="DK12" s="12"/>
      <c r="DL12" s="12">
        <v>1</v>
      </c>
      <c r="DP12" s="12"/>
      <c r="DQ12" s="12"/>
      <c r="DR12" s="12"/>
      <c r="DS12" s="12"/>
      <c r="DW12" s="12"/>
      <c r="DX12" s="12"/>
      <c r="DY12" s="12"/>
      <c r="DZ12" s="12"/>
      <c r="ED12" s="12"/>
      <c r="EE12" s="12"/>
      <c r="EF12" s="12"/>
      <c r="EG12" s="12"/>
    </row>
    <row r="13" spans="2:138" ht="15.75" customHeight="1" outlineLevel="1">
      <c r="B13" t="s">
        <v>28</v>
      </c>
      <c r="C13" t="s">
        <v>87</v>
      </c>
      <c r="E13" s="11"/>
      <c r="F13" t="s">
        <v>96</v>
      </c>
      <c r="G13" s="12">
        <v>0.1</v>
      </c>
      <c r="I13" s="11">
        <f t="shared" si="0"/>
        <v>0</v>
      </c>
      <c r="J13" s="13" cm="1">
        <f t="array" ref="J13">MAX(IF($N$3:$EI$3=$J$3,N13:EI13))</f>
        <v>0</v>
      </c>
      <c r="K13" s="13" cm="1">
        <f t="array" ref="K13">MAX(IF($N$3:$EI$3=$J$3,N13:EI13))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v>0.5</v>
      </c>
      <c r="BG13" s="12"/>
      <c r="BH13" s="12">
        <v>0.5</v>
      </c>
      <c r="BL13" s="12"/>
      <c r="BM13" s="12">
        <v>0.5</v>
      </c>
      <c r="BN13" s="12"/>
      <c r="BO13" s="12">
        <v>0.5</v>
      </c>
      <c r="BP13" s="12"/>
      <c r="BS13" s="12"/>
      <c r="BT13" s="12">
        <v>0.5</v>
      </c>
      <c r="BU13" s="12"/>
      <c r="BV13" s="12">
        <v>0.5</v>
      </c>
      <c r="BZ13" s="12"/>
      <c r="CA13" s="12">
        <v>0.5</v>
      </c>
      <c r="CB13" s="12"/>
      <c r="CC13" s="12">
        <v>0.5</v>
      </c>
      <c r="CG13" s="12"/>
      <c r="CH13" s="12">
        <v>0.8</v>
      </c>
      <c r="CI13" s="12"/>
      <c r="CJ13" s="12">
        <v>0.8</v>
      </c>
      <c r="CN13" s="12"/>
      <c r="CO13" s="12">
        <v>0.8</v>
      </c>
      <c r="CP13" s="12"/>
      <c r="CQ13" s="12">
        <v>0.8</v>
      </c>
      <c r="CU13" s="12"/>
      <c r="CV13" s="12">
        <v>0.8</v>
      </c>
      <c r="CW13" s="12"/>
      <c r="CX13" s="12">
        <v>0.8</v>
      </c>
      <c r="DB13" s="12"/>
      <c r="DC13" s="12">
        <v>1</v>
      </c>
      <c r="DD13" s="12"/>
      <c r="DE13" s="12">
        <v>1</v>
      </c>
      <c r="DI13" s="12"/>
      <c r="DJ13" s="12">
        <v>1</v>
      </c>
      <c r="DK13" s="12"/>
      <c r="DL13" s="12">
        <v>1</v>
      </c>
      <c r="DP13" s="12"/>
      <c r="DQ13" s="12"/>
      <c r="DR13" s="12"/>
      <c r="DS13" s="12"/>
      <c r="DW13" s="12"/>
      <c r="DX13" s="12"/>
      <c r="DY13" s="12"/>
      <c r="DZ13" s="12"/>
      <c r="ED13" s="12"/>
      <c r="EE13" s="12"/>
      <c r="EF13" s="12"/>
      <c r="EG13" s="12"/>
    </row>
    <row r="14" spans="2:138" ht="15.75" customHeight="1" outlineLevel="1">
      <c r="B14" t="s">
        <v>28</v>
      </c>
      <c r="C14" t="s">
        <v>87</v>
      </c>
      <c r="E14" s="11"/>
      <c r="F14" t="s">
        <v>97</v>
      </c>
      <c r="G14" s="12">
        <v>0.1</v>
      </c>
      <c r="I14" s="11">
        <f t="shared" si="0"/>
        <v>0</v>
      </c>
      <c r="J14" s="13" cm="1">
        <f t="array" ref="J14">MAX(IF($N$3:$EI$3=$J$3,N14:EI14))</f>
        <v>0</v>
      </c>
      <c r="K14" s="13" cm="1">
        <f t="array" ref="K14">MAX(IF($N$3:$EI$3=$J$3,N14:EI14))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v>0.5</v>
      </c>
      <c r="BN14" s="12"/>
      <c r="BO14" s="12">
        <v>0.5</v>
      </c>
      <c r="BP14" s="12"/>
      <c r="BS14" s="12"/>
      <c r="BT14" s="12">
        <v>0.5</v>
      </c>
      <c r="BU14" s="12"/>
      <c r="BV14" s="12">
        <v>0.5</v>
      </c>
      <c r="BZ14" s="12"/>
      <c r="CA14" s="12">
        <v>0.5</v>
      </c>
      <c r="CB14" s="12"/>
      <c r="CC14" s="12">
        <v>0.5</v>
      </c>
      <c r="CG14" s="12"/>
      <c r="CH14" s="12">
        <v>0.5</v>
      </c>
      <c r="CI14" s="12"/>
      <c r="CJ14" s="12">
        <v>0.5</v>
      </c>
      <c r="CN14" s="12"/>
      <c r="CO14" s="12">
        <v>0.8</v>
      </c>
      <c r="CP14" s="12"/>
      <c r="CQ14" s="12">
        <v>0.8</v>
      </c>
      <c r="CU14" s="12"/>
      <c r="CV14" s="12">
        <v>0.8</v>
      </c>
      <c r="CW14" s="12"/>
      <c r="CX14" s="12">
        <v>0.8</v>
      </c>
      <c r="DB14" s="12"/>
      <c r="DC14" s="12">
        <v>0.8</v>
      </c>
      <c r="DD14" s="12"/>
      <c r="DE14" s="12">
        <v>0.8</v>
      </c>
      <c r="DI14" s="12"/>
      <c r="DJ14" s="12">
        <v>1</v>
      </c>
      <c r="DK14" s="12"/>
      <c r="DL14" s="12">
        <v>1</v>
      </c>
      <c r="DP14" s="12"/>
      <c r="DQ14" s="12"/>
      <c r="DR14" s="12"/>
      <c r="DS14" s="12"/>
      <c r="DW14" s="12"/>
      <c r="DX14" s="12"/>
      <c r="DY14" s="12"/>
      <c r="DZ14" s="12"/>
      <c r="ED14" s="12"/>
      <c r="EE14" s="12"/>
      <c r="EF14" s="12"/>
      <c r="EG14" s="12"/>
    </row>
    <row r="15" spans="2:138" ht="15.75" customHeight="1" outlineLevel="1">
      <c r="E15" s="11"/>
      <c r="G15" s="12"/>
      <c r="I15" s="11"/>
      <c r="J15" s="13"/>
      <c r="K15" s="13"/>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2:138" ht="15.75" customHeight="1" outlineLevel="1">
      <c r="E16" s="11"/>
      <c r="G16" s="12"/>
      <c r="I16" s="11"/>
      <c r="J16" s="13"/>
      <c r="K16" s="13"/>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ht="15.75" customHeight="1" outlineLevel="1">
      <c r="E17" s="11"/>
      <c r="G17" s="12"/>
      <c r="I17" s="11"/>
      <c r="J17" s="13"/>
      <c r="K17" s="13"/>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row>
    <row r="18" spans="2:137" ht="17.25" customHeight="1">
      <c r="O18" s="9"/>
      <c r="V18" s="9"/>
      <c r="AC18" s="9"/>
      <c r="AJ18" s="9"/>
      <c r="AQ18" s="9"/>
      <c r="AX18" s="9"/>
      <c r="BE18" s="9"/>
      <c r="BL18" s="9"/>
      <c r="BS18" s="9"/>
      <c r="BZ18" s="9"/>
      <c r="CG18" s="9"/>
      <c r="CN18" s="9"/>
      <c r="CU18" s="9"/>
      <c r="DB18" s="9"/>
      <c r="DI18" s="9"/>
      <c r="DP18" s="9"/>
      <c r="DW18" s="9"/>
      <c r="ED18" s="9"/>
    </row>
    <row r="19" spans="2:137">
      <c r="B19" t="s">
        <v>27</v>
      </c>
      <c r="C19" t="s">
        <v>98</v>
      </c>
      <c r="D19" s="22">
        <v>46000</v>
      </c>
      <c r="E19" s="11">
        <v>5</v>
      </c>
      <c r="G19" s="12">
        <f>+SUM(G20:G25)</f>
        <v>1</v>
      </c>
      <c r="I19" s="14">
        <f>+SUM(I20:I25)</f>
        <v>3</v>
      </c>
      <c r="J19" s="13">
        <f>+SUMPRODUCT(G20:G25,J20:J25)</f>
        <v>0</v>
      </c>
      <c r="K19" s="13">
        <f>+SUMPRODUCT(G20:G25,K20:K25)</f>
        <v>0</v>
      </c>
      <c r="L19" s="11"/>
      <c r="N19" s="14">
        <f>SUM(N20:N25)</f>
        <v>3</v>
      </c>
      <c r="U19" s="14">
        <f>+SUM(U20:U25)</f>
        <v>0</v>
      </c>
      <c r="AB19" s="14">
        <f>+SUM(AB20:AB25)</f>
        <v>0</v>
      </c>
      <c r="AI19" s="14"/>
      <c r="AP19" s="14"/>
      <c r="CH19" s="12"/>
    </row>
    <row r="20" spans="2:137" ht="15.75" customHeight="1" outlineLevel="1">
      <c r="B20" t="s">
        <v>28</v>
      </c>
      <c r="C20" t="s">
        <v>98</v>
      </c>
      <c r="E20" s="11"/>
      <c r="F20" t="s">
        <v>99</v>
      </c>
      <c r="G20" s="12">
        <v>0.1</v>
      </c>
      <c r="I20" s="11">
        <f t="shared" ref="I20:I25" si="1">+SUMIF($N$3:$AAA$3,I$3,$N20:$AAA20)</f>
        <v>3</v>
      </c>
      <c r="J20" s="13" cm="1">
        <f t="array" ref="J20">MAX(IF($N$3:$EI$3=$J$3,N20:EI20))</f>
        <v>0</v>
      </c>
      <c r="K20" s="13" cm="1">
        <f t="array" ref="K20">MAX(IF($N$3:$EI$3=$J$3,N20:EI20))</f>
        <v>0</v>
      </c>
      <c r="L20" s="11"/>
      <c r="N20">
        <v>3</v>
      </c>
      <c r="O20" s="12"/>
      <c r="P20" s="12">
        <v>0.5</v>
      </c>
      <c r="Q20" s="12"/>
      <c r="R20" s="12">
        <v>0.5</v>
      </c>
      <c r="V20" s="12"/>
      <c r="W20" s="12"/>
      <c r="X20" s="12"/>
      <c r="Y20" s="12"/>
      <c r="AC20" s="12"/>
      <c r="AD20" s="12">
        <v>0.5</v>
      </c>
      <c r="AE20" s="12"/>
      <c r="AF20" s="12">
        <v>0.5</v>
      </c>
      <c r="AJ20" s="12"/>
      <c r="AK20" s="12">
        <v>0.8</v>
      </c>
      <c r="AL20" s="12"/>
      <c r="AM20" s="12">
        <v>0.8</v>
      </c>
      <c r="AQ20" s="12"/>
      <c r="AR20" s="12">
        <v>0.8</v>
      </c>
      <c r="AS20" s="12"/>
      <c r="AT20" s="12">
        <v>0.8</v>
      </c>
      <c r="AX20" s="12"/>
      <c r="AY20" s="12">
        <v>0.8</v>
      </c>
      <c r="AZ20" s="12"/>
      <c r="BA20" s="12">
        <v>0.8</v>
      </c>
      <c r="BE20" s="12"/>
      <c r="BF20" s="12">
        <v>0.8</v>
      </c>
      <c r="BG20" s="12"/>
      <c r="BH20" s="12">
        <v>0.8</v>
      </c>
      <c r="BL20" s="12"/>
      <c r="BM20" s="12">
        <v>0.8</v>
      </c>
      <c r="BN20" s="12"/>
      <c r="BO20" s="12">
        <v>0.8</v>
      </c>
      <c r="BS20" s="12"/>
      <c r="BT20" s="12">
        <v>0.8</v>
      </c>
      <c r="BU20" s="12"/>
      <c r="BV20" s="12">
        <v>0.8</v>
      </c>
      <c r="BZ20" s="12"/>
      <c r="CA20" s="12">
        <v>0.8</v>
      </c>
      <c r="CB20" s="12"/>
      <c r="CC20" s="12">
        <v>0.8</v>
      </c>
      <c r="CG20" s="12"/>
      <c r="CH20" s="12">
        <v>1</v>
      </c>
      <c r="CI20" s="12"/>
      <c r="CJ20" s="12">
        <v>1</v>
      </c>
      <c r="CN20" s="12"/>
      <c r="CO20" s="12">
        <v>1</v>
      </c>
      <c r="CP20" s="12"/>
      <c r="CQ20" s="12">
        <v>1</v>
      </c>
      <c r="CU20" s="12"/>
      <c r="CV20" s="12">
        <v>1</v>
      </c>
      <c r="CW20" s="12"/>
      <c r="CX20" s="12">
        <v>1</v>
      </c>
      <c r="DB20" s="12"/>
      <c r="DC20" s="12">
        <v>1</v>
      </c>
      <c r="DD20" s="12"/>
      <c r="DE20" s="12">
        <v>1</v>
      </c>
      <c r="DI20" s="12"/>
      <c r="DJ20" s="12">
        <v>1</v>
      </c>
      <c r="DK20" s="12"/>
      <c r="DL20" s="12">
        <v>1</v>
      </c>
      <c r="DP20" s="12"/>
      <c r="DQ20" s="12"/>
      <c r="DR20" s="12"/>
      <c r="DS20" s="12"/>
      <c r="DW20" s="12"/>
      <c r="DX20" s="12"/>
      <c r="DY20" s="12"/>
      <c r="DZ20" s="12"/>
      <c r="ED20" s="12"/>
      <c r="EE20" s="12"/>
      <c r="EF20" s="12"/>
      <c r="EG20" s="12"/>
    </row>
    <row r="21" spans="2:137" ht="15.75" customHeight="1" outlineLevel="1">
      <c r="B21" t="s">
        <v>28</v>
      </c>
      <c r="C21" t="s">
        <v>98</v>
      </c>
      <c r="E21" s="11"/>
      <c r="F21" t="s">
        <v>100</v>
      </c>
      <c r="G21" s="12">
        <v>0.2</v>
      </c>
      <c r="I21" s="11">
        <f t="shared" si="1"/>
        <v>0</v>
      </c>
      <c r="J21" s="13" cm="1">
        <f t="array" ref="J21">MAX(IF($N$3:$EI$3=$J$3,N21:EI21))</f>
        <v>0</v>
      </c>
      <c r="K21" s="13" cm="1">
        <f t="array" ref="K21">MAX(IF($N$3:$EI$3=$J$3,N21:EI21))</f>
        <v>0</v>
      </c>
      <c r="L21" s="11"/>
      <c r="O21" s="12"/>
      <c r="P21" s="12">
        <v>0.5</v>
      </c>
      <c r="Q21" s="12"/>
      <c r="R21" s="12">
        <v>0.5</v>
      </c>
      <c r="V21" s="12"/>
      <c r="W21" s="12"/>
      <c r="X21" s="12"/>
      <c r="Y21" s="12"/>
      <c r="AC21" s="12"/>
      <c r="AD21" s="12">
        <v>0.5</v>
      </c>
      <c r="AE21" s="12"/>
      <c r="AF21" s="12">
        <v>0.5</v>
      </c>
      <c r="AJ21" s="12"/>
      <c r="AK21" s="12">
        <v>0.5</v>
      </c>
      <c r="AL21" s="12"/>
      <c r="AM21" s="12">
        <v>0.5</v>
      </c>
      <c r="AQ21" s="12"/>
      <c r="AR21" s="12">
        <v>0.8</v>
      </c>
      <c r="AS21" s="12"/>
      <c r="AT21" s="12">
        <v>0.8</v>
      </c>
      <c r="AX21" s="12"/>
      <c r="AY21" s="12">
        <v>0.8</v>
      </c>
      <c r="AZ21" s="12"/>
      <c r="BA21" s="12">
        <v>0.8</v>
      </c>
      <c r="BE21" s="12"/>
      <c r="BF21" s="12">
        <v>0.8</v>
      </c>
      <c r="BG21" s="12"/>
      <c r="BH21" s="12">
        <v>0.8</v>
      </c>
      <c r="BL21" s="12"/>
      <c r="BM21" s="12">
        <v>0.8</v>
      </c>
      <c r="BN21" s="12"/>
      <c r="BO21" s="12">
        <v>0.8</v>
      </c>
      <c r="BS21" s="12"/>
      <c r="BT21" s="12">
        <v>0.8</v>
      </c>
      <c r="BU21" s="12"/>
      <c r="BV21" s="12">
        <v>0.8</v>
      </c>
      <c r="BZ21" s="12"/>
      <c r="CA21" s="12">
        <v>0.8</v>
      </c>
      <c r="CB21" s="12"/>
      <c r="CC21" s="12">
        <v>0.8</v>
      </c>
      <c r="CG21" s="12"/>
      <c r="CH21" s="12">
        <v>0.8</v>
      </c>
      <c r="CI21" s="12"/>
      <c r="CJ21" s="12">
        <v>0.8</v>
      </c>
      <c r="CN21" s="12"/>
      <c r="CO21" s="12">
        <v>1</v>
      </c>
      <c r="CP21" s="12"/>
      <c r="CQ21" s="12">
        <v>1</v>
      </c>
      <c r="CU21" s="12"/>
      <c r="CV21" s="12">
        <v>1</v>
      </c>
      <c r="CW21" s="12"/>
      <c r="CX21" s="12">
        <v>1</v>
      </c>
      <c r="DB21" s="12"/>
      <c r="DC21" s="12">
        <v>1</v>
      </c>
      <c r="DD21" s="12"/>
      <c r="DE21" s="12">
        <v>1</v>
      </c>
      <c r="DI21" s="12"/>
      <c r="DJ21" s="12">
        <v>1</v>
      </c>
      <c r="DK21" s="12"/>
      <c r="DL21" s="12">
        <v>1</v>
      </c>
      <c r="DP21" s="12"/>
      <c r="DQ21" s="12"/>
      <c r="DR21" s="12"/>
      <c r="DS21" s="12"/>
      <c r="DW21" s="12"/>
      <c r="DX21" s="12"/>
      <c r="DY21" s="12"/>
      <c r="DZ21" s="12"/>
      <c r="ED21" s="12"/>
      <c r="EE21" s="12"/>
      <c r="EF21" s="12"/>
      <c r="EG21" s="12"/>
    </row>
    <row r="22" spans="2:137" ht="15.75" customHeight="1" outlineLevel="1">
      <c r="B22" t="s">
        <v>28</v>
      </c>
      <c r="C22" t="s">
        <v>98</v>
      </c>
      <c r="E22" s="11"/>
      <c r="F22" t="s">
        <v>186</v>
      </c>
      <c r="G22" s="12">
        <v>0.2</v>
      </c>
      <c r="I22" s="11">
        <f t="shared" si="1"/>
        <v>0</v>
      </c>
      <c r="J22" s="13">
        <v>0</v>
      </c>
      <c r="K22" s="13">
        <v>0</v>
      </c>
      <c r="L22" s="11"/>
      <c r="O22" s="12">
        <v>0.1</v>
      </c>
      <c r="P22" s="12">
        <v>0.5</v>
      </c>
      <c r="Q22" s="12"/>
      <c r="R22" s="12">
        <v>0.5</v>
      </c>
      <c r="V22" s="12"/>
      <c r="W22" s="12"/>
      <c r="X22" s="12"/>
      <c r="Y22" s="12"/>
      <c r="AC22" s="12"/>
      <c r="AD22" s="12">
        <v>0.5</v>
      </c>
      <c r="AE22" s="12"/>
      <c r="AF22" s="12">
        <v>0.5</v>
      </c>
      <c r="AJ22" s="12"/>
      <c r="AK22" s="12">
        <v>0.5</v>
      </c>
      <c r="AL22" s="12"/>
      <c r="AM22" s="12">
        <v>0.5</v>
      </c>
      <c r="AQ22" s="12"/>
      <c r="AR22" s="12">
        <v>0.5</v>
      </c>
      <c r="AS22" s="12"/>
      <c r="AT22" s="12">
        <v>0.5</v>
      </c>
      <c r="AX22" s="12"/>
      <c r="AY22" s="12">
        <v>0.8</v>
      </c>
      <c r="AZ22" s="12"/>
      <c r="BA22" s="12">
        <v>0.8</v>
      </c>
      <c r="BE22" s="12"/>
      <c r="BF22" s="12">
        <v>0.8</v>
      </c>
      <c r="BG22" s="12"/>
      <c r="BH22" s="12">
        <v>0.8</v>
      </c>
      <c r="BL22" s="12"/>
      <c r="BM22" s="12">
        <v>0.8</v>
      </c>
      <c r="BN22" s="12"/>
      <c r="BO22" s="12">
        <v>0.8</v>
      </c>
      <c r="BS22" s="12"/>
      <c r="BT22" s="12">
        <v>0.8</v>
      </c>
      <c r="BU22" s="12"/>
      <c r="BV22" s="12">
        <v>0.8</v>
      </c>
      <c r="BZ22" s="12"/>
      <c r="CA22" s="12">
        <v>0.8</v>
      </c>
      <c r="CB22" s="12"/>
      <c r="CC22" s="12">
        <v>0.8</v>
      </c>
      <c r="CG22" s="12"/>
      <c r="CH22" s="12">
        <v>0.8</v>
      </c>
      <c r="CI22" s="12"/>
      <c r="CJ22" s="12">
        <v>0.8</v>
      </c>
      <c r="CN22" s="12"/>
      <c r="CO22" s="12">
        <v>0.8</v>
      </c>
      <c r="CP22" s="12"/>
      <c r="CQ22" s="12">
        <v>0.8</v>
      </c>
      <c r="CU22" s="12"/>
      <c r="CV22" s="12">
        <v>1</v>
      </c>
      <c r="CW22" s="12"/>
      <c r="CX22" s="12">
        <v>1</v>
      </c>
      <c r="DB22" s="12"/>
      <c r="DC22" s="12">
        <v>1</v>
      </c>
      <c r="DD22" s="12"/>
      <c r="DE22" s="12">
        <v>1</v>
      </c>
      <c r="DI22" s="12"/>
      <c r="DJ22" s="12">
        <v>1</v>
      </c>
      <c r="DK22" s="12"/>
      <c r="DL22" s="12">
        <v>1</v>
      </c>
      <c r="DP22" s="12"/>
      <c r="DQ22" s="12"/>
      <c r="DR22" s="12"/>
      <c r="DS22" s="12"/>
      <c r="DW22" s="12"/>
      <c r="DX22" s="12"/>
      <c r="DY22" s="12"/>
      <c r="DZ22" s="12"/>
      <c r="ED22" s="12"/>
      <c r="EE22" s="12"/>
      <c r="EF22" s="12"/>
      <c r="EG22" s="12"/>
    </row>
    <row r="23" spans="2:137" ht="15.75" customHeight="1" outlineLevel="1">
      <c r="B23" t="s">
        <v>28</v>
      </c>
      <c r="C23" t="s">
        <v>98</v>
      </c>
      <c r="E23" s="11"/>
      <c r="F23" t="s">
        <v>187</v>
      </c>
      <c r="G23" s="12">
        <v>0.2</v>
      </c>
      <c r="I23" s="11">
        <f t="shared" si="1"/>
        <v>0</v>
      </c>
      <c r="J23" s="13" cm="1">
        <f t="array" ref="J23">MAX(IF($N$3:$EI$3=$J$3,N23:EI23))</f>
        <v>0</v>
      </c>
      <c r="K23" s="13" cm="1">
        <f t="array" ref="K23">MAX(IF($N$3:$EI$3=$J$3,N23:EI23))</f>
        <v>0</v>
      </c>
      <c r="L23" s="11"/>
      <c r="O23" s="12"/>
      <c r="P23" s="12"/>
      <c r="Q23" s="12"/>
      <c r="R23" s="12"/>
      <c r="V23" s="12"/>
      <c r="W23" s="12"/>
      <c r="X23" s="12"/>
      <c r="Y23" s="12"/>
      <c r="AC23" s="12"/>
      <c r="AD23" s="12"/>
      <c r="AE23" s="12"/>
      <c r="AF23" s="12"/>
      <c r="AJ23" s="12"/>
      <c r="AK23" s="12"/>
      <c r="AL23" s="12"/>
      <c r="AM23" s="12"/>
      <c r="AQ23" s="12"/>
      <c r="AR23" s="12">
        <v>0.5</v>
      </c>
      <c r="AS23" s="12"/>
      <c r="AT23" s="12">
        <v>0.5</v>
      </c>
      <c r="AX23" s="12"/>
      <c r="AY23" s="12">
        <v>0.5</v>
      </c>
      <c r="AZ23" s="12"/>
      <c r="BA23" s="12">
        <v>0.5</v>
      </c>
      <c r="BE23" s="12"/>
      <c r="BF23" s="12">
        <v>0.5</v>
      </c>
      <c r="BG23" s="12"/>
      <c r="BH23" s="12">
        <v>0.5</v>
      </c>
      <c r="BL23" s="12"/>
      <c r="BM23" s="12">
        <v>0.5</v>
      </c>
      <c r="BN23" s="12"/>
      <c r="BO23" s="12">
        <v>0.5</v>
      </c>
      <c r="BS23" s="12"/>
      <c r="BT23" s="12">
        <v>0.5</v>
      </c>
      <c r="BU23" s="12"/>
      <c r="BV23" s="12">
        <v>0.5</v>
      </c>
      <c r="BZ23" s="12"/>
      <c r="CA23" s="12">
        <v>0.8</v>
      </c>
      <c r="CB23" s="12"/>
      <c r="CC23" s="12">
        <v>0.8</v>
      </c>
      <c r="CG23" s="12"/>
      <c r="CH23" s="12">
        <v>0.8</v>
      </c>
      <c r="CI23" s="12"/>
      <c r="CJ23" s="12">
        <v>0.8</v>
      </c>
      <c r="CN23" s="12"/>
      <c r="CO23" s="12">
        <v>0.8</v>
      </c>
      <c r="CP23" s="12"/>
      <c r="CQ23" s="12">
        <v>0.8</v>
      </c>
      <c r="CU23" s="12"/>
      <c r="CV23" s="12">
        <v>1</v>
      </c>
      <c r="CW23" s="12"/>
      <c r="CX23" s="12">
        <v>1</v>
      </c>
      <c r="DB23" s="12"/>
      <c r="DC23" s="12">
        <v>1</v>
      </c>
      <c r="DD23" s="12"/>
      <c r="DE23" s="12">
        <v>1</v>
      </c>
      <c r="DI23" s="12"/>
      <c r="DJ23" s="12">
        <v>1</v>
      </c>
      <c r="DK23" s="12"/>
      <c r="DL23" s="12">
        <v>1</v>
      </c>
      <c r="DP23" s="12"/>
      <c r="DQ23" s="12"/>
      <c r="DR23" s="12"/>
      <c r="DS23" s="12"/>
      <c r="DW23" s="12"/>
      <c r="DX23" s="12"/>
      <c r="DY23" s="12"/>
      <c r="DZ23" s="12"/>
      <c r="ED23" s="12"/>
      <c r="EE23" s="12"/>
      <c r="EF23" s="12"/>
      <c r="EG23" s="12"/>
    </row>
    <row r="24" spans="2:137" ht="15.75" customHeight="1" outlineLevel="1">
      <c r="B24" t="s">
        <v>28</v>
      </c>
      <c r="C24" t="s">
        <v>98</v>
      </c>
      <c r="E24" s="11"/>
      <c r="F24" t="s">
        <v>188</v>
      </c>
      <c r="G24" s="12">
        <v>0.15</v>
      </c>
      <c r="I24" s="11">
        <f t="shared" si="1"/>
        <v>0</v>
      </c>
      <c r="J24" s="13" cm="1">
        <f t="array" ref="J24">MAX(IF($N$3:$EI$3=$J$3,N24:EI24))</f>
        <v>0</v>
      </c>
      <c r="K24" s="13" cm="1">
        <f t="array" ref="K24">MAX(IF($N$3:$EI$3=$J$3,N24:EI24))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v>0.5</v>
      </c>
      <c r="BG24" s="12"/>
      <c r="BH24" s="12">
        <v>0.5</v>
      </c>
      <c r="BL24" s="12"/>
      <c r="BM24" s="12">
        <v>0.5</v>
      </c>
      <c r="BN24" s="12"/>
      <c r="BO24" s="12">
        <v>0.5</v>
      </c>
      <c r="BS24" s="12"/>
      <c r="BT24" s="12">
        <v>0.5</v>
      </c>
      <c r="BU24" s="12"/>
      <c r="BV24" s="12">
        <v>0.5</v>
      </c>
      <c r="BZ24" s="12"/>
      <c r="CA24" s="12">
        <v>0.8</v>
      </c>
      <c r="CB24" s="12"/>
      <c r="CC24" s="12">
        <v>0.8</v>
      </c>
      <c r="CG24" s="12"/>
      <c r="CH24" s="12">
        <v>0.8</v>
      </c>
      <c r="CI24" s="12"/>
      <c r="CJ24" s="12">
        <v>0.8</v>
      </c>
      <c r="CN24" s="12"/>
      <c r="CO24" s="12">
        <v>0.8</v>
      </c>
      <c r="CP24" s="12"/>
      <c r="CQ24" s="12">
        <v>0.8</v>
      </c>
      <c r="CU24" s="12"/>
      <c r="CV24" s="12">
        <v>0.8</v>
      </c>
      <c r="CW24" s="12"/>
      <c r="CX24" s="12">
        <v>0.8</v>
      </c>
      <c r="DB24" s="12"/>
      <c r="DC24" s="12">
        <v>1</v>
      </c>
      <c r="DD24" s="12"/>
      <c r="DE24" s="12">
        <v>1</v>
      </c>
      <c r="DI24" s="12"/>
      <c r="DJ24" s="12">
        <v>1</v>
      </c>
      <c r="DK24" s="12"/>
      <c r="DL24" s="12">
        <v>1</v>
      </c>
      <c r="DP24" s="12"/>
      <c r="DQ24" s="12"/>
      <c r="DR24" s="12"/>
      <c r="DS24" s="12"/>
      <c r="DW24" s="12"/>
      <c r="DX24" s="12"/>
      <c r="DY24" s="12"/>
      <c r="DZ24" s="12"/>
      <c r="ED24" s="12"/>
      <c r="EE24" s="12"/>
      <c r="EF24" s="12"/>
      <c r="EG24" s="12"/>
    </row>
    <row r="25" spans="2:137" ht="15.75" customHeight="1" outlineLevel="1">
      <c r="B25" t="s">
        <v>28</v>
      </c>
      <c r="C25" t="s">
        <v>98</v>
      </c>
      <c r="E25" s="11"/>
      <c r="F25" t="s">
        <v>189</v>
      </c>
      <c r="G25" s="12">
        <v>0.15</v>
      </c>
      <c r="I25" s="11">
        <f t="shared" si="1"/>
        <v>0</v>
      </c>
      <c r="J25" s="13" cm="1">
        <f t="array" ref="J25">MAX(IF($N$3:$EI$3=$J$3,N25:EI25))</f>
        <v>0</v>
      </c>
      <c r="K25" s="13" cm="1">
        <f t="array" ref="K25">MAX(IF($N$3:$EI$3=$J$3,N25:EI25))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v>0.5</v>
      </c>
      <c r="BN25" s="12"/>
      <c r="BO25" s="12">
        <v>0.5</v>
      </c>
      <c r="BS25" s="12"/>
      <c r="BT25" s="12">
        <v>0.5</v>
      </c>
      <c r="BU25" s="12"/>
      <c r="BV25" s="12">
        <v>0.5</v>
      </c>
      <c r="BZ25" s="12"/>
      <c r="CA25" s="12">
        <v>0.5</v>
      </c>
      <c r="CB25" s="12"/>
      <c r="CC25" s="12">
        <v>0.5</v>
      </c>
      <c r="CG25" s="12"/>
      <c r="CH25" s="12">
        <v>0.5</v>
      </c>
      <c r="CI25" s="12"/>
      <c r="CJ25" s="12">
        <v>0.5</v>
      </c>
      <c r="CN25" s="12"/>
      <c r="CO25" s="12">
        <v>0.8</v>
      </c>
      <c r="CP25" s="12"/>
      <c r="CQ25" s="12">
        <v>0.8</v>
      </c>
      <c r="CU25" s="12"/>
      <c r="CV25" s="12">
        <v>0.8</v>
      </c>
      <c r="CW25" s="12"/>
      <c r="CX25" s="12">
        <v>0.8</v>
      </c>
      <c r="DB25" s="12"/>
      <c r="DC25" s="12">
        <v>0.8</v>
      </c>
      <c r="DD25" s="12"/>
      <c r="DE25" s="12">
        <v>0.8</v>
      </c>
      <c r="DI25" s="12"/>
      <c r="DJ25" s="12">
        <v>1</v>
      </c>
      <c r="DK25" s="12"/>
      <c r="DL25" s="12">
        <v>1</v>
      </c>
      <c r="DP25" s="12"/>
      <c r="DQ25" s="12"/>
      <c r="DR25" s="12"/>
      <c r="DS25" s="12"/>
      <c r="DW25" s="12"/>
      <c r="DX25" s="12"/>
      <c r="DY25" s="12"/>
      <c r="DZ25" s="12"/>
      <c r="ED25" s="12"/>
      <c r="EE25" s="12"/>
      <c r="EF25" s="12"/>
      <c r="EG25" s="12"/>
    </row>
    <row r="26" spans="2:137" ht="15.75" customHeight="1" outlineLevel="1">
      <c r="E26" s="11"/>
      <c r="G26" s="12"/>
      <c r="I26" s="11"/>
      <c r="J26" s="13"/>
      <c r="K26" s="13"/>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ht="15.75" customHeight="1" outlineLevel="1">
      <c r="E27" s="11"/>
      <c r="G27" s="12"/>
      <c r="I27" s="11"/>
      <c r="J27" s="13"/>
      <c r="K27" s="13"/>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ht="15.75" customHeight="1" outlineLevel="1">
      <c r="E28" s="11"/>
      <c r="G28" s="12"/>
      <c r="I28" s="11"/>
      <c r="J28" s="13"/>
      <c r="K28" s="13"/>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ht="15.75" customHeight="1" outlineLevel="1">
      <c r="E29" s="11"/>
      <c r="G29" s="12"/>
      <c r="I29" s="11"/>
      <c r="J29" s="13"/>
      <c r="K29" s="13"/>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row>
    <row r="30" spans="2:137" ht="15.75" customHeight="1" outlineLevel="1">
      <c r="E30" s="11"/>
      <c r="G30" s="12"/>
      <c r="I30" s="11"/>
      <c r="J30" s="13"/>
      <c r="K30" s="13"/>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row>
    <row r="31" spans="2:137" ht="15.75" customHeight="1" outlineLevel="1">
      <c r="E31" s="11"/>
      <c r="G31" s="12"/>
      <c r="I31" s="11"/>
      <c r="J31" s="13"/>
      <c r="K31" s="13"/>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2" spans="2:137" ht="15.75" customHeight="1" outlineLevel="1">
      <c r="E32" s="11"/>
      <c r="G32" s="12"/>
      <c r="I32" s="11"/>
      <c r="J32" s="13"/>
      <c r="K32" s="13"/>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row>
    <row r="33" spans="2:137" ht="15.75" customHeight="1" outlineLevel="1">
      <c r="E33" s="11"/>
      <c r="G33" s="12"/>
      <c r="I33" s="11"/>
      <c r="J33" s="13"/>
      <c r="K33" s="13"/>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row>
    <row r="34" spans="2:137" ht="15.75" customHeight="1" outlineLevel="1">
      <c r="E34" s="11"/>
      <c r="G34" s="12"/>
      <c r="I34" s="11"/>
      <c r="J34" s="13"/>
      <c r="K34" s="13"/>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ht="15.75" customHeight="1" outlineLevel="1">
      <c r="E35" s="11"/>
      <c r="G35" s="12"/>
      <c r="I35" s="11"/>
      <c r="J35" s="13"/>
      <c r="K35" s="13"/>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ht="15.75" customHeight="1" outlineLevel="1">
      <c r="E36" s="11"/>
      <c r="G36" s="12"/>
      <c r="I36" s="11"/>
      <c r="J36" s="13"/>
      <c r="K36" s="13"/>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row>
    <row r="37" spans="2:137" ht="15.75" customHeight="1" outlineLevel="1">
      <c r="E37" s="11"/>
      <c r="G37" s="12"/>
      <c r="I37" s="11"/>
      <c r="J37" s="13"/>
      <c r="K37" s="13"/>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c r="DW37" s="12"/>
      <c r="DX37" s="12"/>
      <c r="DY37" s="12"/>
      <c r="DZ37" s="12"/>
      <c r="ED37" s="12"/>
      <c r="EE37" s="12"/>
      <c r="EF37" s="12"/>
      <c r="EG37" s="12"/>
    </row>
    <row r="38" spans="2:137" ht="15.75" customHeight="1" outlineLevel="1">
      <c r="E38" s="11"/>
      <c r="G38" s="12"/>
      <c r="I38" s="11"/>
      <c r="J38" s="13"/>
      <c r="K38" s="13"/>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c r="ED38" s="12"/>
      <c r="EE38" s="12"/>
      <c r="EF38" s="12"/>
      <c r="EG38" s="12"/>
    </row>
    <row r="40" spans="2:137">
      <c r="B40" t="s">
        <v>27</v>
      </c>
      <c r="C40" t="s">
        <v>101</v>
      </c>
      <c r="D40" s="22">
        <v>45955</v>
      </c>
      <c r="E40" s="11">
        <v>3</v>
      </c>
      <c r="G40" s="12">
        <f>+SUM(G41:G45)</f>
        <v>1</v>
      </c>
      <c r="I40" s="14">
        <f>+SUM(I41:I45)</f>
        <v>2.5</v>
      </c>
      <c r="J40" s="13"/>
      <c r="K40" s="13"/>
      <c r="L40" s="11"/>
      <c r="N40" s="14">
        <f>+SUM(N41:N45)</f>
        <v>2.5</v>
      </c>
      <c r="U40" s="14">
        <f>+SUM(U41:U45)</f>
        <v>0</v>
      </c>
      <c r="AB40" s="14">
        <f>+SUM(AB41:AB45)</f>
        <v>0</v>
      </c>
      <c r="AI40" s="14"/>
      <c r="AP40" s="14"/>
    </row>
    <row r="41" spans="2:137" ht="15.75" customHeight="1" outlineLevel="1">
      <c r="B41" t="s">
        <v>28</v>
      </c>
      <c r="C41" t="s">
        <v>101</v>
      </c>
      <c r="E41" s="11"/>
      <c r="F41" t="s">
        <v>102</v>
      </c>
      <c r="G41" s="12">
        <v>0.2</v>
      </c>
      <c r="I41" s="11">
        <f t="shared" ref="I41:I45" si="2">+SUMIF($N$3:$AAA$3,I$3,$N41:$AAA41)</f>
        <v>1.5</v>
      </c>
      <c r="J41" s="13"/>
      <c r="K41" s="13"/>
      <c r="L41" s="11"/>
      <c r="N41">
        <v>1.5</v>
      </c>
      <c r="O41" s="12"/>
      <c r="P41" s="12">
        <v>0.5</v>
      </c>
      <c r="Q41" s="12"/>
      <c r="R41" s="12">
        <v>0.5</v>
      </c>
      <c r="V41" s="12"/>
      <c r="W41" s="12"/>
      <c r="X41" s="12"/>
      <c r="Y41" s="12"/>
      <c r="AC41" s="12"/>
      <c r="AD41" s="12">
        <v>0.5</v>
      </c>
      <c r="AE41" s="12"/>
      <c r="AF41" s="12">
        <v>0.5</v>
      </c>
      <c r="AJ41" s="12"/>
      <c r="AK41" s="12">
        <v>0.5</v>
      </c>
      <c r="AL41" s="12"/>
      <c r="AM41" s="12">
        <v>0.5</v>
      </c>
      <c r="AQ41" s="12"/>
      <c r="AR41" s="12">
        <v>0.5</v>
      </c>
      <c r="AS41" s="12"/>
      <c r="AT41" s="12">
        <v>0.5</v>
      </c>
      <c r="AX41" s="12"/>
      <c r="AY41" s="12">
        <v>0.8</v>
      </c>
      <c r="AZ41" s="12"/>
      <c r="BA41" s="12">
        <v>0.8</v>
      </c>
      <c r="BE41" s="12"/>
      <c r="BF41" s="12">
        <v>0.8</v>
      </c>
      <c r="BG41" s="12"/>
      <c r="BH41" s="12">
        <v>0.8</v>
      </c>
      <c r="BL41" s="12"/>
      <c r="BM41" s="12">
        <v>1</v>
      </c>
      <c r="BN41" s="12"/>
      <c r="BO41" s="12">
        <v>1</v>
      </c>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ht="15.75" customHeight="1" outlineLevel="1">
      <c r="B42" t="s">
        <v>28</v>
      </c>
      <c r="C42" t="s">
        <v>101</v>
      </c>
      <c r="E42" s="11"/>
      <c r="F42" t="s">
        <v>103</v>
      </c>
      <c r="G42" s="12">
        <v>0.2</v>
      </c>
      <c r="I42" s="11">
        <f t="shared" si="2"/>
        <v>1</v>
      </c>
      <c r="J42" s="13"/>
      <c r="K42" s="13"/>
      <c r="L42" s="11"/>
      <c r="N42">
        <v>1</v>
      </c>
      <c r="O42" s="12"/>
      <c r="P42" s="12">
        <v>0.5</v>
      </c>
      <c r="Q42" s="12"/>
      <c r="R42" s="12">
        <v>0.5</v>
      </c>
      <c r="V42" s="12"/>
      <c r="W42" s="12"/>
      <c r="X42" s="12"/>
      <c r="Y42" s="12"/>
      <c r="AC42" s="12"/>
      <c r="AD42" s="12"/>
      <c r="AE42" s="12"/>
      <c r="AF42" s="12"/>
      <c r="AJ42" s="12"/>
      <c r="AK42" s="12">
        <v>0.5</v>
      </c>
      <c r="AL42" s="12"/>
      <c r="AM42" s="12">
        <v>0.5</v>
      </c>
      <c r="AQ42" s="12"/>
      <c r="AR42" s="12">
        <v>0.5</v>
      </c>
      <c r="AS42" s="12"/>
      <c r="AT42" s="12">
        <v>0.5</v>
      </c>
      <c r="AX42" s="12"/>
      <c r="AY42" s="12">
        <v>0.8</v>
      </c>
      <c r="AZ42" s="12"/>
      <c r="BA42" s="12">
        <v>0.8</v>
      </c>
      <c r="BE42" s="12"/>
      <c r="BF42" s="12">
        <v>0.8</v>
      </c>
      <c r="BG42" s="12"/>
      <c r="BH42" s="12">
        <v>0.8</v>
      </c>
      <c r="BL42" s="12"/>
      <c r="BM42" s="12">
        <v>1</v>
      </c>
      <c r="BN42" s="12"/>
      <c r="BO42" s="12">
        <v>1</v>
      </c>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ht="15.75" customHeight="1" outlineLevel="1">
      <c r="B43" t="s">
        <v>28</v>
      </c>
      <c r="C43" t="s">
        <v>101</v>
      </c>
      <c r="E43" s="11"/>
      <c r="F43" t="s">
        <v>104</v>
      </c>
      <c r="G43" s="12">
        <v>0.2</v>
      </c>
      <c r="I43" s="11">
        <f t="shared" si="2"/>
        <v>0</v>
      </c>
      <c r="J43" s="13" cm="1">
        <f t="array" ref="J43">MAX(IF($N$3:$EI$3=$J$3,N43:EI43))</f>
        <v>0</v>
      </c>
      <c r="K43" s="13" cm="1">
        <f t="array" ref="K43">MAX(IF($N$3:$EI$3=$J$3,N43:EI43))</f>
        <v>0</v>
      </c>
      <c r="L43" s="11"/>
      <c r="O43" s="12"/>
      <c r="P43" s="12">
        <v>0.5</v>
      </c>
      <c r="Q43" s="12"/>
      <c r="R43" s="12">
        <v>0.5</v>
      </c>
      <c r="V43" s="12"/>
      <c r="W43" s="12"/>
      <c r="X43" s="12"/>
      <c r="Y43" s="12"/>
      <c r="AC43" s="12"/>
      <c r="AD43" s="12"/>
      <c r="AE43" s="12"/>
      <c r="AF43" s="12"/>
      <c r="AJ43" s="12"/>
      <c r="AK43" s="12"/>
      <c r="AL43" s="12"/>
      <c r="AM43" s="12"/>
      <c r="AQ43" s="12"/>
      <c r="AR43" s="12">
        <v>0.5</v>
      </c>
      <c r="AS43" s="12"/>
      <c r="AT43" s="12">
        <v>0.5</v>
      </c>
      <c r="AX43" s="12"/>
      <c r="AY43" s="12">
        <v>0.5</v>
      </c>
      <c r="AZ43" s="12"/>
      <c r="BA43" s="12">
        <v>0.5</v>
      </c>
      <c r="BE43" s="12"/>
      <c r="BF43" s="12">
        <v>0.8</v>
      </c>
      <c r="BG43" s="12"/>
      <c r="BH43" s="12">
        <v>0.8</v>
      </c>
      <c r="BL43" s="12"/>
      <c r="BM43" s="12">
        <v>1</v>
      </c>
      <c r="BN43" s="12"/>
      <c r="BO43" s="12">
        <v>1</v>
      </c>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ht="15.75" customHeight="1" outlineLevel="1">
      <c r="B44" t="s">
        <v>28</v>
      </c>
      <c r="C44" t="s">
        <v>101</v>
      </c>
      <c r="E44" s="11"/>
      <c r="F44" t="s">
        <v>105</v>
      </c>
      <c r="G44" s="12">
        <v>0.2</v>
      </c>
      <c r="I44" s="11">
        <f t="shared" si="2"/>
        <v>0</v>
      </c>
      <c r="J44" s="13" cm="1">
        <f t="array" ref="J44">MAX(IF($N$3:$EI$3=$J$3,N44:EI44))</f>
        <v>0</v>
      </c>
      <c r="K44" s="13" cm="1">
        <f t="array" ref="K44">MAX(IF($N$3:$EI$3=$J$3,N44:EI44))</f>
        <v>0</v>
      </c>
      <c r="L44" s="11"/>
      <c r="O44" s="12"/>
      <c r="P44" s="12"/>
      <c r="Q44" s="12"/>
      <c r="R44" s="12"/>
      <c r="V44" s="12"/>
      <c r="W44" s="12"/>
      <c r="X44" s="12"/>
      <c r="Y44" s="12"/>
      <c r="AC44" s="12"/>
      <c r="AD44" s="12"/>
      <c r="AE44" s="12"/>
      <c r="AF44" s="12"/>
      <c r="AJ44" s="12"/>
      <c r="AK44" s="12"/>
      <c r="AL44" s="12"/>
      <c r="AM44" s="12"/>
      <c r="AQ44" s="12"/>
      <c r="AR44" s="12"/>
      <c r="AS44" s="12"/>
      <c r="AT44" s="12"/>
      <c r="AX44" s="12"/>
      <c r="AY44" s="12">
        <v>0.5</v>
      </c>
      <c r="AZ44" s="12"/>
      <c r="BA44" s="12">
        <v>0.5</v>
      </c>
      <c r="BE44" s="12"/>
      <c r="BF44" s="12">
        <v>0.8</v>
      </c>
      <c r="BG44" s="12"/>
      <c r="BH44" s="12">
        <v>0.8</v>
      </c>
      <c r="BL44" s="12"/>
      <c r="BM44" s="12">
        <v>1</v>
      </c>
      <c r="BN44" s="12"/>
      <c r="BO44" s="12">
        <v>1</v>
      </c>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ht="15.75" customHeight="1" outlineLevel="1">
      <c r="B45" t="s">
        <v>28</v>
      </c>
      <c r="C45" t="s">
        <v>101</v>
      </c>
      <c r="E45" s="11"/>
      <c r="F45" t="s">
        <v>106</v>
      </c>
      <c r="G45" s="12">
        <v>0.2</v>
      </c>
      <c r="I45" s="11">
        <f t="shared" si="2"/>
        <v>0</v>
      </c>
      <c r="J45" s="13" cm="1">
        <f t="array" ref="J45">MAX(IF($N$3:$EI$3=$J$3,N45:EI45))</f>
        <v>0</v>
      </c>
      <c r="K45" s="13" cm="1">
        <f t="array" ref="K45">MAX(IF($N$3:$EI$3=$J$3,N45:EI45))</f>
        <v>0</v>
      </c>
      <c r="L45" s="11"/>
      <c r="O45" s="12"/>
      <c r="P45" s="12"/>
      <c r="Q45" s="12"/>
      <c r="R45" s="12"/>
      <c r="V45" s="12"/>
      <c r="W45" s="12"/>
      <c r="X45" s="12"/>
      <c r="Y45" s="12"/>
      <c r="AC45" s="12"/>
      <c r="AD45" s="12"/>
      <c r="AE45" s="12"/>
      <c r="AF45" s="12"/>
      <c r="AJ45" s="12"/>
      <c r="AK45" s="12"/>
      <c r="AL45" s="12"/>
      <c r="AM45" s="12"/>
      <c r="AQ45" s="12"/>
      <c r="AR45" s="12"/>
      <c r="AS45" s="12"/>
      <c r="AT45" s="12"/>
      <c r="AX45" s="12"/>
      <c r="AY45" s="12">
        <v>0.5</v>
      </c>
      <c r="AZ45" s="12"/>
      <c r="BA45" s="12">
        <v>0.5</v>
      </c>
      <c r="BE45" s="12"/>
      <c r="BF45" s="12">
        <v>0.8</v>
      </c>
      <c r="BG45" s="12"/>
      <c r="BH45" s="12">
        <v>0.8</v>
      </c>
      <c r="BL45" s="12"/>
      <c r="BM45" s="12">
        <v>1</v>
      </c>
      <c r="BN45" s="12"/>
      <c r="BO45" s="12">
        <v>1</v>
      </c>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ht="15.75" customHeight="1" outlineLevel="1">
      <c r="E46" s="11"/>
      <c r="G46" s="12"/>
      <c r="I46" s="11"/>
      <c r="J46" s="13"/>
      <c r="K46" s="13"/>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row>
    <row r="47" spans="2:137" ht="15.75" customHeight="1" outlineLevel="1">
      <c r="E47" s="11"/>
      <c r="G47" s="12"/>
      <c r="I47" s="11"/>
      <c r="J47" s="13"/>
      <c r="K47" s="13"/>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row>
    <row r="48" spans="2:137">
      <c r="B48" t="s">
        <v>27</v>
      </c>
      <c r="C48" t="s">
        <v>107</v>
      </c>
      <c r="D48" s="22">
        <v>46009</v>
      </c>
      <c r="E48" s="11">
        <v>3</v>
      </c>
      <c r="G48" s="12">
        <f>+SUM(G49:G53)</f>
        <v>1</v>
      </c>
      <c r="I48" s="14">
        <f>+SUM(I49:I53)</f>
        <v>0</v>
      </c>
      <c r="J48" s="13">
        <f>+SUMPRODUCT(G49:G53,J49:J53)</f>
        <v>0</v>
      </c>
      <c r="K48" s="13">
        <f>+SUMPRODUCT(G49:G53,K49:K53)</f>
        <v>0</v>
      </c>
      <c r="L48" s="11"/>
      <c r="N48" s="14">
        <f>+SUM(N49:N53)</f>
        <v>0</v>
      </c>
      <c r="U48" s="14"/>
      <c r="AB48" s="14"/>
      <c r="AI48" s="14"/>
      <c r="AP48" s="14"/>
    </row>
    <row r="49" spans="2:137" ht="15.75" customHeight="1" outlineLevel="1">
      <c r="B49" t="s">
        <v>28</v>
      </c>
      <c r="C49" t="s">
        <v>107</v>
      </c>
      <c r="E49" s="11"/>
      <c r="F49" t="s">
        <v>108</v>
      </c>
      <c r="G49" s="12">
        <v>0.2</v>
      </c>
      <c r="I49" s="11">
        <f t="shared" ref="I49:I53" si="3">+SUMIF($N$3:$AAA$3,I$3,$N49:$AAA49)</f>
        <v>0</v>
      </c>
      <c r="J49" s="13"/>
      <c r="K49" s="13"/>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ht="15.75" customHeight="1" outlineLevel="1">
      <c r="B50" t="s">
        <v>28</v>
      </c>
      <c r="C50" t="s">
        <v>107</v>
      </c>
      <c r="E50" s="11"/>
      <c r="F50" t="s">
        <v>109</v>
      </c>
      <c r="G50" s="12">
        <v>0.2</v>
      </c>
      <c r="I50" s="11">
        <f t="shared" si="3"/>
        <v>0</v>
      </c>
      <c r="J50" s="13" cm="1">
        <f t="array" ref="J50">MAX(IF($N$3:$EI$3=$J$3,N50:EI50))</f>
        <v>0</v>
      </c>
      <c r="K50" s="13" cm="1">
        <f t="array" ref="K50">MAX(IF($N$3:$EI$3=$J$3,N50:EI50))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v>0.5</v>
      </c>
      <c r="CI50" s="12"/>
      <c r="CJ50" s="12">
        <v>0.5</v>
      </c>
      <c r="CN50" s="12"/>
      <c r="CO50" s="12">
        <v>0.8</v>
      </c>
      <c r="CP50" s="12"/>
      <c r="CQ50" s="12">
        <v>0.8</v>
      </c>
      <c r="CU50" s="12"/>
      <c r="CV50" s="12">
        <v>1</v>
      </c>
      <c r="CW50" s="12"/>
      <c r="CX50" s="12">
        <v>1</v>
      </c>
      <c r="DB50" s="12"/>
      <c r="DC50" s="12">
        <v>1</v>
      </c>
      <c r="DD50" s="12"/>
      <c r="DE50" s="12">
        <v>1</v>
      </c>
      <c r="DI50" s="12"/>
      <c r="DJ50" s="12">
        <v>1</v>
      </c>
      <c r="DK50" s="12"/>
      <c r="DL50" s="12">
        <v>1</v>
      </c>
      <c r="DP50" s="12"/>
      <c r="DQ50" s="12"/>
      <c r="DR50" s="12"/>
      <c r="DS50" s="12"/>
      <c r="DW50" s="12"/>
      <c r="DX50" s="12"/>
      <c r="DY50" s="12"/>
      <c r="DZ50" s="12"/>
      <c r="ED50" s="12"/>
      <c r="EE50" s="12"/>
      <c r="EF50" s="12"/>
      <c r="EG50" s="12"/>
    </row>
    <row r="51" spans="2:137" ht="15.75" customHeight="1" outlineLevel="1">
      <c r="B51" t="s">
        <v>28</v>
      </c>
      <c r="C51" t="s">
        <v>107</v>
      </c>
      <c r="E51" s="11"/>
      <c r="F51" t="s">
        <v>110</v>
      </c>
      <c r="G51" s="12">
        <v>0.2</v>
      </c>
      <c r="I51" s="11">
        <f t="shared" si="3"/>
        <v>0</v>
      </c>
      <c r="J51" s="13" cm="1">
        <f t="array" ref="J51">MAX(IF($N$3:$EI$3=$J$3,N51:EI51))</f>
        <v>0</v>
      </c>
      <c r="K51" s="13" cm="1">
        <f t="array" ref="K51">MAX(IF($N$3:$EI$3=$J$3,N51:EI51))</f>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v>0.5</v>
      </c>
      <c r="CI51" s="12"/>
      <c r="CJ51" s="12">
        <v>0.5</v>
      </c>
      <c r="CN51" s="12"/>
      <c r="CO51" s="12">
        <v>0.8</v>
      </c>
      <c r="CP51" s="12"/>
      <c r="CQ51" s="12">
        <v>0.8</v>
      </c>
      <c r="CU51" s="12"/>
      <c r="CV51" s="12">
        <v>1</v>
      </c>
      <c r="CW51" s="12"/>
      <c r="CX51" s="12">
        <v>1</v>
      </c>
      <c r="DB51" s="12"/>
      <c r="DC51" s="12">
        <v>1</v>
      </c>
      <c r="DD51" s="12"/>
      <c r="DE51" s="12">
        <v>1</v>
      </c>
      <c r="DI51" s="12"/>
      <c r="DJ51" s="12">
        <v>1</v>
      </c>
      <c r="DK51" s="12"/>
      <c r="DL51" s="12">
        <v>1</v>
      </c>
      <c r="DP51" s="12"/>
      <c r="DQ51" s="12"/>
      <c r="DR51" s="12"/>
      <c r="DS51" s="12"/>
      <c r="DW51" s="12"/>
      <c r="DX51" s="12"/>
      <c r="DY51" s="12"/>
      <c r="DZ51" s="12"/>
      <c r="ED51" s="12"/>
      <c r="EE51" s="12"/>
      <c r="EF51" s="12"/>
      <c r="EG51" s="12"/>
    </row>
    <row r="52" spans="2:137" ht="15.75" customHeight="1" outlineLevel="1">
      <c r="B52" t="s">
        <v>28</v>
      </c>
      <c r="C52" t="s">
        <v>107</v>
      </c>
      <c r="E52" s="11"/>
      <c r="F52" t="s">
        <v>111</v>
      </c>
      <c r="G52" s="12">
        <v>0.2</v>
      </c>
      <c r="I52" s="11">
        <f t="shared" si="3"/>
        <v>0</v>
      </c>
      <c r="J52" s="13" cm="1">
        <f t="array" ref="J52">MAX(IF($N$3:$EI$3=$J$3,N52:EI52))</f>
        <v>0</v>
      </c>
      <c r="K52" s="13" cm="1">
        <f t="array" ref="K52">MAX(IF($N$3:$EI$3=$J$3,N52:EI52))</f>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v>0.5</v>
      </c>
      <c r="CI52" s="12"/>
      <c r="CJ52" s="12">
        <v>0.5</v>
      </c>
      <c r="CN52" s="12"/>
      <c r="CO52" s="12">
        <v>0.8</v>
      </c>
      <c r="CP52" s="12"/>
      <c r="CQ52" s="12">
        <v>0.8</v>
      </c>
      <c r="CU52" s="12"/>
      <c r="CV52" s="12">
        <v>0.8</v>
      </c>
      <c r="CW52" s="12"/>
      <c r="CX52" s="12">
        <v>0.8</v>
      </c>
      <c r="DB52" s="12"/>
      <c r="DC52" s="12">
        <v>1</v>
      </c>
      <c r="DD52" s="12"/>
      <c r="DE52" s="12">
        <v>1</v>
      </c>
      <c r="DI52" s="12"/>
      <c r="DJ52" s="12">
        <v>1</v>
      </c>
      <c r="DK52" s="12"/>
      <c r="DL52" s="12">
        <v>1</v>
      </c>
      <c r="DP52" s="12"/>
      <c r="DQ52" s="12"/>
      <c r="DR52" s="12"/>
      <c r="DS52" s="12"/>
      <c r="DW52" s="12"/>
      <c r="DX52" s="12"/>
      <c r="DY52" s="12"/>
      <c r="DZ52" s="12"/>
      <c r="ED52" s="12"/>
      <c r="EE52" s="12"/>
      <c r="EF52" s="12"/>
      <c r="EG52" s="12"/>
    </row>
    <row r="53" spans="2:137" ht="15.75" customHeight="1" outlineLevel="1">
      <c r="B53" t="s">
        <v>28</v>
      </c>
      <c r="C53" t="s">
        <v>107</v>
      </c>
      <c r="E53" s="11"/>
      <c r="F53" t="s">
        <v>112</v>
      </c>
      <c r="G53" s="12">
        <v>0.2</v>
      </c>
      <c r="I53" s="11">
        <f t="shared" si="3"/>
        <v>0</v>
      </c>
      <c r="J53" s="13" cm="1">
        <f t="array" ref="J53">MAX(IF($N$3:$EI$3=$J$3,N53:EI53))</f>
        <v>0</v>
      </c>
      <c r="K53" s="13" cm="1">
        <f t="array" ref="K53">MAX(IF($N$3:$EI$3=$J$3,N53:EI53))</f>
        <v>0</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v>0.5</v>
      </c>
      <c r="CI53" s="12"/>
      <c r="CJ53" s="12">
        <v>0.5</v>
      </c>
      <c r="CN53" s="12"/>
      <c r="CO53" s="12">
        <v>0.5</v>
      </c>
      <c r="CP53" s="12"/>
      <c r="CQ53" s="12">
        <v>0.5</v>
      </c>
      <c r="CU53" s="12"/>
      <c r="CV53" s="12">
        <v>0.8</v>
      </c>
      <c r="CW53" s="12"/>
      <c r="CX53" s="12">
        <v>0.8</v>
      </c>
      <c r="DB53" s="12"/>
      <c r="DC53" s="12">
        <v>0.8</v>
      </c>
      <c r="DD53" s="12"/>
      <c r="DE53" s="12">
        <v>0.8</v>
      </c>
      <c r="DI53" s="12"/>
      <c r="DJ53" s="12">
        <v>1</v>
      </c>
      <c r="DK53" s="12"/>
      <c r="DL53" s="12">
        <v>1</v>
      </c>
      <c r="DP53" s="12"/>
      <c r="DQ53" s="12"/>
      <c r="DR53" s="12"/>
      <c r="DS53" s="12"/>
      <c r="DW53" s="12"/>
      <c r="DX53" s="12"/>
      <c r="DY53" s="12"/>
      <c r="DZ53" s="12"/>
      <c r="ED53" s="12"/>
      <c r="EE53" s="12"/>
      <c r="EF53" s="12"/>
      <c r="EG53" s="12"/>
    </row>
    <row r="54" spans="2:137" ht="15.75" customHeight="1" outlineLevel="1">
      <c r="E54" s="11"/>
      <c r="G54" s="12"/>
      <c r="I54" s="11"/>
      <c r="J54" s="13"/>
      <c r="K54" s="13"/>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I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ht="15.75" customHeight="1" outlineLevel="1">
      <c r="E55" s="11"/>
      <c r="G55" s="12"/>
      <c r="I55" s="11"/>
      <c r="J55" s="13"/>
      <c r="K55" s="13"/>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I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7" spans="2:137">
      <c r="B57" t="s">
        <v>27</v>
      </c>
      <c r="C57" t="s">
        <v>126</v>
      </c>
      <c r="D57" s="22">
        <v>46006</v>
      </c>
      <c r="E57" s="11">
        <v>8</v>
      </c>
      <c r="G57" s="12">
        <f>+SUM(G58:G68)</f>
        <v>1</v>
      </c>
      <c r="I57" s="14">
        <f>+SUM(I58:I64)</f>
        <v>2</v>
      </c>
      <c r="J57" s="13">
        <f>+SUMPRODUCT(G58:G68,J58:J68)</f>
        <v>0</v>
      </c>
      <c r="K57" s="13">
        <f>+SUMPRODUCT(G58:G68,K58:K68)</f>
        <v>0</v>
      </c>
      <c r="L57" s="11"/>
      <c r="N57" s="14">
        <f>+SUM(N58:N64)</f>
        <v>2</v>
      </c>
      <c r="U57" s="14"/>
      <c r="AB57" s="14"/>
      <c r="AI57" s="14"/>
      <c r="AP57" s="14"/>
    </row>
    <row r="58" spans="2:137" ht="15.75" customHeight="1" outlineLevel="1">
      <c r="B58" t="s">
        <v>28</v>
      </c>
      <c r="C58" t="s">
        <v>124</v>
      </c>
      <c r="E58" s="11"/>
      <c r="F58" t="s">
        <v>123</v>
      </c>
      <c r="G58" s="12">
        <v>0.1</v>
      </c>
      <c r="I58" s="11">
        <f t="shared" ref="I58:I99" si="4">+SUMIF($N$3:$AAA$3,I$3,$N58:$AAA58)</f>
        <v>1</v>
      </c>
      <c r="J58" s="13" cm="1">
        <f t="array" ref="J58">MAX(IF($N$3:$EI$3=$J$3,N58:EI58))</f>
        <v>0</v>
      </c>
      <c r="K58" s="13" cm="1">
        <f t="array" ref="K58">MAX(IF($N$3:$EI$3=$J$3,N58:EI58))</f>
        <v>0</v>
      </c>
      <c r="L58" s="11"/>
      <c r="N58">
        <v>1</v>
      </c>
      <c r="O58" s="12"/>
      <c r="P58" s="12">
        <v>0.5</v>
      </c>
      <c r="Q58" s="12"/>
      <c r="R58" s="12">
        <v>0.5</v>
      </c>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v>1</v>
      </c>
      <c r="CB58" s="12"/>
      <c r="CC58" s="12">
        <v>1</v>
      </c>
      <c r="CG58" s="12"/>
      <c r="CH58" s="12">
        <v>1</v>
      </c>
      <c r="CI58" s="12"/>
      <c r="CJ58" s="12">
        <v>1</v>
      </c>
      <c r="CN58" s="12"/>
      <c r="CO58" s="12">
        <v>1</v>
      </c>
      <c r="CP58" s="12"/>
      <c r="CQ58" s="12">
        <v>1</v>
      </c>
      <c r="CU58" s="12"/>
      <c r="CV58" s="12">
        <v>1</v>
      </c>
      <c r="CW58" s="12"/>
      <c r="CX58" s="12">
        <v>1</v>
      </c>
      <c r="DB58" s="12"/>
      <c r="DC58" s="12">
        <v>1</v>
      </c>
      <c r="DD58" s="12"/>
      <c r="DE58" s="12">
        <v>1</v>
      </c>
      <c r="DI58" s="12"/>
      <c r="DJ58" s="12">
        <v>1</v>
      </c>
      <c r="DK58" s="12"/>
      <c r="DL58" s="12">
        <v>1</v>
      </c>
      <c r="DP58" s="12"/>
      <c r="DQ58" s="12"/>
      <c r="DR58" s="12"/>
      <c r="DS58" s="12"/>
      <c r="DW58" s="12"/>
      <c r="DX58" s="12"/>
      <c r="DY58" s="12"/>
      <c r="DZ58" s="12"/>
      <c r="ED58" s="12"/>
      <c r="EE58" s="12"/>
      <c r="EF58" s="12"/>
      <c r="EG58" s="12"/>
    </row>
    <row r="59" spans="2:137" ht="15.75" customHeight="1" outlineLevel="1">
      <c r="B59" t="s">
        <v>28</v>
      </c>
      <c r="C59" t="s">
        <v>124</v>
      </c>
      <c r="E59" s="11"/>
      <c r="F59" t="s">
        <v>122</v>
      </c>
      <c r="G59" s="12">
        <v>0.1</v>
      </c>
      <c r="I59" s="11">
        <f t="shared" si="4"/>
        <v>1</v>
      </c>
      <c r="J59" s="13" cm="1">
        <f t="array" ref="J59">MAX(IF($N$3:$EI$3=$J$3,N59:EI59))</f>
        <v>0</v>
      </c>
      <c r="K59" s="13" cm="1">
        <f t="array" ref="K59">MAX(IF($N$3:$EI$3=$J$3,N59:EI59))</f>
        <v>0</v>
      </c>
      <c r="L59" s="11"/>
      <c r="N59">
        <v>1</v>
      </c>
      <c r="O59" s="12"/>
      <c r="P59" s="12">
        <v>0.5</v>
      </c>
      <c r="Q59" s="12"/>
      <c r="R59" s="12">
        <v>0.5</v>
      </c>
      <c r="V59" s="12"/>
      <c r="W59" s="12"/>
      <c r="X59" s="12"/>
      <c r="Y59" s="12"/>
      <c r="AC59" s="12"/>
      <c r="AD59" s="12">
        <v>0.5</v>
      </c>
      <c r="AE59" s="12"/>
      <c r="AF59" s="12">
        <v>0.5</v>
      </c>
      <c r="AJ59" s="12"/>
      <c r="AK59" s="12">
        <v>0.5</v>
      </c>
      <c r="AL59" s="12"/>
      <c r="AM59" s="12">
        <v>0.5</v>
      </c>
      <c r="AQ59" s="12"/>
      <c r="AR59" s="12">
        <v>0.8</v>
      </c>
      <c r="AS59" s="12"/>
      <c r="AT59" s="12">
        <v>0.8</v>
      </c>
      <c r="AX59" s="12"/>
      <c r="AY59" s="12">
        <v>0.8</v>
      </c>
      <c r="AZ59" s="12"/>
      <c r="BA59" s="12">
        <v>0.8</v>
      </c>
      <c r="BE59" s="12"/>
      <c r="BF59" s="12">
        <v>0.8</v>
      </c>
      <c r="BG59" s="12"/>
      <c r="BH59" s="12">
        <v>0.8</v>
      </c>
      <c r="BL59" s="12"/>
      <c r="BM59" s="12">
        <v>0.8</v>
      </c>
      <c r="BN59" s="12"/>
      <c r="BO59" s="12">
        <v>0.8</v>
      </c>
      <c r="BS59" s="12"/>
      <c r="BT59" s="12">
        <v>0.8</v>
      </c>
      <c r="BU59" s="12"/>
      <c r="BV59" s="12">
        <v>0.8</v>
      </c>
      <c r="BZ59" s="12"/>
      <c r="CA59" s="12">
        <v>1</v>
      </c>
      <c r="CB59" s="12"/>
      <c r="CC59" s="12">
        <v>1</v>
      </c>
      <c r="CG59" s="12"/>
      <c r="CH59" s="12">
        <v>1</v>
      </c>
      <c r="CI59" s="12"/>
      <c r="CJ59" s="12">
        <v>1</v>
      </c>
      <c r="CN59" s="12"/>
      <c r="CO59" s="12">
        <v>1</v>
      </c>
      <c r="CP59" s="12"/>
      <c r="CQ59" s="12">
        <v>1</v>
      </c>
      <c r="CU59" s="12"/>
      <c r="CV59" s="12">
        <v>1</v>
      </c>
      <c r="CW59" s="12"/>
      <c r="CX59" s="12">
        <v>1</v>
      </c>
      <c r="DB59" s="12"/>
      <c r="DC59" s="12">
        <v>1</v>
      </c>
      <c r="DD59" s="12"/>
      <c r="DE59" s="12">
        <v>1</v>
      </c>
      <c r="DI59" s="12"/>
      <c r="DJ59" s="12">
        <v>1</v>
      </c>
      <c r="DK59" s="12"/>
      <c r="DL59" s="12">
        <v>1</v>
      </c>
      <c r="DP59" s="12"/>
      <c r="DQ59" s="12"/>
      <c r="DR59" s="12"/>
      <c r="DS59" s="12"/>
      <c r="DW59" s="12"/>
      <c r="DX59" s="12"/>
      <c r="DY59" s="12"/>
      <c r="DZ59" s="12"/>
      <c r="ED59" s="12"/>
      <c r="EE59" s="12"/>
      <c r="EF59" s="12"/>
      <c r="EG59" s="12"/>
    </row>
    <row r="60" spans="2:137" ht="15.75" customHeight="1" outlineLevel="1">
      <c r="B60" t="s">
        <v>28</v>
      </c>
      <c r="C60" t="s">
        <v>124</v>
      </c>
      <c r="E60" s="11"/>
      <c r="F60" t="s">
        <v>121</v>
      </c>
      <c r="G60" s="12">
        <v>0.1</v>
      </c>
      <c r="I60" s="11">
        <f t="shared" si="4"/>
        <v>0</v>
      </c>
      <c r="J60" s="13" cm="1">
        <f t="array" ref="J60">MAX(IF($N$3:$EI$3=$J$3,N60:EI60))</f>
        <v>0</v>
      </c>
      <c r="K60" s="13" cm="1">
        <f t="array" ref="K60">MAX(IF($N$3:$EI$3=$J$3,N60:EI60))</f>
        <v>0</v>
      </c>
      <c r="L60" s="11"/>
      <c r="O60" s="12"/>
      <c r="P60" s="12"/>
      <c r="Q60" s="12"/>
      <c r="R60" s="12"/>
      <c r="V60" s="12"/>
      <c r="W60" s="12"/>
      <c r="X60" s="12"/>
      <c r="Y60" s="12"/>
      <c r="AC60" s="12"/>
      <c r="AD60" s="12">
        <v>0.5</v>
      </c>
      <c r="AE60" s="12"/>
      <c r="AF60" s="12">
        <v>0.5</v>
      </c>
      <c r="AJ60" s="12"/>
      <c r="AK60" s="12">
        <v>0.5</v>
      </c>
      <c r="AL60" s="12"/>
      <c r="AM60" s="12">
        <v>0.5</v>
      </c>
      <c r="AQ60" s="12"/>
      <c r="AR60" s="12">
        <v>0.8</v>
      </c>
      <c r="AS60" s="12"/>
      <c r="AT60" s="12">
        <v>0.8</v>
      </c>
      <c r="AX60" s="12"/>
      <c r="AY60" s="12">
        <v>0.8</v>
      </c>
      <c r="AZ60" s="12"/>
      <c r="BA60" s="12">
        <v>0.8</v>
      </c>
      <c r="BE60" s="12"/>
      <c r="BF60" s="12">
        <v>0.8</v>
      </c>
      <c r="BG60" s="12"/>
      <c r="BH60" s="12">
        <v>0.8</v>
      </c>
      <c r="BL60" s="12"/>
      <c r="BM60" s="12">
        <v>0.8</v>
      </c>
      <c r="BN60" s="12"/>
      <c r="BO60" s="12">
        <v>0.8</v>
      </c>
      <c r="BS60" s="12"/>
      <c r="BT60" s="12">
        <v>0.8</v>
      </c>
      <c r="BU60" s="12"/>
      <c r="BV60" s="12">
        <v>0.8</v>
      </c>
      <c r="BZ60" s="12"/>
      <c r="CA60" s="12">
        <v>0.8</v>
      </c>
      <c r="CB60" s="12"/>
      <c r="CC60" s="12">
        <v>0.8</v>
      </c>
      <c r="CG60" s="12"/>
      <c r="CH60" s="12">
        <v>1</v>
      </c>
      <c r="CI60" s="12"/>
      <c r="CJ60" s="12">
        <v>1</v>
      </c>
      <c r="CN60" s="12"/>
      <c r="CO60" s="12">
        <v>1</v>
      </c>
      <c r="CP60" s="12"/>
      <c r="CQ60" s="12">
        <v>1</v>
      </c>
      <c r="CU60" s="12"/>
      <c r="CV60" s="12">
        <v>1</v>
      </c>
      <c r="CW60" s="12"/>
      <c r="CX60" s="12">
        <v>1</v>
      </c>
      <c r="DB60" s="12"/>
      <c r="DC60" s="12">
        <v>1</v>
      </c>
      <c r="DD60" s="12"/>
      <c r="DE60" s="12">
        <v>1</v>
      </c>
      <c r="DI60" s="12"/>
      <c r="DJ60" s="12">
        <v>1</v>
      </c>
      <c r="DK60" s="12"/>
      <c r="DL60" s="12">
        <v>1</v>
      </c>
      <c r="DP60" s="12"/>
      <c r="DQ60" s="12"/>
      <c r="DR60" s="12"/>
      <c r="DS60" s="12"/>
      <c r="DW60" s="12"/>
      <c r="DX60" s="12"/>
      <c r="DY60" s="12"/>
      <c r="DZ60" s="12"/>
      <c r="ED60" s="12"/>
      <c r="EE60" s="12"/>
      <c r="EF60" s="12"/>
      <c r="EG60" s="12"/>
    </row>
    <row r="61" spans="2:137" ht="15.75" customHeight="1" outlineLevel="1">
      <c r="B61" t="s">
        <v>28</v>
      </c>
      <c r="C61" t="s">
        <v>124</v>
      </c>
      <c r="E61" s="11"/>
      <c r="F61" t="s">
        <v>120</v>
      </c>
      <c r="G61" s="12">
        <v>0.1</v>
      </c>
      <c r="I61" s="11">
        <f t="shared" si="4"/>
        <v>0</v>
      </c>
      <c r="J61" s="13" cm="1">
        <f t="array" ref="J61">MAX(IF($N$3:$EI$3=$J$3,N61:EI61))</f>
        <v>0</v>
      </c>
      <c r="K61" s="13" cm="1">
        <f t="array" ref="K61">MAX(IF($N$3:$EI$3=$J$3,N61:EI61))</f>
        <v>0</v>
      </c>
      <c r="L61" s="11"/>
      <c r="O61" s="12"/>
      <c r="P61" s="12"/>
      <c r="Q61" s="12"/>
      <c r="R61" s="12"/>
      <c r="V61" s="12"/>
      <c r="W61" s="12"/>
      <c r="X61" s="12"/>
      <c r="Y61" s="12"/>
      <c r="AC61" s="12"/>
      <c r="AD61" s="12">
        <v>0.5</v>
      </c>
      <c r="AE61" s="12"/>
      <c r="AF61" s="12">
        <v>0.5</v>
      </c>
      <c r="AJ61" s="12"/>
      <c r="AK61" s="12">
        <v>0.5</v>
      </c>
      <c r="AL61" s="12"/>
      <c r="AM61" s="12">
        <v>0.5</v>
      </c>
      <c r="AQ61" s="12"/>
      <c r="AR61" s="12">
        <v>0.8</v>
      </c>
      <c r="AS61" s="12"/>
      <c r="AT61" s="12">
        <v>0.8</v>
      </c>
      <c r="AX61" s="12"/>
      <c r="AY61" s="12">
        <v>0.8</v>
      </c>
      <c r="AZ61" s="12"/>
      <c r="BA61" s="12">
        <v>0.8</v>
      </c>
      <c r="BE61" s="12"/>
      <c r="BF61" s="12">
        <v>0.8</v>
      </c>
      <c r="BG61" s="12"/>
      <c r="BH61" s="12">
        <v>0.8</v>
      </c>
      <c r="BL61" s="12"/>
      <c r="BM61" s="12">
        <v>0.8</v>
      </c>
      <c r="BN61" s="12"/>
      <c r="BO61" s="12">
        <v>0.8</v>
      </c>
      <c r="BS61" s="12"/>
      <c r="BT61" s="12">
        <v>0.8</v>
      </c>
      <c r="BU61" s="12"/>
      <c r="BV61" s="12">
        <v>0.8</v>
      </c>
      <c r="BZ61" s="12"/>
      <c r="CA61" s="12">
        <v>0.8</v>
      </c>
      <c r="CB61" s="12"/>
      <c r="CC61" s="12">
        <v>0.8</v>
      </c>
      <c r="CG61" s="12"/>
      <c r="CH61" s="12">
        <v>0.8</v>
      </c>
      <c r="CI61" s="12"/>
      <c r="CJ61" s="12">
        <v>0.8</v>
      </c>
      <c r="CN61" s="12"/>
      <c r="CO61" s="12">
        <v>1</v>
      </c>
      <c r="CP61" s="12"/>
      <c r="CQ61" s="12">
        <v>1</v>
      </c>
      <c r="CU61" s="12"/>
      <c r="CV61" s="12">
        <v>1</v>
      </c>
      <c r="CW61" s="12"/>
      <c r="CX61" s="12">
        <v>1</v>
      </c>
      <c r="DB61" s="12"/>
      <c r="DC61" s="12">
        <v>1</v>
      </c>
      <c r="DD61" s="12"/>
      <c r="DE61" s="12">
        <v>1</v>
      </c>
      <c r="DI61" s="12"/>
      <c r="DJ61" s="12">
        <v>1</v>
      </c>
      <c r="DK61" s="12"/>
      <c r="DL61" s="12">
        <v>1</v>
      </c>
      <c r="DP61" s="12"/>
      <c r="DQ61" s="12"/>
      <c r="DR61" s="12"/>
      <c r="DS61" s="12"/>
      <c r="DW61" s="12"/>
      <c r="DX61" s="12"/>
      <c r="DY61" s="12"/>
      <c r="DZ61" s="12"/>
      <c r="ED61" s="12"/>
      <c r="EE61" s="12"/>
      <c r="EF61" s="12"/>
      <c r="EG61" s="12"/>
    </row>
    <row r="62" spans="2:137" ht="15.75" customHeight="1" outlineLevel="1">
      <c r="B62" t="s">
        <v>28</v>
      </c>
      <c r="C62" t="s">
        <v>124</v>
      </c>
      <c r="E62" s="11"/>
      <c r="F62" t="s">
        <v>119</v>
      </c>
      <c r="G62" s="12">
        <v>0.1</v>
      </c>
      <c r="I62" s="11">
        <f t="shared" si="4"/>
        <v>0</v>
      </c>
      <c r="J62" s="13" cm="1">
        <f t="array" ref="J62">MAX(IF($N$3:$EI$3=$J$3,N62:EI62))</f>
        <v>0</v>
      </c>
      <c r="K62" s="13" cm="1">
        <f t="array" ref="K62">MAX(IF($N$3:$EI$3=$J$3,N62:EI62))</f>
        <v>0</v>
      </c>
      <c r="L62" s="11"/>
      <c r="O62" s="12"/>
      <c r="P62" s="12"/>
      <c r="Q62" s="12"/>
      <c r="R62" s="12"/>
      <c r="V62" s="12"/>
      <c r="W62" s="12"/>
      <c r="X62" s="12"/>
      <c r="Y62" s="12"/>
      <c r="AC62" s="12"/>
      <c r="AD62" s="12">
        <v>0.5</v>
      </c>
      <c r="AE62" s="12"/>
      <c r="AF62" s="12">
        <v>0.5</v>
      </c>
      <c r="AJ62" s="12"/>
      <c r="AK62" s="12">
        <v>0.5</v>
      </c>
      <c r="AL62" s="12"/>
      <c r="AM62" s="12">
        <v>0.5</v>
      </c>
      <c r="AQ62" s="12"/>
      <c r="AR62" s="12">
        <v>0.5</v>
      </c>
      <c r="AS62" s="12"/>
      <c r="AT62" s="12">
        <v>0.5</v>
      </c>
      <c r="AX62" s="12"/>
      <c r="AY62" s="12">
        <v>0.8</v>
      </c>
      <c r="AZ62" s="12"/>
      <c r="BA62" s="12">
        <v>0.8</v>
      </c>
      <c r="BE62" s="12"/>
      <c r="BF62" s="12">
        <v>0.8</v>
      </c>
      <c r="BG62" s="12"/>
      <c r="BH62" s="12">
        <v>0.8</v>
      </c>
      <c r="BL62" s="12"/>
      <c r="BM62" s="12">
        <v>0.8</v>
      </c>
      <c r="BN62" s="12"/>
      <c r="BO62" s="12">
        <v>0.8</v>
      </c>
      <c r="BS62" s="12"/>
      <c r="BT62" s="12">
        <v>0.8</v>
      </c>
      <c r="BU62" s="12"/>
      <c r="BV62" s="12">
        <v>0.8</v>
      </c>
      <c r="BZ62" s="12"/>
      <c r="CA62" s="12">
        <v>0.8</v>
      </c>
      <c r="CB62" s="12"/>
      <c r="CC62" s="12">
        <v>0.8</v>
      </c>
      <c r="CG62" s="12"/>
      <c r="CH62" s="12">
        <v>0.8</v>
      </c>
      <c r="CI62" s="12"/>
      <c r="CJ62" s="12">
        <v>0.8</v>
      </c>
      <c r="CN62" s="12"/>
      <c r="CO62" s="12">
        <v>0.8</v>
      </c>
      <c r="CP62" s="12"/>
      <c r="CQ62" s="12">
        <v>0.8</v>
      </c>
      <c r="CR62" s="12"/>
      <c r="CU62" s="12"/>
      <c r="CV62" s="12">
        <v>1</v>
      </c>
      <c r="CW62" s="12"/>
      <c r="CX62" s="12">
        <v>1</v>
      </c>
      <c r="DB62" s="12"/>
      <c r="DC62" s="12">
        <v>1</v>
      </c>
      <c r="DD62" s="12"/>
      <c r="DE62" s="12">
        <v>1</v>
      </c>
      <c r="DI62" s="12"/>
      <c r="DJ62" s="12">
        <v>1</v>
      </c>
      <c r="DK62" s="12"/>
      <c r="DL62" s="12">
        <v>1</v>
      </c>
      <c r="DP62" s="12"/>
      <c r="DQ62" s="12"/>
      <c r="DR62" s="12"/>
      <c r="DS62" s="12"/>
      <c r="DW62" s="12"/>
      <c r="DX62" s="12"/>
      <c r="DY62" s="12"/>
      <c r="DZ62" s="12"/>
      <c r="ED62" s="12"/>
      <c r="EE62" s="12"/>
      <c r="EF62" s="12"/>
      <c r="EG62" s="12"/>
    </row>
    <row r="63" spans="2:137" ht="15.75" customHeight="1" outlineLevel="1">
      <c r="B63" t="s">
        <v>28</v>
      </c>
      <c r="C63" t="s">
        <v>124</v>
      </c>
      <c r="E63" s="11"/>
      <c r="F63" t="s">
        <v>118</v>
      </c>
      <c r="G63" s="12">
        <v>0.1</v>
      </c>
      <c r="I63" s="11">
        <f t="shared" si="4"/>
        <v>0</v>
      </c>
      <c r="J63" s="13" cm="1">
        <f t="array" ref="J63">MAX(IF($N$3:$EI$3=$J$3,N63:EI63))</f>
        <v>0</v>
      </c>
      <c r="K63" s="13" cm="1">
        <f t="array" ref="K63">MAX(IF($N$3:$EI$3=$J$3,N63:EI63))</f>
        <v>0</v>
      </c>
      <c r="L63" s="11"/>
      <c r="O63" s="12"/>
      <c r="P63" s="12"/>
      <c r="Q63" s="12"/>
      <c r="R63" s="12"/>
      <c r="V63" s="12"/>
      <c r="W63" s="12"/>
      <c r="X63" s="12"/>
      <c r="Y63" s="12"/>
      <c r="AC63" s="12"/>
      <c r="AD63" s="12"/>
      <c r="AE63" s="12"/>
      <c r="AF63" s="12"/>
      <c r="AJ63" s="12"/>
      <c r="AK63" s="12">
        <v>0.5</v>
      </c>
      <c r="AL63" s="12"/>
      <c r="AM63" s="12">
        <v>0.5</v>
      </c>
      <c r="AQ63" s="12"/>
      <c r="AR63" s="12">
        <v>0.5</v>
      </c>
      <c r="AS63" s="12"/>
      <c r="AT63" s="12">
        <v>0.5</v>
      </c>
      <c r="AX63" s="12"/>
      <c r="AY63" s="12">
        <v>0.5</v>
      </c>
      <c r="AZ63" s="12"/>
      <c r="BA63" s="12">
        <v>0.5</v>
      </c>
      <c r="BE63" s="12"/>
      <c r="BF63" s="12">
        <v>0.5</v>
      </c>
      <c r="BG63" s="12"/>
      <c r="BH63" s="12">
        <v>0.5</v>
      </c>
      <c r="BL63" s="12"/>
      <c r="BM63" s="12">
        <v>0.8</v>
      </c>
      <c r="BN63" s="12"/>
      <c r="BO63" s="12">
        <v>0.8</v>
      </c>
      <c r="BS63" s="12"/>
      <c r="BT63" s="12">
        <v>0.8</v>
      </c>
      <c r="BU63" s="12"/>
      <c r="BV63" s="12">
        <v>0.8</v>
      </c>
      <c r="BZ63" s="12"/>
      <c r="CA63" s="12">
        <v>0.8</v>
      </c>
      <c r="CB63" s="12"/>
      <c r="CC63" s="12">
        <v>0.8</v>
      </c>
      <c r="CG63" s="12"/>
      <c r="CH63" s="12">
        <v>0.8</v>
      </c>
      <c r="CI63" s="12"/>
      <c r="CJ63" s="12">
        <v>0.8</v>
      </c>
      <c r="CN63" s="12"/>
      <c r="CO63" s="12">
        <v>0.8</v>
      </c>
      <c r="CP63" s="12"/>
      <c r="CQ63" s="12">
        <v>0.8</v>
      </c>
      <c r="CR63" s="12"/>
      <c r="CU63" s="12"/>
      <c r="CV63" s="12">
        <v>1</v>
      </c>
      <c r="CW63" s="12"/>
      <c r="CX63" s="12">
        <v>1</v>
      </c>
      <c r="DB63" s="12"/>
      <c r="DC63" s="12">
        <v>1</v>
      </c>
      <c r="DD63" s="12"/>
      <c r="DE63" s="12">
        <v>1</v>
      </c>
      <c r="DI63" s="12"/>
      <c r="DJ63" s="12">
        <v>1</v>
      </c>
      <c r="DK63" s="12"/>
      <c r="DL63" s="12">
        <v>1</v>
      </c>
      <c r="DP63" s="12"/>
      <c r="DQ63" s="12"/>
      <c r="DR63" s="12"/>
      <c r="DS63" s="12"/>
      <c r="DW63" s="12"/>
      <c r="DX63" s="12"/>
      <c r="DY63" s="12"/>
      <c r="DZ63" s="12"/>
      <c r="ED63" s="12"/>
      <c r="EE63" s="12"/>
      <c r="EF63" s="12"/>
      <c r="EG63" s="12"/>
    </row>
    <row r="64" spans="2:137" ht="15.75" customHeight="1" outlineLevel="1">
      <c r="B64" t="s">
        <v>28</v>
      </c>
      <c r="C64" t="s">
        <v>124</v>
      </c>
      <c r="E64" s="11"/>
      <c r="F64" t="s">
        <v>117</v>
      </c>
      <c r="G64" s="12">
        <v>0.1</v>
      </c>
      <c r="I64" s="11">
        <f t="shared" si="4"/>
        <v>0</v>
      </c>
      <c r="J64" s="13" cm="1">
        <f t="array" ref="J64">MAX(IF($N$3:$EI$3=$J$3,N64:EI64))</f>
        <v>0</v>
      </c>
      <c r="K64" s="13" cm="1">
        <f t="array" ref="K64">MAX(IF($N$3:$EI$3=$J$3,N64:EI64))</f>
        <v>0</v>
      </c>
      <c r="L64" s="11"/>
      <c r="O64" s="12"/>
      <c r="P64" s="12"/>
      <c r="Q64" s="12"/>
      <c r="R64" s="12"/>
      <c r="V64" s="12"/>
      <c r="W64" s="12"/>
      <c r="X64" s="12"/>
      <c r="Y64" s="12"/>
      <c r="AC64" s="12"/>
      <c r="AD64" s="12"/>
      <c r="AE64" s="12"/>
      <c r="AF64" s="12"/>
      <c r="AJ64" s="12"/>
      <c r="AK64" s="12"/>
      <c r="AL64" s="12"/>
      <c r="AM64" s="12"/>
      <c r="AQ64" s="12"/>
      <c r="AR64" s="12">
        <v>0.5</v>
      </c>
      <c r="AS64" s="12"/>
      <c r="AT64" s="12">
        <v>0.5</v>
      </c>
      <c r="AX64" s="12"/>
      <c r="AY64" s="12">
        <v>0.5</v>
      </c>
      <c r="AZ64" s="12"/>
      <c r="BA64" s="12">
        <v>0.5</v>
      </c>
      <c r="BE64" s="12"/>
      <c r="BF64" s="12">
        <v>0.5</v>
      </c>
      <c r="BG64" s="12"/>
      <c r="BH64" s="12">
        <v>0.5</v>
      </c>
      <c r="BL64" s="12"/>
      <c r="BM64" s="12">
        <v>0.5</v>
      </c>
      <c r="BN64" s="12"/>
      <c r="BO64" s="12">
        <v>0.5</v>
      </c>
      <c r="BS64" s="12"/>
      <c r="BT64" s="12">
        <v>0.8</v>
      </c>
      <c r="BU64" s="12"/>
      <c r="BV64" s="12">
        <v>0.8</v>
      </c>
      <c r="BZ64" s="12"/>
      <c r="CA64" s="12">
        <v>0.8</v>
      </c>
      <c r="CB64" s="12"/>
      <c r="CC64" s="12">
        <v>0.8</v>
      </c>
      <c r="CG64" s="12"/>
      <c r="CH64" s="12">
        <v>0.8</v>
      </c>
      <c r="CI64" s="12"/>
      <c r="CJ64" s="12">
        <v>0.8</v>
      </c>
      <c r="CN64" s="12"/>
      <c r="CO64" s="12">
        <v>0.8</v>
      </c>
      <c r="CP64" s="12"/>
      <c r="CQ64" s="12">
        <v>0.8</v>
      </c>
      <c r="CR64" s="12"/>
      <c r="CU64" s="12"/>
      <c r="CV64" s="12">
        <v>0.8</v>
      </c>
      <c r="CW64" s="12"/>
      <c r="CX64" s="12">
        <v>0.8</v>
      </c>
      <c r="DB64" s="12"/>
      <c r="DC64" s="12">
        <v>1</v>
      </c>
      <c r="DD64" s="12"/>
      <c r="DE64" s="12">
        <v>1</v>
      </c>
      <c r="DI64" s="12"/>
      <c r="DJ64" s="12">
        <v>1</v>
      </c>
      <c r="DK64" s="12"/>
      <c r="DL64" s="12">
        <v>1</v>
      </c>
      <c r="DP64" s="12"/>
      <c r="DQ64" s="12"/>
      <c r="DR64" s="12"/>
      <c r="DS64" s="12"/>
      <c r="DW64" s="12"/>
      <c r="DX64" s="12"/>
      <c r="DY64" s="12"/>
      <c r="DZ64" s="12"/>
      <c r="ED64" s="12"/>
      <c r="EE64" s="12"/>
      <c r="EF64" s="12"/>
      <c r="EG64" s="12"/>
    </row>
    <row r="65" spans="2:137" ht="15.75" customHeight="1" outlineLevel="1">
      <c r="B65" t="s">
        <v>28</v>
      </c>
      <c r="C65" t="s">
        <v>124</v>
      </c>
      <c r="E65" s="11"/>
      <c r="F65" t="s">
        <v>116</v>
      </c>
      <c r="G65" s="12">
        <v>0.1</v>
      </c>
      <c r="I65" s="11">
        <f t="shared" si="4"/>
        <v>0</v>
      </c>
      <c r="J65" s="13" cm="1">
        <f t="array" ref="J65">MAX(IF($N$3:$EI$3=$J$3,N65:EI65))</f>
        <v>0</v>
      </c>
      <c r="K65" s="13" cm="1">
        <f t="array" ref="K65">MAX(IF($N$3:$EI$3=$J$3,N65:EI65))</f>
        <v>0</v>
      </c>
      <c r="L65" s="11"/>
      <c r="O65" s="12"/>
      <c r="P65" s="12"/>
      <c r="Q65" s="12"/>
      <c r="R65" s="12"/>
      <c r="V65" s="12"/>
      <c r="W65" s="12"/>
      <c r="X65" s="12"/>
      <c r="Y65" s="12"/>
      <c r="AC65" s="12"/>
      <c r="AD65" s="12"/>
      <c r="AE65" s="12"/>
      <c r="AF65" s="12"/>
      <c r="AJ65" s="12"/>
      <c r="AK65" s="12"/>
      <c r="AL65" s="12"/>
      <c r="AM65" s="12"/>
      <c r="AQ65" s="12"/>
      <c r="AR65" s="12"/>
      <c r="AS65" s="12"/>
      <c r="AT65" s="12"/>
      <c r="AX65" s="12"/>
      <c r="AY65" s="12">
        <v>0.5</v>
      </c>
      <c r="AZ65" s="12"/>
      <c r="BA65" s="12">
        <v>0.5</v>
      </c>
      <c r="BE65" s="12"/>
      <c r="BF65" s="12">
        <v>0.5</v>
      </c>
      <c r="BG65" s="12"/>
      <c r="BH65" s="12">
        <v>0.5</v>
      </c>
      <c r="BL65" s="12"/>
      <c r="BM65" s="12">
        <v>0.5</v>
      </c>
      <c r="BN65" s="12"/>
      <c r="BO65" s="12">
        <v>0.5</v>
      </c>
      <c r="BS65" s="12"/>
      <c r="BT65" s="12">
        <v>0.8</v>
      </c>
      <c r="BU65" s="12"/>
      <c r="BV65" s="12">
        <v>0.8</v>
      </c>
      <c r="BZ65" s="12"/>
      <c r="CA65" s="12">
        <v>0.8</v>
      </c>
      <c r="CB65" s="12"/>
      <c r="CC65" s="12">
        <v>0.8</v>
      </c>
      <c r="CG65" s="12"/>
      <c r="CH65" s="12">
        <v>0.8</v>
      </c>
      <c r="CI65" s="12"/>
      <c r="CJ65" s="12">
        <v>0.8</v>
      </c>
      <c r="CN65" s="12"/>
      <c r="CO65" s="12">
        <v>0.8</v>
      </c>
      <c r="CP65" s="12"/>
      <c r="CQ65" s="12">
        <v>0.8</v>
      </c>
      <c r="CR65" s="12"/>
      <c r="CU65" s="12"/>
      <c r="CV65" s="12">
        <v>0.8</v>
      </c>
      <c r="CW65" s="12"/>
      <c r="CX65" s="12">
        <v>0.8</v>
      </c>
      <c r="DB65" s="12"/>
      <c r="DC65" s="12">
        <v>0.8</v>
      </c>
      <c r="DD65" s="12"/>
      <c r="DE65" s="12">
        <v>0.8</v>
      </c>
      <c r="DI65" s="12"/>
      <c r="DJ65" s="12">
        <v>1</v>
      </c>
      <c r="DK65" s="12"/>
      <c r="DL65" s="12">
        <v>1</v>
      </c>
      <c r="DP65" s="12"/>
      <c r="DQ65" s="12"/>
      <c r="DR65" s="12"/>
      <c r="DS65" s="12"/>
      <c r="DW65" s="12"/>
      <c r="DX65" s="12"/>
      <c r="DY65" s="12"/>
      <c r="DZ65" s="12"/>
      <c r="ED65" s="12"/>
      <c r="EE65" s="12"/>
      <c r="EF65" s="12"/>
      <c r="EG65" s="12"/>
    </row>
    <row r="66" spans="2:137" ht="15.75" customHeight="1" outlineLevel="1">
      <c r="B66" t="s">
        <v>28</v>
      </c>
      <c r="C66" t="s">
        <v>124</v>
      </c>
      <c r="E66" s="11"/>
      <c r="F66" t="s">
        <v>115</v>
      </c>
      <c r="G66" s="12">
        <v>0.1</v>
      </c>
      <c r="I66" s="11">
        <f t="shared" si="4"/>
        <v>0</v>
      </c>
      <c r="J66" s="13" cm="1">
        <f t="array" ref="J66">MAX(IF($N$3:$EI$3=$J$3,N66:EI66))</f>
        <v>0</v>
      </c>
      <c r="K66" s="13" cm="1">
        <f t="array" ref="K66">MAX(IF($N$3:$EI$3=$J$3,N66:EI66))</f>
        <v>0</v>
      </c>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v>0.5</v>
      </c>
      <c r="BG66" s="12"/>
      <c r="BH66" s="12">
        <v>0.5</v>
      </c>
      <c r="BL66" s="12"/>
      <c r="BM66" s="12">
        <v>0.5</v>
      </c>
      <c r="BN66" s="12"/>
      <c r="BO66" s="12">
        <v>0.5</v>
      </c>
      <c r="BS66" s="12"/>
      <c r="BT66" s="12">
        <v>0.5</v>
      </c>
      <c r="BU66" s="12"/>
      <c r="BV66" s="12">
        <v>0.5</v>
      </c>
      <c r="BZ66" s="12"/>
      <c r="CA66" s="12">
        <v>0.8</v>
      </c>
      <c r="CB66" s="12"/>
      <c r="CC66" s="12">
        <v>0.8</v>
      </c>
      <c r="CG66" s="12"/>
      <c r="CH66" s="12">
        <v>0.8</v>
      </c>
      <c r="CI66" s="12"/>
      <c r="CJ66" s="12">
        <v>0.8</v>
      </c>
      <c r="CN66" s="12"/>
      <c r="CO66" s="12">
        <v>0.8</v>
      </c>
      <c r="CP66" s="12"/>
      <c r="CQ66" s="12">
        <v>0.8</v>
      </c>
      <c r="CR66" s="12"/>
      <c r="CU66" s="12"/>
      <c r="CV66" s="12">
        <v>0.8</v>
      </c>
      <c r="CW66" s="12"/>
      <c r="CX66" s="12">
        <v>0.8</v>
      </c>
      <c r="DB66" s="12"/>
      <c r="DC66" s="12">
        <v>0.8</v>
      </c>
      <c r="DD66" s="12"/>
      <c r="DE66" s="12">
        <v>0.8</v>
      </c>
      <c r="DI66" s="12"/>
      <c r="DJ66" s="12">
        <v>1</v>
      </c>
      <c r="DK66" s="12"/>
      <c r="DL66" s="12">
        <v>1</v>
      </c>
      <c r="DP66" s="12"/>
      <c r="DQ66" s="12"/>
      <c r="DR66" s="12"/>
      <c r="DS66" s="12"/>
      <c r="DW66" s="12"/>
      <c r="DX66" s="12"/>
      <c r="DY66" s="12"/>
      <c r="DZ66" s="12"/>
      <c r="ED66" s="12"/>
      <c r="EE66" s="12"/>
      <c r="EF66" s="12"/>
      <c r="EG66" s="12"/>
    </row>
    <row r="67" spans="2:137" ht="15.75" customHeight="1" outlineLevel="1">
      <c r="B67" t="s">
        <v>28</v>
      </c>
      <c r="C67" t="s">
        <v>124</v>
      </c>
      <c r="E67" s="11"/>
      <c r="F67" t="s">
        <v>114</v>
      </c>
      <c r="G67" s="12">
        <v>0.05</v>
      </c>
      <c r="I67" s="11">
        <f t="shared" si="4"/>
        <v>0</v>
      </c>
      <c r="J67" s="13" cm="1">
        <f t="array" ref="J67">MAX(IF($N$3:$EI$3=$J$3,N67:EI67))</f>
        <v>0</v>
      </c>
      <c r="K67" s="13" cm="1">
        <f t="array" ref="K67">MAX(IF($N$3:$EI$3=$J$3,N67:EI67))</f>
        <v>0</v>
      </c>
      <c r="L67" s="11"/>
      <c r="O67" s="12"/>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v>0.5</v>
      </c>
      <c r="BG67" s="12"/>
      <c r="BH67" s="12">
        <v>0.5</v>
      </c>
      <c r="BL67" s="12"/>
      <c r="BM67" s="12">
        <v>0.5</v>
      </c>
      <c r="BN67" s="12"/>
      <c r="BO67" s="12">
        <v>0.5</v>
      </c>
      <c r="BS67" s="12"/>
      <c r="BT67" s="12">
        <v>0.5</v>
      </c>
      <c r="BU67" s="12"/>
      <c r="BV67" s="12">
        <v>0.5</v>
      </c>
      <c r="BZ67" s="12"/>
      <c r="CA67" s="12">
        <v>0.5</v>
      </c>
      <c r="CB67" s="12"/>
      <c r="CC67" s="12">
        <v>0.5</v>
      </c>
      <c r="CG67" s="12"/>
      <c r="CH67" s="12">
        <v>0.8</v>
      </c>
      <c r="CI67" s="12"/>
      <c r="CJ67" s="12">
        <v>0.8</v>
      </c>
      <c r="CN67" s="12"/>
      <c r="CO67" s="12">
        <v>0.8</v>
      </c>
      <c r="CP67" s="12"/>
      <c r="CQ67" s="12">
        <v>0.8</v>
      </c>
      <c r="CR67" s="12"/>
      <c r="CU67" s="12"/>
      <c r="CV67" s="12">
        <v>0.8</v>
      </c>
      <c r="CW67" s="12"/>
      <c r="CX67" s="12">
        <v>0.8</v>
      </c>
      <c r="DB67" s="12"/>
      <c r="DC67" s="12">
        <v>0.8</v>
      </c>
      <c r="DD67" s="12"/>
      <c r="DE67" s="12">
        <v>0.8</v>
      </c>
      <c r="DI67" s="12"/>
      <c r="DJ67" s="12">
        <v>1</v>
      </c>
      <c r="DK67" s="12"/>
      <c r="DL67" s="12">
        <v>1</v>
      </c>
      <c r="DP67" s="12"/>
      <c r="DQ67" s="12"/>
      <c r="DR67" s="12"/>
      <c r="DS67" s="12"/>
      <c r="DW67" s="12"/>
      <c r="DX67" s="12"/>
      <c r="DY67" s="12"/>
      <c r="DZ67" s="12"/>
      <c r="ED67" s="12"/>
      <c r="EE67" s="12"/>
      <c r="EF67" s="12"/>
      <c r="EG67" s="12"/>
    </row>
    <row r="68" spans="2:137" ht="15.75" customHeight="1" outlineLevel="1">
      <c r="B68" t="s">
        <v>28</v>
      </c>
      <c r="C68" t="s">
        <v>124</v>
      </c>
      <c r="E68" s="11"/>
      <c r="F68" t="s">
        <v>113</v>
      </c>
      <c r="G68" s="12">
        <v>0.05</v>
      </c>
      <c r="I68" s="11">
        <f t="shared" si="4"/>
        <v>0</v>
      </c>
      <c r="J68" s="13" cm="1">
        <f t="array" ref="J68">MAX(IF($N$3:$EI$3=$J$3,N68:EI68))</f>
        <v>0</v>
      </c>
      <c r="K68" s="13" cm="1">
        <f t="array" ref="K68">MAX(IF($N$3:$EI$3=$J$3,N68:EI68))</f>
        <v>0</v>
      </c>
      <c r="L68" s="11"/>
      <c r="O68" s="12"/>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v>0.5</v>
      </c>
      <c r="BN68" s="12"/>
      <c r="BO68" s="12">
        <v>0.5</v>
      </c>
      <c r="BS68" s="12"/>
      <c r="BT68" s="12">
        <v>0.5</v>
      </c>
      <c r="BU68" s="12"/>
      <c r="BV68" s="12">
        <v>0.5</v>
      </c>
      <c r="BZ68" s="12"/>
      <c r="CA68" s="12">
        <v>0.5</v>
      </c>
      <c r="CB68" s="12"/>
      <c r="CC68" s="12">
        <v>0.5</v>
      </c>
      <c r="CG68" s="12"/>
      <c r="CH68" s="12">
        <v>0.5</v>
      </c>
      <c r="CI68" s="12"/>
      <c r="CJ68" s="12">
        <v>0.5</v>
      </c>
      <c r="CN68" s="12"/>
      <c r="CO68" s="12">
        <v>0.8</v>
      </c>
      <c r="CP68" s="12"/>
      <c r="CQ68" s="12">
        <v>0.8</v>
      </c>
      <c r="CR68" s="12"/>
      <c r="CU68" s="12"/>
      <c r="CV68" s="12">
        <v>0.8</v>
      </c>
      <c r="CW68" s="12"/>
      <c r="CX68" s="12">
        <v>0.8</v>
      </c>
      <c r="DB68" s="12"/>
      <c r="DC68" s="12">
        <v>0.8</v>
      </c>
      <c r="DD68" s="12"/>
      <c r="DE68" s="12">
        <v>0.8</v>
      </c>
      <c r="DI68" s="12"/>
      <c r="DJ68" s="12">
        <v>1</v>
      </c>
      <c r="DK68" s="12"/>
      <c r="DL68" s="12">
        <v>1</v>
      </c>
      <c r="DP68" s="12"/>
      <c r="DQ68" s="12"/>
      <c r="DR68" s="12"/>
      <c r="DS68" s="12"/>
      <c r="DW68" s="12"/>
      <c r="DX68" s="12"/>
      <c r="DY68" s="12"/>
      <c r="DZ68" s="12"/>
      <c r="ED68" s="12"/>
      <c r="EE68" s="12"/>
      <c r="EF68" s="12"/>
      <c r="EG68" s="12"/>
    </row>
    <row r="69" spans="2:137" ht="15.75" customHeight="1" outlineLevel="1">
      <c r="E69" s="11"/>
      <c r="G69" s="12"/>
      <c r="I69" s="11"/>
      <c r="J69" s="13"/>
      <c r="K69" s="13"/>
      <c r="L69" s="11"/>
      <c r="O69" s="12"/>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c r="DW69" s="12"/>
      <c r="DX69" s="12"/>
      <c r="DY69" s="12"/>
      <c r="DZ69" s="12"/>
      <c r="ED69" s="12"/>
      <c r="EE69" s="12"/>
      <c r="EF69" s="12"/>
      <c r="EG69" s="12"/>
    </row>
    <row r="70" spans="2:137" ht="15.75" customHeight="1" outlineLevel="1">
      <c r="E70" s="11"/>
      <c r="G70" s="12"/>
      <c r="I70" s="11"/>
      <c r="J70" s="13"/>
      <c r="K70" s="13"/>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c r="DW70" s="12"/>
      <c r="DX70" s="12"/>
      <c r="DY70" s="12"/>
      <c r="DZ70" s="12"/>
      <c r="ED70" s="12"/>
      <c r="EE70" s="12"/>
      <c r="EF70" s="12"/>
      <c r="EG70" s="12"/>
    </row>
    <row r="71" spans="2:137">
      <c r="B71" t="s">
        <v>27</v>
      </c>
      <c r="C71" t="s">
        <v>125</v>
      </c>
      <c r="D71" s="22">
        <v>46006</v>
      </c>
      <c r="E71" s="11">
        <v>8</v>
      </c>
      <c r="G71" s="12">
        <f>+SUM(G72:G82)</f>
        <v>0.99999999999999989</v>
      </c>
      <c r="I71" s="14">
        <f>+SUM(I72:I77)</f>
        <v>0.8</v>
      </c>
      <c r="J71" s="13">
        <f>+SUMPRODUCT(G72:G82,J72:J82)</f>
        <v>0</v>
      </c>
      <c r="K71" s="13">
        <f>+SUMPRODUCT(G72:G82,K72:K82)</f>
        <v>0</v>
      </c>
      <c r="L71" s="11"/>
      <c r="N71" s="14">
        <f>+SUM(N72:N77)</f>
        <v>0.8</v>
      </c>
      <c r="U71" s="14"/>
      <c r="AB71" s="14"/>
      <c r="AI71" s="14"/>
      <c r="AP71" s="14"/>
    </row>
    <row r="72" spans="2:137" outlineLevel="1">
      <c r="B72" t="s">
        <v>28</v>
      </c>
      <c r="C72" t="s">
        <v>125</v>
      </c>
      <c r="E72" s="11"/>
      <c r="F72" t="s">
        <v>127</v>
      </c>
      <c r="G72" s="12">
        <v>0.05</v>
      </c>
      <c r="I72" s="11">
        <f t="shared" si="4"/>
        <v>0.8</v>
      </c>
      <c r="J72" s="13" cm="1">
        <f t="array" ref="J72">MAX(IF($N$3:$EI$3=$J$3,N72:EI72))</f>
        <v>0</v>
      </c>
      <c r="K72" s="13" cm="1">
        <f t="array" ref="K72">MAX(IF($N$3:$EI$3=$J$3,N72:EI72))</f>
        <v>0</v>
      </c>
      <c r="L72" s="11"/>
      <c r="N72">
        <v>0.8</v>
      </c>
      <c r="O72" s="12"/>
      <c r="P72" s="12">
        <v>0.5</v>
      </c>
      <c r="Q72" s="12"/>
      <c r="R72" s="12">
        <v>0.5</v>
      </c>
      <c r="V72" s="12"/>
      <c r="W72" s="12"/>
      <c r="X72" s="12"/>
      <c r="Y72" s="12"/>
      <c r="AC72" s="12"/>
      <c r="AD72" s="12">
        <v>0.5</v>
      </c>
      <c r="AE72" s="12"/>
      <c r="AF72" s="12">
        <v>0.5</v>
      </c>
      <c r="AJ72" s="12"/>
      <c r="AK72" s="12">
        <v>0.8</v>
      </c>
      <c r="AL72" s="12"/>
      <c r="AM72" s="12">
        <v>0.8</v>
      </c>
      <c r="AQ72" s="12"/>
      <c r="AR72" s="12">
        <v>0.8</v>
      </c>
      <c r="AS72" s="12"/>
      <c r="AT72" s="12">
        <v>0.8</v>
      </c>
      <c r="AX72" s="12"/>
      <c r="AY72" s="12">
        <v>0.8</v>
      </c>
      <c r="AZ72" s="12"/>
      <c r="BA72" s="12">
        <v>0.8</v>
      </c>
      <c r="BE72" s="12"/>
      <c r="BF72" s="12">
        <v>0.8</v>
      </c>
      <c r="BG72" s="12"/>
      <c r="BH72" s="12">
        <v>0.8</v>
      </c>
      <c r="BL72" s="12"/>
      <c r="BM72" s="12">
        <v>0.8</v>
      </c>
      <c r="BN72" s="12"/>
      <c r="BO72" s="12">
        <v>0.8</v>
      </c>
      <c r="BS72" s="12"/>
      <c r="BT72" s="12">
        <v>1</v>
      </c>
      <c r="BU72" s="12"/>
      <c r="BV72" s="12">
        <v>1</v>
      </c>
      <c r="BZ72" s="12"/>
      <c r="CA72" s="12">
        <v>1</v>
      </c>
      <c r="CB72" s="12"/>
      <c r="CC72" s="12">
        <v>1</v>
      </c>
      <c r="CG72" s="12"/>
      <c r="CH72" s="12">
        <v>1</v>
      </c>
      <c r="CI72" s="12"/>
      <c r="CJ72" s="12">
        <v>1</v>
      </c>
      <c r="CN72" s="12"/>
      <c r="CO72" s="12">
        <v>1</v>
      </c>
      <c r="CP72" s="12"/>
      <c r="CQ72" s="12">
        <v>1</v>
      </c>
      <c r="CU72" s="12"/>
      <c r="CV72" s="12">
        <v>1</v>
      </c>
      <c r="CW72" s="12"/>
      <c r="CX72" s="12">
        <v>1</v>
      </c>
      <c r="DB72" s="12"/>
      <c r="DC72" s="12">
        <v>1</v>
      </c>
      <c r="DD72" s="12"/>
      <c r="DE72" s="12">
        <v>1</v>
      </c>
      <c r="DI72" s="12"/>
      <c r="DJ72" s="12">
        <v>1</v>
      </c>
      <c r="DK72" s="12"/>
      <c r="DL72" s="12">
        <v>1</v>
      </c>
      <c r="DP72" s="12"/>
      <c r="DQ72" s="12"/>
      <c r="DR72" s="12"/>
      <c r="DS72" s="12"/>
      <c r="DW72" s="12"/>
      <c r="DX72" s="12"/>
      <c r="DY72" s="12"/>
      <c r="DZ72" s="12"/>
      <c r="ED72" s="12"/>
      <c r="EE72" s="12"/>
      <c r="EF72" s="12"/>
      <c r="EG72" s="12"/>
    </row>
    <row r="73" spans="2:137" ht="15.75" customHeight="1" outlineLevel="1">
      <c r="B73" t="s">
        <v>28</v>
      </c>
      <c r="C73" t="s">
        <v>125</v>
      </c>
      <c r="E73" s="11"/>
      <c r="F73" t="s">
        <v>128</v>
      </c>
      <c r="G73" s="12">
        <v>0.1</v>
      </c>
      <c r="I73" s="11">
        <f t="shared" si="4"/>
        <v>0</v>
      </c>
      <c r="J73" s="13" cm="1">
        <f t="array" ref="J73">MAX(IF($N$3:$EI$3=$J$3,N73:EI73))</f>
        <v>0</v>
      </c>
      <c r="K73" s="13" cm="1">
        <f t="array" ref="K73">MAX(IF($N$3:$EI$3=$J$3,N73:EI73))</f>
        <v>0</v>
      </c>
      <c r="L73" s="11"/>
      <c r="O73" s="12"/>
      <c r="P73" s="12"/>
      <c r="Q73" s="12"/>
      <c r="R73" s="12"/>
      <c r="V73" s="12"/>
      <c r="W73" s="12"/>
      <c r="X73" s="12"/>
      <c r="Y73" s="12"/>
      <c r="AC73" s="12"/>
      <c r="AD73" s="12">
        <v>0.5</v>
      </c>
      <c r="AE73" s="12"/>
      <c r="AF73" s="12">
        <v>0.5</v>
      </c>
      <c r="AJ73" s="12"/>
      <c r="AK73" s="12">
        <v>0.5</v>
      </c>
      <c r="AL73" s="12"/>
      <c r="AM73" s="12">
        <v>0.5</v>
      </c>
      <c r="AQ73" s="12"/>
      <c r="AR73" s="12">
        <v>0.8</v>
      </c>
      <c r="AS73" s="12"/>
      <c r="AT73" s="12">
        <v>0.8</v>
      </c>
      <c r="AX73" s="12"/>
      <c r="AY73" s="12">
        <v>0.8</v>
      </c>
      <c r="AZ73" s="12"/>
      <c r="BA73" s="12">
        <v>0.8</v>
      </c>
      <c r="BE73" s="12"/>
      <c r="BF73" s="12">
        <v>0.8</v>
      </c>
      <c r="BG73" s="12"/>
      <c r="BH73" s="12">
        <v>0.8</v>
      </c>
      <c r="BL73" s="12"/>
      <c r="BM73" s="12">
        <v>0.8</v>
      </c>
      <c r="BN73" s="12"/>
      <c r="BO73" s="12">
        <v>0.8</v>
      </c>
      <c r="BS73" s="12"/>
      <c r="BT73" s="12">
        <v>0.8</v>
      </c>
      <c r="BU73" s="12"/>
      <c r="BV73" s="12">
        <v>0.8</v>
      </c>
      <c r="BZ73" s="12"/>
      <c r="CA73" s="12">
        <v>1</v>
      </c>
      <c r="CB73" s="12"/>
      <c r="CC73" s="12">
        <v>1</v>
      </c>
      <c r="CG73" s="12"/>
      <c r="CH73" s="12">
        <v>1</v>
      </c>
      <c r="CI73" s="12"/>
      <c r="CJ73" s="12">
        <v>1</v>
      </c>
      <c r="CN73" s="12"/>
      <c r="CO73" s="12">
        <v>1</v>
      </c>
      <c r="CP73" s="12"/>
      <c r="CQ73" s="12">
        <v>1</v>
      </c>
      <c r="CU73" s="12"/>
      <c r="CV73" s="12">
        <v>1</v>
      </c>
      <c r="CW73" s="12"/>
      <c r="CX73" s="12">
        <v>1</v>
      </c>
      <c r="DB73" s="12"/>
      <c r="DC73" s="12">
        <v>1</v>
      </c>
      <c r="DD73" s="12"/>
      <c r="DE73" s="12">
        <v>1</v>
      </c>
      <c r="DI73" s="12"/>
      <c r="DJ73" s="12">
        <v>1</v>
      </c>
      <c r="DK73" s="12"/>
      <c r="DL73" s="12">
        <v>1</v>
      </c>
      <c r="DP73" s="12"/>
      <c r="DQ73" s="12"/>
      <c r="DR73" s="12"/>
      <c r="DS73" s="12"/>
      <c r="DW73" s="12"/>
      <c r="DX73" s="12"/>
      <c r="DY73" s="12"/>
      <c r="DZ73" s="12"/>
      <c r="ED73" s="12"/>
      <c r="EE73" s="12"/>
      <c r="EF73" s="12"/>
      <c r="EG73" s="12"/>
    </row>
    <row r="74" spans="2:137" ht="15.75" customHeight="1" outlineLevel="1">
      <c r="B74" t="s">
        <v>28</v>
      </c>
      <c r="C74" t="s">
        <v>125</v>
      </c>
      <c r="E74" s="11"/>
      <c r="F74" t="s">
        <v>129</v>
      </c>
      <c r="G74" s="12">
        <v>0.1</v>
      </c>
      <c r="I74" s="11">
        <f t="shared" si="4"/>
        <v>0</v>
      </c>
      <c r="J74" s="13" cm="1">
        <f t="array" ref="J74">MAX(IF($N$3:$EI$3=$J$3,N74:EI74))</f>
        <v>0</v>
      </c>
      <c r="K74" s="13" cm="1">
        <f t="array" ref="K74">MAX(IF($N$3:$EI$3=$J$3,N74:EI74))</f>
        <v>0</v>
      </c>
      <c r="L74" s="11"/>
      <c r="O74" s="12"/>
      <c r="P74" s="12"/>
      <c r="Q74" s="12"/>
      <c r="R74" s="12"/>
      <c r="V74" s="12"/>
      <c r="W74" s="12"/>
      <c r="X74" s="12"/>
      <c r="Y74" s="12"/>
      <c r="AC74" s="12"/>
      <c r="AD74" s="12">
        <v>0.5</v>
      </c>
      <c r="AE74" s="12"/>
      <c r="AF74" s="12">
        <v>0.5</v>
      </c>
      <c r="AJ74" s="12"/>
      <c r="AK74" s="12">
        <v>0.5</v>
      </c>
      <c r="AL74" s="12"/>
      <c r="AM74" s="12">
        <v>0.5</v>
      </c>
      <c r="AQ74" s="12"/>
      <c r="AR74" s="12">
        <v>0.8</v>
      </c>
      <c r="AS74" s="12"/>
      <c r="AT74" s="12">
        <v>0.8</v>
      </c>
      <c r="AX74" s="12"/>
      <c r="AY74" s="12">
        <v>0.8</v>
      </c>
      <c r="AZ74" s="12"/>
      <c r="BA74" s="12">
        <v>0.8</v>
      </c>
      <c r="BE74" s="12"/>
      <c r="BF74" s="12">
        <v>0.8</v>
      </c>
      <c r="BG74" s="12"/>
      <c r="BH74" s="12">
        <v>0.8</v>
      </c>
      <c r="BL74" s="12"/>
      <c r="BM74" s="12">
        <v>0.8</v>
      </c>
      <c r="BN74" s="12"/>
      <c r="BO74" s="12">
        <v>0.8</v>
      </c>
      <c r="BS74" s="12"/>
      <c r="BT74" s="12">
        <v>0.8</v>
      </c>
      <c r="BU74" s="12"/>
      <c r="BV74" s="12">
        <v>0.8</v>
      </c>
      <c r="BZ74" s="12"/>
      <c r="CA74" s="12">
        <v>0.8</v>
      </c>
      <c r="CB74" s="12"/>
      <c r="CC74" s="12">
        <v>0.8</v>
      </c>
      <c r="CG74" s="12"/>
      <c r="CH74" s="12">
        <v>1</v>
      </c>
      <c r="CI74" s="12"/>
      <c r="CJ74" s="12">
        <v>1</v>
      </c>
      <c r="CN74" s="12"/>
      <c r="CO74" s="12">
        <v>1</v>
      </c>
      <c r="CP74" s="12"/>
      <c r="CQ74" s="12">
        <v>1</v>
      </c>
      <c r="CU74" s="12"/>
      <c r="CV74" s="12">
        <v>1</v>
      </c>
      <c r="CW74" s="12"/>
      <c r="CX74" s="12">
        <v>1</v>
      </c>
      <c r="DB74" s="12"/>
      <c r="DC74" s="12">
        <v>1</v>
      </c>
      <c r="DD74" s="12"/>
      <c r="DE74" s="12">
        <v>1</v>
      </c>
      <c r="DI74" s="12"/>
      <c r="DJ74" s="12">
        <v>1</v>
      </c>
      <c r="DK74" s="12"/>
      <c r="DL74" s="12">
        <v>1</v>
      </c>
      <c r="DP74" s="12"/>
      <c r="DQ74" s="12"/>
      <c r="DR74" s="12"/>
      <c r="DS74" s="12"/>
      <c r="DW74" s="12"/>
      <c r="DX74" s="12"/>
      <c r="DY74" s="12"/>
      <c r="DZ74" s="12"/>
      <c r="ED74" s="12"/>
      <c r="EE74" s="12"/>
      <c r="EF74" s="12"/>
      <c r="EG74" s="12"/>
    </row>
    <row r="75" spans="2:137" ht="15.75" customHeight="1" outlineLevel="1">
      <c r="B75" t="s">
        <v>28</v>
      </c>
      <c r="C75" t="s">
        <v>125</v>
      </c>
      <c r="E75" s="11"/>
      <c r="F75" t="s">
        <v>130</v>
      </c>
      <c r="G75" s="12">
        <v>0.1</v>
      </c>
      <c r="I75" s="11">
        <f t="shared" si="4"/>
        <v>0</v>
      </c>
      <c r="J75" s="13" cm="1">
        <f t="array" ref="J75">MAX(IF($N$3:$EI$3=$J$3,N75:EI75))</f>
        <v>0</v>
      </c>
      <c r="K75" s="13" cm="1">
        <f t="array" ref="K75">MAX(IF($N$3:$EI$3=$J$3,N75:EI75))</f>
        <v>0</v>
      </c>
      <c r="L75" s="11"/>
      <c r="O75" s="12"/>
      <c r="P75" s="12"/>
      <c r="Q75" s="12"/>
      <c r="R75" s="12"/>
      <c r="V75" s="12"/>
      <c r="W75" s="12"/>
      <c r="X75" s="12"/>
      <c r="Y75" s="12"/>
      <c r="AC75" s="12"/>
      <c r="AD75" s="12"/>
      <c r="AE75" s="12"/>
      <c r="AF75" s="12"/>
      <c r="AJ75" s="12"/>
      <c r="AK75" s="12">
        <v>0.5</v>
      </c>
      <c r="AL75" s="12"/>
      <c r="AM75" s="12">
        <v>0.5</v>
      </c>
      <c r="AQ75" s="12"/>
      <c r="AR75" s="12">
        <v>0.5</v>
      </c>
      <c r="AS75" s="12"/>
      <c r="AT75" s="12">
        <v>0.5</v>
      </c>
      <c r="AX75" s="12"/>
      <c r="AY75" s="12">
        <v>0.8</v>
      </c>
      <c r="AZ75" s="12"/>
      <c r="BA75" s="12">
        <v>0.8</v>
      </c>
      <c r="BE75" s="12"/>
      <c r="BF75" s="12">
        <v>0.8</v>
      </c>
      <c r="BG75" s="12"/>
      <c r="BH75" s="12">
        <v>0.8</v>
      </c>
      <c r="BL75" s="12"/>
      <c r="BM75" s="12">
        <v>0.8</v>
      </c>
      <c r="BN75" s="12"/>
      <c r="BO75" s="12">
        <v>0.8</v>
      </c>
      <c r="BS75" s="12"/>
      <c r="BT75" s="12">
        <v>0.8</v>
      </c>
      <c r="BU75" s="12"/>
      <c r="BV75" s="12">
        <v>0.8</v>
      </c>
      <c r="BZ75" s="12"/>
      <c r="CA75" s="12">
        <v>0.8</v>
      </c>
      <c r="CB75" s="12"/>
      <c r="CC75" s="12">
        <v>0.8</v>
      </c>
      <c r="CG75" s="12"/>
      <c r="CH75" s="12">
        <v>0.8</v>
      </c>
      <c r="CI75" s="12"/>
      <c r="CJ75" s="12">
        <v>0.8</v>
      </c>
      <c r="CN75" s="12"/>
      <c r="CO75" s="12">
        <v>1</v>
      </c>
      <c r="CP75" s="12"/>
      <c r="CQ75" s="12">
        <v>1</v>
      </c>
      <c r="CU75" s="12"/>
      <c r="CV75" s="12">
        <v>1</v>
      </c>
      <c r="CW75" s="12"/>
      <c r="CX75" s="12">
        <v>1</v>
      </c>
      <c r="DB75" s="12"/>
      <c r="DC75" s="12">
        <v>1</v>
      </c>
      <c r="DD75" s="12"/>
      <c r="DE75" s="12">
        <v>1</v>
      </c>
      <c r="DI75" s="12"/>
      <c r="DJ75" s="12">
        <v>1</v>
      </c>
      <c r="DK75" s="12"/>
      <c r="DL75" s="12">
        <v>1</v>
      </c>
      <c r="DP75" s="12"/>
      <c r="DQ75" s="12"/>
      <c r="DR75" s="12"/>
      <c r="DS75" s="12"/>
      <c r="DW75" s="12"/>
      <c r="DX75" s="12"/>
      <c r="DY75" s="12"/>
      <c r="DZ75" s="12"/>
      <c r="ED75" s="12"/>
      <c r="EE75" s="12"/>
      <c r="EF75" s="12"/>
      <c r="EG75" s="12"/>
    </row>
    <row r="76" spans="2:137" ht="15.75" customHeight="1" outlineLevel="1">
      <c r="B76" t="s">
        <v>28</v>
      </c>
      <c r="C76" t="s">
        <v>125</v>
      </c>
      <c r="E76" s="11"/>
      <c r="F76" t="s">
        <v>131</v>
      </c>
      <c r="G76" s="12">
        <v>0.1</v>
      </c>
      <c r="I76" s="11">
        <f t="shared" si="4"/>
        <v>0</v>
      </c>
      <c r="J76" s="13" cm="1">
        <f t="array" ref="J76">MAX(IF($N$3:$EI$3=$J$3,N76:EI76))</f>
        <v>0</v>
      </c>
      <c r="K76" s="13" cm="1">
        <f t="array" ref="K76">MAX(IF($N$3:$EI$3=$J$3,N76:EI76))</f>
        <v>0</v>
      </c>
      <c r="L76" s="11"/>
      <c r="O76" s="12"/>
      <c r="P76" s="12"/>
      <c r="Q76" s="12"/>
      <c r="R76" s="12"/>
      <c r="V76" s="12"/>
      <c r="W76" s="12"/>
      <c r="X76" s="12"/>
      <c r="Y76" s="12"/>
      <c r="AC76" s="12"/>
      <c r="AD76" s="12"/>
      <c r="AE76" s="12"/>
      <c r="AF76" s="12"/>
      <c r="AJ76" s="12"/>
      <c r="AK76" s="12">
        <v>0.5</v>
      </c>
      <c r="AL76" s="12"/>
      <c r="AM76" s="12">
        <v>0.5</v>
      </c>
      <c r="AQ76" s="12"/>
      <c r="AR76" s="12">
        <v>0.5</v>
      </c>
      <c r="AS76" s="12"/>
      <c r="AT76" s="12">
        <v>0.5</v>
      </c>
      <c r="AX76" s="12"/>
      <c r="AY76" s="12">
        <v>0.5</v>
      </c>
      <c r="AZ76" s="12"/>
      <c r="BA76" s="12">
        <v>0.5</v>
      </c>
      <c r="BE76" s="12"/>
      <c r="BF76" s="12">
        <v>0.8</v>
      </c>
      <c r="BG76" s="12"/>
      <c r="BH76" s="12">
        <v>0.8</v>
      </c>
      <c r="BL76" s="12"/>
      <c r="BM76" s="12">
        <v>0.8</v>
      </c>
      <c r="BN76" s="12"/>
      <c r="BO76" s="12">
        <v>0.8</v>
      </c>
      <c r="BS76" s="12"/>
      <c r="BT76" s="12">
        <v>0.8</v>
      </c>
      <c r="BU76" s="12"/>
      <c r="BV76" s="12">
        <v>0.8</v>
      </c>
      <c r="BZ76" s="12"/>
      <c r="CA76" s="12">
        <v>0.8</v>
      </c>
      <c r="CB76" s="12"/>
      <c r="CC76" s="12">
        <v>0.8</v>
      </c>
      <c r="CG76" s="12"/>
      <c r="CH76" s="12">
        <v>0.8</v>
      </c>
      <c r="CI76" s="12"/>
      <c r="CJ76" s="12">
        <v>0.8</v>
      </c>
      <c r="CN76" s="12"/>
      <c r="CO76" s="12">
        <v>0.8</v>
      </c>
      <c r="CP76" s="12"/>
      <c r="CQ76" s="12">
        <v>0.8</v>
      </c>
      <c r="CU76" s="12"/>
      <c r="CV76" s="12">
        <v>1</v>
      </c>
      <c r="CW76" s="12"/>
      <c r="CX76" s="12">
        <v>1</v>
      </c>
      <c r="DB76" s="12"/>
      <c r="DC76" s="12">
        <v>1</v>
      </c>
      <c r="DD76" s="12"/>
      <c r="DE76" s="12">
        <v>1</v>
      </c>
      <c r="DI76" s="12"/>
      <c r="DJ76" s="12">
        <v>1</v>
      </c>
      <c r="DK76" s="12"/>
      <c r="DL76" s="12">
        <v>1</v>
      </c>
      <c r="DP76" s="12"/>
      <c r="DQ76" s="12"/>
      <c r="DR76" s="12"/>
      <c r="DS76" s="12"/>
      <c r="DW76" s="12"/>
      <c r="DX76" s="12"/>
      <c r="DY76" s="12"/>
      <c r="DZ76" s="12"/>
      <c r="ED76" s="12"/>
      <c r="EE76" s="12"/>
      <c r="EF76" s="12"/>
      <c r="EG76" s="12"/>
    </row>
    <row r="77" spans="2:137" ht="15.75" customHeight="1" outlineLevel="1">
      <c r="B77" t="s">
        <v>28</v>
      </c>
      <c r="C77" t="s">
        <v>125</v>
      </c>
      <c r="E77" s="11"/>
      <c r="F77" t="s">
        <v>132</v>
      </c>
      <c r="G77" s="12">
        <v>0.1</v>
      </c>
      <c r="I77" s="11">
        <f t="shared" si="4"/>
        <v>0</v>
      </c>
      <c r="J77" s="13" cm="1">
        <f t="array" ref="J77">MAX(IF($N$3:$EI$3=$J$3,N77:EI77))</f>
        <v>0</v>
      </c>
      <c r="K77" s="13" cm="1">
        <f t="array" ref="K77">MAX(IF($N$3:$EI$3=$J$3,N77:EI77))</f>
        <v>0</v>
      </c>
      <c r="L77" s="11"/>
      <c r="O77" s="12"/>
      <c r="P77" s="12"/>
      <c r="Q77" s="12"/>
      <c r="R77" s="12"/>
      <c r="V77" s="12"/>
      <c r="W77" s="12"/>
      <c r="X77" s="12"/>
      <c r="Y77" s="12"/>
      <c r="AC77" s="12"/>
      <c r="AD77" s="12"/>
      <c r="AE77" s="12"/>
      <c r="AF77" s="12"/>
      <c r="AJ77" s="12"/>
      <c r="AK77" s="12"/>
      <c r="AL77" s="12"/>
      <c r="AM77" s="12"/>
      <c r="AQ77" s="12"/>
      <c r="AR77" s="12">
        <v>0.5</v>
      </c>
      <c r="AS77" s="12"/>
      <c r="AT77" s="12">
        <v>0.5</v>
      </c>
      <c r="AX77" s="12"/>
      <c r="AY77" s="12">
        <v>0.5</v>
      </c>
      <c r="AZ77" s="12"/>
      <c r="BA77" s="12">
        <v>0.5</v>
      </c>
      <c r="BE77" s="12"/>
      <c r="BF77" s="12">
        <v>0.5</v>
      </c>
      <c r="BG77" s="12"/>
      <c r="BH77" s="12">
        <v>0.5</v>
      </c>
      <c r="BL77" s="12"/>
      <c r="BM77" s="12">
        <v>0.8</v>
      </c>
      <c r="BN77" s="12"/>
      <c r="BO77" s="12">
        <v>0.8</v>
      </c>
      <c r="BS77" s="12"/>
      <c r="BT77" s="12">
        <v>0.8</v>
      </c>
      <c r="BU77" s="12"/>
      <c r="BV77" s="12">
        <v>0.8</v>
      </c>
      <c r="BZ77" s="12"/>
      <c r="CA77" s="12">
        <v>0.8</v>
      </c>
      <c r="CB77" s="12"/>
      <c r="CC77" s="12">
        <v>0.8</v>
      </c>
      <c r="CG77" s="12"/>
      <c r="CH77" s="12">
        <v>0.8</v>
      </c>
      <c r="CI77" s="12"/>
      <c r="CJ77" s="12">
        <v>0.8</v>
      </c>
      <c r="CN77" s="12"/>
      <c r="CO77" s="12">
        <v>0.8</v>
      </c>
      <c r="CP77" s="12"/>
      <c r="CQ77" s="12">
        <v>0.8</v>
      </c>
      <c r="CU77" s="12"/>
      <c r="CV77" s="12">
        <v>0.8</v>
      </c>
      <c r="CW77" s="12"/>
      <c r="CX77" s="12">
        <v>0.8</v>
      </c>
      <c r="DB77" s="12"/>
      <c r="DC77" s="12">
        <v>1</v>
      </c>
      <c r="DD77" s="12"/>
      <c r="DE77" s="12">
        <v>1</v>
      </c>
      <c r="DI77" s="12"/>
      <c r="DJ77" s="12">
        <v>1</v>
      </c>
      <c r="DK77" s="12"/>
      <c r="DL77" s="12">
        <v>1</v>
      </c>
      <c r="DP77" s="12"/>
      <c r="DQ77" s="12"/>
      <c r="DR77" s="12"/>
      <c r="DS77" s="12"/>
      <c r="DW77" s="12"/>
      <c r="DX77" s="12"/>
      <c r="DY77" s="12"/>
      <c r="DZ77" s="12"/>
      <c r="ED77" s="12"/>
      <c r="EE77" s="12"/>
      <c r="EF77" s="12"/>
      <c r="EG77" s="12"/>
    </row>
    <row r="78" spans="2:137" ht="15.75" customHeight="1" outlineLevel="1">
      <c r="B78" t="s">
        <v>28</v>
      </c>
      <c r="C78" t="s">
        <v>125</v>
      </c>
      <c r="E78" s="11"/>
      <c r="F78" t="s">
        <v>133</v>
      </c>
      <c r="G78" s="12">
        <v>0.05</v>
      </c>
      <c r="I78" s="11">
        <f t="shared" si="4"/>
        <v>0</v>
      </c>
      <c r="J78" s="13" cm="1">
        <f t="array" ref="J78">MAX(IF($N$3:$EI$3=$J$3,N78:EI78))</f>
        <v>0</v>
      </c>
      <c r="K78" s="13" cm="1">
        <f t="array" ref="K78">MAX(IF($N$3:$EI$3=$J$3,N78:EI78))</f>
        <v>0</v>
      </c>
      <c r="L78" s="11"/>
      <c r="O78" s="12"/>
      <c r="P78" s="12"/>
      <c r="Q78" s="12"/>
      <c r="R78" s="12"/>
      <c r="V78" s="12"/>
      <c r="W78" s="12"/>
      <c r="X78" s="12"/>
      <c r="Y78" s="12"/>
      <c r="AC78" s="12"/>
      <c r="AD78" s="12"/>
      <c r="AE78" s="12"/>
      <c r="AF78" s="12"/>
      <c r="AJ78" s="12"/>
      <c r="AK78" s="12"/>
      <c r="AL78" s="12"/>
      <c r="AM78" s="12"/>
      <c r="AQ78" s="12"/>
      <c r="AR78" s="12"/>
      <c r="AS78" s="12"/>
      <c r="AT78" s="12"/>
      <c r="AX78" s="12"/>
      <c r="AY78" s="12">
        <v>0.5</v>
      </c>
      <c r="AZ78" s="12"/>
      <c r="BA78" s="12">
        <v>0.5</v>
      </c>
      <c r="BE78" s="12"/>
      <c r="BF78" s="12">
        <v>0.5</v>
      </c>
      <c r="BG78" s="12"/>
      <c r="BH78" s="12">
        <v>0.5</v>
      </c>
      <c r="BL78" s="12"/>
      <c r="BM78" s="12">
        <v>0.5</v>
      </c>
      <c r="BN78" s="12"/>
      <c r="BO78" s="12">
        <v>0.5</v>
      </c>
      <c r="BS78" s="12"/>
      <c r="BT78" s="12">
        <v>0.8</v>
      </c>
      <c r="BU78" s="12"/>
      <c r="BV78" s="12">
        <v>0.8</v>
      </c>
      <c r="BZ78" s="12"/>
      <c r="CA78" s="12">
        <v>0.8</v>
      </c>
      <c r="CB78" s="12"/>
      <c r="CC78" s="12">
        <v>0.8</v>
      </c>
      <c r="CG78" s="12"/>
      <c r="CH78" s="12">
        <v>0.8</v>
      </c>
      <c r="CI78" s="12"/>
      <c r="CJ78" s="12">
        <v>0.8</v>
      </c>
      <c r="CN78" s="12"/>
      <c r="CO78" s="12">
        <v>0.8</v>
      </c>
      <c r="CP78" s="12"/>
      <c r="CQ78" s="12">
        <v>0.8</v>
      </c>
      <c r="CU78" s="12"/>
      <c r="CV78" s="12">
        <v>0.8</v>
      </c>
      <c r="CW78" s="12"/>
      <c r="CX78" s="12">
        <v>0.8</v>
      </c>
      <c r="DB78" s="12"/>
      <c r="DC78" s="12">
        <v>1</v>
      </c>
      <c r="DD78" s="12"/>
      <c r="DE78" s="12">
        <v>1</v>
      </c>
      <c r="DI78" s="12"/>
      <c r="DJ78" s="12">
        <v>1</v>
      </c>
      <c r="DK78" s="12"/>
      <c r="DL78" s="12">
        <v>1</v>
      </c>
      <c r="DP78" s="12"/>
      <c r="DQ78" s="12"/>
      <c r="DR78" s="12"/>
      <c r="DS78" s="12"/>
      <c r="DW78" s="12"/>
      <c r="DX78" s="12"/>
      <c r="DY78" s="12"/>
      <c r="DZ78" s="12"/>
      <c r="ED78" s="12"/>
      <c r="EE78" s="12"/>
      <c r="EF78" s="12"/>
      <c r="EG78" s="12"/>
    </row>
    <row r="79" spans="2:137" ht="15.75" customHeight="1" outlineLevel="1">
      <c r="B79" t="s">
        <v>28</v>
      </c>
      <c r="C79" t="s">
        <v>125</v>
      </c>
      <c r="E79" s="11"/>
      <c r="F79" t="s">
        <v>134</v>
      </c>
      <c r="G79" s="12">
        <v>0.1</v>
      </c>
      <c r="I79" s="11">
        <f t="shared" si="4"/>
        <v>0</v>
      </c>
      <c r="J79" s="13" cm="1">
        <f t="array" ref="J79">MAX(IF($N$3:$EI$3=$J$3,N79:EI79))</f>
        <v>0</v>
      </c>
      <c r="K79" s="13" cm="1">
        <f t="array" ref="K79">MAX(IF($N$3:$EI$3=$J$3,N79:EI79))</f>
        <v>0</v>
      </c>
      <c r="L79" s="11"/>
      <c r="O79" s="12"/>
      <c r="P79" s="12"/>
      <c r="Q79" s="12"/>
      <c r="R79" s="12"/>
      <c r="V79" s="12"/>
      <c r="W79" s="12"/>
      <c r="X79" s="12"/>
      <c r="Y79" s="12"/>
      <c r="AC79" s="12"/>
      <c r="AD79" s="12"/>
      <c r="AE79" s="12"/>
      <c r="AF79" s="12"/>
      <c r="AJ79" s="12"/>
      <c r="AK79" s="12"/>
      <c r="AL79" s="12"/>
      <c r="AM79" s="12"/>
      <c r="AQ79" s="12"/>
      <c r="AR79" s="12"/>
      <c r="AS79" s="12"/>
      <c r="AT79" s="12"/>
      <c r="AX79" s="12"/>
      <c r="AY79" s="12">
        <v>0.5</v>
      </c>
      <c r="AZ79" s="12"/>
      <c r="BA79" s="12">
        <v>0.5</v>
      </c>
      <c r="BE79" s="12"/>
      <c r="BF79" s="12">
        <v>0.5</v>
      </c>
      <c r="BG79" s="12"/>
      <c r="BH79" s="12">
        <v>0.5</v>
      </c>
      <c r="BL79" s="12"/>
      <c r="BM79" s="12">
        <v>0.5</v>
      </c>
      <c r="BN79" s="12"/>
      <c r="BO79" s="12">
        <v>0.5</v>
      </c>
      <c r="BS79" s="12"/>
      <c r="BT79" s="12">
        <v>0.5</v>
      </c>
      <c r="BU79" s="12"/>
      <c r="BV79" s="12">
        <v>0.5</v>
      </c>
      <c r="BZ79" s="12"/>
      <c r="CA79" s="12">
        <v>0.8</v>
      </c>
      <c r="CB79" s="12"/>
      <c r="CC79" s="12">
        <v>0.8</v>
      </c>
      <c r="CG79" s="12"/>
      <c r="CH79" s="12">
        <v>0.8</v>
      </c>
      <c r="CI79" s="12"/>
      <c r="CJ79" s="12">
        <v>0.8</v>
      </c>
      <c r="CN79" s="12"/>
      <c r="CO79" s="12">
        <v>0.8</v>
      </c>
      <c r="CP79" s="12"/>
      <c r="CQ79" s="12">
        <v>0.8</v>
      </c>
      <c r="CU79" s="12"/>
      <c r="CV79" s="12">
        <v>0.8</v>
      </c>
      <c r="CW79" s="12"/>
      <c r="CX79" s="12">
        <v>0.8</v>
      </c>
      <c r="DB79" s="12"/>
      <c r="DC79" s="12">
        <v>1</v>
      </c>
      <c r="DD79" s="12"/>
      <c r="DE79" s="12">
        <v>1</v>
      </c>
      <c r="DI79" s="12"/>
      <c r="DJ79" s="12">
        <v>1</v>
      </c>
      <c r="DK79" s="12"/>
      <c r="DL79" s="12">
        <v>1</v>
      </c>
      <c r="DP79" s="12"/>
      <c r="DQ79" s="12"/>
      <c r="DR79" s="12"/>
      <c r="DS79" s="12"/>
      <c r="DW79" s="12"/>
      <c r="DX79" s="12"/>
      <c r="DY79" s="12"/>
      <c r="DZ79" s="12"/>
      <c r="ED79" s="12"/>
      <c r="EE79" s="12"/>
      <c r="EF79" s="12"/>
      <c r="EG79" s="12"/>
    </row>
    <row r="80" spans="2:137" ht="15.75" customHeight="1" outlineLevel="1">
      <c r="B80" t="s">
        <v>28</v>
      </c>
      <c r="C80" t="s">
        <v>125</v>
      </c>
      <c r="E80" s="11"/>
      <c r="F80" t="s">
        <v>135</v>
      </c>
      <c r="G80" s="12">
        <v>0.1</v>
      </c>
      <c r="I80" s="11">
        <f t="shared" si="4"/>
        <v>0</v>
      </c>
      <c r="J80" s="13" cm="1">
        <f t="array" ref="J80">MAX(IF($N$3:$EI$3=$J$3,N80:EI80))</f>
        <v>0</v>
      </c>
      <c r="K80" s="13" cm="1">
        <f t="array" ref="K80">MAX(IF($N$3:$EI$3=$J$3,N80:EI80))</f>
        <v>0</v>
      </c>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v>0.5</v>
      </c>
      <c r="BG80" s="12"/>
      <c r="BH80" s="12">
        <v>0.5</v>
      </c>
      <c r="BL80" s="12"/>
      <c r="BM80" s="12">
        <v>0.5</v>
      </c>
      <c r="BN80" s="12"/>
      <c r="BO80" s="12">
        <v>0.5</v>
      </c>
      <c r="BS80" s="12"/>
      <c r="BT80" s="12">
        <v>0.5</v>
      </c>
      <c r="BU80" s="12"/>
      <c r="BV80" s="12">
        <v>0.5</v>
      </c>
      <c r="BZ80" s="12"/>
      <c r="CA80" s="12">
        <v>0.8</v>
      </c>
      <c r="CB80" s="12"/>
      <c r="CC80" s="12">
        <v>0.8</v>
      </c>
      <c r="CG80" s="12"/>
      <c r="CH80" s="12">
        <v>0.8</v>
      </c>
      <c r="CI80" s="12"/>
      <c r="CJ80" s="12">
        <v>0.8</v>
      </c>
      <c r="CN80" s="12"/>
      <c r="CO80" s="12">
        <v>0.8</v>
      </c>
      <c r="CP80" s="12"/>
      <c r="CQ80" s="12">
        <v>0.8</v>
      </c>
      <c r="CU80" s="12"/>
      <c r="CV80" s="12">
        <v>0.8</v>
      </c>
      <c r="CW80" s="12"/>
      <c r="CX80" s="12">
        <v>0.8</v>
      </c>
      <c r="DB80" s="12"/>
      <c r="DC80" s="12">
        <v>0.8</v>
      </c>
      <c r="DD80" s="12"/>
      <c r="DE80" s="12">
        <v>0.8</v>
      </c>
      <c r="DI80" s="12"/>
      <c r="DJ80" s="12">
        <v>1</v>
      </c>
      <c r="DK80" s="12"/>
      <c r="DL80" s="12">
        <v>1</v>
      </c>
      <c r="DP80" s="12"/>
      <c r="DQ80" s="12"/>
      <c r="DR80" s="12"/>
      <c r="DS80" s="12"/>
      <c r="DW80" s="12"/>
      <c r="DX80" s="12"/>
      <c r="DY80" s="12"/>
      <c r="DZ80" s="12"/>
      <c r="ED80" s="12"/>
      <c r="EE80" s="12"/>
      <c r="EF80" s="12"/>
      <c r="EG80" s="12"/>
    </row>
    <row r="81" spans="2:137" ht="15.75" customHeight="1" outlineLevel="1">
      <c r="B81" t="s">
        <v>28</v>
      </c>
      <c r="C81" t="s">
        <v>125</v>
      </c>
      <c r="E81" s="11"/>
      <c r="F81" t="s">
        <v>136</v>
      </c>
      <c r="G81" s="12">
        <v>0.1</v>
      </c>
      <c r="I81" s="11">
        <f t="shared" si="4"/>
        <v>0</v>
      </c>
      <c r="J81" s="13" cm="1">
        <f t="array" ref="J81">MAX(IF($N$3:$EI$3=$J$3,N81:EI81))</f>
        <v>0</v>
      </c>
      <c r="K81" s="13" cm="1">
        <f t="array" ref="K81">MAX(IF($N$3:$EI$3=$J$3,N81:EI81))</f>
        <v>0</v>
      </c>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v>0.5</v>
      </c>
      <c r="BG81" s="12"/>
      <c r="BH81" s="12">
        <v>0.5</v>
      </c>
      <c r="BL81" s="12"/>
      <c r="BM81" s="12">
        <v>0.5</v>
      </c>
      <c r="BN81" s="12"/>
      <c r="BO81" s="12">
        <v>0.5</v>
      </c>
      <c r="BS81" s="12"/>
      <c r="BT81" s="12">
        <v>0.5</v>
      </c>
      <c r="BU81" s="12"/>
      <c r="BV81" s="12">
        <v>0.5</v>
      </c>
      <c r="BZ81" s="12"/>
      <c r="CA81" s="12">
        <v>0.5</v>
      </c>
      <c r="CB81" s="12"/>
      <c r="CC81" s="12">
        <v>0.5</v>
      </c>
      <c r="CG81" s="12"/>
      <c r="CH81" s="12">
        <v>0.8</v>
      </c>
      <c r="CI81" s="12"/>
      <c r="CJ81" s="12">
        <v>0.8</v>
      </c>
      <c r="CN81" s="12"/>
      <c r="CO81" s="12">
        <v>0.8</v>
      </c>
      <c r="CP81" s="12"/>
      <c r="CQ81" s="12">
        <v>0.8</v>
      </c>
      <c r="CU81" s="12"/>
      <c r="CV81" s="12">
        <v>0.8</v>
      </c>
      <c r="CW81" s="12"/>
      <c r="CX81" s="12">
        <v>0.8</v>
      </c>
      <c r="DB81" s="12"/>
      <c r="DC81" s="12">
        <v>0.8</v>
      </c>
      <c r="DD81" s="12"/>
      <c r="DE81" s="12">
        <v>0.8</v>
      </c>
      <c r="DI81" s="12"/>
      <c r="DJ81" s="12">
        <v>1</v>
      </c>
      <c r="DK81" s="12"/>
      <c r="DL81" s="12">
        <v>1</v>
      </c>
      <c r="DP81" s="12"/>
      <c r="DQ81" s="12"/>
      <c r="DR81" s="12"/>
      <c r="DS81" s="12"/>
      <c r="DW81" s="12"/>
      <c r="DX81" s="12"/>
      <c r="DY81" s="12"/>
      <c r="DZ81" s="12"/>
      <c r="ED81" s="12"/>
      <c r="EE81" s="12"/>
      <c r="EF81" s="12"/>
      <c r="EG81" s="12"/>
    </row>
    <row r="82" spans="2:137" ht="15.75" customHeight="1" outlineLevel="1">
      <c r="B82" t="s">
        <v>28</v>
      </c>
      <c r="C82" t="s">
        <v>125</v>
      </c>
      <c r="E82" s="11"/>
      <c r="F82" t="s">
        <v>137</v>
      </c>
      <c r="G82" s="12">
        <v>0.1</v>
      </c>
      <c r="I82" s="11">
        <f t="shared" si="4"/>
        <v>0</v>
      </c>
      <c r="J82" s="13" cm="1">
        <f t="array" ref="J82">MAX(IF($N$3:$EI$3=$J$3,N82:EI82))</f>
        <v>0</v>
      </c>
      <c r="K82" s="13" cm="1">
        <f t="array" ref="K82">MAX(IF($N$3:$EI$3=$J$3,N82:EI82))</f>
        <v>0</v>
      </c>
      <c r="L82" s="11"/>
      <c r="O82" s="12"/>
      <c r="P82" s="12"/>
      <c r="Q82" s="12"/>
      <c r="R82" s="12"/>
      <c r="V82" s="12"/>
      <c r="W82" s="12"/>
      <c r="X82" s="12"/>
      <c r="Y82" s="12"/>
      <c r="AC82" s="12"/>
      <c r="AD82" s="12"/>
      <c r="AE82" s="12"/>
      <c r="AF82" s="12"/>
      <c r="AJ82" s="12"/>
      <c r="AK82" s="12"/>
      <c r="AL82" s="12"/>
      <c r="AM82" s="12"/>
      <c r="AQ82" s="12"/>
      <c r="AR82" s="12"/>
      <c r="AS82" s="12"/>
      <c r="AT82" s="12"/>
      <c r="AX82" s="12"/>
      <c r="AY82" s="12"/>
      <c r="AZ82" s="12"/>
      <c r="BA82" s="12"/>
      <c r="BE82" s="12"/>
      <c r="BF82" s="12"/>
      <c r="BG82" s="12"/>
      <c r="BH82" s="12"/>
      <c r="BL82" s="12"/>
      <c r="BM82" s="12">
        <v>0.5</v>
      </c>
      <c r="BN82" s="12"/>
      <c r="BO82" s="12">
        <v>0.5</v>
      </c>
      <c r="BS82" s="12"/>
      <c r="BT82" s="12">
        <v>0.5</v>
      </c>
      <c r="BU82" s="12"/>
      <c r="BV82" s="12">
        <v>0.5</v>
      </c>
      <c r="BZ82" s="12"/>
      <c r="CA82" s="12">
        <v>0.5</v>
      </c>
      <c r="CB82" s="12"/>
      <c r="CC82" s="12">
        <v>0.5</v>
      </c>
      <c r="CG82" s="12"/>
      <c r="CH82" s="12">
        <v>0.5</v>
      </c>
      <c r="CI82" s="12"/>
      <c r="CJ82" s="12">
        <v>0.5</v>
      </c>
      <c r="CN82" s="12"/>
      <c r="CO82" s="12">
        <v>0.8</v>
      </c>
      <c r="CP82" s="12"/>
      <c r="CQ82" s="12">
        <v>0.8</v>
      </c>
      <c r="CU82" s="12"/>
      <c r="CV82" s="12">
        <v>0.8</v>
      </c>
      <c r="CW82" s="12"/>
      <c r="CX82" s="12">
        <v>0.8</v>
      </c>
      <c r="DB82" s="12"/>
      <c r="DC82" s="12">
        <v>0.8</v>
      </c>
      <c r="DD82" s="12"/>
      <c r="DE82" s="12">
        <v>0.8</v>
      </c>
      <c r="DI82" s="12"/>
      <c r="DJ82" s="12">
        <v>1</v>
      </c>
      <c r="DK82" s="12"/>
      <c r="DL82" s="12">
        <v>1</v>
      </c>
      <c r="DP82" s="12"/>
      <c r="DQ82" s="12"/>
      <c r="DR82" s="12"/>
      <c r="DS82" s="12"/>
      <c r="DW82" s="12"/>
      <c r="DX82" s="12"/>
      <c r="DY82" s="12"/>
      <c r="DZ82" s="12"/>
      <c r="ED82" s="12"/>
      <c r="EE82" s="12"/>
      <c r="EF82" s="12"/>
      <c r="EG82" s="12"/>
    </row>
    <row r="83" spans="2:137" ht="15.75" customHeight="1" outlineLevel="1">
      <c r="E83" s="11"/>
      <c r="G83" s="12"/>
      <c r="I83" s="11"/>
      <c r="J83" s="13"/>
      <c r="K83" s="13"/>
      <c r="L83" s="11"/>
      <c r="O83" s="12"/>
      <c r="P83" s="12"/>
      <c r="Q83" s="12"/>
      <c r="R83" s="12"/>
      <c r="V83" s="12"/>
      <c r="W83" s="12"/>
      <c r="X83" s="12"/>
      <c r="Y83" s="12"/>
      <c r="AC83" s="12"/>
      <c r="AD83" s="12"/>
      <c r="AE83" s="12"/>
      <c r="AF83" s="12"/>
      <c r="AJ83" s="12"/>
      <c r="AK83" s="12"/>
      <c r="AL83" s="12"/>
      <c r="AM83" s="12"/>
      <c r="AQ83" s="12"/>
      <c r="AR83" s="12"/>
      <c r="AS83" s="12"/>
      <c r="AT83" s="12"/>
      <c r="AX83" s="12"/>
      <c r="AY83" s="12"/>
      <c r="AZ83" s="12"/>
      <c r="BA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c r="ED83" s="12"/>
      <c r="EE83" s="12"/>
      <c r="EF83" s="12"/>
      <c r="EG83" s="12"/>
    </row>
    <row r="84" spans="2:137" ht="15.75" customHeight="1" outlineLevel="1">
      <c r="E84" s="11"/>
      <c r="G84" s="12"/>
      <c r="I84" s="11"/>
      <c r="J84" s="13"/>
      <c r="K84" s="13"/>
      <c r="L84" s="11"/>
      <c r="O84" s="12"/>
      <c r="P84" s="12"/>
      <c r="Q84" s="12"/>
      <c r="R84" s="12"/>
      <c r="V84" s="12"/>
      <c r="W84" s="12"/>
      <c r="X84" s="12"/>
      <c r="Y84" s="12"/>
      <c r="AC84" s="12"/>
      <c r="AD84" s="12"/>
      <c r="AE84" s="12"/>
      <c r="AF84" s="12"/>
      <c r="AJ84" s="12"/>
      <c r="AK84" s="12"/>
      <c r="AL84" s="12"/>
      <c r="AM84" s="12"/>
      <c r="AQ84" s="12"/>
      <c r="AR84" s="12"/>
      <c r="AS84" s="12"/>
      <c r="AT84" s="12"/>
      <c r="AX84" s="12"/>
      <c r="AY84" s="12"/>
      <c r="AZ84" s="12"/>
      <c r="BA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c r="ED84" s="12"/>
      <c r="EE84" s="12"/>
      <c r="EF84" s="12"/>
      <c r="EG84" s="12"/>
    </row>
    <row r="85" spans="2:137" ht="18.75" customHeight="1" outlineLevel="1">
      <c r="E85" s="11"/>
      <c r="G85" s="12"/>
      <c r="I85" s="11"/>
      <c r="J85" s="13"/>
      <c r="K85" s="13"/>
      <c r="L85" s="11"/>
      <c r="O85" s="12"/>
      <c r="P85" s="12"/>
      <c r="Q85" s="12"/>
      <c r="R85" s="12"/>
      <c r="V85" s="12"/>
      <c r="W85" s="12"/>
      <c r="X85" s="12"/>
      <c r="Y85" s="12"/>
      <c r="AC85" s="12"/>
      <c r="AD85" s="12"/>
      <c r="AE85" s="12"/>
      <c r="AF85" s="12"/>
      <c r="AJ85" s="12"/>
      <c r="AK85" s="12"/>
      <c r="AL85" s="12"/>
      <c r="AM85" s="12"/>
      <c r="AQ85" s="12"/>
      <c r="AR85" s="12"/>
      <c r="AS85" s="12"/>
      <c r="AT85" s="12"/>
      <c r="AX85" s="12"/>
      <c r="AY85" s="12"/>
      <c r="AZ85" s="12"/>
      <c r="BA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c r="ED85" s="12"/>
      <c r="EE85" s="12"/>
      <c r="EF85" s="12"/>
      <c r="EG85" s="12"/>
    </row>
    <row r="87" spans="2:137">
      <c r="B87" t="s">
        <v>27</v>
      </c>
      <c r="C87" t="s">
        <v>138</v>
      </c>
      <c r="D87" s="22">
        <v>46365</v>
      </c>
      <c r="E87" s="11">
        <v>6</v>
      </c>
      <c r="G87" s="12">
        <f>+SUM(G88:G99)</f>
        <v>0.99999999999999989</v>
      </c>
      <c r="I87" s="14">
        <f>+SUM(I88:I99)</f>
        <v>0</v>
      </c>
      <c r="J87" s="13">
        <f>+SUMPRODUCT(G88:G99,J88:J99)</f>
        <v>0</v>
      </c>
      <c r="K87" s="13">
        <f>+SUMPRODUCT(G88:G99,K88:K99)</f>
        <v>0</v>
      </c>
      <c r="L87" s="11"/>
      <c r="N87" s="14">
        <f>+SUM(N88:N99)</f>
        <v>0</v>
      </c>
      <c r="U87" s="14"/>
      <c r="AB87" s="14"/>
      <c r="AI87" s="14"/>
      <c r="AP87" s="14"/>
    </row>
    <row r="88" spans="2:137" ht="15.75" customHeight="1" outlineLevel="1">
      <c r="B88" t="s">
        <v>28</v>
      </c>
      <c r="C88" t="s">
        <v>138</v>
      </c>
      <c r="E88" s="11"/>
      <c r="F88" t="s">
        <v>139</v>
      </c>
      <c r="G88" s="12">
        <v>0.1</v>
      </c>
      <c r="I88" s="11">
        <f t="shared" si="4"/>
        <v>0</v>
      </c>
      <c r="J88" s="13" cm="1">
        <f t="array" ref="J88">MAX(IF($N$3:$EI$3=$J$3,N88:EI88))</f>
        <v>0</v>
      </c>
      <c r="K88" s="13" cm="1">
        <f t="array" ref="K88">MAX(IF($N$3:$EI$3=$J$3,N88:EI88))</f>
        <v>0</v>
      </c>
      <c r="L88" s="11"/>
      <c r="O88" s="12"/>
      <c r="P88" s="12"/>
      <c r="Q88" s="12"/>
      <c r="R88" s="12"/>
      <c r="V88" s="12"/>
      <c r="W88" s="12"/>
      <c r="X88" s="12"/>
      <c r="Y88" s="12"/>
      <c r="AC88" s="12"/>
      <c r="AD88" s="12">
        <v>0.5</v>
      </c>
      <c r="AE88" s="12"/>
      <c r="AF88" s="12">
        <v>0.5</v>
      </c>
      <c r="AJ88" s="12"/>
      <c r="AK88" s="12">
        <v>0.8</v>
      </c>
      <c r="AL88" s="12"/>
      <c r="AM88" s="12">
        <v>0.8</v>
      </c>
      <c r="AQ88" s="12"/>
      <c r="AR88" s="12">
        <v>0.8</v>
      </c>
      <c r="AS88" s="12"/>
      <c r="AT88" s="12">
        <v>0.8</v>
      </c>
      <c r="AX88" s="12"/>
      <c r="AY88" s="12">
        <v>0.8</v>
      </c>
      <c r="AZ88" s="12"/>
      <c r="BA88" s="12">
        <v>0.8</v>
      </c>
      <c r="BE88" s="12"/>
      <c r="BF88" s="12">
        <v>0.8</v>
      </c>
      <c r="BG88" s="12"/>
      <c r="BH88" s="12">
        <v>0.8</v>
      </c>
      <c r="BL88" s="12"/>
      <c r="BM88" s="12">
        <v>0.8</v>
      </c>
      <c r="BN88" s="12"/>
      <c r="BO88" s="12">
        <v>0.8</v>
      </c>
      <c r="BS88" s="12"/>
      <c r="BT88" s="12">
        <v>0.8</v>
      </c>
      <c r="BU88" s="12"/>
      <c r="BV88" s="12">
        <v>0.8</v>
      </c>
      <c r="BZ88" s="12"/>
      <c r="CA88" s="12">
        <v>1</v>
      </c>
      <c r="CB88" s="12"/>
      <c r="CC88" s="12">
        <v>1</v>
      </c>
      <c r="CG88" s="12"/>
      <c r="CH88" s="12">
        <v>1</v>
      </c>
      <c r="CI88" s="12"/>
      <c r="CJ88" s="12">
        <v>1</v>
      </c>
      <c r="CN88" s="12"/>
      <c r="CO88" s="12">
        <v>1</v>
      </c>
      <c r="CP88" s="12"/>
      <c r="CQ88" s="12">
        <v>1</v>
      </c>
      <c r="CU88" s="12"/>
      <c r="CV88" s="12">
        <v>1</v>
      </c>
      <c r="CW88" s="12"/>
      <c r="CX88" s="12">
        <v>1</v>
      </c>
      <c r="DB88" s="12"/>
      <c r="DC88" s="12">
        <v>1</v>
      </c>
      <c r="DD88" s="12"/>
      <c r="DE88" s="12">
        <v>1</v>
      </c>
      <c r="DI88" s="12"/>
      <c r="DJ88" s="12">
        <v>1</v>
      </c>
      <c r="DK88" s="12"/>
      <c r="DL88" s="12">
        <v>1</v>
      </c>
      <c r="DP88" s="12"/>
      <c r="DQ88" s="12"/>
      <c r="DR88" s="12"/>
      <c r="DS88" s="12"/>
      <c r="DW88" s="12"/>
      <c r="DX88" s="12"/>
      <c r="DY88" s="12"/>
      <c r="DZ88" s="12"/>
      <c r="ED88" s="12"/>
      <c r="EE88" s="12"/>
      <c r="EF88" s="12"/>
      <c r="EG88" s="12"/>
    </row>
    <row r="89" spans="2:137" ht="15.75" customHeight="1" outlineLevel="1">
      <c r="B89" t="s">
        <v>28</v>
      </c>
      <c r="C89" t="s">
        <v>138</v>
      </c>
      <c r="E89" s="11"/>
      <c r="F89" t="s">
        <v>146</v>
      </c>
      <c r="G89" s="12">
        <v>0.05</v>
      </c>
      <c r="I89" s="11">
        <f t="shared" si="4"/>
        <v>0</v>
      </c>
      <c r="J89" s="13" cm="1">
        <f t="array" ref="J89">MAX(IF($N$3:$EI$3=$J$3,N89:EI89))</f>
        <v>0</v>
      </c>
      <c r="K89" s="13" cm="1">
        <f t="array" ref="K89">MAX(IF($N$3:$EI$3=$J$3,N89:EI89))</f>
        <v>0</v>
      </c>
      <c r="L89" s="11"/>
      <c r="O89" s="12"/>
      <c r="P89" s="12"/>
      <c r="Q89" s="12"/>
      <c r="R89" s="12"/>
      <c r="V89" s="12"/>
      <c r="W89" s="12"/>
      <c r="X89" s="12"/>
      <c r="Y89" s="12"/>
      <c r="AC89" s="12"/>
      <c r="AD89" s="12"/>
      <c r="AE89" s="12"/>
      <c r="AF89" s="12"/>
      <c r="AJ89" s="12"/>
      <c r="AK89" s="12">
        <v>0.5</v>
      </c>
      <c r="AL89" s="12"/>
      <c r="AM89" s="12">
        <v>0.5</v>
      </c>
      <c r="AQ89" s="12"/>
      <c r="AR89" s="12">
        <v>0.8</v>
      </c>
      <c r="AS89" s="12"/>
      <c r="AT89" s="12">
        <v>0.8</v>
      </c>
      <c r="AX89" s="12"/>
      <c r="AY89" s="12">
        <v>0.8</v>
      </c>
      <c r="AZ89" s="12"/>
      <c r="BA89" s="12">
        <v>0.8</v>
      </c>
      <c r="BE89" s="12"/>
      <c r="BF89" s="12">
        <v>0.8</v>
      </c>
      <c r="BG89" s="12"/>
      <c r="BH89" s="12">
        <v>0.8</v>
      </c>
      <c r="BL89" s="12"/>
      <c r="BM89" s="12">
        <v>0.8</v>
      </c>
      <c r="BN89" s="12"/>
      <c r="BO89" s="12">
        <v>0.8</v>
      </c>
      <c r="BS89" s="12"/>
      <c r="BT89" s="12">
        <v>0.8</v>
      </c>
      <c r="BU89" s="12"/>
      <c r="BV89" s="12">
        <v>0.8</v>
      </c>
      <c r="BZ89" s="12"/>
      <c r="CA89" s="12">
        <v>1</v>
      </c>
      <c r="CB89" s="12"/>
      <c r="CC89" s="12">
        <v>1</v>
      </c>
      <c r="CG89" s="12"/>
      <c r="CH89" s="12">
        <v>1</v>
      </c>
      <c r="CI89" s="12"/>
      <c r="CJ89" s="12">
        <v>1</v>
      </c>
      <c r="CN89" s="12"/>
      <c r="CO89" s="12">
        <v>1</v>
      </c>
      <c r="CP89" s="12"/>
      <c r="CQ89" s="12">
        <v>1</v>
      </c>
      <c r="CU89" s="12"/>
      <c r="CV89" s="12">
        <v>1</v>
      </c>
      <c r="CW89" s="12"/>
      <c r="CX89" s="12">
        <v>1</v>
      </c>
      <c r="DB89" s="12"/>
      <c r="DC89" s="12">
        <v>1</v>
      </c>
      <c r="DD89" s="12"/>
      <c r="DE89" s="12">
        <v>1</v>
      </c>
      <c r="DI89" s="12"/>
      <c r="DJ89" s="12">
        <v>1</v>
      </c>
      <c r="DK89" s="12"/>
      <c r="DL89" s="12">
        <v>1</v>
      </c>
      <c r="DP89" s="12"/>
      <c r="DQ89" s="12"/>
      <c r="DR89" s="12"/>
      <c r="DS89" s="12"/>
      <c r="DW89" s="12"/>
      <c r="DX89" s="12"/>
      <c r="DY89" s="12"/>
      <c r="DZ89" s="12"/>
      <c r="ED89" s="12"/>
      <c r="EE89" s="12"/>
      <c r="EF89" s="12"/>
      <c r="EG89" s="12"/>
    </row>
    <row r="90" spans="2:137" outlineLevel="1">
      <c r="B90" t="s">
        <v>28</v>
      </c>
      <c r="C90" t="s">
        <v>138</v>
      </c>
      <c r="E90" s="11"/>
      <c r="F90" t="s">
        <v>142</v>
      </c>
      <c r="G90" s="12">
        <v>0.05</v>
      </c>
      <c r="I90" s="11">
        <f t="shared" si="4"/>
        <v>0</v>
      </c>
      <c r="J90" s="13" cm="1">
        <f t="array" ref="J90">MAX(IF($N$3:$EI$3=$J$3,N90:EI90))</f>
        <v>0</v>
      </c>
      <c r="K90" s="13" cm="1">
        <f t="array" ref="K90">MAX(IF($N$3:$EI$3=$J$3,N90:EI90))</f>
        <v>0</v>
      </c>
      <c r="L90" s="11"/>
      <c r="O90" s="12"/>
      <c r="P90" s="12"/>
      <c r="Q90" s="12"/>
      <c r="R90" s="12"/>
      <c r="V90" s="12"/>
      <c r="W90" s="12"/>
      <c r="X90" s="12"/>
      <c r="Y90" s="12"/>
      <c r="AC90" s="12"/>
      <c r="AD90" s="12"/>
      <c r="AE90" s="12"/>
      <c r="AF90" s="12"/>
      <c r="AJ90" s="12"/>
      <c r="AK90" s="12">
        <v>0.5</v>
      </c>
      <c r="AL90" s="12"/>
      <c r="AM90" s="12">
        <v>0.5</v>
      </c>
      <c r="AQ90" s="12"/>
      <c r="AR90" s="12">
        <v>0.8</v>
      </c>
      <c r="AS90" s="12"/>
      <c r="AT90" s="12">
        <v>0.8</v>
      </c>
      <c r="AX90" s="12"/>
      <c r="AY90" s="12">
        <v>0.8</v>
      </c>
      <c r="AZ90" s="12"/>
      <c r="BA90" s="12">
        <v>0.8</v>
      </c>
      <c r="BE90" s="12"/>
      <c r="BF90" s="12">
        <v>0.8</v>
      </c>
      <c r="BG90" s="12"/>
      <c r="BH90" s="12">
        <v>0.8</v>
      </c>
      <c r="BL90" s="12"/>
      <c r="BM90" s="12">
        <v>0.8</v>
      </c>
      <c r="BN90" s="12"/>
      <c r="BO90" s="12">
        <v>0.8</v>
      </c>
      <c r="BS90" s="12"/>
      <c r="BT90" s="12">
        <v>0.8</v>
      </c>
      <c r="BU90" s="12"/>
      <c r="BV90" s="12">
        <v>0.8</v>
      </c>
      <c r="BZ90" s="12"/>
      <c r="CA90" s="12">
        <v>0.8</v>
      </c>
      <c r="CB90" s="12"/>
      <c r="CC90" s="12">
        <v>0.8</v>
      </c>
      <c r="CG90" s="12"/>
      <c r="CH90" s="12">
        <v>1</v>
      </c>
      <c r="CI90" s="12"/>
      <c r="CJ90" s="12">
        <v>1</v>
      </c>
      <c r="CN90" s="12"/>
      <c r="CO90" s="12">
        <v>1</v>
      </c>
      <c r="CP90" s="12"/>
      <c r="CQ90" s="12">
        <v>1</v>
      </c>
      <c r="CU90" s="12"/>
      <c r="CV90" s="12">
        <v>1</v>
      </c>
      <c r="CW90" s="12"/>
      <c r="CX90" s="12">
        <v>1</v>
      </c>
      <c r="DB90" s="12"/>
      <c r="DC90" s="12">
        <v>1</v>
      </c>
      <c r="DD90" s="12"/>
      <c r="DE90" s="12">
        <v>1</v>
      </c>
      <c r="DI90" s="12"/>
      <c r="DJ90" s="12">
        <v>1</v>
      </c>
      <c r="DK90" s="12"/>
      <c r="DL90" s="12">
        <v>1</v>
      </c>
      <c r="DP90" s="12"/>
      <c r="DQ90" s="12"/>
      <c r="DR90" s="12"/>
      <c r="DS90" s="12"/>
      <c r="DW90" s="12"/>
      <c r="DX90" s="12"/>
      <c r="DY90" s="12"/>
      <c r="DZ90" s="12"/>
      <c r="ED90" s="12"/>
      <c r="EE90" s="12"/>
      <c r="EF90" s="12"/>
      <c r="EG90" s="12"/>
    </row>
    <row r="91" spans="2:137" ht="15.75" customHeight="1" outlineLevel="1">
      <c r="B91" t="s">
        <v>28</v>
      </c>
      <c r="C91" t="s">
        <v>138</v>
      </c>
      <c r="E91" s="11"/>
      <c r="F91" t="s">
        <v>147</v>
      </c>
      <c r="G91" s="12">
        <v>0.05</v>
      </c>
      <c r="I91" s="11">
        <f t="shared" si="4"/>
        <v>0</v>
      </c>
      <c r="J91" s="13" cm="1">
        <f t="array" ref="J91">MAX(IF($N$3:$EI$3=$J$3,N91:EI91))</f>
        <v>0</v>
      </c>
      <c r="K91" s="13" cm="1">
        <f t="array" ref="K91">MAX(IF($N$3:$EI$3=$J$3,N91:EI91))</f>
        <v>0</v>
      </c>
      <c r="L91" s="11"/>
      <c r="O91" s="12"/>
      <c r="P91" s="12"/>
      <c r="Q91" s="12"/>
      <c r="R91" s="12"/>
      <c r="V91" s="12"/>
      <c r="W91" s="12"/>
      <c r="X91" s="12"/>
      <c r="Y91" s="12"/>
      <c r="AC91" s="12"/>
      <c r="AD91" s="12"/>
      <c r="AE91" s="12"/>
      <c r="AF91" s="12"/>
      <c r="AJ91" s="12"/>
      <c r="AK91" s="12">
        <v>0.5</v>
      </c>
      <c r="AL91" s="12"/>
      <c r="AM91" s="12">
        <v>0.5</v>
      </c>
      <c r="AQ91" s="12"/>
      <c r="AR91" s="12">
        <v>0.5</v>
      </c>
      <c r="AS91" s="12"/>
      <c r="AT91" s="12">
        <v>0.5</v>
      </c>
      <c r="AX91" s="12"/>
      <c r="AY91" s="12">
        <v>0.8</v>
      </c>
      <c r="AZ91" s="12"/>
      <c r="BA91" s="12">
        <v>0.8</v>
      </c>
      <c r="BE91" s="12"/>
      <c r="BF91" s="12">
        <v>0.8</v>
      </c>
      <c r="BG91" s="12"/>
      <c r="BH91" s="12">
        <v>0.8</v>
      </c>
      <c r="BL91" s="12"/>
      <c r="BM91" s="12">
        <v>0.8</v>
      </c>
      <c r="BN91" s="12"/>
      <c r="BO91" s="12">
        <v>0.8</v>
      </c>
      <c r="BS91" s="12"/>
      <c r="BT91" s="12">
        <v>0.8</v>
      </c>
      <c r="BU91" s="12"/>
      <c r="BV91" s="12">
        <v>0.8</v>
      </c>
      <c r="BZ91" s="12"/>
      <c r="CA91" s="12">
        <v>0.8</v>
      </c>
      <c r="CB91" s="12"/>
      <c r="CC91" s="12">
        <v>0.8</v>
      </c>
      <c r="CG91" s="12"/>
      <c r="CH91" s="12">
        <v>0.8</v>
      </c>
      <c r="CI91" s="12"/>
      <c r="CJ91" s="12">
        <v>0.8</v>
      </c>
      <c r="CN91" s="12"/>
      <c r="CO91" s="12">
        <v>0.8</v>
      </c>
      <c r="CP91" s="12"/>
      <c r="CQ91" s="12">
        <v>0.8</v>
      </c>
      <c r="CU91" s="12"/>
      <c r="CV91" s="12">
        <v>1</v>
      </c>
      <c r="CW91" s="12"/>
      <c r="CX91" s="12">
        <v>1</v>
      </c>
      <c r="DB91" s="12"/>
      <c r="DC91" s="12">
        <v>1</v>
      </c>
      <c r="DD91" s="12"/>
      <c r="DE91" s="12">
        <v>1</v>
      </c>
      <c r="DI91" s="12"/>
      <c r="DJ91" s="12">
        <v>1</v>
      </c>
      <c r="DK91" s="12"/>
      <c r="DL91" s="12">
        <v>1</v>
      </c>
      <c r="DP91" s="12"/>
      <c r="DQ91" s="12"/>
      <c r="DR91" s="12"/>
      <c r="DS91" s="12"/>
      <c r="DW91" s="12"/>
      <c r="DX91" s="12"/>
      <c r="DY91" s="12"/>
      <c r="DZ91" s="12"/>
      <c r="ED91" s="12"/>
      <c r="EE91" s="12"/>
      <c r="EF91" s="12"/>
      <c r="EG91" s="12"/>
    </row>
    <row r="92" spans="2:137" ht="15.75" customHeight="1" outlineLevel="1">
      <c r="B92" t="s">
        <v>28</v>
      </c>
      <c r="C92" t="s">
        <v>138</v>
      </c>
      <c r="E92" s="11"/>
      <c r="F92" t="s">
        <v>147</v>
      </c>
      <c r="G92" s="12">
        <v>0.05</v>
      </c>
      <c r="I92" s="11">
        <f t="shared" si="4"/>
        <v>0</v>
      </c>
      <c r="J92" s="13" cm="1">
        <f t="array" ref="J92">MAX(IF($N$3:$EI$3=$J$3,N92:EI92))</f>
        <v>0</v>
      </c>
      <c r="K92" s="13" cm="1">
        <f t="array" ref="K92">MAX(IF($N$3:$EI$3=$J$3,N92:EI92))</f>
        <v>0</v>
      </c>
      <c r="L92" s="11"/>
      <c r="O92" s="12"/>
      <c r="P92" s="12"/>
      <c r="Q92" s="12"/>
      <c r="R92" s="12"/>
      <c r="V92" s="12"/>
      <c r="W92" s="12"/>
      <c r="X92" s="12"/>
      <c r="Y92" s="12"/>
      <c r="AC92" s="12"/>
      <c r="AD92" s="12"/>
      <c r="AE92" s="12"/>
      <c r="AF92" s="12"/>
      <c r="AJ92" s="12"/>
      <c r="AK92" s="12"/>
      <c r="AL92" s="12"/>
      <c r="AM92" s="12"/>
      <c r="AQ92" s="12"/>
      <c r="AR92" s="12">
        <v>0.5</v>
      </c>
      <c r="AS92" s="12"/>
      <c r="AT92" s="12">
        <v>0.5</v>
      </c>
      <c r="AX92" s="12"/>
      <c r="AY92" s="12">
        <v>0.5</v>
      </c>
      <c r="AZ92" s="12"/>
      <c r="BA92" s="12">
        <v>0.5</v>
      </c>
      <c r="BE92" s="12"/>
      <c r="BF92" s="12">
        <v>0.5</v>
      </c>
      <c r="BG92" s="12"/>
      <c r="BH92" s="12">
        <v>0.5</v>
      </c>
      <c r="BL92" s="12"/>
      <c r="BM92" s="12">
        <v>0.5</v>
      </c>
      <c r="BN92" s="12"/>
      <c r="BO92" s="12">
        <v>0.5</v>
      </c>
      <c r="BS92" s="12"/>
      <c r="BT92" s="12">
        <v>0.8</v>
      </c>
      <c r="BU92" s="12"/>
      <c r="BV92" s="12">
        <v>0.8</v>
      </c>
      <c r="BZ92" s="12"/>
      <c r="CA92" s="12">
        <v>0.8</v>
      </c>
      <c r="CB92" s="12"/>
      <c r="CC92" s="12">
        <v>0.8</v>
      </c>
      <c r="CG92" s="12"/>
      <c r="CH92" s="12">
        <v>0.8</v>
      </c>
      <c r="CI92" s="12"/>
      <c r="CJ92" s="12">
        <v>0.8</v>
      </c>
      <c r="CN92" s="12"/>
      <c r="CO92" s="12">
        <v>0.8</v>
      </c>
      <c r="CP92" s="12"/>
      <c r="CQ92" s="12">
        <v>0.8</v>
      </c>
      <c r="CU92" s="12"/>
      <c r="CV92" s="12">
        <v>1</v>
      </c>
      <c r="CW92" s="12"/>
      <c r="CX92" s="12">
        <v>1</v>
      </c>
      <c r="DB92" s="12"/>
      <c r="DC92" s="12">
        <v>1</v>
      </c>
      <c r="DD92" s="12"/>
      <c r="DE92" s="12">
        <v>1</v>
      </c>
      <c r="DI92" s="12"/>
      <c r="DJ92" s="12">
        <v>1</v>
      </c>
      <c r="DK92" s="12"/>
      <c r="DL92" s="12">
        <v>1</v>
      </c>
      <c r="DP92" s="12"/>
      <c r="DQ92" s="12"/>
      <c r="DR92" s="12"/>
      <c r="DS92" s="12"/>
      <c r="DW92" s="12"/>
      <c r="DX92" s="12"/>
      <c r="DY92" s="12"/>
      <c r="DZ92" s="12"/>
      <c r="ED92" s="12"/>
      <c r="EE92" s="12"/>
      <c r="EF92" s="12"/>
      <c r="EG92" s="12"/>
    </row>
    <row r="93" spans="2:137" ht="15.75" customHeight="1" outlineLevel="1">
      <c r="B93" t="s">
        <v>28</v>
      </c>
      <c r="C93" t="s">
        <v>138</v>
      </c>
      <c r="E93" s="11"/>
      <c r="F93" t="s">
        <v>143</v>
      </c>
      <c r="G93" s="12">
        <v>0.1</v>
      </c>
      <c r="I93" s="11">
        <f t="shared" si="4"/>
        <v>0</v>
      </c>
      <c r="J93" s="13" cm="1">
        <f t="array" ref="J93">MAX(IF($N$3:$EI$3=$J$3,N93:EI93))</f>
        <v>0</v>
      </c>
      <c r="K93" s="13" cm="1">
        <f t="array" ref="K93">MAX(IF($N$3:$EI$3=$J$3,N93:EI93))</f>
        <v>0</v>
      </c>
      <c r="L93" s="11"/>
      <c r="O93" s="12"/>
      <c r="P93" s="12"/>
      <c r="Q93" s="12"/>
      <c r="R93" s="12"/>
      <c r="V93" s="12"/>
      <c r="W93" s="12"/>
      <c r="X93" s="12"/>
      <c r="Y93" s="12"/>
      <c r="AC93" s="12"/>
      <c r="AD93" s="12"/>
      <c r="AE93" s="12"/>
      <c r="AF93" s="12"/>
      <c r="AJ93" s="12"/>
      <c r="AK93" s="12"/>
      <c r="AL93" s="12"/>
      <c r="AM93" s="12"/>
      <c r="AQ93" s="12"/>
      <c r="AR93" s="12"/>
      <c r="AS93" s="12"/>
      <c r="AT93" s="12"/>
      <c r="AX93" s="12"/>
      <c r="AY93" s="12">
        <v>0.5</v>
      </c>
      <c r="AZ93" s="12"/>
      <c r="BA93" s="12">
        <v>0.5</v>
      </c>
      <c r="BE93" s="12"/>
      <c r="BF93" s="12">
        <v>0.5</v>
      </c>
      <c r="BG93" s="12"/>
      <c r="BH93" s="12">
        <v>0.5</v>
      </c>
      <c r="BL93" s="12"/>
      <c r="BM93" s="12">
        <v>0.5</v>
      </c>
      <c r="BN93" s="12"/>
      <c r="BO93" s="12">
        <v>0.5</v>
      </c>
      <c r="BS93" s="12"/>
      <c r="BT93" s="12">
        <v>0.5</v>
      </c>
      <c r="BU93" s="12"/>
      <c r="BV93" s="12">
        <v>0.5</v>
      </c>
      <c r="BZ93" s="12"/>
      <c r="CA93" s="12">
        <v>0.8</v>
      </c>
      <c r="CB93" s="12"/>
      <c r="CC93" s="12">
        <v>0.8</v>
      </c>
      <c r="CG93" s="12"/>
      <c r="CH93" s="12">
        <v>0.8</v>
      </c>
      <c r="CI93" s="12"/>
      <c r="CJ93" s="12">
        <v>0.8</v>
      </c>
      <c r="CN93" s="12"/>
      <c r="CO93" s="12">
        <v>0.8</v>
      </c>
      <c r="CP93" s="12"/>
      <c r="CQ93" s="12">
        <v>0.8</v>
      </c>
      <c r="CU93" s="12"/>
      <c r="CV93" s="12">
        <v>0.8</v>
      </c>
      <c r="CW93" s="12"/>
      <c r="CX93" s="12">
        <v>0.8</v>
      </c>
      <c r="DB93" s="12"/>
      <c r="DC93" s="12">
        <v>1</v>
      </c>
      <c r="DD93" s="12"/>
      <c r="DE93" s="12">
        <v>1</v>
      </c>
      <c r="DI93" s="12"/>
      <c r="DJ93" s="12">
        <v>1</v>
      </c>
      <c r="DK93" s="12"/>
      <c r="DL93" s="12">
        <v>1</v>
      </c>
      <c r="DP93" s="12"/>
      <c r="DQ93" s="12"/>
      <c r="DR93" s="12"/>
      <c r="DS93" s="12"/>
      <c r="DW93" s="12"/>
      <c r="DX93" s="12"/>
      <c r="DY93" s="12"/>
      <c r="DZ93" s="12"/>
      <c r="ED93" s="12"/>
      <c r="EE93" s="12"/>
      <c r="EF93" s="12"/>
      <c r="EG93" s="12"/>
    </row>
    <row r="94" spans="2:137" ht="15.75" customHeight="1" outlineLevel="1">
      <c r="B94" t="s">
        <v>28</v>
      </c>
      <c r="C94" t="s">
        <v>138</v>
      </c>
      <c r="E94" s="11"/>
      <c r="F94" t="s">
        <v>144</v>
      </c>
      <c r="G94" s="12">
        <v>0.1</v>
      </c>
      <c r="I94" s="11">
        <f t="shared" si="4"/>
        <v>0</v>
      </c>
      <c r="J94" s="13" cm="1">
        <f t="array" ref="J94">MAX(IF($N$3:$EI$3=$J$3,N94:EI94))</f>
        <v>0</v>
      </c>
      <c r="K94" s="13" cm="1">
        <f t="array" ref="K94">MAX(IF($N$3:$EI$3=$J$3,N94:EI94))</f>
        <v>0</v>
      </c>
      <c r="L94" s="11"/>
      <c r="O94" s="12"/>
      <c r="P94" s="12"/>
      <c r="Q94" s="12"/>
      <c r="R94" s="12"/>
      <c r="V94" s="12"/>
      <c r="W94" s="12"/>
      <c r="X94" s="12"/>
      <c r="Y94" s="12"/>
      <c r="AC94" s="12"/>
      <c r="AD94" s="12"/>
      <c r="AE94" s="12"/>
      <c r="AF94" s="12"/>
      <c r="AJ94" s="12"/>
      <c r="AK94" s="12"/>
      <c r="AL94" s="12"/>
      <c r="AM94" s="12"/>
      <c r="AQ94" s="12"/>
      <c r="AR94" s="12"/>
      <c r="AS94" s="12"/>
      <c r="AT94" s="12"/>
      <c r="AX94" s="12"/>
      <c r="AY94" s="12"/>
      <c r="AZ94" s="12"/>
      <c r="BA94" s="12"/>
      <c r="BE94" s="12"/>
      <c r="BF94" s="12">
        <v>0.5</v>
      </c>
      <c r="BG94" s="12"/>
      <c r="BH94" s="12">
        <v>0.5</v>
      </c>
      <c r="BL94" s="12"/>
      <c r="BM94" s="12">
        <v>0.5</v>
      </c>
      <c r="BN94" s="12"/>
      <c r="BO94" s="12">
        <v>0.5</v>
      </c>
      <c r="BS94" s="12"/>
      <c r="BT94" s="12">
        <v>0.5</v>
      </c>
      <c r="BU94" s="12"/>
      <c r="BV94" s="12">
        <v>0.5</v>
      </c>
      <c r="BZ94" s="12"/>
      <c r="CA94" s="12">
        <v>0.8</v>
      </c>
      <c r="CB94" s="12"/>
      <c r="CC94" s="12">
        <v>0.8</v>
      </c>
      <c r="CG94" s="12"/>
      <c r="CH94" s="12">
        <v>0.8</v>
      </c>
      <c r="CI94" s="12"/>
      <c r="CJ94" s="12">
        <v>0.8</v>
      </c>
      <c r="CN94" s="12"/>
      <c r="CO94" s="12">
        <v>0.8</v>
      </c>
      <c r="CP94" s="12"/>
      <c r="CQ94" s="12">
        <v>0.8</v>
      </c>
      <c r="CU94" s="12"/>
      <c r="CV94" s="12">
        <v>0.8</v>
      </c>
      <c r="CW94" s="12"/>
      <c r="CX94" s="12">
        <v>0.8</v>
      </c>
      <c r="DB94" s="12"/>
      <c r="DC94" s="12">
        <v>1</v>
      </c>
      <c r="DD94" s="12"/>
      <c r="DE94" s="12">
        <v>1</v>
      </c>
      <c r="DI94" s="12"/>
      <c r="DJ94" s="12">
        <v>1</v>
      </c>
      <c r="DK94" s="12"/>
      <c r="DL94" s="12">
        <v>1</v>
      </c>
      <c r="DP94" s="12"/>
      <c r="DQ94" s="12"/>
      <c r="DR94" s="12"/>
      <c r="DS94" s="12"/>
      <c r="DW94" s="12"/>
      <c r="DX94" s="12"/>
      <c r="DY94" s="12"/>
      <c r="DZ94" s="12"/>
      <c r="ED94" s="12"/>
      <c r="EE94" s="12"/>
      <c r="EF94" s="12"/>
      <c r="EG94" s="12"/>
    </row>
    <row r="95" spans="2:137" ht="15.75" customHeight="1" outlineLevel="1">
      <c r="B95" t="s">
        <v>28</v>
      </c>
      <c r="C95" t="s">
        <v>138</v>
      </c>
      <c r="E95" s="11"/>
      <c r="F95" t="s">
        <v>145</v>
      </c>
      <c r="G95" s="12">
        <v>0.1</v>
      </c>
      <c r="I95" s="11">
        <f t="shared" si="4"/>
        <v>0</v>
      </c>
      <c r="J95" s="13" cm="1">
        <f t="array" ref="J95">MAX(IF($N$3:$EI$3=$J$3,N95:EI95))</f>
        <v>0</v>
      </c>
      <c r="K95" s="13" cm="1">
        <f t="array" ref="K95">MAX(IF($N$3:$EI$3=$J$3,N95:EI95))</f>
        <v>0</v>
      </c>
      <c r="L95" s="11"/>
      <c r="O95" s="12"/>
      <c r="P95" s="12"/>
      <c r="Q95" s="12"/>
      <c r="R95" s="12"/>
      <c r="V95" s="12"/>
      <c r="W95" s="12"/>
      <c r="X95" s="12"/>
      <c r="Y95" s="12"/>
      <c r="AC95" s="12"/>
      <c r="AD95" s="12"/>
      <c r="AE95" s="12"/>
      <c r="AF95" s="12"/>
      <c r="AJ95" s="12"/>
      <c r="AK95" s="12"/>
      <c r="AL95" s="12"/>
      <c r="AM95" s="12"/>
      <c r="AQ95" s="12"/>
      <c r="AR95" s="12"/>
      <c r="AS95" s="12"/>
      <c r="AT95" s="12"/>
      <c r="AX95" s="12"/>
      <c r="AY95" s="12"/>
      <c r="AZ95" s="12"/>
      <c r="BA95" s="12"/>
      <c r="BE95" s="12"/>
      <c r="BF95" s="12">
        <v>0.5</v>
      </c>
      <c r="BG95" s="12"/>
      <c r="BH95" s="12">
        <v>0.5</v>
      </c>
      <c r="BL95" s="12"/>
      <c r="BM95" s="12">
        <v>0.5</v>
      </c>
      <c r="BN95" s="12"/>
      <c r="BO95" s="12">
        <v>0.5</v>
      </c>
      <c r="BS95" s="12"/>
      <c r="BT95" s="12">
        <v>0.5</v>
      </c>
      <c r="BU95" s="12"/>
      <c r="BV95" s="12">
        <v>0.5</v>
      </c>
      <c r="BZ95" s="12"/>
      <c r="CA95" s="12">
        <v>0.8</v>
      </c>
      <c r="CB95" s="12"/>
      <c r="CC95" s="12">
        <v>0.8</v>
      </c>
      <c r="CG95" s="12"/>
      <c r="CH95" s="12">
        <v>0.8</v>
      </c>
      <c r="CI95" s="12"/>
      <c r="CJ95" s="12">
        <v>0.8</v>
      </c>
      <c r="CN95" s="12"/>
      <c r="CO95" s="12">
        <v>0.8</v>
      </c>
      <c r="CP95" s="12"/>
      <c r="CQ95" s="12">
        <v>0.8</v>
      </c>
      <c r="CU95" s="12"/>
      <c r="CV95" s="12">
        <v>0.8</v>
      </c>
      <c r="CW95" s="12"/>
      <c r="CX95" s="12">
        <v>0.8</v>
      </c>
      <c r="DB95" s="12"/>
      <c r="DC95" s="12">
        <v>1</v>
      </c>
      <c r="DD95" s="12"/>
      <c r="DE95" s="12">
        <v>1</v>
      </c>
      <c r="DI95" s="12"/>
      <c r="DJ95" s="12">
        <v>1</v>
      </c>
      <c r="DK95" s="12"/>
      <c r="DL95" s="12">
        <v>1</v>
      </c>
      <c r="DP95" s="12"/>
      <c r="DQ95" s="12"/>
      <c r="DR95" s="12"/>
      <c r="DS95" s="12"/>
      <c r="DW95" s="12"/>
      <c r="DX95" s="12"/>
      <c r="DY95" s="12"/>
      <c r="DZ95" s="12"/>
      <c r="ED95" s="12"/>
      <c r="EE95" s="12"/>
      <c r="EF95" s="12"/>
      <c r="EG95" s="12"/>
    </row>
    <row r="96" spans="2:137" ht="15.75" customHeight="1" outlineLevel="1">
      <c r="B96" t="s">
        <v>28</v>
      </c>
      <c r="C96" t="s">
        <v>138</v>
      </c>
      <c r="E96" s="11"/>
      <c r="F96" t="s">
        <v>149</v>
      </c>
      <c r="G96" s="12">
        <v>0.1</v>
      </c>
      <c r="I96" s="11">
        <f t="shared" si="4"/>
        <v>0</v>
      </c>
      <c r="J96" s="13" cm="1">
        <f t="array" ref="J96">MAX(IF($N$3:$EI$3=$J$3,N96:EI96))</f>
        <v>0</v>
      </c>
      <c r="K96" s="13" cm="1">
        <f t="array" ref="K96">MAX(IF($N$3:$EI$3=$J$3,N96:EI96))</f>
        <v>0</v>
      </c>
      <c r="L96" s="11"/>
      <c r="O96" s="12"/>
      <c r="P96" s="12"/>
      <c r="Q96" s="12"/>
      <c r="R96" s="12"/>
      <c r="V96" s="12"/>
      <c r="W96" s="12"/>
      <c r="X96" s="12"/>
      <c r="Y96" s="12"/>
      <c r="AC96" s="12"/>
      <c r="AD96" s="12"/>
      <c r="AE96" s="12"/>
      <c r="AF96" s="12"/>
      <c r="AJ96" s="12"/>
      <c r="AK96" s="12"/>
      <c r="AL96" s="12"/>
      <c r="AM96" s="12"/>
      <c r="AQ96" s="12"/>
      <c r="AR96" s="12"/>
      <c r="AS96" s="12"/>
      <c r="AT96" s="12"/>
      <c r="AX96" s="12"/>
      <c r="AY96" s="12"/>
      <c r="AZ96" s="12"/>
      <c r="BA96" s="12"/>
      <c r="BE96" s="12"/>
      <c r="BF96" s="12"/>
      <c r="BG96" s="12"/>
      <c r="BH96" s="12"/>
      <c r="BL96" s="12"/>
      <c r="BM96" s="12">
        <v>0.5</v>
      </c>
      <c r="BN96" s="12"/>
      <c r="BO96" s="12">
        <v>0.5</v>
      </c>
      <c r="BS96" s="12"/>
      <c r="BT96" s="12">
        <v>0.5</v>
      </c>
      <c r="BU96" s="12"/>
      <c r="BV96" s="12">
        <v>0.5</v>
      </c>
      <c r="BZ96" s="12"/>
      <c r="CA96" s="12">
        <v>0.5</v>
      </c>
      <c r="CB96" s="12"/>
      <c r="CC96" s="12">
        <v>0.5</v>
      </c>
      <c r="CG96" s="12"/>
      <c r="CH96" s="12">
        <v>0.8</v>
      </c>
      <c r="CI96" s="12"/>
      <c r="CJ96" s="12">
        <v>0.8</v>
      </c>
      <c r="CN96" s="12"/>
      <c r="CO96" s="12">
        <v>0.8</v>
      </c>
      <c r="CP96" s="12"/>
      <c r="CQ96" s="12">
        <v>0.8</v>
      </c>
      <c r="CU96" s="12"/>
      <c r="CV96" s="12">
        <v>0.8</v>
      </c>
      <c r="CW96" s="12"/>
      <c r="CX96" s="12">
        <v>0.8</v>
      </c>
      <c r="DB96" s="12"/>
      <c r="DC96" s="12">
        <v>1</v>
      </c>
      <c r="DD96" s="12"/>
      <c r="DE96" s="12">
        <v>1</v>
      </c>
      <c r="DI96" s="12"/>
      <c r="DJ96" s="12">
        <v>1</v>
      </c>
      <c r="DK96" s="12"/>
      <c r="DL96" s="12">
        <v>1</v>
      </c>
      <c r="DP96" s="12"/>
      <c r="DQ96" s="12"/>
      <c r="DR96" s="12"/>
      <c r="DS96" s="12"/>
      <c r="DW96" s="12"/>
      <c r="DX96" s="12"/>
      <c r="DY96" s="12"/>
      <c r="DZ96" s="12"/>
      <c r="ED96" s="12"/>
      <c r="EE96" s="12"/>
      <c r="EF96" s="12"/>
      <c r="EG96" s="12"/>
    </row>
    <row r="97" spans="2:137" ht="15.75" customHeight="1" outlineLevel="1">
      <c r="B97" t="s">
        <v>28</v>
      </c>
      <c r="C97" t="s">
        <v>138</v>
      </c>
      <c r="E97" s="11"/>
      <c r="F97" t="s">
        <v>148</v>
      </c>
      <c r="G97" s="12">
        <v>0.1</v>
      </c>
      <c r="I97" s="11">
        <f t="shared" si="4"/>
        <v>0</v>
      </c>
      <c r="J97" s="13" cm="1">
        <f t="array" ref="J97">MAX(IF($N$3:$EI$3=$J$3,N97:EI97))</f>
        <v>0</v>
      </c>
      <c r="K97" s="13" cm="1">
        <f t="array" ref="K97">MAX(IF($N$3:$EI$3=$J$3,N97:EI97))</f>
        <v>0</v>
      </c>
      <c r="L97" s="11"/>
      <c r="O97" s="12"/>
      <c r="P97" s="12"/>
      <c r="Q97" s="12"/>
      <c r="R97" s="12"/>
      <c r="V97" s="12"/>
      <c r="W97" s="12"/>
      <c r="X97" s="12"/>
      <c r="Y97" s="12"/>
      <c r="AC97" s="12"/>
      <c r="AD97" s="12"/>
      <c r="AE97" s="12"/>
      <c r="AF97" s="12"/>
      <c r="AJ97" s="12"/>
      <c r="AK97" s="12"/>
      <c r="AL97" s="12"/>
      <c r="AM97" s="12"/>
      <c r="AQ97" s="12"/>
      <c r="AR97" s="12"/>
      <c r="AS97" s="12"/>
      <c r="AT97" s="12"/>
      <c r="AX97" s="12"/>
      <c r="AY97" s="12"/>
      <c r="AZ97" s="12"/>
      <c r="BA97" s="12"/>
      <c r="BE97" s="12"/>
      <c r="BF97" s="12"/>
      <c r="BG97" s="12"/>
      <c r="BH97" s="12"/>
      <c r="BL97" s="12"/>
      <c r="BM97" s="12">
        <v>0.5</v>
      </c>
      <c r="BN97" s="12"/>
      <c r="BO97" s="12">
        <v>0.5</v>
      </c>
      <c r="BS97" s="12"/>
      <c r="BT97" s="12">
        <v>0.5</v>
      </c>
      <c r="BU97" s="12"/>
      <c r="BV97" s="12">
        <v>0.5</v>
      </c>
      <c r="BZ97" s="12"/>
      <c r="CA97" s="12">
        <v>0.5</v>
      </c>
      <c r="CB97" s="12"/>
      <c r="CC97" s="12">
        <v>0.5</v>
      </c>
      <c r="CG97" s="12"/>
      <c r="CH97" s="12">
        <v>0.5</v>
      </c>
      <c r="CI97" s="12"/>
      <c r="CJ97" s="12">
        <v>0.5</v>
      </c>
      <c r="CN97" s="12"/>
      <c r="CO97" s="12">
        <v>0.8</v>
      </c>
      <c r="CP97" s="12"/>
      <c r="CQ97" s="12">
        <v>0.8</v>
      </c>
      <c r="CU97" s="12"/>
      <c r="CV97" s="12">
        <v>0.8</v>
      </c>
      <c r="CW97" s="12"/>
      <c r="CX97" s="12">
        <v>0.8</v>
      </c>
      <c r="DB97" s="12"/>
      <c r="DC97" s="12">
        <v>0.8</v>
      </c>
      <c r="DD97" s="12"/>
      <c r="DE97" s="12">
        <v>0.8</v>
      </c>
      <c r="DI97" s="12"/>
      <c r="DJ97" s="12">
        <v>1</v>
      </c>
      <c r="DK97" s="12"/>
      <c r="DL97" s="12">
        <v>1</v>
      </c>
      <c r="DP97" s="12"/>
      <c r="DQ97" s="12"/>
      <c r="DR97" s="12"/>
      <c r="DS97" s="12"/>
      <c r="DW97" s="12"/>
      <c r="DX97" s="12"/>
      <c r="DY97" s="12"/>
      <c r="DZ97" s="12"/>
      <c r="ED97" s="12"/>
      <c r="EE97" s="12"/>
      <c r="EF97" s="12"/>
      <c r="EG97" s="12"/>
    </row>
    <row r="98" spans="2:137" ht="15.75" customHeight="1" outlineLevel="1">
      <c r="B98" t="s">
        <v>28</v>
      </c>
      <c r="C98" t="s">
        <v>138</v>
      </c>
      <c r="E98" s="11"/>
      <c r="F98" t="s">
        <v>140</v>
      </c>
      <c r="G98" s="12">
        <v>0.1</v>
      </c>
      <c r="I98" s="11">
        <f t="shared" si="4"/>
        <v>0</v>
      </c>
      <c r="J98" s="13" cm="1">
        <f t="array" ref="J98">MAX(IF($N$3:$EI$3=$J$3,N98:EI98))</f>
        <v>0</v>
      </c>
      <c r="K98" s="13" cm="1">
        <f t="array" ref="K98">MAX(IF($N$3:$EI$3=$J$3,N98:EI98))</f>
        <v>0</v>
      </c>
      <c r="L98" s="11"/>
      <c r="O98" s="12"/>
      <c r="P98" s="12"/>
      <c r="Q98" s="12"/>
      <c r="R98" s="12"/>
      <c r="V98" s="12"/>
      <c r="W98" s="12"/>
      <c r="X98" s="12"/>
      <c r="Y98" s="12"/>
      <c r="AC98" s="12"/>
      <c r="AD98" s="12"/>
      <c r="AE98" s="12"/>
      <c r="AF98" s="12"/>
      <c r="AJ98" s="12"/>
      <c r="AK98" s="12"/>
      <c r="AL98" s="12"/>
      <c r="AM98" s="12"/>
      <c r="AQ98" s="12"/>
      <c r="AR98" s="12"/>
      <c r="AS98" s="12"/>
      <c r="AT98" s="12"/>
      <c r="AX98" s="12"/>
      <c r="AY98" s="12"/>
      <c r="AZ98" s="12"/>
      <c r="BA98" s="12"/>
      <c r="BE98" s="12"/>
      <c r="BF98" s="12"/>
      <c r="BG98" s="12"/>
      <c r="BH98" s="12"/>
      <c r="BL98" s="12"/>
      <c r="BM98" s="12">
        <v>0.5</v>
      </c>
      <c r="BN98" s="12"/>
      <c r="BO98" s="12">
        <v>0.5</v>
      </c>
      <c r="BS98" s="12"/>
      <c r="BT98" s="12">
        <v>0.5</v>
      </c>
      <c r="BU98" s="12"/>
      <c r="BV98" s="12">
        <v>0.5</v>
      </c>
      <c r="BZ98" s="12"/>
      <c r="CA98" s="12">
        <v>0.5</v>
      </c>
      <c r="CB98" s="12"/>
      <c r="CC98" s="12">
        <v>0.5</v>
      </c>
      <c r="CG98" s="12"/>
      <c r="CH98" s="12">
        <v>0.5</v>
      </c>
      <c r="CI98" s="12"/>
      <c r="CJ98" s="12">
        <v>0.5</v>
      </c>
      <c r="CN98" s="12"/>
      <c r="CO98" s="12">
        <v>0.8</v>
      </c>
      <c r="CP98" s="12"/>
      <c r="CQ98" s="12">
        <v>0.8</v>
      </c>
      <c r="CU98" s="12"/>
      <c r="CV98" s="12">
        <v>0.8</v>
      </c>
      <c r="CW98" s="12"/>
      <c r="CX98" s="12">
        <v>0.8</v>
      </c>
      <c r="DB98" s="12"/>
      <c r="DC98" s="12">
        <v>0.8</v>
      </c>
      <c r="DD98" s="12"/>
      <c r="DE98" s="12">
        <v>0.8</v>
      </c>
      <c r="DI98" s="12"/>
      <c r="DJ98" s="12">
        <v>1</v>
      </c>
      <c r="DK98" s="12"/>
      <c r="DL98" s="12">
        <v>1</v>
      </c>
      <c r="DP98" s="12"/>
      <c r="DQ98" s="12"/>
      <c r="DR98" s="12"/>
      <c r="DS98" s="12"/>
      <c r="DW98" s="12"/>
      <c r="DX98" s="12"/>
      <c r="DY98" s="12"/>
      <c r="DZ98" s="12"/>
      <c r="ED98" s="12"/>
      <c r="EE98" s="12"/>
      <c r="EF98" s="12"/>
      <c r="EG98" s="12"/>
    </row>
    <row r="99" spans="2:137" outlineLevel="1">
      <c r="B99" t="s">
        <v>28</v>
      </c>
      <c r="C99" t="s">
        <v>138</v>
      </c>
      <c r="E99" s="11"/>
      <c r="F99" t="s">
        <v>141</v>
      </c>
      <c r="G99" s="12">
        <v>0.1</v>
      </c>
      <c r="I99" s="11">
        <f t="shared" si="4"/>
        <v>0</v>
      </c>
      <c r="J99" s="13" cm="1">
        <f t="array" ref="J99">MAX(IF($N$3:$EI$3=$J$3,N99:EI99))</f>
        <v>0</v>
      </c>
      <c r="K99" s="13" cm="1">
        <f t="array" ref="K99">MAX(IF($N$3:$EI$3=$J$3,N99:EI99))</f>
        <v>0</v>
      </c>
      <c r="L99" s="11"/>
      <c r="O99" s="12"/>
      <c r="P99" s="12"/>
      <c r="Q99" s="12"/>
      <c r="R99" s="12"/>
      <c r="V99" s="12"/>
      <c r="W99" s="12"/>
      <c r="X99" s="12"/>
      <c r="Y99" s="12"/>
      <c r="AC99" s="12"/>
      <c r="AD99" s="12"/>
      <c r="AE99" s="12"/>
      <c r="AF99" s="12"/>
      <c r="AJ99" s="12"/>
      <c r="AK99" s="12"/>
      <c r="AL99" s="12"/>
      <c r="AM99" s="12"/>
      <c r="AQ99" s="12"/>
      <c r="AR99" s="12"/>
      <c r="AS99" s="12"/>
      <c r="AT99" s="12"/>
      <c r="AX99" s="12"/>
      <c r="AY99" s="12"/>
      <c r="AZ99" s="12"/>
      <c r="BA99" s="12"/>
      <c r="BE99" s="12"/>
      <c r="BF99" s="12"/>
      <c r="BG99" s="12"/>
      <c r="BH99" s="12"/>
      <c r="BL99" s="12"/>
      <c r="BM99" s="12"/>
      <c r="BN99" s="12"/>
      <c r="BO99" s="12"/>
      <c r="BS99" s="12"/>
      <c r="BT99" s="12">
        <v>0.5</v>
      </c>
      <c r="BU99" s="12"/>
      <c r="BV99" s="12">
        <v>0.5</v>
      </c>
      <c r="BZ99" s="12"/>
      <c r="CA99" s="12">
        <v>0.5</v>
      </c>
      <c r="CB99" s="12"/>
      <c r="CC99" s="12">
        <v>0.5</v>
      </c>
      <c r="CG99" s="12"/>
      <c r="CH99" s="12">
        <v>0.5</v>
      </c>
      <c r="CI99" s="12"/>
      <c r="CJ99" s="12">
        <v>0.5</v>
      </c>
      <c r="CN99" s="12"/>
      <c r="CO99" s="12">
        <v>0.5</v>
      </c>
      <c r="CP99" s="12"/>
      <c r="CQ99" s="12">
        <v>0.5</v>
      </c>
      <c r="CU99" s="12"/>
      <c r="CV99" s="12">
        <v>0.8</v>
      </c>
      <c r="CW99" s="12"/>
      <c r="CX99" s="12">
        <v>0.8</v>
      </c>
      <c r="DB99" s="12"/>
      <c r="DC99" s="12">
        <v>0.8</v>
      </c>
      <c r="DD99" s="12"/>
      <c r="DE99" s="12">
        <v>0.8</v>
      </c>
      <c r="DI99" s="12"/>
      <c r="DJ99" s="12">
        <v>1</v>
      </c>
      <c r="DK99" s="12"/>
      <c r="DL99" s="12">
        <v>1</v>
      </c>
      <c r="DP99" s="12"/>
      <c r="DQ99" s="12"/>
      <c r="DR99" s="12"/>
      <c r="DS99" s="12"/>
      <c r="DW99" s="12"/>
      <c r="DX99" s="12"/>
      <c r="DY99" s="12"/>
      <c r="DZ99" s="12"/>
      <c r="ED99" s="12"/>
      <c r="EE99" s="12"/>
      <c r="EF99" s="12"/>
      <c r="EG99" s="12"/>
    </row>
  </sheetData>
  <mergeCells count="19">
    <mergeCell ref="CT2:CY2"/>
    <mergeCell ref="DH2:DM2"/>
    <mergeCell ref="DO2:DT2"/>
    <mergeCell ref="DV2:EA2"/>
    <mergeCell ref="EC2:EH2"/>
    <mergeCell ref="DA2:DF2"/>
    <mergeCell ref="I2:L2"/>
    <mergeCell ref="N2:S2"/>
    <mergeCell ref="BD2:BI2"/>
    <mergeCell ref="U2:Z2"/>
    <mergeCell ref="AB2:AG2"/>
    <mergeCell ref="AI2:AN2"/>
    <mergeCell ref="AP2:AU2"/>
    <mergeCell ref="AW2:BB2"/>
    <mergeCell ref="BK2:BP2"/>
    <mergeCell ref="BR2:BW2"/>
    <mergeCell ref="BY2:CD2"/>
    <mergeCell ref="CF2:CK2"/>
    <mergeCell ref="CM2:CR2"/>
  </mergeCells>
  <conditionalFormatting sqref="O20 Q20 AJ60:AJ64 AL60:AL64 AX60:AX64 AZ60:AZ64 Q60:Q64 O60:O64 BG60:BG64 X60:X64 V60:V64 AE60:AE64 AC60:AC64 AS60:AS64 AQ60:AQ64 BE60:BE64 BN60:BN64 BL60:BL64 Q88:Q90 O88:O90 X88:X90 V88:V90 AE88:AE90 AC88:AC90 AJ88:AJ90 AL88:AL90 AS88:AS90 AQ88:AQ90 AX88:AX90 AZ88:AZ90 BG88:BG90 BE88:BE90 BN88:BN90 BL88:BL90 CB5:CB8 O5:O9 Q5:Q9 AQ5:AQ9 AS5:AS9 BE5:BE9 BG5:BG9 V5:V9 X5:X9 AC5:AC9 AE5:AE9 AJ5:AJ9 AL5:AL9 AX5:AX9 AZ5:AZ9 BL5:BL9 BN5:BN9 BS5:BS9 BU5:BU9 BZ5:BZ9 CG5:CG9 CI5:CI9 CN5:CN9 CP5:CP9 CP15:CP17 CN15:CN17 CI15:CI17 CG15:CG17 BZ15:BZ17 BU15:BU17 BS15:BS17 BL15:BL17 AZ15:AZ17 AX15:AX17 AL15:AL17 AJ15:AJ17 AE15:AE17 AC15:AC17 X15:X17 V15:V17 BG15:BG17 BE15:BE17 AS15:AS17 AQ15:AQ17 Q15:Q17 O15:O17 AJ43:AJ47 AL43:AL47 AX43:AX47 AZ43:AZ47 Q43:Q47 O43:O47 BG43:BG47 X43:X47 V43:V47 AE43:AE47 AC43:AC47 AS43:AS47 AQ43:AQ47 BE43:BE47 BN43:BN47 BL43:BL47 BU43:BU47 BS43:BS47 CB43:CB47 BZ43:BZ47 CI43:CI47 CG43:CG47 CP43:CP47 CN43:CN47 CN54:CN55 CP54:CP55 CG54:CG55 CI54:CI55 BZ54:BZ55 CB54:CB55 BS54:BS55 BU54:BU55 BL54:BL55 BN54:BN55 BE54:BE55 AQ54:AQ55 AS54:AS55 AC54:AC55 AE54:AE55 V54:V55 X54:X55 BG54:BG55 O54:O55 Q54:Q55 AZ54:AZ55 AX54:AX55 AL54:AL55 AJ54:AJ55 AJ83:AJ85 AL83:AL85 AX83:AX85 AZ83:AZ85 Q83:Q85 O83:O85 BG83:BG85 X83:X85 V83:V85 AE83:AE85 AC83:AC85 AS83:AS85 AQ83:AQ85 BE83:BE85 BN83:BN85 BL83:BL85 BU83:BU84 BS83:BS84 CB83:CB84 BZ83:BZ84 CI83:CI84 CG83:CG84 CP83:CP84 CN83:CN84 BL93:BL99 BN93:BN99 BE93:BE99 BG93:BG99 AZ93:AZ99 AX93:AX99 AQ93:AQ99 AS93:AS99 AL93:AL99 AJ93:AJ99 AC93:AC99 AE93:AE99 V93:V99 X93:X99 O93:O99 Q93:Q99 O23:O38 Q23:Q38 V23:V38 X23:X38 AC23:AC38 AE23:AE38 AJ23:AJ38 AL23:AL38 AQ23:AQ38 AS23:AS38 AZ23:AZ38 AX23:AX38 BE23:BE38 BG23:BG38 BL23:BL38 BN23:BN38 BS23:BS38 BU23:BU38 BZ23:BZ38 CB23:CB38 CG23:CG38 CI23:CI38 CN23:CN38 CP23:CP38 ED23:ED38 EF23:EF38 CU23:CU38 CW23:CW38 DB23:DB38 DD23:DD38 DI23:DI38 DK23:DK38 DP23:DP38 DR23:DR38 DW23:DW38 DY23:DY38 BN11:BN17 O72 Q72 BE72 V72 X72 AC72 AE72 AJ72 AL72 AQ72 AS72 AX72 AZ72 BG72 BL72 BN72 BS72 BU72 BZ72 CB72 CG72 CI72 CN72 CP72 ED72 EF72 CU72 CW72 DB72 DD72 DI72 DK72 DP72 DR72 DW72 DY72">
    <cfRule type="expression" dxfId="746" priority="1722">
      <formula>OR(IF(O5&lt;P5,TRUE),IF(AND(P5="",O5&lt;&gt;""),TRUE))</formula>
    </cfRule>
    <cfRule type="expression" dxfId="745" priority="1723">
      <formula>IF(O5&gt;=P5,IF(O5="",FALSE,TRUE))</formula>
    </cfRule>
  </conditionalFormatting>
  <conditionalFormatting sqref="AQ20 AS20">
    <cfRule type="expression" dxfId="744" priority="1589">
      <formula>OR(IF(AQ20&lt;AR20,TRUE),IF(AND(AR20="",AQ20&lt;&gt;""),TRUE))</formula>
    </cfRule>
    <cfRule type="expression" dxfId="743" priority="1590">
      <formula>IF(AQ20&gt;=AR20,IF(AQ20="",FALSE,TRUE))</formula>
    </cfRule>
  </conditionalFormatting>
  <conditionalFormatting sqref="O41:O42">
    <cfRule type="expression" dxfId="742" priority="1663">
      <formula>OR(IF(O41&lt;P41,TRUE),IF(AND(P41="",O41&lt;&gt;""),TRUE))</formula>
    </cfRule>
    <cfRule type="expression" dxfId="741" priority="1664">
      <formula>IF(O41&gt;=P41,IF(O41="",FALSE,TRUE))</formula>
    </cfRule>
  </conditionalFormatting>
  <conditionalFormatting sqref="Q41:Q42">
    <cfRule type="expression" dxfId="740" priority="1661">
      <formula>OR(IF(Q41&lt;R41,TRUE),IF(AND(R41="",Q41&lt;&gt;""),TRUE))</formula>
    </cfRule>
    <cfRule type="expression" dxfId="739" priority="1662">
      <formula>IF(Q41&gt;=R41,IF(Q41="",FALSE,TRUE))</formula>
    </cfRule>
  </conditionalFormatting>
  <conditionalFormatting sqref="BE20 BG20">
    <cfRule type="expression" dxfId="738" priority="1557">
      <formula>OR(IF(BE20&lt;BF20,TRUE),IF(AND(BF20="",BE20&lt;&gt;""),TRUE))</formula>
    </cfRule>
    <cfRule type="expression" dxfId="737" priority="1558">
      <formula>IF(BE20&gt;=BF20,IF(BE20="",FALSE,TRUE))</formula>
    </cfRule>
  </conditionalFormatting>
  <conditionalFormatting sqref="BE41:BE42">
    <cfRule type="expression" dxfId="736" priority="1553">
      <formula>OR(IF(BE41&lt;BF41,TRUE),IF(AND(BF41="",BE41&lt;&gt;""),TRUE))</formula>
    </cfRule>
    <cfRule type="expression" dxfId="735" priority="1554">
      <formula>IF(BE41&gt;=BF41,IF(BE41="",FALSE,TRUE))</formula>
    </cfRule>
  </conditionalFormatting>
  <conditionalFormatting sqref="V20 X20">
    <cfRule type="expression" dxfId="734" priority="1637">
      <formula>OR(IF(V20&lt;W20,TRUE),IF(AND(W20="",V20&lt;&gt;""),TRUE))</formula>
    </cfRule>
    <cfRule type="expression" dxfId="733" priority="1638">
      <formula>IF(V20&gt;=W20,IF(V20="",FALSE,TRUE))</formula>
    </cfRule>
  </conditionalFormatting>
  <conditionalFormatting sqref="V41:V42">
    <cfRule type="expression" dxfId="732" priority="1633">
      <formula>OR(IF(V41&lt;W41,TRUE),IF(AND(W41="",V41&lt;&gt;""),TRUE))</formula>
    </cfRule>
    <cfRule type="expression" dxfId="731" priority="1634">
      <formula>IF(V41&gt;=W41,IF(V41="",FALSE,TRUE))</formula>
    </cfRule>
  </conditionalFormatting>
  <conditionalFormatting sqref="X41:X42">
    <cfRule type="expression" dxfId="730" priority="1631">
      <formula>OR(IF(X41&lt;Y41,TRUE),IF(AND(Y41="",X41&lt;&gt;""),TRUE))</formula>
    </cfRule>
    <cfRule type="expression" dxfId="729" priority="1632">
      <formula>IF(X41&gt;=Y41,IF(X41="",FALSE,TRUE))</formula>
    </cfRule>
  </conditionalFormatting>
  <conditionalFormatting sqref="AC20 AE20">
    <cfRule type="expression" dxfId="728" priority="1621">
      <formula>OR(IF(AC20&lt;AD20,TRUE),IF(AND(AD20="",AC20&lt;&gt;""),TRUE))</formula>
    </cfRule>
    <cfRule type="expression" dxfId="727" priority="1622">
      <formula>IF(AC20&gt;=AD20,IF(AC20="",FALSE,TRUE))</formula>
    </cfRule>
  </conditionalFormatting>
  <conditionalFormatting sqref="AE41:AE42">
    <cfRule type="expression" dxfId="726" priority="1615">
      <formula>OR(IF(AE41&lt;AF41,TRUE),IF(AND(AF41="",AE41&lt;&gt;""),TRUE))</formula>
    </cfRule>
    <cfRule type="expression" dxfId="725" priority="1616">
      <formula>IF(AE41&gt;=AF41,IF(AE41="",FALSE,TRUE))</formula>
    </cfRule>
  </conditionalFormatting>
  <conditionalFormatting sqref="AJ20 AL20">
    <cfRule type="expression" dxfId="724" priority="1605">
      <formula>OR(IF(AJ20&lt;AK20,TRUE),IF(AND(AK20="",AJ20&lt;&gt;""),TRUE))</formula>
    </cfRule>
    <cfRule type="expression" dxfId="723" priority="1606">
      <formula>IF(AJ20&gt;=AK20,IF(AJ20="",FALSE,TRUE))</formula>
    </cfRule>
  </conditionalFormatting>
  <conditionalFormatting sqref="AJ41:AJ42">
    <cfRule type="expression" dxfId="722" priority="1601">
      <formula>OR(IF(AJ41&lt;AK41,TRUE),IF(AND(AK41="",AJ41&lt;&gt;""),TRUE))</formula>
    </cfRule>
    <cfRule type="expression" dxfId="721" priority="1602">
      <formula>IF(AJ41&gt;=AK41,IF(AJ41="",FALSE,TRUE))</formula>
    </cfRule>
  </conditionalFormatting>
  <conditionalFormatting sqref="AL41:AL42">
    <cfRule type="expression" dxfId="720" priority="1599">
      <formula>OR(IF(AL41&lt;AM41,TRUE),IF(AND(AM41="",AL41&lt;&gt;""),TRUE))</formula>
    </cfRule>
    <cfRule type="expression" dxfId="719" priority="1600">
      <formula>IF(AL41&gt;=AM41,IF(AL41="",FALSE,TRUE))</formula>
    </cfRule>
  </conditionalFormatting>
  <conditionalFormatting sqref="AQ41:AQ42">
    <cfRule type="expression" dxfId="718" priority="1585">
      <formula>OR(IF(AQ41&lt;AR41,TRUE),IF(AND(AR41="",AQ41&lt;&gt;""),TRUE))</formula>
    </cfRule>
    <cfRule type="expression" dxfId="717" priority="1586">
      <formula>IF(AQ41&gt;=AR41,IF(AQ41="",FALSE,TRUE))</formula>
    </cfRule>
  </conditionalFormatting>
  <conditionalFormatting sqref="AS41:AS42">
    <cfRule type="expression" dxfId="716" priority="1583">
      <formula>OR(IF(AS41&lt;AT41,TRUE),IF(AND(AT41="",AS41&lt;&gt;""),TRUE))</formula>
    </cfRule>
    <cfRule type="expression" dxfId="715" priority="1584">
      <formula>IF(AS41&gt;=AT41,IF(AS41="",FALSE,TRUE))</formula>
    </cfRule>
  </conditionalFormatting>
  <conditionalFormatting sqref="AX20 AZ20">
    <cfRule type="expression" dxfId="714" priority="1573">
      <formula>OR(IF(AX20&lt;AY20,TRUE),IF(AND(AY20="",AX20&lt;&gt;""),TRUE))</formula>
    </cfRule>
    <cfRule type="expression" dxfId="713" priority="1574">
      <formula>IF(AX20&gt;=AY20,IF(AX20="",FALSE,TRUE))</formula>
    </cfRule>
  </conditionalFormatting>
  <conditionalFormatting sqref="AX41:AX42">
    <cfRule type="expression" dxfId="712" priority="1569">
      <formula>OR(IF(AX41&lt;AY41,TRUE),IF(AND(AY41="",AX41&lt;&gt;""),TRUE))</formula>
    </cfRule>
    <cfRule type="expression" dxfId="711" priority="1570">
      <formula>IF(AX41&gt;=AY41,IF(AX41="",FALSE,TRUE))</formula>
    </cfRule>
  </conditionalFormatting>
  <conditionalFormatting sqref="AZ41:AZ42">
    <cfRule type="expression" dxfId="710" priority="1567">
      <formula>OR(IF(AZ41&lt;BA41,TRUE),IF(AND(BA41="",AZ41&lt;&gt;""),TRUE))</formula>
    </cfRule>
    <cfRule type="expression" dxfId="709" priority="1568">
      <formula>IF(AZ41&gt;=BA41,IF(AZ41="",FALSE,TRUE))</formula>
    </cfRule>
  </conditionalFormatting>
  <conditionalFormatting sqref="BG41:BG42">
    <cfRule type="expression" dxfId="708" priority="1551">
      <formula>OR(IF(BG41&lt;BH41,TRUE),IF(AND(BH41="",BG41&lt;&gt;""),TRUE))</formula>
    </cfRule>
    <cfRule type="expression" dxfId="707" priority="1552">
      <formula>IF(BG41&gt;=BH41,IF(BG41="",FALSE,TRUE))</formula>
    </cfRule>
  </conditionalFormatting>
  <conditionalFormatting sqref="BL20 BN20">
    <cfRule type="expression" dxfId="706" priority="1533">
      <formula>OR(IF(BL20&lt;BM20,TRUE),IF(AND(BM20="",BL20&lt;&gt;""),TRUE))</formula>
    </cfRule>
    <cfRule type="expression" dxfId="705" priority="1534">
      <formula>IF(BL20&gt;=BM20,IF(BL20="",FALSE,TRUE))</formula>
    </cfRule>
  </conditionalFormatting>
  <conditionalFormatting sqref="BL41:BL42">
    <cfRule type="expression" dxfId="704" priority="1529">
      <formula>OR(IF(BL41&lt;BM41,TRUE),IF(AND(BM41="",BL41&lt;&gt;""),TRUE))</formula>
    </cfRule>
    <cfRule type="expression" dxfId="703" priority="1530">
      <formula>IF(BL41&gt;=BM41,IF(BL41="",FALSE,TRUE))</formula>
    </cfRule>
  </conditionalFormatting>
  <conditionalFormatting sqref="BN41:BN42">
    <cfRule type="expression" dxfId="702" priority="1527">
      <formula>OR(IF(BN41&lt;BO41,TRUE),IF(AND(BO41="",BN41&lt;&gt;""),TRUE))</formula>
    </cfRule>
    <cfRule type="expression" dxfId="701" priority="1528">
      <formula>IF(BN41&gt;=BO41,IF(BN41="",FALSE,TRUE))</formula>
    </cfRule>
  </conditionalFormatting>
  <conditionalFormatting sqref="O58:O59">
    <cfRule type="expression" dxfId="700" priority="1450">
      <formula>OR(IF(O58&lt;P58,TRUE),IF(AND(P58="",O58&lt;&gt;""),TRUE))</formula>
    </cfRule>
    <cfRule type="expression" dxfId="699" priority="1451">
      <formula>IF(O58&gt;=P58,IF(O58="",FALSE,TRUE))</formula>
    </cfRule>
  </conditionalFormatting>
  <conditionalFormatting sqref="Q58:Q59">
    <cfRule type="expression" dxfId="698" priority="1448">
      <formula>OR(IF(Q58&lt;R58,TRUE),IF(AND(R58="",Q58&lt;&gt;""),TRUE))</formula>
    </cfRule>
    <cfRule type="expression" dxfId="697" priority="1449">
      <formula>IF(Q58&gt;=R58,IF(Q58="",FALSE,TRUE))</formula>
    </cfRule>
  </conditionalFormatting>
  <conditionalFormatting sqref="BE58:BE59">
    <cfRule type="expression" dxfId="696" priority="1402">
      <formula>OR(IF(BE58&lt;BF58,TRUE),IF(AND(BF58="",BE58&lt;&gt;""),TRUE))</formula>
    </cfRule>
    <cfRule type="expression" dxfId="695" priority="1403">
      <formula>IF(BE58&gt;=BF58,IF(BE58="",FALSE,TRUE))</formula>
    </cfRule>
  </conditionalFormatting>
  <conditionalFormatting sqref="V58:V59">
    <cfRule type="expression" dxfId="694" priority="1442">
      <formula>OR(IF(V58&lt;W58,TRUE),IF(AND(W58="",V58&lt;&gt;""),TRUE))</formula>
    </cfRule>
    <cfRule type="expression" dxfId="693" priority="1443">
      <formula>IF(V58&gt;=W58,IF(V58="",FALSE,TRUE))</formula>
    </cfRule>
  </conditionalFormatting>
  <conditionalFormatting sqref="X58:X59">
    <cfRule type="expression" dxfId="692" priority="1440">
      <formula>OR(IF(X58&lt;Y58,TRUE),IF(AND(Y58="",X58&lt;&gt;""),TRUE))</formula>
    </cfRule>
    <cfRule type="expression" dxfId="691" priority="1441">
      <formula>IF(X58&gt;=Y58,IF(X58="",FALSE,TRUE))</formula>
    </cfRule>
  </conditionalFormatting>
  <conditionalFormatting sqref="AC58:AC59">
    <cfRule type="expression" dxfId="690" priority="1434">
      <formula>OR(IF(AC58&lt;AD58,TRUE),IF(AND(AD58="",AC58&lt;&gt;""),TRUE))</formula>
    </cfRule>
    <cfRule type="expression" dxfId="689" priority="1435">
      <formula>IF(AC58&gt;=AD58,IF(AC58="",FALSE,TRUE))</formula>
    </cfRule>
  </conditionalFormatting>
  <conditionalFormatting sqref="AE58:AE59">
    <cfRule type="expression" dxfId="688" priority="1432">
      <formula>OR(IF(AE58&lt;AF58,TRUE),IF(AND(AF58="",AE58&lt;&gt;""),TRUE))</formula>
    </cfRule>
    <cfRule type="expression" dxfId="687" priority="1433">
      <formula>IF(AE58&gt;=AF58,IF(AE58="",FALSE,TRUE))</formula>
    </cfRule>
  </conditionalFormatting>
  <conditionalFormatting sqref="AJ58:AJ59">
    <cfRule type="expression" dxfId="686" priority="1426">
      <formula>OR(IF(AJ58&lt;AK58,TRUE),IF(AND(AK58="",AJ58&lt;&gt;""),TRUE))</formula>
    </cfRule>
    <cfRule type="expression" dxfId="685" priority="1427">
      <formula>IF(AJ58&gt;=AK58,IF(AJ58="",FALSE,TRUE))</formula>
    </cfRule>
  </conditionalFormatting>
  <conditionalFormatting sqref="AL58:AL59">
    <cfRule type="expression" dxfId="684" priority="1424">
      <formula>OR(IF(AL58&lt;AM58,TRUE),IF(AND(AM58="",AL58&lt;&gt;""),TRUE))</formula>
    </cfRule>
    <cfRule type="expression" dxfId="683" priority="1425">
      <formula>IF(AL58&gt;=AM58,IF(AL58="",FALSE,TRUE))</formula>
    </cfRule>
  </conditionalFormatting>
  <conditionalFormatting sqref="AQ58:AQ59">
    <cfRule type="expression" dxfId="682" priority="1418">
      <formula>OR(IF(AQ58&lt;AR58,TRUE),IF(AND(AR58="",AQ58&lt;&gt;""),TRUE))</formula>
    </cfRule>
    <cfRule type="expression" dxfId="681" priority="1419">
      <formula>IF(AQ58&gt;=AR58,IF(AQ58="",FALSE,TRUE))</formula>
    </cfRule>
  </conditionalFormatting>
  <conditionalFormatting sqref="AS58:AS59">
    <cfRule type="expression" dxfId="680" priority="1416">
      <formula>OR(IF(AS58&lt;AT58,TRUE),IF(AND(AT58="",AS58&lt;&gt;""),TRUE))</formula>
    </cfRule>
    <cfRule type="expression" dxfId="679" priority="1417">
      <formula>IF(AS58&gt;=AT58,IF(AS58="",FALSE,TRUE))</formula>
    </cfRule>
  </conditionalFormatting>
  <conditionalFormatting sqref="AX58:AX59">
    <cfRule type="expression" dxfId="678" priority="1410">
      <formula>OR(IF(AX58&lt;AY58,TRUE),IF(AND(AY58="",AX58&lt;&gt;""),TRUE))</formula>
    </cfRule>
    <cfRule type="expression" dxfId="677" priority="1411">
      <formula>IF(AX58&gt;=AY58,IF(AX58="",FALSE,TRUE))</formula>
    </cfRule>
  </conditionalFormatting>
  <conditionalFormatting sqref="AZ58:AZ59">
    <cfRule type="expression" dxfId="676" priority="1408">
      <formula>OR(IF(AZ58&lt;BA58,TRUE),IF(AND(BA58="",AZ58&lt;&gt;""),TRUE))</formula>
    </cfRule>
    <cfRule type="expression" dxfId="675" priority="1409">
      <formula>IF(AZ58&gt;=BA58,IF(AZ58="",FALSE,TRUE))</formula>
    </cfRule>
  </conditionalFormatting>
  <conditionalFormatting sqref="BG58:BG59">
    <cfRule type="expression" dxfId="674" priority="1400">
      <formula>OR(IF(BG58&lt;BH58,TRUE),IF(AND(BH58="",BG58&lt;&gt;""),TRUE))</formula>
    </cfRule>
    <cfRule type="expression" dxfId="673" priority="1401">
      <formula>IF(BG58&gt;=BH58,IF(BG58="",FALSE,TRUE))</formula>
    </cfRule>
  </conditionalFormatting>
  <conditionalFormatting sqref="BL58:BL59">
    <cfRule type="expression" dxfId="672" priority="1391">
      <formula>OR(IF(BL58&lt;BM58,TRUE),IF(AND(BM58="",BL58&lt;&gt;""),TRUE))</formula>
    </cfRule>
    <cfRule type="expression" dxfId="671" priority="1392">
      <formula>IF(BL58&gt;=BM58,IF(BL58="",FALSE,TRUE))</formula>
    </cfRule>
  </conditionalFormatting>
  <conditionalFormatting sqref="BN58:BN59">
    <cfRule type="expression" dxfId="670" priority="1389">
      <formula>OR(IF(BN58&lt;BO58,TRUE),IF(AND(BO58="",BN58&lt;&gt;""),TRUE))</formula>
    </cfRule>
    <cfRule type="expression" dxfId="669" priority="1390">
      <formula>IF(BN58&gt;=BO58,IF(BN58="",FALSE,TRUE))</formula>
    </cfRule>
  </conditionalFormatting>
  <conditionalFormatting sqref="O21 Q21">
    <cfRule type="expression" dxfId="668" priority="1316">
      <formula>OR(IF(O21&lt;P21,TRUE),IF(AND(P21="",O21&lt;&gt;""),TRUE))</formula>
    </cfRule>
    <cfRule type="expression" dxfId="667" priority="1317">
      <formula>IF(O21&gt;=P21,IF(O21="",FALSE,TRUE))</formula>
    </cfRule>
  </conditionalFormatting>
  <conditionalFormatting sqref="AQ21 AS21">
    <cfRule type="expression" dxfId="666" priority="1308">
      <formula>OR(IF(AQ21&lt;AR21,TRUE),IF(AND(AR21="",AQ21&lt;&gt;""),TRUE))</formula>
    </cfRule>
    <cfRule type="expression" dxfId="665" priority="1309">
      <formula>IF(AQ21&gt;=AR21,IF(AQ21="",FALSE,TRUE))</formula>
    </cfRule>
  </conditionalFormatting>
  <conditionalFormatting sqref="BE21 BG21">
    <cfRule type="expression" dxfId="664" priority="1304">
      <formula>OR(IF(BE21&lt;BF21,TRUE),IF(AND(BF21="",BE21&lt;&gt;""),TRUE))</formula>
    </cfRule>
    <cfRule type="expression" dxfId="663" priority="1305">
      <formula>IF(BE21&gt;=BF21,IF(BE21="",FALSE,TRUE))</formula>
    </cfRule>
  </conditionalFormatting>
  <conditionalFormatting sqref="V21 X21">
    <cfRule type="expression" dxfId="662" priority="1314">
      <formula>OR(IF(V21&lt;W21,TRUE),IF(AND(W21="",V21&lt;&gt;""),TRUE))</formula>
    </cfRule>
    <cfRule type="expression" dxfId="661" priority="1315">
      <formula>IF(V21&gt;=W21,IF(V21="",FALSE,TRUE))</formula>
    </cfRule>
  </conditionalFormatting>
  <conditionalFormatting sqref="AC21 AE21">
    <cfRule type="expression" dxfId="660" priority="1312">
      <formula>OR(IF(AC21&lt;AD21,TRUE),IF(AND(AD21="",AC21&lt;&gt;""),TRUE))</formula>
    </cfRule>
    <cfRule type="expression" dxfId="659" priority="1313">
      <formula>IF(AC21&gt;=AD21,IF(AC21="",FALSE,TRUE))</formula>
    </cfRule>
  </conditionalFormatting>
  <conditionalFormatting sqref="AJ21 AL21">
    <cfRule type="expression" dxfId="658" priority="1310">
      <formula>OR(IF(AJ21&lt;AK21,TRUE),IF(AND(AK21="",AJ21&lt;&gt;""),TRUE))</formula>
    </cfRule>
    <cfRule type="expression" dxfId="657" priority="1311">
      <formula>IF(AJ21&gt;=AK21,IF(AJ21="",FALSE,TRUE))</formula>
    </cfRule>
  </conditionalFormatting>
  <conditionalFormatting sqref="AX21 AZ21">
    <cfRule type="expression" dxfId="656" priority="1306">
      <formula>OR(IF(AX21&lt;AY21,TRUE),IF(AND(AY21="",AX21&lt;&gt;""),TRUE))</formula>
    </cfRule>
    <cfRule type="expression" dxfId="655" priority="1307">
      <formula>IF(AX21&gt;=AY21,IF(AX21="",FALSE,TRUE))</formula>
    </cfRule>
  </conditionalFormatting>
  <conditionalFormatting sqref="J21:K21">
    <cfRule type="colorScale" priority="1303">
      <colorScale>
        <cfvo type="percent" val="0"/>
        <cfvo type="percent" val="100"/>
        <color rgb="FFFF231B"/>
        <color rgb="FF10FF07"/>
      </colorScale>
    </cfRule>
  </conditionalFormatting>
  <conditionalFormatting sqref="J21">
    <cfRule type="colorScale" priority="1302">
      <colorScale>
        <cfvo type="percent" val="0"/>
        <cfvo type="percent" val="100"/>
        <color rgb="FFFF231B"/>
        <color rgb="FF10FF07"/>
      </colorScale>
    </cfRule>
  </conditionalFormatting>
  <conditionalFormatting sqref="K21">
    <cfRule type="colorScale" priority="1301">
      <colorScale>
        <cfvo type="percent" val="0"/>
        <cfvo type="percent" val="100"/>
        <color rgb="FFFF231B"/>
        <color rgb="FF10FF07"/>
      </colorScale>
    </cfRule>
  </conditionalFormatting>
  <conditionalFormatting sqref="BL21 BN21">
    <cfRule type="expression" dxfId="654" priority="1299">
      <formula>OR(IF(BL21&lt;BM21,TRUE),IF(AND(BM21="",BL21&lt;&gt;""),TRUE))</formula>
    </cfRule>
    <cfRule type="expression" dxfId="653" priority="1300">
      <formula>IF(BL21&gt;=BM21,IF(BL21="",FALSE,TRUE))</formula>
    </cfRule>
  </conditionalFormatting>
  <conditionalFormatting sqref="Q22 O22">
    <cfRule type="expression" dxfId="652" priority="1297">
      <formula>OR(IF(O22&lt;P22,TRUE),IF(AND(P22="",O22&lt;&gt;""),TRUE))</formula>
    </cfRule>
    <cfRule type="expression" dxfId="651" priority="1298">
      <formula>IF(O22&gt;=P22,IF(O22="",FALSE,TRUE))</formula>
    </cfRule>
  </conditionalFormatting>
  <conditionalFormatting sqref="AS22 AQ22">
    <cfRule type="expression" dxfId="650" priority="1289">
      <formula>OR(IF(AQ22&lt;AR22,TRUE),IF(AND(AR22="",AQ22&lt;&gt;""),TRUE))</formula>
    </cfRule>
    <cfRule type="expression" dxfId="649" priority="1290">
      <formula>IF(AQ22&gt;=AR22,IF(AQ22="",FALSE,TRUE))</formula>
    </cfRule>
  </conditionalFormatting>
  <conditionalFormatting sqref="BG22 BE22">
    <cfRule type="expression" dxfId="648" priority="1285">
      <formula>OR(IF(BE22&lt;BF22,TRUE),IF(AND(BF22="",BE22&lt;&gt;""),TRUE))</formula>
    </cfRule>
    <cfRule type="expression" dxfId="647" priority="1286">
      <formula>IF(BE22&gt;=BF22,IF(BE22="",FALSE,TRUE))</formula>
    </cfRule>
  </conditionalFormatting>
  <conditionalFormatting sqref="X22 V22">
    <cfRule type="expression" dxfId="646" priority="1295">
      <formula>OR(IF(V22&lt;W22,TRUE),IF(AND(W22="",V22&lt;&gt;""),TRUE))</formula>
    </cfRule>
    <cfRule type="expression" dxfId="645" priority="1296">
      <formula>IF(V22&gt;=W22,IF(V22="",FALSE,TRUE))</formula>
    </cfRule>
  </conditionalFormatting>
  <conditionalFormatting sqref="AE22 AC22">
    <cfRule type="expression" dxfId="644" priority="1293">
      <formula>OR(IF(AC22&lt;AD22,TRUE),IF(AND(AD22="",AC22&lt;&gt;""),TRUE))</formula>
    </cfRule>
    <cfRule type="expression" dxfId="643" priority="1294">
      <formula>IF(AC22&gt;=AD22,IF(AC22="",FALSE,TRUE))</formula>
    </cfRule>
  </conditionalFormatting>
  <conditionalFormatting sqref="AL22 AJ22">
    <cfRule type="expression" dxfId="642" priority="1291">
      <formula>OR(IF(AJ22&lt;AK22,TRUE),IF(AND(AK22="",AJ22&lt;&gt;""),TRUE))</formula>
    </cfRule>
    <cfRule type="expression" dxfId="641" priority="1292">
      <formula>IF(AJ22&gt;=AK22,IF(AJ22="",FALSE,TRUE))</formula>
    </cfRule>
  </conditionalFormatting>
  <conditionalFormatting sqref="AZ22 AX22">
    <cfRule type="expression" dxfId="640" priority="1287">
      <formula>OR(IF(AX22&lt;AY22,TRUE),IF(AND(AY22="",AX22&lt;&gt;""),TRUE))</formula>
    </cfRule>
    <cfRule type="expression" dxfId="639" priority="1288">
      <formula>IF(AX22&gt;=AY22,IF(AX22="",FALSE,TRUE))</formula>
    </cfRule>
  </conditionalFormatting>
  <conditionalFormatting sqref="J22:K22">
    <cfRule type="colorScale" priority="1284">
      <colorScale>
        <cfvo type="percent" val="0"/>
        <cfvo type="percent" val="100"/>
        <color rgb="FFFF231B"/>
        <color rgb="FF10FF07"/>
      </colorScale>
    </cfRule>
  </conditionalFormatting>
  <conditionalFormatting sqref="J22">
    <cfRule type="colorScale" priority="1283">
      <colorScale>
        <cfvo type="percent" val="0"/>
        <cfvo type="percent" val="100"/>
        <color rgb="FFFF231B"/>
        <color rgb="FF10FF07"/>
      </colorScale>
    </cfRule>
  </conditionalFormatting>
  <conditionalFormatting sqref="K22">
    <cfRule type="colorScale" priority="1282">
      <colorScale>
        <cfvo type="percent" val="0"/>
        <cfvo type="percent" val="100"/>
        <color rgb="FFFF231B"/>
        <color rgb="FF10FF07"/>
      </colorScale>
    </cfRule>
  </conditionalFormatting>
  <conditionalFormatting sqref="BN22 BL22">
    <cfRule type="expression" dxfId="638" priority="1280">
      <formula>OR(IF(BL22&lt;BM22,TRUE),IF(AND(BM22="",BL22&lt;&gt;""),TRUE))</formula>
    </cfRule>
    <cfRule type="expression" dxfId="637" priority="1281">
      <formula>IF(BL22&gt;=BM22,IF(BL22="",FALSE,TRUE))</formula>
    </cfRule>
  </conditionalFormatting>
  <conditionalFormatting sqref="J85:K85 J59:K64">
    <cfRule type="colorScale" priority="1845">
      <colorScale>
        <cfvo type="percent" val="0"/>
        <cfvo type="percent" val="100"/>
        <color rgb="FFFF231B"/>
        <color rgb="FF10FF07"/>
      </colorScale>
    </cfRule>
  </conditionalFormatting>
  <conditionalFormatting sqref="J58:J64 J85">
    <cfRule type="colorScale" priority="1847">
      <colorScale>
        <cfvo type="percent" val="0"/>
        <cfvo type="percent" val="100"/>
        <color rgb="FFFF231B"/>
        <color rgb="FF10FF07"/>
      </colorScale>
    </cfRule>
  </conditionalFormatting>
  <conditionalFormatting sqref="K58:K64 K85">
    <cfRule type="colorScale" priority="1849">
      <colorScale>
        <cfvo type="percent" val="0"/>
        <cfvo type="percent" val="100"/>
        <color rgb="FFFF231B"/>
        <color rgb="FF10FF07"/>
      </colorScale>
    </cfRule>
  </conditionalFormatting>
  <conditionalFormatting sqref="J89:K90 J93:K99">
    <cfRule type="colorScale" priority="1906">
      <colorScale>
        <cfvo type="percent" val="0"/>
        <cfvo type="percent" val="100"/>
        <color rgb="FFFF231B"/>
        <color rgb="FF10FF07"/>
      </colorScale>
    </cfRule>
  </conditionalFormatting>
  <conditionalFormatting sqref="J88:J90 J93:J99">
    <cfRule type="colorScale" priority="1907">
      <colorScale>
        <cfvo type="percent" val="0"/>
        <cfvo type="percent" val="100"/>
        <color rgb="FFFF231B"/>
        <color rgb="FF10FF07"/>
      </colorScale>
    </cfRule>
  </conditionalFormatting>
  <conditionalFormatting sqref="K88:K90 K93:K99">
    <cfRule type="colorScale" priority="1909">
      <colorScale>
        <cfvo type="percent" val="0"/>
        <cfvo type="percent" val="100"/>
        <color rgb="FFFF231B"/>
        <color rgb="FF10FF07"/>
      </colorScale>
    </cfRule>
  </conditionalFormatting>
  <conditionalFormatting sqref="BU60:BU64 BS60:BS64 BU88:BU90 BS88:BS90 BS85 BU85 BS93:BS99 BU93:BU99">
    <cfRule type="expression" dxfId="636" priority="1278">
      <formula>OR(IF(BS60&lt;BT60,TRUE),IF(AND(BT60="",BS60&lt;&gt;""),TRUE))</formula>
    </cfRule>
    <cfRule type="expression" dxfId="635" priority="1279">
      <formula>IF(BS60&gt;=BT60,IF(BS60="",FALSE,TRUE))</formula>
    </cfRule>
  </conditionalFormatting>
  <conditionalFormatting sqref="BS20 BU20">
    <cfRule type="expression" dxfId="634" priority="1276">
      <formula>OR(IF(BS20&lt;BT20,TRUE),IF(AND(BT20="",BS20&lt;&gt;""),TRUE))</formula>
    </cfRule>
    <cfRule type="expression" dxfId="633" priority="1277">
      <formula>IF(BS20&gt;=BT20,IF(BS20="",FALSE,TRUE))</formula>
    </cfRule>
  </conditionalFormatting>
  <conditionalFormatting sqref="BS41:BS42">
    <cfRule type="expression" dxfId="632" priority="1274">
      <formula>OR(IF(BS41&lt;BT41,TRUE),IF(AND(BT41="",BS41&lt;&gt;""),TRUE))</formula>
    </cfRule>
    <cfRule type="expression" dxfId="631" priority="1275">
      <formula>IF(BS41&gt;=BT41,IF(BS41="",FALSE,TRUE))</formula>
    </cfRule>
  </conditionalFormatting>
  <conditionalFormatting sqref="BU41:BU42">
    <cfRule type="expression" dxfId="630" priority="1272">
      <formula>OR(IF(BU41&lt;BV41,TRUE),IF(AND(BV41="",BU41&lt;&gt;""),TRUE))</formula>
    </cfRule>
    <cfRule type="expression" dxfId="629" priority="1273">
      <formula>IF(BU41&gt;=BV41,IF(BU41="",FALSE,TRUE))</formula>
    </cfRule>
  </conditionalFormatting>
  <conditionalFormatting sqref="BS58:BS59">
    <cfRule type="expression" dxfId="628" priority="1266">
      <formula>OR(IF(BS58&lt;BT58,TRUE),IF(AND(BT58="",BS58&lt;&gt;""),TRUE))</formula>
    </cfRule>
    <cfRule type="expression" dxfId="627" priority="1267">
      <formula>IF(BS58&gt;=BT58,IF(BS58="",FALSE,TRUE))</formula>
    </cfRule>
  </conditionalFormatting>
  <conditionalFormatting sqref="BU58:BU59">
    <cfRule type="expression" dxfId="626" priority="1264">
      <formula>OR(IF(BU58&lt;BV58,TRUE),IF(AND(BV58="",BU58&lt;&gt;""),TRUE))</formula>
    </cfRule>
    <cfRule type="expression" dxfId="625" priority="1265">
      <formula>IF(BU58&gt;=BV58,IF(BU58="",FALSE,TRUE))</formula>
    </cfRule>
  </conditionalFormatting>
  <conditionalFormatting sqref="BS21 BU21">
    <cfRule type="expression" dxfId="624" priority="1262">
      <formula>OR(IF(BS21&lt;BT21,TRUE),IF(AND(BT21="",BS21&lt;&gt;""),TRUE))</formula>
    </cfRule>
    <cfRule type="expression" dxfId="623" priority="1263">
      <formula>IF(BS21&gt;=BT21,IF(BS21="",FALSE,TRUE))</formula>
    </cfRule>
  </conditionalFormatting>
  <conditionalFormatting sqref="BU22 BS22">
    <cfRule type="expression" dxfId="622" priority="1260">
      <formula>OR(IF(BS22&lt;BT22,TRUE),IF(AND(BT22="",BS22&lt;&gt;""),TRUE))</formula>
    </cfRule>
    <cfRule type="expression" dxfId="621" priority="1261">
      <formula>IF(BS22&gt;=BT22,IF(BS22="",FALSE,TRUE))</formula>
    </cfRule>
  </conditionalFormatting>
  <conditionalFormatting sqref="CB60:CB64 BZ60:BZ64 CB88:CB90 BZ88:BZ90 BZ85 CB85 BZ93:BZ99 CB93:CB99">
    <cfRule type="expression" dxfId="620" priority="1258">
      <formula>OR(IF(BZ60&lt;CA60,TRUE),IF(AND(CA60="",BZ60&lt;&gt;""),TRUE))</formula>
    </cfRule>
    <cfRule type="expression" dxfId="619" priority="1259">
      <formula>IF(BZ60&gt;=CA60,IF(BZ60="",FALSE,TRUE))</formula>
    </cfRule>
  </conditionalFormatting>
  <conditionalFormatting sqref="BZ20 CB20">
    <cfRule type="expression" dxfId="618" priority="1256">
      <formula>OR(IF(BZ20&lt;CA20,TRUE),IF(AND(CA20="",BZ20&lt;&gt;""),TRUE))</formula>
    </cfRule>
    <cfRule type="expression" dxfId="617" priority="1257">
      <formula>IF(BZ20&gt;=CA20,IF(BZ20="",FALSE,TRUE))</formula>
    </cfRule>
  </conditionalFormatting>
  <conditionalFormatting sqref="BZ41:BZ42">
    <cfRule type="expression" dxfId="616" priority="1254">
      <formula>OR(IF(BZ41&lt;CA41,TRUE),IF(AND(CA41="",BZ41&lt;&gt;""),TRUE))</formula>
    </cfRule>
    <cfRule type="expression" dxfId="615" priority="1255">
      <formula>IF(BZ41&gt;=CA41,IF(BZ41="",FALSE,TRUE))</formula>
    </cfRule>
  </conditionalFormatting>
  <conditionalFormatting sqref="CB41:CB42">
    <cfRule type="expression" dxfId="614" priority="1252">
      <formula>OR(IF(CB41&lt;CC41,TRUE),IF(AND(CC41="",CB41&lt;&gt;""),TRUE))</formula>
    </cfRule>
    <cfRule type="expression" dxfId="613" priority="1253">
      <formula>IF(CB41&gt;=CC41,IF(CB41="",FALSE,TRUE))</formula>
    </cfRule>
  </conditionalFormatting>
  <conditionalFormatting sqref="BZ58:BZ59">
    <cfRule type="expression" dxfId="612" priority="1246">
      <formula>OR(IF(BZ58&lt;CA58,TRUE),IF(AND(CA58="",BZ58&lt;&gt;""),TRUE))</formula>
    </cfRule>
    <cfRule type="expression" dxfId="611" priority="1247">
      <formula>IF(BZ58&gt;=CA58,IF(BZ58="",FALSE,TRUE))</formula>
    </cfRule>
  </conditionalFormatting>
  <conditionalFormatting sqref="CB58:CB59">
    <cfRule type="expression" dxfId="610" priority="1244">
      <formula>OR(IF(CB58&lt;CC58,TRUE),IF(AND(CC58="",CB58&lt;&gt;""),TRUE))</formula>
    </cfRule>
    <cfRule type="expression" dxfId="609" priority="1245">
      <formula>IF(CB58&gt;=CC58,IF(CB58="",FALSE,TRUE))</formula>
    </cfRule>
  </conditionalFormatting>
  <conditionalFormatting sqref="BZ21 CB21">
    <cfRule type="expression" dxfId="608" priority="1242">
      <formula>OR(IF(BZ21&lt;CA21,TRUE),IF(AND(CA21="",BZ21&lt;&gt;""),TRUE))</formula>
    </cfRule>
    <cfRule type="expression" dxfId="607" priority="1243">
      <formula>IF(BZ21&gt;=CA21,IF(BZ21="",FALSE,TRUE))</formula>
    </cfRule>
  </conditionalFormatting>
  <conditionalFormatting sqref="CB22 BZ22">
    <cfRule type="expression" dxfId="606" priority="1240">
      <formula>OR(IF(BZ22&lt;CA22,TRUE),IF(AND(CA22="",BZ22&lt;&gt;""),TRUE))</formula>
    </cfRule>
    <cfRule type="expression" dxfId="605" priority="1241">
      <formula>IF(BZ22&gt;=CA22,IF(BZ22="",FALSE,TRUE))</formula>
    </cfRule>
  </conditionalFormatting>
  <conditionalFormatting sqref="CI60:CI64 CG60:CG64 CI88:CI90 CG88:CG90 CG85 CI85 CG93:CG99 CI93:CI99">
    <cfRule type="expression" dxfId="604" priority="1238">
      <formula>OR(IF(CG60&lt;CH60,TRUE),IF(AND(CH60="",CG60&lt;&gt;""),TRUE))</formula>
    </cfRule>
    <cfRule type="expression" dxfId="603" priority="1239">
      <formula>IF(CG60&gt;=CH60,IF(CG60="",FALSE,TRUE))</formula>
    </cfRule>
  </conditionalFormatting>
  <conditionalFormatting sqref="CG20 CI20">
    <cfRule type="expression" dxfId="602" priority="1236">
      <formula>OR(IF(CG20&lt;CH20,TRUE),IF(AND(CH20="",CG20&lt;&gt;""),TRUE))</formula>
    </cfRule>
    <cfRule type="expression" dxfId="601" priority="1237">
      <formula>IF(CG20&gt;=CH20,IF(CG20="",FALSE,TRUE))</formula>
    </cfRule>
  </conditionalFormatting>
  <conditionalFormatting sqref="CG41:CG42">
    <cfRule type="expression" dxfId="600" priority="1234">
      <formula>OR(IF(CG41&lt;CH41,TRUE),IF(AND(CH41="",CG41&lt;&gt;""),TRUE))</formula>
    </cfRule>
    <cfRule type="expression" dxfId="599" priority="1235">
      <formula>IF(CG41&gt;=CH41,IF(CG41="",FALSE,TRUE))</formula>
    </cfRule>
  </conditionalFormatting>
  <conditionalFormatting sqref="CI41:CI42">
    <cfRule type="expression" dxfId="598" priority="1232">
      <formula>OR(IF(CI41&lt;CJ41,TRUE),IF(AND(CJ41="",CI41&lt;&gt;""),TRUE))</formula>
    </cfRule>
    <cfRule type="expression" dxfId="597" priority="1233">
      <formula>IF(CI41&gt;=CJ41,IF(CI41="",FALSE,TRUE))</formula>
    </cfRule>
  </conditionalFormatting>
  <conditionalFormatting sqref="CG58:CG59">
    <cfRule type="expression" dxfId="596" priority="1226">
      <formula>OR(IF(CG58&lt;CH58,TRUE),IF(AND(CH58="",CG58&lt;&gt;""),TRUE))</formula>
    </cfRule>
    <cfRule type="expression" dxfId="595" priority="1227">
      <formula>IF(CG58&gt;=CH58,IF(CG58="",FALSE,TRUE))</formula>
    </cfRule>
  </conditionalFormatting>
  <conditionalFormatting sqref="CI58:CI59">
    <cfRule type="expression" dxfId="594" priority="1224">
      <formula>OR(IF(CI58&lt;CJ58,TRUE),IF(AND(CJ58="",CI58&lt;&gt;""),TRUE))</formula>
    </cfRule>
    <cfRule type="expression" dxfId="593" priority="1225">
      <formula>IF(CI58&gt;=CJ58,IF(CI58="",FALSE,TRUE))</formula>
    </cfRule>
  </conditionalFormatting>
  <conditionalFormatting sqref="CG21 CI21">
    <cfRule type="expression" dxfId="592" priority="1222">
      <formula>OR(IF(CG21&lt;CH21,TRUE),IF(AND(CH21="",CG21&lt;&gt;""),TRUE))</formula>
    </cfRule>
    <cfRule type="expression" dxfId="591" priority="1223">
      <formula>IF(CG21&gt;=CH21,IF(CG21="",FALSE,TRUE))</formula>
    </cfRule>
  </conditionalFormatting>
  <conditionalFormatting sqref="CI22 CG22">
    <cfRule type="expression" dxfId="590" priority="1220">
      <formula>OR(IF(CG22&lt;CH22,TRUE),IF(AND(CH22="",CG22&lt;&gt;""),TRUE))</formula>
    </cfRule>
    <cfRule type="expression" dxfId="589" priority="1221">
      <formula>IF(CG22&gt;=CH22,IF(CG22="",FALSE,TRUE))</formula>
    </cfRule>
  </conditionalFormatting>
  <conditionalFormatting sqref="CP60:CP61 CN60:CN64 CP88:CP90 CN88:CN90 CN85 CP85 CN93:CN99 CP93:CP99">
    <cfRule type="expression" dxfId="588" priority="1218">
      <formula>OR(IF(CN60&lt;CO60,TRUE),IF(AND(CO60="",CN60&lt;&gt;""),TRUE))</formula>
    </cfRule>
    <cfRule type="expression" dxfId="587" priority="1219">
      <formula>IF(CN60&gt;=CO60,IF(CN60="",FALSE,TRUE))</formula>
    </cfRule>
  </conditionalFormatting>
  <conditionalFormatting sqref="CN20 CP20">
    <cfRule type="expression" dxfId="586" priority="1216">
      <formula>OR(IF(CN20&lt;CO20,TRUE),IF(AND(CO20="",CN20&lt;&gt;""),TRUE))</formula>
    </cfRule>
    <cfRule type="expression" dxfId="585" priority="1217">
      <formula>IF(CN20&gt;=CO20,IF(CN20="",FALSE,TRUE))</formula>
    </cfRule>
  </conditionalFormatting>
  <conditionalFormatting sqref="CN41:CN42">
    <cfRule type="expression" dxfId="584" priority="1214">
      <formula>OR(IF(CN41&lt;CO41,TRUE),IF(AND(CO41="",CN41&lt;&gt;""),TRUE))</formula>
    </cfRule>
    <cfRule type="expression" dxfId="583" priority="1215">
      <formula>IF(CN41&gt;=CO41,IF(CN41="",FALSE,TRUE))</formula>
    </cfRule>
  </conditionalFormatting>
  <conditionalFormatting sqref="CP41:CP42">
    <cfRule type="expression" dxfId="582" priority="1212">
      <formula>OR(IF(CP41&lt;CQ41,TRUE),IF(AND(CQ41="",CP41&lt;&gt;""),TRUE))</formula>
    </cfRule>
    <cfRule type="expression" dxfId="581" priority="1213">
      <formula>IF(CP41&gt;=CQ41,IF(CP41="",FALSE,TRUE))</formula>
    </cfRule>
  </conditionalFormatting>
  <conditionalFormatting sqref="CN58:CN59">
    <cfRule type="expression" dxfId="580" priority="1206">
      <formula>OR(IF(CN58&lt;CO58,TRUE),IF(AND(CO58="",CN58&lt;&gt;""),TRUE))</formula>
    </cfRule>
    <cfRule type="expression" dxfId="579" priority="1207">
      <formula>IF(CN58&gt;=CO58,IF(CN58="",FALSE,TRUE))</formula>
    </cfRule>
  </conditionalFormatting>
  <conditionalFormatting sqref="CP58:CP59">
    <cfRule type="expression" dxfId="578" priority="1204">
      <formula>OR(IF(CP58&lt;CQ58,TRUE),IF(AND(CQ58="",CP58&lt;&gt;""),TRUE))</formula>
    </cfRule>
    <cfRule type="expression" dxfId="577" priority="1205">
      <formula>IF(CP58&gt;=CQ58,IF(CP58="",FALSE,TRUE))</formula>
    </cfRule>
  </conditionalFormatting>
  <conditionalFormatting sqref="CN21 CP21">
    <cfRule type="expression" dxfId="576" priority="1202">
      <formula>OR(IF(CN21&lt;CO21,TRUE),IF(AND(CO21="",CN21&lt;&gt;""),TRUE))</formula>
    </cfRule>
    <cfRule type="expression" dxfId="575" priority="1203">
      <formula>IF(CN21&gt;=CO21,IF(CN21="",FALSE,TRUE))</formula>
    </cfRule>
  </conditionalFormatting>
  <conditionalFormatting sqref="CP22 CN22">
    <cfRule type="expression" dxfId="574" priority="1200">
      <formula>OR(IF(CN22&lt;CO22,TRUE),IF(AND(CO22="",CN22&lt;&gt;""),TRUE))</formula>
    </cfRule>
    <cfRule type="expression" dxfId="573" priority="1201">
      <formula>IF(CN22&gt;=CO22,IF(CN22="",FALSE,TRUE))</formula>
    </cfRule>
  </conditionalFormatting>
  <conditionalFormatting sqref="CB9 CB15:CB17">
    <cfRule type="expression" dxfId="572" priority="1158">
      <formula>OR(IF(CB9&lt;CC9,TRUE),IF(AND(CC9="",CB9&lt;&gt;""),TRUE))</formula>
    </cfRule>
    <cfRule type="expression" dxfId="571" priority="1159">
      <formula>IF(CB9&gt;=CC9,IF(CB9="",FALSE,TRUE))</formula>
    </cfRule>
  </conditionalFormatting>
  <conditionalFormatting sqref="J15:K17 J6:K9">
    <cfRule type="colorScale" priority="1948">
      <colorScale>
        <cfvo type="percent" val="0"/>
        <cfvo type="percent" val="100"/>
        <color rgb="FFFF231B"/>
        <color rgb="FF10FF07"/>
      </colorScale>
    </cfRule>
  </conditionalFormatting>
  <conditionalFormatting sqref="J15:J17 J5:J9">
    <cfRule type="colorScale" priority="1949">
      <colorScale>
        <cfvo type="percent" val="0"/>
        <cfvo type="percent" val="100"/>
        <color rgb="FFFF231B"/>
        <color rgb="FF10FF07"/>
      </colorScale>
    </cfRule>
  </conditionalFormatting>
  <conditionalFormatting sqref="K15:K17 K5:K9">
    <cfRule type="colorScale" priority="1950">
      <colorScale>
        <cfvo type="percent" val="0"/>
        <cfvo type="percent" val="100"/>
        <color rgb="FFFF231B"/>
        <color rgb="FF10FF07"/>
      </colorScale>
    </cfRule>
  </conditionalFormatting>
  <conditionalFormatting sqref="O10 Q10 AQ10 AS10 BE10 BG10 V10 X10 AC10 AE10 AJ10 AL10 AX10 AZ10 BL10 BN10 BS10 BU10 BZ10 CG10 CI10 CN10 CP10">
    <cfRule type="expression" dxfId="570" priority="1136">
      <formula>OR(IF(O10&lt;P10,TRUE),IF(AND(P10="",O10&lt;&gt;""),TRUE))</formula>
    </cfRule>
    <cfRule type="expression" dxfId="569" priority="1137">
      <formula>IF(O10&gt;=P10,IF(O10="",FALSE,TRUE))</formula>
    </cfRule>
  </conditionalFormatting>
  <conditionalFormatting sqref="CB10">
    <cfRule type="expression" dxfId="568" priority="1134">
      <formula>OR(IF(CB10&lt;CC10,TRUE),IF(AND(CC10="",CB10&lt;&gt;""),TRUE))</formula>
    </cfRule>
    <cfRule type="expression" dxfId="567" priority="1135">
      <formula>IF(CB10&gt;=CC10,IF(CB10="",FALSE,TRUE))</formula>
    </cfRule>
  </conditionalFormatting>
  <conditionalFormatting sqref="J10:K10">
    <cfRule type="colorScale" priority="1138">
      <colorScale>
        <cfvo type="percent" val="0"/>
        <cfvo type="percent" val="100"/>
        <color rgb="FFFF231B"/>
        <color rgb="FF10FF07"/>
      </colorScale>
    </cfRule>
  </conditionalFormatting>
  <conditionalFormatting sqref="J10">
    <cfRule type="colorScale" priority="1139">
      <colorScale>
        <cfvo type="percent" val="0"/>
        <cfvo type="percent" val="100"/>
        <color rgb="FFFF231B"/>
        <color rgb="FF10FF07"/>
      </colorScale>
    </cfRule>
  </conditionalFormatting>
  <conditionalFormatting sqref="K10">
    <cfRule type="colorScale" priority="1140">
      <colorScale>
        <cfvo type="percent" val="0"/>
        <cfvo type="percent" val="100"/>
        <color rgb="FFFF231B"/>
        <color rgb="FF10FF07"/>
      </colorScale>
    </cfRule>
  </conditionalFormatting>
  <conditionalFormatting sqref="O11 Q11 AQ11 AS11 BE11 BG11 V11 X11 AC11 AE11 AJ11 AL11 AX11 AZ11 BL11 BS11 BU11 BZ11 CG11 CI11 CN11 CP11">
    <cfRule type="expression" dxfId="566" priority="1129">
      <formula>OR(IF(O11&lt;P11,TRUE),IF(AND(P11="",O11&lt;&gt;""),TRUE))</formula>
    </cfRule>
    <cfRule type="expression" dxfId="565" priority="1130">
      <formula>IF(O11&gt;=P11,IF(O11="",FALSE,TRUE))</formula>
    </cfRule>
  </conditionalFormatting>
  <conditionalFormatting sqref="CB11">
    <cfRule type="expression" dxfId="564" priority="1127">
      <formula>OR(IF(CB11&lt;CC11,TRUE),IF(AND(CC11="",CB11&lt;&gt;""),TRUE))</formula>
    </cfRule>
    <cfRule type="expression" dxfId="563" priority="1128">
      <formula>IF(CB11&gt;=CC11,IF(CB11="",FALSE,TRUE))</formula>
    </cfRule>
  </conditionalFormatting>
  <conditionalFormatting sqref="J11:K11">
    <cfRule type="colorScale" priority="1131">
      <colorScale>
        <cfvo type="percent" val="0"/>
        <cfvo type="percent" val="100"/>
        <color rgb="FFFF231B"/>
        <color rgb="FF10FF07"/>
      </colorScale>
    </cfRule>
  </conditionalFormatting>
  <conditionalFormatting sqref="J11">
    <cfRule type="colorScale" priority="1132">
      <colorScale>
        <cfvo type="percent" val="0"/>
        <cfvo type="percent" val="100"/>
        <color rgb="FFFF231B"/>
        <color rgb="FF10FF07"/>
      </colorScale>
    </cfRule>
  </conditionalFormatting>
  <conditionalFormatting sqref="K11">
    <cfRule type="colorScale" priority="1133">
      <colorScale>
        <cfvo type="percent" val="0"/>
        <cfvo type="percent" val="100"/>
        <color rgb="FFFF231B"/>
        <color rgb="FF10FF07"/>
      </colorScale>
    </cfRule>
  </conditionalFormatting>
  <conditionalFormatting sqref="O12 Q12 AQ12 AS12 BE12 BG12 V12 X12 AC12 AE12 AJ12 AL12 AX12 AZ12 BL12 BS12 BU12 BZ12 CG12 CI12 CN12 CP12">
    <cfRule type="expression" dxfId="562" priority="1115">
      <formula>OR(IF(O12&lt;P12,TRUE),IF(AND(P12="",O12&lt;&gt;""),TRUE))</formula>
    </cfRule>
    <cfRule type="expression" dxfId="561" priority="1116">
      <formula>IF(O12&gt;=P12,IF(O12="",FALSE,TRUE))</formula>
    </cfRule>
  </conditionalFormatting>
  <conditionalFormatting sqref="CB12">
    <cfRule type="expression" dxfId="560" priority="1113">
      <formula>OR(IF(CB12&lt;CC12,TRUE),IF(AND(CC12="",CB12&lt;&gt;""),TRUE))</formula>
    </cfRule>
    <cfRule type="expression" dxfId="559" priority="1114">
      <formula>IF(CB12&gt;=CC12,IF(CB12="",FALSE,TRUE))</formula>
    </cfRule>
  </conditionalFormatting>
  <conditionalFormatting sqref="J12:K12">
    <cfRule type="colorScale" priority="1117">
      <colorScale>
        <cfvo type="percent" val="0"/>
        <cfvo type="percent" val="100"/>
        <color rgb="FFFF231B"/>
        <color rgb="FF10FF07"/>
      </colorScale>
    </cfRule>
  </conditionalFormatting>
  <conditionalFormatting sqref="J12">
    <cfRule type="colorScale" priority="1118">
      <colorScale>
        <cfvo type="percent" val="0"/>
        <cfvo type="percent" val="100"/>
        <color rgb="FFFF231B"/>
        <color rgb="FF10FF07"/>
      </colorScale>
    </cfRule>
  </conditionalFormatting>
  <conditionalFormatting sqref="K12">
    <cfRule type="colorScale" priority="1119">
      <colorScale>
        <cfvo type="percent" val="0"/>
        <cfvo type="percent" val="100"/>
        <color rgb="FFFF231B"/>
        <color rgb="FF10FF07"/>
      </colorScale>
    </cfRule>
  </conditionalFormatting>
  <conditionalFormatting sqref="O13 Q13 AQ13 AS13 BE13 BG13 V13 X13 AC13 AE13 AJ13 AL13 AX13 AZ13 BL13 BS13 BU13 BZ13 CG13 CI13 CN13 CP13">
    <cfRule type="expression" dxfId="558" priority="1108">
      <formula>OR(IF(O13&lt;P13,TRUE),IF(AND(P13="",O13&lt;&gt;""),TRUE))</formula>
    </cfRule>
    <cfRule type="expression" dxfId="557" priority="1109">
      <formula>IF(O13&gt;=P13,IF(O13="",FALSE,TRUE))</formula>
    </cfRule>
  </conditionalFormatting>
  <conditionalFormatting sqref="CB13">
    <cfRule type="expression" dxfId="556" priority="1106">
      <formula>OR(IF(CB13&lt;CC13,TRUE),IF(AND(CC13="",CB13&lt;&gt;""),TRUE))</formula>
    </cfRule>
    <cfRule type="expression" dxfId="555" priority="1107">
      <formula>IF(CB13&gt;=CC13,IF(CB13="",FALSE,TRUE))</formula>
    </cfRule>
  </conditionalFormatting>
  <conditionalFormatting sqref="J13:K13">
    <cfRule type="colorScale" priority="1110">
      <colorScale>
        <cfvo type="percent" val="0"/>
        <cfvo type="percent" val="100"/>
        <color rgb="FFFF231B"/>
        <color rgb="FF10FF07"/>
      </colorScale>
    </cfRule>
  </conditionalFormatting>
  <conditionalFormatting sqref="J13">
    <cfRule type="colorScale" priority="1111">
      <colorScale>
        <cfvo type="percent" val="0"/>
        <cfvo type="percent" val="100"/>
        <color rgb="FFFF231B"/>
        <color rgb="FF10FF07"/>
      </colorScale>
    </cfRule>
  </conditionalFormatting>
  <conditionalFormatting sqref="K13">
    <cfRule type="colorScale" priority="1112">
      <colorScale>
        <cfvo type="percent" val="0"/>
        <cfvo type="percent" val="100"/>
        <color rgb="FFFF231B"/>
        <color rgb="FF10FF07"/>
      </colorScale>
    </cfRule>
  </conditionalFormatting>
  <conditionalFormatting sqref="O14 Q14 AQ14 AS14 BE14 BG14 V14 X14 AC14 AE14 AJ14 AL14 AX14 AZ14 BL14 BS14 BU14 BZ14 CG14 CI14 CN14 CP14">
    <cfRule type="expression" dxfId="554" priority="1101">
      <formula>OR(IF(O14&lt;P14,TRUE),IF(AND(P14="",O14&lt;&gt;""),TRUE))</formula>
    </cfRule>
    <cfRule type="expression" dxfId="553" priority="1102">
      <formula>IF(O14&gt;=P14,IF(O14="",FALSE,TRUE))</formula>
    </cfRule>
  </conditionalFormatting>
  <conditionalFormatting sqref="CB14">
    <cfRule type="expression" dxfId="552" priority="1099">
      <formula>OR(IF(CB14&lt;CC14,TRUE),IF(AND(CC14="",CB14&lt;&gt;""),TRUE))</formula>
    </cfRule>
    <cfRule type="expression" dxfId="551" priority="1100">
      <formula>IF(CB14&gt;=CC14,IF(CB14="",FALSE,TRUE))</formula>
    </cfRule>
  </conditionalFormatting>
  <conditionalFormatting sqref="J14:K14">
    <cfRule type="colorScale" priority="1103">
      <colorScale>
        <cfvo type="percent" val="0"/>
        <cfvo type="percent" val="100"/>
        <color rgb="FFFF231B"/>
        <color rgb="FF10FF07"/>
      </colorScale>
    </cfRule>
  </conditionalFormatting>
  <conditionalFormatting sqref="J14">
    <cfRule type="colorScale" priority="1104">
      <colorScale>
        <cfvo type="percent" val="0"/>
        <cfvo type="percent" val="100"/>
        <color rgb="FFFF231B"/>
        <color rgb="FF10FF07"/>
      </colorScale>
    </cfRule>
  </conditionalFormatting>
  <conditionalFormatting sqref="K14">
    <cfRule type="colorScale" priority="1105">
      <colorScale>
        <cfvo type="percent" val="0"/>
        <cfvo type="percent" val="100"/>
        <color rgb="FFFF231B"/>
        <color rgb="FF10FF07"/>
      </colorScale>
    </cfRule>
  </conditionalFormatting>
  <conditionalFormatting sqref="J42:K47 J54:K55">
    <cfRule type="colorScale" priority="2015">
      <colorScale>
        <cfvo type="percent" val="0"/>
        <cfvo type="percent" val="100"/>
        <color rgb="FFFF231B"/>
        <color rgb="FF10FF07"/>
      </colorScale>
    </cfRule>
  </conditionalFormatting>
  <conditionalFormatting sqref="J41:J47 J54:J55">
    <cfRule type="colorScale" priority="2017">
      <colorScale>
        <cfvo type="percent" val="0"/>
        <cfvo type="percent" val="100"/>
        <color rgb="FFFF231B"/>
        <color rgb="FF10FF07"/>
      </colorScale>
    </cfRule>
  </conditionalFormatting>
  <conditionalFormatting sqref="K41:K47 K54:K55">
    <cfRule type="colorScale" priority="2019">
      <colorScale>
        <cfvo type="percent" val="0"/>
        <cfvo type="percent" val="100"/>
        <color rgb="FFFF231B"/>
        <color rgb="FF10FF07"/>
      </colorScale>
    </cfRule>
  </conditionalFormatting>
  <conditionalFormatting sqref="AJ51:AJ53 AL51:AL53 AX51:AX53 AZ51:AZ53 Q51:Q53 O51:O53 BG51:BG53 X51:X53 V51:V53 AE51:AE53 AC51:AC53 AS51:AS53 AQ51:AQ53 BE51:BE53 BN51:BN53 BL51:BL53 BU51:BU53 BS51:BS53 CB51:CB53 BZ51:BZ53 CI51:CI53 CG51:CG53 CP51:CP53 CN51:CN53">
    <cfRule type="expression" dxfId="550" priority="1059">
      <formula>OR(IF(O51&lt;P51,TRUE),IF(AND(P51="",O51&lt;&gt;""),TRUE))</formula>
    </cfRule>
    <cfRule type="expression" dxfId="549" priority="1060">
      <formula>IF(O51&gt;=P51,IF(O51="",FALSE,TRUE))</formula>
    </cfRule>
  </conditionalFormatting>
  <conditionalFormatting sqref="O49:O50">
    <cfRule type="expression" dxfId="548" priority="1057">
      <formula>OR(IF(O49&lt;P49,TRUE),IF(AND(P49="",O49&lt;&gt;""),TRUE))</formula>
    </cfRule>
    <cfRule type="expression" dxfId="547" priority="1058">
      <formula>IF(O49&gt;=P49,IF(O49="",FALSE,TRUE))</formula>
    </cfRule>
  </conditionalFormatting>
  <conditionalFormatting sqref="Q49:Q50">
    <cfRule type="expression" dxfId="546" priority="1055">
      <formula>OR(IF(Q49&lt;R49,TRUE),IF(AND(R49="",Q49&lt;&gt;""),TRUE))</formula>
    </cfRule>
    <cfRule type="expression" dxfId="545" priority="1056">
      <formula>IF(Q49&gt;=R49,IF(Q49="",FALSE,TRUE))</formula>
    </cfRule>
  </conditionalFormatting>
  <conditionalFormatting sqref="BE49:BE50">
    <cfRule type="expression" dxfId="544" priority="1033">
      <formula>OR(IF(BE49&lt;BF49,TRUE),IF(AND(BF49="",BE49&lt;&gt;""),TRUE))</formula>
    </cfRule>
    <cfRule type="expression" dxfId="543" priority="1034">
      <formula>IF(BE49&gt;=BF49,IF(BE49="",FALSE,TRUE))</formula>
    </cfRule>
  </conditionalFormatting>
  <conditionalFormatting sqref="V49:V50">
    <cfRule type="expression" dxfId="542" priority="1053">
      <formula>OR(IF(V49&lt;W49,TRUE),IF(AND(W49="",V49&lt;&gt;""),TRUE))</formula>
    </cfRule>
    <cfRule type="expression" dxfId="541" priority="1054">
      <formula>IF(V49&gt;=W49,IF(V49="",FALSE,TRUE))</formula>
    </cfRule>
  </conditionalFormatting>
  <conditionalFormatting sqref="X49:X50">
    <cfRule type="expression" dxfId="540" priority="1051">
      <formula>OR(IF(X49&lt;Y49,TRUE),IF(AND(Y49="",X49&lt;&gt;""),TRUE))</formula>
    </cfRule>
    <cfRule type="expression" dxfId="539" priority="1052">
      <formula>IF(X49&gt;=Y49,IF(X49="",FALSE,TRUE))</formula>
    </cfRule>
  </conditionalFormatting>
  <conditionalFormatting sqref="AC49:AC50">
    <cfRule type="expression" dxfId="538" priority="1049">
      <formula>OR(IF(AC49&lt;AD49,TRUE),IF(AND(AD49="",AC49&lt;&gt;""),TRUE))</formula>
    </cfRule>
    <cfRule type="expression" dxfId="537" priority="1050">
      <formula>IF(AC49&gt;=AD49,IF(AC49="",FALSE,TRUE))</formula>
    </cfRule>
  </conditionalFormatting>
  <conditionalFormatting sqref="AE49:AE50">
    <cfRule type="expression" dxfId="536" priority="1047">
      <formula>OR(IF(AE49&lt;AF49,TRUE),IF(AND(AF49="",AE49&lt;&gt;""),TRUE))</formula>
    </cfRule>
    <cfRule type="expression" dxfId="535" priority="1048">
      <formula>IF(AE49&gt;=AF49,IF(AE49="",FALSE,TRUE))</formula>
    </cfRule>
  </conditionalFormatting>
  <conditionalFormatting sqref="AJ49:AJ50">
    <cfRule type="expression" dxfId="534" priority="1045">
      <formula>OR(IF(AJ49&lt;AK49,TRUE),IF(AND(AK49="",AJ49&lt;&gt;""),TRUE))</formula>
    </cfRule>
    <cfRule type="expression" dxfId="533" priority="1046">
      <formula>IF(AJ49&gt;=AK49,IF(AJ49="",FALSE,TRUE))</formula>
    </cfRule>
  </conditionalFormatting>
  <conditionalFormatting sqref="AL49:AL50">
    <cfRule type="expression" dxfId="532" priority="1043">
      <formula>OR(IF(AL49&lt;AM49,TRUE),IF(AND(AM49="",AL49&lt;&gt;""),TRUE))</formula>
    </cfRule>
    <cfRule type="expression" dxfId="531" priority="1044">
      <formula>IF(AL49&gt;=AM49,IF(AL49="",FALSE,TRUE))</formula>
    </cfRule>
  </conditionalFormatting>
  <conditionalFormatting sqref="AQ49:AQ50">
    <cfRule type="expression" dxfId="530" priority="1041">
      <formula>OR(IF(AQ49&lt;AR49,TRUE),IF(AND(AR49="",AQ49&lt;&gt;""),TRUE))</formula>
    </cfRule>
    <cfRule type="expression" dxfId="529" priority="1042">
      <formula>IF(AQ49&gt;=AR49,IF(AQ49="",FALSE,TRUE))</formula>
    </cfRule>
  </conditionalFormatting>
  <conditionalFormatting sqref="AS49:AS50">
    <cfRule type="expression" dxfId="528" priority="1039">
      <formula>OR(IF(AS49&lt;AT49,TRUE),IF(AND(AT49="",AS49&lt;&gt;""),TRUE))</formula>
    </cfRule>
    <cfRule type="expression" dxfId="527" priority="1040">
      <formula>IF(AS49&gt;=AT49,IF(AS49="",FALSE,TRUE))</formula>
    </cfRule>
  </conditionalFormatting>
  <conditionalFormatting sqref="AX49:AX50">
    <cfRule type="expression" dxfId="526" priority="1037">
      <formula>OR(IF(AX49&lt;AY49,TRUE),IF(AND(AY49="",AX49&lt;&gt;""),TRUE))</formula>
    </cfRule>
    <cfRule type="expression" dxfId="525" priority="1038">
      <formula>IF(AX49&gt;=AY49,IF(AX49="",FALSE,TRUE))</formula>
    </cfRule>
  </conditionalFormatting>
  <conditionalFormatting sqref="AZ49:AZ50">
    <cfRule type="expression" dxfId="524" priority="1035">
      <formula>OR(IF(AZ49&lt;BA49,TRUE),IF(AND(BA49="",AZ49&lt;&gt;""),TRUE))</formula>
    </cfRule>
    <cfRule type="expression" dxfId="523" priority="1036">
      <formula>IF(AZ49&gt;=BA49,IF(AZ49="",FALSE,TRUE))</formula>
    </cfRule>
  </conditionalFormatting>
  <conditionalFormatting sqref="BG49:BG50">
    <cfRule type="expression" dxfId="522" priority="1031">
      <formula>OR(IF(BG49&lt;BH49,TRUE),IF(AND(BH49="",BG49&lt;&gt;""),TRUE))</formula>
    </cfRule>
    <cfRule type="expression" dxfId="521" priority="1032">
      <formula>IF(BG49&gt;=BH49,IF(BG49="",FALSE,TRUE))</formula>
    </cfRule>
  </conditionalFormatting>
  <conditionalFormatting sqref="BL49:BL50">
    <cfRule type="expression" dxfId="520" priority="1029">
      <formula>OR(IF(BL49&lt;BM49,TRUE),IF(AND(BM49="",BL49&lt;&gt;""),TRUE))</formula>
    </cfRule>
    <cfRule type="expression" dxfId="519" priority="1030">
      <formula>IF(BL49&gt;=BM49,IF(BL49="",FALSE,TRUE))</formula>
    </cfRule>
  </conditionalFormatting>
  <conditionalFormatting sqref="BN49:BN50">
    <cfRule type="expression" dxfId="518" priority="1027">
      <formula>OR(IF(BN49&lt;BO49,TRUE),IF(AND(BO49="",BN49&lt;&gt;""),TRUE))</formula>
    </cfRule>
    <cfRule type="expression" dxfId="517" priority="1028">
      <formula>IF(BN49&gt;=BO49,IF(BN49="",FALSE,TRUE))</formula>
    </cfRule>
  </conditionalFormatting>
  <conditionalFormatting sqref="BS49:BS50">
    <cfRule type="expression" dxfId="516" priority="1025">
      <formula>OR(IF(BS49&lt;BT49,TRUE),IF(AND(BT49="",BS49&lt;&gt;""),TRUE))</formula>
    </cfRule>
    <cfRule type="expression" dxfId="515" priority="1026">
      <formula>IF(BS49&gt;=BT49,IF(BS49="",FALSE,TRUE))</formula>
    </cfRule>
  </conditionalFormatting>
  <conditionalFormatting sqref="BU49:BU50">
    <cfRule type="expression" dxfId="514" priority="1023">
      <formula>OR(IF(BU49&lt;BV49,TRUE),IF(AND(BV49="",BU49&lt;&gt;""),TRUE))</formula>
    </cfRule>
    <cfRule type="expression" dxfId="513" priority="1024">
      <formula>IF(BU49&gt;=BV49,IF(BU49="",FALSE,TRUE))</formula>
    </cfRule>
  </conditionalFormatting>
  <conditionalFormatting sqref="BZ49:BZ50">
    <cfRule type="expression" dxfId="512" priority="1021">
      <formula>OR(IF(BZ49&lt;CA49,TRUE),IF(AND(CA49="",BZ49&lt;&gt;""),TRUE))</formula>
    </cfRule>
    <cfRule type="expression" dxfId="511" priority="1022">
      <formula>IF(BZ49&gt;=CA49,IF(BZ49="",FALSE,TRUE))</formula>
    </cfRule>
  </conditionalFormatting>
  <conditionalFormatting sqref="CB49:CB50">
    <cfRule type="expression" dxfId="510" priority="1019">
      <formula>OR(IF(CB49&lt;CC49,TRUE),IF(AND(CC49="",CB49&lt;&gt;""),TRUE))</formula>
    </cfRule>
    <cfRule type="expression" dxfId="509" priority="1020">
      <formula>IF(CB49&gt;=CC49,IF(CB49="",FALSE,TRUE))</formula>
    </cfRule>
  </conditionalFormatting>
  <conditionalFormatting sqref="CG49:CG50">
    <cfRule type="expression" dxfId="508" priority="1017">
      <formula>OR(IF(CG49&lt;CH49,TRUE),IF(AND(CH49="",CG49&lt;&gt;""),TRUE))</formula>
    </cfRule>
    <cfRule type="expression" dxfId="507" priority="1018">
      <formula>IF(CG49&gt;=CH49,IF(CG49="",FALSE,TRUE))</formula>
    </cfRule>
  </conditionalFormatting>
  <conditionalFormatting sqref="CI49:CI50">
    <cfRule type="expression" dxfId="506" priority="1015">
      <formula>OR(IF(CI49&lt;CJ49,TRUE),IF(AND(CJ49="",CI49&lt;&gt;""),TRUE))</formula>
    </cfRule>
    <cfRule type="expression" dxfId="505" priority="1016">
      <formula>IF(CI49&gt;=CJ49,IF(CI49="",FALSE,TRUE))</formula>
    </cfRule>
  </conditionalFormatting>
  <conditionalFormatting sqref="CN49:CN50">
    <cfRule type="expression" dxfId="504" priority="1013">
      <formula>OR(IF(CN49&lt;CO49,TRUE),IF(AND(CO49="",CN49&lt;&gt;""),TRUE))</formula>
    </cfRule>
    <cfRule type="expression" dxfId="503" priority="1014">
      <formula>IF(CN49&gt;=CO49,IF(CN49="",FALSE,TRUE))</formula>
    </cfRule>
  </conditionalFormatting>
  <conditionalFormatting sqref="CP49:CP50">
    <cfRule type="expression" dxfId="502" priority="1011">
      <formula>OR(IF(CP49&lt;CQ49,TRUE),IF(AND(CQ49="",CP49&lt;&gt;""),TRUE))</formula>
    </cfRule>
    <cfRule type="expression" dxfId="501" priority="1012">
      <formula>IF(CP49&gt;=CQ49,IF(CP49="",FALSE,TRUE))</formula>
    </cfRule>
  </conditionalFormatting>
  <conditionalFormatting sqref="J50:K53">
    <cfRule type="colorScale" priority="1061">
      <colorScale>
        <cfvo type="percent" val="0"/>
        <cfvo type="percent" val="100"/>
        <color rgb="FFFF231B"/>
        <color rgb="FF10FF07"/>
      </colorScale>
    </cfRule>
  </conditionalFormatting>
  <conditionalFormatting sqref="J49:J53">
    <cfRule type="colorScale" priority="1062">
      <colorScale>
        <cfvo type="percent" val="0"/>
        <cfvo type="percent" val="100"/>
        <color rgb="FFFF231B"/>
        <color rgb="FF10FF07"/>
      </colorScale>
    </cfRule>
  </conditionalFormatting>
  <conditionalFormatting sqref="K49:K53">
    <cfRule type="colorScale" priority="1063">
      <colorScale>
        <cfvo type="percent" val="0"/>
        <cfvo type="percent" val="100"/>
        <color rgb="FFFF231B"/>
        <color rgb="FF10FF07"/>
      </colorScale>
    </cfRule>
  </conditionalFormatting>
  <conditionalFormatting sqref="AJ65 AL65 AX65 AZ65 Q65 O65 BG65 X65 V65 AE65 AC65 AS65 AQ65 BE65 BN65 BL65">
    <cfRule type="expression" dxfId="500" priority="998">
      <formula>OR(IF(O65&lt;P65,TRUE),IF(AND(P65="",O65&lt;&gt;""),TRUE))</formula>
    </cfRule>
    <cfRule type="expression" dxfId="499" priority="999">
      <formula>IF(O65&gt;=P65,IF(O65="",FALSE,TRUE))</formula>
    </cfRule>
  </conditionalFormatting>
  <conditionalFormatting sqref="J65:K65">
    <cfRule type="colorScale" priority="1000">
      <colorScale>
        <cfvo type="percent" val="0"/>
        <cfvo type="percent" val="100"/>
        <color rgb="FFFF231B"/>
        <color rgb="FF10FF07"/>
      </colorScale>
    </cfRule>
  </conditionalFormatting>
  <conditionalFormatting sqref="J65">
    <cfRule type="colorScale" priority="1001">
      <colorScale>
        <cfvo type="percent" val="0"/>
        <cfvo type="percent" val="100"/>
        <color rgb="FFFF231B"/>
        <color rgb="FF10FF07"/>
      </colorScale>
    </cfRule>
  </conditionalFormatting>
  <conditionalFormatting sqref="K65">
    <cfRule type="colorScale" priority="1002">
      <colorScale>
        <cfvo type="percent" val="0"/>
        <cfvo type="percent" val="100"/>
        <color rgb="FFFF231B"/>
        <color rgb="FF10FF07"/>
      </colorScale>
    </cfRule>
  </conditionalFormatting>
  <conditionalFormatting sqref="BU65 BS65">
    <cfRule type="expression" dxfId="498" priority="996">
      <formula>OR(IF(BS65&lt;BT65,TRUE),IF(AND(BT65="",BS65&lt;&gt;""),TRUE))</formula>
    </cfRule>
    <cfRule type="expression" dxfId="497" priority="997">
      <formula>IF(BS65&gt;=BT65,IF(BS65="",FALSE,TRUE))</formula>
    </cfRule>
  </conditionalFormatting>
  <conditionalFormatting sqref="CB65 BZ65">
    <cfRule type="expression" dxfId="496" priority="994">
      <formula>OR(IF(BZ65&lt;CA65,TRUE),IF(AND(CA65="",BZ65&lt;&gt;""),TRUE))</formula>
    </cfRule>
    <cfRule type="expression" dxfId="495" priority="995">
      <formula>IF(BZ65&gt;=CA65,IF(BZ65="",FALSE,TRUE))</formula>
    </cfRule>
  </conditionalFormatting>
  <conditionalFormatting sqref="CI65 CG65">
    <cfRule type="expression" dxfId="494" priority="992">
      <formula>OR(IF(CG65&lt;CH65,TRUE),IF(AND(CH65="",CG65&lt;&gt;""),TRUE))</formula>
    </cfRule>
    <cfRule type="expression" dxfId="493" priority="993">
      <formula>IF(CG65&gt;=CH65,IF(CG65="",FALSE,TRUE))</formula>
    </cfRule>
  </conditionalFormatting>
  <conditionalFormatting sqref="CN65">
    <cfRule type="expression" dxfId="492" priority="990">
      <formula>OR(IF(CN65&lt;CO65,TRUE),IF(AND(CO65="",CN65&lt;&gt;""),TRUE))</formula>
    </cfRule>
    <cfRule type="expression" dxfId="491" priority="991">
      <formula>IF(CN65&gt;=CO65,IF(CN65="",FALSE,TRUE))</formula>
    </cfRule>
  </conditionalFormatting>
  <conditionalFormatting sqref="AJ66 AL66 AX66 AZ66 Q66 O66 BG66 X66 V66 AE66 AC66 AS66 AQ66 BE66 BN66 BL66">
    <cfRule type="expression" dxfId="490" priority="981">
      <formula>OR(IF(O66&lt;P66,TRUE),IF(AND(P66="",O66&lt;&gt;""),TRUE))</formula>
    </cfRule>
    <cfRule type="expression" dxfId="489" priority="982">
      <formula>IF(O66&gt;=P66,IF(O66="",FALSE,TRUE))</formula>
    </cfRule>
  </conditionalFormatting>
  <conditionalFormatting sqref="J66:K66">
    <cfRule type="colorScale" priority="983">
      <colorScale>
        <cfvo type="percent" val="0"/>
        <cfvo type="percent" val="100"/>
        <color rgb="FFFF231B"/>
        <color rgb="FF10FF07"/>
      </colorScale>
    </cfRule>
  </conditionalFormatting>
  <conditionalFormatting sqref="J66">
    <cfRule type="colorScale" priority="984">
      <colorScale>
        <cfvo type="percent" val="0"/>
        <cfvo type="percent" val="100"/>
        <color rgb="FFFF231B"/>
        <color rgb="FF10FF07"/>
      </colorScale>
    </cfRule>
  </conditionalFormatting>
  <conditionalFormatting sqref="K66">
    <cfRule type="colorScale" priority="985">
      <colorScale>
        <cfvo type="percent" val="0"/>
        <cfvo type="percent" val="100"/>
        <color rgb="FFFF231B"/>
        <color rgb="FF10FF07"/>
      </colorScale>
    </cfRule>
  </conditionalFormatting>
  <conditionalFormatting sqref="BU66 BS66">
    <cfRule type="expression" dxfId="488" priority="979">
      <formula>OR(IF(BS66&lt;BT66,TRUE),IF(AND(BT66="",BS66&lt;&gt;""),TRUE))</formula>
    </cfRule>
    <cfRule type="expression" dxfId="487" priority="980">
      <formula>IF(BS66&gt;=BT66,IF(BS66="",FALSE,TRUE))</formula>
    </cfRule>
  </conditionalFormatting>
  <conditionalFormatting sqref="CB66 BZ66">
    <cfRule type="expression" dxfId="486" priority="977">
      <formula>OR(IF(BZ66&lt;CA66,TRUE),IF(AND(CA66="",BZ66&lt;&gt;""),TRUE))</formula>
    </cfRule>
    <cfRule type="expression" dxfId="485" priority="978">
      <formula>IF(BZ66&gt;=CA66,IF(BZ66="",FALSE,TRUE))</formula>
    </cfRule>
  </conditionalFormatting>
  <conditionalFormatting sqref="CI66 CG66">
    <cfRule type="expression" dxfId="484" priority="975">
      <formula>OR(IF(CG66&lt;CH66,TRUE),IF(AND(CH66="",CG66&lt;&gt;""),TRUE))</formula>
    </cfRule>
    <cfRule type="expression" dxfId="483" priority="976">
      <formula>IF(CG66&gt;=CH66,IF(CG66="",FALSE,TRUE))</formula>
    </cfRule>
  </conditionalFormatting>
  <conditionalFormatting sqref="CN66">
    <cfRule type="expression" dxfId="482" priority="973">
      <formula>OR(IF(CN66&lt;CO66,TRUE),IF(AND(CO66="",CN66&lt;&gt;""),TRUE))</formula>
    </cfRule>
    <cfRule type="expression" dxfId="481" priority="974">
      <formula>IF(CN66&gt;=CO66,IF(CN66="",FALSE,TRUE))</formula>
    </cfRule>
  </conditionalFormatting>
  <conditionalFormatting sqref="AJ67 AL67 AX67 AZ67 Q67 O67 BG67 X67 V67 AE67 AC67 AS67 AQ67 BE67 BN67 BL67">
    <cfRule type="expression" dxfId="480" priority="964">
      <formula>OR(IF(O67&lt;P67,TRUE),IF(AND(P67="",O67&lt;&gt;""),TRUE))</formula>
    </cfRule>
    <cfRule type="expression" dxfId="479" priority="965">
      <formula>IF(O67&gt;=P67,IF(O67="",FALSE,TRUE))</formula>
    </cfRule>
  </conditionalFormatting>
  <conditionalFormatting sqref="J67:K67">
    <cfRule type="colorScale" priority="966">
      <colorScale>
        <cfvo type="percent" val="0"/>
        <cfvo type="percent" val="100"/>
        <color rgb="FFFF231B"/>
        <color rgb="FF10FF07"/>
      </colorScale>
    </cfRule>
  </conditionalFormatting>
  <conditionalFormatting sqref="J67">
    <cfRule type="colorScale" priority="967">
      <colorScale>
        <cfvo type="percent" val="0"/>
        <cfvo type="percent" val="100"/>
        <color rgb="FFFF231B"/>
        <color rgb="FF10FF07"/>
      </colorScale>
    </cfRule>
  </conditionalFormatting>
  <conditionalFormatting sqref="K67">
    <cfRule type="colorScale" priority="968">
      <colorScale>
        <cfvo type="percent" val="0"/>
        <cfvo type="percent" val="100"/>
        <color rgb="FFFF231B"/>
        <color rgb="FF10FF07"/>
      </colorScale>
    </cfRule>
  </conditionalFormatting>
  <conditionalFormatting sqref="BU67 BS67">
    <cfRule type="expression" dxfId="478" priority="962">
      <formula>OR(IF(BS67&lt;BT67,TRUE),IF(AND(BT67="",BS67&lt;&gt;""),TRUE))</formula>
    </cfRule>
    <cfRule type="expression" dxfId="477" priority="963">
      <formula>IF(BS67&gt;=BT67,IF(BS67="",FALSE,TRUE))</formula>
    </cfRule>
  </conditionalFormatting>
  <conditionalFormatting sqref="CB67 BZ67">
    <cfRule type="expression" dxfId="476" priority="960">
      <formula>OR(IF(BZ67&lt;CA67,TRUE),IF(AND(CA67="",BZ67&lt;&gt;""),TRUE))</formula>
    </cfRule>
    <cfRule type="expression" dxfId="475" priority="961">
      <formula>IF(BZ67&gt;=CA67,IF(BZ67="",FALSE,TRUE))</formula>
    </cfRule>
  </conditionalFormatting>
  <conditionalFormatting sqref="CI67 CG67">
    <cfRule type="expression" dxfId="474" priority="958">
      <formula>OR(IF(CG67&lt;CH67,TRUE),IF(AND(CH67="",CG67&lt;&gt;""),TRUE))</formula>
    </cfRule>
    <cfRule type="expression" dxfId="473" priority="959">
      <formula>IF(CG67&gt;=CH67,IF(CG67="",FALSE,TRUE))</formula>
    </cfRule>
  </conditionalFormatting>
  <conditionalFormatting sqref="CN67">
    <cfRule type="expression" dxfId="472" priority="956">
      <formula>OR(IF(CN67&lt;CO67,TRUE),IF(AND(CO67="",CN67&lt;&gt;""),TRUE))</formula>
    </cfRule>
    <cfRule type="expression" dxfId="471" priority="957">
      <formula>IF(CN67&gt;=CO67,IF(CN67="",FALSE,TRUE))</formula>
    </cfRule>
  </conditionalFormatting>
  <conditionalFormatting sqref="AJ68:AJ70 AL68:AL70 AX68:AX70 AZ68:AZ70 Q68:Q70 O68:O70 BG68:BG70 X68:X70 V68:V70 AE68:AE70 AC68:AC70 AS68:AS70 AQ68:AQ70 BE68:BE70 BN68:BN70 BL68:BL70">
    <cfRule type="expression" dxfId="470" priority="947">
      <formula>OR(IF(O68&lt;P68,TRUE),IF(AND(P68="",O68&lt;&gt;""),TRUE))</formula>
    </cfRule>
    <cfRule type="expression" dxfId="469" priority="948">
      <formula>IF(O68&gt;=P68,IF(O68="",FALSE,TRUE))</formula>
    </cfRule>
  </conditionalFormatting>
  <conditionalFormatting sqref="J68:K70">
    <cfRule type="colorScale" priority="949">
      <colorScale>
        <cfvo type="percent" val="0"/>
        <cfvo type="percent" val="100"/>
        <color rgb="FFFF231B"/>
        <color rgb="FF10FF07"/>
      </colorScale>
    </cfRule>
  </conditionalFormatting>
  <conditionalFormatting sqref="J68:J70">
    <cfRule type="colorScale" priority="950">
      <colorScale>
        <cfvo type="percent" val="0"/>
        <cfvo type="percent" val="100"/>
        <color rgb="FFFF231B"/>
        <color rgb="FF10FF07"/>
      </colorScale>
    </cfRule>
  </conditionalFormatting>
  <conditionalFormatting sqref="K68:K70">
    <cfRule type="colorScale" priority="951">
      <colorScale>
        <cfvo type="percent" val="0"/>
        <cfvo type="percent" val="100"/>
        <color rgb="FFFF231B"/>
        <color rgb="FF10FF07"/>
      </colorScale>
    </cfRule>
  </conditionalFormatting>
  <conditionalFormatting sqref="BU68:BU70 BS68:BS70">
    <cfRule type="expression" dxfId="468" priority="945">
      <formula>OR(IF(BS68&lt;BT68,TRUE),IF(AND(BT68="",BS68&lt;&gt;""),TRUE))</formula>
    </cfRule>
    <cfRule type="expression" dxfId="467" priority="946">
      <formula>IF(BS68&gt;=BT68,IF(BS68="",FALSE,TRUE))</formula>
    </cfRule>
  </conditionalFormatting>
  <conditionalFormatting sqref="CB68:CB70 BZ68:BZ70">
    <cfRule type="expression" dxfId="466" priority="943">
      <formula>OR(IF(BZ68&lt;CA68,TRUE),IF(AND(CA68="",BZ68&lt;&gt;""),TRUE))</formula>
    </cfRule>
    <cfRule type="expression" dxfId="465" priority="944">
      <formula>IF(BZ68&gt;=CA68,IF(BZ68="",FALSE,TRUE))</formula>
    </cfRule>
  </conditionalFormatting>
  <conditionalFormatting sqref="CI68:CI70 CG68:CG70">
    <cfRule type="expression" dxfId="464" priority="941">
      <formula>OR(IF(CG68&lt;CH68,TRUE),IF(AND(CH68="",CG68&lt;&gt;""),TRUE))</formula>
    </cfRule>
    <cfRule type="expression" dxfId="463" priority="942">
      <formula>IF(CG68&gt;=CH68,IF(CG68="",FALSE,TRUE))</formula>
    </cfRule>
  </conditionalFormatting>
  <conditionalFormatting sqref="CP69:CP70 CN68:CN70">
    <cfRule type="expression" dxfId="462" priority="939">
      <formula>OR(IF(CN68&lt;CO68,TRUE),IF(AND(CO68="",CN68&lt;&gt;""),TRUE))</formula>
    </cfRule>
    <cfRule type="expression" dxfId="461" priority="940">
      <formula>IF(CN68&gt;=CO68,IF(CN68="",FALSE,TRUE))</formula>
    </cfRule>
  </conditionalFormatting>
  <conditionalFormatting sqref="J83:K84">
    <cfRule type="colorScale" priority="2055">
      <colorScale>
        <cfvo type="percent" val="0"/>
        <cfvo type="percent" val="100"/>
        <color rgb="FFFF231B"/>
        <color rgb="FF10FF07"/>
      </colorScale>
    </cfRule>
  </conditionalFormatting>
  <conditionalFormatting sqref="J83:J84">
    <cfRule type="colorScale" priority="2056">
      <colorScale>
        <cfvo type="percent" val="0"/>
        <cfvo type="percent" val="100"/>
        <color rgb="FFFF231B"/>
        <color rgb="FF10FF07"/>
      </colorScale>
    </cfRule>
  </conditionalFormatting>
  <conditionalFormatting sqref="K83:K84">
    <cfRule type="colorScale" priority="2057">
      <colorScale>
        <cfvo type="percent" val="0"/>
        <cfvo type="percent" val="100"/>
        <color rgb="FFFF231B"/>
        <color rgb="FF10FF07"/>
      </colorScale>
    </cfRule>
  </conditionalFormatting>
  <conditionalFormatting sqref="AJ73:AJ77 AL73:AL77 AX73:AX77 AZ73:AZ77 Q73:Q77 O73:O77 BG73:BG77 X73:X77 V73:V77 AE73:AE77 AC73:AC77 AS73:AS77 AQ73:AQ77 BE73:BE77 BN73:BN77 BL73:BL77">
    <cfRule type="expression" dxfId="460" priority="692">
      <formula>OR(IF(O73&lt;P73,TRUE),IF(AND(P73="",O73&lt;&gt;""),TRUE))</formula>
    </cfRule>
    <cfRule type="expression" dxfId="459" priority="693">
      <formula>IF(O73&gt;=P73,IF(O73="",FALSE,TRUE))</formula>
    </cfRule>
  </conditionalFormatting>
  <conditionalFormatting sqref="J72:K77">
    <cfRule type="colorScale" priority="694">
      <colorScale>
        <cfvo type="percent" val="0"/>
        <cfvo type="percent" val="100"/>
        <color rgb="FFFF231B"/>
        <color rgb="FF10FF07"/>
      </colorScale>
    </cfRule>
  </conditionalFormatting>
  <conditionalFormatting sqref="BU73:BU77 BS73:BS77">
    <cfRule type="expression" dxfId="458" priority="658">
      <formula>OR(IF(BS73&lt;BT73,TRUE),IF(AND(BT73="",BS73&lt;&gt;""),TRUE))</formula>
    </cfRule>
    <cfRule type="expression" dxfId="457" priority="659">
      <formula>IF(BS73&gt;=BT73,IF(BS73="",FALSE,TRUE))</formula>
    </cfRule>
  </conditionalFormatting>
  <conditionalFormatting sqref="CB73:CB77 BZ73:BZ77">
    <cfRule type="expression" dxfId="456" priority="652">
      <formula>OR(IF(BZ73&lt;CA73,TRUE),IF(AND(CA73="",BZ73&lt;&gt;""),TRUE))</formula>
    </cfRule>
    <cfRule type="expression" dxfId="455" priority="653">
      <formula>IF(BZ73&gt;=CA73,IF(BZ73="",FALSE,TRUE))</formula>
    </cfRule>
  </conditionalFormatting>
  <conditionalFormatting sqref="CI73:CI77 CG73:CG77">
    <cfRule type="expression" dxfId="454" priority="646">
      <formula>OR(IF(CG73&lt;CH73,TRUE),IF(AND(CH73="",CG73&lt;&gt;""),TRUE))</formula>
    </cfRule>
    <cfRule type="expression" dxfId="453" priority="647">
      <formula>IF(CG73&gt;=CH73,IF(CG73="",FALSE,TRUE))</formula>
    </cfRule>
  </conditionalFormatting>
  <conditionalFormatting sqref="CP73:CP77 CN73:CN77">
    <cfRule type="expression" dxfId="452" priority="640">
      <formula>OR(IF(CN73&lt;CO73,TRUE),IF(AND(CO73="",CN73&lt;&gt;""),TRUE))</formula>
    </cfRule>
    <cfRule type="expression" dxfId="451" priority="641">
      <formula>IF(CN73&gt;=CO73,IF(CN73="",FALSE,TRUE))</formula>
    </cfRule>
  </conditionalFormatting>
  <conditionalFormatting sqref="AJ78 AL78 AX78 AZ78 Q78 O78 BG78 X78 V78 AE78 AC78 AS78 AQ78 BE78 BN78 BL78">
    <cfRule type="expression" dxfId="450" priority="619">
      <formula>OR(IF(O78&lt;P78,TRUE),IF(AND(P78="",O78&lt;&gt;""),TRUE))</formula>
    </cfRule>
    <cfRule type="expression" dxfId="449" priority="620">
      <formula>IF(O78&gt;=P78,IF(O78="",FALSE,TRUE))</formula>
    </cfRule>
  </conditionalFormatting>
  <conditionalFormatting sqref="J78:K78">
    <cfRule type="colorScale" priority="621">
      <colorScale>
        <cfvo type="percent" val="0"/>
        <cfvo type="percent" val="100"/>
        <color rgb="FFFF231B"/>
        <color rgb="FF10FF07"/>
      </colorScale>
    </cfRule>
  </conditionalFormatting>
  <conditionalFormatting sqref="J78">
    <cfRule type="colorScale" priority="622">
      <colorScale>
        <cfvo type="percent" val="0"/>
        <cfvo type="percent" val="100"/>
        <color rgb="FFFF231B"/>
        <color rgb="FF10FF07"/>
      </colorScale>
    </cfRule>
  </conditionalFormatting>
  <conditionalFormatting sqref="K78">
    <cfRule type="colorScale" priority="623">
      <colorScale>
        <cfvo type="percent" val="0"/>
        <cfvo type="percent" val="100"/>
        <color rgb="FFFF231B"/>
        <color rgb="FF10FF07"/>
      </colorScale>
    </cfRule>
  </conditionalFormatting>
  <conditionalFormatting sqref="BU78 BS78">
    <cfRule type="expression" dxfId="448" priority="617">
      <formula>OR(IF(BS78&lt;BT78,TRUE),IF(AND(BT78="",BS78&lt;&gt;""),TRUE))</formula>
    </cfRule>
    <cfRule type="expression" dxfId="447" priority="618">
      <formula>IF(BS78&gt;=BT78,IF(BS78="",FALSE,TRUE))</formula>
    </cfRule>
  </conditionalFormatting>
  <conditionalFormatting sqref="CB78 BZ78">
    <cfRule type="expression" dxfId="446" priority="615">
      <formula>OR(IF(BZ78&lt;CA78,TRUE),IF(AND(CA78="",BZ78&lt;&gt;""),TRUE))</formula>
    </cfRule>
    <cfRule type="expression" dxfId="445" priority="616">
      <formula>IF(BZ78&gt;=CA78,IF(BZ78="",FALSE,TRUE))</formula>
    </cfRule>
  </conditionalFormatting>
  <conditionalFormatting sqref="CI78 CG78">
    <cfRule type="expression" dxfId="444" priority="613">
      <formula>OR(IF(CG78&lt;CH78,TRUE),IF(AND(CH78="",CG78&lt;&gt;""),TRUE))</formula>
    </cfRule>
    <cfRule type="expression" dxfId="443" priority="614">
      <formula>IF(CG78&gt;=CH78,IF(CG78="",FALSE,TRUE))</formula>
    </cfRule>
  </conditionalFormatting>
  <conditionalFormatting sqref="CP78 CN78">
    <cfRule type="expression" dxfId="442" priority="611">
      <formula>OR(IF(CN78&lt;CO78,TRUE),IF(AND(CO78="",CN78&lt;&gt;""),TRUE))</formula>
    </cfRule>
    <cfRule type="expression" dxfId="441" priority="612">
      <formula>IF(CN78&gt;=CO78,IF(CN78="",FALSE,TRUE))</formula>
    </cfRule>
  </conditionalFormatting>
  <conditionalFormatting sqref="DR51:DR53 DP51:DP53">
    <cfRule type="expression" dxfId="440" priority="197">
      <formula>OR(IF(DP51&lt;DQ51,TRUE),IF(AND(DQ51="",DP51&lt;&gt;""),TRUE))</formula>
    </cfRule>
    <cfRule type="expression" dxfId="439" priority="198">
      <formula>IF(DP51&gt;=DQ51,IF(DP51="",FALSE,TRUE))</formula>
    </cfRule>
  </conditionalFormatting>
  <conditionalFormatting sqref="AJ79 AL79 AX79 AZ79 Q79 O79 BG79 X79 V79 AE79 AC79 AS79 AQ79 BE79 BN79 BL79">
    <cfRule type="expression" dxfId="438" priority="602">
      <formula>OR(IF(O79&lt;P79,TRUE),IF(AND(P79="",O79&lt;&gt;""),TRUE))</formula>
    </cfRule>
    <cfRule type="expression" dxfId="437" priority="603">
      <formula>IF(O79&gt;=P79,IF(O79="",FALSE,TRUE))</formula>
    </cfRule>
  </conditionalFormatting>
  <conditionalFormatting sqref="J79:K79">
    <cfRule type="colorScale" priority="604">
      <colorScale>
        <cfvo type="percent" val="0"/>
        <cfvo type="percent" val="100"/>
        <color rgb="FFFF231B"/>
        <color rgb="FF10FF07"/>
      </colorScale>
    </cfRule>
  </conditionalFormatting>
  <conditionalFormatting sqref="J79">
    <cfRule type="colorScale" priority="605">
      <colorScale>
        <cfvo type="percent" val="0"/>
        <cfvo type="percent" val="100"/>
        <color rgb="FFFF231B"/>
        <color rgb="FF10FF07"/>
      </colorScale>
    </cfRule>
  </conditionalFormatting>
  <conditionalFormatting sqref="K79">
    <cfRule type="colorScale" priority="606">
      <colorScale>
        <cfvo type="percent" val="0"/>
        <cfvo type="percent" val="100"/>
        <color rgb="FFFF231B"/>
        <color rgb="FF10FF07"/>
      </colorScale>
    </cfRule>
  </conditionalFormatting>
  <conditionalFormatting sqref="BU79 BS79">
    <cfRule type="expression" dxfId="436" priority="600">
      <formula>OR(IF(BS79&lt;BT79,TRUE),IF(AND(BT79="",BS79&lt;&gt;""),TRUE))</formula>
    </cfRule>
    <cfRule type="expression" dxfId="435" priority="601">
      <formula>IF(BS79&gt;=BT79,IF(BS79="",FALSE,TRUE))</formula>
    </cfRule>
  </conditionalFormatting>
  <conditionalFormatting sqref="CB79 BZ79">
    <cfRule type="expression" dxfId="434" priority="598">
      <formula>OR(IF(BZ79&lt;CA79,TRUE),IF(AND(CA79="",BZ79&lt;&gt;""),TRUE))</formula>
    </cfRule>
    <cfRule type="expression" dxfId="433" priority="599">
      <formula>IF(BZ79&gt;=CA79,IF(BZ79="",FALSE,TRUE))</formula>
    </cfRule>
  </conditionalFormatting>
  <conditionalFormatting sqref="CI79 CG79">
    <cfRule type="expression" dxfId="432" priority="596">
      <formula>OR(IF(CG79&lt;CH79,TRUE),IF(AND(CH79="",CG79&lt;&gt;""),TRUE))</formula>
    </cfRule>
    <cfRule type="expression" dxfId="431" priority="597">
      <formula>IF(CG79&gt;=CH79,IF(CG79="",FALSE,TRUE))</formula>
    </cfRule>
  </conditionalFormatting>
  <conditionalFormatting sqref="CP79 CN79">
    <cfRule type="expression" dxfId="430" priority="594">
      <formula>OR(IF(CN79&lt;CO79,TRUE),IF(AND(CO79="",CN79&lt;&gt;""),TRUE))</formula>
    </cfRule>
    <cfRule type="expression" dxfId="429" priority="595">
      <formula>IF(CN79&gt;=CO79,IF(CN79="",FALSE,TRUE))</formula>
    </cfRule>
  </conditionalFormatting>
  <conditionalFormatting sqref="AJ80 AL80 AX80 AZ80 Q80 O80 BG80 X80 V80 AE80 AC80 AS80 AQ80 BE80 BN80 BL80">
    <cfRule type="expression" dxfId="428" priority="585">
      <formula>OR(IF(O80&lt;P80,TRUE),IF(AND(P80="",O80&lt;&gt;""),TRUE))</formula>
    </cfRule>
    <cfRule type="expression" dxfId="427" priority="586">
      <formula>IF(O80&gt;=P80,IF(O80="",FALSE,TRUE))</formula>
    </cfRule>
  </conditionalFormatting>
  <conditionalFormatting sqref="J80:K80">
    <cfRule type="colorScale" priority="587">
      <colorScale>
        <cfvo type="percent" val="0"/>
        <cfvo type="percent" val="100"/>
        <color rgb="FFFF231B"/>
        <color rgb="FF10FF07"/>
      </colorScale>
    </cfRule>
  </conditionalFormatting>
  <conditionalFormatting sqref="J80">
    <cfRule type="colorScale" priority="588">
      <colorScale>
        <cfvo type="percent" val="0"/>
        <cfvo type="percent" val="100"/>
        <color rgb="FFFF231B"/>
        <color rgb="FF10FF07"/>
      </colorScale>
    </cfRule>
  </conditionalFormatting>
  <conditionalFormatting sqref="K80">
    <cfRule type="colorScale" priority="589">
      <colorScale>
        <cfvo type="percent" val="0"/>
        <cfvo type="percent" val="100"/>
        <color rgb="FFFF231B"/>
        <color rgb="FF10FF07"/>
      </colorScale>
    </cfRule>
  </conditionalFormatting>
  <conditionalFormatting sqref="BU80 BS80">
    <cfRule type="expression" dxfId="426" priority="583">
      <formula>OR(IF(BS80&lt;BT80,TRUE),IF(AND(BT80="",BS80&lt;&gt;""),TRUE))</formula>
    </cfRule>
    <cfRule type="expression" dxfId="425" priority="584">
      <formula>IF(BS80&gt;=BT80,IF(BS80="",FALSE,TRUE))</formula>
    </cfRule>
  </conditionalFormatting>
  <conditionalFormatting sqref="CB80 BZ80">
    <cfRule type="expression" dxfId="424" priority="581">
      <formula>OR(IF(BZ80&lt;CA80,TRUE),IF(AND(CA80="",BZ80&lt;&gt;""),TRUE))</formula>
    </cfRule>
    <cfRule type="expression" dxfId="423" priority="582">
      <formula>IF(BZ80&gt;=CA80,IF(BZ80="",FALSE,TRUE))</formula>
    </cfRule>
  </conditionalFormatting>
  <conditionalFormatting sqref="CI80 CG80">
    <cfRule type="expression" dxfId="422" priority="579">
      <formula>OR(IF(CG80&lt;CH80,TRUE),IF(AND(CH80="",CG80&lt;&gt;""),TRUE))</formula>
    </cfRule>
    <cfRule type="expression" dxfId="421" priority="580">
      <formula>IF(CG80&gt;=CH80,IF(CG80="",FALSE,TRUE))</formula>
    </cfRule>
  </conditionalFormatting>
  <conditionalFormatting sqref="CP80 CN80">
    <cfRule type="expression" dxfId="420" priority="577">
      <formula>OR(IF(CN80&lt;CO80,TRUE),IF(AND(CO80="",CN80&lt;&gt;""),TRUE))</formula>
    </cfRule>
    <cfRule type="expression" dxfId="419" priority="578">
      <formula>IF(CN80&gt;=CO80,IF(CN80="",FALSE,TRUE))</formula>
    </cfRule>
  </conditionalFormatting>
  <conditionalFormatting sqref="DR92 DP92">
    <cfRule type="expression" dxfId="418" priority="165">
      <formula>OR(IF(DP92&lt;DQ92,TRUE),IF(AND(DQ92="",DP92&lt;&gt;""),TRUE))</formula>
    </cfRule>
    <cfRule type="expression" dxfId="417" priority="166">
      <formula>IF(DP92&gt;=DQ92,IF(DP92="",FALSE,TRUE))</formula>
    </cfRule>
  </conditionalFormatting>
  <conditionalFormatting sqref="DW5:DW9 DY5:DY9 DY15:DY17 DW15:DW17 DY43:DY47 DW43:DW47 DW54:DW55 DY54:DY55 DY83:DY84 DW83:DW84">
    <cfRule type="expression" dxfId="416" priority="163">
      <formula>OR(IF(DW5&lt;DX5,TRUE),IF(AND(DX5="",DW5&lt;&gt;""),TRUE))</formula>
    </cfRule>
    <cfRule type="expression" dxfId="415" priority="164">
      <formula>IF(DW5&gt;=DX5,IF(DW5="",FALSE,TRUE))</formula>
    </cfRule>
  </conditionalFormatting>
  <conditionalFormatting sqref="AJ81 AL81 AX81 AZ81 Q81 O81 BG81 X81 V81 AE81 AC81 AS81 AQ81 BE81 BN81 BL81">
    <cfRule type="expression" dxfId="414" priority="568">
      <formula>OR(IF(O81&lt;P81,TRUE),IF(AND(P81="",O81&lt;&gt;""),TRUE))</formula>
    </cfRule>
    <cfRule type="expression" dxfId="413" priority="569">
      <formula>IF(O81&gt;=P81,IF(O81="",FALSE,TRUE))</formula>
    </cfRule>
  </conditionalFormatting>
  <conditionalFormatting sqref="J81:K81">
    <cfRule type="colorScale" priority="570">
      <colorScale>
        <cfvo type="percent" val="0"/>
        <cfvo type="percent" val="100"/>
        <color rgb="FFFF231B"/>
        <color rgb="FF10FF07"/>
      </colorScale>
    </cfRule>
  </conditionalFormatting>
  <conditionalFormatting sqref="J81">
    <cfRule type="colorScale" priority="571">
      <colorScale>
        <cfvo type="percent" val="0"/>
        <cfvo type="percent" val="100"/>
        <color rgb="FFFF231B"/>
        <color rgb="FF10FF07"/>
      </colorScale>
    </cfRule>
  </conditionalFormatting>
  <conditionalFormatting sqref="K81">
    <cfRule type="colorScale" priority="572">
      <colorScale>
        <cfvo type="percent" val="0"/>
        <cfvo type="percent" val="100"/>
        <color rgb="FFFF231B"/>
        <color rgb="FF10FF07"/>
      </colorScale>
    </cfRule>
  </conditionalFormatting>
  <conditionalFormatting sqref="BU81">
    <cfRule type="expression" dxfId="412" priority="566">
      <formula>OR(IF(BU81&lt;BV81,TRUE),IF(AND(BV81="",BU81&lt;&gt;""),TRUE))</formula>
    </cfRule>
    <cfRule type="expression" dxfId="411" priority="567">
      <formula>IF(BU81&gt;=BV81,IF(BU81="",FALSE,TRUE))</formula>
    </cfRule>
  </conditionalFormatting>
  <conditionalFormatting sqref="CB81 BZ81">
    <cfRule type="expression" dxfId="410" priority="564">
      <formula>OR(IF(BZ81&lt;CA81,TRUE),IF(AND(CA81="",BZ81&lt;&gt;""),TRUE))</formula>
    </cfRule>
    <cfRule type="expression" dxfId="409" priority="565">
      <formula>IF(BZ81&gt;=CA81,IF(BZ81="",FALSE,TRUE))</formula>
    </cfRule>
  </conditionalFormatting>
  <conditionalFormatting sqref="CI81 CG81">
    <cfRule type="expression" dxfId="408" priority="562">
      <formula>OR(IF(CG81&lt;CH81,TRUE),IF(AND(CH81="",CG81&lt;&gt;""),TRUE))</formula>
    </cfRule>
    <cfRule type="expression" dxfId="407" priority="563">
      <formula>IF(CG81&gt;=CH81,IF(CG81="",FALSE,TRUE))</formula>
    </cfRule>
  </conditionalFormatting>
  <conditionalFormatting sqref="CP81 CN81">
    <cfRule type="expression" dxfId="406" priority="560">
      <formula>OR(IF(CN81&lt;CO81,TRUE),IF(AND(CO81="",CN81&lt;&gt;""),TRUE))</formula>
    </cfRule>
    <cfRule type="expression" dxfId="405" priority="561">
      <formula>IF(CN81&gt;=CO81,IF(CN81="",FALSE,TRUE))</formula>
    </cfRule>
  </conditionalFormatting>
  <conditionalFormatting sqref="AJ82 AL82 AX82 AZ82 Q82 O82 BG82 X82 V82 AE82 AC82 AS82 AQ82 BE82 BN82 BL82">
    <cfRule type="expression" dxfId="404" priority="551">
      <formula>OR(IF(O82&lt;P82,TRUE),IF(AND(P82="",O82&lt;&gt;""),TRUE))</formula>
    </cfRule>
    <cfRule type="expression" dxfId="403" priority="552">
      <formula>IF(O82&gt;=P82,IF(O82="",FALSE,TRUE))</formula>
    </cfRule>
  </conditionalFormatting>
  <conditionalFormatting sqref="J82:K82">
    <cfRule type="colorScale" priority="553">
      <colorScale>
        <cfvo type="percent" val="0"/>
        <cfvo type="percent" val="100"/>
        <color rgb="FFFF231B"/>
        <color rgb="FF10FF07"/>
      </colorScale>
    </cfRule>
  </conditionalFormatting>
  <conditionalFormatting sqref="J82">
    <cfRule type="colorScale" priority="554">
      <colorScale>
        <cfvo type="percent" val="0"/>
        <cfvo type="percent" val="100"/>
        <color rgb="FFFF231B"/>
        <color rgb="FF10FF07"/>
      </colorScale>
    </cfRule>
  </conditionalFormatting>
  <conditionalFormatting sqref="K82">
    <cfRule type="colorScale" priority="555">
      <colorScale>
        <cfvo type="percent" val="0"/>
        <cfvo type="percent" val="100"/>
        <color rgb="FFFF231B"/>
        <color rgb="FF10FF07"/>
      </colorScale>
    </cfRule>
  </conditionalFormatting>
  <conditionalFormatting sqref="BU82">
    <cfRule type="expression" dxfId="402" priority="549">
      <formula>OR(IF(BU82&lt;BV82,TRUE),IF(AND(BV82="",BU82&lt;&gt;""),TRUE))</formula>
    </cfRule>
    <cfRule type="expression" dxfId="401" priority="550">
      <formula>IF(BU82&gt;=BV82,IF(BU82="",FALSE,TRUE))</formula>
    </cfRule>
  </conditionalFormatting>
  <conditionalFormatting sqref="CB82 BZ82">
    <cfRule type="expression" dxfId="400" priority="547">
      <formula>OR(IF(BZ82&lt;CA82,TRUE),IF(AND(CA82="",BZ82&lt;&gt;""),TRUE))</formula>
    </cfRule>
    <cfRule type="expression" dxfId="399" priority="548">
      <formula>IF(BZ82&gt;=CA82,IF(BZ82="",FALSE,TRUE))</formula>
    </cfRule>
  </conditionalFormatting>
  <conditionalFormatting sqref="CI82 CG82">
    <cfRule type="expression" dxfId="398" priority="545">
      <formula>OR(IF(CG82&lt;CH82,TRUE),IF(AND(CH82="",CG82&lt;&gt;""),TRUE))</formula>
    </cfRule>
    <cfRule type="expression" dxfId="397" priority="546">
      <formula>IF(CG82&gt;=CH82,IF(CG82="",FALSE,TRUE))</formula>
    </cfRule>
  </conditionalFormatting>
  <conditionalFormatting sqref="CP82 CN82">
    <cfRule type="expression" dxfId="396" priority="543">
      <formula>OR(IF(CN82&lt;CO82,TRUE),IF(AND(CO82="",CN82&lt;&gt;""),TRUE))</formula>
    </cfRule>
    <cfRule type="expression" dxfId="395" priority="544">
      <formula>IF(CN82&gt;=CO82,IF(CN82="",FALSE,TRUE))</formula>
    </cfRule>
  </conditionalFormatting>
  <conditionalFormatting sqref="DY51:DY53 DW51:DW53">
    <cfRule type="expression" dxfId="394" priority="129">
      <formula>OR(IF(DW51&lt;DX51,TRUE),IF(AND(DX51="",DW51&lt;&gt;""),TRUE))</formula>
    </cfRule>
    <cfRule type="expression" dxfId="393" priority="130">
      <formula>IF(DW51&gt;=DX51,IF(DW51="",FALSE,TRUE))</formula>
    </cfRule>
  </conditionalFormatting>
  <conditionalFormatting sqref="Q91 O91 X91 V91 AE91 AC91 AJ91 AL91 AS91 AQ91 AX91 AZ91 BG91 BE91 BN91 BL91">
    <cfRule type="expression" dxfId="392" priority="534">
      <formula>OR(IF(O91&lt;P91,TRUE),IF(AND(P91="",O91&lt;&gt;""),TRUE))</formula>
    </cfRule>
    <cfRule type="expression" dxfId="391" priority="535">
      <formula>IF(O91&gt;=P91,IF(O91="",FALSE,TRUE))</formula>
    </cfRule>
  </conditionalFormatting>
  <conditionalFormatting sqref="J91:K91">
    <cfRule type="colorScale" priority="536">
      <colorScale>
        <cfvo type="percent" val="0"/>
        <cfvo type="percent" val="100"/>
        <color rgb="FFFF231B"/>
        <color rgb="FF10FF07"/>
      </colorScale>
    </cfRule>
  </conditionalFormatting>
  <conditionalFormatting sqref="J91">
    <cfRule type="colorScale" priority="537">
      <colorScale>
        <cfvo type="percent" val="0"/>
        <cfvo type="percent" val="100"/>
        <color rgb="FFFF231B"/>
        <color rgb="FF10FF07"/>
      </colorScale>
    </cfRule>
  </conditionalFormatting>
  <conditionalFormatting sqref="K91">
    <cfRule type="colorScale" priority="538">
      <colorScale>
        <cfvo type="percent" val="0"/>
        <cfvo type="percent" val="100"/>
        <color rgb="FFFF231B"/>
        <color rgb="FF10FF07"/>
      </colorScale>
    </cfRule>
  </conditionalFormatting>
  <conditionalFormatting sqref="BU91 BS91">
    <cfRule type="expression" dxfId="390" priority="532">
      <formula>OR(IF(BS91&lt;BT91,TRUE),IF(AND(BT91="",BS91&lt;&gt;""),TRUE))</formula>
    </cfRule>
    <cfRule type="expression" dxfId="389" priority="533">
      <formula>IF(BS91&gt;=BT91,IF(BS91="",FALSE,TRUE))</formula>
    </cfRule>
  </conditionalFormatting>
  <conditionalFormatting sqref="CB91 BZ91">
    <cfRule type="expression" dxfId="388" priority="530">
      <formula>OR(IF(BZ91&lt;CA91,TRUE),IF(AND(CA91="",BZ91&lt;&gt;""),TRUE))</formula>
    </cfRule>
    <cfRule type="expression" dxfId="387" priority="531">
      <formula>IF(BZ91&gt;=CA91,IF(BZ91="",FALSE,TRUE))</formula>
    </cfRule>
  </conditionalFormatting>
  <conditionalFormatting sqref="CI91 CG91">
    <cfRule type="expression" dxfId="386" priority="528">
      <formula>OR(IF(CG91&lt;CH91,TRUE),IF(AND(CH91="",CG91&lt;&gt;""),TRUE))</formula>
    </cfRule>
    <cfRule type="expression" dxfId="385" priority="529">
      <formula>IF(CG91&gt;=CH91,IF(CG91="",FALSE,TRUE))</formula>
    </cfRule>
  </conditionalFormatting>
  <conditionalFormatting sqref="CP91 CN91">
    <cfRule type="expression" dxfId="384" priority="526">
      <formula>OR(IF(CN91&lt;CO91,TRUE),IF(AND(CO91="",CN91&lt;&gt;""),TRUE))</formula>
    </cfRule>
    <cfRule type="expression" dxfId="383" priority="527">
      <formula>IF(CN91&gt;=CO91,IF(CN91="",FALSE,TRUE))</formula>
    </cfRule>
  </conditionalFormatting>
  <conditionalFormatting sqref="Q92 O92 X92 V92 AE92 AC92 AJ92 AL92 AS92 AQ92 AX92 AZ92 BG92 BE92 BN92 BL92">
    <cfRule type="expression" dxfId="382" priority="517">
      <formula>OR(IF(O92&lt;P92,TRUE),IF(AND(P92="",O92&lt;&gt;""),TRUE))</formula>
    </cfRule>
    <cfRule type="expression" dxfId="381" priority="518">
      <formula>IF(O92&gt;=P92,IF(O92="",FALSE,TRUE))</formula>
    </cfRule>
  </conditionalFormatting>
  <conditionalFormatting sqref="J92:K92">
    <cfRule type="colorScale" priority="519">
      <colorScale>
        <cfvo type="percent" val="0"/>
        <cfvo type="percent" val="100"/>
        <color rgb="FFFF231B"/>
        <color rgb="FF10FF07"/>
      </colorScale>
    </cfRule>
  </conditionalFormatting>
  <conditionalFormatting sqref="J92">
    <cfRule type="colorScale" priority="520">
      <colorScale>
        <cfvo type="percent" val="0"/>
        <cfvo type="percent" val="100"/>
        <color rgb="FFFF231B"/>
        <color rgb="FF10FF07"/>
      </colorScale>
    </cfRule>
  </conditionalFormatting>
  <conditionalFormatting sqref="K92">
    <cfRule type="colorScale" priority="521">
      <colorScale>
        <cfvo type="percent" val="0"/>
        <cfvo type="percent" val="100"/>
        <color rgb="FFFF231B"/>
        <color rgb="FF10FF07"/>
      </colorScale>
    </cfRule>
  </conditionalFormatting>
  <conditionalFormatting sqref="BU92 BS92">
    <cfRule type="expression" dxfId="380" priority="515">
      <formula>OR(IF(BS92&lt;BT92,TRUE),IF(AND(BT92="",BS92&lt;&gt;""),TRUE))</formula>
    </cfRule>
    <cfRule type="expression" dxfId="379" priority="516">
      <formula>IF(BS92&gt;=BT92,IF(BS92="",FALSE,TRUE))</formula>
    </cfRule>
  </conditionalFormatting>
  <conditionalFormatting sqref="CB92 BZ92">
    <cfRule type="expression" dxfId="378" priority="513">
      <formula>OR(IF(BZ92&lt;CA92,TRUE),IF(AND(CA92="",BZ92&lt;&gt;""),TRUE))</formula>
    </cfRule>
    <cfRule type="expression" dxfId="377" priority="514">
      <formula>IF(BZ92&gt;=CA92,IF(BZ92="",FALSE,TRUE))</formula>
    </cfRule>
  </conditionalFormatting>
  <conditionalFormatting sqref="CI92 CG92">
    <cfRule type="expression" dxfId="376" priority="511">
      <formula>OR(IF(CG92&lt;CH92,TRUE),IF(AND(CH92="",CG92&lt;&gt;""),TRUE))</formula>
    </cfRule>
    <cfRule type="expression" dxfId="375" priority="512">
      <formula>IF(CG92&gt;=CH92,IF(CG92="",FALSE,TRUE))</formula>
    </cfRule>
  </conditionalFormatting>
  <conditionalFormatting sqref="CP92 CN92">
    <cfRule type="expression" dxfId="374" priority="509">
      <formula>OR(IF(CN92&lt;CO92,TRUE),IF(AND(CO92="",CN92&lt;&gt;""),TRUE))</formula>
    </cfRule>
    <cfRule type="expression" dxfId="373" priority="510">
      <formula>IF(CN92&gt;=CO92,IF(CN92="",FALSE,TRUE))</formula>
    </cfRule>
  </conditionalFormatting>
  <conditionalFormatting sqref="DY92 DW92">
    <cfRule type="expression" dxfId="372" priority="97">
      <formula>OR(IF(DW92&lt;DX92,TRUE),IF(AND(DX92="",DW92&lt;&gt;""),TRUE))</formula>
    </cfRule>
    <cfRule type="expression" dxfId="371" priority="98">
      <formula>IF(DW92&gt;=DX92,IF(DW92="",FALSE,TRUE))</formula>
    </cfRule>
  </conditionalFormatting>
  <conditionalFormatting sqref="ED5:ED9 EF5:EF9 EF15:EF17 ED15:ED17 EF43:EF47 ED43:ED47 ED54:ED55 EF54:EF55 EF83:EF84 ED83:ED84">
    <cfRule type="expression" dxfId="370" priority="95">
      <formula>OR(IF(ED5&lt;EE5,TRUE),IF(AND(EE5="",ED5&lt;&gt;""),TRUE))</formula>
    </cfRule>
    <cfRule type="expression" dxfId="369" priority="96">
      <formula>IF(ED5&gt;=EE5,IF(ED5="",FALSE,TRUE))</formula>
    </cfRule>
  </conditionalFormatting>
  <conditionalFormatting sqref="EF60:EF64 ED60:ED64 EF88:EF90 ED88:ED90 ED85 EF85 ED93:ED99 EF93:EF99">
    <cfRule type="expression" dxfId="368" priority="93">
      <formula>OR(IF(ED60&lt;EE60,TRUE),IF(AND(EE60="",ED60&lt;&gt;""),TRUE))</formula>
    </cfRule>
    <cfRule type="expression" dxfId="367" priority="94">
      <formula>IF(ED60&gt;=EE60,IF(ED60="",FALSE,TRUE))</formula>
    </cfRule>
  </conditionalFormatting>
  <conditionalFormatting sqref="ED20 EF20">
    <cfRule type="expression" dxfId="366" priority="91">
      <formula>OR(IF(ED20&lt;EE20,TRUE),IF(AND(EE20="",ED20&lt;&gt;""),TRUE))</formula>
    </cfRule>
    <cfRule type="expression" dxfId="365" priority="92">
      <formula>IF(ED20&gt;=EE20,IF(ED20="",FALSE,TRUE))</formula>
    </cfRule>
  </conditionalFormatting>
  <conditionalFormatting sqref="ED41:ED42">
    <cfRule type="expression" dxfId="364" priority="89">
      <formula>OR(IF(ED41&lt;EE41,TRUE),IF(AND(EE41="",ED41&lt;&gt;""),TRUE))</formula>
    </cfRule>
    <cfRule type="expression" dxfId="363" priority="90">
      <formula>IF(ED41&gt;=EE41,IF(ED41="",FALSE,TRUE))</formula>
    </cfRule>
  </conditionalFormatting>
  <conditionalFormatting sqref="EF41:EF42">
    <cfRule type="expression" dxfId="362" priority="87">
      <formula>OR(IF(EF41&lt;EG41,TRUE),IF(AND(EG41="",EF41&lt;&gt;""),TRUE))</formula>
    </cfRule>
    <cfRule type="expression" dxfId="361" priority="88">
      <formula>IF(EF41&gt;=EG41,IF(EF41="",FALSE,TRUE))</formula>
    </cfRule>
  </conditionalFormatting>
  <conditionalFormatting sqref="ED58:ED59">
    <cfRule type="expression" dxfId="360" priority="81">
      <formula>OR(IF(ED58&lt;EE58,TRUE),IF(AND(EE58="",ED58&lt;&gt;""),TRUE))</formula>
    </cfRule>
    <cfRule type="expression" dxfId="359" priority="82">
      <formula>IF(ED58&gt;=EE58,IF(ED58="",FALSE,TRUE))</formula>
    </cfRule>
  </conditionalFormatting>
  <conditionalFormatting sqref="EF58:EF59">
    <cfRule type="expression" dxfId="358" priority="79">
      <formula>OR(IF(EF58&lt;EG58,TRUE),IF(AND(EG58="",EF58&lt;&gt;""),TRUE))</formula>
    </cfRule>
    <cfRule type="expression" dxfId="357" priority="80">
      <formula>IF(EF58&gt;=EG58,IF(EF58="",FALSE,TRUE))</formula>
    </cfRule>
  </conditionalFormatting>
  <conditionalFormatting sqref="ED21 EF21">
    <cfRule type="expression" dxfId="356" priority="77">
      <formula>OR(IF(ED21&lt;EE21,TRUE),IF(AND(EE21="",ED21&lt;&gt;""),TRUE))</formula>
    </cfRule>
    <cfRule type="expression" dxfId="355" priority="78">
      <formula>IF(ED21&gt;=EE21,IF(ED21="",FALSE,TRUE))</formula>
    </cfRule>
  </conditionalFormatting>
  <conditionalFormatting sqref="EF22 ED22">
    <cfRule type="expression" dxfId="354" priority="75">
      <formula>OR(IF(ED22&lt;EE22,TRUE),IF(AND(EE22="",ED22&lt;&gt;""),TRUE))</formula>
    </cfRule>
    <cfRule type="expression" dxfId="353" priority="76">
      <formula>IF(ED22&gt;=EE22,IF(ED22="",FALSE,TRUE))</formula>
    </cfRule>
  </conditionalFormatting>
  <conditionalFormatting sqref="ED10 EF10">
    <cfRule type="expression" dxfId="352" priority="73">
      <formula>OR(IF(ED10&lt;EE10,TRUE),IF(AND(EE10="",ED10&lt;&gt;""),TRUE))</formula>
    </cfRule>
    <cfRule type="expression" dxfId="351" priority="74">
      <formula>IF(ED10&gt;=EE10,IF(ED10="",FALSE,TRUE))</formula>
    </cfRule>
  </conditionalFormatting>
  <conditionalFormatting sqref="ED11 EF11">
    <cfRule type="expression" dxfId="350" priority="71">
      <formula>OR(IF(ED11&lt;EE11,TRUE),IF(AND(EE11="",ED11&lt;&gt;""),TRUE))</formula>
    </cfRule>
    <cfRule type="expression" dxfId="349" priority="72">
      <formula>IF(ED11&gt;=EE11,IF(ED11="",FALSE,TRUE))</formula>
    </cfRule>
  </conditionalFormatting>
  <conditionalFormatting sqref="ED12 EF12">
    <cfRule type="expression" dxfId="348" priority="69">
      <formula>OR(IF(ED12&lt;EE12,TRUE),IF(AND(EE12="",ED12&lt;&gt;""),TRUE))</formula>
    </cfRule>
    <cfRule type="expression" dxfId="347" priority="70">
      <formula>IF(ED12&gt;=EE12,IF(ED12="",FALSE,TRUE))</formula>
    </cfRule>
  </conditionalFormatting>
  <conditionalFormatting sqref="ED13 EF13">
    <cfRule type="expression" dxfId="346" priority="67">
      <formula>OR(IF(ED13&lt;EE13,TRUE),IF(AND(EE13="",ED13&lt;&gt;""),TRUE))</formula>
    </cfRule>
    <cfRule type="expression" dxfId="345" priority="68">
      <formula>IF(ED13&gt;=EE13,IF(ED13="",FALSE,TRUE))</formula>
    </cfRule>
  </conditionalFormatting>
  <conditionalFormatting sqref="ED14 EF14">
    <cfRule type="expression" dxfId="344" priority="65">
      <formula>OR(IF(ED14&lt;EE14,TRUE),IF(AND(EE14="",ED14&lt;&gt;""),TRUE))</formula>
    </cfRule>
    <cfRule type="expression" dxfId="343" priority="66">
      <formula>IF(ED14&gt;=EE14,IF(ED14="",FALSE,TRUE))</formula>
    </cfRule>
  </conditionalFormatting>
  <conditionalFormatting sqref="EF51:EF53 ED51:ED53">
    <cfRule type="expression" dxfId="342" priority="61">
      <formula>OR(IF(ED51&lt;EE51,TRUE),IF(AND(EE51="",ED51&lt;&gt;""),TRUE))</formula>
    </cfRule>
    <cfRule type="expression" dxfId="341" priority="62">
      <formula>IF(ED51&gt;=EE51,IF(ED51="",FALSE,TRUE))</formula>
    </cfRule>
  </conditionalFormatting>
  <conditionalFormatting sqref="ED49:ED50">
    <cfRule type="expression" dxfId="340" priority="59">
      <formula>OR(IF(ED49&lt;EE49,TRUE),IF(AND(EE49="",ED49&lt;&gt;""),TRUE))</formula>
    </cfRule>
    <cfRule type="expression" dxfId="339" priority="60">
      <formula>IF(ED49&gt;=EE49,IF(ED49="",FALSE,TRUE))</formula>
    </cfRule>
  </conditionalFormatting>
  <conditionalFormatting sqref="EF49:EF50">
    <cfRule type="expression" dxfId="338" priority="57">
      <formula>OR(IF(EF49&lt;EG49,TRUE),IF(AND(EG49="",EF49&lt;&gt;""),TRUE))</formula>
    </cfRule>
    <cfRule type="expression" dxfId="337" priority="58">
      <formula>IF(EF49&gt;=EG49,IF(EF49="",FALSE,TRUE))</formula>
    </cfRule>
  </conditionalFormatting>
  <conditionalFormatting sqref="EF65 ED65">
    <cfRule type="expression" dxfId="336" priority="55">
      <formula>OR(IF(ED65&lt;EE65,TRUE),IF(AND(EE65="",ED65&lt;&gt;""),TRUE))</formula>
    </cfRule>
    <cfRule type="expression" dxfId="335" priority="56">
      <formula>IF(ED65&gt;=EE65,IF(ED65="",FALSE,TRUE))</formula>
    </cfRule>
  </conditionalFormatting>
  <conditionalFormatting sqref="EF66 ED66">
    <cfRule type="expression" dxfId="334" priority="53">
      <formula>OR(IF(ED66&lt;EE66,TRUE),IF(AND(EE66="",ED66&lt;&gt;""),TRUE))</formula>
    </cfRule>
    <cfRule type="expression" dxfId="333" priority="54">
      <formula>IF(ED66&gt;=EE66,IF(ED66="",FALSE,TRUE))</formula>
    </cfRule>
  </conditionalFormatting>
  <conditionalFormatting sqref="EF67 ED67">
    <cfRule type="expression" dxfId="332" priority="51">
      <formula>OR(IF(ED67&lt;EE67,TRUE),IF(AND(EE67="",ED67&lt;&gt;""),TRUE))</formula>
    </cfRule>
    <cfRule type="expression" dxfId="331" priority="52">
      <formula>IF(ED67&gt;=EE67,IF(ED67="",FALSE,TRUE))</formula>
    </cfRule>
  </conditionalFormatting>
  <conditionalFormatting sqref="EF68:EF70 ED68:ED70">
    <cfRule type="expression" dxfId="330" priority="49">
      <formula>OR(IF(ED68&lt;EE68,TRUE),IF(AND(EE68="",ED68&lt;&gt;""),TRUE))</formula>
    </cfRule>
    <cfRule type="expression" dxfId="329" priority="50">
      <formula>IF(ED68&gt;=EE68,IF(ED68="",FALSE,TRUE))</formula>
    </cfRule>
  </conditionalFormatting>
  <conditionalFormatting sqref="EF73:EF77 ED73:ED77">
    <cfRule type="expression" dxfId="328" priority="47">
      <formula>OR(IF(ED73&lt;EE73,TRUE),IF(AND(EE73="",ED73&lt;&gt;""),TRUE))</formula>
    </cfRule>
    <cfRule type="expression" dxfId="327" priority="48">
      <formula>IF(ED73&gt;=EE73,IF(ED73="",FALSE,TRUE))</formula>
    </cfRule>
  </conditionalFormatting>
  <conditionalFormatting sqref="EF78 ED78">
    <cfRule type="expression" dxfId="326" priority="41">
      <formula>OR(IF(ED78&lt;EE78,TRUE),IF(AND(EE78="",ED78&lt;&gt;""),TRUE))</formula>
    </cfRule>
    <cfRule type="expression" dxfId="325" priority="42">
      <formula>IF(ED78&gt;=EE78,IF(ED78="",FALSE,TRUE))</formula>
    </cfRule>
  </conditionalFormatting>
  <conditionalFormatting sqref="EF79 ED79">
    <cfRule type="expression" dxfId="324" priority="39">
      <formula>OR(IF(ED79&lt;EE79,TRUE),IF(AND(EE79="",ED79&lt;&gt;""),TRUE))</formula>
    </cfRule>
    <cfRule type="expression" dxfId="323" priority="40">
      <formula>IF(ED79&gt;=EE79,IF(ED79="",FALSE,TRUE))</formula>
    </cfRule>
  </conditionalFormatting>
  <conditionalFormatting sqref="EF80 ED80">
    <cfRule type="expression" dxfId="322" priority="37">
      <formula>OR(IF(ED80&lt;EE80,TRUE),IF(AND(EE80="",ED80&lt;&gt;""),TRUE))</formula>
    </cfRule>
    <cfRule type="expression" dxfId="321" priority="38">
      <formula>IF(ED80&gt;=EE80,IF(ED80="",FALSE,TRUE))</formula>
    </cfRule>
  </conditionalFormatting>
  <conditionalFormatting sqref="EF81 ED81">
    <cfRule type="expression" dxfId="320" priority="35">
      <formula>OR(IF(ED81&lt;EE81,TRUE),IF(AND(EE81="",ED81&lt;&gt;""),TRUE))</formula>
    </cfRule>
    <cfRule type="expression" dxfId="319" priority="36">
      <formula>IF(ED81&gt;=EE81,IF(ED81="",FALSE,TRUE))</formula>
    </cfRule>
  </conditionalFormatting>
  <conditionalFormatting sqref="EF82 ED82">
    <cfRule type="expression" dxfId="318" priority="33">
      <formula>OR(IF(ED82&lt;EE82,TRUE),IF(AND(EE82="",ED82&lt;&gt;""),TRUE))</formula>
    </cfRule>
    <cfRule type="expression" dxfId="317" priority="34">
      <formula>IF(ED82&gt;=EE82,IF(ED82="",FALSE,TRUE))</formula>
    </cfRule>
  </conditionalFormatting>
  <conditionalFormatting sqref="EF91 ED91">
    <cfRule type="expression" dxfId="316" priority="31">
      <formula>OR(IF(ED91&lt;EE91,TRUE),IF(AND(EE91="",ED91&lt;&gt;""),TRUE))</formula>
    </cfRule>
    <cfRule type="expression" dxfId="315" priority="32">
      <formula>IF(ED91&gt;=EE91,IF(ED91="",FALSE,TRUE))</formula>
    </cfRule>
  </conditionalFormatting>
  <conditionalFormatting sqref="EF92 ED92">
    <cfRule type="expression" dxfId="314" priority="29">
      <formula>OR(IF(ED92&lt;EE92,TRUE),IF(AND(EE92="",ED92&lt;&gt;""),TRUE))</formula>
    </cfRule>
    <cfRule type="expression" dxfId="313" priority="30">
      <formula>IF(ED92&gt;=EE92,IF(ED92="",FALSE,TRUE))</formula>
    </cfRule>
  </conditionalFormatting>
  <conditionalFormatting sqref="BI54:BI55">
    <cfRule type="expression" dxfId="312" priority="27">
      <formula>OR(IF(BI54&lt;BJ54,TRUE),IF(AND(BJ54="",BI54&lt;&gt;""),TRUE))</formula>
    </cfRule>
    <cfRule type="expression" dxfId="311" priority="28">
      <formula>IF(BI54&gt;=BJ54,IF(BI54="",FALSE,TRUE))</formula>
    </cfRule>
  </conditionalFormatting>
  <conditionalFormatting sqref="CU5:CU9 CW5:CW9 CW15:CW17 CU15:CU17 CW43:CW47 CU43:CU47 CU54:CU55 CW54:CW55 CW83:CW84 CU83:CU84">
    <cfRule type="expression" dxfId="310" priority="435">
      <formula>OR(IF(CU5&lt;CV5,TRUE),IF(AND(CV5="",CU5&lt;&gt;""),TRUE))</formula>
    </cfRule>
    <cfRule type="expression" dxfId="309" priority="436">
      <formula>IF(CU5&gt;=CV5,IF(CU5="",FALSE,TRUE))</formula>
    </cfRule>
  </conditionalFormatting>
  <conditionalFormatting sqref="CW60:CW64 CU60:CU64 CW88:CW90 CU88:CU90 CU85 CW85 CU93:CU96 CW93:CW96">
    <cfRule type="expression" dxfId="308" priority="433">
      <formula>OR(IF(CU60&lt;CV60,TRUE),IF(AND(CV60="",CU60&lt;&gt;""),TRUE))</formula>
    </cfRule>
    <cfRule type="expression" dxfId="307" priority="434">
      <formula>IF(CU60&gt;=CV60,IF(CU60="",FALSE,TRUE))</formula>
    </cfRule>
  </conditionalFormatting>
  <conditionalFormatting sqref="CU20 CW20">
    <cfRule type="expression" dxfId="306" priority="431">
      <formula>OR(IF(CU20&lt;CV20,TRUE),IF(AND(CV20="",CU20&lt;&gt;""),TRUE))</formula>
    </cfRule>
    <cfRule type="expression" dxfId="305" priority="432">
      <formula>IF(CU20&gt;=CV20,IF(CU20="",FALSE,TRUE))</formula>
    </cfRule>
  </conditionalFormatting>
  <conditionalFormatting sqref="CU41:CU42">
    <cfRule type="expression" dxfId="304" priority="429">
      <formula>OR(IF(CU41&lt;CV41,TRUE),IF(AND(CV41="",CU41&lt;&gt;""),TRUE))</formula>
    </cfRule>
    <cfRule type="expression" dxfId="303" priority="430">
      <formula>IF(CU41&gt;=CV41,IF(CU41="",FALSE,TRUE))</formula>
    </cfRule>
  </conditionalFormatting>
  <conditionalFormatting sqref="CW41:CW42">
    <cfRule type="expression" dxfId="302" priority="427">
      <formula>OR(IF(CW41&lt;CX41,TRUE),IF(AND(CX41="",CW41&lt;&gt;""),TRUE))</formula>
    </cfRule>
    <cfRule type="expression" dxfId="301" priority="428">
      <formula>IF(CW41&gt;=CX41,IF(CW41="",FALSE,TRUE))</formula>
    </cfRule>
  </conditionalFormatting>
  <conditionalFormatting sqref="CU58:CU59">
    <cfRule type="expression" dxfId="300" priority="421">
      <formula>OR(IF(CU58&lt;CV58,TRUE),IF(AND(CV58="",CU58&lt;&gt;""),TRUE))</formula>
    </cfRule>
    <cfRule type="expression" dxfId="299" priority="422">
      <formula>IF(CU58&gt;=CV58,IF(CU58="",FALSE,TRUE))</formula>
    </cfRule>
  </conditionalFormatting>
  <conditionalFormatting sqref="CW58:CW59">
    <cfRule type="expression" dxfId="298" priority="419">
      <formula>OR(IF(CW58&lt;CX58,TRUE),IF(AND(CX58="",CW58&lt;&gt;""),TRUE))</formula>
    </cfRule>
    <cfRule type="expression" dxfId="297" priority="420">
      <formula>IF(CW58&gt;=CX58,IF(CW58="",FALSE,TRUE))</formula>
    </cfRule>
  </conditionalFormatting>
  <conditionalFormatting sqref="CU21 CW21">
    <cfRule type="expression" dxfId="296" priority="417">
      <formula>OR(IF(CU21&lt;CV21,TRUE),IF(AND(CV21="",CU21&lt;&gt;""),TRUE))</formula>
    </cfRule>
    <cfRule type="expression" dxfId="295" priority="418">
      <formula>IF(CU21&gt;=CV21,IF(CU21="",FALSE,TRUE))</formula>
    </cfRule>
  </conditionalFormatting>
  <conditionalFormatting sqref="CW22 CU22">
    <cfRule type="expression" dxfId="294" priority="415">
      <formula>OR(IF(CU22&lt;CV22,TRUE),IF(AND(CV22="",CU22&lt;&gt;""),TRUE))</formula>
    </cfRule>
    <cfRule type="expression" dxfId="293" priority="416">
      <formula>IF(CU22&gt;=CV22,IF(CU22="",FALSE,TRUE))</formula>
    </cfRule>
  </conditionalFormatting>
  <conditionalFormatting sqref="CU10 CW10">
    <cfRule type="expression" dxfId="292" priority="413">
      <formula>OR(IF(CU10&lt;CV10,TRUE),IF(AND(CV10="",CU10&lt;&gt;""),TRUE))</formula>
    </cfRule>
    <cfRule type="expression" dxfId="291" priority="414">
      <formula>IF(CU10&gt;=CV10,IF(CU10="",FALSE,TRUE))</formula>
    </cfRule>
  </conditionalFormatting>
  <conditionalFormatting sqref="CU11 CW11">
    <cfRule type="expression" dxfId="290" priority="411">
      <formula>OR(IF(CU11&lt;CV11,TRUE),IF(AND(CV11="",CU11&lt;&gt;""),TRUE))</formula>
    </cfRule>
    <cfRule type="expression" dxfId="289" priority="412">
      <formula>IF(CU11&gt;=CV11,IF(CU11="",FALSE,TRUE))</formula>
    </cfRule>
  </conditionalFormatting>
  <conditionalFormatting sqref="CU12 CW12">
    <cfRule type="expression" dxfId="288" priority="409">
      <formula>OR(IF(CU12&lt;CV12,TRUE),IF(AND(CV12="",CU12&lt;&gt;""),TRUE))</formula>
    </cfRule>
    <cfRule type="expression" dxfId="287" priority="410">
      <formula>IF(CU12&gt;=CV12,IF(CU12="",FALSE,TRUE))</formula>
    </cfRule>
  </conditionalFormatting>
  <conditionalFormatting sqref="CU13 CW13">
    <cfRule type="expression" dxfId="286" priority="407">
      <formula>OR(IF(CU13&lt;CV13,TRUE),IF(AND(CV13="",CU13&lt;&gt;""),TRUE))</formula>
    </cfRule>
    <cfRule type="expression" dxfId="285" priority="408">
      <formula>IF(CU13&gt;=CV13,IF(CU13="",FALSE,TRUE))</formula>
    </cfRule>
  </conditionalFormatting>
  <conditionalFormatting sqref="CU14 CW14">
    <cfRule type="expression" dxfId="284" priority="405">
      <formula>OR(IF(CU14&lt;CV14,TRUE),IF(AND(CV14="",CU14&lt;&gt;""),TRUE))</formula>
    </cfRule>
    <cfRule type="expression" dxfId="283" priority="406">
      <formula>IF(CU14&gt;=CV14,IF(CU14="",FALSE,TRUE))</formula>
    </cfRule>
  </conditionalFormatting>
  <conditionalFormatting sqref="CW51:CW53 CU51:CU53">
    <cfRule type="expression" dxfId="282" priority="401">
      <formula>OR(IF(CU51&lt;CV51,TRUE),IF(AND(CV51="",CU51&lt;&gt;""),TRUE))</formula>
    </cfRule>
    <cfRule type="expression" dxfId="281" priority="402">
      <formula>IF(CU51&gt;=CV51,IF(CU51="",FALSE,TRUE))</formula>
    </cfRule>
  </conditionalFormatting>
  <conditionalFormatting sqref="CU49:CU50">
    <cfRule type="expression" dxfId="280" priority="399">
      <formula>OR(IF(CU49&lt;CV49,TRUE),IF(AND(CV49="",CU49&lt;&gt;""),TRUE))</formula>
    </cfRule>
    <cfRule type="expression" dxfId="279" priority="400">
      <formula>IF(CU49&gt;=CV49,IF(CU49="",FALSE,TRUE))</formula>
    </cfRule>
  </conditionalFormatting>
  <conditionalFormatting sqref="CW49:CW50">
    <cfRule type="expression" dxfId="278" priority="397">
      <formula>OR(IF(CW49&lt;CX49,TRUE),IF(AND(CX49="",CW49&lt;&gt;""),TRUE))</formula>
    </cfRule>
    <cfRule type="expression" dxfId="277" priority="398">
      <formula>IF(CW49&gt;=CX49,IF(CW49="",FALSE,TRUE))</formula>
    </cfRule>
  </conditionalFormatting>
  <conditionalFormatting sqref="CW65 CU65">
    <cfRule type="expression" dxfId="276" priority="395">
      <formula>OR(IF(CU65&lt;CV65,TRUE),IF(AND(CV65="",CU65&lt;&gt;""),TRUE))</formula>
    </cfRule>
    <cfRule type="expression" dxfId="275" priority="396">
      <formula>IF(CU65&gt;=CV65,IF(CU65="",FALSE,TRUE))</formula>
    </cfRule>
  </conditionalFormatting>
  <conditionalFormatting sqref="CW66 CU66">
    <cfRule type="expression" dxfId="274" priority="393">
      <formula>OR(IF(CU66&lt;CV66,TRUE),IF(AND(CV66="",CU66&lt;&gt;""),TRUE))</formula>
    </cfRule>
    <cfRule type="expression" dxfId="273" priority="394">
      <formula>IF(CU66&gt;=CV66,IF(CU66="",FALSE,TRUE))</formula>
    </cfRule>
  </conditionalFormatting>
  <conditionalFormatting sqref="CW67 CU67">
    <cfRule type="expression" dxfId="272" priority="391">
      <formula>OR(IF(CU67&lt;CV67,TRUE),IF(AND(CV67="",CU67&lt;&gt;""),TRUE))</formula>
    </cfRule>
    <cfRule type="expression" dxfId="271" priority="392">
      <formula>IF(CU67&gt;=CV67,IF(CU67="",FALSE,TRUE))</formula>
    </cfRule>
  </conditionalFormatting>
  <conditionalFormatting sqref="CW68:CW70 CU68:CU70">
    <cfRule type="expression" dxfId="270" priority="389">
      <formula>OR(IF(CU68&lt;CV68,TRUE),IF(AND(CV68="",CU68&lt;&gt;""),TRUE))</formula>
    </cfRule>
    <cfRule type="expression" dxfId="269" priority="390">
      <formula>IF(CU68&gt;=CV68,IF(CU68="",FALSE,TRUE))</formula>
    </cfRule>
  </conditionalFormatting>
  <conditionalFormatting sqref="CW73:CW77 CU73:CU77">
    <cfRule type="expression" dxfId="268" priority="387">
      <formula>OR(IF(CU73&lt;CV73,TRUE),IF(AND(CV73="",CU73&lt;&gt;""),TRUE))</formula>
    </cfRule>
    <cfRule type="expression" dxfId="267" priority="388">
      <formula>IF(CU73&gt;=CV73,IF(CU73="",FALSE,TRUE))</formula>
    </cfRule>
  </conditionalFormatting>
  <conditionalFormatting sqref="CW78 CU78">
    <cfRule type="expression" dxfId="266" priority="381">
      <formula>OR(IF(CU78&lt;CV78,TRUE),IF(AND(CV78="",CU78&lt;&gt;""),TRUE))</formula>
    </cfRule>
    <cfRule type="expression" dxfId="265" priority="382">
      <formula>IF(CU78&gt;=CV78,IF(CU78="",FALSE,TRUE))</formula>
    </cfRule>
  </conditionalFormatting>
  <conditionalFormatting sqref="CW79 CU79">
    <cfRule type="expression" dxfId="264" priority="379">
      <formula>OR(IF(CU79&lt;CV79,TRUE),IF(AND(CV79="",CU79&lt;&gt;""),TRUE))</formula>
    </cfRule>
    <cfRule type="expression" dxfId="263" priority="380">
      <formula>IF(CU79&gt;=CV79,IF(CU79="",FALSE,TRUE))</formula>
    </cfRule>
  </conditionalFormatting>
  <conditionalFormatting sqref="CW80 CU80">
    <cfRule type="expression" dxfId="262" priority="377">
      <formula>OR(IF(CU80&lt;CV80,TRUE),IF(AND(CV80="",CU80&lt;&gt;""),TRUE))</formula>
    </cfRule>
    <cfRule type="expression" dxfId="261" priority="378">
      <formula>IF(CU80&gt;=CV80,IF(CU80="",FALSE,TRUE))</formula>
    </cfRule>
  </conditionalFormatting>
  <conditionalFormatting sqref="CW81 CU81">
    <cfRule type="expression" dxfId="260" priority="375">
      <formula>OR(IF(CU81&lt;CV81,TRUE),IF(AND(CV81="",CU81&lt;&gt;""),TRUE))</formula>
    </cfRule>
    <cfRule type="expression" dxfId="259" priority="376">
      <formula>IF(CU81&gt;=CV81,IF(CU81="",FALSE,TRUE))</formula>
    </cfRule>
  </conditionalFormatting>
  <conditionalFormatting sqref="CW82 CU82">
    <cfRule type="expression" dxfId="258" priority="373">
      <formula>OR(IF(CU82&lt;CV82,TRUE),IF(AND(CV82="",CU82&lt;&gt;""),TRUE))</formula>
    </cfRule>
    <cfRule type="expression" dxfId="257" priority="374">
      <formula>IF(CU82&gt;=CV82,IF(CU82="",FALSE,TRUE))</formula>
    </cfRule>
  </conditionalFormatting>
  <conditionalFormatting sqref="CW91 CU91">
    <cfRule type="expression" dxfId="256" priority="371">
      <formula>OR(IF(CU91&lt;CV91,TRUE),IF(AND(CV91="",CU91&lt;&gt;""),TRUE))</formula>
    </cfRule>
    <cfRule type="expression" dxfId="255" priority="372">
      <formula>IF(CU91&gt;=CV91,IF(CU91="",FALSE,TRUE))</formula>
    </cfRule>
  </conditionalFormatting>
  <conditionalFormatting sqref="CW92 CU92">
    <cfRule type="expression" dxfId="254" priority="369">
      <formula>OR(IF(CU92&lt;CV92,TRUE),IF(AND(CV92="",CU92&lt;&gt;""),TRUE))</formula>
    </cfRule>
    <cfRule type="expression" dxfId="253" priority="370">
      <formula>IF(CU92&gt;=CV92,IF(CU92="",FALSE,TRUE))</formula>
    </cfRule>
  </conditionalFormatting>
  <conditionalFormatting sqref="DB5:DB9 DD5:DD9 DD15:DD17 DB15:DB17 DD43:DD47 DB43:DB47 DB54:DB55 DD54:DD55 DD83:DD84 DB83:DB84">
    <cfRule type="expression" dxfId="252" priority="367">
      <formula>OR(IF(DB5&lt;DC5,TRUE),IF(AND(DC5="",DB5&lt;&gt;""),TRUE))</formula>
    </cfRule>
    <cfRule type="expression" dxfId="251" priority="368">
      <formula>IF(DB5&gt;=DC5,IF(DB5="",FALSE,TRUE))</formula>
    </cfRule>
  </conditionalFormatting>
  <conditionalFormatting sqref="DD60:DD64 DB60:DB64 DD88:DD90 DB88:DB90 DB85 DD85 DB93:DB99 DD93:DD99">
    <cfRule type="expression" dxfId="250" priority="365">
      <formula>OR(IF(DB60&lt;DC60,TRUE),IF(AND(DC60="",DB60&lt;&gt;""),TRUE))</formula>
    </cfRule>
    <cfRule type="expression" dxfId="249" priority="366">
      <formula>IF(DB60&gt;=DC60,IF(DB60="",FALSE,TRUE))</formula>
    </cfRule>
  </conditionalFormatting>
  <conditionalFormatting sqref="DB20 DD20">
    <cfRule type="expression" dxfId="248" priority="363">
      <formula>OR(IF(DB20&lt;DC20,TRUE),IF(AND(DC20="",DB20&lt;&gt;""),TRUE))</formula>
    </cfRule>
    <cfRule type="expression" dxfId="247" priority="364">
      <formula>IF(DB20&gt;=DC20,IF(DB20="",FALSE,TRUE))</formula>
    </cfRule>
  </conditionalFormatting>
  <conditionalFormatting sqref="DB41:DB42">
    <cfRule type="expression" dxfId="246" priority="361">
      <formula>OR(IF(DB41&lt;DC41,TRUE),IF(AND(DC41="",DB41&lt;&gt;""),TRUE))</formula>
    </cfRule>
    <cfRule type="expression" dxfId="245" priority="362">
      <formula>IF(DB41&gt;=DC41,IF(DB41="",FALSE,TRUE))</formula>
    </cfRule>
  </conditionalFormatting>
  <conditionalFormatting sqref="DD41:DD42">
    <cfRule type="expression" dxfId="244" priority="359">
      <formula>OR(IF(DD41&lt;DE41,TRUE),IF(AND(DE41="",DD41&lt;&gt;""),TRUE))</formula>
    </cfRule>
    <cfRule type="expression" dxfId="243" priority="360">
      <formula>IF(DD41&gt;=DE41,IF(DD41="",FALSE,TRUE))</formula>
    </cfRule>
  </conditionalFormatting>
  <conditionalFormatting sqref="DB58:DB59">
    <cfRule type="expression" dxfId="242" priority="353">
      <formula>OR(IF(DB58&lt;DC58,TRUE),IF(AND(DC58="",DB58&lt;&gt;""),TRUE))</formula>
    </cfRule>
    <cfRule type="expression" dxfId="241" priority="354">
      <formula>IF(DB58&gt;=DC58,IF(DB58="",FALSE,TRUE))</formula>
    </cfRule>
  </conditionalFormatting>
  <conditionalFormatting sqref="DD58:DD59">
    <cfRule type="expression" dxfId="240" priority="351">
      <formula>OR(IF(DD58&lt;DE58,TRUE),IF(AND(DE58="",DD58&lt;&gt;""),TRUE))</formula>
    </cfRule>
    <cfRule type="expression" dxfId="239" priority="352">
      <formula>IF(DD58&gt;=DE58,IF(DD58="",FALSE,TRUE))</formula>
    </cfRule>
  </conditionalFormatting>
  <conditionalFormatting sqref="DB21 DD21">
    <cfRule type="expression" dxfId="238" priority="349">
      <formula>OR(IF(DB21&lt;DC21,TRUE),IF(AND(DC21="",DB21&lt;&gt;""),TRUE))</formula>
    </cfRule>
    <cfRule type="expression" dxfId="237" priority="350">
      <formula>IF(DB21&gt;=DC21,IF(DB21="",FALSE,TRUE))</formula>
    </cfRule>
  </conditionalFormatting>
  <conditionalFormatting sqref="DD22 DB22">
    <cfRule type="expression" dxfId="236" priority="347">
      <formula>OR(IF(DB22&lt;DC22,TRUE),IF(AND(DC22="",DB22&lt;&gt;""),TRUE))</formula>
    </cfRule>
    <cfRule type="expression" dxfId="235" priority="348">
      <formula>IF(DB22&gt;=DC22,IF(DB22="",FALSE,TRUE))</formula>
    </cfRule>
  </conditionalFormatting>
  <conditionalFormatting sqref="DB10 DD10">
    <cfRule type="expression" dxfId="234" priority="345">
      <formula>OR(IF(DB10&lt;DC10,TRUE),IF(AND(DC10="",DB10&lt;&gt;""),TRUE))</formula>
    </cfRule>
    <cfRule type="expression" dxfId="233" priority="346">
      <formula>IF(DB10&gt;=DC10,IF(DB10="",FALSE,TRUE))</formula>
    </cfRule>
  </conditionalFormatting>
  <conditionalFormatting sqref="DB11 DD11">
    <cfRule type="expression" dxfId="232" priority="343">
      <formula>OR(IF(DB11&lt;DC11,TRUE),IF(AND(DC11="",DB11&lt;&gt;""),TRUE))</formula>
    </cfRule>
    <cfRule type="expression" dxfId="231" priority="344">
      <formula>IF(DB11&gt;=DC11,IF(DB11="",FALSE,TRUE))</formula>
    </cfRule>
  </conditionalFormatting>
  <conditionalFormatting sqref="DB12 DD12">
    <cfRule type="expression" dxfId="230" priority="341">
      <formula>OR(IF(DB12&lt;DC12,TRUE),IF(AND(DC12="",DB12&lt;&gt;""),TRUE))</formula>
    </cfRule>
    <cfRule type="expression" dxfId="229" priority="342">
      <formula>IF(DB12&gt;=DC12,IF(DB12="",FALSE,TRUE))</formula>
    </cfRule>
  </conditionalFormatting>
  <conditionalFormatting sqref="DB13 DD13">
    <cfRule type="expression" dxfId="228" priority="339">
      <formula>OR(IF(DB13&lt;DC13,TRUE),IF(AND(DC13="",DB13&lt;&gt;""),TRUE))</formula>
    </cfRule>
    <cfRule type="expression" dxfId="227" priority="340">
      <formula>IF(DB13&gt;=DC13,IF(DB13="",FALSE,TRUE))</formula>
    </cfRule>
  </conditionalFormatting>
  <conditionalFormatting sqref="DB14">
    <cfRule type="expression" dxfId="226" priority="337">
      <formula>OR(IF(DB14&lt;DC14,TRUE),IF(AND(DC14="",DB14&lt;&gt;""),TRUE))</formula>
    </cfRule>
    <cfRule type="expression" dxfId="225" priority="338">
      <formula>IF(DB14&gt;=DC14,IF(DB14="",FALSE,TRUE))</formula>
    </cfRule>
  </conditionalFormatting>
  <conditionalFormatting sqref="DD51:DD53 DB51:DB53">
    <cfRule type="expression" dxfId="224" priority="333">
      <formula>OR(IF(DB51&lt;DC51,TRUE),IF(AND(DC51="",DB51&lt;&gt;""),TRUE))</formula>
    </cfRule>
    <cfRule type="expression" dxfId="223" priority="334">
      <formula>IF(DB51&gt;=DC51,IF(DB51="",FALSE,TRUE))</formula>
    </cfRule>
  </conditionalFormatting>
  <conditionalFormatting sqref="DB49:DB50">
    <cfRule type="expression" dxfId="222" priority="331">
      <formula>OR(IF(DB49&lt;DC49,TRUE),IF(AND(DC49="",DB49&lt;&gt;""),TRUE))</formula>
    </cfRule>
    <cfRule type="expression" dxfId="221" priority="332">
      <formula>IF(DB49&gt;=DC49,IF(DB49="",FALSE,TRUE))</formula>
    </cfRule>
  </conditionalFormatting>
  <conditionalFormatting sqref="DD49:DD50">
    <cfRule type="expression" dxfId="220" priority="329">
      <formula>OR(IF(DD49&lt;DE49,TRUE),IF(AND(DE49="",DD49&lt;&gt;""),TRUE))</formula>
    </cfRule>
    <cfRule type="expression" dxfId="219" priority="330">
      <formula>IF(DD49&gt;=DE49,IF(DD49="",FALSE,TRUE))</formula>
    </cfRule>
  </conditionalFormatting>
  <conditionalFormatting sqref="DD65 DB65">
    <cfRule type="expression" dxfId="218" priority="327">
      <formula>OR(IF(DB65&lt;DC65,TRUE),IF(AND(DC65="",DB65&lt;&gt;""),TRUE))</formula>
    </cfRule>
    <cfRule type="expression" dxfId="217" priority="328">
      <formula>IF(DB65&gt;=DC65,IF(DB65="",FALSE,TRUE))</formula>
    </cfRule>
  </conditionalFormatting>
  <conditionalFormatting sqref="DD66 DB66">
    <cfRule type="expression" dxfId="216" priority="325">
      <formula>OR(IF(DB66&lt;DC66,TRUE),IF(AND(DC66="",DB66&lt;&gt;""),TRUE))</formula>
    </cfRule>
    <cfRule type="expression" dxfId="215" priority="326">
      <formula>IF(DB66&gt;=DC66,IF(DB66="",FALSE,TRUE))</formula>
    </cfRule>
  </conditionalFormatting>
  <conditionalFormatting sqref="DD67 DB67">
    <cfRule type="expression" dxfId="214" priority="323">
      <formula>OR(IF(DB67&lt;DC67,TRUE),IF(AND(DC67="",DB67&lt;&gt;""),TRUE))</formula>
    </cfRule>
    <cfRule type="expression" dxfId="213" priority="324">
      <formula>IF(DB67&gt;=DC67,IF(DB67="",FALSE,TRUE))</formula>
    </cfRule>
  </conditionalFormatting>
  <conditionalFormatting sqref="DD68:DD70 DB68:DB70">
    <cfRule type="expression" dxfId="212" priority="321">
      <formula>OR(IF(DB68&lt;DC68,TRUE),IF(AND(DC68="",DB68&lt;&gt;""),TRUE))</formula>
    </cfRule>
    <cfRule type="expression" dxfId="211" priority="322">
      <formula>IF(DB68&gt;=DC68,IF(DB68="",FALSE,TRUE))</formula>
    </cfRule>
  </conditionalFormatting>
  <conditionalFormatting sqref="DD73:DD77 DB73:DB77">
    <cfRule type="expression" dxfId="210" priority="319">
      <formula>OR(IF(DB73&lt;DC73,TRUE),IF(AND(DC73="",DB73&lt;&gt;""),TRUE))</formula>
    </cfRule>
    <cfRule type="expression" dxfId="209" priority="320">
      <formula>IF(DB73&gt;=DC73,IF(DB73="",FALSE,TRUE))</formula>
    </cfRule>
  </conditionalFormatting>
  <conditionalFormatting sqref="DD78 DB78">
    <cfRule type="expression" dxfId="208" priority="313">
      <formula>OR(IF(DB78&lt;DC78,TRUE),IF(AND(DC78="",DB78&lt;&gt;""),TRUE))</formula>
    </cfRule>
    <cfRule type="expression" dxfId="207" priority="314">
      <formula>IF(DB78&gt;=DC78,IF(DB78="",FALSE,TRUE))</formula>
    </cfRule>
  </conditionalFormatting>
  <conditionalFormatting sqref="DD79 DB79">
    <cfRule type="expression" dxfId="206" priority="311">
      <formula>OR(IF(DB79&lt;DC79,TRUE),IF(AND(DC79="",DB79&lt;&gt;""),TRUE))</formula>
    </cfRule>
    <cfRule type="expression" dxfId="205" priority="312">
      <formula>IF(DB79&gt;=DC79,IF(DB79="",FALSE,TRUE))</formula>
    </cfRule>
  </conditionalFormatting>
  <conditionalFormatting sqref="DD80 DB80">
    <cfRule type="expression" dxfId="204" priority="309">
      <formula>OR(IF(DB80&lt;DC80,TRUE),IF(AND(DC80="",DB80&lt;&gt;""),TRUE))</formula>
    </cfRule>
    <cfRule type="expression" dxfId="203" priority="310">
      <formula>IF(DB80&gt;=DC80,IF(DB80="",FALSE,TRUE))</formula>
    </cfRule>
  </conditionalFormatting>
  <conditionalFormatting sqref="DD81 DB81">
    <cfRule type="expression" dxfId="202" priority="307">
      <formula>OR(IF(DB81&lt;DC81,TRUE),IF(AND(DC81="",DB81&lt;&gt;""),TRUE))</formula>
    </cfRule>
    <cfRule type="expression" dxfId="201" priority="308">
      <formula>IF(DB81&gt;=DC81,IF(DB81="",FALSE,TRUE))</formula>
    </cfRule>
  </conditionalFormatting>
  <conditionalFormatting sqref="DD82 DB82">
    <cfRule type="expression" dxfId="200" priority="305">
      <formula>OR(IF(DB82&lt;DC82,TRUE),IF(AND(DC82="",DB82&lt;&gt;""),TRUE))</formula>
    </cfRule>
    <cfRule type="expression" dxfId="199" priority="306">
      <formula>IF(DB82&gt;=DC82,IF(DB82="",FALSE,TRUE))</formula>
    </cfRule>
  </conditionalFormatting>
  <conditionalFormatting sqref="DD91 DB91">
    <cfRule type="expression" dxfId="198" priority="303">
      <formula>OR(IF(DB91&lt;DC91,TRUE),IF(AND(DC91="",DB91&lt;&gt;""),TRUE))</formula>
    </cfRule>
    <cfRule type="expression" dxfId="197" priority="304">
      <formula>IF(DB91&gt;=DC91,IF(DB91="",FALSE,TRUE))</formula>
    </cfRule>
  </conditionalFormatting>
  <conditionalFormatting sqref="DD92 DB92">
    <cfRule type="expression" dxfId="196" priority="301">
      <formula>OR(IF(DB92&lt;DC92,TRUE),IF(AND(DC92="",DB92&lt;&gt;""),TRUE))</formula>
    </cfRule>
    <cfRule type="expression" dxfId="195" priority="302">
      <formula>IF(DB92&gt;=DC92,IF(DB92="",FALSE,TRUE))</formula>
    </cfRule>
  </conditionalFormatting>
  <conditionalFormatting sqref="DI5:DI9 DK5:DK9 DK15:DK17 DI15:DI17 DK43:DK47 DI43:DI47 DI54:DI55 DK54:DK55 DK83:DK84 DI83:DI84">
    <cfRule type="expression" dxfId="194" priority="299">
      <formula>OR(IF(DI5&lt;DJ5,TRUE),IF(AND(DJ5="",DI5&lt;&gt;""),TRUE))</formula>
    </cfRule>
    <cfRule type="expression" dxfId="193" priority="300">
      <formula>IF(DI5&gt;=DJ5,IF(DI5="",FALSE,TRUE))</formula>
    </cfRule>
  </conditionalFormatting>
  <conditionalFormatting sqref="DK60:DK64 DI60:DI64 DK88:DK90 DI88:DI90 DI85 DK85 DI93:DI99 DK93:DK99">
    <cfRule type="expression" dxfId="192" priority="297">
      <formula>OR(IF(DI60&lt;DJ60,TRUE),IF(AND(DJ60="",DI60&lt;&gt;""),TRUE))</formula>
    </cfRule>
    <cfRule type="expression" dxfId="191" priority="298">
      <formula>IF(DI60&gt;=DJ60,IF(DI60="",FALSE,TRUE))</formula>
    </cfRule>
  </conditionalFormatting>
  <conditionalFormatting sqref="DI20 DK20">
    <cfRule type="expression" dxfId="190" priority="295">
      <formula>OR(IF(DI20&lt;DJ20,TRUE),IF(AND(DJ20="",DI20&lt;&gt;""),TRUE))</formula>
    </cfRule>
    <cfRule type="expression" dxfId="189" priority="296">
      <formula>IF(DI20&gt;=DJ20,IF(DI20="",FALSE,TRUE))</formula>
    </cfRule>
  </conditionalFormatting>
  <conditionalFormatting sqref="DI41:DI42">
    <cfRule type="expression" dxfId="188" priority="293">
      <formula>OR(IF(DI41&lt;DJ41,TRUE),IF(AND(DJ41="",DI41&lt;&gt;""),TRUE))</formula>
    </cfRule>
    <cfRule type="expression" dxfId="187" priority="294">
      <formula>IF(DI41&gt;=DJ41,IF(DI41="",FALSE,TRUE))</formula>
    </cfRule>
  </conditionalFormatting>
  <conditionalFormatting sqref="DK41:DK42">
    <cfRule type="expression" dxfId="186" priority="291">
      <formula>OR(IF(DK41&lt;DL41,TRUE),IF(AND(DL41="",DK41&lt;&gt;""),TRUE))</formula>
    </cfRule>
    <cfRule type="expression" dxfId="185" priority="292">
      <formula>IF(DK41&gt;=DL41,IF(DK41="",FALSE,TRUE))</formula>
    </cfRule>
  </conditionalFormatting>
  <conditionalFormatting sqref="DI58:DI59">
    <cfRule type="expression" dxfId="184" priority="285">
      <formula>OR(IF(DI58&lt;DJ58,TRUE),IF(AND(DJ58="",DI58&lt;&gt;""),TRUE))</formula>
    </cfRule>
    <cfRule type="expression" dxfId="183" priority="286">
      <formula>IF(DI58&gt;=DJ58,IF(DI58="",FALSE,TRUE))</formula>
    </cfRule>
  </conditionalFormatting>
  <conditionalFormatting sqref="DK58:DK59">
    <cfRule type="expression" dxfId="182" priority="283">
      <formula>OR(IF(DK58&lt;DL58,TRUE),IF(AND(DL58="",DK58&lt;&gt;""),TRUE))</formula>
    </cfRule>
    <cfRule type="expression" dxfId="181" priority="284">
      <formula>IF(DK58&gt;=DL58,IF(DK58="",FALSE,TRUE))</formula>
    </cfRule>
  </conditionalFormatting>
  <conditionalFormatting sqref="DI21 DK21">
    <cfRule type="expression" dxfId="180" priority="281">
      <formula>OR(IF(DI21&lt;DJ21,TRUE),IF(AND(DJ21="",DI21&lt;&gt;""),TRUE))</formula>
    </cfRule>
    <cfRule type="expression" dxfId="179" priority="282">
      <formula>IF(DI21&gt;=DJ21,IF(DI21="",FALSE,TRUE))</formula>
    </cfRule>
  </conditionalFormatting>
  <conditionalFormatting sqref="DK22 DI22">
    <cfRule type="expression" dxfId="178" priority="279">
      <formula>OR(IF(DI22&lt;DJ22,TRUE),IF(AND(DJ22="",DI22&lt;&gt;""),TRUE))</formula>
    </cfRule>
    <cfRule type="expression" dxfId="177" priority="280">
      <formula>IF(DI22&gt;=DJ22,IF(DI22="",FALSE,TRUE))</formula>
    </cfRule>
  </conditionalFormatting>
  <conditionalFormatting sqref="DI10 DK10">
    <cfRule type="expression" dxfId="176" priority="277">
      <formula>OR(IF(DI10&lt;DJ10,TRUE),IF(AND(DJ10="",DI10&lt;&gt;""),TRUE))</formula>
    </cfRule>
    <cfRule type="expression" dxfId="175" priority="278">
      <formula>IF(DI10&gt;=DJ10,IF(DI10="",FALSE,TRUE))</formula>
    </cfRule>
  </conditionalFormatting>
  <conditionalFormatting sqref="DI11 DK11">
    <cfRule type="expression" dxfId="174" priority="275">
      <formula>OR(IF(DI11&lt;DJ11,TRUE),IF(AND(DJ11="",DI11&lt;&gt;""),TRUE))</formula>
    </cfRule>
    <cfRule type="expression" dxfId="173" priority="276">
      <formula>IF(DI11&gt;=DJ11,IF(DI11="",FALSE,TRUE))</formula>
    </cfRule>
  </conditionalFormatting>
  <conditionalFormatting sqref="DI12 DK12">
    <cfRule type="expression" dxfId="172" priority="273">
      <formula>OR(IF(DI12&lt;DJ12,TRUE),IF(AND(DJ12="",DI12&lt;&gt;""),TRUE))</formula>
    </cfRule>
    <cfRule type="expression" dxfId="171" priority="274">
      <formula>IF(DI12&gt;=DJ12,IF(DI12="",FALSE,TRUE))</formula>
    </cfRule>
  </conditionalFormatting>
  <conditionalFormatting sqref="DI13 DK13">
    <cfRule type="expression" dxfId="170" priority="271">
      <formula>OR(IF(DI13&lt;DJ13,TRUE),IF(AND(DJ13="",DI13&lt;&gt;""),TRUE))</formula>
    </cfRule>
    <cfRule type="expression" dxfId="169" priority="272">
      <formula>IF(DI13&gt;=DJ13,IF(DI13="",FALSE,TRUE))</formula>
    </cfRule>
  </conditionalFormatting>
  <conditionalFormatting sqref="DI14 DK14">
    <cfRule type="expression" dxfId="168" priority="269">
      <formula>OR(IF(DI14&lt;DJ14,TRUE),IF(AND(DJ14="",DI14&lt;&gt;""),TRUE))</formula>
    </cfRule>
    <cfRule type="expression" dxfId="167" priority="270">
      <formula>IF(DI14&gt;=DJ14,IF(DI14="",FALSE,TRUE))</formula>
    </cfRule>
  </conditionalFormatting>
  <conditionalFormatting sqref="DK51:DK53 DI51:DI53">
    <cfRule type="expression" dxfId="166" priority="265">
      <formula>OR(IF(DI51&lt;DJ51,TRUE),IF(AND(DJ51="",DI51&lt;&gt;""),TRUE))</formula>
    </cfRule>
    <cfRule type="expression" dxfId="165" priority="266">
      <formula>IF(DI51&gt;=DJ51,IF(DI51="",FALSE,TRUE))</formula>
    </cfRule>
  </conditionalFormatting>
  <conditionalFormatting sqref="DI49:DI50">
    <cfRule type="expression" dxfId="164" priority="263">
      <formula>OR(IF(DI49&lt;DJ49,TRUE),IF(AND(DJ49="",DI49&lt;&gt;""),TRUE))</formula>
    </cfRule>
    <cfRule type="expression" dxfId="163" priority="264">
      <formula>IF(DI49&gt;=DJ49,IF(DI49="",FALSE,TRUE))</formula>
    </cfRule>
  </conditionalFormatting>
  <conditionalFormatting sqref="DK49:DK50">
    <cfRule type="expression" dxfId="162" priority="261">
      <formula>OR(IF(DK49&lt;DL49,TRUE),IF(AND(DL49="",DK49&lt;&gt;""),TRUE))</formula>
    </cfRule>
    <cfRule type="expression" dxfId="161" priority="262">
      <formula>IF(DK49&gt;=DL49,IF(DK49="",FALSE,TRUE))</formula>
    </cfRule>
  </conditionalFormatting>
  <conditionalFormatting sqref="DK65 DI65">
    <cfRule type="expression" dxfId="160" priority="259">
      <formula>OR(IF(DI65&lt;DJ65,TRUE),IF(AND(DJ65="",DI65&lt;&gt;""),TRUE))</formula>
    </cfRule>
    <cfRule type="expression" dxfId="159" priority="260">
      <formula>IF(DI65&gt;=DJ65,IF(DI65="",FALSE,TRUE))</formula>
    </cfRule>
  </conditionalFormatting>
  <conditionalFormatting sqref="DK66 DI66">
    <cfRule type="expression" dxfId="158" priority="257">
      <formula>OR(IF(DI66&lt;DJ66,TRUE),IF(AND(DJ66="",DI66&lt;&gt;""),TRUE))</formula>
    </cfRule>
    <cfRule type="expression" dxfId="157" priority="258">
      <formula>IF(DI66&gt;=DJ66,IF(DI66="",FALSE,TRUE))</formula>
    </cfRule>
  </conditionalFormatting>
  <conditionalFormatting sqref="DK67 DI67">
    <cfRule type="expression" dxfId="156" priority="255">
      <formula>OR(IF(DI67&lt;DJ67,TRUE),IF(AND(DJ67="",DI67&lt;&gt;""),TRUE))</formula>
    </cfRule>
    <cfRule type="expression" dxfId="155" priority="256">
      <formula>IF(DI67&gt;=DJ67,IF(DI67="",FALSE,TRUE))</formula>
    </cfRule>
  </conditionalFormatting>
  <conditionalFormatting sqref="DK68:DK70 DI68:DI70">
    <cfRule type="expression" dxfId="154" priority="253">
      <formula>OR(IF(DI68&lt;DJ68,TRUE),IF(AND(DJ68="",DI68&lt;&gt;""),TRUE))</formula>
    </cfRule>
    <cfRule type="expression" dxfId="153" priority="254">
      <formula>IF(DI68&gt;=DJ68,IF(DI68="",FALSE,TRUE))</formula>
    </cfRule>
  </conditionalFormatting>
  <conditionalFormatting sqref="DK73:DK77 DI73:DI77">
    <cfRule type="expression" dxfId="152" priority="251">
      <formula>OR(IF(DI73&lt;DJ73,TRUE),IF(AND(DJ73="",DI73&lt;&gt;""),TRUE))</formula>
    </cfRule>
    <cfRule type="expression" dxfId="151" priority="252">
      <formula>IF(DI73&gt;=DJ73,IF(DI73="",FALSE,TRUE))</formula>
    </cfRule>
  </conditionalFormatting>
  <conditionalFormatting sqref="DK78 DI78">
    <cfRule type="expression" dxfId="150" priority="245">
      <formula>OR(IF(DI78&lt;DJ78,TRUE),IF(AND(DJ78="",DI78&lt;&gt;""),TRUE))</formula>
    </cfRule>
    <cfRule type="expression" dxfId="149" priority="246">
      <formula>IF(DI78&gt;=DJ78,IF(DI78="",FALSE,TRUE))</formula>
    </cfRule>
  </conditionalFormatting>
  <conditionalFormatting sqref="DK79 DI79">
    <cfRule type="expression" dxfId="148" priority="243">
      <formula>OR(IF(DI79&lt;DJ79,TRUE),IF(AND(DJ79="",DI79&lt;&gt;""),TRUE))</formula>
    </cfRule>
    <cfRule type="expression" dxfId="147" priority="244">
      <formula>IF(DI79&gt;=DJ79,IF(DI79="",FALSE,TRUE))</formula>
    </cfRule>
  </conditionalFormatting>
  <conditionalFormatting sqref="DK80 DI80">
    <cfRule type="expression" dxfId="146" priority="241">
      <formula>OR(IF(DI80&lt;DJ80,TRUE),IF(AND(DJ80="",DI80&lt;&gt;""),TRUE))</formula>
    </cfRule>
    <cfRule type="expression" dxfId="145" priority="242">
      <formula>IF(DI80&gt;=DJ80,IF(DI80="",FALSE,TRUE))</formula>
    </cfRule>
  </conditionalFormatting>
  <conditionalFormatting sqref="DK81 DI81">
    <cfRule type="expression" dxfId="144" priority="239">
      <formula>OR(IF(DI81&lt;DJ81,TRUE),IF(AND(DJ81="",DI81&lt;&gt;""),TRUE))</formula>
    </cfRule>
    <cfRule type="expression" dxfId="143" priority="240">
      <formula>IF(DI81&gt;=DJ81,IF(DI81="",FALSE,TRUE))</formula>
    </cfRule>
  </conditionalFormatting>
  <conditionalFormatting sqref="DK82 DI82">
    <cfRule type="expression" dxfId="142" priority="237">
      <formula>OR(IF(DI82&lt;DJ82,TRUE),IF(AND(DJ82="",DI82&lt;&gt;""),TRUE))</formula>
    </cfRule>
    <cfRule type="expression" dxfId="141" priority="238">
      <formula>IF(DI82&gt;=DJ82,IF(DI82="",FALSE,TRUE))</formula>
    </cfRule>
  </conditionalFormatting>
  <conditionalFormatting sqref="DK91 DI91">
    <cfRule type="expression" dxfId="140" priority="235">
      <formula>OR(IF(DI91&lt;DJ91,TRUE),IF(AND(DJ91="",DI91&lt;&gt;""),TRUE))</formula>
    </cfRule>
    <cfRule type="expression" dxfId="139" priority="236">
      <formula>IF(DI91&gt;=DJ91,IF(DI91="",FALSE,TRUE))</formula>
    </cfRule>
  </conditionalFormatting>
  <conditionalFormatting sqref="DK92 DI92">
    <cfRule type="expression" dxfId="138" priority="233">
      <formula>OR(IF(DI92&lt;DJ92,TRUE),IF(AND(DJ92="",DI92&lt;&gt;""),TRUE))</formula>
    </cfRule>
    <cfRule type="expression" dxfId="137" priority="234">
      <formula>IF(DI92&gt;=DJ92,IF(DI92="",FALSE,TRUE))</formula>
    </cfRule>
  </conditionalFormatting>
  <conditionalFormatting sqref="DP5:DP9 DR5:DR9 DR15:DR17 DP15:DP17 DR43:DR47 DP43:DP47 DP54:DP55 DR54:DR55 DR83:DR84 DP83:DP84">
    <cfRule type="expression" dxfId="136" priority="231">
      <formula>OR(IF(DP5&lt;DQ5,TRUE),IF(AND(DQ5="",DP5&lt;&gt;""),TRUE))</formula>
    </cfRule>
    <cfRule type="expression" dxfId="135" priority="232">
      <formula>IF(DP5&gt;=DQ5,IF(DP5="",FALSE,TRUE))</formula>
    </cfRule>
  </conditionalFormatting>
  <conditionalFormatting sqref="DR60:DR64 DP60:DP64 DR88:DR90 DP88:DP90 DP85 DR85 DP93:DP99 DR93:DR99">
    <cfRule type="expression" dxfId="134" priority="229">
      <formula>OR(IF(DP60&lt;DQ60,TRUE),IF(AND(DQ60="",DP60&lt;&gt;""),TRUE))</formula>
    </cfRule>
    <cfRule type="expression" dxfId="133" priority="230">
      <formula>IF(DP60&gt;=DQ60,IF(DP60="",FALSE,TRUE))</formula>
    </cfRule>
  </conditionalFormatting>
  <conditionalFormatting sqref="DP20 DR20">
    <cfRule type="expression" dxfId="132" priority="227">
      <formula>OR(IF(DP20&lt;DQ20,TRUE),IF(AND(DQ20="",DP20&lt;&gt;""),TRUE))</formula>
    </cfRule>
    <cfRule type="expression" dxfId="131" priority="228">
      <formula>IF(DP20&gt;=DQ20,IF(DP20="",FALSE,TRUE))</formula>
    </cfRule>
  </conditionalFormatting>
  <conditionalFormatting sqref="DP41:DP42">
    <cfRule type="expression" dxfId="130" priority="225">
      <formula>OR(IF(DP41&lt;DQ41,TRUE),IF(AND(DQ41="",DP41&lt;&gt;""),TRUE))</formula>
    </cfRule>
    <cfRule type="expression" dxfId="129" priority="226">
      <formula>IF(DP41&gt;=DQ41,IF(DP41="",FALSE,TRUE))</formula>
    </cfRule>
  </conditionalFormatting>
  <conditionalFormatting sqref="DR41:DR42">
    <cfRule type="expression" dxfId="128" priority="223">
      <formula>OR(IF(DR41&lt;DS41,TRUE),IF(AND(DS41="",DR41&lt;&gt;""),TRUE))</formula>
    </cfRule>
    <cfRule type="expression" dxfId="127" priority="224">
      <formula>IF(DR41&gt;=DS41,IF(DR41="",FALSE,TRUE))</formula>
    </cfRule>
  </conditionalFormatting>
  <conditionalFormatting sqref="DP58:DP59">
    <cfRule type="expression" dxfId="126" priority="217">
      <formula>OR(IF(DP58&lt;DQ58,TRUE),IF(AND(DQ58="",DP58&lt;&gt;""),TRUE))</formula>
    </cfRule>
    <cfRule type="expression" dxfId="125" priority="218">
      <formula>IF(DP58&gt;=DQ58,IF(DP58="",FALSE,TRUE))</formula>
    </cfRule>
  </conditionalFormatting>
  <conditionalFormatting sqref="DR58:DR59">
    <cfRule type="expression" dxfId="124" priority="215">
      <formula>OR(IF(DR58&lt;DS58,TRUE),IF(AND(DS58="",DR58&lt;&gt;""),TRUE))</formula>
    </cfRule>
    <cfRule type="expression" dxfId="123" priority="216">
      <formula>IF(DR58&gt;=DS58,IF(DR58="",FALSE,TRUE))</formula>
    </cfRule>
  </conditionalFormatting>
  <conditionalFormatting sqref="DP21 DR21">
    <cfRule type="expression" dxfId="122" priority="213">
      <formula>OR(IF(DP21&lt;DQ21,TRUE),IF(AND(DQ21="",DP21&lt;&gt;""),TRUE))</formula>
    </cfRule>
    <cfRule type="expression" dxfId="121" priority="214">
      <formula>IF(DP21&gt;=DQ21,IF(DP21="",FALSE,TRUE))</formula>
    </cfRule>
  </conditionalFormatting>
  <conditionalFormatting sqref="DR22 DP22">
    <cfRule type="expression" dxfId="120" priority="211">
      <formula>OR(IF(DP22&lt;DQ22,TRUE),IF(AND(DQ22="",DP22&lt;&gt;""),TRUE))</formula>
    </cfRule>
    <cfRule type="expression" dxfId="119" priority="212">
      <formula>IF(DP22&gt;=DQ22,IF(DP22="",FALSE,TRUE))</formula>
    </cfRule>
  </conditionalFormatting>
  <conditionalFormatting sqref="DP10 DR10">
    <cfRule type="expression" dxfId="118" priority="209">
      <formula>OR(IF(DP10&lt;DQ10,TRUE),IF(AND(DQ10="",DP10&lt;&gt;""),TRUE))</formula>
    </cfRule>
    <cfRule type="expression" dxfId="117" priority="210">
      <formula>IF(DP10&gt;=DQ10,IF(DP10="",FALSE,TRUE))</formula>
    </cfRule>
  </conditionalFormatting>
  <conditionalFormatting sqref="DP11 DR11">
    <cfRule type="expression" dxfId="116" priority="207">
      <formula>OR(IF(DP11&lt;DQ11,TRUE),IF(AND(DQ11="",DP11&lt;&gt;""),TRUE))</formula>
    </cfRule>
    <cfRule type="expression" dxfId="115" priority="208">
      <formula>IF(DP11&gt;=DQ11,IF(DP11="",FALSE,TRUE))</formula>
    </cfRule>
  </conditionalFormatting>
  <conditionalFormatting sqref="DP12 DR12">
    <cfRule type="expression" dxfId="114" priority="205">
      <formula>OR(IF(DP12&lt;DQ12,TRUE),IF(AND(DQ12="",DP12&lt;&gt;""),TRUE))</formula>
    </cfRule>
    <cfRule type="expression" dxfId="113" priority="206">
      <formula>IF(DP12&gt;=DQ12,IF(DP12="",FALSE,TRUE))</formula>
    </cfRule>
  </conditionalFormatting>
  <conditionalFormatting sqref="DP13 DR13">
    <cfRule type="expression" dxfId="112" priority="203">
      <formula>OR(IF(DP13&lt;DQ13,TRUE),IF(AND(DQ13="",DP13&lt;&gt;""),TRUE))</formula>
    </cfRule>
    <cfRule type="expression" dxfId="111" priority="204">
      <formula>IF(DP13&gt;=DQ13,IF(DP13="",FALSE,TRUE))</formula>
    </cfRule>
  </conditionalFormatting>
  <conditionalFormatting sqref="DP14 DR14">
    <cfRule type="expression" dxfId="110" priority="201">
      <formula>OR(IF(DP14&lt;DQ14,TRUE),IF(AND(DQ14="",DP14&lt;&gt;""),TRUE))</formula>
    </cfRule>
    <cfRule type="expression" dxfId="109" priority="202">
      <formula>IF(DP14&gt;=DQ14,IF(DP14="",FALSE,TRUE))</formula>
    </cfRule>
  </conditionalFormatting>
  <conditionalFormatting sqref="DP49:DP50">
    <cfRule type="expression" dxfId="108" priority="195">
      <formula>OR(IF(DP49&lt;DQ49,TRUE),IF(AND(DQ49="",DP49&lt;&gt;""),TRUE))</formula>
    </cfRule>
    <cfRule type="expression" dxfId="107" priority="196">
      <formula>IF(DP49&gt;=DQ49,IF(DP49="",FALSE,TRUE))</formula>
    </cfRule>
  </conditionalFormatting>
  <conditionalFormatting sqref="DR49:DR50">
    <cfRule type="expression" dxfId="106" priority="193">
      <formula>OR(IF(DR49&lt;DS49,TRUE),IF(AND(DS49="",DR49&lt;&gt;""),TRUE))</formula>
    </cfRule>
    <cfRule type="expression" dxfId="105" priority="194">
      <formula>IF(DR49&gt;=DS49,IF(DR49="",FALSE,TRUE))</formula>
    </cfRule>
  </conditionalFormatting>
  <conditionalFormatting sqref="DR65 DP65">
    <cfRule type="expression" dxfId="104" priority="191">
      <formula>OR(IF(DP65&lt;DQ65,TRUE),IF(AND(DQ65="",DP65&lt;&gt;""),TRUE))</formula>
    </cfRule>
    <cfRule type="expression" dxfId="103" priority="192">
      <formula>IF(DP65&gt;=DQ65,IF(DP65="",FALSE,TRUE))</formula>
    </cfRule>
  </conditionalFormatting>
  <conditionalFormatting sqref="DR66 DP66">
    <cfRule type="expression" dxfId="102" priority="189">
      <formula>OR(IF(DP66&lt;DQ66,TRUE),IF(AND(DQ66="",DP66&lt;&gt;""),TRUE))</formula>
    </cfRule>
    <cfRule type="expression" dxfId="101" priority="190">
      <formula>IF(DP66&gt;=DQ66,IF(DP66="",FALSE,TRUE))</formula>
    </cfRule>
  </conditionalFormatting>
  <conditionalFormatting sqref="DR67 DP67">
    <cfRule type="expression" dxfId="100" priority="187">
      <formula>OR(IF(DP67&lt;DQ67,TRUE),IF(AND(DQ67="",DP67&lt;&gt;""),TRUE))</formula>
    </cfRule>
    <cfRule type="expression" dxfId="99" priority="188">
      <formula>IF(DP67&gt;=DQ67,IF(DP67="",FALSE,TRUE))</formula>
    </cfRule>
  </conditionalFormatting>
  <conditionalFormatting sqref="DR68:DR70 DP68:DP70">
    <cfRule type="expression" dxfId="98" priority="185">
      <formula>OR(IF(DP68&lt;DQ68,TRUE),IF(AND(DQ68="",DP68&lt;&gt;""),TRUE))</formula>
    </cfRule>
    <cfRule type="expression" dxfId="97" priority="186">
      <formula>IF(DP68&gt;=DQ68,IF(DP68="",FALSE,TRUE))</formula>
    </cfRule>
  </conditionalFormatting>
  <conditionalFormatting sqref="DR73:DR77 DP73:DP77">
    <cfRule type="expression" dxfId="96" priority="183">
      <formula>OR(IF(DP73&lt;DQ73,TRUE),IF(AND(DQ73="",DP73&lt;&gt;""),TRUE))</formula>
    </cfRule>
    <cfRule type="expression" dxfId="95" priority="184">
      <formula>IF(DP73&gt;=DQ73,IF(DP73="",FALSE,TRUE))</formula>
    </cfRule>
  </conditionalFormatting>
  <conditionalFormatting sqref="DR78 DP78">
    <cfRule type="expression" dxfId="94" priority="177">
      <formula>OR(IF(DP78&lt;DQ78,TRUE),IF(AND(DQ78="",DP78&lt;&gt;""),TRUE))</formula>
    </cfRule>
    <cfRule type="expression" dxfId="93" priority="178">
      <formula>IF(DP78&gt;=DQ78,IF(DP78="",FALSE,TRUE))</formula>
    </cfRule>
  </conditionalFormatting>
  <conditionalFormatting sqref="DR79 DP79">
    <cfRule type="expression" dxfId="92" priority="175">
      <formula>OR(IF(DP79&lt;DQ79,TRUE),IF(AND(DQ79="",DP79&lt;&gt;""),TRUE))</formula>
    </cfRule>
    <cfRule type="expression" dxfId="91" priority="176">
      <formula>IF(DP79&gt;=DQ79,IF(DP79="",FALSE,TRUE))</formula>
    </cfRule>
  </conditionalFormatting>
  <conditionalFormatting sqref="DR80 DP80">
    <cfRule type="expression" dxfId="90" priority="173">
      <formula>OR(IF(DP80&lt;DQ80,TRUE),IF(AND(DQ80="",DP80&lt;&gt;""),TRUE))</formula>
    </cfRule>
    <cfRule type="expression" dxfId="89" priority="174">
      <formula>IF(DP80&gt;=DQ80,IF(DP80="",FALSE,TRUE))</formula>
    </cfRule>
  </conditionalFormatting>
  <conditionalFormatting sqref="DR81 DP81">
    <cfRule type="expression" dxfId="88" priority="171">
      <formula>OR(IF(DP81&lt;DQ81,TRUE),IF(AND(DQ81="",DP81&lt;&gt;""),TRUE))</formula>
    </cfRule>
    <cfRule type="expression" dxfId="87" priority="172">
      <formula>IF(DP81&gt;=DQ81,IF(DP81="",FALSE,TRUE))</formula>
    </cfRule>
  </conditionalFormatting>
  <conditionalFormatting sqref="DR82 DP82">
    <cfRule type="expression" dxfId="86" priority="169">
      <formula>OR(IF(DP82&lt;DQ82,TRUE),IF(AND(DQ82="",DP82&lt;&gt;""),TRUE))</formula>
    </cfRule>
    <cfRule type="expression" dxfId="85" priority="170">
      <formula>IF(DP82&gt;=DQ82,IF(DP82="",FALSE,TRUE))</formula>
    </cfRule>
  </conditionalFormatting>
  <conditionalFormatting sqref="DR91 DP91">
    <cfRule type="expression" dxfId="84" priority="167">
      <formula>OR(IF(DP91&lt;DQ91,TRUE),IF(AND(DQ91="",DP91&lt;&gt;""),TRUE))</formula>
    </cfRule>
    <cfRule type="expression" dxfId="83" priority="168">
      <formula>IF(DP91&gt;=DQ91,IF(DP91="",FALSE,TRUE))</formula>
    </cfRule>
  </conditionalFormatting>
  <conditionalFormatting sqref="DY60:DY64 DW60:DW64 DY88:DY90 DW88:DW90 DW85 DY85 DW93:DW99 DY93:DY99">
    <cfRule type="expression" dxfId="82" priority="161">
      <formula>OR(IF(DW60&lt;DX60,TRUE),IF(AND(DX60="",DW60&lt;&gt;""),TRUE))</formula>
    </cfRule>
    <cfRule type="expression" dxfId="81" priority="162">
      <formula>IF(DW60&gt;=DX60,IF(DW60="",FALSE,TRUE))</formula>
    </cfRule>
  </conditionalFormatting>
  <conditionalFormatting sqref="DW20 DY20">
    <cfRule type="expression" dxfId="80" priority="159">
      <formula>OR(IF(DW20&lt;DX20,TRUE),IF(AND(DX20="",DW20&lt;&gt;""),TRUE))</formula>
    </cfRule>
    <cfRule type="expression" dxfId="79" priority="160">
      <formula>IF(DW20&gt;=DX20,IF(DW20="",FALSE,TRUE))</formula>
    </cfRule>
  </conditionalFormatting>
  <conditionalFormatting sqref="DW41:DW42">
    <cfRule type="expression" dxfId="78" priority="157">
      <formula>OR(IF(DW41&lt;DX41,TRUE),IF(AND(DX41="",DW41&lt;&gt;""),TRUE))</formula>
    </cfRule>
    <cfRule type="expression" dxfId="77" priority="158">
      <formula>IF(DW41&gt;=DX41,IF(DW41="",FALSE,TRUE))</formula>
    </cfRule>
  </conditionalFormatting>
  <conditionalFormatting sqref="DY41:DY42">
    <cfRule type="expression" dxfId="76" priority="155">
      <formula>OR(IF(DY41&lt;DZ41,TRUE),IF(AND(DZ41="",DY41&lt;&gt;""),TRUE))</formula>
    </cfRule>
    <cfRule type="expression" dxfId="75" priority="156">
      <formula>IF(DY41&gt;=DZ41,IF(DY41="",FALSE,TRUE))</formula>
    </cfRule>
  </conditionalFormatting>
  <conditionalFormatting sqref="DW58:DW59">
    <cfRule type="expression" dxfId="74" priority="149">
      <formula>OR(IF(DW58&lt;DX58,TRUE),IF(AND(DX58="",DW58&lt;&gt;""),TRUE))</formula>
    </cfRule>
    <cfRule type="expression" dxfId="73" priority="150">
      <formula>IF(DW58&gt;=DX58,IF(DW58="",FALSE,TRUE))</formula>
    </cfRule>
  </conditionalFormatting>
  <conditionalFormatting sqref="DY58:DY59">
    <cfRule type="expression" dxfId="72" priority="147">
      <formula>OR(IF(DY58&lt;DZ58,TRUE),IF(AND(DZ58="",DY58&lt;&gt;""),TRUE))</formula>
    </cfRule>
    <cfRule type="expression" dxfId="71" priority="148">
      <formula>IF(DY58&gt;=DZ58,IF(DY58="",FALSE,TRUE))</formula>
    </cfRule>
  </conditionalFormatting>
  <conditionalFormatting sqref="DW21 DY21">
    <cfRule type="expression" dxfId="70" priority="145">
      <formula>OR(IF(DW21&lt;DX21,TRUE),IF(AND(DX21="",DW21&lt;&gt;""),TRUE))</formula>
    </cfRule>
    <cfRule type="expression" dxfId="69" priority="146">
      <formula>IF(DW21&gt;=DX21,IF(DW21="",FALSE,TRUE))</formula>
    </cfRule>
  </conditionalFormatting>
  <conditionalFormatting sqref="DY22 DW22">
    <cfRule type="expression" dxfId="68" priority="143">
      <formula>OR(IF(DW22&lt;DX22,TRUE),IF(AND(DX22="",DW22&lt;&gt;""),TRUE))</formula>
    </cfRule>
    <cfRule type="expression" dxfId="67" priority="144">
      <formula>IF(DW22&gt;=DX22,IF(DW22="",FALSE,TRUE))</formula>
    </cfRule>
  </conditionalFormatting>
  <conditionalFormatting sqref="DW10 DY10">
    <cfRule type="expression" dxfId="66" priority="141">
      <formula>OR(IF(DW10&lt;DX10,TRUE),IF(AND(DX10="",DW10&lt;&gt;""),TRUE))</formula>
    </cfRule>
    <cfRule type="expression" dxfId="65" priority="142">
      <formula>IF(DW10&gt;=DX10,IF(DW10="",FALSE,TRUE))</formula>
    </cfRule>
  </conditionalFormatting>
  <conditionalFormatting sqref="DW11 DY11">
    <cfRule type="expression" dxfId="64" priority="139">
      <formula>OR(IF(DW11&lt;DX11,TRUE),IF(AND(DX11="",DW11&lt;&gt;""),TRUE))</formula>
    </cfRule>
    <cfRule type="expression" dxfId="63" priority="140">
      <formula>IF(DW11&gt;=DX11,IF(DW11="",FALSE,TRUE))</formula>
    </cfRule>
  </conditionalFormatting>
  <conditionalFormatting sqref="DW12 DY12">
    <cfRule type="expression" dxfId="62" priority="137">
      <formula>OR(IF(DW12&lt;DX12,TRUE),IF(AND(DX12="",DW12&lt;&gt;""),TRUE))</formula>
    </cfRule>
    <cfRule type="expression" dxfId="61" priority="138">
      <formula>IF(DW12&gt;=DX12,IF(DW12="",FALSE,TRUE))</formula>
    </cfRule>
  </conditionalFormatting>
  <conditionalFormatting sqref="DW13 DY13">
    <cfRule type="expression" dxfId="60" priority="135">
      <formula>OR(IF(DW13&lt;DX13,TRUE),IF(AND(DX13="",DW13&lt;&gt;""),TRUE))</formula>
    </cfRule>
    <cfRule type="expression" dxfId="59" priority="136">
      <formula>IF(DW13&gt;=DX13,IF(DW13="",FALSE,TRUE))</formula>
    </cfRule>
  </conditionalFormatting>
  <conditionalFormatting sqref="DW14 DY14">
    <cfRule type="expression" dxfId="58" priority="133">
      <formula>OR(IF(DW14&lt;DX14,TRUE),IF(AND(DX14="",DW14&lt;&gt;""),TRUE))</formula>
    </cfRule>
    <cfRule type="expression" dxfId="57" priority="134">
      <formula>IF(DW14&gt;=DX14,IF(DW14="",FALSE,TRUE))</formula>
    </cfRule>
  </conditionalFormatting>
  <conditionalFormatting sqref="DW49:DW50">
    <cfRule type="expression" dxfId="56" priority="127">
      <formula>OR(IF(DW49&lt;DX49,TRUE),IF(AND(DX49="",DW49&lt;&gt;""),TRUE))</formula>
    </cfRule>
    <cfRule type="expression" dxfId="55" priority="128">
      <formula>IF(DW49&gt;=DX49,IF(DW49="",FALSE,TRUE))</formula>
    </cfRule>
  </conditionalFormatting>
  <conditionalFormatting sqref="DY49:DY50">
    <cfRule type="expression" dxfId="54" priority="125">
      <formula>OR(IF(DY49&lt;DZ49,TRUE),IF(AND(DZ49="",DY49&lt;&gt;""),TRUE))</formula>
    </cfRule>
    <cfRule type="expression" dxfId="53" priority="126">
      <formula>IF(DY49&gt;=DZ49,IF(DY49="",FALSE,TRUE))</formula>
    </cfRule>
  </conditionalFormatting>
  <conditionalFormatting sqref="DY65 DW65">
    <cfRule type="expression" dxfId="52" priority="123">
      <formula>OR(IF(DW65&lt;DX65,TRUE),IF(AND(DX65="",DW65&lt;&gt;""),TRUE))</formula>
    </cfRule>
    <cfRule type="expression" dxfId="51" priority="124">
      <formula>IF(DW65&gt;=DX65,IF(DW65="",FALSE,TRUE))</formula>
    </cfRule>
  </conditionalFormatting>
  <conditionalFormatting sqref="DY66 DW66">
    <cfRule type="expression" dxfId="50" priority="121">
      <formula>OR(IF(DW66&lt;DX66,TRUE),IF(AND(DX66="",DW66&lt;&gt;""),TRUE))</formula>
    </cfRule>
    <cfRule type="expression" dxfId="49" priority="122">
      <formula>IF(DW66&gt;=DX66,IF(DW66="",FALSE,TRUE))</formula>
    </cfRule>
  </conditionalFormatting>
  <conditionalFormatting sqref="DY67 DW67">
    <cfRule type="expression" dxfId="48" priority="119">
      <formula>OR(IF(DW67&lt;DX67,TRUE),IF(AND(DX67="",DW67&lt;&gt;""),TRUE))</formula>
    </cfRule>
    <cfRule type="expression" dxfId="47" priority="120">
      <formula>IF(DW67&gt;=DX67,IF(DW67="",FALSE,TRUE))</formula>
    </cfRule>
  </conditionalFormatting>
  <conditionalFormatting sqref="DY68:DY70 DW68:DW70">
    <cfRule type="expression" dxfId="46" priority="117">
      <formula>OR(IF(DW68&lt;DX68,TRUE),IF(AND(DX68="",DW68&lt;&gt;""),TRUE))</formula>
    </cfRule>
    <cfRule type="expression" dxfId="45" priority="118">
      <formula>IF(DW68&gt;=DX68,IF(DW68="",FALSE,TRUE))</formula>
    </cfRule>
  </conditionalFormatting>
  <conditionalFormatting sqref="DY73:DY77 DW73:DW77">
    <cfRule type="expression" dxfId="44" priority="115">
      <formula>OR(IF(DW73&lt;DX73,TRUE),IF(AND(DX73="",DW73&lt;&gt;""),TRUE))</formula>
    </cfRule>
    <cfRule type="expression" dxfId="43" priority="116">
      <formula>IF(DW73&gt;=DX73,IF(DW73="",FALSE,TRUE))</formula>
    </cfRule>
  </conditionalFormatting>
  <conditionalFormatting sqref="DY78 DW78">
    <cfRule type="expression" dxfId="42" priority="109">
      <formula>OR(IF(DW78&lt;DX78,TRUE),IF(AND(DX78="",DW78&lt;&gt;""),TRUE))</formula>
    </cfRule>
    <cfRule type="expression" dxfId="41" priority="110">
      <formula>IF(DW78&gt;=DX78,IF(DW78="",FALSE,TRUE))</formula>
    </cfRule>
  </conditionalFormatting>
  <conditionalFormatting sqref="DY79 DW79">
    <cfRule type="expression" dxfId="40" priority="107">
      <formula>OR(IF(DW79&lt;DX79,TRUE),IF(AND(DX79="",DW79&lt;&gt;""),TRUE))</formula>
    </cfRule>
    <cfRule type="expression" dxfId="39" priority="108">
      <formula>IF(DW79&gt;=DX79,IF(DW79="",FALSE,TRUE))</formula>
    </cfRule>
  </conditionalFormatting>
  <conditionalFormatting sqref="DY80 DW80">
    <cfRule type="expression" dxfId="38" priority="105">
      <formula>OR(IF(DW80&lt;DX80,TRUE),IF(AND(DX80="",DW80&lt;&gt;""),TRUE))</formula>
    </cfRule>
    <cfRule type="expression" dxfId="37" priority="106">
      <formula>IF(DW80&gt;=DX80,IF(DW80="",FALSE,TRUE))</formula>
    </cfRule>
  </conditionalFormatting>
  <conditionalFormatting sqref="DY81 DW81">
    <cfRule type="expression" dxfId="36" priority="103">
      <formula>OR(IF(DW81&lt;DX81,TRUE),IF(AND(DX81="",DW81&lt;&gt;""),TRUE))</formula>
    </cfRule>
    <cfRule type="expression" dxfId="35" priority="104">
      <formula>IF(DW81&gt;=DX81,IF(DW81="",FALSE,TRUE))</formula>
    </cfRule>
  </conditionalFormatting>
  <conditionalFormatting sqref="DY82 DW82">
    <cfRule type="expression" dxfId="34" priority="101">
      <formula>OR(IF(DW82&lt;DX82,TRUE),IF(AND(DX82="",DW82&lt;&gt;""),TRUE))</formula>
    </cfRule>
    <cfRule type="expression" dxfId="33" priority="102">
      <formula>IF(DW82&gt;=DX82,IF(DW82="",FALSE,TRUE))</formula>
    </cfRule>
  </conditionalFormatting>
  <conditionalFormatting sqref="DY91 DW91">
    <cfRule type="expression" dxfId="32" priority="99">
      <formula>OR(IF(DW91&lt;DX91,TRUE),IF(AND(DX91="",DW91&lt;&gt;""),TRUE))</formula>
    </cfRule>
    <cfRule type="expression" dxfId="31" priority="100">
      <formula>IF(DW91&gt;=DX91,IF(DW91="",FALSE,TRUE))</formula>
    </cfRule>
  </conditionalFormatting>
  <conditionalFormatting sqref="BS82">
    <cfRule type="expression" dxfId="30" priority="2060">
      <formula>OR(IF(BS82&lt;BT81,TRUE),IF(AND(BT81="",BS82&lt;&gt;""),TRUE))</formula>
    </cfRule>
    <cfRule type="expression" dxfId="29" priority="2061">
      <formula>IF(BS82&gt;=BT81,IF(BS82="",FALSE,TRUE))</formula>
    </cfRule>
  </conditionalFormatting>
  <conditionalFormatting sqref="DD14">
    <cfRule type="expression" dxfId="28" priority="25">
      <formula>OR(IF(DD14&lt;DE14,TRUE),IF(AND(DE14="",DD14&lt;&gt;""),TRUE))</formula>
    </cfRule>
    <cfRule type="expression" dxfId="27" priority="26">
      <formula>IF(DD14&gt;=DE14,IF(DD14="",FALSE,TRUE))</formula>
    </cfRule>
  </conditionalFormatting>
  <conditionalFormatting sqref="J23:K38">
    <cfRule type="colorScale" priority="2118">
      <colorScale>
        <cfvo type="percent" val="0"/>
        <cfvo type="percent" val="100"/>
        <color rgb="FFFF231B"/>
        <color rgb="FF10FF07"/>
      </colorScale>
    </cfRule>
  </conditionalFormatting>
  <conditionalFormatting sqref="J23:J38 J20">
    <cfRule type="colorScale" priority="2120">
      <colorScale>
        <cfvo type="percent" val="0"/>
        <cfvo type="percent" val="100"/>
        <color rgb="FFFF231B"/>
        <color rgb="FF10FF07"/>
      </colorScale>
    </cfRule>
  </conditionalFormatting>
  <conditionalFormatting sqref="K23:K38 K20">
    <cfRule type="colorScale" priority="2123">
      <colorScale>
        <cfvo type="percent" val="0"/>
        <cfvo type="percent" val="100"/>
        <color rgb="FFFF231B"/>
        <color rgb="FF10FF07"/>
      </colorScale>
    </cfRule>
  </conditionalFormatting>
  <conditionalFormatting sqref="CU97:CU99 CW97:CW99">
    <cfRule type="expression" dxfId="26" priority="23">
      <formula>OR(IF(CU97&lt;CV97,TRUE),IF(AND(CV97="",CU97&lt;&gt;""),TRUE))</formula>
    </cfRule>
    <cfRule type="expression" dxfId="25" priority="24">
      <formula>IF(CU97&gt;=CV97,IF(CU97="",FALSE,TRUE))</formula>
    </cfRule>
  </conditionalFormatting>
  <conditionalFormatting sqref="CP62">
    <cfRule type="expression" dxfId="24" priority="11">
      <formula>OR(IF(CP62&lt;CQ62,TRUE),IF(AND(CQ62="",CP62&lt;&gt;""),TRUE))</formula>
    </cfRule>
    <cfRule type="expression" dxfId="23" priority="12">
      <formula>IF(CP62&gt;=CQ62,IF(CP62="",FALSE,TRUE))</formula>
    </cfRule>
  </conditionalFormatting>
  <conditionalFormatting sqref="CP63:CP68">
    <cfRule type="expression" dxfId="22" priority="9">
      <formula>OR(IF(CP63&lt;CQ63,TRUE),IF(AND(CQ63="",CP63&lt;&gt;""),TRUE))</formula>
    </cfRule>
    <cfRule type="expression" dxfId="21" priority="10">
      <formula>IF(CP63&gt;=CQ63,IF(CP63="",FALSE,TRUE))</formula>
    </cfRule>
  </conditionalFormatting>
  <conditionalFormatting sqref="BS81">
    <cfRule type="expression" dxfId="20" priority="7">
      <formula>OR(IF(BS81&lt;BT81,TRUE),IF(AND(BT81="",BS81&lt;&gt;""),TRUE))</formula>
    </cfRule>
    <cfRule type="expression" dxfId="19" priority="8">
      <formula>IF(BS81&gt;=BT81,IF(BS81="",FALSE,TRUE))</formula>
    </cfRule>
  </conditionalFormatting>
  <conditionalFormatting sqref="AC41:AC42">
    <cfRule type="expression" dxfId="18" priority="1">
      <formula>OR(IF(AC41&lt;AD41,TRUE),IF(AND(AD41="",AC41&lt;&gt;""),TRUE))</formula>
    </cfRule>
    <cfRule type="expression" dxfId="17" priority="2">
      <formula>IF(AC41&gt;=AD41,IF(AC41="",FALSE,TRUE))</formula>
    </cfRule>
  </conditionalFormatting>
  <conditionalFormatting sqref="J72:J77">
    <cfRule type="colorScale" priority="2162">
      <colorScale>
        <cfvo type="percent" val="0"/>
        <cfvo type="percent" val="100"/>
        <color rgb="FFFF231B"/>
        <color rgb="FF10FF07"/>
      </colorScale>
    </cfRule>
  </conditionalFormatting>
  <conditionalFormatting sqref="K72:K77">
    <cfRule type="colorScale" priority="2163">
      <colorScale>
        <cfvo type="percent" val="0"/>
        <cfvo type="percent" val="100"/>
        <color rgb="FFFF231B"/>
        <color rgb="FF10FF07"/>
      </colorScale>
    </cfRule>
  </conditionalFormatting>
  <dataValidations count="1">
    <dataValidation type="list" allowBlank="1" showInputMessage="1" showErrorMessage="1" sqref="AQ5:AT17 V88:Y99 O88:R99 AX20:BA38 BE5:BH17 BL58:BO70 BZ58:CC70 BS20:BV38 CG88:CJ99 CN20:CQ38 CN58:CQ70 CG72:CJ85 BE49:BH55 BZ72:CC85 V49:Y55 AC49:AF55 AJ49:AM55 AQ49:AT55 AX58:BA70 O49:R55 BL72:BO85 BL5:BO17 O41:R47 AX49:BA55 CN88:CQ99 AJ58:AM70 AC58:AF70 V41:Y47 BS41:BV47 BZ41:CC47 BE41:BH47 CG41:CJ47 CN41:CQ47 O58:R70 AC88:AF99 V58:Y70 BS49:BV55 AQ41:AT47 AJ5:AM17 BS88:BV99 AX88:BA99 BE88:BH99 AQ88:AT99 AJ88:AM99 BZ5:CC17 CG49:CJ55 CN5:CQ17 CU5:CX17 CU49:CX55 CU88:CX99 CU41:CX47 V20:Y38 BS72:BV85 DB49:DE55 DB58:DE70 DB41:DE47 DB88:DE99 DI41:DL47 DI49:DL55 DI58:DL70 DP49:DS55 DP41:DS47 DP58:DS70 DP88:DS99 DW49:DZ55 DW41:DZ47 DW58:DZ70 DW88:DZ99 ED49:EG55 ED41:EG47 ED58:EG70 ED88:EG99 DI88:DL99 DB20:DE38 ED20:EG38 DW20:DZ38 DP20:DS38 DI20:DL38 CU58:CX70 O20:R38 AQ58:AT70 CN49:CQ55 CG58:CJ70 BS58:BV70 BL49:BO55 BE58:BH70 AX41:BA47 BZ49:CC55 AJ41:AM47 AC5:AF17 CR62:CR68 BP10:BP14 AX5:BA17 ED5:EG17 DW5:DZ17 DP5:DS17 DI5:DL17 DB5:DE17 CU20:CX38 CH19 BL20:BO38 BL41:BO47 BZ20:CC38 BS5:BV17 O5:R17 AQ20:AT38 AJ20:AM38 AC20:AF38 V5:Y17 AC41:AF47 DW72:DZ85 DP72:DS85 DI72:DL85 ED72:EG85 DB72:DE85 CU72:CX85 V72:Y85 AC72:AF85 O72:R85 CN72:CQ85 CG5:CJ17 BZ88:CC99 AJ72:AM85 AQ72:AT85 BE72:BH85 AX72:BA85 BL88:BO99 CG20:CJ38 BE20:BH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136"/>
  <sheetViews>
    <sheetView workbookViewId="0">
      <selection activeCell="C128" sqref="C128"/>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45888</v>
      </c>
      <c r="D2" s="18">
        <v>1</v>
      </c>
    </row>
    <row r="3" spans="1:11">
      <c r="A3" s="16">
        <v>45889</v>
      </c>
    </row>
    <row r="4" spans="1:11">
      <c r="A4" s="16">
        <v>45890</v>
      </c>
    </row>
    <row r="5" spans="1:11">
      <c r="A5" s="16">
        <v>45891</v>
      </c>
    </row>
    <row r="6" spans="1:11">
      <c r="A6" s="16">
        <v>45892</v>
      </c>
    </row>
    <row r="7" spans="1:11">
      <c r="A7" s="16">
        <v>45893</v>
      </c>
    </row>
    <row r="8" spans="1:11">
      <c r="A8" s="16">
        <v>45894</v>
      </c>
    </row>
    <row r="9" spans="1:11">
      <c r="A9" s="16">
        <v>45895</v>
      </c>
    </row>
    <row r="10" spans="1:11">
      <c r="A10" s="16">
        <v>45896</v>
      </c>
    </row>
    <row r="11" spans="1:11">
      <c r="A11" s="16">
        <v>45897</v>
      </c>
    </row>
    <row r="12" spans="1:11">
      <c r="A12" s="16">
        <v>45898</v>
      </c>
    </row>
    <row r="13" spans="1:11">
      <c r="A13" s="16">
        <v>45899</v>
      </c>
    </row>
    <row r="14" spans="1:11">
      <c r="A14" s="16">
        <v>45900</v>
      </c>
    </row>
    <row r="15" spans="1:11">
      <c r="A15" s="16">
        <v>45901</v>
      </c>
    </row>
    <row r="16" spans="1:11">
      <c r="A16" s="16">
        <v>45902</v>
      </c>
    </row>
    <row r="17" spans="1:1">
      <c r="A17" s="16">
        <v>45903</v>
      </c>
    </row>
    <row r="18" spans="1:1">
      <c r="A18" s="16">
        <v>45904</v>
      </c>
    </row>
    <row r="19" spans="1:1">
      <c r="A19" s="16">
        <v>45905</v>
      </c>
    </row>
    <row r="20" spans="1:1">
      <c r="A20" s="16">
        <v>45906</v>
      </c>
    </row>
    <row r="21" spans="1:1">
      <c r="A21" s="16">
        <v>45907</v>
      </c>
    </row>
    <row r="22" spans="1:1">
      <c r="A22" s="16">
        <v>45908</v>
      </c>
    </row>
    <row r="23" spans="1:1">
      <c r="A23" s="16">
        <v>45909</v>
      </c>
    </row>
    <row r="24" spans="1:1">
      <c r="A24" s="16">
        <v>45910</v>
      </c>
    </row>
    <row r="25" spans="1:1">
      <c r="A25" s="16">
        <v>45911</v>
      </c>
    </row>
    <row r="26" spans="1:1">
      <c r="A26" s="16">
        <v>45912</v>
      </c>
    </row>
    <row r="27" spans="1:1">
      <c r="A27" s="16">
        <v>45913</v>
      </c>
    </row>
    <row r="28" spans="1:1">
      <c r="A28" s="16">
        <v>45914</v>
      </c>
    </row>
    <row r="29" spans="1:1">
      <c r="A29" s="16">
        <v>45915</v>
      </c>
    </row>
    <row r="30" spans="1:1">
      <c r="A30" s="16">
        <v>45916</v>
      </c>
    </row>
    <row r="31" spans="1:1">
      <c r="A31" s="16">
        <v>45917</v>
      </c>
    </row>
    <row r="32" spans="1:1">
      <c r="A32" s="16">
        <v>45918</v>
      </c>
    </row>
    <row r="33" spans="1:1">
      <c r="A33" s="16">
        <v>45919</v>
      </c>
    </row>
    <row r="34" spans="1:1">
      <c r="A34" s="16">
        <v>45920</v>
      </c>
    </row>
    <row r="35" spans="1:1">
      <c r="A35" s="16">
        <v>45921</v>
      </c>
    </row>
    <row r="36" spans="1:1">
      <c r="A36" s="16">
        <v>45922</v>
      </c>
    </row>
    <row r="37" spans="1:1">
      <c r="A37" s="16">
        <v>45923</v>
      </c>
    </row>
    <row r="38" spans="1:1">
      <c r="A38" s="16">
        <v>45924</v>
      </c>
    </row>
    <row r="39" spans="1:1">
      <c r="A39" s="16">
        <v>45925</v>
      </c>
    </row>
    <row r="40" spans="1:1">
      <c r="A40" s="16">
        <v>45926</v>
      </c>
    </row>
    <row r="41" spans="1:1">
      <c r="A41" s="16">
        <v>45927</v>
      </c>
    </row>
    <row r="42" spans="1:1">
      <c r="A42" s="16">
        <v>45928</v>
      </c>
    </row>
    <row r="43" spans="1:1">
      <c r="A43" s="16">
        <v>45929</v>
      </c>
    </row>
    <row r="44" spans="1:1">
      <c r="A44" s="16">
        <v>45930</v>
      </c>
    </row>
    <row r="45" spans="1:1">
      <c r="A45" s="16">
        <v>45931</v>
      </c>
    </row>
    <row r="46" spans="1:1">
      <c r="A46" s="16">
        <v>45932</v>
      </c>
    </row>
    <row r="47" spans="1:1">
      <c r="A47" s="16">
        <v>45933</v>
      </c>
    </row>
    <row r="48" spans="1:1">
      <c r="A48" s="16">
        <v>45934</v>
      </c>
    </row>
    <row r="49" spans="1:1">
      <c r="A49" s="16">
        <v>45935</v>
      </c>
    </row>
    <row r="50" spans="1:1">
      <c r="A50" s="16">
        <v>45936</v>
      </c>
    </row>
    <row r="51" spans="1:1">
      <c r="A51" s="16">
        <v>45937</v>
      </c>
    </row>
    <row r="52" spans="1:1">
      <c r="A52" s="16">
        <v>45938</v>
      </c>
    </row>
    <row r="53" spans="1:1">
      <c r="A53" s="16">
        <v>45939</v>
      </c>
    </row>
    <row r="54" spans="1:1">
      <c r="A54" s="16">
        <v>45940</v>
      </c>
    </row>
    <row r="55" spans="1:1">
      <c r="A55" s="16">
        <v>45941</v>
      </c>
    </row>
    <row r="56" spans="1:1">
      <c r="A56" s="16">
        <v>45942</v>
      </c>
    </row>
    <row r="57" spans="1:1">
      <c r="A57" s="16">
        <v>45943</v>
      </c>
    </row>
    <row r="58" spans="1:1">
      <c r="A58" s="16">
        <v>45944</v>
      </c>
    </row>
    <row r="59" spans="1:1">
      <c r="A59" s="16">
        <v>45945</v>
      </c>
    </row>
    <row r="60" spans="1:1">
      <c r="A60" s="16">
        <v>45946</v>
      </c>
    </row>
    <row r="61" spans="1:1">
      <c r="A61" s="16">
        <v>45947</v>
      </c>
    </row>
    <row r="62" spans="1:1">
      <c r="A62" s="16">
        <v>45948</v>
      </c>
    </row>
    <row r="63" spans="1:1">
      <c r="A63" s="16">
        <v>45949</v>
      </c>
    </row>
    <row r="64" spans="1:1">
      <c r="A64" s="16">
        <v>45950</v>
      </c>
    </row>
    <row r="65" spans="1:1">
      <c r="A65" s="16">
        <v>45951</v>
      </c>
    </row>
    <row r="66" spans="1:1">
      <c r="A66" s="16">
        <v>45952</v>
      </c>
    </row>
    <row r="67" spans="1:1">
      <c r="A67" s="16">
        <v>45953</v>
      </c>
    </row>
    <row r="68" spans="1:1">
      <c r="A68" s="16">
        <v>45954</v>
      </c>
    </row>
    <row r="69" spans="1:1">
      <c r="A69" s="16">
        <v>45955</v>
      </c>
    </row>
    <row r="70" spans="1:1">
      <c r="A70" s="16">
        <v>45956</v>
      </c>
    </row>
    <row r="71" spans="1:1">
      <c r="A71" s="16">
        <v>45957</v>
      </c>
    </row>
    <row r="72" spans="1:1">
      <c r="A72" s="16">
        <v>45958</v>
      </c>
    </row>
    <row r="73" spans="1:1">
      <c r="A73" s="16">
        <v>45959</v>
      </c>
    </row>
    <row r="74" spans="1:1">
      <c r="A74" s="16">
        <v>45960</v>
      </c>
    </row>
    <row r="75" spans="1:1">
      <c r="A75" s="16">
        <v>45961</v>
      </c>
    </row>
    <row r="76" spans="1:1">
      <c r="A76" s="16">
        <v>45962</v>
      </c>
    </row>
    <row r="77" spans="1:1">
      <c r="A77" s="16">
        <v>45963</v>
      </c>
    </row>
    <row r="78" spans="1:1">
      <c r="A78" s="16">
        <v>45964</v>
      </c>
    </row>
    <row r="79" spans="1:1">
      <c r="A79" s="16">
        <v>45965</v>
      </c>
    </row>
    <row r="80" spans="1:1">
      <c r="A80" s="16">
        <v>45966</v>
      </c>
    </row>
    <row r="81" spans="1:1">
      <c r="A81" s="16">
        <v>45967</v>
      </c>
    </row>
    <row r="82" spans="1:1">
      <c r="A82" s="16">
        <v>45968</v>
      </c>
    </row>
    <row r="83" spans="1:1">
      <c r="A83" s="16">
        <v>45969</v>
      </c>
    </row>
    <row r="84" spans="1:1">
      <c r="A84" s="16">
        <v>45970</v>
      </c>
    </row>
    <row r="85" spans="1:1">
      <c r="A85" s="16">
        <v>45971</v>
      </c>
    </row>
    <row r="86" spans="1:1">
      <c r="A86" s="16">
        <v>45972</v>
      </c>
    </row>
    <row r="87" spans="1:1">
      <c r="A87" s="16">
        <v>45973</v>
      </c>
    </row>
    <row r="88" spans="1:1">
      <c r="A88" s="16">
        <v>45974</v>
      </c>
    </row>
    <row r="89" spans="1:1">
      <c r="A89" s="16">
        <v>45975</v>
      </c>
    </row>
    <row r="90" spans="1:1">
      <c r="A90" s="16">
        <v>45976</v>
      </c>
    </row>
    <row r="91" spans="1:1">
      <c r="A91" s="16">
        <v>45977</v>
      </c>
    </row>
    <row r="92" spans="1:1">
      <c r="A92" s="16">
        <v>45978</v>
      </c>
    </row>
    <row r="93" spans="1:1">
      <c r="A93" s="16">
        <v>45979</v>
      </c>
    </row>
    <row r="94" spans="1:1">
      <c r="A94" s="16">
        <v>45980</v>
      </c>
    </row>
    <row r="95" spans="1:1">
      <c r="A95" s="16">
        <v>45981</v>
      </c>
    </row>
    <row r="96" spans="1:1">
      <c r="A96" s="16">
        <v>45982</v>
      </c>
    </row>
    <row r="97" spans="1:1">
      <c r="A97" s="16">
        <v>45983</v>
      </c>
    </row>
    <row r="98" spans="1:1">
      <c r="A98" s="16">
        <v>45984</v>
      </c>
    </row>
    <row r="99" spans="1:1">
      <c r="A99" s="16">
        <v>45985</v>
      </c>
    </row>
    <row r="100" spans="1:1">
      <c r="A100" s="16">
        <v>45986</v>
      </c>
    </row>
    <row r="101" spans="1:1">
      <c r="A101" s="16">
        <v>45987</v>
      </c>
    </row>
    <row r="102" spans="1:1">
      <c r="A102" s="16">
        <v>45988</v>
      </c>
    </row>
    <row r="103" spans="1:1">
      <c r="A103" s="16">
        <v>45989</v>
      </c>
    </row>
    <row r="104" spans="1:1">
      <c r="A104" s="16">
        <v>45990</v>
      </c>
    </row>
    <row r="105" spans="1:1">
      <c r="A105" s="16">
        <v>45991</v>
      </c>
    </row>
    <row r="106" spans="1:1">
      <c r="A106" s="16">
        <v>45992</v>
      </c>
    </row>
    <row r="107" spans="1:1">
      <c r="A107" s="16">
        <v>45993</v>
      </c>
    </row>
    <row r="108" spans="1:1">
      <c r="A108" s="16">
        <v>45994</v>
      </c>
    </row>
    <row r="109" spans="1:1">
      <c r="A109" s="16">
        <v>45995</v>
      </c>
    </row>
    <row r="110" spans="1:1">
      <c r="A110" s="16">
        <v>45996</v>
      </c>
    </row>
    <row r="111" spans="1:1">
      <c r="A111" s="16">
        <v>45997</v>
      </c>
    </row>
    <row r="112" spans="1:1">
      <c r="A112" s="16">
        <v>45998</v>
      </c>
    </row>
    <row r="113" spans="1:1">
      <c r="A113" s="16">
        <v>45999</v>
      </c>
    </row>
    <row r="114" spans="1:1">
      <c r="A114" s="16">
        <v>46000</v>
      </c>
    </row>
    <row r="115" spans="1:1">
      <c r="A115" s="16">
        <v>46001</v>
      </c>
    </row>
    <row r="116" spans="1:1">
      <c r="A116" s="16">
        <v>46002</v>
      </c>
    </row>
    <row r="117" spans="1:1">
      <c r="A117" s="16">
        <v>46003</v>
      </c>
    </row>
    <row r="118" spans="1:1">
      <c r="A118" s="16">
        <v>46004</v>
      </c>
    </row>
    <row r="119" spans="1:1">
      <c r="A119" s="16">
        <v>46005</v>
      </c>
    </row>
    <row r="120" spans="1:1">
      <c r="A120" s="16">
        <v>46006</v>
      </c>
    </row>
    <row r="121" spans="1:1">
      <c r="A121" s="16">
        <v>46007</v>
      </c>
    </row>
    <row r="122" spans="1:1">
      <c r="A122" s="16">
        <v>46008</v>
      </c>
    </row>
    <row r="123" spans="1:1">
      <c r="A123" s="16">
        <v>46009</v>
      </c>
    </row>
    <row r="124" spans="1:1">
      <c r="A124" s="16">
        <v>46010</v>
      </c>
    </row>
    <row r="125" spans="1:1">
      <c r="A125" s="16">
        <v>46011</v>
      </c>
    </row>
    <row r="126" spans="1:1">
      <c r="A126" s="16">
        <v>46012</v>
      </c>
    </row>
    <row r="127" spans="1:1">
      <c r="A127" s="16">
        <v>46013</v>
      </c>
    </row>
    <row r="128" spans="1:1">
      <c r="A128" s="16">
        <v>46014</v>
      </c>
    </row>
    <row r="129" spans="1:1">
      <c r="A129" s="16">
        <v>46015</v>
      </c>
    </row>
    <row r="130" spans="1:1">
      <c r="A130" s="16">
        <v>46016</v>
      </c>
    </row>
    <row r="131" spans="1:1">
      <c r="A131" s="16">
        <v>46017</v>
      </c>
    </row>
    <row r="132" spans="1:1">
      <c r="A132" s="16">
        <v>46018</v>
      </c>
    </row>
    <row r="133" spans="1:1">
      <c r="A133" s="16">
        <v>46019</v>
      </c>
    </row>
    <row r="134" spans="1:1">
      <c r="A134" s="16">
        <v>46020</v>
      </c>
    </row>
    <row r="135" spans="1:1">
      <c r="A135" s="16">
        <v>46021</v>
      </c>
    </row>
    <row r="136" spans="1:1">
      <c r="A136" s="16">
        <v>46022</v>
      </c>
    </row>
  </sheetData>
  <conditionalFormatting sqref="B2:B13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136">
    <cfRule type="cellIs" dxfId="8" priority="4" operator="equal">
      <formula>"Ja"</formula>
    </cfRule>
  </conditionalFormatting>
  <conditionalFormatting sqref="C2:C136">
    <cfRule type="cellIs" dxfId="7" priority="2" operator="equal">
      <formula>"Ja"</formula>
    </cfRule>
    <cfRule type="cellIs" dxfId="6" priority="3" operator="equal">
      <formula>"Nein"</formula>
    </cfRule>
  </conditionalFormatting>
  <conditionalFormatting sqref="C2:C136">
    <cfRule type="cellIs" dxfId="5" priority="1" operator="equal">
      <formula>"Ja"</formula>
    </cfRule>
  </conditionalFormatting>
  <dataValidations count="2">
    <dataValidation type="list" allowBlank="1" showInputMessage="1" showErrorMessage="1" sqref="B2:C13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Daniel Hilse</cp:lastModifiedBy>
  <dcterms:created xsi:type="dcterms:W3CDTF">2020-04-19T13:33:28Z</dcterms:created>
  <dcterms:modified xsi:type="dcterms:W3CDTF">2025-08-21T17:27:19Z</dcterms:modified>
</cp:coreProperties>
</file>