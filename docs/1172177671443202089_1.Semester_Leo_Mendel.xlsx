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Leo Mendel\Dropbox\Mein PC (LAPTOP-QQ9N1C16)\Documents\Karlsruhe\KIT\Pumpkin\Semesterplan\"/>
    </mc:Choice>
  </mc:AlternateContent>
  <xr:revisionPtr revIDLastSave="0" documentId="13_ncr:1_{F620256F-C13D-4E82-89CA-EDBF39F0BF51}" xr6:coauthVersionLast="47" xr6:coauthVersionMax="47" xr10:uidLastSave="{00000000-0000-0000-0000-000000000000}"/>
  <bookViews>
    <workbookView xWindow="-110" yWindow="-110" windowWidth="19420" windowHeight="10300"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7" i="7" l="1"/>
  <c r="K17" i="7" l="1" a="1"/>
  <c r="K17" i="7" s="1"/>
  <c r="J17" i="7" a="1"/>
  <c r="J17" i="7" s="1"/>
  <c r="I17" i="7"/>
  <c r="K59" i="7" a="1"/>
  <c r="K59" i="7" s="1"/>
  <c r="J59" i="7" a="1"/>
  <c r="J59" i="7" s="1"/>
  <c r="I59" i="7"/>
  <c r="K58" i="7" a="1"/>
  <c r="K58" i="7" s="1"/>
  <c r="J58" i="7" a="1"/>
  <c r="J58" i="7" s="1"/>
  <c r="I58" i="7"/>
  <c r="K49" i="7" a="1"/>
  <c r="K49" i="7" s="1"/>
  <c r="J49" i="7" a="1"/>
  <c r="J49" i="7" s="1"/>
  <c r="I49" i="7"/>
  <c r="K48" i="7" a="1"/>
  <c r="K48" i="7" s="1"/>
  <c r="J48" i="7" a="1"/>
  <c r="J48" i="7" s="1"/>
  <c r="I48" i="7"/>
  <c r="K57" i="7" a="1"/>
  <c r="K57" i="7" s="1"/>
  <c r="J57" i="7" a="1"/>
  <c r="J57" i="7" s="1"/>
  <c r="I57" i="7"/>
  <c r="K56" i="7" a="1"/>
  <c r="K56" i="7" s="1"/>
  <c r="J56" i="7" a="1"/>
  <c r="J56" i="7" s="1"/>
  <c r="I56" i="7"/>
  <c r="K55" i="7" a="1"/>
  <c r="K55" i="7" s="1"/>
  <c r="J55" i="7" a="1"/>
  <c r="J55" i="7" s="1"/>
  <c r="I55" i="7"/>
  <c r="K54" i="7" a="1"/>
  <c r="K54" i="7" s="1"/>
  <c r="J54" i="7" a="1"/>
  <c r="J54" i="7" s="1"/>
  <c r="I54" i="7"/>
  <c r="K53" i="7" a="1"/>
  <c r="K53" i="7" s="1"/>
  <c r="J53" i="7" a="1"/>
  <c r="J53" i="7" s="1"/>
  <c r="I53" i="7"/>
  <c r="K52" i="7" a="1"/>
  <c r="K52" i="7" s="1"/>
  <c r="J52" i="7" a="1"/>
  <c r="J52" i="7" s="1"/>
  <c r="I52" i="7"/>
  <c r="EX51" i="7"/>
  <c r="EQ51" i="7"/>
  <c r="EJ51" i="7"/>
  <c r="EC51" i="7"/>
  <c r="DV51" i="7"/>
  <c r="DO51" i="7"/>
  <c r="DH51" i="7"/>
  <c r="DA51" i="7"/>
  <c r="CT51" i="7"/>
  <c r="CM51" i="7"/>
  <c r="CF51" i="7"/>
  <c r="BY51" i="7"/>
  <c r="BR51" i="7"/>
  <c r="BK51" i="7"/>
  <c r="BD51" i="7"/>
  <c r="AW51" i="7"/>
  <c r="AP51" i="7"/>
  <c r="AI51" i="7"/>
  <c r="AB51" i="7"/>
  <c r="U51" i="7"/>
  <c r="N51" i="7"/>
  <c r="G51" i="7"/>
  <c r="G41" i="7"/>
  <c r="N41" i="7"/>
  <c r="U41" i="7"/>
  <c r="AB41" i="7"/>
  <c r="AI41" i="7"/>
  <c r="AP41" i="7"/>
  <c r="AW41" i="7"/>
  <c r="BD41" i="7"/>
  <c r="BK41" i="7"/>
  <c r="BR41" i="7"/>
  <c r="BY41" i="7"/>
  <c r="CF41" i="7"/>
  <c r="CM41" i="7"/>
  <c r="CT41" i="7"/>
  <c r="DA41" i="7"/>
  <c r="DH41" i="7"/>
  <c r="DO41" i="7"/>
  <c r="DV41" i="7"/>
  <c r="EC41" i="7"/>
  <c r="EJ41" i="7"/>
  <c r="EQ41" i="7"/>
  <c r="EX41" i="7"/>
  <c r="I42" i="7"/>
  <c r="J42" i="7" a="1"/>
  <c r="J42" i="7" s="1"/>
  <c r="K42" i="7" a="1"/>
  <c r="K42" i="7" s="1"/>
  <c r="I43" i="7"/>
  <c r="J43" i="7" a="1"/>
  <c r="J43" i="7" s="1"/>
  <c r="K43" i="7" a="1"/>
  <c r="K43" i="7" s="1"/>
  <c r="I44" i="7"/>
  <c r="J44" i="7" a="1"/>
  <c r="J44" i="7" s="1"/>
  <c r="K44" i="7" a="1"/>
  <c r="K44" i="7" s="1"/>
  <c r="I45" i="7"/>
  <c r="J45" i="7" a="1"/>
  <c r="J45" i="7" s="1"/>
  <c r="K45" i="7" a="1"/>
  <c r="K45" i="7" s="1"/>
  <c r="I46" i="7"/>
  <c r="J46" i="7" a="1"/>
  <c r="J46" i="7" s="1"/>
  <c r="K46" i="7" a="1"/>
  <c r="K46" i="7" s="1"/>
  <c r="I47" i="7"/>
  <c r="J47" i="7" a="1"/>
  <c r="J47" i="7" s="1"/>
  <c r="K47" i="7" a="1"/>
  <c r="K47" i="7" s="1"/>
  <c r="EX4" i="7"/>
  <c r="EQ4" i="7"/>
  <c r="EJ35" i="7"/>
  <c r="EJ4" i="7"/>
  <c r="EC35" i="7"/>
  <c r="EC27" i="7"/>
  <c r="EC4" i="7"/>
  <c r="DV35" i="7"/>
  <c r="DV27" i="7"/>
  <c r="DV19" i="7"/>
  <c r="DV4" i="7"/>
  <c r="DO35" i="7"/>
  <c r="DO27" i="7"/>
  <c r="DO19" i="7"/>
  <c r="DO4" i="7"/>
  <c r="DH35" i="7"/>
  <c r="DH27" i="7"/>
  <c r="DH19" i="7"/>
  <c r="DH4" i="7"/>
  <c r="DA35" i="7"/>
  <c r="DA27" i="7"/>
  <c r="DA19" i="7"/>
  <c r="DA4" i="7"/>
  <c r="CT35" i="7"/>
  <c r="CT27" i="7"/>
  <c r="CT19" i="7"/>
  <c r="CT4" i="7"/>
  <c r="CM35" i="7"/>
  <c r="CM27" i="7"/>
  <c r="CM19" i="7"/>
  <c r="CM4" i="7"/>
  <c r="CF35" i="7"/>
  <c r="CF27" i="7"/>
  <c r="CF19" i="7"/>
  <c r="CF4" i="7"/>
  <c r="BY35" i="7"/>
  <c r="BY27" i="7"/>
  <c r="BY19" i="7"/>
  <c r="BY4" i="7"/>
  <c r="BR35" i="7"/>
  <c r="BR27" i="7"/>
  <c r="BR19" i="7"/>
  <c r="BR4" i="7"/>
  <c r="BK35" i="7"/>
  <c r="BK27" i="7"/>
  <c r="BK19" i="7"/>
  <c r="BK4" i="7"/>
  <c r="BD35" i="7"/>
  <c r="BD27" i="7"/>
  <c r="BD19" i="7"/>
  <c r="BD4" i="7"/>
  <c r="AW35" i="7"/>
  <c r="AW27" i="7"/>
  <c r="AW19" i="7"/>
  <c r="AW4" i="7"/>
  <c r="K39" i="7" a="1"/>
  <c r="K39" i="7" s="1"/>
  <c r="J39" i="7" a="1"/>
  <c r="J39" i="7" s="1"/>
  <c r="I39" i="7"/>
  <c r="K38" i="7" a="1"/>
  <c r="K38" i="7" s="1"/>
  <c r="J38" i="7" a="1"/>
  <c r="J38" i="7" s="1"/>
  <c r="I38" i="7"/>
  <c r="K37" i="7" a="1"/>
  <c r="K37" i="7" s="1"/>
  <c r="J37" i="7" a="1"/>
  <c r="J37" i="7" s="1"/>
  <c r="I37" i="7"/>
  <c r="K36" i="7" a="1"/>
  <c r="K36" i="7" s="1"/>
  <c r="J36" i="7" a="1"/>
  <c r="J36" i="7" s="1"/>
  <c r="I36" i="7"/>
  <c r="AP35" i="7"/>
  <c r="AI35" i="7"/>
  <c r="AB35" i="7"/>
  <c r="U35" i="7"/>
  <c r="N35" i="7"/>
  <c r="G35" i="7"/>
  <c r="K25" i="7" a="1"/>
  <c r="K25" i="7" s="1"/>
  <c r="J25" i="7" a="1"/>
  <c r="J25" i="7" s="1"/>
  <c r="K24" i="7" a="1"/>
  <c r="K24" i="7" s="1"/>
  <c r="J24" i="7" a="1"/>
  <c r="J24" i="7" s="1"/>
  <c r="K23" i="7" a="1"/>
  <c r="K23" i="7" s="1"/>
  <c r="J23" i="7" a="1"/>
  <c r="J23" i="7" s="1"/>
  <c r="K22" i="7" a="1"/>
  <c r="K22" i="7" s="1"/>
  <c r="J22" i="7" a="1"/>
  <c r="J22" i="7" s="1"/>
  <c r="K21" i="7" a="1"/>
  <c r="K21" i="7" s="1"/>
  <c r="J21" i="7" a="1"/>
  <c r="J21" i="7" s="1"/>
  <c r="K20" i="7" a="1"/>
  <c r="K20" i="7" s="1"/>
  <c r="J20" i="7" a="1"/>
  <c r="J20"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16" i="7" a="1"/>
  <c r="K16" i="7" s="1"/>
  <c r="J16" i="7" a="1"/>
  <c r="J16" i="7" s="1"/>
  <c r="K15" i="7" a="1"/>
  <c r="K15" i="7" s="1"/>
  <c r="J15" i="7" a="1"/>
  <c r="J15" i="7" s="1"/>
  <c r="K14" i="7" a="1"/>
  <c r="K14" i="7" s="1"/>
  <c r="J14" i="7" a="1"/>
  <c r="J14" i="7" s="1"/>
  <c r="K13" i="7" a="1"/>
  <c r="K13" i="7" s="1"/>
  <c r="J13" i="7" a="1"/>
  <c r="J13" i="7" s="1"/>
  <c r="K12" i="7" a="1"/>
  <c r="K12" i="7" s="1"/>
  <c r="J12" i="7" a="1"/>
  <c r="J12" i="7" s="1"/>
  <c r="K11" i="7" a="1"/>
  <c r="K11" i="7" s="1"/>
  <c r="J11" i="7" a="1"/>
  <c r="J11"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P19" i="7"/>
  <c r="AI19" i="7"/>
  <c r="AB19" i="7"/>
  <c r="U19" i="7"/>
  <c r="AP4" i="7"/>
  <c r="AI4" i="7"/>
  <c r="AB4" i="7"/>
  <c r="U4" i="7"/>
  <c r="N4" i="7"/>
  <c r="N19" i="7"/>
  <c r="G4" i="7"/>
  <c r="AP27" i="7"/>
  <c r="AI27" i="7"/>
  <c r="AB27" i="7"/>
  <c r="U27" i="7"/>
  <c r="I33" i="7"/>
  <c r="I32" i="7"/>
  <c r="I31" i="7"/>
  <c r="I30" i="7"/>
  <c r="I29" i="7"/>
  <c r="I28" i="7"/>
  <c r="I25" i="7"/>
  <c r="I24" i="7"/>
  <c r="I23" i="7"/>
  <c r="I22" i="7"/>
  <c r="I21" i="7"/>
  <c r="I20" i="7"/>
  <c r="I16" i="7"/>
  <c r="I6" i="7"/>
  <c r="I7" i="7"/>
  <c r="I8" i="7"/>
  <c r="I9" i="7"/>
  <c r="I10" i="7"/>
  <c r="I11" i="7"/>
  <c r="I12" i="7"/>
  <c r="I13" i="7"/>
  <c r="I14" i="7"/>
  <c r="I15" i="7"/>
  <c r="I5" i="7"/>
  <c r="G27" i="7"/>
  <c r="G19" i="7"/>
  <c r="K41" i="7" l="1"/>
  <c r="I51" i="7"/>
  <c r="I41" i="7"/>
  <c r="J51" i="7"/>
  <c r="K51" i="7"/>
  <c r="J41" i="7"/>
  <c r="I35" i="7"/>
  <c r="J35" i="7"/>
  <c r="K35" i="7"/>
  <c r="I27" i="7"/>
  <c r="J27" i="7"/>
  <c r="K27" i="7"/>
  <c r="I19" i="7"/>
  <c r="J19" i="7"/>
  <c r="K19" i="7"/>
  <c r="K4" i="7"/>
  <c r="I4" i="7" l="1"/>
  <c r="J4" i="7"/>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<sst xmlns="http://schemas.openxmlformats.org/spreadsheetml/2006/main" count="411" uniqueCount="117">
  <si>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</si>
  <si>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</si>
  <si>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</si>
  <si>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</si>
  <si>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</si>
  <si>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</si>
  <si>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</si>
  <si>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</si>
  <si>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</si>
  <si>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</si>
  <si>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</si>
  <si>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</si>
  <si>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</si>
  <si>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</si>
  <si>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</si>
  <si>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</si>
  <si>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</si>
  <si>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</si>
  <si>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</si>
  <si>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</si>
  <si>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</si>
  <si>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</si>
  <si>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</si>
  <si>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</si>
  <si>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</si>
  <si>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</si>
  <si>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</si>
  <si>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</si>
  <si>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</si>
  <si>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</si>
  <si>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</si>
  <si>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</si>
  <si>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</si>
  <si>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</si>
  <si>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</si>
  <si>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</si>
  <si>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</si>
  <si>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</si>
  <si>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Mikroökonomie</t>
  </si>
  <si>
    <t>Lerneinheiten durchgezogen</t>
  </si>
  <si>
    <t>Tagesplan erstellt</t>
  </si>
  <si>
    <t>Konzentrationslevel</t>
  </si>
  <si>
    <t>Datum</t>
  </si>
  <si>
    <t>Kcal</t>
  </si>
  <si>
    <t>Fette</t>
  </si>
  <si>
    <t>Eiweiss</t>
  </si>
  <si>
    <t>Kohlenhydrate</t>
  </si>
  <si>
    <t>Gewicht</t>
  </si>
  <si>
    <t>Sonstiges Gefühl</t>
  </si>
  <si>
    <t>Optimierungen</t>
  </si>
  <si>
    <t>KW 43</t>
  </si>
  <si>
    <t>KW 44</t>
  </si>
  <si>
    <t>KW 45</t>
  </si>
  <si>
    <t>KW 46</t>
  </si>
  <si>
    <t>KW 47</t>
  </si>
  <si>
    <t>KW 48</t>
  </si>
  <si>
    <t>KW 49</t>
  </si>
  <si>
    <t>KW 50</t>
  </si>
  <si>
    <t>KW 51</t>
  </si>
  <si>
    <t>KW 52</t>
  </si>
  <si>
    <t>Mathematik 1</t>
  </si>
  <si>
    <t>Programmieren 1</t>
  </si>
  <si>
    <t>Werkstoffkunde</t>
  </si>
  <si>
    <t>KW 01</t>
  </si>
  <si>
    <t>KW 02</t>
  </si>
  <si>
    <t>KW 03</t>
  </si>
  <si>
    <t>KW 04</t>
  </si>
  <si>
    <t>KW 05</t>
  </si>
  <si>
    <t>Grundbegriffe der Aussagenlogik und der Mengenlehre</t>
  </si>
  <si>
    <t>Konvergenz von Folgen und Reihen</t>
  </si>
  <si>
    <t>Stetige Funktionen</t>
  </si>
  <si>
    <t>Differenzierbare Funktionen</t>
  </si>
  <si>
    <t>Potenzreihen und spezielle Funktionen</t>
  </si>
  <si>
    <t>Der Satz von Taylor</t>
  </si>
  <si>
    <t>Lineare Gleichungssysteme</t>
  </si>
  <si>
    <t>KLAUSUR</t>
  </si>
  <si>
    <t>KW 06</t>
  </si>
  <si>
    <t>KW 07</t>
  </si>
  <si>
    <t>KW 08</t>
  </si>
  <si>
    <t>KW 09</t>
  </si>
  <si>
    <t>KW 10</t>
  </si>
  <si>
    <t>KW 11</t>
  </si>
  <si>
    <t>Abbildungen und Relationen</t>
  </si>
  <si>
    <t>Zahlenbereiche und Grundbegriffe der Arithmetik</t>
  </si>
  <si>
    <t>Das Riemannintegral</t>
  </si>
  <si>
    <t>Endlichdimensionale Vektorräume</t>
  </si>
  <si>
    <t>Skalarprodukte, Länge und Winkel</t>
  </si>
  <si>
    <t>Lineare Abbildungen und Matrizen</t>
  </si>
  <si>
    <t xml:space="preserve">Management </t>
  </si>
  <si>
    <t>Marketing</t>
  </si>
  <si>
    <t>Einführung</t>
  </si>
  <si>
    <t>Atomaufbau</t>
  </si>
  <si>
    <t>Kristallstrukturen</t>
  </si>
  <si>
    <t>Störungen in kristallinen Festkörperstrukturen (Kristallbaufehler</t>
  </si>
  <si>
    <t>Mechanisches Verhalten</t>
  </si>
  <si>
    <t>Physikalische Eigenschaften</t>
  </si>
  <si>
    <t>Übergänge in den festen Zustand</t>
  </si>
  <si>
    <t>Zustandsdiagramme</t>
  </si>
  <si>
    <t>Führungsentscheidungen im Unternehmen</t>
  </si>
  <si>
    <t>Organisation des Unternehmens</t>
  </si>
  <si>
    <t>Grundelemente des Strategischen Managements</t>
  </si>
  <si>
    <t>Grundlagen der Corporate Governance</t>
  </si>
  <si>
    <t>Allgemeine Grundlagen</t>
  </si>
  <si>
    <t>Marketingstrategie</t>
  </si>
  <si>
    <t>Konsumierendenverhalten</t>
  </si>
  <si>
    <t>Produktpolitik</t>
  </si>
  <si>
    <t>Preispolitik</t>
  </si>
  <si>
    <t>Kommunikationspolitik</t>
  </si>
  <si>
    <t>Vertriebspolitik</t>
  </si>
  <si>
    <t>Marketing Metrics</t>
  </si>
  <si>
    <t>Theorie des Haushalts</t>
  </si>
  <si>
    <t>Markt und Wohlfahrt ohne Produktion</t>
  </si>
  <si>
    <t xml:space="preserve">Produktion und Angebot </t>
  </si>
  <si>
    <t>Oligopol- und Spieltheorie</t>
  </si>
  <si>
    <t>Welfare Ecnomics</t>
  </si>
  <si>
    <t>Stoff fertig</t>
  </si>
  <si>
    <t>(KLAUSUR)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</si>
</sst>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00B050"/>
        <bgColor indexed="64"/>
      </patternFill>
    </fill>
    <fill>
      <patternFill patternType="solid">
        <fgColor rgb="FF00B0F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0" borderId="0" xfId="0" applyAlignment="1">
      <alignment horizontal="left" vertical="center" indent="1"/>
    </xf>
    <xf numFmtId="14" fontId="0" fillId="0" borderId="0" xfId="0" applyNumberFormat="1"/>
    <xf numFmtId="0" fontId="0" fillId="4" borderId="0" xfId="0" applyFill="1"/>
    <xf numFmtId="0" fontId="0" fillId="5" borderId="0" xfId="0" applyFill="1"/>
    <xf numFmtId="0" fontId="0" fillId="6" borderId="0" xfId="0" applyFill="1"/>
    <xf numFmtId="0" fontId="1" fillId="2" borderId="0" xfId="0" applyFont="1" applyFill="1" applyAlignment="1">
      <alignment horizontal="center"/>
    </xf>
  </cellXfs>
  <cellStyles count="1">
    <cellStyle name="Standard" xfId="0" builtinId="0"/>
  </cellStyles>
  <dxfs count="269">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268">
  <autoFilter ref="A1:K46" xr:uid="{6E266E34-2786-2747-BCE7-51B74867A564}"/>
  <tableColumns count="11">
    <tableColumn id="1" xr3:uid="{95FD92F7-3DC8-704D-A103-A7EDDAB255AB}" name="Datum" dataDxfId="267"/>
    <tableColumn id="2" xr3:uid="{F464D510-8166-E740-A343-FB84BDEF877F}" name="Lerneinheiten durchgezogen" dataDxfId="266"/>
    <tableColumn id="3" xr3:uid="{75F52B08-1A00-0848-BBE6-1EDF7B31B1AD}" name="Tagesplan erstellt" dataDxfId="265"/>
    <tableColumn id="4" xr3:uid="{E6B18D89-E799-AD48-9DAA-37AEE1D29011}" name="Konzentrationslevel" dataDxfId="26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zoomScale="32" workbookViewId="0">
      <selection activeCell="B2" sqref="B2"/>
    </sheetView>
  </sheetViews>
  <sheetFormatPr baseColWidth="10" defaultColWidth="10.6640625" defaultRowHeight="15.5"/>
  <cols>
    <col min="2" max="2" width="161" customWidth="1"/>
    <col min="3" max="3" width="10.83203125"/>
  </cols>
  <sheetData>
    <row r="4" spans="2:2" ht="21">
      <c r="B4" s="3" t="s">
        <v>16</v>
      </c>
    </row>
    <row r="6" spans="2:2">
      <c r="B6" s="2" t="s">
        <v>13</v>
      </c>
    </row>
    <row r="7" spans="2:2" ht="46.5">
      <c r="B7" s="1" t="s">
        <v>14</v>
      </c>
    </row>
    <row r="9" spans="2:2">
      <c r="B9" s="2" t="s">
        <v>15</v>
      </c>
    </row>
    <row r="10" spans="2:2" ht="62">
      <c r="B10" s="1" t="s">
        <v>35</v>
      </c>
    </row>
    <row r="12" spans="2:2">
      <c r="B12" s="2" t="s">
        <v>17</v>
      </c>
    </row>
    <row r="13" spans="2:2" ht="124">
      <c r="B13" s="1" t="s">
        <v>18</v>
      </c>
    </row>
    <row r="15" spans="2:2">
      <c r="B15" s="2" t="s">
        <v>19</v>
      </c>
    </row>
    <row r="16" spans="2:2" ht="108.5">
      <c r="B16" s="1" t="s">
        <v>20</v>
      </c>
    </row>
    <row r="17" spans="2:2">
      <c r="B17" s="1"/>
    </row>
    <row r="18" spans="2:2">
      <c r="B18" s="2" t="s">
        <v>34</v>
      </c>
    </row>
    <row r="19" spans="2:2" ht="139.5">
      <c r="B19" s="1" t="s">
        <v>36</v>
      </c>
    </row>
    <row r="21" spans="2:2">
      <c r="B21" s="2" t="s">
        <v>21</v>
      </c>
    </row>
    <row r="22" spans="2:2" ht="124">
      <c r="B22" s="1" t="s">
        <v>37</v>
      </c>
    </row>
    <row r="24" spans="2:2">
      <c r="B24" s="2" t="s">
        <v>22</v>
      </c>
    </row>
    <row r="25" spans="2:2" ht="124">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FC68"/>
  <sheetViews>
    <sheetView showGridLines="0" tabSelected="1" topLeftCell="G1" zoomScale="59" zoomScaleNormal="30" workbookViewId="0">
      <selection activeCell="X53" sqref="X53"/>
    </sheetView>
  </sheetViews>
  <sheetFormatPr baseColWidth="10" defaultColWidth="8.83203125" defaultRowHeight="15.5" outlineLevelRow="1"/>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 min="125" max="125" width="2.5" customWidth="1"/>
    <col min="127" max="127" width="12.5" bestFit="1" customWidth="1"/>
    <col min="128" max="128" width="6.33203125" customWidth="1"/>
    <col min="129" max="129" width="14.83203125" bestFit="1" customWidth="1"/>
    <col min="130" max="130" width="6" customWidth="1"/>
    <col min="131" max="131" width="12.6640625" bestFit="1" customWidth="1"/>
    <col min="132" max="132" width="2.5" customWidth="1"/>
    <col min="134" max="134" width="12.5" bestFit="1" customWidth="1"/>
    <col min="135" max="135" width="6.33203125" customWidth="1"/>
    <col min="136" max="136" width="14.83203125" bestFit="1" customWidth="1"/>
    <col min="137" max="137" width="6" customWidth="1"/>
    <col min="138" max="138" width="12.6640625" bestFit="1" customWidth="1"/>
    <col min="139" max="139" width="2.5" customWidth="1"/>
    <col min="141" max="141" width="12.5" bestFit="1" customWidth="1"/>
    <col min="142" max="142" width="6.33203125" customWidth="1"/>
    <col min="143" max="143" width="14.83203125" bestFit="1" customWidth="1"/>
    <col min="144" max="144" width="6" customWidth="1"/>
    <col min="145" max="145" width="12.6640625" bestFit="1" customWidth="1"/>
    <col min="146" max="146" width="2.5" customWidth="1"/>
    <col min="148" max="148" width="12.5" bestFit="1" customWidth="1"/>
    <col min="149" max="149" width="6.33203125" customWidth="1"/>
    <col min="150" max="150" width="14.83203125" bestFit="1" customWidth="1"/>
    <col min="151" max="151" width="6" customWidth="1"/>
    <col min="152" max="152" width="12.6640625" bestFit="1" customWidth="1"/>
    <col min="153" max="153" width="2.5" customWidth="1"/>
    <col min="155" max="155" width="12.5" bestFit="1" customWidth="1"/>
    <col min="156" max="156" width="6.33203125" customWidth="1"/>
    <col min="157" max="157" width="14.83203125" bestFit="1" customWidth="1"/>
    <col min="158" max="158" width="6" customWidth="1"/>
    <col min="159" max="159" width="12.6640625" bestFit="1" customWidth="1"/>
  </cols>
  <sheetData>
    <row r="1" spans="2:159" ht="33.5">
      <c r="B1" s="4" t="s">
        <v>0</v>
      </c>
      <c r="D1" s="4"/>
      <c r="G1" s="13" t="s">
        <v>33</v>
      </c>
      <c r="I1" s="13" t="s">
        <v>33</v>
      </c>
      <c r="J1" s="13" t="s">
        <v>33</v>
      </c>
      <c r="K1" s="13" t="s">
        <v>33</v>
      </c>
    </row>
    <row r="2" spans="2:159">
      <c r="I2" s="21" t="s">
        <v>27</v>
      </c>
      <c r="J2" s="21"/>
      <c r="K2" s="21"/>
      <c r="L2" s="21"/>
      <c r="N2" s="21" t="s">
        <v>50</v>
      </c>
      <c r="O2" s="21"/>
      <c r="P2" s="21"/>
      <c r="Q2" s="21"/>
      <c r="R2" s="21"/>
      <c r="S2" s="21"/>
      <c r="U2" s="21" t="s">
        <v>51</v>
      </c>
      <c r="V2" s="21"/>
      <c r="W2" s="21"/>
      <c r="X2" s="21"/>
      <c r="Y2" s="21"/>
      <c r="Z2" s="21"/>
      <c r="AB2" s="21" t="s">
        <v>52</v>
      </c>
      <c r="AC2" s="21"/>
      <c r="AD2" s="21"/>
      <c r="AE2" s="21"/>
      <c r="AF2" s="21"/>
      <c r="AG2" s="21"/>
      <c r="AI2" s="21" t="s">
        <v>53</v>
      </c>
      <c r="AJ2" s="21"/>
      <c r="AK2" s="21"/>
      <c r="AL2" s="21"/>
      <c r="AM2" s="21"/>
      <c r="AN2" s="21"/>
      <c r="AP2" s="21" t="s">
        <v>54</v>
      </c>
      <c r="AQ2" s="21"/>
      <c r="AR2" s="21"/>
      <c r="AS2" s="21"/>
      <c r="AT2" s="21"/>
      <c r="AU2" s="21"/>
      <c r="AW2" s="21" t="s">
        <v>55</v>
      </c>
      <c r="AX2" s="21"/>
      <c r="AY2" s="21"/>
      <c r="AZ2" s="21"/>
      <c r="BA2" s="21"/>
      <c r="BB2" s="21"/>
      <c r="BD2" s="21" t="s">
        <v>56</v>
      </c>
      <c r="BE2" s="21"/>
      <c r="BF2" s="21"/>
      <c r="BG2" s="21"/>
      <c r="BH2" s="21"/>
      <c r="BI2" s="21"/>
      <c r="BK2" s="21" t="s">
        <v>57</v>
      </c>
      <c r="BL2" s="21"/>
      <c r="BM2" s="21"/>
      <c r="BN2" s="21"/>
      <c r="BO2" s="21"/>
      <c r="BP2" s="21"/>
      <c r="BR2" s="21" t="s">
        <v>58</v>
      </c>
      <c r="BS2" s="21"/>
      <c r="BT2" s="21"/>
      <c r="BU2" s="21"/>
      <c r="BV2" s="21"/>
      <c r="BW2" s="21"/>
      <c r="BY2" s="21" t="s">
        <v>59</v>
      </c>
      <c r="BZ2" s="21"/>
      <c r="CA2" s="21"/>
      <c r="CB2" s="21"/>
      <c r="CC2" s="21"/>
      <c r="CD2" s="21"/>
      <c r="CF2" s="21" t="s">
        <v>63</v>
      </c>
      <c r="CG2" s="21"/>
      <c r="CH2" s="21"/>
      <c r="CI2" s="21"/>
      <c r="CJ2" s="21"/>
      <c r="CK2" s="21"/>
      <c r="CM2" s="21" t="s">
        <v>64</v>
      </c>
      <c r="CN2" s="21"/>
      <c r="CO2" s="21"/>
      <c r="CP2" s="21"/>
      <c r="CQ2" s="21"/>
      <c r="CR2" s="21"/>
      <c r="CT2" s="21" t="s">
        <v>65</v>
      </c>
      <c r="CU2" s="21"/>
      <c r="CV2" s="21"/>
      <c r="CW2" s="21"/>
      <c r="CX2" s="21"/>
      <c r="CY2" s="21"/>
      <c r="DA2" s="21" t="s">
        <v>66</v>
      </c>
      <c r="DB2" s="21"/>
      <c r="DC2" s="21"/>
      <c r="DD2" s="21"/>
      <c r="DE2" s="21"/>
      <c r="DF2" s="21"/>
      <c r="DH2" s="21" t="s">
        <v>67</v>
      </c>
      <c r="DI2" s="21"/>
      <c r="DJ2" s="21"/>
      <c r="DK2" s="21"/>
      <c r="DL2" s="21"/>
      <c r="DM2" s="21"/>
      <c r="DO2" s="21" t="s">
        <v>76</v>
      </c>
      <c r="DP2" s="21"/>
      <c r="DQ2" s="21"/>
      <c r="DR2" s="21"/>
      <c r="DS2" s="21"/>
      <c r="DT2" s="21"/>
      <c r="DV2" s="21" t="s">
        <v>77</v>
      </c>
      <c r="DW2" s="21"/>
      <c r="DX2" s="21"/>
      <c r="DY2" s="21"/>
      <c r="DZ2" s="21"/>
      <c r="EA2" s="21"/>
      <c r="EC2" s="21" t="s">
        <v>78</v>
      </c>
      <c r="ED2" s="21"/>
      <c r="EE2" s="21"/>
      <c r="EF2" s="21"/>
      <c r="EG2" s="21"/>
      <c r="EH2" s="21"/>
      <c r="EJ2" s="21" t="s">
        <v>79</v>
      </c>
      <c r="EK2" s="21"/>
      <c r="EL2" s="21"/>
      <c r="EM2" s="21"/>
      <c r="EN2" s="21"/>
      <c r="EO2" s="21"/>
      <c r="EQ2" s="21" t="s">
        <v>80</v>
      </c>
      <c r="ER2" s="21"/>
      <c r="ES2" s="21"/>
      <c r="ET2" s="21"/>
      <c r="EU2" s="21"/>
      <c r="EV2" s="21"/>
      <c r="EX2" s="21" t="s">
        <v>81</v>
      </c>
      <c r="EY2" s="21"/>
      <c r="EZ2" s="21"/>
      <c r="FA2" s="21"/>
      <c r="FB2" s="21"/>
      <c r="FC2" s="21"/>
    </row>
    <row r="3" spans="2:159">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t="s">
        <v>11</v>
      </c>
      <c r="DB3" s="5" t="s">
        <v>2</v>
      </c>
      <c r="DC3" s="5" t="s">
        <v>32</v>
      </c>
      <c r="DD3" s="5" t="s">
        <v>3</v>
      </c>
      <c r="DE3" s="5" t="s">
        <v>32</v>
      </c>
      <c r="DF3" s="5" t="s">
        <v>12</v>
      </c>
      <c r="DH3" s="5" t="s">
        <v>11</v>
      </c>
      <c r="DI3" s="5" t="s">
        <v>2</v>
      </c>
      <c r="DJ3" s="5" t="s">
        <v>32</v>
      </c>
      <c r="DK3" s="5" t="s">
        <v>3</v>
      </c>
      <c r="DL3" s="5" t="s">
        <v>32</v>
      </c>
      <c r="DM3" s="5" t="s">
        <v>12</v>
      </c>
      <c r="DO3" s="5" t="s">
        <v>11</v>
      </c>
      <c r="DP3" s="5" t="s">
        <v>2</v>
      </c>
      <c r="DQ3" s="5" t="s">
        <v>32</v>
      </c>
      <c r="DR3" s="5" t="s">
        <v>3</v>
      </c>
      <c r="DS3" s="5" t="s">
        <v>32</v>
      </c>
      <c r="DT3" s="5" t="s">
        <v>12</v>
      </c>
      <c r="DV3" s="5" t="s">
        <v>11</v>
      </c>
      <c r="DW3" s="5" t="s">
        <v>2</v>
      </c>
      <c r="DX3" s="5" t="s">
        <v>32</v>
      </c>
      <c r="DY3" s="5" t="s">
        <v>3</v>
      </c>
      <c r="DZ3" s="5" t="s">
        <v>32</v>
      </c>
      <c r="EA3" s="5" t="s">
        <v>12</v>
      </c>
      <c r="EC3" s="5" t="s">
        <v>11</v>
      </c>
      <c r="ED3" s="5" t="s">
        <v>2</v>
      </c>
      <c r="EE3" s="5" t="s">
        <v>32</v>
      </c>
      <c r="EF3" s="5" t="s">
        <v>3</v>
      </c>
      <c r="EG3" s="5" t="s">
        <v>32</v>
      </c>
      <c r="EH3" s="5" t="s">
        <v>12</v>
      </c>
      <c r="EJ3" s="5" t="s">
        <v>11</v>
      </c>
      <c r="EK3" s="5" t="s">
        <v>2</v>
      </c>
      <c r="EL3" s="5" t="s">
        <v>32</v>
      </c>
      <c r="EM3" s="5" t="s">
        <v>3</v>
      </c>
      <c r="EN3" s="5" t="s">
        <v>32</v>
      </c>
      <c r="EO3" s="5" t="s">
        <v>12</v>
      </c>
      <c r="EQ3" s="5" t="s">
        <v>11</v>
      </c>
      <c r="ER3" s="5" t="s">
        <v>2</v>
      </c>
      <c r="ES3" s="5" t="s">
        <v>32</v>
      </c>
      <c r="ET3" s="5" t="s">
        <v>3</v>
      </c>
      <c r="EU3" s="5" t="s">
        <v>32</v>
      </c>
      <c r="EV3" s="5" t="s">
        <v>12</v>
      </c>
      <c r="EX3" s="5" t="s">
        <v>11</v>
      </c>
      <c r="EY3" s="5" t="s">
        <v>2</v>
      </c>
      <c r="EZ3" s="5" t="s">
        <v>32</v>
      </c>
      <c r="FA3" s="5" t="s">
        <v>3</v>
      </c>
      <c r="FB3" s="5" t="s">
        <v>32</v>
      </c>
      <c r="FC3" s="5" t="s">
        <v>12</v>
      </c>
    </row>
    <row r="4" spans="2:159">
      <c r="B4" t="s">
        <v>27</v>
      </c>
      <c r="C4" t="s">
        <v>60</v>
      </c>
      <c r="D4" s="17">
        <v>45302</v>
      </c>
      <c r="E4" s="9">
        <v>10</v>
      </c>
      <c r="G4" s="10">
        <f>+SUM(G5:G16)</f>
        <v>0.99999999999999989</v>
      </c>
      <c r="I4" s="12">
        <f>+SUM(I5:I16)</f>
        <v>19.5</v>
      </c>
      <c r="J4" s="11">
        <f>+SUMPRODUCT(G5:G16,J5:J16)</f>
        <v>0.13</v>
      </c>
      <c r="K4" s="11">
        <f>+SUMPRODUCT(G5:G16,K5:K16)</f>
        <v>0.13</v>
      </c>
      <c r="L4" s="9"/>
      <c r="N4" s="12">
        <f>+SUM(N5:N16)</f>
        <v>0</v>
      </c>
      <c r="U4" s="12">
        <f>+SUM(U5:U16)</f>
        <v>0</v>
      </c>
      <c r="AB4" s="12">
        <f>+SUM(AB5:AB16)</f>
        <v>19.5</v>
      </c>
      <c r="AI4" s="12">
        <f>+SUM(AI5:AI16)</f>
        <v>0</v>
      </c>
      <c r="AP4" s="12">
        <f>+SUM(AP5:AP16)</f>
        <v>0</v>
      </c>
      <c r="AW4" s="12">
        <f>+SUM(AW5:AW16)</f>
        <v>0</v>
      </c>
      <c r="BD4" s="12">
        <f>+SUM(BD5:BD16)</f>
        <v>0</v>
      </c>
      <c r="BK4" s="12">
        <f>+SUM(BK5:BK16)</f>
        <v>0</v>
      </c>
      <c r="BR4" s="12">
        <f>+SUM(BR5:BR16)</f>
        <v>0</v>
      </c>
      <c r="BY4" s="12">
        <f>+SUM(BY5:BY16)</f>
        <v>0</v>
      </c>
      <c r="CF4" s="12">
        <f>+SUM(CF5:CF16)</f>
        <v>0</v>
      </c>
      <c r="CM4" s="12">
        <f>+SUM(CM5:CM16)</f>
        <v>0</v>
      </c>
      <c r="CT4" s="12">
        <f>+SUM(CT5:CT16)</f>
        <v>0</v>
      </c>
      <c r="DA4" s="12">
        <f>+SUM(DA5:DA16)</f>
        <v>0</v>
      </c>
      <c r="DH4" s="12">
        <f>+SUM(DH5:DH16)</f>
        <v>0</v>
      </c>
      <c r="DO4" s="12">
        <f>+SUM(DO5:DO16)</f>
        <v>0</v>
      </c>
      <c r="DV4" s="12">
        <f>+SUM(DV5:DV16)</f>
        <v>0</v>
      </c>
      <c r="EC4" s="12">
        <f>+SUM(EC5:EC16)</f>
        <v>0</v>
      </c>
      <c r="EJ4" s="12">
        <f>+SUM(EJ5:EJ16)</f>
        <v>0</v>
      </c>
      <c r="EQ4" s="12">
        <f>+SUM(EQ5:EQ16)</f>
        <v>0</v>
      </c>
      <c r="EX4" s="12">
        <f>+SUM(EX5:EX16)</f>
        <v>0</v>
      </c>
    </row>
    <row r="5" spans="2:159" outlineLevel="1">
      <c r="B5" t="s">
        <v>28</v>
      </c>
      <c r="C5" t="s">
        <v>60</v>
      </c>
      <c r="E5" s="9"/>
      <c r="F5" s="16" t="s">
        <v>68</v>
      </c>
      <c r="G5" s="10">
        <v>0.1</v>
      </c>
      <c r="I5" s="9">
        <f>+SUMIF($N$3:$ZZ$3,I$3,$N5:$ZZ5)</f>
        <v>2</v>
      </c>
      <c r="J5" s="11" cm="1">
        <f t="array" ref="J5">MAX(IF($N$3:$EH$3=$J$3,N5:EH5))</f>
        <v>0.8</v>
      </c>
      <c r="K5" s="11" cm="1">
        <f t="array" ref="K5">MAX(IF($N$3:$EH$3=$J$3,N5:EH5))</f>
        <v>0.8</v>
      </c>
      <c r="L5" s="9"/>
      <c r="O5" s="10"/>
      <c r="P5" s="10"/>
      <c r="Q5" s="10"/>
      <c r="R5" s="10"/>
      <c r="V5" s="10">
        <v>0.5</v>
      </c>
      <c r="W5" s="10">
        <v>0.5</v>
      </c>
      <c r="X5" s="10">
        <v>0.5</v>
      </c>
      <c r="Y5" s="10">
        <v>0.5</v>
      </c>
      <c r="AB5">
        <v>2</v>
      </c>
      <c r="AC5" s="10">
        <v>0.8</v>
      </c>
      <c r="AD5" s="10">
        <v>0.5</v>
      </c>
      <c r="AE5" s="10">
        <v>0.8</v>
      </c>
      <c r="AF5" s="10">
        <v>0.5</v>
      </c>
      <c r="AJ5" s="10"/>
      <c r="AK5" s="10">
        <v>0.8</v>
      </c>
      <c r="AL5" s="10"/>
      <c r="AM5" s="10">
        <v>0.8</v>
      </c>
      <c r="AQ5" s="10"/>
      <c r="AR5" s="10">
        <v>0.8</v>
      </c>
      <c r="AS5" s="10"/>
      <c r="AT5" s="10">
        <v>0.8</v>
      </c>
      <c r="AX5" s="10"/>
      <c r="AY5" s="10">
        <v>0.8</v>
      </c>
      <c r="AZ5" s="10"/>
      <c r="BA5" s="10">
        <v>0.8</v>
      </c>
      <c r="BE5" s="10"/>
      <c r="BF5" s="10">
        <v>1</v>
      </c>
      <c r="BG5" s="10"/>
      <c r="BH5" s="10">
        <v>1</v>
      </c>
      <c r="BL5" s="10"/>
      <c r="BM5" s="10">
        <v>1</v>
      </c>
      <c r="BN5" s="10"/>
      <c r="BO5" s="10">
        <v>1</v>
      </c>
      <c r="BP5" s="19" t="s">
        <v>115</v>
      </c>
      <c r="BS5" s="10"/>
      <c r="BT5" s="10"/>
      <c r="BU5" s="10"/>
      <c r="BV5" s="10"/>
      <c r="BZ5" s="10"/>
      <c r="CA5" s="10"/>
      <c r="CB5" s="10"/>
      <c r="CC5" s="10"/>
      <c r="CG5" s="10"/>
      <c r="CH5" s="10"/>
      <c r="CI5" s="10"/>
      <c r="CJ5" s="10"/>
      <c r="CN5" s="10"/>
      <c r="CO5" s="10">
        <v>1</v>
      </c>
      <c r="CP5" s="10"/>
      <c r="CQ5" s="10">
        <v>1</v>
      </c>
      <c r="CR5" s="18" t="s">
        <v>75</v>
      </c>
      <c r="CU5" s="10"/>
      <c r="CV5" s="10">
        <v>1</v>
      </c>
      <c r="CW5" s="10"/>
      <c r="CX5" s="10">
        <v>1</v>
      </c>
      <c r="DB5" s="10"/>
      <c r="DC5" s="10">
        <v>1</v>
      </c>
      <c r="DD5" s="10"/>
      <c r="DE5" s="10">
        <v>1</v>
      </c>
      <c r="DI5" s="10"/>
      <c r="DJ5" s="10">
        <v>1</v>
      </c>
      <c r="DK5" s="10"/>
      <c r="DL5" s="10">
        <v>1</v>
      </c>
      <c r="DP5" s="10"/>
      <c r="DQ5" s="10">
        <v>1</v>
      </c>
      <c r="DR5" s="10"/>
      <c r="DS5" s="10">
        <v>1</v>
      </c>
      <c r="DT5" s="19" t="s">
        <v>115</v>
      </c>
      <c r="DW5" s="10"/>
      <c r="DX5" s="10"/>
      <c r="DY5" s="10"/>
      <c r="DZ5" s="10"/>
      <c r="ED5" s="10"/>
      <c r="EE5" s="10"/>
      <c r="EF5" s="10"/>
      <c r="EG5" s="10"/>
      <c r="EK5" s="10"/>
      <c r="EL5" s="10"/>
      <c r="EM5" s="10"/>
      <c r="EN5" s="10"/>
      <c r="ER5" s="10"/>
      <c r="ES5" s="10">
        <v>1</v>
      </c>
      <c r="ET5" s="10"/>
      <c r="EU5" s="10">
        <v>1</v>
      </c>
      <c r="EV5" s="18" t="s">
        <v>75</v>
      </c>
      <c r="EY5" s="10"/>
      <c r="EZ5" s="10"/>
      <c r="FA5" s="10"/>
      <c r="FB5" s="10"/>
    </row>
    <row r="6" spans="2:159" outlineLevel="1">
      <c r="B6" t="s">
        <v>28</v>
      </c>
      <c r="C6" t="s">
        <v>60</v>
      </c>
      <c r="E6" s="9"/>
      <c r="F6" s="16" t="s">
        <v>82</v>
      </c>
      <c r="G6" s="10">
        <v>0.05</v>
      </c>
      <c r="I6" s="9">
        <f t="shared" ref="I6:I15" si="0">+SUMIF($N$3:$ZZ$3,I$3,$N6:$ZZ6)</f>
        <v>3</v>
      </c>
      <c r="J6" s="11" cm="1">
        <f t="array" ref="J6">MAX(IF($N$3:$EH$3=$J$3,N6:EH6))</f>
        <v>0.5</v>
      </c>
      <c r="K6" s="11" cm="1">
        <f t="array" ref="K6">MAX(IF($N$3:$EH$3=$J$3,N6:EH6))</f>
        <v>0.5</v>
      </c>
      <c r="L6" s="9"/>
      <c r="O6" s="10"/>
      <c r="P6" s="10"/>
      <c r="Q6" s="10"/>
      <c r="R6" s="10"/>
      <c r="V6" s="10">
        <v>0.5</v>
      </c>
      <c r="W6" s="10">
        <v>0.5</v>
      </c>
      <c r="X6" s="10">
        <v>0.5</v>
      </c>
      <c r="Y6" s="10">
        <v>0.5</v>
      </c>
      <c r="AB6">
        <v>3</v>
      </c>
      <c r="AC6" s="10">
        <v>0.5</v>
      </c>
      <c r="AD6" s="10">
        <v>0.5</v>
      </c>
      <c r="AE6" s="10">
        <v>0.5</v>
      </c>
      <c r="AF6" s="10">
        <v>0.5</v>
      </c>
      <c r="AJ6" s="10"/>
      <c r="AK6" s="10">
        <v>0.8</v>
      </c>
      <c r="AL6" s="10"/>
      <c r="AM6" s="10">
        <v>0.8</v>
      </c>
      <c r="AQ6" s="10"/>
      <c r="AR6" s="10">
        <v>0.8</v>
      </c>
      <c r="AS6" s="10"/>
      <c r="AT6" s="10">
        <v>0.8</v>
      </c>
      <c r="AX6" s="10"/>
      <c r="AY6" s="10">
        <v>0.8</v>
      </c>
      <c r="AZ6" s="10"/>
      <c r="BA6" s="10">
        <v>0.8</v>
      </c>
      <c r="BE6" s="10"/>
      <c r="BF6" s="10">
        <v>1</v>
      </c>
      <c r="BG6" s="10"/>
      <c r="BH6" s="10">
        <v>1</v>
      </c>
      <c r="BL6" s="10"/>
      <c r="BM6" s="10">
        <v>1</v>
      </c>
      <c r="BN6" s="10"/>
      <c r="BO6" s="10">
        <v>1</v>
      </c>
      <c r="BS6" s="10"/>
      <c r="BT6" s="10"/>
      <c r="BU6" s="10"/>
      <c r="BV6" s="10"/>
      <c r="BZ6" s="10"/>
      <c r="CA6" s="10"/>
      <c r="CB6" s="10"/>
      <c r="CC6" s="10"/>
      <c r="CG6" s="10"/>
      <c r="CH6" s="10"/>
      <c r="CI6" s="10"/>
      <c r="CJ6" s="10"/>
      <c r="CN6" s="10"/>
      <c r="CO6" s="10">
        <v>1</v>
      </c>
      <c r="CP6" s="10"/>
      <c r="CQ6" s="10">
        <v>1</v>
      </c>
      <c r="CR6" s="18" t="s">
        <v>75</v>
      </c>
      <c r="CU6" s="10"/>
      <c r="CV6" s="10">
        <v>1</v>
      </c>
      <c r="CW6" s="10"/>
      <c r="CX6" s="10">
        <v>1</v>
      </c>
      <c r="DB6" s="10"/>
      <c r="DC6" s="10">
        <v>1</v>
      </c>
      <c r="DD6" s="10"/>
      <c r="DE6" s="10">
        <v>1</v>
      </c>
      <c r="DI6" s="10"/>
      <c r="DJ6" s="10">
        <v>1</v>
      </c>
      <c r="DK6" s="10"/>
      <c r="DL6" s="10">
        <v>1</v>
      </c>
      <c r="DP6" s="10"/>
      <c r="DQ6" s="10">
        <v>1</v>
      </c>
      <c r="DR6" s="10"/>
      <c r="DS6" s="10">
        <v>1</v>
      </c>
      <c r="DW6" s="10"/>
      <c r="DX6" s="10"/>
      <c r="DY6" s="10"/>
      <c r="DZ6" s="10"/>
      <c r="ED6" s="10"/>
      <c r="EE6" s="10"/>
      <c r="EF6" s="10"/>
      <c r="EG6" s="10"/>
      <c r="EK6" s="10"/>
      <c r="EL6" s="10"/>
      <c r="EM6" s="10"/>
      <c r="EN6" s="10"/>
      <c r="ER6" s="10"/>
      <c r="ES6" s="10">
        <v>1</v>
      </c>
      <c r="ET6" s="10"/>
      <c r="EU6" s="10">
        <v>1</v>
      </c>
      <c r="EV6" s="18" t="s">
        <v>75</v>
      </c>
      <c r="EY6" s="10"/>
      <c r="EZ6" s="10"/>
      <c r="FA6" s="10"/>
      <c r="FB6" s="10"/>
    </row>
    <row r="7" spans="2:159" outlineLevel="1">
      <c r="B7" t="s">
        <v>28</v>
      </c>
      <c r="C7" t="s">
        <v>60</v>
      </c>
      <c r="E7" s="9"/>
      <c r="F7" s="16" t="s">
        <v>83</v>
      </c>
      <c r="G7" s="10">
        <v>0.05</v>
      </c>
      <c r="I7" s="9">
        <f t="shared" si="0"/>
        <v>2</v>
      </c>
      <c r="J7" s="11" cm="1">
        <f t="array" ref="J7">MAX(IF($N$3:$EH$3=$J$3,N7:EH7))</f>
        <v>0.5</v>
      </c>
      <c r="K7" s="11" cm="1">
        <f t="array" ref="K7">MAX(IF($N$3:$EH$3=$J$3,N7:EH7))</f>
        <v>0.5</v>
      </c>
      <c r="L7" s="9"/>
      <c r="O7" s="10"/>
      <c r="P7" s="10"/>
      <c r="Q7" s="10"/>
      <c r="R7" s="10"/>
      <c r="V7" s="10"/>
      <c r="W7" s="10"/>
      <c r="X7" s="10"/>
      <c r="Y7" s="10"/>
      <c r="AB7">
        <v>2</v>
      </c>
      <c r="AC7" s="10">
        <v>0.5</v>
      </c>
      <c r="AD7" s="10">
        <v>0.5</v>
      </c>
      <c r="AE7" s="10">
        <v>0.5</v>
      </c>
      <c r="AF7" s="10">
        <v>0.5</v>
      </c>
      <c r="AJ7" s="10"/>
      <c r="AK7" s="10">
        <v>0.8</v>
      </c>
      <c r="AL7" s="10"/>
      <c r="AM7" s="10">
        <v>0.8</v>
      </c>
      <c r="AQ7" s="10"/>
      <c r="AR7" s="10">
        <v>0.8</v>
      </c>
      <c r="AS7" s="10"/>
      <c r="AT7" s="10">
        <v>0.8</v>
      </c>
      <c r="AX7" s="10"/>
      <c r="AY7" s="10">
        <v>0.8</v>
      </c>
      <c r="AZ7" s="10"/>
      <c r="BA7" s="10">
        <v>0.8</v>
      </c>
      <c r="BE7" s="10"/>
      <c r="BF7" s="10">
        <v>1</v>
      </c>
      <c r="BG7" s="10"/>
      <c r="BH7" s="10">
        <v>1</v>
      </c>
      <c r="BL7" s="10"/>
      <c r="BM7" s="10">
        <v>1</v>
      </c>
      <c r="BN7" s="10"/>
      <c r="BO7" s="10">
        <v>1</v>
      </c>
      <c r="BS7" s="10"/>
      <c r="BT7" s="10"/>
      <c r="BU7" s="10"/>
      <c r="BV7" s="10"/>
      <c r="BZ7" s="10"/>
      <c r="CA7" s="10"/>
      <c r="CB7" s="10"/>
      <c r="CC7" s="10"/>
      <c r="CG7" s="10"/>
      <c r="CH7" s="10"/>
      <c r="CI7" s="10"/>
      <c r="CJ7" s="10"/>
      <c r="CN7" s="10"/>
      <c r="CO7" s="10">
        <v>1</v>
      </c>
      <c r="CP7" s="10"/>
      <c r="CQ7" s="10">
        <v>1</v>
      </c>
      <c r="CR7" s="18" t="s">
        <v>75</v>
      </c>
      <c r="CU7" s="10"/>
      <c r="CV7" s="10">
        <v>1</v>
      </c>
      <c r="CW7" s="10"/>
      <c r="CX7" s="10">
        <v>1</v>
      </c>
      <c r="DB7" s="10"/>
      <c r="DC7" s="10">
        <v>1</v>
      </c>
      <c r="DD7" s="10"/>
      <c r="DE7" s="10">
        <v>1</v>
      </c>
      <c r="DI7" s="10"/>
      <c r="DJ7" s="10">
        <v>1</v>
      </c>
      <c r="DK7" s="10"/>
      <c r="DL7" s="10">
        <v>1</v>
      </c>
      <c r="DP7" s="10"/>
      <c r="DQ7" s="10">
        <v>1</v>
      </c>
      <c r="DR7" s="10"/>
      <c r="DS7" s="10">
        <v>1</v>
      </c>
      <c r="DW7" s="10"/>
      <c r="DX7" s="10"/>
      <c r="DY7" s="10"/>
      <c r="DZ7" s="10"/>
      <c r="ED7" s="10"/>
      <c r="EE7" s="10"/>
      <c r="EF7" s="10"/>
      <c r="EG7" s="10"/>
      <c r="EK7" s="10"/>
      <c r="EL7" s="10"/>
      <c r="EM7" s="10"/>
      <c r="EN7" s="10"/>
      <c r="ER7" s="10"/>
      <c r="ES7" s="10">
        <v>1</v>
      </c>
      <c r="ET7" s="10"/>
      <c r="EU7" s="10">
        <v>1</v>
      </c>
      <c r="EV7" s="18" t="s">
        <v>75</v>
      </c>
      <c r="EY7" s="10"/>
      <c r="EZ7" s="10"/>
      <c r="FA7" s="10"/>
      <c r="FB7" s="10"/>
    </row>
    <row r="8" spans="2:159" outlineLevel="1">
      <c r="B8" t="s">
        <v>28</v>
      </c>
      <c r="C8" t="s">
        <v>60</v>
      </c>
      <c r="E8" s="9"/>
      <c r="F8" s="16" t="s">
        <v>74</v>
      </c>
      <c r="G8" s="10">
        <v>0.05</v>
      </c>
      <c r="I8" s="9">
        <f t="shared" si="0"/>
        <v>2</v>
      </c>
      <c r="J8" s="11" cm="1">
        <f t="array" ref="J8">MAX(IF($N$3:$EH$3=$J$3,N8:EH8))</f>
        <v>0</v>
      </c>
      <c r="K8" s="11" cm="1">
        <f t="array" ref="K8">MAX(IF($N$3:$EH$3=$J$3,N8:EH8))</f>
        <v>0</v>
      </c>
      <c r="L8" s="9"/>
      <c r="O8" s="10"/>
      <c r="P8" s="10"/>
      <c r="Q8" s="10"/>
      <c r="R8" s="10"/>
      <c r="V8" s="10"/>
      <c r="W8" s="10"/>
      <c r="X8" s="10"/>
      <c r="Y8" s="10"/>
      <c r="AB8">
        <v>2</v>
      </c>
      <c r="AC8" s="10"/>
      <c r="AD8" s="10">
        <v>0.5</v>
      </c>
      <c r="AE8" s="10"/>
      <c r="AF8" s="10">
        <v>0.5</v>
      </c>
      <c r="AJ8" s="10"/>
      <c r="AK8" s="10">
        <v>0.5</v>
      </c>
      <c r="AL8" s="10"/>
      <c r="AM8" s="10">
        <v>0.5</v>
      </c>
      <c r="AQ8" s="10"/>
      <c r="AR8" s="10">
        <v>0.8</v>
      </c>
      <c r="AS8" s="10"/>
      <c r="AT8" s="10">
        <v>0.8</v>
      </c>
      <c r="AX8" s="10"/>
      <c r="AY8" s="10">
        <v>0.8</v>
      </c>
      <c r="AZ8" s="10"/>
      <c r="BA8" s="10">
        <v>0.8</v>
      </c>
      <c r="BE8" s="10"/>
      <c r="BF8" s="10">
        <v>1</v>
      </c>
      <c r="BG8" s="10"/>
      <c r="BH8" s="10">
        <v>1</v>
      </c>
      <c r="BL8" s="10"/>
      <c r="BM8" s="10">
        <v>1</v>
      </c>
      <c r="BN8" s="10"/>
      <c r="BO8" s="10">
        <v>1</v>
      </c>
      <c r="BS8" s="10"/>
      <c r="BT8" s="10"/>
      <c r="BU8" s="10"/>
      <c r="BV8" s="10"/>
      <c r="BZ8" s="10"/>
      <c r="CA8" s="10"/>
      <c r="CB8" s="10"/>
      <c r="CC8" s="10"/>
      <c r="CG8" s="10"/>
      <c r="CH8" s="10"/>
      <c r="CI8" s="10"/>
      <c r="CJ8" s="10"/>
      <c r="CN8" s="10"/>
      <c r="CO8" s="10">
        <v>1</v>
      </c>
      <c r="CP8" s="10"/>
      <c r="CQ8" s="10">
        <v>1</v>
      </c>
      <c r="CR8" s="18" t="s">
        <v>75</v>
      </c>
      <c r="CU8" s="10"/>
      <c r="CV8" s="10">
        <v>1</v>
      </c>
      <c r="CW8" s="10"/>
      <c r="CX8" s="10">
        <v>1</v>
      </c>
      <c r="DB8" s="10"/>
      <c r="DC8" s="10">
        <v>1</v>
      </c>
      <c r="DD8" s="10"/>
      <c r="DE8" s="10">
        <v>1</v>
      </c>
      <c r="DI8" s="10"/>
      <c r="DJ8" s="10">
        <v>1</v>
      </c>
      <c r="DK8" s="10"/>
      <c r="DL8" s="10">
        <v>1</v>
      </c>
      <c r="DP8" s="10"/>
      <c r="DQ8" s="10">
        <v>1</v>
      </c>
      <c r="DR8" s="10"/>
      <c r="DS8" s="10">
        <v>1</v>
      </c>
      <c r="DW8" s="10"/>
      <c r="DX8" s="10"/>
      <c r="DY8" s="10"/>
      <c r="DZ8" s="10"/>
      <c r="ED8" s="10"/>
      <c r="EE8" s="10"/>
      <c r="EF8" s="10"/>
      <c r="EG8" s="10"/>
      <c r="EK8" s="10"/>
      <c r="EL8" s="10"/>
      <c r="EM8" s="10"/>
      <c r="EN8" s="10"/>
      <c r="ER8" s="10"/>
      <c r="ES8" s="10">
        <v>1</v>
      </c>
      <c r="ET8" s="10"/>
      <c r="EU8" s="10">
        <v>1</v>
      </c>
      <c r="EV8" s="18" t="s">
        <v>75</v>
      </c>
      <c r="EY8" s="10"/>
      <c r="EZ8" s="10"/>
      <c r="FA8" s="10"/>
      <c r="FB8" s="10"/>
    </row>
    <row r="9" spans="2:159" outlineLevel="1">
      <c r="B9" t="s">
        <v>28</v>
      </c>
      <c r="C9" t="s">
        <v>60</v>
      </c>
      <c r="E9" s="9"/>
      <c r="F9" s="16" t="s">
        <v>69</v>
      </c>
      <c r="G9" s="10">
        <v>0.05</v>
      </c>
      <c r="I9" s="9">
        <f t="shared" si="0"/>
        <v>10.5</v>
      </c>
      <c r="J9" s="11" cm="1">
        <f t="array" ref="J9">MAX(IF($N$3:$EH$3=$J$3,N9:EH9))</f>
        <v>0</v>
      </c>
      <c r="K9" s="11" cm="1">
        <f t="array" ref="K9">MAX(IF($N$3:$EH$3=$J$3,N9:EH9))</f>
        <v>0</v>
      </c>
      <c r="L9" s="9"/>
      <c r="O9" s="10"/>
      <c r="P9" s="10"/>
      <c r="Q9" s="10"/>
      <c r="R9" s="10"/>
      <c r="V9" s="10"/>
      <c r="W9" s="10"/>
      <c r="X9" s="10"/>
      <c r="Y9" s="10"/>
      <c r="AB9">
        <v>10.5</v>
      </c>
      <c r="AC9" s="10"/>
      <c r="AD9" s="10"/>
      <c r="AE9" s="10"/>
      <c r="AF9" s="10"/>
      <c r="AJ9" s="10"/>
      <c r="AK9" s="10">
        <v>0.5</v>
      </c>
      <c r="AL9" s="10"/>
      <c r="AM9" s="10">
        <v>0.5</v>
      </c>
      <c r="AQ9" s="10"/>
      <c r="AR9" s="10">
        <v>0.8</v>
      </c>
      <c r="AS9" s="10"/>
      <c r="AT9" s="10">
        <v>0.5</v>
      </c>
      <c r="AX9" s="10"/>
      <c r="AY9" s="10">
        <v>0.8</v>
      </c>
      <c r="AZ9" s="10"/>
      <c r="BA9" s="10">
        <v>0.8</v>
      </c>
      <c r="BE9" s="10"/>
      <c r="BF9" s="10">
        <v>0.8</v>
      </c>
      <c r="BG9" s="10"/>
      <c r="BH9" s="10">
        <v>0.8</v>
      </c>
      <c r="BL9" s="10"/>
      <c r="BM9" s="10">
        <v>1</v>
      </c>
      <c r="BN9" s="10"/>
      <c r="BO9" s="10">
        <v>1</v>
      </c>
      <c r="BS9" s="10"/>
      <c r="BT9" s="10"/>
      <c r="BU9" s="10"/>
      <c r="BV9" s="10"/>
      <c r="BZ9" s="10"/>
      <c r="CA9" s="10"/>
      <c r="CB9" s="10"/>
      <c r="CC9" s="10"/>
      <c r="CG9" s="10"/>
      <c r="CH9" s="10"/>
      <c r="CI9" s="10"/>
      <c r="CJ9" s="10"/>
      <c r="CN9" s="10"/>
      <c r="CO9" s="10">
        <v>1</v>
      </c>
      <c r="CP9" s="10"/>
      <c r="CQ9" s="10">
        <v>1</v>
      </c>
      <c r="CR9" s="18" t="s">
        <v>75</v>
      </c>
      <c r="CU9" s="10"/>
      <c r="CV9" s="10">
        <v>1</v>
      </c>
      <c r="CW9" s="10"/>
      <c r="CX9" s="10">
        <v>1</v>
      </c>
      <c r="DB9" s="10"/>
      <c r="DC9" s="10">
        <v>1</v>
      </c>
      <c r="DD9" s="10"/>
      <c r="DE9" s="10">
        <v>1</v>
      </c>
      <c r="DI9" s="10"/>
      <c r="DJ9" s="10">
        <v>1</v>
      </c>
      <c r="DK9" s="10"/>
      <c r="DL9" s="10">
        <v>1</v>
      </c>
      <c r="DP9" s="10"/>
      <c r="DQ9" s="10">
        <v>1</v>
      </c>
      <c r="DR9" s="10"/>
      <c r="DS9" s="10">
        <v>1</v>
      </c>
      <c r="DW9" s="10"/>
      <c r="DX9" s="10"/>
      <c r="DY9" s="10"/>
      <c r="DZ9" s="10"/>
      <c r="ED9" s="10"/>
      <c r="EE9" s="10"/>
      <c r="EF9" s="10"/>
      <c r="EG9" s="10"/>
      <c r="EK9" s="10"/>
      <c r="EL9" s="10"/>
      <c r="EM9" s="10"/>
      <c r="EN9" s="10"/>
      <c r="ER9" s="10"/>
      <c r="ES9" s="10">
        <v>1</v>
      </c>
      <c r="ET9" s="10"/>
      <c r="EU9" s="10">
        <v>1</v>
      </c>
      <c r="EV9" s="18" t="s">
        <v>75</v>
      </c>
      <c r="EY9" s="10"/>
      <c r="EZ9" s="10"/>
      <c r="FA9" s="10"/>
      <c r="FB9" s="10"/>
    </row>
    <row r="10" spans="2:159" outlineLevel="1">
      <c r="B10" t="s">
        <v>28</v>
      </c>
      <c r="C10" t="s">
        <v>60</v>
      </c>
      <c r="E10" s="9"/>
      <c r="F10" s="16" t="s">
        <v>72</v>
      </c>
      <c r="G10" s="10">
        <v>0.1</v>
      </c>
      <c r="I10" s="9">
        <f t="shared" si="0"/>
        <v>0</v>
      </c>
      <c r="J10" s="11" cm="1">
        <f t="array" ref="J10">MAX(IF($N$3:$EH$3=$J$3,N10:EH10))</f>
        <v>0</v>
      </c>
      <c r="K10" s="11" cm="1">
        <f t="array" ref="K10">MAX(IF($N$3:$EH$3=$J$3,N10:EH10))</f>
        <v>0</v>
      </c>
      <c r="L10" s="9"/>
      <c r="O10" s="10"/>
      <c r="P10" s="10"/>
      <c r="Q10" s="10"/>
      <c r="R10" s="10"/>
      <c r="V10" s="10"/>
      <c r="W10" s="10"/>
      <c r="X10" s="10"/>
      <c r="Y10" s="10"/>
      <c r="AC10" s="10"/>
      <c r="AD10" s="10"/>
      <c r="AE10" s="10"/>
      <c r="AF10" s="10"/>
      <c r="AJ10" s="10"/>
      <c r="AK10" s="10"/>
      <c r="AL10" s="10"/>
      <c r="AM10" s="10"/>
      <c r="AQ10" s="10"/>
      <c r="AR10" s="10">
        <v>0.5</v>
      </c>
      <c r="AS10" s="10"/>
      <c r="AT10" s="10">
        <v>0.5</v>
      </c>
      <c r="AX10" s="10"/>
      <c r="AY10" s="10">
        <v>0.8</v>
      </c>
      <c r="AZ10" s="10"/>
      <c r="BA10" s="10">
        <v>0.8</v>
      </c>
      <c r="BE10" s="10"/>
      <c r="BF10" s="10">
        <v>0.8</v>
      </c>
      <c r="BG10" s="10"/>
      <c r="BH10" s="10">
        <v>0.8</v>
      </c>
      <c r="BL10" s="10"/>
      <c r="BM10" s="10">
        <v>1</v>
      </c>
      <c r="BN10" s="10"/>
      <c r="BO10" s="10">
        <v>1</v>
      </c>
      <c r="BS10" s="10"/>
      <c r="BT10" s="10"/>
      <c r="BU10" s="10"/>
      <c r="BV10" s="10"/>
      <c r="BZ10" s="10"/>
      <c r="CA10" s="10"/>
      <c r="CB10" s="10"/>
      <c r="CC10" s="10"/>
      <c r="CG10" s="10"/>
      <c r="CH10" s="10"/>
      <c r="CI10" s="10"/>
      <c r="CJ10" s="10"/>
      <c r="CN10" s="10"/>
      <c r="CO10" s="10">
        <v>1</v>
      </c>
      <c r="CP10" s="10"/>
      <c r="CQ10" s="10">
        <v>1</v>
      </c>
      <c r="CR10" s="18" t="s">
        <v>75</v>
      </c>
      <c r="CU10" s="10"/>
      <c r="CV10" s="10">
        <v>1</v>
      </c>
      <c r="CW10" s="10"/>
      <c r="CX10" s="10">
        <v>1</v>
      </c>
      <c r="DB10" s="10"/>
      <c r="DC10" s="10">
        <v>1</v>
      </c>
      <c r="DD10" s="10"/>
      <c r="DE10" s="10">
        <v>1</v>
      </c>
      <c r="DI10" s="10"/>
      <c r="DJ10" s="10">
        <v>1</v>
      </c>
      <c r="DK10" s="10"/>
      <c r="DL10" s="10">
        <v>1</v>
      </c>
      <c r="DP10" s="10"/>
      <c r="DQ10" s="10">
        <v>1</v>
      </c>
      <c r="DR10" s="10"/>
      <c r="DS10" s="10">
        <v>1</v>
      </c>
      <c r="DW10" s="10"/>
      <c r="DX10" s="10"/>
      <c r="DY10" s="10"/>
      <c r="DZ10" s="10"/>
      <c r="ED10" s="10"/>
      <c r="EE10" s="10"/>
      <c r="EF10" s="10"/>
      <c r="EG10" s="10"/>
      <c r="EK10" s="10"/>
      <c r="EL10" s="10"/>
      <c r="EM10" s="10"/>
      <c r="EN10" s="10"/>
      <c r="ER10" s="10"/>
      <c r="ES10" s="10">
        <v>1</v>
      </c>
      <c r="ET10" s="10"/>
      <c r="EU10" s="10">
        <v>1</v>
      </c>
      <c r="EV10" s="18" t="s">
        <v>75</v>
      </c>
      <c r="EY10" s="10"/>
      <c r="EZ10" s="10"/>
      <c r="FA10" s="10"/>
      <c r="FB10" s="10"/>
    </row>
    <row r="11" spans="2:159" outlineLevel="1">
      <c r="B11" t="s">
        <v>28</v>
      </c>
      <c r="C11" t="s">
        <v>60</v>
      </c>
      <c r="E11" s="9"/>
      <c r="F11" s="16" t="s">
        <v>70</v>
      </c>
      <c r="G11" s="10">
        <v>0.1</v>
      </c>
      <c r="I11" s="9">
        <f t="shared" si="0"/>
        <v>0</v>
      </c>
      <c r="J11" s="11" cm="1">
        <f t="array" ref="J11">MAX(IF($N$3:$EH$3=$J$3,N11:EH11))</f>
        <v>0</v>
      </c>
      <c r="K11" s="11" cm="1">
        <f t="array" ref="K11">MAX(IF($N$3:$EH$3=$J$3,N11:EH11))</f>
        <v>0</v>
      </c>
      <c r="L11" s="9"/>
      <c r="O11" s="10"/>
      <c r="P11" s="10"/>
      <c r="Q11" s="10"/>
      <c r="R11" s="10"/>
      <c r="V11" s="10"/>
      <c r="W11" s="10"/>
      <c r="X11" s="10"/>
      <c r="Y11" s="10"/>
      <c r="AC11" s="10"/>
      <c r="AD11" s="10"/>
      <c r="AE11" s="10"/>
      <c r="AF11" s="10"/>
      <c r="AJ11" s="10"/>
      <c r="AK11" s="10"/>
      <c r="AL11" s="10"/>
      <c r="AM11" s="10"/>
      <c r="AQ11" s="10"/>
      <c r="AR11" s="10">
        <v>0.5</v>
      </c>
      <c r="AS11" s="10"/>
      <c r="AT11" s="10">
        <v>0.5</v>
      </c>
      <c r="AX11" s="10"/>
      <c r="AY11" s="10">
        <v>0.8</v>
      </c>
      <c r="AZ11" s="10"/>
      <c r="BA11" s="10">
        <v>0.8</v>
      </c>
      <c r="BE11" s="10"/>
      <c r="BF11" s="10">
        <v>0.8</v>
      </c>
      <c r="BG11" s="10"/>
      <c r="BH11" s="10">
        <v>0.8</v>
      </c>
      <c r="BL11" s="10"/>
      <c r="BM11" s="10">
        <v>1</v>
      </c>
      <c r="BN11" s="10"/>
      <c r="BO11" s="10">
        <v>1</v>
      </c>
      <c r="BS11" s="10"/>
      <c r="BT11" s="10"/>
      <c r="BU11" s="10"/>
      <c r="BV11" s="10"/>
      <c r="BZ11" s="10"/>
      <c r="CA11" s="10"/>
      <c r="CB11" s="10"/>
      <c r="CC11" s="10"/>
      <c r="CG11" s="10"/>
      <c r="CH11" s="10"/>
      <c r="CI11" s="10"/>
      <c r="CJ11" s="10"/>
      <c r="CN11" s="10"/>
      <c r="CO11" s="10">
        <v>1</v>
      </c>
      <c r="CP11" s="10"/>
      <c r="CQ11" s="10">
        <v>1</v>
      </c>
      <c r="CR11" s="18" t="s">
        <v>75</v>
      </c>
      <c r="CU11" s="10"/>
      <c r="CV11" s="10">
        <v>1</v>
      </c>
      <c r="CW11" s="10"/>
      <c r="CX11" s="10">
        <v>1</v>
      </c>
      <c r="DB11" s="10"/>
      <c r="DC11" s="10">
        <v>1</v>
      </c>
      <c r="DD11" s="10"/>
      <c r="DE11" s="10">
        <v>1</v>
      </c>
      <c r="DI11" s="10"/>
      <c r="DJ11" s="10">
        <v>1</v>
      </c>
      <c r="DK11" s="10"/>
      <c r="DL11" s="10">
        <v>1</v>
      </c>
      <c r="DP11" s="10"/>
      <c r="DQ11" s="10">
        <v>1</v>
      </c>
      <c r="DR11" s="10"/>
      <c r="DS11" s="10">
        <v>1</v>
      </c>
      <c r="DW11" s="10"/>
      <c r="DX11" s="10"/>
      <c r="DY11" s="10"/>
      <c r="DZ11" s="10"/>
      <c r="ED11" s="10"/>
      <c r="EE11" s="10"/>
      <c r="EF11" s="10"/>
      <c r="EG11" s="10"/>
      <c r="EK11" s="10"/>
      <c r="EL11" s="10"/>
      <c r="EM11" s="10"/>
      <c r="EN11" s="10"/>
      <c r="ER11" s="10"/>
      <c r="ES11" s="10">
        <v>1</v>
      </c>
      <c r="ET11" s="10"/>
      <c r="EU11" s="10">
        <v>1</v>
      </c>
      <c r="EV11" s="18" t="s">
        <v>75</v>
      </c>
      <c r="EY11" s="10"/>
      <c r="EZ11" s="10"/>
      <c r="FA11" s="10"/>
      <c r="FB11" s="10"/>
    </row>
    <row r="12" spans="2:159" outlineLevel="1">
      <c r="B12" t="s">
        <v>28</v>
      </c>
      <c r="C12" t="s">
        <v>60</v>
      </c>
      <c r="E12" s="9"/>
      <c r="F12" s="16" t="s">
        <v>71</v>
      </c>
      <c r="G12" s="10">
        <v>0.1</v>
      </c>
      <c r="I12" s="9">
        <f t="shared" si="0"/>
        <v>0</v>
      </c>
      <c r="J12" s="11" cm="1">
        <f t="array" ref="J12">MAX(IF($N$3:$EH$3=$J$3,N12:EH12))</f>
        <v>0</v>
      </c>
      <c r="K12" s="11" cm="1">
        <f t="array" ref="K12">MAX(IF($N$3:$EH$3=$J$3,N12:EH12))</f>
        <v>0</v>
      </c>
      <c r="L12" s="9"/>
      <c r="O12" s="10"/>
      <c r="P12" s="10"/>
      <c r="Q12" s="10"/>
      <c r="R12" s="10"/>
      <c r="V12" s="10"/>
      <c r="W12" s="10"/>
      <c r="X12" s="10"/>
      <c r="Y12" s="10"/>
      <c r="AC12" s="10"/>
      <c r="AD12" s="10"/>
      <c r="AE12" s="10"/>
      <c r="AF12" s="10"/>
      <c r="AJ12" s="10"/>
      <c r="AK12" s="10"/>
      <c r="AL12" s="10"/>
      <c r="AM12" s="10"/>
      <c r="AQ12" s="10"/>
      <c r="AR12" s="10">
        <v>0.5</v>
      </c>
      <c r="AS12" s="10"/>
      <c r="AT12" s="10">
        <v>0.5</v>
      </c>
      <c r="AX12" s="10"/>
      <c r="AY12" s="10">
        <v>0.8</v>
      </c>
      <c r="AZ12" s="10"/>
      <c r="BA12" s="10">
        <v>0.8</v>
      </c>
      <c r="BE12" s="10"/>
      <c r="BF12" s="10">
        <v>0.8</v>
      </c>
      <c r="BG12" s="10"/>
      <c r="BH12" s="10">
        <v>0.8</v>
      </c>
      <c r="BL12" s="10"/>
      <c r="BM12" s="10">
        <v>1</v>
      </c>
      <c r="BN12" s="10"/>
      <c r="BO12" s="10">
        <v>1</v>
      </c>
      <c r="BS12" s="10"/>
      <c r="BT12" s="10"/>
      <c r="BU12" s="10"/>
      <c r="BV12" s="10"/>
      <c r="BZ12" s="10"/>
      <c r="CA12" s="10"/>
      <c r="CB12" s="10"/>
      <c r="CC12" s="10"/>
      <c r="CG12" s="10"/>
      <c r="CH12" s="10"/>
      <c r="CI12" s="10"/>
      <c r="CJ12" s="10"/>
      <c r="CN12" s="10"/>
      <c r="CO12" s="10">
        <v>1</v>
      </c>
      <c r="CP12" s="10"/>
      <c r="CQ12" s="10">
        <v>1</v>
      </c>
      <c r="CR12" s="18" t="s">
        <v>75</v>
      </c>
      <c r="CU12" s="10"/>
      <c r="CV12" s="10">
        <v>1</v>
      </c>
      <c r="CW12" s="10"/>
      <c r="CX12" s="10">
        <v>1</v>
      </c>
      <c r="DB12" s="10"/>
      <c r="DC12" s="10">
        <v>1</v>
      </c>
      <c r="DD12" s="10"/>
      <c r="DE12" s="10">
        <v>1</v>
      </c>
      <c r="DI12" s="10"/>
      <c r="DJ12" s="10">
        <v>1</v>
      </c>
      <c r="DK12" s="10"/>
      <c r="DL12" s="10">
        <v>1</v>
      </c>
      <c r="DP12" s="10"/>
      <c r="DQ12" s="10">
        <v>1</v>
      </c>
      <c r="DR12" s="10"/>
      <c r="DS12" s="10">
        <v>1</v>
      </c>
      <c r="DW12" s="10"/>
      <c r="DX12" s="10"/>
      <c r="DY12" s="10"/>
      <c r="DZ12" s="10"/>
      <c r="ED12" s="10"/>
      <c r="EE12" s="10"/>
      <c r="EF12" s="10"/>
      <c r="EG12" s="10"/>
      <c r="EK12" s="10"/>
      <c r="EL12" s="10"/>
      <c r="EM12" s="10"/>
      <c r="EN12" s="10"/>
      <c r="ER12" s="10"/>
      <c r="ES12" s="10">
        <v>1</v>
      </c>
      <c r="ET12" s="10"/>
      <c r="EU12" s="10">
        <v>1</v>
      </c>
      <c r="EV12" s="18" t="s">
        <v>75</v>
      </c>
      <c r="EY12" s="10"/>
      <c r="EZ12" s="10"/>
      <c r="FA12" s="10"/>
      <c r="FB12" s="10"/>
    </row>
    <row r="13" spans="2:159" outlineLevel="1">
      <c r="B13" t="s">
        <v>28</v>
      </c>
      <c r="C13" t="s">
        <v>60</v>
      </c>
      <c r="E13" s="9"/>
      <c r="F13" s="16" t="s">
        <v>73</v>
      </c>
      <c r="G13" s="10">
        <v>0.1</v>
      </c>
      <c r="I13" s="9">
        <f t="shared" si="0"/>
        <v>0</v>
      </c>
      <c r="J13" s="11" cm="1">
        <f t="array" ref="J13">MAX(IF($N$3:$EH$3=$J$3,N13:EH13))</f>
        <v>0</v>
      </c>
      <c r="K13" s="11" cm="1">
        <f t="array" ref="K13">MAX(IF($N$3:$EH$3=$J$3,N13:EH13))</f>
        <v>0</v>
      </c>
      <c r="L13" s="9"/>
      <c r="O13" s="10"/>
      <c r="P13" s="10"/>
      <c r="Q13" s="10"/>
      <c r="R13" s="10"/>
      <c r="V13" s="10"/>
      <c r="W13" s="10"/>
      <c r="X13" s="10"/>
      <c r="Y13" s="10"/>
      <c r="AC13" s="10"/>
      <c r="AD13" s="10"/>
      <c r="AE13" s="10"/>
      <c r="AF13" s="10"/>
      <c r="AJ13" s="10"/>
      <c r="AK13" s="10"/>
      <c r="AL13" s="10"/>
      <c r="AM13" s="10"/>
      <c r="AQ13" s="10"/>
      <c r="AR13" s="10"/>
      <c r="AS13" s="10"/>
      <c r="AT13" s="10"/>
      <c r="AX13" s="10"/>
      <c r="AY13" s="10">
        <v>0.5</v>
      </c>
      <c r="AZ13" s="10"/>
      <c r="BA13" s="10">
        <v>0.5</v>
      </c>
      <c r="BE13" s="10"/>
      <c r="BF13" s="10">
        <v>0.8</v>
      </c>
      <c r="BG13" s="10"/>
      <c r="BH13" s="10">
        <v>0.8</v>
      </c>
      <c r="BL13" s="10"/>
      <c r="BM13" s="10">
        <v>1</v>
      </c>
      <c r="BN13" s="10"/>
      <c r="BO13" s="10">
        <v>1</v>
      </c>
      <c r="BS13" s="10"/>
      <c r="BT13" s="10"/>
      <c r="BU13" s="10"/>
      <c r="BV13" s="10"/>
      <c r="BZ13" s="10"/>
      <c r="CA13" s="10"/>
      <c r="CB13" s="10"/>
      <c r="CC13" s="10"/>
      <c r="CG13" s="10"/>
      <c r="CH13" s="10"/>
      <c r="CI13" s="10"/>
      <c r="CJ13" s="10"/>
      <c r="CN13" s="10"/>
      <c r="CO13" s="10">
        <v>1</v>
      </c>
      <c r="CP13" s="10"/>
      <c r="CQ13" s="10">
        <v>1</v>
      </c>
      <c r="CR13" s="18" t="s">
        <v>75</v>
      </c>
      <c r="CU13" s="10"/>
      <c r="CV13" s="10">
        <v>1</v>
      </c>
      <c r="CW13" s="10"/>
      <c r="CX13" s="10">
        <v>1</v>
      </c>
      <c r="DB13" s="10"/>
      <c r="DC13" s="10">
        <v>1</v>
      </c>
      <c r="DD13" s="10"/>
      <c r="DE13" s="10">
        <v>1</v>
      </c>
      <c r="DI13" s="10"/>
      <c r="DJ13" s="10">
        <v>1</v>
      </c>
      <c r="DK13" s="10"/>
      <c r="DL13" s="10">
        <v>1</v>
      </c>
      <c r="DP13" s="10"/>
      <c r="DQ13" s="10">
        <v>1</v>
      </c>
      <c r="DR13" s="10"/>
      <c r="DS13" s="10">
        <v>1</v>
      </c>
      <c r="DW13" s="10"/>
      <c r="DX13" s="10"/>
      <c r="DY13" s="10"/>
      <c r="DZ13" s="10"/>
      <c r="ED13" s="10"/>
      <c r="EE13" s="10"/>
      <c r="EF13" s="10"/>
      <c r="EG13" s="10"/>
      <c r="EK13" s="10"/>
      <c r="EL13" s="10"/>
      <c r="EM13" s="10"/>
      <c r="EN13" s="10"/>
      <c r="ER13" s="10"/>
      <c r="ES13" s="10">
        <v>1</v>
      </c>
      <c r="ET13" s="10"/>
      <c r="EU13" s="10">
        <v>1</v>
      </c>
      <c r="EV13" s="18" t="s">
        <v>75</v>
      </c>
      <c r="EY13" s="10"/>
      <c r="EZ13" s="10"/>
      <c r="FA13" s="10"/>
      <c r="FB13" s="10"/>
    </row>
    <row r="14" spans="2:159" outlineLevel="1">
      <c r="B14" t="s">
        <v>28</v>
      </c>
      <c r="C14" t="s">
        <v>60</v>
      </c>
      <c r="E14" s="9"/>
      <c r="F14" s="16" t="s">
        <v>84</v>
      </c>
      <c r="G14" s="10">
        <v>0.1</v>
      </c>
      <c r="I14" s="9">
        <f t="shared" si="0"/>
        <v>0</v>
      </c>
      <c r="J14" s="11" cm="1">
        <f t="array" ref="J14">MAX(IF($N$3:$EH$3=$J$3,N14:EH14))</f>
        <v>0</v>
      </c>
      <c r="K14" s="11" cm="1">
        <f t="array" ref="K14">MAX(IF($N$3:$EH$3=$J$3,N14:EH14))</f>
        <v>0</v>
      </c>
      <c r="L14" s="9"/>
      <c r="O14" s="10"/>
      <c r="P14" s="10"/>
      <c r="Q14" s="10"/>
      <c r="R14" s="10"/>
      <c r="V14" s="10"/>
      <c r="W14" s="10"/>
      <c r="X14" s="10"/>
      <c r="Y14" s="10"/>
      <c r="AC14" s="10"/>
      <c r="AD14" s="10"/>
      <c r="AE14" s="10"/>
      <c r="AF14" s="10"/>
      <c r="AJ14" s="10"/>
      <c r="AK14" s="10"/>
      <c r="AL14" s="10"/>
      <c r="AM14" s="10"/>
      <c r="AQ14" s="10"/>
      <c r="AR14" s="10"/>
      <c r="AS14" s="10"/>
      <c r="AT14" s="10"/>
      <c r="AX14" s="10"/>
      <c r="AY14" s="10"/>
      <c r="AZ14" s="10"/>
      <c r="BA14" s="10"/>
      <c r="BE14" s="10"/>
      <c r="BF14" s="10"/>
      <c r="BG14" s="10"/>
      <c r="BH14" s="10"/>
      <c r="BL14" s="10"/>
      <c r="BM14" s="10"/>
      <c r="BN14" s="10"/>
      <c r="BO14" s="10"/>
      <c r="BS14" s="10"/>
      <c r="BT14" s="10"/>
      <c r="BU14" s="10"/>
      <c r="BV14" s="10"/>
      <c r="BZ14" s="10"/>
      <c r="CA14" s="10"/>
      <c r="CB14" s="10"/>
      <c r="CC14" s="10"/>
      <c r="CG14" s="10"/>
      <c r="CH14" s="10"/>
      <c r="CI14" s="10"/>
      <c r="CJ14" s="10"/>
      <c r="CN14" s="10"/>
      <c r="CO14" s="10"/>
      <c r="CP14" s="10"/>
      <c r="CQ14" s="10"/>
      <c r="CR14" s="18" t="s">
        <v>116</v>
      </c>
      <c r="CU14" s="10"/>
      <c r="CV14" s="10">
        <v>0.5</v>
      </c>
      <c r="CW14" s="10"/>
      <c r="CX14" s="10">
        <v>0.5</v>
      </c>
      <c r="DB14" s="10"/>
      <c r="DC14" s="10">
        <v>0.8</v>
      </c>
      <c r="DD14" s="10"/>
      <c r="DE14" s="10">
        <v>0.8</v>
      </c>
      <c r="DI14" s="10"/>
      <c r="DJ14" s="10">
        <v>1</v>
      </c>
      <c r="DK14" s="10"/>
      <c r="DL14" s="10">
        <v>1</v>
      </c>
      <c r="DP14" s="10"/>
      <c r="DQ14" s="10">
        <v>1</v>
      </c>
      <c r="DR14" s="10"/>
      <c r="DS14" s="10">
        <v>1</v>
      </c>
      <c r="DW14" s="10"/>
      <c r="DX14" s="10"/>
      <c r="DY14" s="10"/>
      <c r="DZ14" s="10"/>
      <c r="ED14" s="10"/>
      <c r="EE14" s="10"/>
      <c r="EF14" s="10"/>
      <c r="EG14" s="10"/>
      <c r="EK14" s="10"/>
      <c r="EL14" s="10"/>
      <c r="EM14" s="10"/>
      <c r="EN14" s="10"/>
      <c r="ER14" s="10"/>
      <c r="ES14" s="10">
        <v>1</v>
      </c>
      <c r="ET14" s="10"/>
      <c r="EU14" s="10">
        <v>1</v>
      </c>
      <c r="EV14" s="18" t="s">
        <v>75</v>
      </c>
      <c r="EY14" s="10"/>
      <c r="EZ14" s="10"/>
      <c r="FA14" s="10"/>
      <c r="FB14" s="10"/>
    </row>
    <row r="15" spans="2:159" outlineLevel="1">
      <c r="B15" t="s">
        <v>28</v>
      </c>
      <c r="C15" t="s">
        <v>60</v>
      </c>
      <c r="E15" s="9"/>
      <c r="F15" s="16" t="s">
        <v>85</v>
      </c>
      <c r="G15" s="10">
        <v>0.1</v>
      </c>
      <c r="I15" s="9">
        <f t="shared" si="0"/>
        <v>0</v>
      </c>
      <c r="J15" s="11" cm="1">
        <f t="array" ref="J15">MAX(IF($N$3:$EH$3=$J$3,N15:EH15))</f>
        <v>0</v>
      </c>
      <c r="K15" s="11" cm="1">
        <f t="array" ref="K15">MAX(IF($N$3:$EH$3=$J$3,N15:EH15))</f>
        <v>0</v>
      </c>
      <c r="L15" s="9"/>
      <c r="O15" s="10"/>
      <c r="P15" s="10"/>
      <c r="Q15" s="10"/>
      <c r="R15" s="10"/>
      <c r="V15" s="10"/>
      <c r="W15" s="10"/>
      <c r="X15" s="10"/>
      <c r="Y15" s="10"/>
      <c r="AC15" s="10"/>
      <c r="AD15" s="10"/>
      <c r="AE15" s="10"/>
      <c r="AF15" s="10"/>
      <c r="AJ15" s="10"/>
      <c r="AK15" s="10"/>
      <c r="AL15" s="10"/>
      <c r="AM15" s="10"/>
      <c r="AQ15" s="10"/>
      <c r="AR15" s="10"/>
      <c r="AS15" s="10"/>
      <c r="AT15" s="10"/>
      <c r="AX15" s="10"/>
      <c r="AY15" s="10"/>
      <c r="AZ15" s="10"/>
      <c r="BA15" s="10"/>
      <c r="BE15" s="10"/>
      <c r="BF15" s="10"/>
      <c r="BG15" s="10"/>
      <c r="BH15" s="10"/>
      <c r="BL15" s="10"/>
      <c r="BM15" s="10"/>
      <c r="BN15" s="10"/>
      <c r="BO15" s="10"/>
      <c r="BS15" s="10"/>
      <c r="BT15" s="10"/>
      <c r="BU15" s="10"/>
      <c r="BV15" s="10"/>
      <c r="BZ15" s="10"/>
      <c r="CA15" s="10"/>
      <c r="CB15" s="10"/>
      <c r="CC15" s="10"/>
      <c r="CG15" s="10"/>
      <c r="CH15" s="10"/>
      <c r="CI15" s="10"/>
      <c r="CJ15" s="10"/>
      <c r="CN15" s="10"/>
      <c r="CO15" s="10"/>
      <c r="CP15" s="10"/>
      <c r="CQ15" s="10"/>
      <c r="CR15" s="18" t="s">
        <v>116</v>
      </c>
      <c r="CU15" s="10"/>
      <c r="CV15" s="10">
        <v>0.5</v>
      </c>
      <c r="CW15" s="10"/>
      <c r="CX15" s="10">
        <v>0.5</v>
      </c>
      <c r="DB15" s="10"/>
      <c r="DC15" s="10">
        <v>0.8</v>
      </c>
      <c r="DD15" s="10"/>
      <c r="DE15" s="10">
        <v>0.8</v>
      </c>
      <c r="DI15" s="10"/>
      <c r="DJ15" s="10">
        <v>0.8</v>
      </c>
      <c r="DK15" s="10"/>
      <c r="DL15" s="10">
        <v>0.8</v>
      </c>
      <c r="DP15" s="10"/>
      <c r="DQ15" s="10">
        <v>1</v>
      </c>
      <c r="DR15" s="10"/>
      <c r="DS15" s="10">
        <v>1</v>
      </c>
      <c r="DW15" s="10"/>
      <c r="DX15" s="10"/>
      <c r="DY15" s="10"/>
      <c r="DZ15" s="10"/>
      <c r="ED15" s="10"/>
      <c r="EE15" s="10"/>
      <c r="EF15" s="10"/>
      <c r="EG15" s="10"/>
      <c r="EK15" s="10"/>
      <c r="EL15" s="10"/>
      <c r="EM15" s="10"/>
      <c r="EN15" s="10"/>
      <c r="ER15" s="10"/>
      <c r="ES15" s="10">
        <v>1</v>
      </c>
      <c r="ET15" s="10"/>
      <c r="EU15" s="10">
        <v>1</v>
      </c>
      <c r="EV15" s="18" t="s">
        <v>75</v>
      </c>
      <c r="EY15" s="10"/>
      <c r="EZ15" s="10"/>
      <c r="FA15" s="10"/>
      <c r="FB15" s="10"/>
    </row>
    <row r="16" spans="2:159" outlineLevel="1">
      <c r="B16" t="s">
        <v>28</v>
      </c>
      <c r="C16" t="s">
        <v>60</v>
      </c>
      <c r="E16" s="9"/>
      <c r="F16" s="16" t="s">
        <v>86</v>
      </c>
      <c r="G16" s="10">
        <v>0.1</v>
      </c>
      <c r="I16" s="9">
        <f>+SUMIF($N$3:$ZZ$3,I$3,$N16:$ZZ16)</f>
        <v>0</v>
      </c>
      <c r="J16" s="11" cm="1">
        <f t="array" ref="J16">MAX(IF($N$3:$EH$3=$J$3,N16:EH16))</f>
        <v>0</v>
      </c>
      <c r="K16" s="11" cm="1">
        <f t="array" ref="K16">MAX(IF($N$3:$EH$3=$J$3,N16:EH16))</f>
        <v>0</v>
      </c>
      <c r="L16" s="9"/>
      <c r="O16" s="10"/>
      <c r="P16" s="10"/>
      <c r="Q16" s="10"/>
      <c r="R16" s="10"/>
      <c r="V16" s="10"/>
      <c r="W16" s="10"/>
      <c r="X16" s="10"/>
      <c r="Y16" s="10"/>
      <c r="AC16" s="10"/>
      <c r="AD16" s="10"/>
      <c r="AE16" s="10"/>
      <c r="AF16" s="10"/>
      <c r="AJ16" s="10"/>
      <c r="AK16" s="10"/>
      <c r="AL16" s="10"/>
      <c r="AM16" s="10"/>
      <c r="AQ16" s="10"/>
      <c r="AR16" s="10"/>
      <c r="AS16" s="10"/>
      <c r="AT16" s="10"/>
      <c r="AX16" s="10"/>
      <c r="AY16" s="10"/>
      <c r="AZ16" s="10"/>
      <c r="BA16" s="10"/>
      <c r="BE16" s="10"/>
      <c r="BF16" s="10"/>
      <c r="BG16" s="10"/>
      <c r="BH16" s="10"/>
      <c r="BL16" s="10"/>
      <c r="BM16" s="10"/>
      <c r="BN16" s="10"/>
      <c r="BO16" s="10"/>
      <c r="BS16" s="10"/>
      <c r="BT16" s="10"/>
      <c r="BU16" s="10"/>
      <c r="BV16" s="10"/>
      <c r="BZ16" s="10"/>
      <c r="CA16" s="10"/>
      <c r="CB16" s="10"/>
      <c r="CC16" s="10"/>
      <c r="CG16" s="10"/>
      <c r="CH16" s="10"/>
      <c r="CI16" s="10"/>
      <c r="CJ16" s="10"/>
      <c r="CN16" s="10"/>
      <c r="CO16" s="10"/>
      <c r="CP16" s="10"/>
      <c r="CQ16" s="10"/>
      <c r="CR16" s="18" t="s">
        <v>116</v>
      </c>
      <c r="CU16" s="10"/>
      <c r="CV16" s="10">
        <v>0.5</v>
      </c>
      <c r="CW16" s="10"/>
      <c r="CX16" s="10">
        <v>0.5</v>
      </c>
      <c r="DB16" s="10"/>
      <c r="DC16" s="10">
        <v>0.5</v>
      </c>
      <c r="DD16" s="10"/>
      <c r="DE16" s="10">
        <v>0.5</v>
      </c>
      <c r="DI16" s="10"/>
      <c r="DJ16" s="10">
        <v>0.8</v>
      </c>
      <c r="DK16" s="10"/>
      <c r="DL16" s="10">
        <v>0.8</v>
      </c>
      <c r="DP16" s="10"/>
      <c r="DQ16" s="10">
        <v>1</v>
      </c>
      <c r="DR16" s="10"/>
      <c r="DS16" s="10">
        <v>1</v>
      </c>
      <c r="DW16" s="10"/>
      <c r="DX16" s="10"/>
      <c r="DY16" s="10"/>
      <c r="DZ16" s="10"/>
      <c r="ED16" s="10"/>
      <c r="EE16" s="10"/>
      <c r="EF16" s="10"/>
      <c r="EG16" s="10"/>
      <c r="EK16" s="10"/>
      <c r="EL16" s="10"/>
      <c r="EM16" s="10"/>
      <c r="EN16" s="10"/>
      <c r="ER16" s="10"/>
      <c r="ES16" s="10">
        <v>1</v>
      </c>
      <c r="ET16" s="10"/>
      <c r="EU16" s="10">
        <v>1</v>
      </c>
      <c r="EV16" s="18" t="s">
        <v>75</v>
      </c>
      <c r="EY16" s="10"/>
      <c r="EZ16" s="10"/>
      <c r="FA16" s="10"/>
      <c r="FB16" s="10"/>
    </row>
    <row r="17" spans="2:158" outlineLevel="1">
      <c r="B17" t="s">
        <v>28</v>
      </c>
      <c r="C17" t="s">
        <v>60</v>
      </c>
      <c r="E17" s="9"/>
      <c r="F17" s="16" t="s">
        <v>87</v>
      </c>
      <c r="G17" s="10">
        <v>0.1</v>
      </c>
      <c r="I17" s="9">
        <f>+SUMIF($N$3:$ZZ$3,I$3,$N17:$ZZ17)</f>
        <v>0</v>
      </c>
      <c r="J17" s="11" cm="1">
        <f t="array" ref="J17">MAX(IF($N$3:$EH$3=$J$3,N17:EH17))</f>
        <v>0</v>
      </c>
      <c r="K17" s="11" cm="1">
        <f t="array" ref="K17">MAX(IF($N$3:$EH$3=$J$3,N17:EH17))</f>
        <v>0</v>
      </c>
      <c r="L17" s="9"/>
      <c r="O17" s="10"/>
      <c r="P17" s="10"/>
      <c r="Q17" s="10"/>
      <c r="R17" s="10"/>
      <c r="V17" s="10"/>
      <c r="W17" s="10"/>
      <c r="X17" s="10"/>
      <c r="Y17" s="10"/>
      <c r="AC17" s="10"/>
      <c r="AD17" s="10"/>
      <c r="AE17" s="10"/>
      <c r="AF17" s="10"/>
      <c r="AJ17" s="10"/>
      <c r="AK17" s="10"/>
      <c r="AL17" s="10"/>
      <c r="AM17" s="10"/>
      <c r="AQ17" s="10"/>
      <c r="AR17" s="10"/>
      <c r="AS17" s="10"/>
      <c r="AT17" s="10"/>
      <c r="AX17" s="10"/>
      <c r="AY17" s="10"/>
      <c r="AZ17" s="10"/>
      <c r="BA17" s="10"/>
      <c r="BE17" s="10"/>
      <c r="BF17" s="10"/>
      <c r="BG17" s="10"/>
      <c r="BH17" s="10"/>
      <c r="BL17" s="10"/>
      <c r="BM17" s="10"/>
      <c r="BN17" s="10"/>
      <c r="BO17" s="10"/>
      <c r="BS17" s="10"/>
      <c r="BT17" s="10"/>
      <c r="BU17" s="10"/>
      <c r="BV17" s="10"/>
      <c r="BZ17" s="10"/>
      <c r="CA17" s="10"/>
      <c r="CB17" s="10"/>
      <c r="CC17" s="10"/>
      <c r="CG17" s="10"/>
      <c r="CH17" s="10"/>
      <c r="CI17" s="10"/>
      <c r="CJ17" s="10"/>
      <c r="CN17" s="10"/>
      <c r="CO17" s="10"/>
      <c r="CP17" s="10"/>
      <c r="CQ17" s="10"/>
      <c r="CR17" s="18" t="s">
        <v>116</v>
      </c>
      <c r="CU17" s="10"/>
      <c r="CV17" s="10"/>
      <c r="CW17" s="10"/>
      <c r="CX17" s="10"/>
      <c r="DB17" s="10"/>
      <c r="DC17" s="10">
        <v>0.5</v>
      </c>
      <c r="DD17" s="10"/>
      <c r="DE17" s="10">
        <v>0.5</v>
      </c>
      <c r="DI17" s="10"/>
      <c r="DJ17" s="10">
        <v>0.8</v>
      </c>
      <c r="DK17" s="10"/>
      <c r="DL17" s="10">
        <v>0.8</v>
      </c>
      <c r="DP17" s="10"/>
      <c r="DQ17" s="10">
        <v>1</v>
      </c>
      <c r="DR17" s="10"/>
      <c r="DS17" s="10">
        <v>1</v>
      </c>
      <c r="DW17" s="10"/>
      <c r="DX17" s="10"/>
      <c r="DY17" s="10"/>
      <c r="DZ17" s="10"/>
      <c r="ED17" s="10"/>
      <c r="EE17" s="10"/>
      <c r="EF17" s="10"/>
      <c r="EG17" s="10"/>
      <c r="EK17" s="10"/>
      <c r="EL17" s="10"/>
      <c r="EM17" s="10"/>
      <c r="EN17" s="10"/>
      <c r="ER17" s="10"/>
      <c r="ES17" s="10">
        <v>1</v>
      </c>
      <c r="ET17" s="10"/>
      <c r="EU17" s="10">
        <v>1</v>
      </c>
      <c r="EV17" s="18" t="s">
        <v>75</v>
      </c>
      <c r="EY17" s="10"/>
      <c r="EZ17" s="10"/>
      <c r="FA17" s="10"/>
      <c r="FB17" s="10"/>
    </row>
    <row r="18" spans="2:158">
      <c r="FB18" s="10"/>
    </row>
    <row r="19" spans="2:158">
      <c r="B19" t="s">
        <v>27</v>
      </c>
      <c r="C19" t="s">
        <v>61</v>
      </c>
      <c r="D19" s="17">
        <v>45331</v>
      </c>
      <c r="E19" s="9">
        <v>5</v>
      </c>
      <c r="G19" s="10">
        <f>+SUM(G20:G25)</f>
        <v>1</v>
      </c>
      <c r="I19" s="12">
        <f>+SUM(I20:I25)</f>
        <v>7</v>
      </c>
      <c r="J19" s="11">
        <f>+SUMPRODUCT(G20:G25,J20:J25)</f>
        <v>0</v>
      </c>
      <c r="K19" s="11">
        <f>+SUMPRODUCT(G20:G25,K20:K25)</f>
        <v>0</v>
      </c>
      <c r="L19" s="9"/>
      <c r="N19" s="12">
        <f>+SUM(N20:N25)</f>
        <v>0</v>
      </c>
      <c r="U19" s="12">
        <f>+SUM(U20:U25)</f>
        <v>0</v>
      </c>
      <c r="AB19" s="12">
        <f>+SUM(AB20:AB25)</f>
        <v>7</v>
      </c>
      <c r="AI19" s="12">
        <f>+SUM(AI20:AI25)</f>
        <v>0</v>
      </c>
      <c r="AP19" s="12">
        <f>+SUM(AP20:AP25)</f>
        <v>0</v>
      </c>
      <c r="AW19" s="12">
        <f>+SUM(AW20:AW25)</f>
        <v>0</v>
      </c>
      <c r="BD19" s="12">
        <f>+SUM(BD20:BD25)</f>
        <v>0</v>
      </c>
      <c r="BK19" s="12">
        <f>+SUM(BK20:BK25)</f>
        <v>0</v>
      </c>
      <c r="BR19" s="12">
        <f>+SUM(BR20:BR25)</f>
        <v>0</v>
      </c>
      <c r="BY19" s="12">
        <f>+SUM(BY20:BY25)</f>
        <v>0</v>
      </c>
      <c r="CF19" s="12">
        <f>+SUM(CF20:CF25)</f>
        <v>0</v>
      </c>
      <c r="CM19" s="12">
        <f>+SUM(CM20:CM25)</f>
        <v>0</v>
      </c>
      <c r="CT19" s="12">
        <f>+SUM(CT20:CT25)</f>
        <v>0</v>
      </c>
      <c r="DA19" s="12">
        <f>+SUM(DA20:DA25)</f>
        <v>0</v>
      </c>
      <c r="DH19" s="12">
        <f>+SUM(DH20:DH25)</f>
        <v>0</v>
      </c>
      <c r="DO19" s="12">
        <f>+SUM(DO20:DO25)</f>
        <v>0</v>
      </c>
      <c r="DV19" s="12">
        <f>+SUM(DV20:DV25)</f>
        <v>0</v>
      </c>
      <c r="EC19" s="12"/>
      <c r="EJ19" s="12"/>
      <c r="EQ19" s="12"/>
      <c r="EX19" s="12"/>
      <c r="FB19" s="10"/>
    </row>
    <row r="20" spans="2:158" outlineLevel="1">
      <c r="B20" t="s">
        <v>28</v>
      </c>
      <c r="C20" t="s">
        <v>61</v>
      </c>
      <c r="E20" s="9"/>
      <c r="G20" s="10">
        <v>0.1</v>
      </c>
      <c r="I20" s="9">
        <f t="shared" ref="I20:I25" si="1">+SUMIF($N$3:$ZZ$3,I$3,$N20:$ZZ20)</f>
        <v>4</v>
      </c>
      <c r="J20" s="11" cm="1">
        <f t="array" ref="J20">MAX(IF($N$3:$EH$3=$J$3,N20:EH20))</f>
        <v>0</v>
      </c>
      <c r="K20" s="11" cm="1">
        <f t="array" ref="K20">MAX(IF($N$3:$EH$3=$J$3,N20:EH20))</f>
        <v>0</v>
      </c>
      <c r="L20" s="9"/>
      <c r="O20" s="10"/>
      <c r="P20" s="10"/>
      <c r="Q20" s="10"/>
      <c r="R20" s="10"/>
      <c r="V20" s="10"/>
      <c r="W20" s="10"/>
      <c r="X20" s="10"/>
      <c r="Y20" s="10"/>
      <c r="AB20">
        <v>4</v>
      </c>
      <c r="AC20" s="10"/>
      <c r="AD20" s="10"/>
      <c r="AE20" s="10"/>
      <c r="AF20" s="10"/>
      <c r="AJ20" s="10"/>
      <c r="AK20" s="10"/>
      <c r="AL20" s="10"/>
      <c r="AM20" s="10"/>
      <c r="AQ20" s="10"/>
      <c r="AR20" s="10"/>
      <c r="AS20" s="10"/>
      <c r="AT20" s="10"/>
      <c r="AX20" s="10"/>
      <c r="AY20" s="10"/>
      <c r="AZ20" s="10"/>
      <c r="BA20" s="10"/>
      <c r="BE20" s="10"/>
      <c r="BF20" s="10"/>
      <c r="BG20" s="10"/>
      <c r="BH20" s="10"/>
      <c r="BL20" s="10"/>
      <c r="BM20" s="10"/>
      <c r="BN20" s="10"/>
      <c r="BO20" s="10"/>
      <c r="BS20" s="10"/>
      <c r="BT20" s="10"/>
      <c r="BU20" s="10"/>
      <c r="BV20" s="10"/>
      <c r="BZ20" s="10"/>
      <c r="CA20" s="10"/>
      <c r="CB20" s="10"/>
      <c r="CC20" s="10"/>
      <c r="CG20" s="10"/>
      <c r="CH20" s="10"/>
      <c r="CI20" s="10"/>
      <c r="CJ20" s="10"/>
      <c r="CN20" s="10"/>
      <c r="CO20" s="10">
        <v>1</v>
      </c>
      <c r="CP20" s="10"/>
      <c r="CQ20" s="10">
        <v>1</v>
      </c>
      <c r="CR20" s="19" t="s">
        <v>115</v>
      </c>
      <c r="CU20" s="10"/>
      <c r="CV20" s="10"/>
      <c r="CW20" s="10"/>
      <c r="CX20" s="10"/>
      <c r="DB20" s="10"/>
      <c r="DC20" s="10"/>
      <c r="DD20" s="10"/>
      <c r="DE20" s="10"/>
      <c r="DI20" s="10"/>
      <c r="DJ20" s="10"/>
      <c r="DK20" s="10"/>
      <c r="DL20" s="10"/>
      <c r="DP20" s="10"/>
      <c r="DQ20" s="10">
        <v>1</v>
      </c>
      <c r="DR20" s="10"/>
      <c r="DS20" s="10">
        <v>1</v>
      </c>
      <c r="DT20" s="18" t="s">
        <v>75</v>
      </c>
      <c r="DW20" s="10"/>
      <c r="DX20" s="10"/>
      <c r="DY20" s="10"/>
      <c r="DZ20" s="10"/>
      <c r="ED20" s="10"/>
      <c r="EE20" s="10"/>
      <c r="EF20" s="10"/>
      <c r="EG20" s="10"/>
      <c r="EK20" s="10"/>
      <c r="EL20" s="10"/>
      <c r="EM20" s="10"/>
      <c r="EN20" s="10"/>
      <c r="ER20" s="10"/>
      <c r="ES20" s="10"/>
      <c r="ET20" s="10"/>
      <c r="EU20" s="10"/>
      <c r="EY20" s="10"/>
      <c r="EZ20" s="10"/>
      <c r="FA20" s="10"/>
      <c r="FB20" s="10"/>
    </row>
    <row r="21" spans="2:158" outlineLevel="1">
      <c r="B21" t="s">
        <v>28</v>
      </c>
      <c r="C21" t="s">
        <v>61</v>
      </c>
      <c r="E21" s="9"/>
      <c r="G21" s="10">
        <v>0.2</v>
      </c>
      <c r="I21" s="9">
        <f t="shared" si="1"/>
        <v>3</v>
      </c>
      <c r="J21" s="11" cm="1">
        <f t="array" ref="J21">MAX(IF($N$3:$EH$3=$J$3,N21:EH21))</f>
        <v>0</v>
      </c>
      <c r="K21" s="11" cm="1">
        <f t="array" ref="K21">MAX(IF($N$3:$EH$3=$J$3,N21:EH21))</f>
        <v>0</v>
      </c>
      <c r="L21" s="9"/>
      <c r="O21" s="10"/>
      <c r="P21" s="10"/>
      <c r="Q21" s="10"/>
      <c r="R21" s="10"/>
      <c r="V21" s="10"/>
      <c r="W21" s="10"/>
      <c r="X21" s="10"/>
      <c r="Y21" s="10"/>
      <c r="AB21">
        <v>3</v>
      </c>
      <c r="AC21" s="10"/>
      <c r="AD21" s="10"/>
      <c r="AE21" s="10"/>
      <c r="AF21" s="10"/>
      <c r="AJ21" s="10"/>
      <c r="AK21" s="10"/>
      <c r="AL21" s="10"/>
      <c r="AM21" s="10"/>
      <c r="AQ21" s="10"/>
      <c r="AR21" s="10"/>
      <c r="AS21" s="10"/>
      <c r="AT21" s="10"/>
      <c r="AX21" s="10"/>
      <c r="AY21" s="10"/>
      <c r="AZ21" s="10"/>
      <c r="BA21" s="10"/>
      <c r="BE21" s="10"/>
      <c r="BF21" s="10"/>
      <c r="BG21" s="10"/>
      <c r="BH21" s="10"/>
      <c r="BL21" s="10"/>
      <c r="BM21" s="10"/>
      <c r="BN21" s="10"/>
      <c r="BO21" s="10"/>
      <c r="BS21" s="10"/>
      <c r="BT21" s="10"/>
      <c r="BU21" s="10"/>
      <c r="BV21" s="10"/>
      <c r="BZ21" s="10"/>
      <c r="CA21" s="10"/>
      <c r="CB21" s="10"/>
      <c r="CC21" s="10"/>
      <c r="CG21" s="10"/>
      <c r="CH21" s="10"/>
      <c r="CI21" s="10"/>
      <c r="CJ21" s="10"/>
      <c r="CN21" s="10"/>
      <c r="CO21" s="10">
        <v>1</v>
      </c>
      <c r="CP21" s="10"/>
      <c r="CQ21" s="10">
        <v>1</v>
      </c>
      <c r="CU21" s="10"/>
      <c r="CV21" s="10"/>
      <c r="CW21" s="10"/>
      <c r="CX21" s="10"/>
      <c r="DB21" s="10"/>
      <c r="DC21" s="10"/>
      <c r="DD21" s="10"/>
      <c r="DE21" s="10"/>
      <c r="DI21" s="10"/>
      <c r="DJ21" s="10"/>
      <c r="DK21" s="10"/>
      <c r="DL21" s="10"/>
      <c r="DP21" s="10"/>
      <c r="DQ21" s="10">
        <v>1</v>
      </c>
      <c r="DR21" s="10"/>
      <c r="DS21" s="10">
        <v>1</v>
      </c>
      <c r="DT21" s="18" t="s">
        <v>75</v>
      </c>
      <c r="DW21" s="10"/>
      <c r="DX21" s="10"/>
      <c r="DY21" s="10"/>
      <c r="DZ21" s="10"/>
      <c r="ED21" s="10"/>
      <c r="EE21" s="10"/>
      <c r="EF21" s="10"/>
      <c r="EG21" s="10"/>
      <c r="EK21" s="10"/>
      <c r="EL21" s="10"/>
      <c r="EM21" s="10"/>
      <c r="EN21" s="10"/>
      <c r="ER21" s="10"/>
      <c r="ES21" s="10"/>
      <c r="ET21" s="10"/>
      <c r="EU21" s="10"/>
      <c r="EY21" s="10"/>
      <c r="EZ21" s="10"/>
      <c r="FA21" s="10"/>
      <c r="FB21" s="10"/>
    </row>
    <row r="22" spans="2:158" outlineLevel="1">
      <c r="B22" t="s">
        <v>28</v>
      </c>
      <c r="C22" t="s">
        <v>61</v>
      </c>
      <c r="E22" s="9"/>
      <c r="G22" s="10">
        <v>0.15</v>
      </c>
      <c r="I22" s="9">
        <f t="shared" si="1"/>
        <v>0</v>
      </c>
      <c r="J22" s="11" cm="1">
        <f t="array" ref="J22">MAX(IF($N$3:$EH$3=$J$3,N22:EH22))</f>
        <v>0</v>
      </c>
      <c r="K22" s="11" cm="1">
        <f t="array" ref="K22">MAX(IF($N$3:$EH$3=$J$3,N22:EH22))</f>
        <v>0</v>
      </c>
      <c r="L22" s="9"/>
      <c r="O22" s="10"/>
      <c r="P22" s="10"/>
      <c r="Q22" s="10"/>
      <c r="R22" s="10"/>
      <c r="V22" s="10"/>
      <c r="W22" s="10"/>
      <c r="X22" s="10"/>
      <c r="Y22" s="10"/>
      <c r="AC22" s="10"/>
      <c r="AD22" s="10"/>
      <c r="AE22" s="10"/>
      <c r="AF22" s="10"/>
      <c r="AJ22" s="10"/>
      <c r="AK22" s="10"/>
      <c r="AL22" s="10"/>
      <c r="AM22" s="10"/>
      <c r="AQ22" s="10"/>
      <c r="AR22" s="10"/>
      <c r="AS22" s="10"/>
      <c r="AT22" s="10"/>
      <c r="AX22" s="10"/>
      <c r="AY22" s="10"/>
      <c r="AZ22" s="10"/>
      <c r="BA22" s="10"/>
      <c r="BE22" s="10"/>
      <c r="BF22" s="10"/>
      <c r="BG22" s="10"/>
      <c r="BH22" s="10"/>
      <c r="BL22" s="10"/>
      <c r="BM22" s="10"/>
      <c r="BN22" s="10"/>
      <c r="BO22" s="10"/>
      <c r="BS22" s="10"/>
      <c r="BT22" s="10"/>
      <c r="BU22" s="10"/>
      <c r="BV22" s="10"/>
      <c r="BZ22" s="10"/>
      <c r="CA22" s="10"/>
      <c r="CB22" s="10"/>
      <c r="CC22" s="10"/>
      <c r="CG22" s="10"/>
      <c r="CH22" s="10"/>
      <c r="CI22" s="10"/>
      <c r="CJ22" s="10"/>
      <c r="CN22" s="10"/>
      <c r="CO22" s="10">
        <v>1</v>
      </c>
      <c r="CP22" s="10"/>
      <c r="CQ22" s="10">
        <v>1</v>
      </c>
      <c r="CU22" s="10"/>
      <c r="CV22" s="10"/>
      <c r="CW22" s="10"/>
      <c r="CX22" s="10"/>
      <c r="DB22" s="10"/>
      <c r="DC22" s="10"/>
      <c r="DD22" s="10"/>
      <c r="DE22" s="10"/>
      <c r="DI22" s="10"/>
      <c r="DJ22" s="10"/>
      <c r="DK22" s="10"/>
      <c r="DL22" s="10"/>
      <c r="DP22" s="10"/>
      <c r="DQ22" s="10">
        <v>1</v>
      </c>
      <c r="DR22" s="10"/>
      <c r="DS22" s="10">
        <v>1</v>
      </c>
      <c r="DT22" s="18" t="s">
        <v>75</v>
      </c>
      <c r="DW22" s="10"/>
      <c r="DX22" s="10"/>
      <c r="DY22" s="10"/>
      <c r="DZ22" s="10"/>
      <c r="ED22" s="10"/>
      <c r="EE22" s="10"/>
      <c r="EF22" s="10"/>
      <c r="EG22" s="10"/>
      <c r="EK22" s="10"/>
      <c r="EL22" s="10"/>
      <c r="EM22" s="10"/>
      <c r="EN22" s="10"/>
      <c r="ER22" s="10"/>
      <c r="ES22" s="10"/>
      <c r="ET22" s="10"/>
      <c r="EU22" s="10"/>
      <c r="EY22" s="10"/>
      <c r="EZ22" s="10"/>
      <c r="FA22" s="10"/>
      <c r="FB22" s="10"/>
    </row>
    <row r="23" spans="2:158" outlineLevel="1">
      <c r="B23" t="s">
        <v>28</v>
      </c>
      <c r="C23" t="s">
        <v>61</v>
      </c>
      <c r="E23" s="9"/>
      <c r="G23" s="10">
        <v>0.15</v>
      </c>
      <c r="I23" s="9">
        <f t="shared" si="1"/>
        <v>0</v>
      </c>
      <c r="J23" s="11" cm="1">
        <f t="array" ref="J23">MAX(IF($N$3:$EH$3=$J$3,N23:EH23))</f>
        <v>0</v>
      </c>
      <c r="K23" s="11" cm="1">
        <f t="array" ref="K23">MAX(IF($N$3:$EH$3=$J$3,N23:EH23))</f>
        <v>0</v>
      </c>
      <c r="L23" s="9"/>
      <c r="O23" s="10"/>
      <c r="P23" s="10"/>
      <c r="Q23" s="10"/>
      <c r="R23" s="10"/>
      <c r="V23" s="10"/>
      <c r="W23" s="10"/>
      <c r="X23" s="10"/>
      <c r="Y23" s="10"/>
      <c r="AC23" s="10"/>
      <c r="AD23" s="10"/>
      <c r="AE23" s="10"/>
      <c r="AF23" s="10"/>
      <c r="AJ23" s="10"/>
      <c r="AK23" s="10"/>
      <c r="AL23" s="10"/>
      <c r="AM23" s="10"/>
      <c r="AQ23" s="10"/>
      <c r="AR23" s="10"/>
      <c r="AS23" s="10"/>
      <c r="AT23" s="10"/>
      <c r="AX23" s="10"/>
      <c r="AY23" s="10"/>
      <c r="AZ23" s="10"/>
      <c r="BA23" s="10"/>
      <c r="BE23" s="10"/>
      <c r="BF23" s="10"/>
      <c r="BG23" s="10"/>
      <c r="BH23" s="10"/>
      <c r="BL23" s="10"/>
      <c r="BM23" s="10"/>
      <c r="BN23" s="10"/>
      <c r="BO23" s="10"/>
      <c r="BS23" s="10"/>
      <c r="BT23" s="10"/>
      <c r="BU23" s="10"/>
      <c r="BV23" s="10"/>
      <c r="BZ23" s="10"/>
      <c r="CA23" s="10"/>
      <c r="CB23" s="10"/>
      <c r="CC23" s="10"/>
      <c r="CG23" s="10"/>
      <c r="CH23" s="10"/>
      <c r="CI23" s="10"/>
      <c r="CJ23" s="10"/>
      <c r="CN23" s="10"/>
      <c r="CO23" s="10">
        <v>1</v>
      </c>
      <c r="CP23" s="10"/>
      <c r="CQ23" s="10">
        <v>1</v>
      </c>
      <c r="CU23" s="10"/>
      <c r="CV23" s="10"/>
      <c r="CW23" s="10"/>
      <c r="CX23" s="10"/>
      <c r="DB23" s="10"/>
      <c r="DC23" s="10"/>
      <c r="DD23" s="10"/>
      <c r="DE23" s="10"/>
      <c r="DI23" s="10"/>
      <c r="DJ23" s="10"/>
      <c r="DK23" s="10"/>
      <c r="DL23" s="10"/>
      <c r="DP23" s="10"/>
      <c r="DQ23" s="10">
        <v>1</v>
      </c>
      <c r="DR23" s="10"/>
      <c r="DS23" s="10">
        <v>1</v>
      </c>
      <c r="DT23" s="18" t="s">
        <v>75</v>
      </c>
      <c r="DW23" s="10"/>
      <c r="DX23" s="10"/>
      <c r="DY23" s="10"/>
      <c r="DZ23" s="10"/>
      <c r="ED23" s="10"/>
      <c r="EE23" s="10"/>
      <c r="EF23" s="10"/>
      <c r="EG23" s="10"/>
      <c r="EK23" s="10"/>
      <c r="EL23" s="10"/>
      <c r="EM23" s="10"/>
      <c r="EN23" s="10"/>
      <c r="ER23" s="10"/>
      <c r="ES23" s="10"/>
      <c r="ET23" s="10"/>
      <c r="EU23" s="10"/>
      <c r="EY23" s="10"/>
      <c r="EZ23" s="10"/>
      <c r="FA23" s="10"/>
      <c r="FB23" s="10"/>
    </row>
    <row r="24" spans="2:158" outlineLevel="1">
      <c r="B24" t="s">
        <v>28</v>
      </c>
      <c r="C24" t="s">
        <v>61</v>
      </c>
      <c r="E24" s="9"/>
      <c r="G24" s="10">
        <v>0.2</v>
      </c>
      <c r="I24" s="9">
        <f t="shared" si="1"/>
        <v>0</v>
      </c>
      <c r="J24" s="11" cm="1">
        <f t="array" ref="J24">MAX(IF($N$3:$EH$3=$J$3,N24:EH24))</f>
        <v>0</v>
      </c>
      <c r="K24" s="11" cm="1">
        <f t="array" ref="K24">MAX(IF($N$3:$EH$3=$J$3,N24:EH24))</f>
        <v>0</v>
      </c>
      <c r="L24" s="9"/>
      <c r="O24" s="10"/>
      <c r="P24" s="10"/>
      <c r="Q24" s="10"/>
      <c r="R24" s="10"/>
      <c r="V24" s="10"/>
      <c r="W24" s="10"/>
      <c r="X24" s="10"/>
      <c r="Y24" s="10"/>
      <c r="AC24" s="10"/>
      <c r="AD24" s="10"/>
      <c r="AE24" s="10"/>
      <c r="AF24" s="10"/>
      <c r="AJ24" s="10"/>
      <c r="AK24" s="10"/>
      <c r="AL24" s="10"/>
      <c r="AM24" s="10"/>
      <c r="AQ24" s="10"/>
      <c r="AR24" s="10"/>
      <c r="AS24" s="10"/>
      <c r="AT24" s="10"/>
      <c r="AX24" s="10"/>
      <c r="AY24" s="10"/>
      <c r="AZ24" s="10"/>
      <c r="BA24" s="10"/>
      <c r="BE24" s="10"/>
      <c r="BF24" s="10"/>
      <c r="BG24" s="10"/>
      <c r="BH24" s="10"/>
      <c r="BL24" s="10"/>
      <c r="BM24" s="10"/>
      <c r="BN24" s="10"/>
      <c r="BO24" s="10"/>
      <c r="BS24" s="10"/>
      <c r="BT24" s="10"/>
      <c r="BU24" s="10"/>
      <c r="BV24" s="10"/>
      <c r="BZ24" s="10"/>
      <c r="CA24" s="10"/>
      <c r="CB24" s="10"/>
      <c r="CC24" s="10"/>
      <c r="CG24" s="10"/>
      <c r="CH24" s="10"/>
      <c r="CI24" s="10"/>
      <c r="CJ24" s="10"/>
      <c r="CN24" s="10"/>
      <c r="CO24" s="10">
        <v>1</v>
      </c>
      <c r="CP24" s="10"/>
      <c r="CQ24" s="10">
        <v>1</v>
      </c>
      <c r="CU24" s="10"/>
      <c r="CV24" s="10"/>
      <c r="CW24" s="10"/>
      <c r="CX24" s="10"/>
      <c r="DB24" s="10"/>
      <c r="DC24" s="10"/>
      <c r="DD24" s="10"/>
      <c r="DE24" s="10"/>
      <c r="DI24" s="10"/>
      <c r="DJ24" s="10"/>
      <c r="DK24" s="10"/>
      <c r="DL24" s="10"/>
      <c r="DP24" s="10"/>
      <c r="DQ24" s="10">
        <v>1</v>
      </c>
      <c r="DR24" s="10"/>
      <c r="DS24" s="10">
        <v>1</v>
      </c>
      <c r="DT24" s="18" t="s">
        <v>75</v>
      </c>
      <c r="DW24" s="10"/>
      <c r="DX24" s="10"/>
      <c r="DY24" s="10"/>
      <c r="DZ24" s="10"/>
      <c r="ED24" s="10"/>
      <c r="EE24" s="10"/>
      <c r="EF24" s="10"/>
      <c r="EG24" s="10"/>
      <c r="EK24" s="10"/>
      <c r="EL24" s="10"/>
      <c r="EM24" s="10"/>
      <c r="EN24" s="10"/>
      <c r="ER24" s="10"/>
      <c r="ES24" s="10"/>
      <c r="ET24" s="10"/>
      <c r="EU24" s="10"/>
      <c r="EY24" s="10"/>
      <c r="EZ24" s="10"/>
      <c r="FA24" s="10"/>
      <c r="FB24" s="10"/>
    </row>
    <row r="25" spans="2:158" outlineLevel="1">
      <c r="B25" t="s">
        <v>28</v>
      </c>
      <c r="C25" t="s">
        <v>61</v>
      </c>
      <c r="E25" s="9"/>
      <c r="G25" s="10">
        <v>0.2</v>
      </c>
      <c r="I25" s="9">
        <f t="shared" si="1"/>
        <v>0</v>
      </c>
      <c r="J25" s="11" cm="1">
        <f t="array" ref="J25">MAX(IF($N$3:$EH$3=$J$3,N25:EH25))</f>
        <v>0</v>
      </c>
      <c r="K25" s="11" cm="1">
        <f t="array" ref="K25">MAX(IF($N$3:$EH$3=$J$3,N25:EH25))</f>
        <v>0</v>
      </c>
      <c r="L25" s="9"/>
      <c r="O25" s="10"/>
      <c r="P25" s="10"/>
      <c r="Q25" s="10"/>
      <c r="R25" s="10"/>
      <c r="V25" s="10"/>
      <c r="W25" s="10"/>
      <c r="X25" s="10"/>
      <c r="Y25" s="10"/>
      <c r="AC25" s="10"/>
      <c r="AD25" s="10"/>
      <c r="AE25" s="10"/>
      <c r="AF25" s="10"/>
      <c r="AJ25" s="10"/>
      <c r="AK25" s="10"/>
      <c r="AL25" s="10"/>
      <c r="AM25" s="10"/>
      <c r="AQ25" s="10"/>
      <c r="AR25" s="10"/>
      <c r="AS25" s="10"/>
      <c r="AT25" s="10"/>
      <c r="AX25" s="10"/>
      <c r="AY25" s="10"/>
      <c r="AZ25" s="10"/>
      <c r="BA25" s="10"/>
      <c r="BE25" s="10"/>
      <c r="BF25" s="10"/>
      <c r="BG25" s="10"/>
      <c r="BH25" s="10"/>
      <c r="BL25" s="10"/>
      <c r="BM25" s="10"/>
      <c r="BN25" s="10"/>
      <c r="BO25" s="10"/>
      <c r="BS25" s="10"/>
      <c r="BT25" s="10"/>
      <c r="BU25" s="10"/>
      <c r="BV25" s="10"/>
      <c r="BZ25" s="10"/>
      <c r="CA25" s="10"/>
      <c r="CB25" s="10"/>
      <c r="CC25" s="10"/>
      <c r="CG25" s="10"/>
      <c r="CH25" s="10"/>
      <c r="CI25" s="10"/>
      <c r="CJ25" s="10"/>
      <c r="CN25" s="10"/>
      <c r="CO25" s="10">
        <v>1</v>
      </c>
      <c r="CP25" s="10"/>
      <c r="CQ25" s="10">
        <v>1</v>
      </c>
      <c r="CU25" s="10"/>
      <c r="CV25" s="10"/>
      <c r="CW25" s="10"/>
      <c r="CX25" s="10"/>
      <c r="DB25" s="10"/>
      <c r="DC25" s="10"/>
      <c r="DD25" s="10"/>
      <c r="DE25" s="10"/>
      <c r="DI25" s="10"/>
      <c r="DJ25" s="10"/>
      <c r="DK25" s="10"/>
      <c r="DL25" s="10"/>
      <c r="DP25" s="10"/>
      <c r="DQ25" s="10">
        <v>1</v>
      </c>
      <c r="DR25" s="10"/>
      <c r="DS25" s="10">
        <v>1</v>
      </c>
      <c r="DT25" s="18" t="s">
        <v>75</v>
      </c>
      <c r="DW25" s="10"/>
      <c r="DX25" s="10"/>
      <c r="DY25" s="10"/>
      <c r="DZ25" s="10"/>
      <c r="ED25" s="10"/>
      <c r="EE25" s="10"/>
      <c r="EF25" s="10"/>
      <c r="EG25" s="10"/>
      <c r="EK25" s="10"/>
      <c r="EL25" s="10"/>
      <c r="EM25" s="10"/>
      <c r="EN25" s="10"/>
      <c r="ER25" s="10"/>
      <c r="ES25" s="10"/>
      <c r="ET25" s="10"/>
      <c r="EU25" s="10"/>
      <c r="EY25" s="10"/>
      <c r="EZ25" s="10"/>
      <c r="FA25" s="10"/>
      <c r="FB25" s="10"/>
    </row>
    <row r="26" spans="2:158">
      <c r="EZ26" s="10"/>
      <c r="FB26" s="10"/>
    </row>
    <row r="27" spans="2:158">
      <c r="B27" t="s">
        <v>27</v>
      </c>
      <c r="C27" t="s">
        <v>38</v>
      </c>
      <c r="D27" s="17">
        <v>45344</v>
      </c>
      <c r="E27" s="9">
        <v>5</v>
      </c>
      <c r="G27" s="10">
        <f>+SUM(G28:G33)</f>
        <v>0.4</v>
      </c>
      <c r="I27" s="12">
        <f>+SUM(I28:I33)</f>
        <v>52</v>
      </c>
      <c r="J27" s="11">
        <f>+SUMPRODUCT(G28:G33,J28:J33)</f>
        <v>0.10000000000000003</v>
      </c>
      <c r="K27" s="11">
        <f>+SUMPRODUCT(G28:G33,K28:K33)</f>
        <v>0.10000000000000003</v>
      </c>
      <c r="L27" s="9"/>
      <c r="N27" s="12">
        <f>+SUM(N28:N33)</f>
        <v>23</v>
      </c>
      <c r="U27" s="12">
        <f>+SUM(U28:U33)</f>
        <v>2</v>
      </c>
      <c r="AB27" s="12">
        <f>+SUM(AB28:AB33)</f>
        <v>7</v>
      </c>
      <c r="AI27" s="12">
        <f>+SUM(AI28:AI33)</f>
        <v>0</v>
      </c>
      <c r="AP27" s="12">
        <f>+SUM(AP28:AP33)</f>
        <v>0</v>
      </c>
      <c r="AW27" s="12">
        <f>+SUM(AW28:AW33)</f>
        <v>2</v>
      </c>
      <c r="BD27" s="12">
        <f>+SUM(BD28:BD33)</f>
        <v>2</v>
      </c>
      <c r="BK27" s="12">
        <f>+SUM(BK28:BK33)</f>
        <v>2</v>
      </c>
      <c r="BR27" s="12">
        <f>+SUM(BR28:BR33)</f>
        <v>2</v>
      </c>
      <c r="BY27" s="12">
        <f>+SUM(BY28:BY33)</f>
        <v>2</v>
      </c>
      <c r="CF27" s="12">
        <f>+SUM(CF28:CF33)</f>
        <v>2</v>
      </c>
      <c r="CM27" s="12">
        <f>+SUM(CM28:CM33)</f>
        <v>2</v>
      </c>
      <c r="CT27" s="12">
        <f>+SUM(CT28:CT33)</f>
        <v>2</v>
      </c>
      <c r="DA27" s="12">
        <f>+SUM(DA28:DA33)</f>
        <v>2</v>
      </c>
      <c r="DH27" s="12">
        <f>+SUM(DH28:DH33)</f>
        <v>0</v>
      </c>
      <c r="DO27" s="12">
        <f>+SUM(DO28:DO33)</f>
        <v>0</v>
      </c>
      <c r="DV27" s="12">
        <f>+SUM(DV28:DV33)</f>
        <v>0</v>
      </c>
      <c r="EC27" s="12">
        <f>+SUM(EC28:EC33)</f>
        <v>2</v>
      </c>
      <c r="EJ27" s="12"/>
      <c r="EQ27" s="12"/>
      <c r="EX27" s="12"/>
      <c r="EZ27" s="10"/>
      <c r="FB27" s="10"/>
    </row>
    <row r="28" spans="2:158" outlineLevel="1">
      <c r="B28" t="s">
        <v>28</v>
      </c>
      <c r="C28" t="s">
        <v>38</v>
      </c>
      <c r="E28" s="9"/>
      <c r="F28" t="s">
        <v>90</v>
      </c>
      <c r="G28" s="10">
        <v>0.1</v>
      </c>
      <c r="I28" s="9">
        <f t="shared" ref="I28:I33" si="2">+SUMIF($N$3:$ZZ$3,I$3,$N28:$ZZ28)</f>
        <v>12.5</v>
      </c>
      <c r="J28" s="11" cm="1">
        <f t="array" ref="J28">MAX(IF($N$3:$EH$3=$J$3,N28:EH28))</f>
        <v>0.5</v>
      </c>
      <c r="K28" s="11" cm="1">
        <f t="array" ref="K28">MAX(IF($N$3:$EH$3=$J$3,N28:EH28))</f>
        <v>0.5</v>
      </c>
      <c r="L28" s="9"/>
      <c r="N28">
        <v>10</v>
      </c>
      <c r="O28" s="10">
        <v>0.1</v>
      </c>
      <c r="P28" s="10">
        <v>0.1</v>
      </c>
      <c r="Q28" s="10">
        <v>0.1</v>
      </c>
      <c r="R28" s="10">
        <v>0.1</v>
      </c>
      <c r="U28">
        <v>2</v>
      </c>
      <c r="V28" s="10">
        <v>0.5</v>
      </c>
      <c r="W28" s="10">
        <v>0.5</v>
      </c>
      <c r="X28" s="10">
        <v>0.5</v>
      </c>
      <c r="Y28" s="10">
        <v>0.5</v>
      </c>
      <c r="AB28">
        <v>0.5</v>
      </c>
      <c r="AC28" s="10">
        <v>0.5</v>
      </c>
      <c r="AD28" s="10">
        <v>0.5</v>
      </c>
      <c r="AE28" s="10">
        <v>0.5</v>
      </c>
      <c r="AF28" s="10">
        <v>0.5</v>
      </c>
      <c r="AJ28" s="10"/>
      <c r="AK28" s="10">
        <v>0.5</v>
      </c>
      <c r="AL28" s="10"/>
      <c r="AM28" s="10">
        <v>0.5</v>
      </c>
      <c r="AP28">
        <v>0</v>
      </c>
      <c r="AQ28" s="10"/>
      <c r="AR28" s="10">
        <v>0.8</v>
      </c>
      <c r="AS28" s="10"/>
      <c r="AT28" s="10">
        <v>0.8</v>
      </c>
      <c r="AW28">
        <v>0</v>
      </c>
      <c r="AX28" s="10"/>
      <c r="AY28" s="10">
        <v>0.8</v>
      </c>
      <c r="AZ28" s="10"/>
      <c r="BA28" s="10">
        <v>0.8</v>
      </c>
      <c r="BD28">
        <v>0</v>
      </c>
      <c r="BE28" s="10"/>
      <c r="BF28" s="10">
        <v>0.8</v>
      </c>
      <c r="BG28" s="10"/>
      <c r="BH28" s="10">
        <v>0.8</v>
      </c>
      <c r="BK28">
        <v>0</v>
      </c>
      <c r="BL28" s="10"/>
      <c r="BM28" s="10">
        <v>0.8</v>
      </c>
      <c r="BN28" s="10"/>
      <c r="BO28" s="10">
        <v>0.8</v>
      </c>
      <c r="BR28">
        <v>0</v>
      </c>
      <c r="BS28" s="10"/>
      <c r="BT28" s="10">
        <v>0.8</v>
      </c>
      <c r="BU28" s="10"/>
      <c r="BV28" s="10">
        <v>0.8</v>
      </c>
      <c r="BY28">
        <v>0</v>
      </c>
      <c r="BZ28" s="10"/>
      <c r="CA28" s="10">
        <v>0.8</v>
      </c>
      <c r="CB28" s="10"/>
      <c r="CC28" s="10">
        <v>0.8</v>
      </c>
      <c r="CF28">
        <v>0</v>
      </c>
      <c r="CG28" s="10"/>
      <c r="CH28" s="10">
        <v>0.8</v>
      </c>
      <c r="CI28" s="10"/>
      <c r="CJ28" s="10">
        <v>0.8</v>
      </c>
      <c r="CM28">
        <v>0</v>
      </c>
      <c r="CN28" s="10"/>
      <c r="CO28" s="10">
        <v>1</v>
      </c>
      <c r="CP28" s="10"/>
      <c r="CQ28" s="10">
        <v>1</v>
      </c>
      <c r="CT28">
        <v>0</v>
      </c>
      <c r="CU28" s="10"/>
      <c r="CV28" s="10">
        <v>1</v>
      </c>
      <c r="CW28" s="10"/>
      <c r="CX28" s="10">
        <v>1</v>
      </c>
      <c r="DA28">
        <v>0</v>
      </c>
      <c r="DB28" s="10"/>
      <c r="DC28" s="10">
        <v>1</v>
      </c>
      <c r="DD28" s="10"/>
      <c r="DE28" s="10">
        <v>1</v>
      </c>
      <c r="DF28" s="19" t="s">
        <v>115</v>
      </c>
      <c r="DI28" s="10"/>
      <c r="DJ28" s="10"/>
      <c r="DK28" s="10"/>
      <c r="DL28" s="10"/>
      <c r="DP28" s="10"/>
      <c r="DQ28" s="10"/>
      <c r="DR28" s="10"/>
      <c r="DS28" s="10"/>
      <c r="DW28" s="10"/>
      <c r="DX28" s="10"/>
      <c r="DY28" s="10"/>
      <c r="DZ28" s="10"/>
      <c r="EC28">
        <v>0</v>
      </c>
      <c r="ED28" s="10"/>
      <c r="EE28" s="10">
        <v>1</v>
      </c>
      <c r="EF28" s="10"/>
      <c r="EG28" s="10">
        <v>1</v>
      </c>
      <c r="EH28" s="18" t="s">
        <v>75</v>
      </c>
      <c r="EK28" s="10"/>
      <c r="EL28" s="10"/>
      <c r="EM28" s="10"/>
      <c r="EN28" s="10"/>
      <c r="ER28" s="10"/>
      <c r="ES28" s="10"/>
      <c r="ET28" s="10"/>
      <c r="EU28" s="10"/>
      <c r="EY28" s="10"/>
      <c r="EZ28" s="10"/>
      <c r="FA28" s="10"/>
      <c r="FB28" s="10"/>
    </row>
    <row r="29" spans="2:158" outlineLevel="1">
      <c r="B29" t="s">
        <v>28</v>
      </c>
      <c r="C29" t="s">
        <v>38</v>
      </c>
      <c r="E29" s="9"/>
      <c r="F29" t="s">
        <v>110</v>
      </c>
      <c r="G29" s="10">
        <v>0.05</v>
      </c>
      <c r="I29" s="9">
        <f t="shared" si="2"/>
        <v>4</v>
      </c>
      <c r="J29" s="11" cm="1">
        <f t="array" ref="J29">MAX(IF($N$3:$EH$3=$J$3,N29:EH29))</f>
        <v>0.5</v>
      </c>
      <c r="K29" s="11" cm="1">
        <f t="array" ref="K29">MAX(IF($N$3:$EH$3=$J$3,N29:EH29))</f>
        <v>0.5</v>
      </c>
      <c r="L29" s="9"/>
      <c r="N29">
        <v>3</v>
      </c>
      <c r="O29" s="10">
        <v>0.1</v>
      </c>
      <c r="P29" s="10">
        <v>0.1</v>
      </c>
      <c r="Q29" s="10">
        <v>0.1</v>
      </c>
      <c r="R29" s="10">
        <v>0.1</v>
      </c>
      <c r="V29" s="10">
        <v>0.5</v>
      </c>
      <c r="W29" s="10">
        <v>0.5</v>
      </c>
      <c r="X29" s="10">
        <v>0.5</v>
      </c>
      <c r="Y29" s="10">
        <v>0.5</v>
      </c>
      <c r="AB29">
        <v>1</v>
      </c>
      <c r="AC29" s="10">
        <v>0.5</v>
      </c>
      <c r="AD29" s="10">
        <v>0.5</v>
      </c>
      <c r="AE29" s="10">
        <v>0.5</v>
      </c>
      <c r="AF29" s="10">
        <v>0.5</v>
      </c>
      <c r="AJ29" s="10"/>
      <c r="AK29" s="10">
        <v>0.5</v>
      </c>
      <c r="AL29" s="10"/>
      <c r="AM29" s="10">
        <v>0.5</v>
      </c>
      <c r="AP29">
        <v>0</v>
      </c>
      <c r="AQ29" s="10"/>
      <c r="AR29" s="10">
        <v>0.5</v>
      </c>
      <c r="AS29" s="10"/>
      <c r="AT29" s="10">
        <v>0.5</v>
      </c>
      <c r="AW29">
        <v>0</v>
      </c>
      <c r="AX29" s="10"/>
      <c r="AY29" s="10">
        <v>0.8</v>
      </c>
      <c r="AZ29" s="10"/>
      <c r="BA29" s="10">
        <v>0.8</v>
      </c>
      <c r="BD29">
        <v>0</v>
      </c>
      <c r="BE29" s="10"/>
      <c r="BF29" s="10">
        <v>0.8</v>
      </c>
      <c r="BG29" s="10"/>
      <c r="BH29" s="10">
        <v>0.8</v>
      </c>
      <c r="BK29">
        <v>0</v>
      </c>
      <c r="BL29" s="10"/>
      <c r="BM29" s="10">
        <v>0.8</v>
      </c>
      <c r="BN29" s="10"/>
      <c r="BO29" s="10">
        <v>0.8</v>
      </c>
      <c r="BR29">
        <v>0</v>
      </c>
      <c r="BS29" s="10"/>
      <c r="BT29" s="10">
        <v>0.8</v>
      </c>
      <c r="BU29" s="10"/>
      <c r="BV29" s="10">
        <v>0.8</v>
      </c>
      <c r="BY29">
        <v>0</v>
      </c>
      <c r="BZ29" s="10"/>
      <c r="CA29" s="10">
        <v>0.8</v>
      </c>
      <c r="CB29" s="10"/>
      <c r="CC29" s="10">
        <v>0.8</v>
      </c>
      <c r="CF29">
        <v>0</v>
      </c>
      <c r="CG29" s="10"/>
      <c r="CH29" s="10">
        <v>0.8</v>
      </c>
      <c r="CI29" s="10"/>
      <c r="CJ29" s="10">
        <v>0.8</v>
      </c>
      <c r="CM29">
        <v>0</v>
      </c>
      <c r="CN29" s="10"/>
      <c r="CO29" s="10">
        <v>1</v>
      </c>
      <c r="CP29" s="10"/>
      <c r="CQ29" s="10">
        <v>1</v>
      </c>
      <c r="CT29">
        <v>0</v>
      </c>
      <c r="CU29" s="10"/>
      <c r="CV29" s="10">
        <v>1</v>
      </c>
      <c r="CW29" s="10"/>
      <c r="CX29" s="10">
        <v>1</v>
      </c>
      <c r="DA29">
        <v>0</v>
      </c>
      <c r="DB29" s="10"/>
      <c r="DC29" s="10">
        <v>1</v>
      </c>
      <c r="DD29" s="10"/>
      <c r="DE29" s="10">
        <v>1</v>
      </c>
      <c r="DI29" s="10"/>
      <c r="DJ29" s="10"/>
      <c r="DK29" s="10"/>
      <c r="DL29" s="10"/>
      <c r="DP29" s="10"/>
      <c r="DQ29" s="10"/>
      <c r="DR29" s="10"/>
      <c r="DS29" s="10"/>
      <c r="DW29" s="10"/>
      <c r="DX29" s="10"/>
      <c r="DY29" s="10"/>
      <c r="DZ29" s="10"/>
      <c r="EC29">
        <v>0</v>
      </c>
      <c r="ED29" s="10"/>
      <c r="EE29" s="10">
        <v>1</v>
      </c>
      <c r="EF29" s="10"/>
      <c r="EG29" s="10">
        <v>1</v>
      </c>
      <c r="EH29" s="18" t="s">
        <v>75</v>
      </c>
      <c r="EK29" s="10"/>
      <c r="EL29" s="10"/>
      <c r="EM29" s="10"/>
      <c r="EN29" s="10"/>
      <c r="ER29" s="10"/>
      <c r="ES29" s="10"/>
      <c r="ET29" s="10"/>
      <c r="EU29" s="10"/>
      <c r="EY29" s="10"/>
      <c r="EZ29" s="10"/>
      <c r="FA29" s="10"/>
      <c r="FB29" s="10"/>
    </row>
    <row r="30" spans="2:158" outlineLevel="1">
      <c r="B30" t="s">
        <v>28</v>
      </c>
      <c r="C30" t="s">
        <v>38</v>
      </c>
      <c r="E30" s="9"/>
      <c r="F30" t="s">
        <v>111</v>
      </c>
      <c r="G30" s="10">
        <v>0.05</v>
      </c>
      <c r="I30" s="9">
        <f t="shared" si="2"/>
        <v>3</v>
      </c>
      <c r="J30" s="11" cm="1">
        <f t="array" ref="J30">MAX(IF($N$3:$EH$3=$J$3,N30:EH30))</f>
        <v>0.1</v>
      </c>
      <c r="K30" s="11" cm="1">
        <f t="array" ref="K30">MAX(IF($N$3:$EH$3=$J$3,N30:EH30))</f>
        <v>0.1</v>
      </c>
      <c r="L30" s="9"/>
      <c r="N30">
        <v>2</v>
      </c>
      <c r="O30" s="10">
        <v>0.1</v>
      </c>
      <c r="P30" s="10">
        <v>0.1</v>
      </c>
      <c r="Q30" s="10">
        <v>0.1</v>
      </c>
      <c r="R30" s="10">
        <v>0.1</v>
      </c>
      <c r="V30" s="10"/>
      <c r="W30" s="10"/>
      <c r="X30" s="10"/>
      <c r="Y30" s="10"/>
      <c r="AB30">
        <v>1</v>
      </c>
      <c r="AC30" s="10"/>
      <c r="AD30" s="10">
        <v>0.5</v>
      </c>
      <c r="AE30" s="10"/>
      <c r="AF30" s="10">
        <v>0.5</v>
      </c>
      <c r="AJ30" s="10"/>
      <c r="AK30" s="10">
        <v>0.5</v>
      </c>
      <c r="AL30" s="10"/>
      <c r="AM30" s="10">
        <v>0.5</v>
      </c>
      <c r="AP30">
        <v>0</v>
      </c>
      <c r="AQ30" s="10"/>
      <c r="AR30" s="10">
        <v>0.5</v>
      </c>
      <c r="AS30" s="10"/>
      <c r="AT30" s="10">
        <v>0.5</v>
      </c>
      <c r="AW30">
        <v>0</v>
      </c>
      <c r="AX30" s="10"/>
      <c r="AY30" s="10">
        <v>0.8</v>
      </c>
      <c r="AZ30" s="10"/>
      <c r="BA30" s="10">
        <v>0.8</v>
      </c>
      <c r="BD30">
        <v>0</v>
      </c>
      <c r="BE30" s="10"/>
      <c r="BF30" s="10">
        <v>0.8</v>
      </c>
      <c r="BG30" s="10"/>
      <c r="BH30" s="10">
        <v>0.8</v>
      </c>
      <c r="BK30">
        <v>0</v>
      </c>
      <c r="BL30" s="10"/>
      <c r="BM30" s="10">
        <v>0.8</v>
      </c>
      <c r="BN30" s="10"/>
      <c r="BO30" s="10">
        <v>0.8</v>
      </c>
      <c r="BR30">
        <v>0</v>
      </c>
      <c r="BS30" s="10"/>
      <c r="BT30" s="10">
        <v>0.8</v>
      </c>
      <c r="BU30" s="10"/>
      <c r="BV30" s="10">
        <v>0.8</v>
      </c>
      <c r="BY30">
        <v>0</v>
      </c>
      <c r="BZ30" s="10"/>
      <c r="CA30" s="10">
        <v>0.8</v>
      </c>
      <c r="CB30" s="10"/>
      <c r="CC30" s="10">
        <v>0.8</v>
      </c>
      <c r="CF30">
        <v>0</v>
      </c>
      <c r="CG30" s="10"/>
      <c r="CH30" s="10">
        <v>0.8</v>
      </c>
      <c r="CI30" s="10"/>
      <c r="CJ30" s="10">
        <v>0.8</v>
      </c>
      <c r="CM30">
        <v>0</v>
      </c>
      <c r="CN30" s="10"/>
      <c r="CO30" s="10">
        <v>0.8</v>
      </c>
      <c r="CP30" s="10"/>
      <c r="CQ30" s="10">
        <v>0.8</v>
      </c>
      <c r="CT30">
        <v>0</v>
      </c>
      <c r="CU30" s="10"/>
      <c r="CV30" s="10">
        <v>1</v>
      </c>
      <c r="CW30" s="10"/>
      <c r="CX30" s="10">
        <v>1</v>
      </c>
      <c r="DA30">
        <v>0</v>
      </c>
      <c r="DB30" s="10"/>
      <c r="DC30" s="10">
        <v>1</v>
      </c>
      <c r="DD30" s="10"/>
      <c r="DE30" s="10">
        <v>1</v>
      </c>
      <c r="DI30" s="10"/>
      <c r="DJ30" s="10"/>
      <c r="DK30" s="10"/>
      <c r="DL30" s="10"/>
      <c r="DP30" s="10"/>
      <c r="DQ30" s="10"/>
      <c r="DR30" s="10"/>
      <c r="DS30" s="10"/>
      <c r="DW30" s="10"/>
      <c r="DX30" s="10"/>
      <c r="DY30" s="10"/>
      <c r="DZ30" s="10"/>
      <c r="EC30">
        <v>0</v>
      </c>
      <c r="ED30" s="10"/>
      <c r="EE30" s="10">
        <v>1</v>
      </c>
      <c r="EF30" s="10"/>
      <c r="EG30" s="10">
        <v>1</v>
      </c>
      <c r="EH30" s="18" t="s">
        <v>75</v>
      </c>
      <c r="EK30" s="10"/>
      <c r="EL30" s="10"/>
      <c r="EM30" s="10"/>
      <c r="EN30" s="10"/>
      <c r="ER30" s="10"/>
      <c r="ES30" s="10"/>
      <c r="ET30" s="10"/>
      <c r="EU30" s="10"/>
      <c r="EY30" s="10"/>
      <c r="EZ30" s="10"/>
      <c r="FA30" s="10"/>
      <c r="FB30" s="10"/>
    </row>
    <row r="31" spans="2:158" outlineLevel="1">
      <c r="B31" t="s">
        <v>28</v>
      </c>
      <c r="C31" t="s">
        <v>38</v>
      </c>
      <c r="E31" s="9"/>
      <c r="F31" t="s">
        <v>112</v>
      </c>
      <c r="G31" s="10">
        <v>0.05</v>
      </c>
      <c r="I31" s="9">
        <f t="shared" si="2"/>
        <v>6.5</v>
      </c>
      <c r="J31" s="11" cm="1">
        <f t="array" ref="J31">MAX(IF($N$3:$EH$3=$J$3,N31:EH31))</f>
        <v>0.1</v>
      </c>
      <c r="K31" s="11" cm="1">
        <f t="array" ref="K31">MAX(IF($N$3:$EH$3=$J$3,N31:EH31))</f>
        <v>0.1</v>
      </c>
      <c r="L31" s="9"/>
      <c r="N31">
        <v>2</v>
      </c>
      <c r="O31" s="10">
        <v>0.1</v>
      </c>
      <c r="P31" s="10">
        <v>0.1</v>
      </c>
      <c r="Q31" s="10">
        <v>0.1</v>
      </c>
      <c r="R31" s="10">
        <v>0.1</v>
      </c>
      <c r="V31" s="10"/>
      <c r="W31" s="10"/>
      <c r="X31" s="10"/>
      <c r="Y31" s="10"/>
      <c r="AB31">
        <v>4.5</v>
      </c>
      <c r="AC31" s="10"/>
      <c r="AD31" s="10"/>
      <c r="AE31" s="10"/>
      <c r="AF31" s="10"/>
      <c r="AJ31" s="10"/>
      <c r="AK31" s="10">
        <v>0.5</v>
      </c>
      <c r="AL31" s="10"/>
      <c r="AM31" s="10">
        <v>0.5</v>
      </c>
      <c r="AP31">
        <v>0</v>
      </c>
      <c r="AQ31" s="10"/>
      <c r="AR31" s="10">
        <v>0.5</v>
      </c>
      <c r="AS31" s="10"/>
      <c r="AT31" s="10">
        <v>0.5</v>
      </c>
      <c r="AW31">
        <v>0</v>
      </c>
      <c r="AX31" s="10"/>
      <c r="AY31" s="10">
        <v>0.5</v>
      </c>
      <c r="AZ31" s="10"/>
      <c r="BA31" s="10">
        <v>0.5</v>
      </c>
      <c r="BD31">
        <v>0</v>
      </c>
      <c r="BE31" s="10"/>
      <c r="BF31" s="10">
        <v>0.8</v>
      </c>
      <c r="BG31" s="10"/>
      <c r="BH31" s="10">
        <v>0.8</v>
      </c>
      <c r="BK31">
        <v>0</v>
      </c>
      <c r="BL31" s="10"/>
      <c r="BM31" s="10">
        <v>0.8</v>
      </c>
      <c r="BN31" s="10"/>
      <c r="BO31" s="10">
        <v>0.8</v>
      </c>
      <c r="BR31">
        <v>0</v>
      </c>
      <c r="BS31" s="10"/>
      <c r="BT31" s="10">
        <v>0.8</v>
      </c>
      <c r="BU31" s="10"/>
      <c r="BV31" s="10">
        <v>0.8</v>
      </c>
      <c r="BY31">
        <v>0</v>
      </c>
      <c r="BZ31" s="10"/>
      <c r="CA31" s="10">
        <v>0.8</v>
      </c>
      <c r="CB31" s="10"/>
      <c r="CC31" s="10">
        <v>0.8</v>
      </c>
      <c r="CF31">
        <v>0</v>
      </c>
      <c r="CG31" s="10"/>
      <c r="CH31" s="10">
        <v>0.8</v>
      </c>
      <c r="CI31" s="10"/>
      <c r="CJ31" s="10">
        <v>0.8</v>
      </c>
      <c r="CM31">
        <v>0</v>
      </c>
      <c r="CN31" s="10"/>
      <c r="CO31" s="10">
        <v>0.8</v>
      </c>
      <c r="CP31" s="10"/>
      <c r="CQ31" s="10">
        <v>0.8</v>
      </c>
      <c r="CT31">
        <v>0</v>
      </c>
      <c r="CU31" s="10"/>
      <c r="CV31" s="10">
        <v>1</v>
      </c>
      <c r="CW31" s="10"/>
      <c r="CX31" s="10">
        <v>1</v>
      </c>
      <c r="DA31">
        <v>0</v>
      </c>
      <c r="DB31" s="10"/>
      <c r="DC31" s="10">
        <v>1</v>
      </c>
      <c r="DD31" s="10"/>
      <c r="DE31" s="10">
        <v>1</v>
      </c>
      <c r="DI31" s="10"/>
      <c r="DJ31" s="10"/>
      <c r="DK31" s="10"/>
      <c r="DL31" s="10"/>
      <c r="DP31" s="10"/>
      <c r="DQ31" s="10"/>
      <c r="DR31" s="10"/>
      <c r="DS31" s="10"/>
      <c r="DW31" s="10"/>
      <c r="DX31" s="10"/>
      <c r="DY31" s="10"/>
      <c r="DZ31" s="10"/>
      <c r="EC31">
        <v>0</v>
      </c>
      <c r="ED31" s="10"/>
      <c r="EE31" s="10">
        <v>1</v>
      </c>
      <c r="EF31" s="10"/>
      <c r="EG31" s="10">
        <v>1</v>
      </c>
      <c r="EH31" s="18" t="s">
        <v>75</v>
      </c>
      <c r="EK31" s="10"/>
      <c r="EL31" s="10"/>
      <c r="EM31" s="10"/>
      <c r="EN31" s="10"/>
      <c r="ER31" s="10"/>
      <c r="ES31" s="10"/>
      <c r="ET31" s="10"/>
      <c r="EU31" s="10"/>
      <c r="EY31" s="10"/>
      <c r="EZ31" s="10"/>
      <c r="FA31" s="10"/>
      <c r="FB31" s="10"/>
    </row>
    <row r="32" spans="2:158" outlineLevel="1">
      <c r="B32" t="s">
        <v>28</v>
      </c>
      <c r="C32" t="s">
        <v>38</v>
      </c>
      <c r="E32" s="9"/>
      <c r="F32" t="s">
        <v>113</v>
      </c>
      <c r="G32" s="10">
        <v>0.05</v>
      </c>
      <c r="I32" s="9">
        <f t="shared" si="2"/>
        <v>3</v>
      </c>
      <c r="J32" s="11" cm="1">
        <f t="array" ref="J32">MAX(IF($N$3:$EH$3=$J$3,N32:EH32))</f>
        <v>0.1</v>
      </c>
      <c r="K32" s="11" cm="1">
        <f t="array" ref="K32">MAX(IF($N$3:$EH$3=$J$3,N32:EH32))</f>
        <v>0.1</v>
      </c>
      <c r="L32" s="9"/>
      <c r="N32">
        <v>3</v>
      </c>
      <c r="O32" s="10">
        <v>0.1</v>
      </c>
      <c r="P32" s="10">
        <v>0.1</v>
      </c>
      <c r="Q32" s="10">
        <v>0.1</v>
      </c>
      <c r="R32" s="10">
        <v>0.1</v>
      </c>
      <c r="V32" s="10"/>
      <c r="W32" s="10"/>
      <c r="X32" s="10"/>
      <c r="Y32" s="10"/>
      <c r="AC32" s="10"/>
      <c r="AD32" s="10"/>
      <c r="AE32" s="10"/>
      <c r="AF32" s="10"/>
      <c r="AJ32" s="10"/>
      <c r="AK32" s="10">
        <v>0.5</v>
      </c>
      <c r="AL32" s="10"/>
      <c r="AM32" s="10">
        <v>0.5</v>
      </c>
      <c r="AP32">
        <v>0</v>
      </c>
      <c r="AQ32" s="10"/>
      <c r="AR32" s="10">
        <v>0.5</v>
      </c>
      <c r="AS32" s="10"/>
      <c r="AT32" s="10">
        <v>0.5</v>
      </c>
      <c r="AW32">
        <v>0</v>
      </c>
      <c r="AX32" s="10"/>
      <c r="AY32" s="10">
        <v>0.5</v>
      </c>
      <c r="AZ32" s="10"/>
      <c r="BA32" s="10">
        <v>0.5</v>
      </c>
      <c r="BD32">
        <v>0</v>
      </c>
      <c r="BE32" s="10"/>
      <c r="BF32" s="10">
        <v>0.8</v>
      </c>
      <c r="BG32" s="10"/>
      <c r="BH32" s="10">
        <v>0.8</v>
      </c>
      <c r="BK32">
        <v>0</v>
      </c>
      <c r="BL32" s="10"/>
      <c r="BM32" s="10">
        <v>0.8</v>
      </c>
      <c r="BN32" s="10"/>
      <c r="BO32" s="10">
        <v>0.8</v>
      </c>
      <c r="BR32">
        <v>0</v>
      </c>
      <c r="BS32" s="10"/>
      <c r="BT32" s="10">
        <v>0.8</v>
      </c>
      <c r="BU32" s="10"/>
      <c r="BV32" s="10">
        <v>0.8</v>
      </c>
      <c r="BY32">
        <v>0</v>
      </c>
      <c r="BZ32" s="10"/>
      <c r="CA32" s="10">
        <v>0.8</v>
      </c>
      <c r="CB32" s="10"/>
      <c r="CC32" s="10">
        <v>0.8</v>
      </c>
      <c r="CF32">
        <v>0</v>
      </c>
      <c r="CG32" s="10"/>
      <c r="CH32" s="10">
        <v>0.8</v>
      </c>
      <c r="CI32" s="10"/>
      <c r="CJ32" s="10">
        <v>0.8</v>
      </c>
      <c r="CM32">
        <v>0</v>
      </c>
      <c r="CN32" s="10"/>
      <c r="CO32" s="10">
        <v>0.8</v>
      </c>
      <c r="CP32" s="10"/>
      <c r="CQ32" s="10">
        <v>0.8</v>
      </c>
      <c r="CT32">
        <v>0</v>
      </c>
      <c r="CU32" s="10"/>
      <c r="CV32" s="10">
        <v>0.8</v>
      </c>
      <c r="CW32" s="10"/>
      <c r="CX32" s="10">
        <v>0.8</v>
      </c>
      <c r="DA32">
        <v>0</v>
      </c>
      <c r="DB32" s="10"/>
      <c r="DC32" s="10">
        <v>1</v>
      </c>
      <c r="DD32" s="10"/>
      <c r="DE32" s="10">
        <v>1</v>
      </c>
      <c r="DI32" s="10"/>
      <c r="DJ32" s="10"/>
      <c r="DK32" s="10"/>
      <c r="DL32" s="10"/>
      <c r="DP32" s="10"/>
      <c r="DQ32" s="10"/>
      <c r="DR32" s="10"/>
      <c r="DS32" s="10"/>
      <c r="DW32" s="10"/>
      <c r="DX32" s="10"/>
      <c r="DY32" s="10"/>
      <c r="DZ32" s="10"/>
      <c r="EC32">
        <v>0</v>
      </c>
      <c r="ED32" s="10"/>
      <c r="EE32" s="10">
        <v>1</v>
      </c>
      <c r="EF32" s="10"/>
      <c r="EG32" s="10">
        <v>1</v>
      </c>
      <c r="EH32" s="18" t="s">
        <v>75</v>
      </c>
      <c r="EK32" s="10"/>
      <c r="EL32" s="10"/>
      <c r="EM32" s="10"/>
      <c r="EN32" s="10"/>
      <c r="ER32" s="10"/>
      <c r="ES32" s="10"/>
      <c r="ET32" s="10"/>
      <c r="EU32" s="10"/>
      <c r="EY32" s="10"/>
      <c r="EZ32" s="10"/>
      <c r="FA32" s="10"/>
      <c r="FB32" s="10"/>
    </row>
    <row r="33" spans="2:159" outlineLevel="1">
      <c r="B33" t="s">
        <v>28</v>
      </c>
      <c r="C33" t="s">
        <v>38</v>
      </c>
      <c r="E33" s="9"/>
      <c r="F33" t="s">
        <v>114</v>
      </c>
      <c r="G33" s="10">
        <v>0.1</v>
      </c>
      <c r="I33" s="9">
        <f t="shared" si="2"/>
        <v>23</v>
      </c>
      <c r="J33" s="11" cm="1">
        <f t="array" ref="J33">MAX(IF($N$3:$EH$3=$J$3,N33:EH33))</f>
        <v>0.1</v>
      </c>
      <c r="K33" s="11" cm="1">
        <f t="array" ref="K33">MAX(IF($N$3:$EH$3=$J$3,N33:EH33))</f>
        <v>0.1</v>
      </c>
      <c r="L33" s="9"/>
      <c r="N33">
        <v>3</v>
      </c>
      <c r="O33" s="10">
        <v>0.1</v>
      </c>
      <c r="P33" s="10">
        <v>0.1</v>
      </c>
      <c r="Q33" s="10">
        <v>0.1</v>
      </c>
      <c r="R33" s="10">
        <v>0.1</v>
      </c>
      <c r="V33" s="10"/>
      <c r="W33" s="10"/>
      <c r="X33" s="10"/>
      <c r="Y33" s="10"/>
      <c r="AC33" s="10"/>
      <c r="AD33" s="10"/>
      <c r="AE33" s="10"/>
      <c r="AF33" s="10"/>
      <c r="AJ33" s="10"/>
      <c r="AK33" s="10"/>
      <c r="AL33" s="10"/>
      <c r="AM33" s="10"/>
      <c r="AQ33" s="10"/>
      <c r="AR33" s="10">
        <v>0.5</v>
      </c>
      <c r="AS33" s="10"/>
      <c r="AT33" s="10">
        <v>0.5</v>
      </c>
      <c r="AW33">
        <v>2</v>
      </c>
      <c r="AX33" s="10"/>
      <c r="AY33" s="10">
        <v>0.5</v>
      </c>
      <c r="AZ33" s="10"/>
      <c r="BA33" s="10">
        <v>0.5</v>
      </c>
      <c r="BD33">
        <v>2</v>
      </c>
      <c r="BE33" s="10"/>
      <c r="BF33" s="10">
        <v>0.5</v>
      </c>
      <c r="BG33" s="10"/>
      <c r="BH33" s="10">
        <v>0.5</v>
      </c>
      <c r="BK33">
        <v>2</v>
      </c>
      <c r="BL33" s="10"/>
      <c r="BM33" s="10">
        <v>0.8</v>
      </c>
      <c r="BN33" s="10"/>
      <c r="BO33" s="10">
        <v>0.8</v>
      </c>
      <c r="BR33">
        <v>2</v>
      </c>
      <c r="BS33" s="10"/>
      <c r="BT33" s="10">
        <v>0.8</v>
      </c>
      <c r="BU33" s="10"/>
      <c r="BV33" s="10">
        <v>0.8</v>
      </c>
      <c r="BY33">
        <v>2</v>
      </c>
      <c r="BZ33" s="10"/>
      <c r="CA33" s="10">
        <v>0.8</v>
      </c>
      <c r="CB33" s="10"/>
      <c r="CC33" s="10">
        <v>0.8</v>
      </c>
      <c r="CF33">
        <v>2</v>
      </c>
      <c r="CG33" s="10"/>
      <c r="CH33" s="10">
        <v>0.8</v>
      </c>
      <c r="CI33" s="10"/>
      <c r="CJ33" s="10">
        <v>0.8</v>
      </c>
      <c r="CM33">
        <v>2</v>
      </c>
      <c r="CN33" s="10"/>
      <c r="CO33" s="10">
        <v>0.8</v>
      </c>
      <c r="CP33" s="10"/>
      <c r="CQ33" s="10">
        <v>0.8</v>
      </c>
      <c r="CT33">
        <v>2</v>
      </c>
      <c r="CU33" s="10"/>
      <c r="CV33" s="10">
        <v>0.8</v>
      </c>
      <c r="CW33" s="10"/>
      <c r="CX33" s="10">
        <v>0.8</v>
      </c>
      <c r="DA33">
        <v>2</v>
      </c>
      <c r="DB33" s="10"/>
      <c r="DC33" s="10">
        <v>1</v>
      </c>
      <c r="DD33" s="10"/>
      <c r="DE33" s="10">
        <v>1</v>
      </c>
      <c r="DI33" s="10"/>
      <c r="DJ33" s="10"/>
      <c r="DK33" s="10"/>
      <c r="DL33" s="10"/>
      <c r="DP33" s="10"/>
      <c r="DQ33" s="10"/>
      <c r="DR33" s="10"/>
      <c r="DS33" s="10"/>
      <c r="DW33" s="10"/>
      <c r="DX33" s="10"/>
      <c r="DY33" s="10"/>
      <c r="DZ33" s="10"/>
      <c r="EC33">
        <v>2</v>
      </c>
      <c r="ED33" s="10"/>
      <c r="EE33" s="10">
        <v>1</v>
      </c>
      <c r="EF33" s="10"/>
      <c r="EG33" s="10">
        <v>1</v>
      </c>
      <c r="EH33" s="18" t="s">
        <v>75</v>
      </c>
      <c r="EK33" s="10"/>
      <c r="EL33" s="10"/>
      <c r="EM33" s="10"/>
      <c r="EN33" s="10"/>
      <c r="ER33" s="10"/>
      <c r="ES33" s="10"/>
      <c r="ET33" s="10"/>
      <c r="EU33" s="10"/>
      <c r="EY33" s="10"/>
      <c r="EZ33" s="10"/>
      <c r="FA33" s="10"/>
      <c r="FB33" s="10"/>
    </row>
    <row r="34" spans="2:159">
      <c r="EZ34" s="10"/>
      <c r="FB34" s="10"/>
    </row>
    <row r="35" spans="2:159">
      <c r="B35" t="s">
        <v>27</v>
      </c>
      <c r="C35" t="s">
        <v>88</v>
      </c>
      <c r="D35" s="17">
        <v>45350</v>
      </c>
      <c r="E35" s="9">
        <v>5</v>
      </c>
      <c r="G35" s="10">
        <f>+SUM(G36:G39)</f>
        <v>0.60000000000000009</v>
      </c>
      <c r="I35" s="12">
        <f>+SUM(I36:I39)</f>
        <v>2</v>
      </c>
      <c r="J35" s="11">
        <f>+SUMPRODUCT(G36:G39,J36:J39)</f>
        <v>0.05</v>
      </c>
      <c r="K35" s="11">
        <f>+SUMPRODUCT(G36:G39,K36:K39)</f>
        <v>0.05</v>
      </c>
      <c r="L35" s="9"/>
      <c r="N35" s="12">
        <f>+SUM(N36:N39)</f>
        <v>0</v>
      </c>
      <c r="U35" s="12">
        <f>+SUM(U36:U39)</f>
        <v>0</v>
      </c>
      <c r="AB35" s="12">
        <f>+SUM(AB36:AB39)</f>
        <v>2</v>
      </c>
      <c r="AI35" s="12">
        <f>+SUM(AI36:AI39)</f>
        <v>0</v>
      </c>
      <c r="AP35" s="12">
        <f>+SUM(AP36:AP39)</f>
        <v>0</v>
      </c>
      <c r="AW35" s="12">
        <f>+SUM(AW36:AW39)</f>
        <v>0</v>
      </c>
      <c r="BD35" s="12">
        <f>+SUM(BD36:BD39)</f>
        <v>0</v>
      </c>
      <c r="BK35" s="12">
        <f>+SUM(BK36:BK39)</f>
        <v>0</v>
      </c>
      <c r="BR35" s="12">
        <f>+SUM(BR36:BR39)</f>
        <v>0</v>
      </c>
      <c r="BY35" s="12">
        <f>+SUM(BY36:BY39)</f>
        <v>0</v>
      </c>
      <c r="CF35" s="12">
        <f>+SUM(CF36:CF39)</f>
        <v>0</v>
      </c>
      <c r="CM35" s="12">
        <f>+SUM(CM36:CM39)</f>
        <v>0</v>
      </c>
      <c r="CT35" s="12">
        <f>+SUM(CT36:CT39)</f>
        <v>0</v>
      </c>
      <c r="DA35" s="12">
        <f>+SUM(DA36:DA39)</f>
        <v>0</v>
      </c>
      <c r="DH35" s="12">
        <f>+SUM(DH36:DH39)</f>
        <v>0</v>
      </c>
      <c r="DO35" s="12">
        <f>+SUM(DO36:DO39)</f>
        <v>0</v>
      </c>
      <c r="DV35" s="12">
        <f>+SUM(DV36:DV39)</f>
        <v>0</v>
      </c>
      <c r="EC35" s="12">
        <f>+SUM(EC36:EC39)</f>
        <v>0</v>
      </c>
      <c r="EJ35" s="12">
        <f>+SUM(EJ36:EJ39)</f>
        <v>0</v>
      </c>
      <c r="EQ35" s="12"/>
      <c r="EX35" s="12"/>
      <c r="EZ35" s="10"/>
      <c r="FB35" s="10"/>
    </row>
    <row r="36" spans="2:159" outlineLevel="1">
      <c r="B36" t="s">
        <v>28</v>
      </c>
      <c r="C36" t="s">
        <v>88</v>
      </c>
      <c r="E36" s="9"/>
      <c r="F36" t="s">
        <v>98</v>
      </c>
      <c r="G36" s="10">
        <v>0.1</v>
      </c>
      <c r="I36" s="9">
        <f>+SUMIF($N$3:$ZZ$3,I$3,$N36:$ZZ36)</f>
        <v>2</v>
      </c>
      <c r="J36" s="11" cm="1">
        <f t="array" ref="J36">MAX(IF($N$3:$EH$3=$J$3,N36:EH36))</f>
        <v>0.5</v>
      </c>
      <c r="K36" s="11" cm="1">
        <f t="array" ref="K36">MAX(IF($N$3:$EH$3=$J$3,N36:EH36))</f>
        <v>0.5</v>
      </c>
      <c r="L36" s="9"/>
      <c r="O36" s="10"/>
      <c r="P36" s="10"/>
      <c r="Q36" s="10"/>
      <c r="R36" s="10"/>
      <c r="V36" s="10"/>
      <c r="W36" s="10"/>
      <c r="X36" s="10"/>
      <c r="Y36" s="10"/>
      <c r="AB36">
        <v>2</v>
      </c>
      <c r="AC36" s="10">
        <v>0.5</v>
      </c>
      <c r="AD36" s="10">
        <v>0.5</v>
      </c>
      <c r="AE36" s="10">
        <v>0.5</v>
      </c>
      <c r="AF36" s="10">
        <v>0.5</v>
      </c>
      <c r="AJ36" s="10"/>
      <c r="AK36" s="10">
        <v>0.5</v>
      </c>
      <c r="AL36" s="10"/>
      <c r="AM36" s="10">
        <v>0.5</v>
      </c>
      <c r="AQ36" s="10"/>
      <c r="AR36" s="10">
        <v>0.5</v>
      </c>
      <c r="AS36" s="10"/>
      <c r="AT36" s="10">
        <v>0.5</v>
      </c>
      <c r="AX36" s="10"/>
      <c r="AY36" s="10">
        <v>0.5</v>
      </c>
      <c r="AZ36" s="10"/>
      <c r="BA36" s="10">
        <v>0.5</v>
      </c>
      <c r="BE36" s="10"/>
      <c r="BF36" s="10">
        <v>0.8</v>
      </c>
      <c r="BG36" s="10"/>
      <c r="BH36" s="10">
        <v>0.8</v>
      </c>
      <c r="BL36" s="10"/>
      <c r="BM36" s="10">
        <v>0.8</v>
      </c>
      <c r="BN36" s="10"/>
      <c r="BO36" s="10">
        <v>0.8</v>
      </c>
      <c r="BS36" s="10"/>
      <c r="BT36" s="10">
        <v>0.8</v>
      </c>
      <c r="BU36" s="10"/>
      <c r="BV36" s="10">
        <v>0.8</v>
      </c>
      <c r="BZ36" s="10"/>
      <c r="CA36" s="10">
        <v>0.8</v>
      </c>
      <c r="CB36" s="10"/>
      <c r="CC36" s="10">
        <v>0.8</v>
      </c>
      <c r="CG36" s="10"/>
      <c r="CH36" s="10">
        <v>0.8</v>
      </c>
      <c r="CI36" s="10"/>
      <c r="CJ36" s="10">
        <v>0.8</v>
      </c>
      <c r="CN36" s="10"/>
      <c r="CO36" s="10">
        <v>0.8</v>
      </c>
      <c r="CP36" s="10"/>
      <c r="CQ36" s="10">
        <v>0.8</v>
      </c>
      <c r="CU36" s="10"/>
      <c r="CV36" s="10">
        <v>1</v>
      </c>
      <c r="CW36" s="10"/>
      <c r="CX36" s="10">
        <v>1</v>
      </c>
      <c r="DB36" s="10"/>
      <c r="DC36" s="10">
        <v>1</v>
      </c>
      <c r="DD36" s="10"/>
      <c r="DE36" s="10">
        <v>1</v>
      </c>
      <c r="DI36" s="10"/>
      <c r="DJ36" s="10">
        <v>1</v>
      </c>
      <c r="DK36" s="10"/>
      <c r="DL36" s="10">
        <v>1</v>
      </c>
      <c r="DM36" s="19" t="s">
        <v>115</v>
      </c>
      <c r="DP36" s="10"/>
      <c r="DQ36" s="10"/>
      <c r="DR36" s="10"/>
      <c r="DS36" s="10"/>
      <c r="DW36" s="10"/>
      <c r="DX36" s="10"/>
      <c r="DY36" s="10"/>
      <c r="DZ36" s="10"/>
      <c r="ED36" s="10"/>
      <c r="EE36" s="10"/>
      <c r="EF36" s="10"/>
      <c r="EG36" s="10"/>
      <c r="EK36" s="10"/>
      <c r="EL36" s="10">
        <v>1</v>
      </c>
      <c r="EM36" s="10"/>
      <c r="EN36" s="10">
        <v>1</v>
      </c>
      <c r="EO36" s="18" t="s">
        <v>75</v>
      </c>
      <c r="ER36" s="10"/>
      <c r="ES36" s="10"/>
      <c r="ET36" s="10"/>
      <c r="EU36" s="10"/>
      <c r="EY36" s="10"/>
      <c r="EZ36" s="10"/>
      <c r="FA36" s="10"/>
      <c r="FB36" s="10"/>
    </row>
    <row r="37" spans="2:159" outlineLevel="1">
      <c r="B37" t="s">
        <v>28</v>
      </c>
      <c r="C37" t="s">
        <v>88</v>
      </c>
      <c r="E37" s="9"/>
      <c r="F37" t="s">
        <v>99</v>
      </c>
      <c r="G37" s="10">
        <v>0.2</v>
      </c>
      <c r="I37" s="9">
        <f>+SUMIF($N$3:$ZZ$3,I$3,$N37:$ZZ37)</f>
        <v>0</v>
      </c>
      <c r="J37" s="11" cm="1">
        <f t="array" ref="J37">MAX(IF($N$3:$EH$3=$J$3,N37:EH37))</f>
        <v>0</v>
      </c>
      <c r="K37" s="11" cm="1">
        <f t="array" ref="K37">MAX(IF($N$3:$EH$3=$J$3,N37:EH37))</f>
        <v>0</v>
      </c>
      <c r="L37" s="9"/>
      <c r="O37" s="10"/>
      <c r="P37" s="10"/>
      <c r="Q37" s="10"/>
      <c r="R37" s="10"/>
      <c r="V37" s="10"/>
      <c r="W37" s="10"/>
      <c r="X37" s="10"/>
      <c r="Y37" s="10"/>
      <c r="AC37" s="10"/>
      <c r="AD37" s="10"/>
      <c r="AE37" s="10"/>
      <c r="AF37" s="10"/>
      <c r="AJ37" s="10"/>
      <c r="AK37" s="10">
        <v>0.5</v>
      </c>
      <c r="AL37" s="10"/>
      <c r="AM37" s="10">
        <v>0.5</v>
      </c>
      <c r="AQ37" s="10"/>
      <c r="AR37" s="10">
        <v>0.5</v>
      </c>
      <c r="AS37" s="10"/>
      <c r="AT37" s="10">
        <v>0.5</v>
      </c>
      <c r="AX37" s="10"/>
      <c r="AY37" s="10">
        <v>0.5</v>
      </c>
      <c r="AZ37" s="10"/>
      <c r="BA37" s="10">
        <v>0.5</v>
      </c>
      <c r="BE37" s="10"/>
      <c r="BF37" s="10">
        <v>0.5</v>
      </c>
      <c r="BG37" s="10"/>
      <c r="BH37" s="10">
        <v>0.5</v>
      </c>
      <c r="BL37" s="10"/>
      <c r="BM37" s="10">
        <v>0.8</v>
      </c>
      <c r="BN37" s="10"/>
      <c r="BO37" s="10">
        <v>0.8</v>
      </c>
      <c r="BS37" s="10"/>
      <c r="BT37" s="10">
        <v>0.8</v>
      </c>
      <c r="BU37" s="10"/>
      <c r="BV37" s="10">
        <v>0.8</v>
      </c>
      <c r="BZ37" s="10"/>
      <c r="CA37" s="10">
        <v>0.8</v>
      </c>
      <c r="CB37" s="10"/>
      <c r="CC37" s="10">
        <v>0.8</v>
      </c>
      <c r="CG37" s="10"/>
      <c r="CH37" s="10">
        <v>0.8</v>
      </c>
      <c r="CI37" s="10"/>
      <c r="CJ37" s="10">
        <v>0.8</v>
      </c>
      <c r="CN37" s="10"/>
      <c r="CO37" s="10">
        <v>0.8</v>
      </c>
      <c r="CP37" s="10"/>
      <c r="CQ37" s="10">
        <v>0.8</v>
      </c>
      <c r="CU37" s="10"/>
      <c r="CV37" s="10">
        <v>0.8</v>
      </c>
      <c r="CW37" s="10"/>
      <c r="CX37" s="10">
        <v>0.8</v>
      </c>
      <c r="DB37" s="10"/>
      <c r="DC37" s="10">
        <v>1</v>
      </c>
      <c r="DD37" s="10"/>
      <c r="DE37" s="10">
        <v>1</v>
      </c>
      <c r="DI37" s="10"/>
      <c r="DJ37" s="10">
        <v>1</v>
      </c>
      <c r="DK37" s="10"/>
      <c r="DL37" s="10">
        <v>1</v>
      </c>
      <c r="DP37" s="10"/>
      <c r="DQ37" s="10"/>
      <c r="DR37" s="10"/>
      <c r="DS37" s="10"/>
      <c r="DW37" s="10"/>
      <c r="DX37" s="10"/>
      <c r="DY37" s="10"/>
      <c r="DZ37" s="10"/>
      <c r="ED37" s="10"/>
      <c r="EE37" s="10"/>
      <c r="EF37" s="10"/>
      <c r="EG37" s="10"/>
      <c r="EK37" s="10"/>
      <c r="EL37" s="10">
        <v>1</v>
      </c>
      <c r="EM37" s="10"/>
      <c r="EN37" s="10">
        <v>1</v>
      </c>
      <c r="EO37" s="18" t="s">
        <v>75</v>
      </c>
      <c r="ER37" s="10"/>
      <c r="ES37" s="10"/>
      <c r="ET37" s="10"/>
      <c r="EU37" s="10"/>
      <c r="EY37" s="10"/>
      <c r="EZ37" s="10"/>
      <c r="FA37" s="10"/>
      <c r="FB37" s="10"/>
    </row>
    <row r="38" spans="2:159" outlineLevel="1">
      <c r="B38" t="s">
        <v>28</v>
      </c>
      <c r="C38" t="s">
        <v>88</v>
      </c>
      <c r="E38" s="9"/>
      <c r="F38" t="s">
        <v>100</v>
      </c>
      <c r="G38" s="10">
        <v>0.15</v>
      </c>
      <c r="I38" s="9">
        <f>+SUMIF($N$3:$ZZ$3,I$3,$N38:$ZZ38)</f>
        <v>0</v>
      </c>
      <c r="J38" s="11" cm="1">
        <f t="array" ref="J38">MAX(IF($N$3:$EH$3=$J$3,N38:EH38))</f>
        <v>0</v>
      </c>
      <c r="K38" s="11" cm="1">
        <f t="array" ref="K38">MAX(IF($N$3:$EH$3=$J$3,N38:EH38))</f>
        <v>0</v>
      </c>
      <c r="L38" s="9"/>
      <c r="O38" s="10"/>
      <c r="P38" s="10"/>
      <c r="Q38" s="10"/>
      <c r="R38" s="10"/>
      <c r="V38" s="10"/>
      <c r="W38" s="10"/>
      <c r="X38" s="10"/>
      <c r="Y38" s="10"/>
      <c r="AC38" s="10"/>
      <c r="AD38" s="10"/>
      <c r="AE38" s="10"/>
      <c r="AF38" s="10"/>
      <c r="AJ38" s="10"/>
      <c r="AK38" s="10"/>
      <c r="AL38" s="10"/>
      <c r="AM38" s="10"/>
      <c r="AQ38" s="10"/>
      <c r="AR38" s="10">
        <v>0.5</v>
      </c>
      <c r="AS38" s="10"/>
      <c r="AT38" s="10">
        <v>0.5</v>
      </c>
      <c r="AX38" s="10"/>
      <c r="AY38" s="10">
        <v>0.5</v>
      </c>
      <c r="AZ38" s="10"/>
      <c r="BA38" s="10">
        <v>0.5</v>
      </c>
      <c r="BE38" s="10"/>
      <c r="BF38" s="10">
        <v>0.5</v>
      </c>
      <c r="BG38" s="10"/>
      <c r="BH38" s="10">
        <v>0.5</v>
      </c>
      <c r="BL38" s="10"/>
      <c r="BM38" s="10">
        <v>0.5</v>
      </c>
      <c r="BN38" s="10"/>
      <c r="BO38" s="10">
        <v>0.5</v>
      </c>
      <c r="BS38" s="10"/>
      <c r="BT38" s="10">
        <v>0.5</v>
      </c>
      <c r="BU38" s="10"/>
      <c r="BV38" s="10">
        <v>0.5</v>
      </c>
      <c r="BZ38" s="10"/>
      <c r="CA38" s="10">
        <v>0.5</v>
      </c>
      <c r="CB38" s="10"/>
      <c r="CC38" s="10">
        <v>0.5</v>
      </c>
      <c r="CG38" s="10"/>
      <c r="CH38" s="10">
        <v>0.8</v>
      </c>
      <c r="CI38" s="10"/>
      <c r="CJ38" s="10">
        <v>0.8</v>
      </c>
      <c r="CN38" s="10"/>
      <c r="CO38" s="10">
        <v>0.8</v>
      </c>
      <c r="CP38" s="10"/>
      <c r="CQ38" s="10">
        <v>0.8</v>
      </c>
      <c r="CU38" s="10"/>
      <c r="CV38" s="10">
        <v>0.8</v>
      </c>
      <c r="CW38" s="10"/>
      <c r="CX38" s="10">
        <v>0.8</v>
      </c>
      <c r="DB38" s="10"/>
      <c r="DC38" s="10">
        <v>0.8</v>
      </c>
      <c r="DD38" s="10"/>
      <c r="DE38" s="10">
        <v>0.8</v>
      </c>
      <c r="DI38" s="10"/>
      <c r="DJ38" s="10">
        <v>1</v>
      </c>
      <c r="DK38" s="10"/>
      <c r="DL38" s="10">
        <v>1</v>
      </c>
      <c r="DP38" s="10"/>
      <c r="DQ38" s="10"/>
      <c r="DR38" s="10"/>
      <c r="DS38" s="10"/>
      <c r="DW38" s="10"/>
      <c r="DX38" s="10"/>
      <c r="DY38" s="10"/>
      <c r="DZ38" s="10"/>
      <c r="ED38" s="10"/>
      <c r="EE38" s="10"/>
      <c r="EF38" s="10"/>
      <c r="EG38" s="10"/>
      <c r="EK38" s="10"/>
      <c r="EL38" s="10">
        <v>1</v>
      </c>
      <c r="EM38" s="10"/>
      <c r="EN38" s="10">
        <v>1</v>
      </c>
      <c r="EO38" s="18" t="s">
        <v>75</v>
      </c>
      <c r="ER38" s="10"/>
      <c r="ES38" s="10"/>
      <c r="ET38" s="10"/>
      <c r="EU38" s="10"/>
      <c r="EY38" s="10"/>
      <c r="EZ38" s="10"/>
      <c r="FA38" s="10"/>
      <c r="FB38" s="10"/>
    </row>
    <row r="39" spans="2:159" outlineLevel="1">
      <c r="B39" t="s">
        <v>28</v>
      </c>
      <c r="C39" t="s">
        <v>88</v>
      </c>
      <c r="E39" s="9"/>
      <c r="F39" t="s">
        <v>101</v>
      </c>
      <c r="G39" s="10">
        <v>0.15</v>
      </c>
      <c r="I39" s="9">
        <f>+SUMIF($N$3:$ZZ$3,I$3,$N39:$ZZ39)</f>
        <v>0</v>
      </c>
      <c r="J39" s="11" cm="1">
        <f t="array" ref="J39">MAX(IF($N$3:$EH$3=$J$3,N39:EH39))</f>
        <v>0</v>
      </c>
      <c r="K39" s="11" cm="1">
        <f t="array" ref="K39">MAX(IF($N$3:$EH$3=$J$3,N39:EH39))</f>
        <v>0</v>
      </c>
      <c r="L39" s="9"/>
      <c r="O39" s="10"/>
      <c r="P39" s="10"/>
      <c r="Q39" s="10"/>
      <c r="R39" s="10"/>
      <c r="V39" s="10"/>
      <c r="W39" s="10"/>
      <c r="X39" s="10"/>
      <c r="Y39" s="10"/>
      <c r="AC39" s="10"/>
      <c r="AD39" s="10"/>
      <c r="AE39" s="10"/>
      <c r="AF39" s="10"/>
      <c r="AJ39" s="10"/>
      <c r="AK39" s="10"/>
      <c r="AL39" s="10"/>
      <c r="AM39" s="10"/>
      <c r="AQ39" s="10"/>
      <c r="AR39" s="10"/>
      <c r="AS39" s="10"/>
      <c r="AT39" s="10"/>
      <c r="AX39" s="10"/>
      <c r="AY39" s="10">
        <v>0.5</v>
      </c>
      <c r="AZ39" s="10"/>
      <c r="BA39" s="10">
        <v>0.5</v>
      </c>
      <c r="BE39" s="10"/>
      <c r="BF39" s="10">
        <v>0.5</v>
      </c>
      <c r="BG39" s="10"/>
      <c r="BH39" s="10">
        <v>0.5</v>
      </c>
      <c r="BL39" s="10"/>
      <c r="BM39" s="10">
        <v>0.5</v>
      </c>
      <c r="BN39" s="10"/>
      <c r="BO39" s="10">
        <v>0.5</v>
      </c>
      <c r="BS39" s="10"/>
      <c r="BT39" s="10">
        <v>0.5</v>
      </c>
      <c r="BU39" s="10"/>
      <c r="BV39" s="10">
        <v>0.5</v>
      </c>
      <c r="BZ39" s="10"/>
      <c r="CA39" s="10">
        <v>0.5</v>
      </c>
      <c r="CB39" s="10"/>
      <c r="CC39" s="10">
        <v>0.5</v>
      </c>
      <c r="CG39" s="10"/>
      <c r="CH39" s="10">
        <v>0.5</v>
      </c>
      <c r="CI39" s="10"/>
      <c r="CJ39" s="10">
        <v>0.5</v>
      </c>
      <c r="CN39" s="10"/>
      <c r="CO39" s="10">
        <v>0.8</v>
      </c>
      <c r="CP39" s="10"/>
      <c r="CQ39" s="10">
        <v>0.8</v>
      </c>
      <c r="CU39" s="10"/>
      <c r="CV39" s="10">
        <v>0.8</v>
      </c>
      <c r="CW39" s="10"/>
      <c r="CX39" s="10">
        <v>0.8</v>
      </c>
      <c r="DB39" s="10"/>
      <c r="DC39" s="10">
        <v>0.8</v>
      </c>
      <c r="DD39" s="10"/>
      <c r="DE39" s="10">
        <v>0.8</v>
      </c>
      <c r="DI39" s="10"/>
      <c r="DJ39" s="10">
        <v>1</v>
      </c>
      <c r="DK39" s="10"/>
      <c r="DL39" s="10">
        <v>1</v>
      </c>
      <c r="DP39" s="10"/>
      <c r="DQ39" s="10"/>
      <c r="DR39" s="10"/>
      <c r="DS39" s="10"/>
      <c r="DW39" s="10"/>
      <c r="DX39" s="10"/>
      <c r="DY39" s="10"/>
      <c r="DZ39" s="10"/>
      <c r="ED39" s="10"/>
      <c r="EE39" s="10"/>
      <c r="EF39" s="10"/>
      <c r="EG39" s="10"/>
      <c r="EK39" s="10"/>
      <c r="EL39" s="10">
        <v>1</v>
      </c>
      <c r="EM39" s="10"/>
      <c r="EN39" s="10">
        <v>1</v>
      </c>
      <c r="EO39" s="18" t="s">
        <v>75</v>
      </c>
      <c r="ER39" s="10"/>
      <c r="ES39" s="10"/>
      <c r="ET39" s="10"/>
      <c r="EU39" s="10"/>
      <c r="EY39" s="10"/>
      <c r="EZ39" s="10"/>
      <c r="FA39" s="10"/>
      <c r="FB39" s="10"/>
    </row>
    <row r="41" spans="2:159">
      <c r="B41" t="s">
        <v>27</v>
      </c>
      <c r="C41" t="s">
        <v>62</v>
      </c>
      <c r="D41" s="17">
        <v>45365</v>
      </c>
      <c r="E41" s="9">
        <v>5</v>
      </c>
      <c r="G41" s="10">
        <f>+SUM(G42:G47)</f>
        <v>1</v>
      </c>
      <c r="I41" s="12">
        <f>+SUM(I42:I47)</f>
        <v>2</v>
      </c>
      <c r="J41" s="11">
        <f>+SUMPRODUCT(G42:G47,J42:J47)</f>
        <v>0.17000000000000004</v>
      </c>
      <c r="K41" s="11">
        <f>+SUMPRODUCT(G42:G47,K42:K47)</f>
        <v>0.17000000000000004</v>
      </c>
      <c r="L41" s="9"/>
      <c r="N41" s="12">
        <f>+SUM(N42:N47)</f>
        <v>0</v>
      </c>
      <c r="U41" s="12">
        <f>+SUM(U42:U47)</f>
        <v>0</v>
      </c>
      <c r="AB41" s="12">
        <f>+SUM(AB42:AB47)</f>
        <v>2</v>
      </c>
      <c r="AI41" s="12">
        <f>+SUM(AI42:AI47)</f>
        <v>0</v>
      </c>
      <c r="AP41" s="12">
        <f>+SUM(AP42:AP47)</f>
        <v>0</v>
      </c>
      <c r="AW41" s="12">
        <f>+SUM(AW42:AW47)</f>
        <v>0</v>
      </c>
      <c r="BD41" s="12">
        <f>+SUM(BD42:BD47)</f>
        <v>0</v>
      </c>
      <c r="BK41" s="12">
        <f>+SUM(BK42:BK47)</f>
        <v>0</v>
      </c>
      <c r="BR41" s="12">
        <f>+SUM(BR42:BR47)</f>
        <v>0</v>
      </c>
      <c r="BY41" s="12">
        <f>+SUM(BY42:BY47)</f>
        <v>0</v>
      </c>
      <c r="CF41" s="12">
        <f>+SUM(CF42:CF47)</f>
        <v>0</v>
      </c>
      <c r="CM41" s="12">
        <f>+SUM(CM42:CM47)</f>
        <v>0</v>
      </c>
      <c r="CT41" s="12">
        <f>+SUM(CT42:CT47)</f>
        <v>0</v>
      </c>
      <c r="DA41" s="12">
        <f>+SUM(DA42:DA47)</f>
        <v>0</v>
      </c>
      <c r="DH41" s="12">
        <f>+SUM(DH42:DH47)</f>
        <v>0</v>
      </c>
      <c r="DO41" s="12">
        <f>+SUM(DO42:DO47)</f>
        <v>0</v>
      </c>
      <c r="DV41" s="12">
        <f>+SUM(DV42:DV47)</f>
        <v>0</v>
      </c>
      <c r="EC41" s="12">
        <f>+SUM(EC42:EC47)</f>
        <v>0</v>
      </c>
      <c r="EJ41" s="12">
        <f>+SUM(EJ42:EJ47)</f>
        <v>0</v>
      </c>
      <c r="EQ41" s="12">
        <f>+SUM(EQ42:EQ47)</f>
        <v>0</v>
      </c>
      <c r="EX41" s="12">
        <f>+SUM(EX42:EX47)</f>
        <v>0</v>
      </c>
    </row>
    <row r="42" spans="2:159" outlineLevel="1">
      <c r="B42" t="s">
        <v>28</v>
      </c>
      <c r="C42" t="s">
        <v>62</v>
      </c>
      <c r="E42" s="9"/>
      <c r="F42" t="s">
        <v>90</v>
      </c>
      <c r="G42" s="10">
        <v>0.1</v>
      </c>
      <c r="I42" s="9">
        <f t="shared" ref="I42:I49" si="3">+SUMIF($N$3:$ZZ$3,I$3,$N42:$ZZ42)</f>
        <v>2</v>
      </c>
      <c r="J42" s="11" cm="1">
        <f t="array" ref="J42">MAX(IF($N$3:$EH$3=$J$3,N42:EH42))</f>
        <v>0.8</v>
      </c>
      <c r="K42" s="11" cm="1">
        <f t="array" ref="K42">MAX(IF($N$3:$EH$3=$J$3,N42:EH42))</f>
        <v>0.8</v>
      </c>
      <c r="L42" s="9"/>
      <c r="O42" s="10">
        <v>0.1</v>
      </c>
      <c r="P42" s="10">
        <v>0.1</v>
      </c>
      <c r="Q42" s="10">
        <v>0.1</v>
      </c>
      <c r="R42" s="10">
        <v>0.1</v>
      </c>
      <c r="V42" s="10"/>
      <c r="W42" s="10"/>
      <c r="X42" s="10"/>
      <c r="Y42" s="10"/>
      <c r="AB42">
        <v>2</v>
      </c>
      <c r="AC42" s="10">
        <v>0.8</v>
      </c>
      <c r="AD42" s="10">
        <v>0.5</v>
      </c>
      <c r="AE42" s="10">
        <v>0.8</v>
      </c>
      <c r="AF42" s="10">
        <v>0.5</v>
      </c>
      <c r="AJ42" s="10"/>
      <c r="AK42" s="10">
        <v>0.5</v>
      </c>
      <c r="AL42" s="10"/>
      <c r="AM42" s="10">
        <v>0.5</v>
      </c>
      <c r="AQ42" s="10"/>
      <c r="AR42" s="10">
        <v>0.5</v>
      </c>
      <c r="AS42" s="10"/>
      <c r="AT42" s="10">
        <v>0.5</v>
      </c>
      <c r="AX42" s="10"/>
      <c r="AY42" s="10">
        <v>0.5</v>
      </c>
      <c r="AZ42" s="10"/>
      <c r="BA42" s="10">
        <v>0.5</v>
      </c>
      <c r="BE42" s="10"/>
      <c r="BF42" s="10">
        <v>0.5</v>
      </c>
      <c r="BG42" s="10"/>
      <c r="BH42" s="10">
        <v>0.5</v>
      </c>
      <c r="BL42" s="10"/>
      <c r="BM42" s="10">
        <v>0.5</v>
      </c>
      <c r="BN42" s="10"/>
      <c r="BO42" s="10">
        <v>0.5</v>
      </c>
      <c r="BS42" s="10"/>
      <c r="BT42" s="10">
        <v>0.8</v>
      </c>
      <c r="BU42" s="10"/>
      <c r="BV42" s="10">
        <v>0.8</v>
      </c>
      <c r="BZ42" s="10"/>
      <c r="CA42" s="10">
        <v>0.8</v>
      </c>
      <c r="CB42" s="10"/>
      <c r="CC42" s="10">
        <v>0.8</v>
      </c>
      <c r="CG42" s="10"/>
      <c r="CH42" s="10">
        <v>0.8</v>
      </c>
      <c r="CI42" s="10"/>
      <c r="CJ42" s="10">
        <v>0.8</v>
      </c>
      <c r="CN42" s="10"/>
      <c r="CO42" s="10">
        <v>0.8</v>
      </c>
      <c r="CP42" s="10"/>
      <c r="CQ42" s="10">
        <v>0.8</v>
      </c>
      <c r="CU42" s="10"/>
      <c r="CV42" s="10">
        <v>0.8</v>
      </c>
      <c r="CW42" s="10"/>
      <c r="CX42" s="10">
        <v>0.8</v>
      </c>
      <c r="DB42" s="10"/>
      <c r="DC42" s="10">
        <v>1</v>
      </c>
      <c r="DD42" s="10"/>
      <c r="DE42" s="10">
        <v>1</v>
      </c>
      <c r="DI42" s="10"/>
      <c r="DJ42" s="10">
        <v>1</v>
      </c>
      <c r="DK42" s="10"/>
      <c r="DL42" s="10">
        <v>1</v>
      </c>
      <c r="DP42" s="10"/>
      <c r="DQ42" s="10">
        <v>1</v>
      </c>
      <c r="DR42" s="10"/>
      <c r="DS42" s="10">
        <v>1</v>
      </c>
      <c r="DT42" s="20"/>
      <c r="DW42" s="10"/>
      <c r="DX42" s="10">
        <v>1</v>
      </c>
      <c r="DY42" s="10"/>
      <c r="DZ42" s="10">
        <v>1</v>
      </c>
      <c r="EA42" s="19" t="s">
        <v>115</v>
      </c>
      <c r="ED42" s="10"/>
      <c r="EE42" s="10"/>
      <c r="EF42" s="10"/>
      <c r="EG42" s="10"/>
      <c r="EK42" s="10"/>
      <c r="EL42" s="10"/>
      <c r="EM42" s="10"/>
      <c r="EN42" s="10"/>
      <c r="ER42" s="10"/>
      <c r="ES42" s="10"/>
      <c r="ET42" s="10"/>
      <c r="EU42" s="10"/>
      <c r="EY42" s="10"/>
      <c r="EZ42" s="10">
        <v>1</v>
      </c>
      <c r="FA42" s="10"/>
      <c r="FB42" s="10">
        <v>1</v>
      </c>
      <c r="FC42" s="18" t="s">
        <v>75</v>
      </c>
    </row>
    <row r="43" spans="2:159" outlineLevel="1">
      <c r="B43" t="s">
        <v>28</v>
      </c>
      <c r="C43" t="s">
        <v>62</v>
      </c>
      <c r="E43" s="9"/>
      <c r="F43" t="s">
        <v>91</v>
      </c>
      <c r="G43" s="10">
        <v>0.2</v>
      </c>
      <c r="I43" s="9">
        <f t="shared" si="3"/>
        <v>0</v>
      </c>
      <c r="J43" s="11" cm="1">
        <f t="array" ref="J43">MAX(IF($N$3:$EH$3=$J$3,N43:EH43))</f>
        <v>0.1</v>
      </c>
      <c r="K43" s="11" cm="1">
        <f t="array" ref="K43">MAX(IF($N$3:$EH$3=$J$3,N43:EH43))</f>
        <v>0.1</v>
      </c>
      <c r="L43" s="9"/>
      <c r="O43" s="10">
        <v>0.1</v>
      </c>
      <c r="P43" s="10">
        <v>0.1</v>
      </c>
      <c r="Q43" s="10">
        <v>0.1</v>
      </c>
      <c r="R43" s="10">
        <v>0.1</v>
      </c>
      <c r="V43" s="10"/>
      <c r="W43" s="10"/>
      <c r="X43" s="10"/>
      <c r="Y43" s="10"/>
      <c r="AC43" s="10"/>
      <c r="AD43" s="10"/>
      <c r="AE43" s="10"/>
      <c r="AF43" s="10"/>
      <c r="AJ43" s="10"/>
      <c r="AK43" s="10">
        <v>0.5</v>
      </c>
      <c r="AL43" s="10"/>
      <c r="AM43" s="10">
        <v>0.5</v>
      </c>
      <c r="AQ43" s="10"/>
      <c r="AR43" s="10">
        <v>0.5</v>
      </c>
      <c r="AS43" s="10"/>
      <c r="AT43" s="10">
        <v>0.5</v>
      </c>
      <c r="AX43" s="10"/>
      <c r="AY43" s="10">
        <v>0.5</v>
      </c>
      <c r="AZ43" s="10"/>
      <c r="BA43" s="10">
        <v>0.5</v>
      </c>
      <c r="BE43" s="10"/>
      <c r="BF43" s="10">
        <v>0.5</v>
      </c>
      <c r="BG43" s="10"/>
      <c r="BH43" s="10">
        <v>0.5</v>
      </c>
      <c r="BL43" s="10"/>
      <c r="BM43" s="10">
        <v>0.5</v>
      </c>
      <c r="BN43" s="10"/>
      <c r="BO43" s="10">
        <v>0.5</v>
      </c>
      <c r="BS43" s="10"/>
      <c r="BT43" s="10">
        <v>0.8</v>
      </c>
      <c r="BU43" s="10"/>
      <c r="BV43" s="10">
        <v>0.8</v>
      </c>
      <c r="BZ43" s="10"/>
      <c r="CA43" s="10">
        <v>0.8</v>
      </c>
      <c r="CB43" s="10"/>
      <c r="CC43" s="10">
        <v>0.8</v>
      </c>
      <c r="CG43" s="10"/>
      <c r="CH43" s="10">
        <v>0.8</v>
      </c>
      <c r="CI43" s="10"/>
      <c r="CJ43" s="10">
        <v>0.8</v>
      </c>
      <c r="CN43" s="10"/>
      <c r="CO43" s="10">
        <v>0.8</v>
      </c>
      <c r="CP43" s="10"/>
      <c r="CQ43" s="10">
        <v>0.8</v>
      </c>
      <c r="CU43" s="10"/>
      <c r="CV43" s="10">
        <v>0.8</v>
      </c>
      <c r="CW43" s="10"/>
      <c r="CX43" s="10">
        <v>0.8</v>
      </c>
      <c r="DB43" s="10"/>
      <c r="DC43" s="10">
        <v>1</v>
      </c>
      <c r="DD43" s="10"/>
      <c r="DE43" s="10">
        <v>1</v>
      </c>
      <c r="DI43" s="10"/>
      <c r="DJ43" s="10">
        <v>1</v>
      </c>
      <c r="DK43" s="10"/>
      <c r="DL43" s="10">
        <v>1</v>
      </c>
      <c r="DP43" s="10"/>
      <c r="DQ43" s="10">
        <v>1</v>
      </c>
      <c r="DR43" s="10"/>
      <c r="DS43" s="10">
        <v>1</v>
      </c>
      <c r="DW43" s="10"/>
      <c r="DX43" s="10">
        <v>1</v>
      </c>
      <c r="DY43" s="10"/>
      <c r="DZ43" s="10">
        <v>1</v>
      </c>
      <c r="ED43" s="10"/>
      <c r="EE43" s="10"/>
      <c r="EF43" s="10"/>
      <c r="EG43" s="10"/>
      <c r="EK43" s="10"/>
      <c r="EL43" s="10"/>
      <c r="EM43" s="10"/>
      <c r="EN43" s="10"/>
      <c r="ER43" s="10"/>
      <c r="ES43" s="10"/>
      <c r="ET43" s="10"/>
      <c r="EU43" s="10"/>
      <c r="EY43" s="10"/>
      <c r="EZ43" s="10">
        <v>1</v>
      </c>
      <c r="FA43" s="10"/>
      <c r="FB43" s="10">
        <v>1</v>
      </c>
      <c r="FC43" s="18" t="s">
        <v>75</v>
      </c>
    </row>
    <row r="44" spans="2:159" outlineLevel="1">
      <c r="B44" t="s">
        <v>28</v>
      </c>
      <c r="C44" t="s">
        <v>62</v>
      </c>
      <c r="E44" s="9"/>
      <c r="F44" t="s">
        <v>92</v>
      </c>
      <c r="G44" s="10">
        <v>0.15</v>
      </c>
      <c r="I44" s="9">
        <f t="shared" si="3"/>
        <v>0</v>
      </c>
      <c r="J44" s="11" cm="1">
        <f t="array" ref="J44">MAX(IF($N$3:$EH$3=$J$3,N44:EH44))</f>
        <v>0.1</v>
      </c>
      <c r="K44" s="11" cm="1">
        <f t="array" ref="K44">MAX(IF($N$3:$EH$3=$J$3,N44:EH44))</f>
        <v>0.1</v>
      </c>
      <c r="L44" s="9"/>
      <c r="O44" s="10">
        <v>0.1</v>
      </c>
      <c r="P44" s="10">
        <v>0.1</v>
      </c>
      <c r="Q44" s="10">
        <v>0.1</v>
      </c>
      <c r="R44" s="10">
        <v>0.1</v>
      </c>
      <c r="V44" s="10"/>
      <c r="W44" s="10"/>
      <c r="X44" s="10"/>
      <c r="Y44" s="10"/>
      <c r="AC44" s="10"/>
      <c r="AD44" s="10"/>
      <c r="AE44" s="10"/>
      <c r="AF44" s="10"/>
      <c r="AJ44" s="10"/>
      <c r="AK44" s="10">
        <v>0.5</v>
      </c>
      <c r="AL44" s="10"/>
      <c r="AM44" s="10">
        <v>0.5</v>
      </c>
      <c r="AQ44" s="10"/>
      <c r="AR44" s="10">
        <v>0.5</v>
      </c>
      <c r="AS44" s="10"/>
      <c r="AT44" s="10">
        <v>0.5</v>
      </c>
      <c r="AX44" s="10"/>
      <c r="AY44" s="10">
        <v>0.5</v>
      </c>
      <c r="AZ44" s="10"/>
      <c r="BA44" s="10">
        <v>0.5</v>
      </c>
      <c r="BE44" s="10"/>
      <c r="BF44" s="10">
        <v>0.5</v>
      </c>
      <c r="BG44" s="10"/>
      <c r="BH44" s="10">
        <v>0.5</v>
      </c>
      <c r="BL44" s="10"/>
      <c r="BM44" s="10">
        <v>0.5</v>
      </c>
      <c r="BN44" s="10"/>
      <c r="BO44" s="10">
        <v>0.5</v>
      </c>
      <c r="BS44" s="10"/>
      <c r="BT44" s="10">
        <v>0.5</v>
      </c>
      <c r="BU44" s="10"/>
      <c r="BV44" s="10">
        <v>0.5</v>
      </c>
      <c r="BZ44" s="10"/>
      <c r="CA44" s="10">
        <v>0.5</v>
      </c>
      <c r="CB44" s="10"/>
      <c r="CC44" s="10">
        <v>0.5</v>
      </c>
      <c r="CG44" s="10"/>
      <c r="CH44" s="10">
        <v>0.8</v>
      </c>
      <c r="CI44" s="10"/>
      <c r="CJ44" s="10">
        <v>0.8</v>
      </c>
      <c r="CN44" s="10"/>
      <c r="CO44" s="10">
        <v>0.8</v>
      </c>
      <c r="CP44" s="10"/>
      <c r="CQ44" s="10">
        <v>0.8</v>
      </c>
      <c r="CU44" s="10"/>
      <c r="CV44" s="10">
        <v>0.8</v>
      </c>
      <c r="CW44" s="10"/>
      <c r="CX44" s="10">
        <v>0.8</v>
      </c>
      <c r="DB44" s="10"/>
      <c r="DC44" s="10">
        <v>0.8</v>
      </c>
      <c r="DD44" s="10"/>
      <c r="DE44" s="10">
        <v>0.8</v>
      </c>
      <c r="DI44" s="10"/>
      <c r="DJ44" s="10">
        <v>1</v>
      </c>
      <c r="DK44" s="10"/>
      <c r="DL44" s="10">
        <v>1</v>
      </c>
      <c r="DP44" s="10"/>
      <c r="DQ44" s="10">
        <v>1</v>
      </c>
      <c r="DR44" s="10"/>
      <c r="DS44" s="10">
        <v>1</v>
      </c>
      <c r="DW44" s="10"/>
      <c r="DX44" s="10">
        <v>1</v>
      </c>
      <c r="DY44" s="10"/>
      <c r="DZ44" s="10">
        <v>1</v>
      </c>
      <c r="ED44" s="10"/>
      <c r="EE44" s="10"/>
      <c r="EF44" s="10"/>
      <c r="EG44" s="10"/>
      <c r="EK44" s="10"/>
      <c r="EL44" s="10"/>
      <c r="EM44" s="10"/>
      <c r="EN44" s="10"/>
      <c r="ER44" s="10"/>
      <c r="ES44" s="10"/>
      <c r="ET44" s="10"/>
      <c r="EU44" s="10"/>
      <c r="EY44" s="10"/>
      <c r="EZ44" s="10">
        <v>1</v>
      </c>
      <c r="FA44" s="10"/>
      <c r="FB44" s="10">
        <v>1</v>
      </c>
      <c r="FC44" s="18" t="s">
        <v>75</v>
      </c>
    </row>
    <row r="45" spans="2:159" outlineLevel="1">
      <c r="B45" t="s">
        <v>28</v>
      </c>
      <c r="C45" t="s">
        <v>62</v>
      </c>
      <c r="E45" s="9"/>
      <c r="F45" t="s">
        <v>93</v>
      </c>
      <c r="G45" s="10">
        <v>0.15</v>
      </c>
      <c r="I45" s="9">
        <f t="shared" si="3"/>
        <v>0</v>
      </c>
      <c r="J45" s="11" cm="1">
        <f t="array" ref="J45">MAX(IF($N$3:$EH$3=$J$3,N45:EH45))</f>
        <v>0.1</v>
      </c>
      <c r="K45" s="11" cm="1">
        <f t="array" ref="K45">MAX(IF($N$3:$EH$3=$J$3,N45:EH45))</f>
        <v>0.1</v>
      </c>
      <c r="L45" s="9"/>
      <c r="O45" s="10">
        <v>0.1</v>
      </c>
      <c r="P45" s="10">
        <v>0.1</v>
      </c>
      <c r="Q45" s="10">
        <v>0.1</v>
      </c>
      <c r="R45" s="10">
        <v>0.1</v>
      </c>
      <c r="V45" s="10"/>
      <c r="W45" s="10"/>
      <c r="X45" s="10"/>
      <c r="Y45" s="10"/>
      <c r="AC45" s="10"/>
      <c r="AD45" s="10"/>
      <c r="AE45" s="10"/>
      <c r="AF45" s="10"/>
      <c r="AJ45" s="10"/>
      <c r="AK45" s="10"/>
      <c r="AL45" s="10"/>
      <c r="AM45" s="10"/>
      <c r="AQ45" s="10"/>
      <c r="AR45" s="10">
        <v>0.5</v>
      </c>
      <c r="AS45" s="10"/>
      <c r="AT45" s="10">
        <v>0.5</v>
      </c>
      <c r="AX45" s="10"/>
      <c r="AY45" s="10">
        <v>0.5</v>
      </c>
      <c r="AZ45" s="10"/>
      <c r="BA45" s="10">
        <v>0.5</v>
      </c>
      <c r="BE45" s="10"/>
      <c r="BF45" s="10">
        <v>0.5</v>
      </c>
      <c r="BG45" s="10"/>
      <c r="BH45" s="10">
        <v>0.5</v>
      </c>
      <c r="BL45" s="10"/>
      <c r="BM45" s="10">
        <v>0.5</v>
      </c>
      <c r="BN45" s="10"/>
      <c r="BO45" s="10">
        <v>0.5</v>
      </c>
      <c r="BS45" s="10"/>
      <c r="BT45" s="10">
        <v>0.5</v>
      </c>
      <c r="BU45" s="10"/>
      <c r="BV45" s="10">
        <v>0.5</v>
      </c>
      <c r="BZ45" s="10"/>
      <c r="CA45" s="10">
        <v>0.5</v>
      </c>
      <c r="CB45" s="10"/>
      <c r="CC45" s="10">
        <v>0.5</v>
      </c>
      <c r="CG45" s="10"/>
      <c r="CH45" s="10">
        <v>0.8</v>
      </c>
      <c r="CI45" s="10"/>
      <c r="CJ45" s="10">
        <v>0.8</v>
      </c>
      <c r="CN45" s="10"/>
      <c r="CO45" s="10">
        <v>0.8</v>
      </c>
      <c r="CP45" s="10"/>
      <c r="CQ45" s="10">
        <v>0.8</v>
      </c>
      <c r="CU45" s="10"/>
      <c r="CV45" s="10">
        <v>0.8</v>
      </c>
      <c r="CW45" s="10"/>
      <c r="CX45" s="10">
        <v>0.8</v>
      </c>
      <c r="DB45" s="10"/>
      <c r="DC45" s="10">
        <v>0.8</v>
      </c>
      <c r="DD45" s="10"/>
      <c r="DE45" s="10">
        <v>0.8</v>
      </c>
      <c r="DI45" s="10"/>
      <c r="DJ45" s="10">
        <v>1</v>
      </c>
      <c r="DK45" s="10"/>
      <c r="DL45" s="10">
        <v>1</v>
      </c>
      <c r="DP45" s="10"/>
      <c r="DQ45" s="10">
        <v>1</v>
      </c>
      <c r="DR45" s="10"/>
      <c r="DS45" s="10">
        <v>1</v>
      </c>
      <c r="DW45" s="10"/>
      <c r="DX45" s="10">
        <v>1</v>
      </c>
      <c r="DY45" s="10"/>
      <c r="DZ45" s="10">
        <v>1</v>
      </c>
      <c r="ED45" s="10"/>
      <c r="EE45" s="10"/>
      <c r="EF45" s="10"/>
      <c r="EG45" s="10"/>
      <c r="EK45" s="10"/>
      <c r="EL45" s="10"/>
      <c r="EM45" s="10"/>
      <c r="EN45" s="10"/>
      <c r="ER45" s="10"/>
      <c r="ES45" s="10"/>
      <c r="ET45" s="10"/>
      <c r="EU45" s="10"/>
      <c r="EY45" s="10"/>
      <c r="EZ45" s="10">
        <v>1</v>
      </c>
      <c r="FA45" s="10"/>
      <c r="FB45" s="10">
        <v>1</v>
      </c>
      <c r="FC45" s="18" t="s">
        <v>75</v>
      </c>
    </row>
    <row r="46" spans="2:159" outlineLevel="1">
      <c r="B46" t="s">
        <v>28</v>
      </c>
      <c r="C46" t="s">
        <v>62</v>
      </c>
      <c r="E46" s="9"/>
      <c r="F46" t="s">
        <v>94</v>
      </c>
      <c r="G46" s="10">
        <v>0.2</v>
      </c>
      <c r="I46" s="9">
        <f t="shared" si="3"/>
        <v>0</v>
      </c>
      <c r="J46" s="11" cm="1">
        <f t="array" ref="J46">MAX(IF($N$3:$EH$3=$J$3,N46:EH46))</f>
        <v>0.1</v>
      </c>
      <c r="K46" s="11" cm="1">
        <f t="array" ref="K46">MAX(IF($N$3:$EH$3=$J$3,N46:EH46))</f>
        <v>0.1</v>
      </c>
      <c r="L46" s="9"/>
      <c r="O46" s="10">
        <v>0.1</v>
      </c>
      <c r="P46" s="10">
        <v>0.1</v>
      </c>
      <c r="Q46" s="10">
        <v>0.1</v>
      </c>
      <c r="R46" s="10">
        <v>0.1</v>
      </c>
      <c r="V46" s="10"/>
      <c r="W46" s="10"/>
      <c r="X46" s="10"/>
      <c r="Y46" s="10"/>
      <c r="AC46" s="10"/>
      <c r="AD46" s="10"/>
      <c r="AE46" s="10"/>
      <c r="AF46" s="10"/>
      <c r="AJ46" s="10"/>
      <c r="AK46" s="10"/>
      <c r="AL46" s="10"/>
      <c r="AM46" s="10"/>
      <c r="AQ46" s="10"/>
      <c r="AR46" s="10"/>
      <c r="AS46" s="10"/>
      <c r="AT46" s="10"/>
      <c r="AX46" s="10"/>
      <c r="AY46" s="10">
        <v>0.5</v>
      </c>
      <c r="AZ46" s="10"/>
      <c r="BA46" s="10">
        <v>0.5</v>
      </c>
      <c r="BE46" s="10"/>
      <c r="BF46" s="10">
        <v>0.5</v>
      </c>
      <c r="BG46" s="10"/>
      <c r="BH46" s="10">
        <v>0.5</v>
      </c>
      <c r="BL46" s="10"/>
      <c r="BM46" s="10">
        <v>0.5</v>
      </c>
      <c r="BN46" s="10"/>
      <c r="BO46" s="10">
        <v>0.5</v>
      </c>
      <c r="BS46" s="10"/>
      <c r="BT46" s="10">
        <v>0.5</v>
      </c>
      <c r="BU46" s="10"/>
      <c r="BV46" s="10">
        <v>0.5</v>
      </c>
      <c r="BZ46" s="10"/>
      <c r="CA46" s="10">
        <v>0.5</v>
      </c>
      <c r="CB46" s="10"/>
      <c r="CC46" s="10">
        <v>0.5</v>
      </c>
      <c r="CG46" s="10"/>
      <c r="CH46" s="10">
        <v>0.5</v>
      </c>
      <c r="CI46" s="10"/>
      <c r="CJ46" s="10">
        <v>0.5</v>
      </c>
      <c r="CN46" s="10"/>
      <c r="CO46" s="10">
        <v>0.8</v>
      </c>
      <c r="CP46" s="10"/>
      <c r="CQ46" s="10">
        <v>0.8</v>
      </c>
      <c r="CU46" s="10"/>
      <c r="CV46" s="10">
        <v>0.8</v>
      </c>
      <c r="CW46" s="10"/>
      <c r="CX46" s="10">
        <v>0.8</v>
      </c>
      <c r="DB46" s="10"/>
      <c r="DC46" s="10">
        <v>0.8</v>
      </c>
      <c r="DD46" s="10"/>
      <c r="DE46" s="10">
        <v>0.8</v>
      </c>
      <c r="DI46" s="10"/>
      <c r="DJ46" s="10">
        <v>0.8</v>
      </c>
      <c r="DK46" s="10"/>
      <c r="DL46" s="10">
        <v>0.8</v>
      </c>
      <c r="DP46" s="10"/>
      <c r="DQ46" s="10">
        <v>1</v>
      </c>
      <c r="DR46" s="10"/>
      <c r="DS46" s="10">
        <v>1</v>
      </c>
      <c r="DW46" s="10"/>
      <c r="DX46" s="10">
        <v>1</v>
      </c>
      <c r="DY46" s="10"/>
      <c r="DZ46" s="10">
        <v>1</v>
      </c>
      <c r="ED46" s="10"/>
      <c r="EE46" s="10"/>
      <c r="EF46" s="10"/>
      <c r="EG46" s="10"/>
      <c r="EK46" s="10"/>
      <c r="EL46" s="10"/>
      <c r="EM46" s="10"/>
      <c r="EN46" s="10"/>
      <c r="ER46" s="10"/>
      <c r="ES46" s="10"/>
      <c r="ET46" s="10"/>
      <c r="EU46" s="10"/>
      <c r="EY46" s="10"/>
      <c r="EZ46" s="10">
        <v>1</v>
      </c>
      <c r="FA46" s="10"/>
      <c r="FB46" s="10">
        <v>1</v>
      </c>
      <c r="FC46" s="18" t="s">
        <v>75</v>
      </c>
    </row>
    <row r="47" spans="2:159" outlineLevel="1">
      <c r="B47" t="s">
        <v>28</v>
      </c>
      <c r="C47" t="s">
        <v>62</v>
      </c>
      <c r="E47" s="9"/>
      <c r="F47" t="s">
        <v>95</v>
      </c>
      <c r="G47" s="10">
        <v>0.2</v>
      </c>
      <c r="I47" s="9">
        <f t="shared" si="3"/>
        <v>0</v>
      </c>
      <c r="J47" s="11" cm="1">
        <f t="array" ref="J47">MAX(IF($N$3:$EH$3=$J$3,N47:EH47))</f>
        <v>0.1</v>
      </c>
      <c r="K47" s="11" cm="1">
        <f t="array" ref="K47">MAX(IF($N$3:$EH$3=$J$3,N47:EH47))</f>
        <v>0.1</v>
      </c>
      <c r="L47" s="9"/>
      <c r="O47" s="10">
        <v>0.1</v>
      </c>
      <c r="P47" s="10">
        <v>0.1</v>
      </c>
      <c r="Q47" s="10">
        <v>0.1</v>
      </c>
      <c r="R47" s="10">
        <v>0.1</v>
      </c>
      <c r="V47" s="10"/>
      <c r="W47" s="10"/>
      <c r="X47" s="10"/>
      <c r="Y47" s="10"/>
      <c r="AC47" s="10"/>
      <c r="AD47" s="10"/>
      <c r="AE47" s="10"/>
      <c r="AF47" s="10"/>
      <c r="AJ47" s="10"/>
      <c r="AK47" s="10"/>
      <c r="AL47" s="10"/>
      <c r="AM47" s="10"/>
      <c r="AQ47" s="10"/>
      <c r="AR47" s="10"/>
      <c r="AS47" s="10"/>
      <c r="AT47" s="10"/>
      <c r="AX47" s="10"/>
      <c r="AY47" s="10">
        <v>0.5</v>
      </c>
      <c r="AZ47" s="10"/>
      <c r="BA47" s="10">
        <v>0.5</v>
      </c>
      <c r="BE47" s="10"/>
      <c r="BF47" s="10">
        <v>0.5</v>
      </c>
      <c r="BG47" s="10"/>
      <c r="BH47" s="10">
        <v>0.5</v>
      </c>
      <c r="BL47" s="10"/>
      <c r="BM47" s="10">
        <v>0.5</v>
      </c>
      <c r="BN47" s="10"/>
      <c r="BO47" s="10">
        <v>0.5</v>
      </c>
      <c r="BS47" s="10"/>
      <c r="BT47" s="10">
        <v>0.5</v>
      </c>
      <c r="BU47" s="10"/>
      <c r="BV47" s="10">
        <v>0.5</v>
      </c>
      <c r="BZ47" s="10"/>
      <c r="CA47" s="10">
        <v>0.5</v>
      </c>
      <c r="CB47" s="10"/>
      <c r="CC47" s="10">
        <v>0.5</v>
      </c>
      <c r="CG47" s="10"/>
      <c r="CH47" s="10">
        <v>0.5</v>
      </c>
      <c r="CI47" s="10"/>
      <c r="CJ47" s="10">
        <v>0.5</v>
      </c>
      <c r="CN47" s="10"/>
      <c r="CO47" s="10">
        <v>0.8</v>
      </c>
      <c r="CP47" s="10"/>
      <c r="CQ47" s="10">
        <v>0.8</v>
      </c>
      <c r="CU47" s="10"/>
      <c r="CV47" s="10">
        <v>0.8</v>
      </c>
      <c r="CW47" s="10"/>
      <c r="CX47" s="10">
        <v>0.8</v>
      </c>
      <c r="DB47" s="10"/>
      <c r="DC47" s="10">
        <v>0.8</v>
      </c>
      <c r="DD47" s="10"/>
      <c r="DE47" s="10">
        <v>0.8</v>
      </c>
      <c r="DI47" s="10"/>
      <c r="DJ47" s="10">
        <v>0.8</v>
      </c>
      <c r="DK47" s="10"/>
      <c r="DL47" s="10">
        <v>0.8</v>
      </c>
      <c r="DP47" s="10"/>
      <c r="DQ47" s="10">
        <v>1</v>
      </c>
      <c r="DR47" s="10"/>
      <c r="DS47" s="10">
        <v>1</v>
      </c>
      <c r="DW47" s="10"/>
      <c r="DX47" s="10">
        <v>1</v>
      </c>
      <c r="DY47" s="10"/>
      <c r="DZ47" s="10">
        <v>1</v>
      </c>
      <c r="ED47" s="10"/>
      <c r="EE47" s="10"/>
      <c r="EF47" s="10"/>
      <c r="EG47" s="10"/>
      <c r="EK47" s="10"/>
      <c r="EL47" s="10"/>
      <c r="EM47" s="10"/>
      <c r="EN47" s="10"/>
      <c r="ER47" s="10"/>
      <c r="ES47" s="10"/>
      <c r="ET47" s="10"/>
      <c r="EU47" s="10"/>
      <c r="EY47" s="10"/>
      <c r="EZ47" s="10">
        <v>1</v>
      </c>
      <c r="FA47" s="10"/>
      <c r="FB47" s="10">
        <v>1</v>
      </c>
      <c r="FC47" s="18" t="s">
        <v>75</v>
      </c>
    </row>
    <row r="48" spans="2:159" outlineLevel="1">
      <c r="B48" t="s">
        <v>28</v>
      </c>
      <c r="C48" t="s">
        <v>62</v>
      </c>
      <c r="E48" s="9"/>
      <c r="F48" t="s">
        <v>96</v>
      </c>
      <c r="G48" s="10">
        <v>0.2</v>
      </c>
      <c r="I48" s="9">
        <f t="shared" si="3"/>
        <v>0</v>
      </c>
      <c r="J48" s="11" cm="1">
        <f t="array" ref="J48">MAX(IF($N$3:$EH$3=$J$3,N48:EH48))</f>
        <v>0.1</v>
      </c>
      <c r="K48" s="11" cm="1">
        <f t="array" ref="K48">MAX(IF($N$3:$EH$3=$J$3,N48:EH48))</f>
        <v>0.1</v>
      </c>
      <c r="L48" s="9"/>
      <c r="O48" s="10">
        <v>0.1</v>
      </c>
      <c r="P48" s="10">
        <v>0.1</v>
      </c>
      <c r="Q48" s="10">
        <v>0.1</v>
      </c>
      <c r="R48" s="10">
        <v>0.1</v>
      </c>
      <c r="V48" s="10"/>
      <c r="W48" s="10"/>
      <c r="X48" s="10"/>
      <c r="Y48" s="10"/>
      <c r="AC48" s="10"/>
      <c r="AD48" s="10"/>
      <c r="AE48" s="10"/>
      <c r="AF48" s="10"/>
      <c r="AJ48" s="10"/>
      <c r="AK48" s="10"/>
      <c r="AL48" s="10"/>
      <c r="AM48" s="10"/>
      <c r="AQ48" s="10"/>
      <c r="AR48" s="10"/>
      <c r="AS48" s="10"/>
      <c r="AT48" s="10"/>
      <c r="AX48" s="10"/>
      <c r="AY48" s="10"/>
      <c r="AZ48" s="10"/>
      <c r="BA48" s="10"/>
      <c r="BE48" s="10"/>
      <c r="BF48" s="10">
        <v>0.5</v>
      </c>
      <c r="BG48" s="10"/>
      <c r="BH48" s="10">
        <v>0.5</v>
      </c>
      <c r="BL48" s="10"/>
      <c r="BM48" s="10">
        <v>0.5</v>
      </c>
      <c r="BN48" s="10"/>
      <c r="BO48" s="10">
        <v>0.5</v>
      </c>
      <c r="BS48" s="10"/>
      <c r="BT48" s="10">
        <v>0.5</v>
      </c>
      <c r="BU48" s="10"/>
      <c r="BV48" s="10">
        <v>0.5</v>
      </c>
      <c r="BZ48" s="10"/>
      <c r="CA48" s="10">
        <v>0.5</v>
      </c>
      <c r="CB48" s="10"/>
      <c r="CC48" s="10">
        <v>0.5</v>
      </c>
      <c r="CG48" s="10"/>
      <c r="CH48" s="10">
        <v>0.5</v>
      </c>
      <c r="CI48" s="10"/>
      <c r="CJ48" s="10">
        <v>0.5</v>
      </c>
      <c r="CN48" s="10"/>
      <c r="CO48" s="10">
        <v>0.5</v>
      </c>
      <c r="CP48" s="10"/>
      <c r="CQ48" s="10">
        <v>0.5</v>
      </c>
      <c r="CU48" s="10"/>
      <c r="CV48" s="10">
        <v>0.8</v>
      </c>
      <c r="CW48" s="10"/>
      <c r="CX48" s="10">
        <v>0.8</v>
      </c>
      <c r="DB48" s="10"/>
      <c r="DC48" s="10">
        <v>0.8</v>
      </c>
      <c r="DD48" s="10"/>
      <c r="DE48" s="10">
        <v>0.8</v>
      </c>
      <c r="DI48" s="10"/>
      <c r="DJ48" s="10">
        <v>0.8</v>
      </c>
      <c r="DK48" s="10"/>
      <c r="DL48" s="10">
        <v>0.8</v>
      </c>
      <c r="DP48" s="10"/>
      <c r="DQ48" s="10">
        <v>0.8</v>
      </c>
      <c r="DR48" s="10"/>
      <c r="DS48" s="10">
        <v>0.8</v>
      </c>
      <c r="DW48" s="10"/>
      <c r="DX48" s="10">
        <v>1</v>
      </c>
      <c r="DY48" s="10"/>
      <c r="DZ48" s="10">
        <v>1</v>
      </c>
      <c r="ED48" s="10"/>
      <c r="EE48" s="10"/>
      <c r="EF48" s="10"/>
      <c r="EG48" s="10"/>
      <c r="EK48" s="10"/>
      <c r="EL48" s="10"/>
      <c r="EM48" s="10"/>
      <c r="EN48" s="10"/>
      <c r="ER48" s="10"/>
      <c r="ES48" s="10"/>
      <c r="ET48" s="10"/>
      <c r="EU48" s="10"/>
      <c r="EY48" s="10"/>
      <c r="EZ48" s="10">
        <v>1</v>
      </c>
      <c r="FA48" s="10"/>
      <c r="FB48" s="10">
        <v>1</v>
      </c>
      <c r="FC48" s="18" t="s">
        <v>75</v>
      </c>
    </row>
    <row r="49" spans="2:159" outlineLevel="1">
      <c r="B49" t="s">
        <v>28</v>
      </c>
      <c r="C49" t="s">
        <v>62</v>
      </c>
      <c r="E49" s="9"/>
      <c r="F49" t="s">
        <v>97</v>
      </c>
      <c r="G49" s="10">
        <v>0.2</v>
      </c>
      <c r="I49" s="9">
        <f t="shared" si="3"/>
        <v>0</v>
      </c>
      <c r="J49" s="11" cm="1">
        <f t="array" ref="J49">MAX(IF($N$3:$EH$3=$J$3,N49:EH49))</f>
        <v>0.1</v>
      </c>
      <c r="K49" s="11" cm="1">
        <f t="array" ref="K49">MAX(IF($N$3:$EH$3=$J$3,N49:EH49))</f>
        <v>0.1</v>
      </c>
      <c r="L49" s="9"/>
      <c r="O49" s="10">
        <v>0.1</v>
      </c>
      <c r="P49" s="10">
        <v>0.1</v>
      </c>
      <c r="Q49" s="10">
        <v>0.1</v>
      </c>
      <c r="R49" s="10">
        <v>0.1</v>
      </c>
      <c r="V49" s="10"/>
      <c r="W49" s="10"/>
      <c r="X49" s="10"/>
      <c r="Y49" s="10"/>
      <c r="AC49" s="10"/>
      <c r="AD49" s="10"/>
      <c r="AE49" s="10"/>
      <c r="AF49" s="10"/>
      <c r="AJ49" s="10"/>
      <c r="AK49" s="10"/>
      <c r="AL49" s="10"/>
      <c r="AM49" s="10"/>
      <c r="AQ49" s="10"/>
      <c r="AR49" s="10"/>
      <c r="AS49" s="10"/>
      <c r="AT49" s="10"/>
      <c r="AX49" s="10"/>
      <c r="AY49" s="10"/>
      <c r="AZ49" s="10"/>
      <c r="BA49" s="10"/>
      <c r="BE49" s="10"/>
      <c r="BF49" s="10"/>
      <c r="BG49" s="10"/>
      <c r="BH49" s="10"/>
      <c r="BL49" s="10"/>
      <c r="BM49" s="10">
        <v>0.5</v>
      </c>
      <c r="BN49" s="10"/>
      <c r="BO49" s="10">
        <v>0.5</v>
      </c>
      <c r="BS49" s="10"/>
      <c r="BT49" s="10">
        <v>0.5</v>
      </c>
      <c r="BU49" s="10"/>
      <c r="BV49" s="10">
        <v>0.5</v>
      </c>
      <c r="BZ49" s="10"/>
      <c r="CA49" s="10">
        <v>0.5</v>
      </c>
      <c r="CB49" s="10"/>
      <c r="CC49" s="10">
        <v>0.5</v>
      </c>
      <c r="CG49" s="10"/>
      <c r="CH49" s="10">
        <v>0.5</v>
      </c>
      <c r="CI49" s="10"/>
      <c r="CJ49" s="10">
        <v>0.5</v>
      </c>
      <c r="CN49" s="10"/>
      <c r="CO49" s="10">
        <v>0.5</v>
      </c>
      <c r="CP49" s="10"/>
      <c r="CQ49" s="10">
        <v>0.5</v>
      </c>
      <c r="CU49" s="10"/>
      <c r="CV49" s="10">
        <v>0.8</v>
      </c>
      <c r="CW49" s="10"/>
      <c r="CX49" s="10">
        <v>0.8</v>
      </c>
      <c r="DB49" s="10"/>
      <c r="DC49" s="10">
        <v>0.8</v>
      </c>
      <c r="DD49" s="10"/>
      <c r="DE49" s="10">
        <v>0.8</v>
      </c>
      <c r="DI49" s="10"/>
      <c r="DJ49" s="10">
        <v>0.8</v>
      </c>
      <c r="DK49" s="10"/>
      <c r="DL49" s="10">
        <v>0.8</v>
      </c>
      <c r="DP49" s="10"/>
      <c r="DQ49" s="10">
        <v>0.8</v>
      </c>
      <c r="DR49" s="10"/>
      <c r="DS49" s="10">
        <v>0.8</v>
      </c>
      <c r="DW49" s="10"/>
      <c r="DX49" s="10">
        <v>1</v>
      </c>
      <c r="DY49" s="10"/>
      <c r="DZ49" s="10">
        <v>1</v>
      </c>
      <c r="ED49" s="10"/>
      <c r="EE49" s="10"/>
      <c r="EF49" s="10"/>
      <c r="EG49" s="10"/>
      <c r="EK49" s="10"/>
      <c r="EL49" s="10"/>
      <c r="EM49" s="10"/>
      <c r="EN49" s="10"/>
      <c r="ER49" s="10"/>
      <c r="ES49" s="10"/>
      <c r="ET49" s="10"/>
      <c r="EU49" s="10"/>
      <c r="EY49" s="10"/>
      <c r="EZ49" s="10">
        <v>1</v>
      </c>
      <c r="FA49" s="10"/>
      <c r="FB49" s="10">
        <v>1</v>
      </c>
      <c r="FC49" s="18" t="s">
        <v>75</v>
      </c>
    </row>
    <row r="50" spans="2:159">
      <c r="AF50" s="10"/>
    </row>
    <row r="51" spans="2:159">
      <c r="B51" t="s">
        <v>27</v>
      </c>
      <c r="C51" t="s">
        <v>89</v>
      </c>
      <c r="D51" s="17">
        <v>45350</v>
      </c>
      <c r="E51" s="9">
        <v>5</v>
      </c>
      <c r="G51" s="10">
        <f>+SUM(G52:G57)</f>
        <v>1</v>
      </c>
      <c r="I51" s="12">
        <f>+SUM(I52:I57)</f>
        <v>4</v>
      </c>
      <c r="J51" s="11">
        <f>+SUMPRODUCT(G52:G57,J52:J57)</f>
        <v>0.22000000000000008</v>
      </c>
      <c r="K51" s="11">
        <f>+SUMPRODUCT(G52:G57,K52:K57)</f>
        <v>0.22000000000000008</v>
      </c>
      <c r="L51" s="9"/>
      <c r="N51" s="12">
        <f>+SUM(N52:N57)</f>
        <v>0</v>
      </c>
      <c r="R51" s="10"/>
      <c r="U51" s="12">
        <f>+SUM(U52:U57)</f>
        <v>0</v>
      </c>
      <c r="AB51" s="12">
        <f>+SUM(AB52:AB57)</f>
        <v>4</v>
      </c>
      <c r="AI51" s="12">
        <f>+SUM(AI52:AI57)</f>
        <v>0</v>
      </c>
      <c r="AP51" s="12">
        <f>+SUM(AP52:AP57)</f>
        <v>0</v>
      </c>
      <c r="AW51" s="12">
        <f>+SUM(AW52:AW57)</f>
        <v>0</v>
      </c>
      <c r="BD51" s="12">
        <f>+SUM(BD52:BD57)</f>
        <v>0</v>
      </c>
      <c r="BK51" s="12">
        <f>+SUM(BK52:BK57)</f>
        <v>0</v>
      </c>
      <c r="BR51" s="12">
        <f>+SUM(BR52:BR57)</f>
        <v>0</v>
      </c>
      <c r="BY51" s="12">
        <f>+SUM(BY52:BY57)</f>
        <v>0</v>
      </c>
      <c r="CF51" s="12">
        <f>+SUM(CF52:CF57)</f>
        <v>0</v>
      </c>
      <c r="CM51" s="12">
        <f>+SUM(CM52:CM57)</f>
        <v>0</v>
      </c>
      <c r="CT51" s="12">
        <f>+SUM(CT52:CT57)</f>
        <v>0</v>
      </c>
      <c r="DA51" s="12">
        <f>+SUM(DA52:DA57)</f>
        <v>0</v>
      </c>
      <c r="DH51" s="12">
        <f>+SUM(DH52:DH57)</f>
        <v>0</v>
      </c>
      <c r="DO51" s="12">
        <f>+SUM(DO52:DO57)</f>
        <v>0</v>
      </c>
      <c r="DV51" s="12">
        <f>+SUM(DV52:DV57)</f>
        <v>0</v>
      </c>
      <c r="EC51" s="12">
        <f>+SUM(EC52:EC57)</f>
        <v>0</v>
      </c>
      <c r="EJ51" s="12">
        <f>+SUM(EJ52:EJ57)</f>
        <v>0</v>
      </c>
      <c r="EQ51" s="12">
        <f>+SUM(EQ52:EQ57)</f>
        <v>0</v>
      </c>
      <c r="EX51" s="12">
        <f>+SUM(EX52:EX57)</f>
        <v>0</v>
      </c>
    </row>
    <row r="52" spans="2:159" outlineLevel="1">
      <c r="B52" t="s">
        <v>28</v>
      </c>
      <c r="C52" t="s">
        <v>89</v>
      </c>
      <c r="E52" s="9"/>
      <c r="F52" t="s">
        <v>102</v>
      </c>
      <c r="G52" s="10">
        <v>0.1</v>
      </c>
      <c r="I52" s="9">
        <f t="shared" ref="I52:I59" si="4">+SUMIF($N$3:$ZZ$3,I$3,$N52:$ZZ52)</f>
        <v>2</v>
      </c>
      <c r="J52" s="11" cm="1">
        <f t="array" ref="J52">MAX(IF($N$3:$EH$3=$J$3,N52:EH52))</f>
        <v>0.5</v>
      </c>
      <c r="K52" s="11" cm="1">
        <f t="array" ref="K52">MAX(IF($N$3:$EH$3=$J$3,N52:EH52))</f>
        <v>0.5</v>
      </c>
      <c r="L52" s="9"/>
      <c r="O52" s="10">
        <v>0.1</v>
      </c>
      <c r="P52" s="10">
        <v>0.1</v>
      </c>
      <c r="Q52" s="10">
        <v>0.1</v>
      </c>
      <c r="R52" s="10">
        <v>0.1</v>
      </c>
      <c r="V52" s="10">
        <v>0.5</v>
      </c>
      <c r="W52" s="10">
        <v>0.5</v>
      </c>
      <c r="X52" s="10">
        <v>0.5</v>
      </c>
      <c r="Y52" s="10">
        <v>0.5</v>
      </c>
      <c r="AB52">
        <v>2</v>
      </c>
      <c r="AC52" s="10">
        <v>0.5</v>
      </c>
      <c r="AD52" s="10">
        <v>0.5</v>
      </c>
      <c r="AE52" s="10">
        <v>0.5</v>
      </c>
      <c r="AF52" s="10">
        <v>0.5</v>
      </c>
      <c r="AJ52" s="10"/>
      <c r="AK52" s="10">
        <v>0.5</v>
      </c>
      <c r="AL52" s="10"/>
      <c r="AM52" s="10">
        <v>0.5</v>
      </c>
      <c r="AQ52" s="10"/>
      <c r="AR52" s="10">
        <v>0.5</v>
      </c>
      <c r="AS52" s="10"/>
      <c r="AT52" s="10">
        <v>0.5</v>
      </c>
      <c r="AX52" s="10"/>
      <c r="AY52" s="10">
        <v>0.8</v>
      </c>
      <c r="AZ52" s="10"/>
      <c r="BA52" s="10">
        <v>0.8</v>
      </c>
      <c r="BE52" s="10"/>
      <c r="BF52" s="10">
        <v>0.8</v>
      </c>
      <c r="BG52" s="10"/>
      <c r="BH52" s="10">
        <v>0.8</v>
      </c>
      <c r="BL52" s="10"/>
      <c r="BM52" s="10">
        <v>0.8</v>
      </c>
      <c r="BN52" s="10"/>
      <c r="BO52" s="10">
        <v>0.8</v>
      </c>
      <c r="BS52" s="10"/>
      <c r="BT52" s="10">
        <v>0.8</v>
      </c>
      <c r="BU52" s="10"/>
      <c r="BV52" s="10">
        <v>0.8</v>
      </c>
      <c r="BZ52" s="10"/>
      <c r="CA52" s="10">
        <v>0.8</v>
      </c>
      <c r="CB52" s="10"/>
      <c r="CC52" s="10">
        <v>0.8</v>
      </c>
      <c r="CG52" s="10"/>
      <c r="CH52" s="10">
        <v>0.8</v>
      </c>
      <c r="CI52" s="10"/>
      <c r="CJ52" s="10">
        <v>0.8</v>
      </c>
      <c r="CN52" s="10"/>
      <c r="CO52" s="10">
        <v>0.8</v>
      </c>
      <c r="CP52" s="10"/>
      <c r="CQ52" s="10">
        <v>0.8</v>
      </c>
      <c r="CU52" s="10"/>
      <c r="CV52" s="10">
        <v>1</v>
      </c>
      <c r="CW52" s="10"/>
      <c r="CX52" s="10">
        <v>1</v>
      </c>
      <c r="DB52" s="10"/>
      <c r="DC52" s="10">
        <v>1</v>
      </c>
      <c r="DD52" s="10"/>
      <c r="DE52" s="10">
        <v>1</v>
      </c>
      <c r="DI52" s="10"/>
      <c r="DJ52" s="10">
        <v>1</v>
      </c>
      <c r="DK52" s="10"/>
      <c r="DL52" s="10">
        <v>1</v>
      </c>
      <c r="DM52" s="19" t="s">
        <v>115</v>
      </c>
      <c r="DP52" s="10"/>
      <c r="DQ52" s="10"/>
      <c r="DR52" s="10"/>
      <c r="DS52" s="10"/>
      <c r="DW52" s="10"/>
      <c r="DX52" s="10"/>
      <c r="DY52" s="10"/>
      <c r="DZ52" s="10"/>
      <c r="ED52" s="10"/>
      <c r="EE52" s="10"/>
      <c r="EF52" s="10"/>
      <c r="EG52" s="10"/>
      <c r="EK52" s="10"/>
      <c r="EL52" s="10">
        <v>1</v>
      </c>
      <c r="EM52" s="10"/>
      <c r="EN52" s="10">
        <v>1</v>
      </c>
      <c r="EO52" s="18" t="s">
        <v>75</v>
      </c>
      <c r="ER52" s="10"/>
      <c r="ES52" s="10"/>
      <c r="ET52" s="10"/>
      <c r="EU52" s="10"/>
      <c r="EY52" s="10"/>
      <c r="EZ52" s="10"/>
      <c r="FA52" s="10"/>
      <c r="FB52" s="10"/>
    </row>
    <row r="53" spans="2:159" outlineLevel="1">
      <c r="B53" t="s">
        <v>28</v>
      </c>
      <c r="C53" t="s">
        <v>89</v>
      </c>
      <c r="E53" s="9"/>
      <c r="F53" t="s">
        <v>103</v>
      </c>
      <c r="G53" s="10">
        <v>0.2</v>
      </c>
      <c r="I53" s="9">
        <f t="shared" si="4"/>
        <v>2</v>
      </c>
      <c r="J53" s="11" cm="1">
        <f t="array" ref="J53">MAX(IF($N$3:$EH$3=$J$3,N53:EH53))</f>
        <v>0.5</v>
      </c>
      <c r="K53" s="11" cm="1">
        <f t="array" ref="K53">MAX(IF($N$3:$EH$3=$J$3,N53:EH53))</f>
        <v>0.5</v>
      </c>
      <c r="L53" s="9"/>
      <c r="O53" s="10">
        <v>0.1</v>
      </c>
      <c r="P53" s="10">
        <v>0.1</v>
      </c>
      <c r="Q53" s="10">
        <v>0.1</v>
      </c>
      <c r="R53" s="10">
        <v>0.1</v>
      </c>
      <c r="V53" s="10">
        <v>0.5</v>
      </c>
      <c r="W53" s="10">
        <v>0.5</v>
      </c>
      <c r="X53" s="10">
        <v>0.5</v>
      </c>
      <c r="Y53" s="10">
        <v>0.5</v>
      </c>
      <c r="AB53">
        <v>2</v>
      </c>
      <c r="AC53" s="10">
        <v>0.5</v>
      </c>
      <c r="AD53" s="10">
        <v>0.5</v>
      </c>
      <c r="AE53" s="10">
        <v>0.5</v>
      </c>
      <c r="AF53" s="10">
        <v>0.5</v>
      </c>
      <c r="AJ53" s="10"/>
      <c r="AK53" s="10">
        <v>0.5</v>
      </c>
      <c r="AL53" s="10"/>
      <c r="AM53" s="10">
        <v>0.5</v>
      </c>
      <c r="AQ53" s="10"/>
      <c r="AR53" s="10">
        <v>0.5</v>
      </c>
      <c r="AS53" s="10"/>
      <c r="AT53" s="10">
        <v>0.5</v>
      </c>
      <c r="AX53" s="10"/>
      <c r="AY53" s="10">
        <v>0.5</v>
      </c>
      <c r="AZ53" s="10"/>
      <c r="BA53" s="10">
        <v>0.5</v>
      </c>
      <c r="BE53" s="10"/>
      <c r="BF53" s="10">
        <v>0.5</v>
      </c>
      <c r="BG53" s="10"/>
      <c r="BH53" s="10">
        <v>0.5</v>
      </c>
      <c r="BL53" s="10"/>
      <c r="BM53" s="10">
        <v>0.8</v>
      </c>
      <c r="BN53" s="10"/>
      <c r="BO53" s="10">
        <v>0.8</v>
      </c>
      <c r="BS53" s="10"/>
      <c r="BT53" s="10">
        <v>0.8</v>
      </c>
      <c r="BU53" s="10"/>
      <c r="BV53" s="10">
        <v>0.8</v>
      </c>
      <c r="BZ53" s="10"/>
      <c r="CA53" s="10">
        <v>0.8</v>
      </c>
      <c r="CB53" s="10"/>
      <c r="CC53" s="10">
        <v>0.8</v>
      </c>
      <c r="CG53" s="10"/>
      <c r="CH53" s="10">
        <v>0.8</v>
      </c>
      <c r="CI53" s="10"/>
      <c r="CJ53" s="10">
        <v>0.8</v>
      </c>
      <c r="CN53" s="10"/>
      <c r="CO53" s="10">
        <v>0.8</v>
      </c>
      <c r="CP53" s="10"/>
      <c r="CQ53" s="10">
        <v>0.8</v>
      </c>
      <c r="CU53" s="10"/>
      <c r="CV53" s="10">
        <v>1</v>
      </c>
      <c r="CW53" s="10"/>
      <c r="CX53" s="10">
        <v>1</v>
      </c>
      <c r="DB53" s="10"/>
      <c r="DC53" s="10">
        <v>1</v>
      </c>
      <c r="DD53" s="10"/>
      <c r="DE53" s="10">
        <v>1</v>
      </c>
      <c r="DI53" s="10"/>
      <c r="DJ53" s="10">
        <v>1</v>
      </c>
      <c r="DK53" s="10"/>
      <c r="DL53" s="10">
        <v>1</v>
      </c>
      <c r="DP53" s="10"/>
      <c r="DQ53" s="10"/>
      <c r="DR53" s="10"/>
      <c r="DS53" s="10"/>
      <c r="DW53" s="10"/>
      <c r="DX53" s="10"/>
      <c r="DY53" s="10"/>
      <c r="DZ53" s="10"/>
      <c r="ED53" s="10"/>
      <c r="EE53" s="10"/>
      <c r="EF53" s="10"/>
      <c r="EG53" s="10"/>
      <c r="EK53" s="10"/>
      <c r="EL53" s="10">
        <v>1</v>
      </c>
      <c r="EM53" s="10"/>
      <c r="EN53" s="10">
        <v>1</v>
      </c>
      <c r="EO53" s="18" t="s">
        <v>75</v>
      </c>
      <c r="ER53" s="10"/>
      <c r="ES53" s="10"/>
      <c r="ET53" s="10"/>
      <c r="EU53" s="10"/>
      <c r="EY53" s="10"/>
      <c r="EZ53" s="10"/>
      <c r="FA53" s="10"/>
      <c r="FB53" s="10"/>
    </row>
    <row r="54" spans="2:159" outlineLevel="1">
      <c r="B54" t="s">
        <v>28</v>
      </c>
      <c r="C54" t="s">
        <v>89</v>
      </c>
      <c r="E54" s="9"/>
      <c r="F54" t="s">
        <v>104</v>
      </c>
      <c r="G54" s="10">
        <v>0.15</v>
      </c>
      <c r="I54" s="9">
        <f t="shared" si="4"/>
        <v>0</v>
      </c>
      <c r="J54" s="11" cm="1">
        <f t="array" ref="J54">MAX(IF($N$3:$EH$3=$J$3,N54:EH54))</f>
        <v>0.1</v>
      </c>
      <c r="K54" s="11" cm="1">
        <f t="array" ref="K54">MAX(IF($N$3:$EH$3=$J$3,N54:EH54))</f>
        <v>0.1</v>
      </c>
      <c r="L54" s="9"/>
      <c r="O54" s="10">
        <v>0.1</v>
      </c>
      <c r="P54" s="10">
        <v>0.1</v>
      </c>
      <c r="Q54" s="10">
        <v>0.1</v>
      </c>
      <c r="R54" s="10">
        <v>0.1</v>
      </c>
      <c r="V54" s="10"/>
      <c r="W54" s="10"/>
      <c r="X54" s="10"/>
      <c r="Y54" s="10"/>
      <c r="AC54" s="10"/>
      <c r="AD54" s="10"/>
      <c r="AE54" s="10"/>
      <c r="AF54" s="10"/>
      <c r="AJ54" s="10"/>
      <c r="AK54" s="10">
        <v>0.5</v>
      </c>
      <c r="AL54" s="10"/>
      <c r="AM54" s="10">
        <v>0.5</v>
      </c>
      <c r="AQ54" s="10"/>
      <c r="AR54" s="10">
        <v>0.5</v>
      </c>
      <c r="AS54" s="10"/>
      <c r="AT54" s="10">
        <v>0.5</v>
      </c>
      <c r="AX54" s="10"/>
      <c r="AY54" s="10">
        <v>0.5</v>
      </c>
      <c r="AZ54" s="10"/>
      <c r="BA54" s="10">
        <v>0.5</v>
      </c>
      <c r="BE54" s="10"/>
      <c r="BF54" s="10">
        <v>0.5</v>
      </c>
      <c r="BG54" s="10"/>
      <c r="BH54" s="10">
        <v>0.5</v>
      </c>
      <c r="BL54" s="10"/>
      <c r="BM54" s="10">
        <v>0.8</v>
      </c>
      <c r="BN54" s="10"/>
      <c r="BO54" s="10">
        <v>0.8</v>
      </c>
      <c r="BS54" s="10"/>
      <c r="BT54" s="10">
        <v>0.8</v>
      </c>
      <c r="BU54" s="10"/>
      <c r="BV54" s="10">
        <v>0.8</v>
      </c>
      <c r="BZ54" s="10"/>
      <c r="CA54" s="10">
        <v>0.8</v>
      </c>
      <c r="CB54" s="10"/>
      <c r="CC54" s="10">
        <v>0.8</v>
      </c>
      <c r="CG54" s="10"/>
      <c r="CH54" s="10">
        <v>0.8</v>
      </c>
      <c r="CI54" s="10"/>
      <c r="CJ54" s="10">
        <v>0.8</v>
      </c>
      <c r="CN54" s="10"/>
      <c r="CO54" s="10">
        <v>0.8</v>
      </c>
      <c r="CP54" s="10"/>
      <c r="CQ54" s="10">
        <v>0.8</v>
      </c>
      <c r="CU54" s="10"/>
      <c r="CV54" s="10">
        <v>1</v>
      </c>
      <c r="CW54" s="10"/>
      <c r="CX54" s="10">
        <v>1</v>
      </c>
      <c r="DB54" s="10"/>
      <c r="DC54" s="10">
        <v>1</v>
      </c>
      <c r="DD54" s="10"/>
      <c r="DE54" s="10">
        <v>1</v>
      </c>
      <c r="DI54" s="10"/>
      <c r="DJ54" s="10">
        <v>1</v>
      </c>
      <c r="DK54" s="10"/>
      <c r="DL54" s="10">
        <v>1</v>
      </c>
      <c r="DP54" s="10"/>
      <c r="DQ54" s="10"/>
      <c r="DR54" s="10"/>
      <c r="DS54" s="10"/>
      <c r="DW54" s="10"/>
      <c r="DX54" s="10"/>
      <c r="DY54" s="10"/>
      <c r="DZ54" s="10"/>
      <c r="ED54" s="10"/>
      <c r="EE54" s="10"/>
      <c r="EF54" s="10"/>
      <c r="EG54" s="10"/>
      <c r="EK54" s="10"/>
      <c r="EL54" s="10">
        <v>1</v>
      </c>
      <c r="EM54" s="10"/>
      <c r="EN54" s="10">
        <v>1</v>
      </c>
      <c r="EO54" s="18" t="s">
        <v>75</v>
      </c>
      <c r="ER54" s="10"/>
      <c r="ES54" s="10"/>
      <c r="ET54" s="10"/>
      <c r="EU54" s="10"/>
      <c r="EY54" s="10"/>
      <c r="EZ54" s="10"/>
      <c r="FA54" s="10"/>
      <c r="FB54" s="10"/>
    </row>
    <row r="55" spans="2:159" outlineLevel="1">
      <c r="B55" t="s">
        <v>28</v>
      </c>
      <c r="C55" t="s">
        <v>89</v>
      </c>
      <c r="E55" s="9"/>
      <c r="F55" t="s">
        <v>105</v>
      </c>
      <c r="G55" s="10">
        <v>0.15</v>
      </c>
      <c r="I55" s="9">
        <f t="shared" si="4"/>
        <v>0</v>
      </c>
      <c r="J55" s="11" cm="1">
        <f t="array" ref="J55">MAX(IF($N$3:$EH$3=$J$3,N55:EH55))</f>
        <v>0.1</v>
      </c>
      <c r="K55" s="11" cm="1">
        <f t="array" ref="K55">MAX(IF($N$3:$EH$3=$J$3,N55:EH55))</f>
        <v>0.1</v>
      </c>
      <c r="L55" s="9"/>
      <c r="O55" s="10">
        <v>0.1</v>
      </c>
      <c r="P55" s="10">
        <v>0.1</v>
      </c>
      <c r="Q55" s="10">
        <v>0.1</v>
      </c>
      <c r="R55" s="10">
        <v>0.1</v>
      </c>
      <c r="V55" s="10"/>
      <c r="W55" s="10"/>
      <c r="X55" s="10"/>
      <c r="Y55" s="10"/>
      <c r="AC55" s="10"/>
      <c r="AD55" s="10"/>
      <c r="AE55" s="10"/>
      <c r="AF55" s="10"/>
      <c r="AJ55" s="10"/>
      <c r="AK55" s="10">
        <v>0.5</v>
      </c>
      <c r="AL55" s="10"/>
      <c r="AM55" s="10">
        <v>0.5</v>
      </c>
      <c r="AQ55" s="10"/>
      <c r="AR55" s="10">
        <v>0.5</v>
      </c>
      <c r="AS55" s="10"/>
      <c r="AT55" s="10">
        <v>0.5</v>
      </c>
      <c r="AX55" s="10"/>
      <c r="AY55" s="10">
        <v>0.5</v>
      </c>
      <c r="AZ55" s="10"/>
      <c r="BA55" s="10">
        <v>0.5</v>
      </c>
      <c r="BE55" s="10"/>
      <c r="BF55" s="10">
        <v>0.5</v>
      </c>
      <c r="BG55" s="10"/>
      <c r="BH55" s="10">
        <v>0.5</v>
      </c>
      <c r="BL55" s="10"/>
      <c r="BM55" s="10">
        <v>0.5</v>
      </c>
      <c r="BN55" s="10"/>
      <c r="BO55" s="10">
        <v>0.5</v>
      </c>
      <c r="BS55" s="10"/>
      <c r="BT55" s="10">
        <v>0.8</v>
      </c>
      <c r="BU55" s="10"/>
      <c r="BV55" s="10">
        <v>0.8</v>
      </c>
      <c r="BZ55" s="10"/>
      <c r="CA55" s="10">
        <v>0.8</v>
      </c>
      <c r="CB55" s="10"/>
      <c r="CC55" s="10">
        <v>0.8</v>
      </c>
      <c r="CG55" s="10"/>
      <c r="CH55" s="10">
        <v>0.8</v>
      </c>
      <c r="CI55" s="10"/>
      <c r="CJ55" s="10">
        <v>0.8</v>
      </c>
      <c r="CN55" s="10"/>
      <c r="CO55" s="10">
        <v>0.8</v>
      </c>
      <c r="CP55" s="10"/>
      <c r="CQ55" s="10">
        <v>0.8</v>
      </c>
      <c r="CU55" s="10"/>
      <c r="CV55" s="10">
        <v>0.8</v>
      </c>
      <c r="CW55" s="10"/>
      <c r="CX55" s="10">
        <v>0.8</v>
      </c>
      <c r="DB55" s="10"/>
      <c r="DC55" s="10">
        <v>1</v>
      </c>
      <c r="DD55" s="10"/>
      <c r="DE55" s="10">
        <v>1</v>
      </c>
      <c r="DI55" s="10"/>
      <c r="DJ55" s="10">
        <v>1</v>
      </c>
      <c r="DK55" s="10"/>
      <c r="DL55" s="10">
        <v>1</v>
      </c>
      <c r="DP55" s="10"/>
      <c r="DQ55" s="10"/>
      <c r="DR55" s="10"/>
      <c r="DS55" s="10"/>
      <c r="DW55" s="10"/>
      <c r="DX55" s="10"/>
      <c r="DY55" s="10"/>
      <c r="DZ55" s="10"/>
      <c r="ED55" s="10"/>
      <c r="EE55" s="10"/>
      <c r="EF55" s="10"/>
      <c r="EG55" s="10"/>
      <c r="EK55" s="10"/>
      <c r="EL55" s="10">
        <v>1</v>
      </c>
      <c r="EM55" s="10"/>
      <c r="EN55" s="10">
        <v>1</v>
      </c>
      <c r="EO55" s="18" t="s">
        <v>75</v>
      </c>
      <c r="ER55" s="10"/>
      <c r="ES55" s="10"/>
      <c r="ET55" s="10"/>
      <c r="EU55" s="10"/>
      <c r="EY55" s="10"/>
      <c r="EZ55" s="10"/>
      <c r="FA55" s="10"/>
      <c r="FB55" s="10"/>
    </row>
    <row r="56" spans="2:159" outlineLevel="1">
      <c r="B56" t="s">
        <v>28</v>
      </c>
      <c r="C56" t="s">
        <v>89</v>
      </c>
      <c r="E56" s="9"/>
      <c r="F56" t="s">
        <v>106</v>
      </c>
      <c r="G56" s="10">
        <v>0.2</v>
      </c>
      <c r="I56" s="9">
        <f t="shared" si="4"/>
        <v>0</v>
      </c>
      <c r="J56" s="11" cm="1">
        <f t="array" ref="J56">MAX(IF($N$3:$EH$3=$J$3,N56:EH56))</f>
        <v>0.1</v>
      </c>
      <c r="K56" s="11" cm="1">
        <f t="array" ref="K56">MAX(IF($N$3:$EH$3=$J$3,N56:EH56))</f>
        <v>0.1</v>
      </c>
      <c r="L56" s="9"/>
      <c r="O56" s="10">
        <v>0.1</v>
      </c>
      <c r="P56" s="10">
        <v>0.1</v>
      </c>
      <c r="Q56" s="10">
        <v>0.1</v>
      </c>
      <c r="R56" s="10">
        <v>0.1</v>
      </c>
      <c r="V56" s="10"/>
      <c r="W56" s="10"/>
      <c r="X56" s="10"/>
      <c r="Y56" s="10"/>
      <c r="AC56" s="10"/>
      <c r="AD56" s="10"/>
      <c r="AE56" s="10"/>
      <c r="AF56" s="10"/>
      <c r="AJ56" s="10"/>
      <c r="AK56" s="10"/>
      <c r="AL56" s="10"/>
      <c r="AM56" s="10"/>
      <c r="AQ56" s="10"/>
      <c r="AR56" s="10">
        <v>0.5</v>
      </c>
      <c r="AS56" s="10"/>
      <c r="AT56" s="10">
        <v>0.5</v>
      </c>
      <c r="AX56" s="10"/>
      <c r="AY56" s="10">
        <v>0.5</v>
      </c>
      <c r="AZ56" s="10"/>
      <c r="BA56" s="10">
        <v>0.5</v>
      </c>
      <c r="BE56" s="10"/>
      <c r="BF56" s="10">
        <v>0.5</v>
      </c>
      <c r="BG56" s="10"/>
      <c r="BH56" s="10">
        <v>0.5</v>
      </c>
      <c r="BL56" s="10"/>
      <c r="BM56" s="10">
        <v>0.5</v>
      </c>
      <c r="BN56" s="10"/>
      <c r="BO56" s="10">
        <v>0.5</v>
      </c>
      <c r="BS56" s="10"/>
      <c r="BT56" s="10">
        <v>0.5</v>
      </c>
      <c r="BU56" s="10"/>
      <c r="BV56" s="10">
        <v>0.5</v>
      </c>
      <c r="BZ56" s="10"/>
      <c r="CA56" s="10">
        <v>0.5</v>
      </c>
      <c r="CB56" s="10"/>
      <c r="CC56" s="10">
        <v>0.5</v>
      </c>
      <c r="CG56" s="10"/>
      <c r="CH56" s="10">
        <v>0.8</v>
      </c>
      <c r="CI56" s="10"/>
      <c r="CJ56" s="10">
        <v>0.8</v>
      </c>
      <c r="CN56" s="10"/>
      <c r="CO56" s="10">
        <v>0.8</v>
      </c>
      <c r="CP56" s="10"/>
      <c r="CQ56" s="10">
        <v>0.8</v>
      </c>
      <c r="CU56" s="10"/>
      <c r="CV56" s="10">
        <v>0.8</v>
      </c>
      <c r="CW56" s="10"/>
      <c r="CX56" s="10">
        <v>0.8</v>
      </c>
      <c r="DB56" s="10"/>
      <c r="DC56" s="10">
        <v>1</v>
      </c>
      <c r="DD56" s="10"/>
      <c r="DE56" s="10">
        <v>1</v>
      </c>
      <c r="DI56" s="10"/>
      <c r="DJ56" s="10">
        <v>1</v>
      </c>
      <c r="DK56" s="10"/>
      <c r="DL56" s="10">
        <v>1</v>
      </c>
      <c r="DP56" s="10"/>
      <c r="DQ56" s="10"/>
      <c r="DR56" s="10"/>
      <c r="DS56" s="10"/>
      <c r="DW56" s="10"/>
      <c r="DX56" s="10"/>
      <c r="DY56" s="10"/>
      <c r="DZ56" s="10"/>
      <c r="ED56" s="10"/>
      <c r="EE56" s="10"/>
      <c r="EF56" s="10"/>
      <c r="EG56" s="10"/>
      <c r="EK56" s="10"/>
      <c r="EL56" s="10">
        <v>1</v>
      </c>
      <c r="EM56" s="10"/>
      <c r="EN56" s="10">
        <v>1</v>
      </c>
      <c r="EO56" s="18" t="s">
        <v>75</v>
      </c>
      <c r="ER56" s="10"/>
      <c r="ES56" s="10"/>
      <c r="ET56" s="10"/>
      <c r="EU56" s="10"/>
      <c r="EY56" s="10"/>
      <c r="EZ56" s="10"/>
      <c r="FA56" s="10"/>
      <c r="FB56" s="10"/>
    </row>
    <row r="57" spans="2:159" outlineLevel="1">
      <c r="B57" t="s">
        <v>28</v>
      </c>
      <c r="C57" t="s">
        <v>89</v>
      </c>
      <c r="E57" s="9"/>
      <c r="F57" t="s">
        <v>107</v>
      </c>
      <c r="G57" s="10">
        <v>0.2</v>
      </c>
      <c r="I57" s="9">
        <f t="shared" si="4"/>
        <v>0</v>
      </c>
      <c r="J57" s="11" cm="1">
        <f t="array" ref="J57">MAX(IF($N$3:$EH$3=$J$3,N57:EH57))</f>
        <v>0.1</v>
      </c>
      <c r="K57" s="11" cm="1">
        <f t="array" ref="K57">MAX(IF($N$3:$EH$3=$J$3,N57:EH57))</f>
        <v>0.1</v>
      </c>
      <c r="L57" s="9"/>
      <c r="O57" s="10">
        <v>0.1</v>
      </c>
      <c r="P57" s="10">
        <v>0.1</v>
      </c>
      <c r="Q57" s="10">
        <v>0.1</v>
      </c>
      <c r="R57" s="10">
        <v>0.1</v>
      </c>
      <c r="V57" s="10"/>
      <c r="W57" s="10"/>
      <c r="X57" s="10"/>
      <c r="Y57" s="10"/>
      <c r="AC57" s="10"/>
      <c r="AD57" s="10"/>
      <c r="AE57" s="10"/>
      <c r="AF57" s="10"/>
      <c r="AJ57" s="10"/>
      <c r="AK57" s="10"/>
      <c r="AL57" s="10"/>
      <c r="AM57" s="10"/>
      <c r="AQ57" s="10"/>
      <c r="AR57" s="10"/>
      <c r="AS57" s="10"/>
      <c r="AT57" s="10"/>
      <c r="AX57" s="10"/>
      <c r="AY57" s="10">
        <v>0.5</v>
      </c>
      <c r="AZ57" s="10"/>
      <c r="BA57" s="10">
        <v>0.5</v>
      </c>
      <c r="BE57" s="10"/>
      <c r="BF57" s="10">
        <v>0.5</v>
      </c>
      <c r="BG57" s="10"/>
      <c r="BH57" s="10">
        <v>0.5</v>
      </c>
      <c r="BL57" s="10"/>
      <c r="BM57" s="10">
        <v>0.5</v>
      </c>
      <c r="BN57" s="10"/>
      <c r="BO57" s="10">
        <v>0.5</v>
      </c>
      <c r="BS57" s="10"/>
      <c r="BT57" s="10">
        <v>0.5</v>
      </c>
      <c r="BU57" s="10"/>
      <c r="BV57" s="10">
        <v>0.5</v>
      </c>
      <c r="BZ57" s="10"/>
      <c r="CA57" s="10">
        <v>0.5</v>
      </c>
      <c r="CB57" s="10"/>
      <c r="CC57" s="10">
        <v>0.5</v>
      </c>
      <c r="CG57" s="10"/>
      <c r="CH57" s="10">
        <v>0.8</v>
      </c>
      <c r="CI57" s="10"/>
      <c r="CJ57" s="10">
        <v>0.8</v>
      </c>
      <c r="CN57" s="10"/>
      <c r="CO57" s="10">
        <v>0.8</v>
      </c>
      <c r="CP57" s="10"/>
      <c r="CQ57" s="10">
        <v>0.8</v>
      </c>
      <c r="CU57" s="10"/>
      <c r="CV57" s="10">
        <v>0.8</v>
      </c>
      <c r="CW57" s="10"/>
      <c r="CX57" s="10">
        <v>0.8</v>
      </c>
      <c r="DB57" s="10"/>
      <c r="DC57" s="10">
        <v>0.8</v>
      </c>
      <c r="DD57" s="10"/>
      <c r="DE57" s="10">
        <v>0.8</v>
      </c>
      <c r="DI57" s="10"/>
      <c r="DJ57" s="10">
        <v>1</v>
      </c>
      <c r="DK57" s="10"/>
      <c r="DL57" s="10">
        <v>1</v>
      </c>
      <c r="DP57" s="10"/>
      <c r="DQ57" s="10"/>
      <c r="DR57" s="10"/>
      <c r="DS57" s="10"/>
      <c r="DW57" s="10"/>
      <c r="DX57" s="10"/>
      <c r="DY57" s="10"/>
      <c r="DZ57" s="10"/>
      <c r="ED57" s="10"/>
      <c r="EE57" s="10"/>
      <c r="EF57" s="10"/>
      <c r="EG57" s="10"/>
      <c r="EK57" s="10"/>
      <c r="EL57" s="10">
        <v>1</v>
      </c>
      <c r="EM57" s="10"/>
      <c r="EN57" s="10">
        <v>1</v>
      </c>
      <c r="EO57" s="18" t="s">
        <v>75</v>
      </c>
      <c r="ER57" s="10"/>
      <c r="ES57" s="10"/>
      <c r="ET57" s="10"/>
      <c r="EU57" s="10"/>
      <c r="EY57" s="10"/>
      <c r="EZ57" s="10"/>
      <c r="FA57" s="10"/>
      <c r="FB57" s="10"/>
    </row>
    <row r="58" spans="2:159" outlineLevel="1">
      <c r="B58" t="s">
        <v>28</v>
      </c>
      <c r="C58" t="s">
        <v>89</v>
      </c>
      <c r="E58" s="9"/>
      <c r="F58" t="s">
        <v>108</v>
      </c>
      <c r="G58" s="10">
        <v>0.1</v>
      </c>
      <c r="I58" s="9">
        <f t="shared" si="4"/>
        <v>0</v>
      </c>
      <c r="J58" s="11" cm="1">
        <f t="array" ref="J58">MAX(IF($N$3:$EH$3=$J$3,N58:EH58))</f>
        <v>0.1</v>
      </c>
      <c r="K58" s="11" cm="1">
        <f t="array" ref="K58">MAX(IF($N$3:$EH$3=$J$3,N58:EH58))</f>
        <v>0.1</v>
      </c>
      <c r="L58" s="9"/>
      <c r="O58" s="10">
        <v>0.1</v>
      </c>
      <c r="P58" s="10">
        <v>0.1</v>
      </c>
      <c r="Q58" s="10">
        <v>0.1</v>
      </c>
      <c r="R58" s="10">
        <v>0.1</v>
      </c>
      <c r="V58" s="10"/>
      <c r="W58" s="10"/>
      <c r="X58" s="10"/>
      <c r="Y58" s="10"/>
      <c r="AC58" s="10"/>
      <c r="AD58" s="10"/>
      <c r="AE58" s="10"/>
      <c r="AF58" s="10"/>
      <c r="AJ58" s="10"/>
      <c r="AK58" s="10"/>
      <c r="AL58" s="10"/>
      <c r="AM58" s="10"/>
      <c r="AQ58" s="10"/>
      <c r="AR58" s="10"/>
      <c r="AS58" s="10"/>
      <c r="AT58" s="10"/>
      <c r="AX58" s="10"/>
      <c r="AY58" s="10"/>
      <c r="AZ58" s="10"/>
      <c r="BA58" s="10"/>
      <c r="BE58" s="10"/>
      <c r="BF58" s="10">
        <v>0.5</v>
      </c>
      <c r="BG58" s="10"/>
      <c r="BH58" s="10">
        <v>0.5</v>
      </c>
      <c r="BL58" s="10"/>
      <c r="BM58" s="10">
        <v>0.5</v>
      </c>
      <c r="BN58" s="10"/>
      <c r="BO58" s="10">
        <v>0.5</v>
      </c>
      <c r="BS58" s="10"/>
      <c r="BT58" s="10">
        <v>0.5</v>
      </c>
      <c r="BU58" s="10"/>
      <c r="BV58" s="10">
        <v>0.5</v>
      </c>
      <c r="BZ58" s="10"/>
      <c r="CA58" s="10">
        <v>0.5</v>
      </c>
      <c r="CB58" s="10"/>
      <c r="CC58" s="10">
        <v>0.5</v>
      </c>
      <c r="CG58" s="10"/>
      <c r="CH58" s="10">
        <v>0.5</v>
      </c>
      <c r="CI58" s="10"/>
      <c r="CJ58" s="10">
        <v>0.5</v>
      </c>
      <c r="CN58" s="10"/>
      <c r="CO58" s="10">
        <v>0.8</v>
      </c>
      <c r="CP58" s="10"/>
      <c r="CQ58" s="10">
        <v>0.8</v>
      </c>
      <c r="CU58" s="10"/>
      <c r="CV58" s="10">
        <v>0.8</v>
      </c>
      <c r="CW58" s="10"/>
      <c r="CX58" s="10">
        <v>0.8</v>
      </c>
      <c r="DB58" s="10"/>
      <c r="DC58" s="10">
        <v>0.8</v>
      </c>
      <c r="DD58" s="10"/>
      <c r="DE58" s="10">
        <v>0.8</v>
      </c>
      <c r="DI58" s="10"/>
      <c r="DJ58" s="10">
        <v>1</v>
      </c>
      <c r="DK58" s="10"/>
      <c r="DL58" s="10">
        <v>1</v>
      </c>
      <c r="DP58" s="10"/>
      <c r="DQ58" s="10"/>
      <c r="DR58" s="10"/>
      <c r="DS58" s="10"/>
      <c r="DW58" s="10"/>
      <c r="DX58" s="10"/>
      <c r="DY58" s="10"/>
      <c r="DZ58" s="10"/>
      <c r="ED58" s="10"/>
      <c r="EE58" s="10"/>
      <c r="EF58" s="10"/>
      <c r="EG58" s="10"/>
      <c r="EK58" s="10"/>
      <c r="EL58" s="10">
        <v>1</v>
      </c>
      <c r="EM58" s="10"/>
      <c r="EN58" s="10">
        <v>1</v>
      </c>
      <c r="EO58" s="18" t="s">
        <v>75</v>
      </c>
      <c r="ER58" s="10"/>
      <c r="ES58" s="10"/>
      <c r="ET58" s="10"/>
      <c r="EU58" s="10"/>
      <c r="EY58" s="10"/>
      <c r="EZ58" s="10"/>
      <c r="FA58" s="10"/>
      <c r="FB58" s="10"/>
    </row>
    <row r="59" spans="2:159" outlineLevel="1">
      <c r="B59" t="s">
        <v>28</v>
      </c>
      <c r="C59" t="s">
        <v>89</v>
      </c>
      <c r="E59" s="9"/>
      <c r="F59" t="s">
        <v>109</v>
      </c>
      <c r="G59" s="10">
        <v>0.2</v>
      </c>
      <c r="I59" s="9">
        <f t="shared" si="4"/>
        <v>0</v>
      </c>
      <c r="J59" s="11" cm="1">
        <f t="array" ref="J59">MAX(IF($N$3:$EH$3=$J$3,N59:EH59))</f>
        <v>0.1</v>
      </c>
      <c r="K59" s="11" cm="1">
        <f t="array" ref="K59">MAX(IF($N$3:$EH$3=$J$3,N59:EH59))</f>
        <v>0.1</v>
      </c>
      <c r="L59" s="9"/>
      <c r="O59" s="10">
        <v>0.1</v>
      </c>
      <c r="P59" s="10">
        <v>0.1</v>
      </c>
      <c r="Q59" s="10">
        <v>0.1</v>
      </c>
      <c r="R59" s="10">
        <v>0.1</v>
      </c>
      <c r="V59" s="10"/>
      <c r="W59" s="10"/>
      <c r="X59" s="10"/>
      <c r="Y59" s="10"/>
      <c r="AC59" s="10"/>
      <c r="AD59" s="10"/>
      <c r="AE59" s="10"/>
      <c r="AF59" s="10"/>
      <c r="AJ59" s="10"/>
      <c r="AK59" s="10"/>
      <c r="AL59" s="10"/>
      <c r="AM59" s="10"/>
      <c r="AQ59" s="10"/>
      <c r="AR59" s="10"/>
      <c r="AS59" s="10"/>
      <c r="AT59" s="10"/>
      <c r="AX59" s="10"/>
      <c r="AY59" s="10"/>
      <c r="AZ59" s="10"/>
      <c r="BA59" s="10"/>
      <c r="BE59" s="10"/>
      <c r="BF59" s="10"/>
      <c r="BG59" s="10"/>
      <c r="BH59" s="10"/>
      <c r="BL59" s="10"/>
      <c r="BM59" s="10"/>
      <c r="BN59" s="10"/>
      <c r="BO59" s="10"/>
      <c r="BS59" s="10"/>
      <c r="BT59" s="10">
        <v>0.5</v>
      </c>
      <c r="BU59" s="10"/>
      <c r="BV59" s="10">
        <v>0.5</v>
      </c>
      <c r="BZ59" s="10"/>
      <c r="CA59" s="10">
        <v>0.5</v>
      </c>
      <c r="CB59" s="10"/>
      <c r="CC59" s="10">
        <v>0.5</v>
      </c>
      <c r="CG59" s="10"/>
      <c r="CH59" s="10">
        <v>0.5</v>
      </c>
      <c r="CI59" s="10"/>
      <c r="CJ59" s="10">
        <v>0.5</v>
      </c>
      <c r="CN59" s="10"/>
      <c r="CO59" s="10">
        <v>0.8</v>
      </c>
      <c r="CP59" s="10"/>
      <c r="CQ59" s="10">
        <v>0.8</v>
      </c>
      <c r="CU59" s="10"/>
      <c r="CV59" s="10">
        <v>0.8</v>
      </c>
      <c r="CW59" s="10"/>
      <c r="CX59" s="10">
        <v>0.8</v>
      </c>
      <c r="DB59" s="10"/>
      <c r="DC59" s="10">
        <v>0.8</v>
      </c>
      <c r="DD59" s="10"/>
      <c r="DE59" s="10">
        <v>0.8</v>
      </c>
      <c r="DI59" s="10"/>
      <c r="DJ59" s="10">
        <v>1</v>
      </c>
      <c r="DK59" s="10"/>
      <c r="DL59" s="10">
        <v>1</v>
      </c>
      <c r="DP59" s="10"/>
      <c r="DQ59" s="10"/>
      <c r="DR59" s="10"/>
      <c r="DS59" s="10"/>
      <c r="DW59" s="10"/>
      <c r="DX59" s="10"/>
      <c r="DY59" s="10"/>
      <c r="DZ59" s="10"/>
      <c r="ED59" s="10"/>
      <c r="EE59" s="10"/>
      <c r="EF59" s="10"/>
      <c r="EG59" s="10"/>
      <c r="EK59" s="10"/>
      <c r="EL59" s="10">
        <v>1</v>
      </c>
      <c r="EM59" s="10"/>
      <c r="EN59" s="10">
        <v>1</v>
      </c>
      <c r="EO59" s="18" t="s">
        <v>75</v>
      </c>
      <c r="ER59" s="10"/>
      <c r="ES59" s="10"/>
      <c r="ET59" s="10"/>
      <c r="EU59" s="10"/>
      <c r="EY59" s="10"/>
      <c r="EZ59" s="10"/>
      <c r="FA59" s="10"/>
      <c r="FB59" s="10"/>
    </row>
    <row r="60" spans="2:159">
      <c r="BT60" s="10"/>
      <c r="BV60" s="10"/>
    </row>
    <row r="65" spans="5:158" outlineLevel="1">
      <c r="E65" s="9"/>
      <c r="G65" s="10"/>
      <c r="I65" s="9"/>
      <c r="J65" s="11"/>
      <c r="K65" s="11"/>
      <c r="L65" s="9"/>
      <c r="O65" s="10"/>
      <c r="P65" s="10"/>
      <c r="Q65" s="10"/>
      <c r="R65" s="10"/>
      <c r="V65" s="10"/>
      <c r="W65" s="10"/>
      <c r="X65" s="10"/>
      <c r="Y65" s="10"/>
      <c r="AC65" s="10"/>
      <c r="AD65" s="10"/>
      <c r="AE65" s="10"/>
      <c r="AF65" s="10"/>
      <c r="AJ65" s="10"/>
      <c r="AK65" s="10"/>
      <c r="AL65" s="10"/>
      <c r="AM65" s="10"/>
      <c r="AQ65" s="10"/>
      <c r="AR65" s="10"/>
      <c r="AS65" s="10"/>
      <c r="AT65" s="10"/>
      <c r="AX65" s="10"/>
      <c r="AY65" s="10"/>
      <c r="AZ65" s="10"/>
      <c r="BA65" s="10"/>
      <c r="BE65" s="10"/>
      <c r="BF65" s="10"/>
      <c r="BG65" s="10"/>
      <c r="BH65" s="10"/>
      <c r="BL65" s="10"/>
      <c r="BM65" s="10"/>
      <c r="BN65" s="10"/>
      <c r="BO65" s="10"/>
      <c r="BS65" s="10"/>
      <c r="BT65" s="10"/>
      <c r="BU65" s="10"/>
      <c r="BV65" s="10"/>
      <c r="BZ65" s="10"/>
      <c r="CA65" s="10"/>
      <c r="CB65" s="10"/>
      <c r="CC65" s="10"/>
      <c r="CG65" s="10"/>
      <c r="CH65" s="10"/>
      <c r="CI65" s="10"/>
      <c r="CJ65" s="10"/>
      <c r="CN65" s="10"/>
      <c r="CO65" s="10"/>
      <c r="CP65" s="10"/>
      <c r="CQ65" s="10"/>
      <c r="CU65" s="10"/>
      <c r="CV65" s="10"/>
      <c r="CW65" s="10"/>
      <c r="CX65" s="10"/>
      <c r="DB65" s="10"/>
      <c r="DC65" s="10"/>
      <c r="DD65" s="10"/>
      <c r="DE65" s="10"/>
      <c r="DI65" s="10"/>
      <c r="DJ65" s="10"/>
      <c r="DK65" s="10"/>
      <c r="DL65" s="10"/>
      <c r="DP65" s="10"/>
      <c r="DQ65" s="10"/>
      <c r="DR65" s="10"/>
      <c r="DS65" s="10"/>
      <c r="DW65" s="10"/>
      <c r="DX65" s="10"/>
      <c r="DY65" s="10"/>
      <c r="DZ65" s="10"/>
      <c r="ED65" s="10"/>
      <c r="EE65" s="10"/>
      <c r="EF65" s="10"/>
      <c r="EG65" s="10"/>
      <c r="EK65" s="10"/>
      <c r="EL65" s="10"/>
      <c r="EM65" s="10"/>
      <c r="EN65" s="10"/>
      <c r="EO65" s="18"/>
      <c r="ER65" s="10"/>
      <c r="ES65" s="10"/>
      <c r="ET65" s="10"/>
      <c r="EU65" s="10"/>
      <c r="EY65" s="10"/>
      <c r="EZ65" s="10"/>
      <c r="FA65" s="10"/>
      <c r="FB65" s="10"/>
    </row>
    <row r="66" spans="5:158" outlineLevel="1">
      <c r="E66" s="9"/>
      <c r="G66" s="10"/>
      <c r="I66" s="9"/>
      <c r="J66" s="11"/>
      <c r="K66" s="11"/>
      <c r="L66" s="9"/>
      <c r="O66" s="10"/>
      <c r="P66" s="10"/>
      <c r="Q66" s="10"/>
      <c r="R66" s="10"/>
      <c r="V66" s="10"/>
      <c r="W66" s="10"/>
      <c r="X66" s="10"/>
      <c r="Y66" s="10"/>
      <c r="AC66" s="10"/>
      <c r="AD66" s="10"/>
      <c r="AE66" s="10"/>
      <c r="AF66" s="10"/>
      <c r="AJ66" s="10"/>
      <c r="AK66" s="10"/>
      <c r="AL66" s="10"/>
      <c r="AM66" s="10"/>
      <c r="AQ66" s="10"/>
      <c r="AR66" s="10"/>
      <c r="AS66" s="10"/>
      <c r="AT66" s="10"/>
      <c r="AX66" s="10"/>
      <c r="AY66" s="10"/>
      <c r="AZ66" s="10"/>
      <c r="BA66" s="10"/>
      <c r="BE66" s="10"/>
      <c r="BF66" s="10"/>
      <c r="BG66" s="10"/>
      <c r="BH66" s="10"/>
      <c r="BL66" s="10"/>
      <c r="BM66" s="10"/>
      <c r="BN66" s="10"/>
      <c r="BO66" s="10"/>
      <c r="BS66" s="10"/>
      <c r="BT66" s="10"/>
      <c r="BU66" s="10"/>
      <c r="BV66" s="10"/>
      <c r="BZ66" s="10"/>
      <c r="CA66" s="10"/>
      <c r="CB66" s="10"/>
      <c r="CC66" s="10"/>
      <c r="CG66" s="10"/>
      <c r="CH66" s="10"/>
      <c r="CI66" s="10"/>
      <c r="CJ66" s="10"/>
      <c r="CN66" s="10"/>
      <c r="CO66" s="10"/>
      <c r="CP66" s="10"/>
      <c r="CQ66" s="10"/>
      <c r="CU66" s="10"/>
      <c r="CV66" s="10"/>
      <c r="CW66" s="10"/>
      <c r="CX66" s="10"/>
      <c r="DB66" s="10"/>
      <c r="DC66" s="10"/>
      <c r="DD66" s="10"/>
      <c r="DE66" s="10"/>
      <c r="DI66" s="10"/>
      <c r="DJ66" s="10"/>
      <c r="DK66" s="10"/>
      <c r="DL66" s="10"/>
      <c r="DP66" s="10"/>
      <c r="DQ66" s="10"/>
      <c r="DR66" s="10"/>
      <c r="DS66" s="10"/>
      <c r="DW66" s="10"/>
      <c r="DX66" s="10"/>
      <c r="DY66" s="10"/>
      <c r="DZ66" s="10"/>
      <c r="ED66" s="10"/>
      <c r="EE66" s="10"/>
      <c r="EF66" s="10"/>
      <c r="EG66" s="10"/>
      <c r="EK66" s="10"/>
      <c r="EL66" s="10"/>
      <c r="EM66" s="10"/>
      <c r="EN66" s="10"/>
      <c r="EO66" s="18"/>
      <c r="ER66" s="10"/>
      <c r="ES66" s="10"/>
      <c r="ET66" s="10"/>
      <c r="EU66" s="10"/>
      <c r="EY66" s="10"/>
      <c r="EZ66" s="10"/>
      <c r="FA66" s="10"/>
      <c r="FB66" s="10"/>
    </row>
    <row r="67" spans="5:158" outlineLevel="1">
      <c r="E67" s="9"/>
      <c r="G67" s="10"/>
      <c r="I67" s="9"/>
      <c r="J67" s="11"/>
      <c r="K67" s="11"/>
      <c r="L67" s="9"/>
      <c r="O67" s="10"/>
      <c r="P67" s="10"/>
      <c r="Q67" s="10"/>
      <c r="R67" s="10"/>
      <c r="V67" s="10"/>
      <c r="W67" s="10"/>
      <c r="X67" s="10"/>
      <c r="Y67" s="10"/>
      <c r="AC67" s="10"/>
      <c r="AD67" s="10"/>
      <c r="AE67" s="10"/>
      <c r="AF67" s="10"/>
      <c r="AJ67" s="10"/>
      <c r="AK67" s="10"/>
      <c r="AL67" s="10"/>
      <c r="AM67" s="10"/>
      <c r="AQ67" s="10"/>
      <c r="AR67" s="10"/>
      <c r="AS67" s="10"/>
      <c r="AT67" s="10"/>
      <c r="AX67" s="10"/>
      <c r="AY67" s="10"/>
      <c r="AZ67" s="10"/>
      <c r="BA67" s="10"/>
      <c r="BE67" s="10"/>
      <c r="BF67" s="10"/>
      <c r="BG67" s="10"/>
      <c r="BH67" s="10"/>
      <c r="BL67" s="10"/>
      <c r="BM67" s="10"/>
      <c r="BN67" s="10"/>
      <c r="BO67" s="10"/>
      <c r="BS67" s="10"/>
      <c r="BT67" s="10"/>
      <c r="BU67" s="10"/>
      <c r="BV67" s="10"/>
      <c r="BZ67" s="10"/>
      <c r="CA67" s="10"/>
      <c r="CB67" s="10"/>
      <c r="CC67" s="10"/>
      <c r="CG67" s="10"/>
      <c r="CH67" s="10"/>
      <c r="CI67" s="10"/>
      <c r="CJ67" s="10"/>
      <c r="CN67" s="10"/>
      <c r="CO67" s="10"/>
      <c r="CP67" s="10"/>
      <c r="CQ67" s="10"/>
      <c r="CU67" s="10"/>
      <c r="CV67" s="10"/>
      <c r="CW67" s="10"/>
      <c r="CX67" s="10"/>
      <c r="DB67" s="10"/>
      <c r="DC67" s="10"/>
      <c r="DD67" s="10"/>
      <c r="DE67" s="10"/>
      <c r="DI67" s="10"/>
      <c r="DJ67" s="10"/>
      <c r="DK67" s="10"/>
      <c r="DL67" s="10"/>
      <c r="DP67" s="10"/>
      <c r="DQ67" s="10"/>
      <c r="DR67" s="10"/>
      <c r="DS67" s="10"/>
      <c r="DW67" s="10"/>
      <c r="DX67" s="10"/>
      <c r="DY67" s="10"/>
      <c r="DZ67" s="10"/>
      <c r="ED67" s="10"/>
      <c r="EE67" s="10"/>
      <c r="EF67" s="10"/>
      <c r="EG67" s="10"/>
      <c r="EK67" s="10"/>
      <c r="EL67" s="10"/>
      <c r="EM67" s="10"/>
      <c r="EN67" s="10"/>
      <c r="EO67" s="18"/>
      <c r="ER67" s="10"/>
      <c r="ES67" s="10"/>
      <c r="ET67" s="10"/>
      <c r="EU67" s="10"/>
      <c r="EY67" s="10"/>
      <c r="EZ67" s="10"/>
      <c r="FA67" s="10"/>
      <c r="FB67" s="10"/>
    </row>
    <row r="68" spans="5:158" outlineLevel="1">
      <c r="E68" s="9"/>
      <c r="G68" s="10"/>
      <c r="I68" s="9"/>
      <c r="J68" s="11"/>
      <c r="K68" s="11"/>
      <c r="L68" s="9"/>
      <c r="O68" s="10"/>
      <c r="P68" s="10"/>
      <c r="Q68" s="10"/>
      <c r="R68" s="10"/>
      <c r="V68" s="10"/>
      <c r="W68" s="10"/>
      <c r="X68" s="10"/>
      <c r="Y68" s="10"/>
      <c r="AC68" s="10"/>
      <c r="AD68" s="10"/>
      <c r="AE68" s="10"/>
      <c r="AF68" s="10"/>
      <c r="AJ68" s="10"/>
      <c r="AK68" s="10"/>
      <c r="AL68" s="10"/>
      <c r="AM68" s="10"/>
      <c r="AQ68" s="10"/>
      <c r="AR68" s="10"/>
      <c r="AS68" s="10"/>
      <c r="AT68" s="10"/>
      <c r="AX68" s="10"/>
      <c r="AY68" s="10"/>
      <c r="AZ68" s="10"/>
      <c r="BA68" s="10"/>
      <c r="BE68" s="10"/>
      <c r="BF68" s="10"/>
      <c r="BG68" s="10"/>
      <c r="BH68" s="10"/>
      <c r="BL68" s="10"/>
      <c r="BM68" s="10"/>
      <c r="BN68" s="10"/>
      <c r="BO68" s="10"/>
      <c r="BS68" s="10"/>
      <c r="BT68" s="10"/>
      <c r="BU68" s="10"/>
      <c r="BV68" s="10"/>
      <c r="BZ68" s="10"/>
      <c r="CA68" s="10"/>
      <c r="CB68" s="10"/>
      <c r="CC68" s="10"/>
      <c r="CG68" s="10"/>
      <c r="CH68" s="10"/>
      <c r="CI68" s="10"/>
      <c r="CJ68" s="10"/>
      <c r="CN68" s="10"/>
      <c r="CO68" s="10"/>
      <c r="CP68" s="10"/>
      <c r="CQ68" s="10"/>
      <c r="CU68" s="10"/>
      <c r="CV68" s="10"/>
      <c r="CW68" s="10"/>
      <c r="CX68" s="10"/>
      <c r="DB68" s="10"/>
      <c r="DC68" s="10"/>
      <c r="DD68" s="10"/>
      <c r="DE68" s="10"/>
      <c r="DI68" s="10"/>
      <c r="DJ68" s="10"/>
      <c r="DK68" s="10"/>
      <c r="DL68" s="10"/>
      <c r="DP68" s="10"/>
      <c r="DQ68" s="10"/>
      <c r="DR68" s="10"/>
      <c r="DS68" s="10"/>
      <c r="DW68" s="10"/>
      <c r="DX68" s="10"/>
      <c r="DY68" s="10"/>
      <c r="DZ68" s="10"/>
      <c r="ED68" s="10"/>
      <c r="EE68" s="10"/>
      <c r="EF68" s="10"/>
      <c r="EG68" s="10"/>
      <c r="EK68" s="10"/>
      <c r="EL68" s="10"/>
      <c r="EM68" s="10"/>
      <c r="EN68" s="10"/>
      <c r="EO68" s="18"/>
      <c r="ER68" s="10"/>
      <c r="ES68" s="10"/>
      <c r="ET68" s="10"/>
      <c r="EU68" s="10"/>
      <c r="EY68" s="10"/>
      <c r="EZ68" s="10"/>
      <c r="FA68" s="10"/>
      <c r="FB68" s="10"/>
    </row>
  </sheetData>
  <mergeCells count="22">
    <mergeCell ref="I2:L2"/>
    <mergeCell ref="N2:S2"/>
    <mergeCell ref="BD2:BI2"/>
    <mergeCell ref="U2:Z2"/>
    <mergeCell ref="AB2:AG2"/>
    <mergeCell ref="AI2:AN2"/>
    <mergeCell ref="AP2:AU2"/>
    <mergeCell ref="AW2:BB2"/>
    <mergeCell ref="BK2:BP2"/>
    <mergeCell ref="BR2:BW2"/>
    <mergeCell ref="BY2:CD2"/>
    <mergeCell ref="CF2:CK2"/>
    <mergeCell ref="CM2:CR2"/>
    <mergeCell ref="EC2:EH2"/>
    <mergeCell ref="EJ2:EO2"/>
    <mergeCell ref="EQ2:EV2"/>
    <mergeCell ref="EX2:FC2"/>
    <mergeCell ref="CT2:CY2"/>
    <mergeCell ref="DA2:DF2"/>
    <mergeCell ref="DH2:DM2"/>
    <mergeCell ref="DO2:DT2"/>
    <mergeCell ref="DV2:EA2"/>
  </mergeCells>
  <phoneticPr fontId="5" type="noConversion"/>
  <conditionalFormatting sqref="J5:J17">
    <cfRule type="colorScale" priority="511">
      <colorScale>
        <cfvo type="percent" val="0"/>
        <cfvo type="percent" val="100"/>
        <color rgb="FFFF231B"/>
        <color rgb="FF10FF07"/>
      </colorScale>
    </cfRule>
  </conditionalFormatting>
  <conditionalFormatting sqref="J20:J25">
    <cfRule type="colorScale" priority="505">
      <colorScale>
        <cfvo type="percent" val="0"/>
        <cfvo type="percent" val="100"/>
        <color rgb="FFFF231B"/>
        <color rgb="FF10FF07"/>
      </colorScale>
    </cfRule>
  </conditionalFormatting>
  <conditionalFormatting sqref="J28:J33">
    <cfRule type="colorScale" priority="697">
      <colorScale>
        <cfvo type="percent" val="0"/>
        <cfvo type="percent" val="100"/>
        <color rgb="FFFF231B"/>
        <color rgb="FF10FF07"/>
      </colorScale>
    </cfRule>
  </conditionalFormatting>
  <conditionalFormatting sqref="J36:J39">
    <cfRule type="colorScale" priority="694">
      <colorScale>
        <cfvo type="percent" val="0"/>
        <cfvo type="percent" val="100"/>
        <color rgb="FFFF231B"/>
        <color rgb="FF10FF07"/>
      </colorScale>
    </cfRule>
  </conditionalFormatting>
  <conditionalFormatting sqref="J42:J49">
    <cfRule type="colorScale" priority="412">
      <colorScale>
        <cfvo type="percent" val="0"/>
        <cfvo type="percent" val="100"/>
        <color rgb="FFFF231B"/>
        <color rgb="FF10FF07"/>
      </colorScale>
    </cfRule>
  </conditionalFormatting>
  <conditionalFormatting sqref="J52:J59 J65:J68">
    <cfRule type="colorScale" priority="784">
      <colorScale>
        <cfvo type="percent" val="0"/>
        <cfvo type="percent" val="100"/>
        <color rgb="FFFF231B"/>
        <color rgb="FF10FF07"/>
      </colorScale>
    </cfRule>
  </conditionalFormatting>
  <conditionalFormatting sqref="J6:K16">
    <cfRule type="colorScale" priority="693">
      <colorScale>
        <cfvo type="percent" val="0"/>
        <cfvo type="percent" val="100"/>
        <color rgb="FFFF231B"/>
        <color rgb="FF10FF07"/>
      </colorScale>
    </cfRule>
  </conditionalFormatting>
  <conditionalFormatting sqref="J17:K17">
    <cfRule type="colorScale" priority="1">
      <colorScale>
        <cfvo type="percent" val="0"/>
        <cfvo type="percent" val="100"/>
        <color rgb="FFFF231B"/>
        <color rgb="FF10FF07"/>
      </colorScale>
    </cfRule>
  </conditionalFormatting>
  <conditionalFormatting sqref="J21:K25">
    <cfRule type="colorScale" priority="506">
      <colorScale>
        <cfvo type="percent" val="0"/>
        <cfvo type="percent" val="100"/>
        <color rgb="FFFF231B"/>
        <color rgb="FF10FF07"/>
      </colorScale>
    </cfRule>
  </conditionalFormatting>
  <conditionalFormatting sqref="J29:K33">
    <cfRule type="colorScale" priority="698">
      <colorScale>
        <cfvo type="percent" val="0"/>
        <cfvo type="percent" val="100"/>
        <color rgb="FFFF231B"/>
        <color rgb="FF10FF07"/>
      </colorScale>
    </cfRule>
  </conditionalFormatting>
  <conditionalFormatting sqref="J37:K39">
    <cfRule type="colorScale" priority="695">
      <colorScale>
        <cfvo type="percent" val="0"/>
        <cfvo type="percent" val="100"/>
        <color rgb="FFFF231B"/>
        <color rgb="FF10FF07"/>
      </colorScale>
    </cfRule>
  </conditionalFormatting>
  <conditionalFormatting sqref="J43:K47">
    <cfRule type="colorScale" priority="413">
      <colorScale>
        <cfvo type="percent" val="0"/>
        <cfvo type="percent" val="100"/>
        <color rgb="FFFF231B"/>
        <color rgb="FF10FF07"/>
      </colorScale>
    </cfRule>
  </conditionalFormatting>
  <conditionalFormatting sqref="J48:K49">
    <cfRule type="colorScale" priority="3">
      <colorScale>
        <cfvo type="percent" val="0"/>
        <cfvo type="percent" val="100"/>
        <color rgb="FFFF231B"/>
        <color rgb="FF10FF07"/>
      </colorScale>
    </cfRule>
  </conditionalFormatting>
  <conditionalFormatting sqref="J53:K57">
    <cfRule type="colorScale" priority="70">
      <colorScale>
        <cfvo type="percent" val="0"/>
        <cfvo type="percent" val="100"/>
        <color rgb="FFFF231B"/>
        <color rgb="FF10FF07"/>
      </colorScale>
    </cfRule>
  </conditionalFormatting>
  <conditionalFormatting sqref="J59:K59 J65:K68">
    <cfRule type="colorScale" priority="1042">
      <colorScale>
        <cfvo type="percent" val="0"/>
        <cfvo type="percent" val="100"/>
        <color rgb="FFFF231B"/>
        <color rgb="FF10FF07"/>
      </colorScale>
    </cfRule>
  </conditionalFormatting>
  <conditionalFormatting sqref="K5:K17">
    <cfRule type="colorScale" priority="510">
      <colorScale>
        <cfvo type="percent" val="0"/>
        <cfvo type="percent" val="100"/>
        <color rgb="FFFF231B"/>
        <color rgb="FF10FF07"/>
      </colorScale>
    </cfRule>
  </conditionalFormatting>
  <conditionalFormatting sqref="K20:K25">
    <cfRule type="colorScale" priority="504">
      <colorScale>
        <cfvo type="percent" val="0"/>
        <cfvo type="percent" val="100"/>
        <color rgb="FFFF231B"/>
        <color rgb="FF10FF07"/>
      </colorScale>
    </cfRule>
  </conditionalFormatting>
  <conditionalFormatting sqref="K28:K33">
    <cfRule type="colorScale" priority="699">
      <colorScale>
        <cfvo type="percent" val="0"/>
        <cfvo type="percent" val="100"/>
        <color rgb="FFFF231B"/>
        <color rgb="FF10FF07"/>
      </colorScale>
    </cfRule>
  </conditionalFormatting>
  <conditionalFormatting sqref="K36:K39">
    <cfRule type="colorScale" priority="696">
      <colorScale>
        <cfvo type="percent" val="0"/>
        <cfvo type="percent" val="100"/>
        <color rgb="FFFF231B"/>
        <color rgb="FF10FF07"/>
      </colorScale>
    </cfRule>
  </conditionalFormatting>
  <conditionalFormatting sqref="K42:K49">
    <cfRule type="colorScale" priority="411">
      <colorScale>
        <cfvo type="percent" val="0"/>
        <cfvo type="percent" val="100"/>
        <color rgb="FFFF231B"/>
        <color rgb="FF10FF07"/>
      </colorScale>
    </cfRule>
  </conditionalFormatting>
  <conditionalFormatting sqref="K52:K59 K65:K68">
    <cfRule type="colorScale" priority="787">
      <colorScale>
        <cfvo type="percent" val="0"/>
        <cfvo type="percent" val="100"/>
        <color rgb="FFFF231B"/>
        <color rgb="FF10FF07"/>
      </colorScale>
    </cfRule>
  </conditionalFormatting>
  <conditionalFormatting sqref="O5:O17 Q28:Q32 V28:V33 X28:X33 AC28:AC33 AE28:AE33 AJ28:AJ33 AL28:AL33 AQ28:AQ33 AS28:AS33 AX28:AX33 AZ28:AZ33 BE28:BE33 BG28:BG33 BL28:BL33 BN28:BN33 BS28:BS33 BU28:BU33 BZ28:BZ33 CB28:CB33 CG28:CG33 CI28:CI33 CN28:CN33 CP28:CP33 CU28:CU33 CW28:CW33 DB28:DB33 DD28:DD33 DI28:DI33 DK28:DK33 DP28:DP33 DR28:DR33 DW28:DW33 DY28:DY33 ED28:ED33 EF28:EF33 EK28:EK33 EM28:EM33 ER28:ER33 ET28:ET33 EY28:EY33 FA28:FA33 O36:O39 Q36:Q39 V36:V39 X36:X39 AC36:AC39 AE36:AE39 AJ36:AJ39 AL36:AL39 AQ36:AQ39 AS36:AS39 AX36:AX39 AZ36:AZ39 BE36:BE39 BG36:BG39 BL36:BL39 BN36:BN39 BS36:BS39 BU36:BU39 BZ36:BZ39 CB36:CB39 CG36:CG39 CI36:CI39 CN36:CN39 CP36:CP39 CU36:CU39 CW36:CW39 DB36:DB39 DD36:DD39 DI36:DI39 DK36:DK39 DP36:DP39 DR36:DR39 DW36:DW39 DY36:DY39 ED36:ED39 EF36:EF39 EK36:EK39 EM36:EM39 ER36:ER39 ET36:ET39 EY36:EY39 FA36:FA39 O52:O59 Q52:Q59 V52:V59 X52:X59 AC52:AC59 AE52:AE59 AJ52:AJ59 AL52:AL59 AQ52:AQ59 AS52:AS59 AX52:AX59 AZ52:AZ59 BE52:BE59 BG52:BG59 BL52:BL59 BN52:BN59 BS52:BS59 BU52:BU59 BZ52:BZ59 CB52:CB59 CG52:CG59 CI52:CI59 CN52:CN59 CP52:CP59 CU52:CU59 CW52:CW59 DB52:DB59 DD52:DD59 DI52:DI59 DK52:DK59 DP52:DP59 DR52:DR59 DW52:DW59 DY52:DY59 ED52:ED59 EF52:EF59 EK52:EK59 EM52:EM59 ER52:ER59 ET52:ET59 EY52:EY59 FA52:FA59 O65:O68 Q65:Q68 V65:V68 X65:X68 AC65:AC68 AE65:AE68 AJ65:AJ68 AL65:AL68 AQ65:AQ68 AS65:AS68 AX65:AX68 AZ65:AZ68 BE65:BE68 BG65:BG68 BL65:BL68 BN65:BN68 BS65:BS68 BU65:BU68 BZ65:BZ68 CB65:CB68 CG65:CG68 CI65:CI68 CN65:CN68 CP65:CP68 CU65:CU68 CW65:CW68 DB65:DB68 DD65:DD68 DI65:DI68 DK65:DK68 DP65:DP68 DR65:DR68 DW65:DW68 DY65:DY68 ED65:ED68 EF65:EF68 EK65:EK68 EM65:EM68 ER65:ER68 ET65:ET68 EY65:EY68 FA65:FA68">
    <cfRule type="expression" dxfId="263" priority="692">
      <formula>IF(O5&gt;=P5,IF(O5="",FALSE,TRUE))</formula>
    </cfRule>
    <cfRule type="expression" dxfId="262" priority="691">
      <formula>OR(IF(O5&lt;P5,TRUE),IF(AND(P5="",O5&lt;&gt;""),TRUE))</formula>
    </cfRule>
  </conditionalFormatting>
  <conditionalFormatting sqref="O20:O25">
    <cfRule type="expression" dxfId="261" priority="615">
      <formula>IF(O20&gt;=P20,IF(O20="",FALSE,TRUE))</formula>
    </cfRule>
    <cfRule type="expression" dxfId="260" priority="614">
      <formula>OR(IF(O20&lt;P20,TRUE),IF(AND(P20="",O20&lt;&gt;""),TRUE))</formula>
    </cfRule>
  </conditionalFormatting>
  <conditionalFormatting sqref="O42:O49">
    <cfRule type="expression" dxfId="259" priority="441">
      <formula>IF(O42&gt;=P42,IF(O42="",FALSE,TRUE))</formula>
    </cfRule>
    <cfRule type="expression" dxfId="258" priority="440">
      <formula>OR(IF(O42&lt;P42,TRUE),IF(AND(P42="",O42&lt;&gt;""),TRUE))</formula>
    </cfRule>
  </conditionalFormatting>
  <conditionalFormatting sqref="Q5:Q17">
    <cfRule type="expression" dxfId="257" priority="690">
      <formula>IF(Q5&gt;=R5,IF(Q5="",FALSE,TRUE))</formula>
    </cfRule>
    <cfRule type="expression" dxfId="256" priority="689">
      <formula>OR(IF(Q5&lt;R5,TRUE),IF(AND(R5="",Q5&lt;&gt;""),TRUE))</formula>
    </cfRule>
  </conditionalFormatting>
  <conditionalFormatting sqref="Q20:Q25">
    <cfRule type="expression" dxfId="255" priority="613">
      <formula>IF(Q20&gt;=R20,IF(Q20="",FALSE,TRUE))</formula>
    </cfRule>
    <cfRule type="expression" dxfId="254" priority="612">
      <formula>OR(IF(Q20&lt;R20,TRUE),IF(AND(R20="",Q20&lt;&gt;""),TRUE))</formula>
    </cfRule>
  </conditionalFormatting>
  <conditionalFormatting sqref="Q42:Q49">
    <cfRule type="expression" dxfId="253" priority="438">
      <formula>OR(IF(Q42&lt;R42,TRUE),IF(AND(R42="",Q42&lt;&gt;""),TRUE))</formula>
    </cfRule>
    <cfRule type="expression" dxfId="252" priority="439">
      <formula>IF(Q42&gt;=R42,IF(Q42="",FALSE,TRUE))</formula>
    </cfRule>
  </conditionalFormatting>
  <conditionalFormatting sqref="V5:V17">
    <cfRule type="expression" dxfId="251" priority="607">
      <formula>IF(V5&gt;=W5,IF(V5="",FALSE,TRUE))</formula>
    </cfRule>
    <cfRule type="expression" dxfId="250" priority="606">
      <formula>OR(IF(V5&lt;W5,TRUE),IF(AND(W5="",V5&lt;&gt;""),TRUE))</formula>
    </cfRule>
  </conditionalFormatting>
  <conditionalFormatting sqref="V20:V25">
    <cfRule type="expression" dxfId="249" priority="599">
      <formula>IF(V20&gt;=W20,IF(V20="",FALSE,TRUE))</formula>
    </cfRule>
    <cfRule type="expression" dxfId="248" priority="598">
      <formula>OR(IF(V20&lt;W20,TRUE),IF(AND(W20="",V20&lt;&gt;""),TRUE))</formula>
    </cfRule>
  </conditionalFormatting>
  <conditionalFormatting sqref="V42:V49">
    <cfRule type="expression" dxfId="247" priority="437">
      <formula>IF(V42&gt;=W42,IF(V42="",FALSE,TRUE))</formula>
    </cfRule>
    <cfRule type="expression" dxfId="246" priority="436">
      <formula>OR(IF(V42&lt;W42,TRUE),IF(AND(W42="",V42&lt;&gt;""),TRUE))</formula>
    </cfRule>
  </conditionalFormatting>
  <conditionalFormatting sqref="X5:X17">
    <cfRule type="expression" dxfId="245" priority="604">
      <formula>OR(IF(X5&lt;Y5,TRUE),IF(AND(Y5="",X5&lt;&gt;""),TRUE))</formula>
    </cfRule>
    <cfRule type="expression" dxfId="244" priority="605">
      <formula>IF(X5&gt;=Y5,IF(X5="",FALSE,TRUE))</formula>
    </cfRule>
  </conditionalFormatting>
  <conditionalFormatting sqref="X20:X25">
    <cfRule type="expression" dxfId="243" priority="596">
      <formula>OR(IF(X20&lt;Y20,TRUE),IF(AND(Y20="",X20&lt;&gt;""),TRUE))</formula>
    </cfRule>
    <cfRule type="expression" dxfId="242" priority="597">
      <formula>IF(X20&gt;=Y20,IF(X20="",FALSE,TRUE))</formula>
    </cfRule>
  </conditionalFormatting>
  <conditionalFormatting sqref="X42:X49">
    <cfRule type="expression" dxfId="241" priority="435">
      <formula>IF(X42&gt;=Y42,IF(X42="",FALSE,TRUE))</formula>
    </cfRule>
    <cfRule type="expression" dxfId="240" priority="434">
      <formula>OR(IF(X42&lt;Y42,TRUE),IF(AND(Y42="",X42&lt;&gt;""),TRUE))</formula>
    </cfRule>
  </conditionalFormatting>
  <conditionalFormatting sqref="AC5:AC17">
    <cfRule type="expression" dxfId="239" priority="590">
      <formula>OR(IF(AC5&lt;AD5,TRUE),IF(AND(AD5="",AC5&lt;&gt;""),TRUE))</formula>
    </cfRule>
    <cfRule type="expression" dxfId="238" priority="591">
      <formula>IF(AC5&gt;=AD5,IF(AC5="",FALSE,TRUE))</formula>
    </cfRule>
  </conditionalFormatting>
  <conditionalFormatting sqref="AC20:AC25">
    <cfRule type="expression" dxfId="237" priority="582">
      <formula>OR(IF(AC20&lt;AD20,TRUE),IF(AND(AD20="",AC20&lt;&gt;""),TRUE))</formula>
    </cfRule>
    <cfRule type="expression" dxfId="236" priority="583">
      <formula>IF(AC20&gt;=AD20,IF(AC20="",FALSE,TRUE))</formula>
    </cfRule>
  </conditionalFormatting>
  <conditionalFormatting sqref="AC42:AC49">
    <cfRule type="expression" dxfId="235" priority="433">
      <formula>IF(AC42&gt;=AD42,IF(AC42="",FALSE,TRUE))</formula>
    </cfRule>
    <cfRule type="expression" dxfId="234" priority="432">
      <formula>OR(IF(AC42&lt;AD42,TRUE),IF(AND(AD42="",AC42&lt;&gt;""),TRUE))</formula>
    </cfRule>
  </conditionalFormatting>
  <conditionalFormatting sqref="AE5:AE17">
    <cfRule type="expression" dxfId="233" priority="588">
      <formula>OR(IF(AE5&lt;AF5,TRUE),IF(AND(AF5="",AE5&lt;&gt;""),TRUE))</formula>
    </cfRule>
    <cfRule type="expression" dxfId="232" priority="589">
      <formula>IF(AE5&gt;=AF5,IF(AE5="",FALSE,TRUE))</formula>
    </cfRule>
  </conditionalFormatting>
  <conditionalFormatting sqref="AE20:AE25">
    <cfRule type="expression" dxfId="231" priority="580">
      <formula>OR(IF(AE20&lt;AF20,TRUE),IF(AND(AF20="",AE20&lt;&gt;""),TRUE))</formula>
    </cfRule>
    <cfRule type="expression" dxfId="230" priority="581">
      <formula>IF(AE20&gt;=AF20,IF(AE20="",FALSE,TRUE))</formula>
    </cfRule>
  </conditionalFormatting>
  <conditionalFormatting sqref="AE42:AE49">
    <cfRule type="expression" dxfId="229" priority="431">
      <formula>IF(AE42&gt;=AF42,IF(AE42="",FALSE,TRUE))</formula>
    </cfRule>
    <cfRule type="expression" dxfId="228" priority="430">
      <formula>OR(IF(AE42&lt;AF42,TRUE),IF(AND(AF42="",AE42&lt;&gt;""),TRUE))</formula>
    </cfRule>
  </conditionalFormatting>
  <conditionalFormatting sqref="AJ5:AJ17">
    <cfRule type="expression" dxfId="227" priority="574">
      <formula>OR(IF(AJ5&lt;AK5,TRUE),IF(AND(AK5="",AJ5&lt;&gt;""),TRUE))</formula>
    </cfRule>
    <cfRule type="expression" dxfId="226" priority="575">
      <formula>IF(AJ5&gt;=AK5,IF(AJ5="",FALSE,TRUE))</formula>
    </cfRule>
  </conditionalFormatting>
  <conditionalFormatting sqref="AJ20:AJ25">
    <cfRule type="expression" dxfId="225" priority="567">
      <formula>IF(AJ20&gt;=AK20,IF(AJ20="",FALSE,TRUE))</formula>
    </cfRule>
    <cfRule type="expression" dxfId="224" priority="566">
      <formula>OR(IF(AJ20&lt;AK20,TRUE),IF(AND(AK20="",AJ20&lt;&gt;""),TRUE))</formula>
    </cfRule>
  </conditionalFormatting>
  <conditionalFormatting sqref="AJ42:AJ49">
    <cfRule type="expression" dxfId="223" priority="428">
      <formula>OR(IF(AJ42&lt;AK42,TRUE),IF(AND(AK42="",AJ42&lt;&gt;""),TRUE))</formula>
    </cfRule>
    <cfRule type="expression" dxfId="222" priority="429">
      <formula>IF(AJ42&gt;=AK42,IF(AJ42="",FALSE,TRUE))</formula>
    </cfRule>
  </conditionalFormatting>
  <conditionalFormatting sqref="AL5:AL17">
    <cfRule type="expression" dxfId="221" priority="573">
      <formula>IF(AL5&gt;=AM5,IF(AL5="",FALSE,TRUE))</formula>
    </cfRule>
    <cfRule type="expression" dxfId="220" priority="572">
      <formula>OR(IF(AL5&lt;AM5,TRUE),IF(AND(AM5="",AL5&lt;&gt;""),TRUE))</formula>
    </cfRule>
  </conditionalFormatting>
  <conditionalFormatting sqref="AL20:AL25">
    <cfRule type="expression" dxfId="219" priority="565">
      <formula>IF(AL20&gt;=AM20,IF(AL20="",FALSE,TRUE))</formula>
    </cfRule>
    <cfRule type="expression" dxfId="218" priority="564">
      <formula>OR(IF(AL20&lt;AM20,TRUE),IF(AND(AM20="",AL20&lt;&gt;""),TRUE))</formula>
    </cfRule>
  </conditionalFormatting>
  <conditionalFormatting sqref="AL42:AL49">
    <cfRule type="expression" dxfId="217" priority="426">
      <formula>OR(IF(AL42&lt;AM42,TRUE),IF(AND(AM42="",AL42&lt;&gt;""),TRUE))</formula>
    </cfRule>
    <cfRule type="expression" dxfId="216" priority="427">
      <formula>IF(AL42&gt;=AM42,IF(AL42="",FALSE,TRUE))</formula>
    </cfRule>
  </conditionalFormatting>
  <conditionalFormatting sqref="AQ5:AQ17">
    <cfRule type="expression" dxfId="215" priority="559">
      <formula>IF(AQ5&gt;=AR5,IF(AQ5="",FALSE,TRUE))</formula>
    </cfRule>
    <cfRule type="expression" dxfId="214" priority="558">
      <formula>OR(IF(AQ5&lt;AR5,TRUE),IF(AND(AR5="",AQ5&lt;&gt;""),TRUE))</formula>
    </cfRule>
  </conditionalFormatting>
  <conditionalFormatting sqref="AQ20:AQ25">
    <cfRule type="expression" dxfId="213" priority="550">
      <formula>OR(IF(AQ20&lt;AR20,TRUE),IF(AND(AR20="",AQ20&lt;&gt;""),TRUE))</formula>
    </cfRule>
    <cfRule type="expression" dxfId="212" priority="551">
      <formula>IF(AQ20&gt;=AR20,IF(AQ20="",FALSE,TRUE))</formula>
    </cfRule>
  </conditionalFormatting>
  <conditionalFormatting sqref="AQ42:AQ49">
    <cfRule type="expression" dxfId="211" priority="425">
      <formula>IF(AQ42&gt;=AR42,IF(AQ42="",FALSE,TRUE))</formula>
    </cfRule>
    <cfRule type="expression" dxfId="210" priority="424">
      <formula>OR(IF(AQ42&lt;AR42,TRUE),IF(AND(AR42="",AQ42&lt;&gt;""),TRUE))</formula>
    </cfRule>
  </conditionalFormatting>
  <conditionalFormatting sqref="AS5:AS17">
    <cfRule type="expression" dxfId="209" priority="557">
      <formula>IF(AS5&gt;=AT5,IF(AS5="",FALSE,TRUE))</formula>
    </cfRule>
    <cfRule type="expression" dxfId="208" priority="556">
      <formula>OR(IF(AS5&lt;AT5,TRUE),IF(AND(AT5="",AS5&lt;&gt;""),TRUE))</formula>
    </cfRule>
  </conditionalFormatting>
  <conditionalFormatting sqref="AS20:AS25">
    <cfRule type="expression" dxfId="207" priority="548">
      <formula>OR(IF(AS20&lt;AT20,TRUE),IF(AND(AT20="",AS20&lt;&gt;""),TRUE))</formula>
    </cfRule>
    <cfRule type="expression" dxfId="206" priority="549">
      <formula>IF(AS20&gt;=AT20,IF(AS20="",FALSE,TRUE))</formula>
    </cfRule>
  </conditionalFormatting>
  <conditionalFormatting sqref="AS42:AS49">
    <cfRule type="expression" dxfId="205" priority="423">
      <formula>IF(AS42&gt;=AT42,IF(AS42="",FALSE,TRUE))</formula>
    </cfRule>
    <cfRule type="expression" dxfId="204" priority="422">
      <formula>OR(IF(AS42&lt;AT42,TRUE),IF(AND(AT42="",AS42&lt;&gt;""),TRUE))</formula>
    </cfRule>
  </conditionalFormatting>
  <conditionalFormatting sqref="AX5:AX17">
    <cfRule type="expression" dxfId="203" priority="410">
      <formula>IF(AX5&gt;=AY5,IF(AX5="",FALSE,TRUE))</formula>
    </cfRule>
    <cfRule type="expression" dxfId="202" priority="409">
      <formula>OR(IF(AX5&lt;AY5,TRUE),IF(AND(AY5="",AX5&lt;&gt;""),TRUE))</formula>
    </cfRule>
  </conditionalFormatting>
  <conditionalFormatting sqref="AX20:AX25">
    <cfRule type="expression" dxfId="201" priority="406">
      <formula>IF(AX20&gt;=AY20,IF(AX20="",FALSE,TRUE))</formula>
    </cfRule>
    <cfRule type="expression" dxfId="200" priority="405">
      <formula>OR(IF(AX20&lt;AY20,TRUE),IF(AND(AY20="",AX20&lt;&gt;""),TRUE))</formula>
    </cfRule>
  </conditionalFormatting>
  <conditionalFormatting sqref="AX42:AX49">
    <cfRule type="expression" dxfId="199" priority="394">
      <formula>IF(AX42&gt;=AY42,IF(AX42="",FALSE,TRUE))</formula>
    </cfRule>
    <cfRule type="expression" dxfId="198" priority="393">
      <formula>OR(IF(AX42&lt;AY42,TRUE),IF(AND(AY42="",AX42&lt;&gt;""),TRUE))</formula>
    </cfRule>
  </conditionalFormatting>
  <conditionalFormatting sqref="AZ5:AZ17">
    <cfRule type="expression" dxfId="197" priority="408">
      <formula>IF(AZ5&gt;=BA5,IF(AZ5="",FALSE,TRUE))</formula>
    </cfRule>
    <cfRule type="expression" dxfId="196" priority="407">
      <formula>OR(IF(AZ5&lt;BA5,TRUE),IF(AND(BA5="",AZ5&lt;&gt;""),TRUE))</formula>
    </cfRule>
  </conditionalFormatting>
  <conditionalFormatting sqref="AZ20:AZ25">
    <cfRule type="expression" dxfId="195" priority="404">
      <formula>IF(AZ20&gt;=BA20,IF(AZ20="",FALSE,TRUE))</formula>
    </cfRule>
    <cfRule type="expression" dxfId="194" priority="403">
      <formula>OR(IF(AZ20&lt;BA20,TRUE),IF(AND(BA20="",AZ20&lt;&gt;""),TRUE))</formula>
    </cfRule>
  </conditionalFormatting>
  <conditionalFormatting sqref="AZ42:AZ49">
    <cfRule type="expression" dxfId="193" priority="392">
      <formula>IF(AZ42&gt;=BA42,IF(AZ42="",FALSE,TRUE))</formula>
    </cfRule>
    <cfRule type="expression" dxfId="192" priority="391">
      <formula>OR(IF(AZ42&lt;BA42,TRUE),IF(AND(BA42="",AZ42&lt;&gt;""),TRUE))</formula>
    </cfRule>
  </conditionalFormatting>
  <conditionalFormatting sqref="BE5:BE17">
    <cfRule type="expression" dxfId="191" priority="390">
      <formula>IF(BE5&gt;=BF5,IF(BE5="",FALSE,TRUE))</formula>
    </cfRule>
    <cfRule type="expression" dxfId="190" priority="389">
      <formula>OR(IF(BE5&lt;BF5,TRUE),IF(AND(BF5="",BE5&lt;&gt;""),TRUE))</formula>
    </cfRule>
  </conditionalFormatting>
  <conditionalFormatting sqref="BE20:BE25">
    <cfRule type="expression" dxfId="189" priority="386">
      <formula>IF(BE20&gt;=BF20,IF(BE20="",FALSE,TRUE))</formula>
    </cfRule>
    <cfRule type="expression" dxfId="188" priority="385">
      <formula>OR(IF(BE20&lt;BF20,TRUE),IF(AND(BF20="",BE20&lt;&gt;""),TRUE))</formula>
    </cfRule>
  </conditionalFormatting>
  <conditionalFormatting sqref="BE42:BE49">
    <cfRule type="expression" dxfId="187" priority="374">
      <formula>IF(BE42&gt;=BF42,IF(BE42="",FALSE,TRUE))</formula>
    </cfRule>
    <cfRule type="expression" dxfId="186" priority="373">
      <formula>OR(IF(BE42&lt;BF42,TRUE),IF(AND(BF42="",BE42&lt;&gt;""),TRUE))</formula>
    </cfRule>
  </conditionalFormatting>
  <conditionalFormatting sqref="BG5:BG17">
    <cfRule type="expression" dxfId="185" priority="388">
      <formula>IF(BG5&gt;=BH5,IF(BG5="",FALSE,TRUE))</formula>
    </cfRule>
    <cfRule type="expression" dxfId="184" priority="387">
      <formula>OR(IF(BG5&lt;BH5,TRUE),IF(AND(BH5="",BG5&lt;&gt;""),TRUE))</formula>
    </cfRule>
  </conditionalFormatting>
  <conditionalFormatting sqref="BG20:BG25">
    <cfRule type="expression" dxfId="183" priority="384">
      <formula>IF(BG20&gt;=BH20,IF(BG20="",FALSE,TRUE))</formula>
    </cfRule>
    <cfRule type="expression" dxfId="182" priority="383">
      <formula>OR(IF(BG20&lt;BH20,TRUE),IF(AND(BH20="",BG20&lt;&gt;""),TRUE))</formula>
    </cfRule>
  </conditionalFormatting>
  <conditionalFormatting sqref="BG42:BG49">
    <cfRule type="expression" dxfId="181" priority="372">
      <formula>IF(BG42&gt;=BH42,IF(BG42="",FALSE,TRUE))</formula>
    </cfRule>
    <cfRule type="expression" dxfId="180" priority="371">
      <formula>OR(IF(BG42&lt;BH42,TRUE),IF(AND(BH42="",BG42&lt;&gt;""),TRUE))</formula>
    </cfRule>
  </conditionalFormatting>
  <conditionalFormatting sqref="BL5:BL17">
    <cfRule type="expression" dxfId="179" priority="369">
      <formula>OR(IF(BL5&lt;BM5,TRUE),IF(AND(BM5="",BL5&lt;&gt;""),TRUE))</formula>
    </cfRule>
    <cfRule type="expression" dxfId="178" priority="370">
      <formula>IF(BL5&gt;=BM5,IF(BL5="",FALSE,TRUE))</formula>
    </cfRule>
  </conditionalFormatting>
  <conditionalFormatting sqref="BL20:BL25">
    <cfRule type="expression" dxfId="177" priority="366">
      <formula>IF(BL20&gt;=BM20,IF(BL20="",FALSE,TRUE))</formula>
    </cfRule>
    <cfRule type="expression" dxfId="176" priority="365">
      <formula>OR(IF(BL20&lt;BM20,TRUE),IF(AND(BM20="",BL20&lt;&gt;""),TRUE))</formula>
    </cfRule>
  </conditionalFormatting>
  <conditionalFormatting sqref="BL42:BL49">
    <cfRule type="expression" dxfId="175" priority="354">
      <formula>IF(BL42&gt;=BM42,IF(BL42="",FALSE,TRUE))</formula>
    </cfRule>
    <cfRule type="expression" dxfId="174" priority="353">
      <formula>OR(IF(BL42&lt;BM42,TRUE),IF(AND(BM42="",BL42&lt;&gt;""),TRUE))</formula>
    </cfRule>
  </conditionalFormatting>
  <conditionalFormatting sqref="BN5:BN17">
    <cfRule type="expression" dxfId="173" priority="367">
      <formula>OR(IF(BN5&lt;BO5,TRUE),IF(AND(BO5="",BN5&lt;&gt;""),TRUE))</formula>
    </cfRule>
    <cfRule type="expression" dxfId="172" priority="368">
      <formula>IF(BN5&gt;=BO5,IF(BN5="",FALSE,TRUE))</formula>
    </cfRule>
  </conditionalFormatting>
  <conditionalFormatting sqref="BN20:BN25">
    <cfRule type="expression" dxfId="171" priority="364">
      <formula>IF(BN20&gt;=BO20,IF(BN20="",FALSE,TRUE))</formula>
    </cfRule>
    <cfRule type="expression" dxfId="170" priority="363">
      <formula>OR(IF(BN20&lt;BO20,TRUE),IF(AND(BO20="",BN20&lt;&gt;""),TRUE))</formula>
    </cfRule>
  </conditionalFormatting>
  <conditionalFormatting sqref="BN42:BN49">
    <cfRule type="expression" dxfId="169" priority="352">
      <formula>IF(BN42&gt;=BO42,IF(BN42="",FALSE,TRUE))</formula>
    </cfRule>
    <cfRule type="expression" dxfId="168" priority="351">
      <formula>OR(IF(BN42&lt;BO42,TRUE),IF(AND(BO42="",BN42&lt;&gt;""),TRUE))</formula>
    </cfRule>
  </conditionalFormatting>
  <conditionalFormatting sqref="BS5:BS17">
    <cfRule type="expression" dxfId="167" priority="350">
      <formula>IF(BS5&gt;=BT5,IF(BS5="",FALSE,TRUE))</formula>
    </cfRule>
    <cfRule type="expression" dxfId="166" priority="349">
      <formula>OR(IF(BS5&lt;BT5,TRUE),IF(AND(BT5="",BS5&lt;&gt;""),TRUE))</formula>
    </cfRule>
  </conditionalFormatting>
  <conditionalFormatting sqref="BS20:BS25">
    <cfRule type="expression" dxfId="165" priority="346">
      <formula>IF(BS20&gt;=BT20,IF(BS20="",FALSE,TRUE))</formula>
    </cfRule>
    <cfRule type="expression" dxfId="164" priority="345">
      <formula>OR(IF(BS20&lt;BT20,TRUE),IF(AND(BT20="",BS20&lt;&gt;""),TRUE))</formula>
    </cfRule>
  </conditionalFormatting>
  <conditionalFormatting sqref="BS42:BS49">
    <cfRule type="expression" dxfId="163" priority="334">
      <formula>IF(BS42&gt;=BT42,IF(BS42="",FALSE,TRUE))</formula>
    </cfRule>
    <cfRule type="expression" dxfId="162" priority="333">
      <formula>OR(IF(BS42&lt;BT42,TRUE),IF(AND(BT42="",BS42&lt;&gt;""),TRUE))</formula>
    </cfRule>
  </conditionalFormatting>
  <conditionalFormatting sqref="BU5:BU17">
    <cfRule type="expression" dxfId="161" priority="348">
      <formula>IF(BU5&gt;=BV5,IF(BU5="",FALSE,TRUE))</formula>
    </cfRule>
    <cfRule type="expression" dxfId="160" priority="347">
      <formula>OR(IF(BU5&lt;BV5,TRUE),IF(AND(BV5="",BU5&lt;&gt;""),TRUE))</formula>
    </cfRule>
  </conditionalFormatting>
  <conditionalFormatting sqref="BU20:BU25">
    <cfRule type="expression" dxfId="159" priority="343">
      <formula>OR(IF(BU20&lt;BV20,TRUE),IF(AND(BV20="",BU20&lt;&gt;""),TRUE))</formula>
    </cfRule>
    <cfRule type="expression" dxfId="158" priority="344">
      <formula>IF(BU20&gt;=BV20,IF(BU20="",FALSE,TRUE))</formula>
    </cfRule>
  </conditionalFormatting>
  <conditionalFormatting sqref="BU42:BU49">
    <cfRule type="expression" dxfId="157" priority="332">
      <formula>IF(BU42&gt;=BV42,IF(BU42="",FALSE,TRUE))</formula>
    </cfRule>
    <cfRule type="expression" dxfId="156" priority="331">
      <formula>OR(IF(BU42&lt;BV42,TRUE),IF(AND(BV42="",BU42&lt;&gt;""),TRUE))</formula>
    </cfRule>
  </conditionalFormatting>
  <conditionalFormatting sqref="BZ5:BZ17">
    <cfRule type="expression" dxfId="155" priority="330">
      <formula>IF(BZ5&gt;=CA5,IF(BZ5="",FALSE,TRUE))</formula>
    </cfRule>
    <cfRule type="expression" dxfId="154" priority="329">
      <formula>OR(IF(BZ5&lt;CA5,TRUE),IF(AND(CA5="",BZ5&lt;&gt;""),TRUE))</formula>
    </cfRule>
  </conditionalFormatting>
  <conditionalFormatting sqref="BZ20:BZ25">
    <cfRule type="expression" dxfId="153" priority="326">
      <formula>IF(BZ20&gt;=CA20,IF(BZ20="",FALSE,TRUE))</formula>
    </cfRule>
    <cfRule type="expression" dxfId="152" priority="325">
      <formula>OR(IF(BZ20&lt;CA20,TRUE),IF(AND(CA20="",BZ20&lt;&gt;""),TRUE))</formula>
    </cfRule>
  </conditionalFormatting>
  <conditionalFormatting sqref="BZ42:BZ49">
    <cfRule type="expression" dxfId="151" priority="314">
      <formula>IF(BZ42&gt;=CA42,IF(BZ42="",FALSE,TRUE))</formula>
    </cfRule>
    <cfRule type="expression" dxfId="150" priority="313">
      <formula>OR(IF(BZ42&lt;CA42,TRUE),IF(AND(CA42="",BZ42&lt;&gt;""),TRUE))</formula>
    </cfRule>
  </conditionalFormatting>
  <conditionalFormatting sqref="CB5:CB17">
    <cfRule type="expression" dxfId="149" priority="328">
      <formula>IF(CB5&gt;=CC5,IF(CB5="",FALSE,TRUE))</formula>
    </cfRule>
    <cfRule type="expression" dxfId="148" priority="327">
      <formula>OR(IF(CB5&lt;CC5,TRUE),IF(AND(CC5="",CB5&lt;&gt;""),TRUE))</formula>
    </cfRule>
  </conditionalFormatting>
  <conditionalFormatting sqref="CB20:CB25">
    <cfRule type="expression" dxfId="147" priority="324">
      <formula>IF(CB20&gt;=CC20,IF(CB20="",FALSE,TRUE))</formula>
    </cfRule>
    <cfRule type="expression" dxfId="146" priority="323">
      <formula>OR(IF(CB20&lt;CC20,TRUE),IF(AND(CC20="",CB20&lt;&gt;""),TRUE))</formula>
    </cfRule>
  </conditionalFormatting>
  <conditionalFormatting sqref="CB42:CB49">
    <cfRule type="expression" dxfId="145" priority="311">
      <formula>OR(IF(CB42&lt;CC42,TRUE),IF(AND(CC42="",CB42&lt;&gt;""),TRUE))</formula>
    </cfRule>
    <cfRule type="expression" dxfId="144" priority="312">
      <formula>IF(CB42&gt;=CC42,IF(CB42="",FALSE,TRUE))</formula>
    </cfRule>
  </conditionalFormatting>
  <conditionalFormatting sqref="CG5:CG17">
    <cfRule type="expression" dxfId="143" priority="309">
      <formula>OR(IF(CG5&lt;CH5,TRUE),IF(AND(CH5="",CG5&lt;&gt;""),TRUE))</formula>
    </cfRule>
    <cfRule type="expression" dxfId="142" priority="310">
      <formula>IF(CG5&gt;=CH5,IF(CG5="",FALSE,TRUE))</formula>
    </cfRule>
  </conditionalFormatting>
  <conditionalFormatting sqref="CG20:CG25">
    <cfRule type="expression" dxfId="141" priority="306">
      <formula>IF(CG20&gt;=CH20,IF(CG20="",FALSE,TRUE))</formula>
    </cfRule>
    <cfRule type="expression" dxfId="140" priority="305">
      <formula>OR(IF(CG20&lt;CH20,TRUE),IF(AND(CH20="",CG20&lt;&gt;""),TRUE))</formula>
    </cfRule>
  </conditionalFormatting>
  <conditionalFormatting sqref="CG42:CG49">
    <cfRule type="expression" dxfId="139" priority="294">
      <formula>IF(CG42&gt;=CH42,IF(CG42="",FALSE,TRUE))</formula>
    </cfRule>
    <cfRule type="expression" dxfId="138" priority="293">
      <formula>OR(IF(CG42&lt;CH42,TRUE),IF(AND(CH42="",CG42&lt;&gt;""),TRUE))</formula>
    </cfRule>
  </conditionalFormatting>
  <conditionalFormatting sqref="CI5:CI17">
    <cfRule type="expression" dxfId="137" priority="308">
      <formula>IF(CI5&gt;=CJ5,IF(CI5="",FALSE,TRUE))</formula>
    </cfRule>
    <cfRule type="expression" dxfId="136" priority="307">
      <formula>OR(IF(CI5&lt;CJ5,TRUE),IF(AND(CJ5="",CI5&lt;&gt;""),TRUE))</formula>
    </cfRule>
  </conditionalFormatting>
  <conditionalFormatting sqref="CI20:CI25">
    <cfRule type="expression" dxfId="135" priority="304">
      <formula>IF(CI20&gt;=CJ20,IF(CI20="",FALSE,TRUE))</formula>
    </cfRule>
    <cfRule type="expression" dxfId="134" priority="303">
      <formula>OR(IF(CI20&lt;CJ20,TRUE),IF(AND(CJ20="",CI20&lt;&gt;""),TRUE))</formula>
    </cfRule>
  </conditionalFormatting>
  <conditionalFormatting sqref="CI42:CI49">
    <cfRule type="expression" dxfId="133" priority="292">
      <formula>IF(CI42&gt;=CJ42,IF(CI42="",FALSE,TRUE))</formula>
    </cfRule>
    <cfRule type="expression" dxfId="132" priority="291">
      <formula>OR(IF(CI42&lt;CJ42,TRUE),IF(AND(CJ42="",CI42&lt;&gt;""),TRUE))</formula>
    </cfRule>
  </conditionalFormatting>
  <conditionalFormatting sqref="CN5:CN17">
    <cfRule type="expression" dxfId="131" priority="290">
      <formula>IF(CN5&gt;=CO5,IF(CN5="",FALSE,TRUE))</formula>
    </cfRule>
    <cfRule type="expression" dxfId="130" priority="289">
      <formula>OR(IF(CN5&lt;CO5,TRUE),IF(AND(CO5="",CN5&lt;&gt;""),TRUE))</formula>
    </cfRule>
  </conditionalFormatting>
  <conditionalFormatting sqref="CN20:CN25">
    <cfRule type="expression" dxfId="129" priority="286">
      <formula>IF(CN20&gt;=CO20,IF(CN20="",FALSE,TRUE))</formula>
    </cfRule>
    <cfRule type="expression" dxfId="128" priority="285">
      <formula>OR(IF(CN20&lt;CO20,TRUE),IF(AND(CO20="",CN20&lt;&gt;""),TRUE))</formula>
    </cfRule>
  </conditionalFormatting>
  <conditionalFormatting sqref="CN42:CN49">
    <cfRule type="expression" dxfId="127" priority="274">
      <formula>IF(CN42&gt;=CO42,IF(CN42="",FALSE,TRUE))</formula>
    </cfRule>
    <cfRule type="expression" dxfId="126" priority="273">
      <formula>OR(IF(CN42&lt;CO42,TRUE),IF(AND(CO42="",CN42&lt;&gt;""),TRUE))</formula>
    </cfRule>
  </conditionalFormatting>
  <conditionalFormatting sqref="CP5:CP17">
    <cfRule type="expression" dxfId="125" priority="288">
      <formula>IF(CP5&gt;=CQ5,IF(CP5="",FALSE,TRUE))</formula>
    </cfRule>
    <cfRule type="expression" dxfId="124" priority="287">
      <formula>OR(IF(CP5&lt;CQ5,TRUE),IF(AND(CQ5="",CP5&lt;&gt;""),TRUE))</formula>
    </cfRule>
  </conditionalFormatting>
  <conditionalFormatting sqref="CP20:CP25">
    <cfRule type="expression" dxfId="123" priority="284">
      <formula>IF(CP20&gt;=CQ20,IF(CP20="",FALSE,TRUE))</formula>
    </cfRule>
    <cfRule type="expression" dxfId="122" priority="283">
      <formula>OR(IF(CP20&lt;CQ20,TRUE),IF(AND(CQ20="",CP20&lt;&gt;""),TRUE))</formula>
    </cfRule>
  </conditionalFormatting>
  <conditionalFormatting sqref="CP42:CP49">
    <cfRule type="expression" dxfId="121" priority="272">
      <formula>IF(CP42&gt;=CQ42,IF(CP42="",FALSE,TRUE))</formula>
    </cfRule>
    <cfRule type="expression" dxfId="120" priority="271">
      <formula>OR(IF(CP42&lt;CQ42,TRUE),IF(AND(CQ42="",CP42&lt;&gt;""),TRUE))</formula>
    </cfRule>
  </conditionalFormatting>
  <conditionalFormatting sqref="CU5:CU17">
    <cfRule type="expression" dxfId="119" priority="270">
      <formula>IF(CU5&gt;=CV5,IF(CU5="",FALSE,TRUE))</formula>
    </cfRule>
    <cfRule type="expression" dxfId="118" priority="269">
      <formula>OR(IF(CU5&lt;CV5,TRUE),IF(AND(CV5="",CU5&lt;&gt;""),TRUE))</formula>
    </cfRule>
  </conditionalFormatting>
  <conditionalFormatting sqref="CU20:CU25">
    <cfRule type="expression" dxfId="117" priority="266">
      <formula>IF(CU20&gt;=CV20,IF(CU20="",FALSE,TRUE))</formula>
    </cfRule>
    <cfRule type="expression" dxfId="116" priority="265">
      <formula>OR(IF(CU20&lt;CV20,TRUE),IF(AND(CV20="",CU20&lt;&gt;""),TRUE))</formula>
    </cfRule>
  </conditionalFormatting>
  <conditionalFormatting sqref="CU42:CU49">
    <cfRule type="expression" dxfId="115" priority="253">
      <formula>OR(IF(CU42&lt;CV42,TRUE),IF(AND(CV42="",CU42&lt;&gt;""),TRUE))</formula>
    </cfRule>
    <cfRule type="expression" dxfId="114" priority="254">
      <formula>IF(CU42&gt;=CV42,IF(CU42="",FALSE,TRUE))</formula>
    </cfRule>
  </conditionalFormatting>
  <conditionalFormatting sqref="CW5:CW17">
    <cfRule type="expression" dxfId="113" priority="268">
      <formula>IF(CW5&gt;=CX5,IF(CW5="",FALSE,TRUE))</formula>
    </cfRule>
    <cfRule type="expression" dxfId="112" priority="267">
      <formula>OR(IF(CW5&lt;CX5,TRUE),IF(AND(CX5="",CW5&lt;&gt;""),TRUE))</formula>
    </cfRule>
  </conditionalFormatting>
  <conditionalFormatting sqref="CW20:CW25">
    <cfRule type="expression" dxfId="111" priority="264">
      <formula>IF(CW20&gt;=CX20,IF(CW20="",FALSE,TRUE))</formula>
    </cfRule>
    <cfRule type="expression" dxfId="110" priority="263">
      <formula>OR(IF(CW20&lt;CX20,TRUE),IF(AND(CX20="",CW20&lt;&gt;""),TRUE))</formula>
    </cfRule>
  </conditionalFormatting>
  <conditionalFormatting sqref="CW42:CW49">
    <cfRule type="expression" dxfId="109" priority="252">
      <formula>IF(CW42&gt;=CX42,IF(CW42="",FALSE,TRUE))</formula>
    </cfRule>
    <cfRule type="expression" dxfId="108" priority="251">
      <formula>OR(IF(CW42&lt;CX42,TRUE),IF(AND(CX42="",CW42&lt;&gt;""),TRUE))</formula>
    </cfRule>
  </conditionalFormatting>
  <conditionalFormatting sqref="DB5:DB17">
    <cfRule type="expression" dxfId="107" priority="250">
      <formula>IF(DB5&gt;=DC5,IF(DB5="",FALSE,TRUE))</formula>
    </cfRule>
    <cfRule type="expression" dxfId="106" priority="249">
      <formula>OR(IF(DB5&lt;DC5,TRUE),IF(AND(DC5="",DB5&lt;&gt;""),TRUE))</formula>
    </cfRule>
  </conditionalFormatting>
  <conditionalFormatting sqref="DB20:DB25">
    <cfRule type="expression" dxfId="105" priority="246">
      <formula>IF(DB20&gt;=DC20,IF(DB20="",FALSE,TRUE))</formula>
    </cfRule>
    <cfRule type="expression" dxfId="104" priority="245">
      <formula>OR(IF(DB20&lt;DC20,TRUE),IF(AND(DC20="",DB20&lt;&gt;""),TRUE))</formula>
    </cfRule>
  </conditionalFormatting>
  <conditionalFormatting sqref="DB42:DB49">
    <cfRule type="expression" dxfId="103" priority="233">
      <formula>OR(IF(DB42&lt;DC42,TRUE),IF(AND(DC42="",DB42&lt;&gt;""),TRUE))</formula>
    </cfRule>
    <cfRule type="expression" dxfId="102" priority="234">
      <formula>IF(DB42&gt;=DC42,IF(DB42="",FALSE,TRUE))</formula>
    </cfRule>
  </conditionalFormatting>
  <conditionalFormatting sqref="DD5:DD17">
    <cfRule type="expression" dxfId="101" priority="248">
      <formula>IF(DD5&gt;=DE5,IF(DD5="",FALSE,TRUE))</formula>
    </cfRule>
    <cfRule type="expression" dxfId="100" priority="247">
      <formula>OR(IF(DD5&lt;DE5,TRUE),IF(AND(DE5="",DD5&lt;&gt;""),TRUE))</formula>
    </cfRule>
  </conditionalFormatting>
  <conditionalFormatting sqref="DD20:DD25">
    <cfRule type="expression" dxfId="99" priority="244">
      <formula>IF(DD20&gt;=DE20,IF(DD20="",FALSE,TRUE))</formula>
    </cfRule>
    <cfRule type="expression" dxfId="98" priority="243">
      <formula>OR(IF(DD20&lt;DE20,TRUE),IF(AND(DE20="",DD20&lt;&gt;""),TRUE))</formula>
    </cfRule>
  </conditionalFormatting>
  <conditionalFormatting sqref="DD42:DD49">
    <cfRule type="expression" dxfId="97" priority="232">
      <formula>IF(DD42&gt;=DE42,IF(DD42="",FALSE,TRUE))</formula>
    </cfRule>
    <cfRule type="expression" dxfId="96" priority="231">
      <formula>OR(IF(DD42&lt;DE42,TRUE),IF(AND(DE42="",DD42&lt;&gt;""),TRUE))</formula>
    </cfRule>
  </conditionalFormatting>
  <conditionalFormatting sqref="DI5:DI17">
    <cfRule type="expression" dxfId="95" priority="230">
      <formula>IF(DI5&gt;=DJ5,IF(DI5="",FALSE,TRUE))</formula>
    </cfRule>
    <cfRule type="expression" dxfId="94" priority="229">
      <formula>OR(IF(DI5&lt;DJ5,TRUE),IF(AND(DJ5="",DI5&lt;&gt;""),TRUE))</formula>
    </cfRule>
  </conditionalFormatting>
  <conditionalFormatting sqref="DI20:DI25">
    <cfRule type="expression" dxfId="93" priority="226">
      <formula>IF(DI20&gt;=DJ20,IF(DI20="",FALSE,TRUE))</formula>
    </cfRule>
    <cfRule type="expression" dxfId="92" priority="225">
      <formula>OR(IF(DI20&lt;DJ20,TRUE),IF(AND(DJ20="",DI20&lt;&gt;""),TRUE))</formula>
    </cfRule>
  </conditionalFormatting>
  <conditionalFormatting sqref="DI42:DI49">
    <cfRule type="expression" dxfId="91" priority="214">
      <formula>IF(DI42&gt;=DJ42,IF(DI42="",FALSE,TRUE))</formula>
    </cfRule>
    <cfRule type="expression" dxfId="90" priority="213">
      <formula>OR(IF(DI42&lt;DJ42,TRUE),IF(AND(DJ42="",DI42&lt;&gt;""),TRUE))</formula>
    </cfRule>
  </conditionalFormatting>
  <conditionalFormatting sqref="DK5:DK17">
    <cfRule type="expression" dxfId="89" priority="228">
      <formula>IF(DK5&gt;=DL5,IF(DK5="",FALSE,TRUE))</formula>
    </cfRule>
    <cfRule type="expression" dxfId="88" priority="227">
      <formula>OR(IF(DK5&lt;DL5,TRUE),IF(AND(DL5="",DK5&lt;&gt;""),TRUE))</formula>
    </cfRule>
  </conditionalFormatting>
  <conditionalFormatting sqref="DK20:DK25">
    <cfRule type="expression" dxfId="87" priority="224">
      <formula>IF(DK20&gt;=DL20,IF(DK20="",FALSE,TRUE))</formula>
    </cfRule>
    <cfRule type="expression" dxfId="86" priority="223">
      <formula>OR(IF(DK20&lt;DL20,TRUE),IF(AND(DL20="",DK20&lt;&gt;""),TRUE))</formula>
    </cfRule>
  </conditionalFormatting>
  <conditionalFormatting sqref="DK42:DK49">
    <cfRule type="expression" dxfId="85" priority="212">
      <formula>IF(DK42&gt;=DL42,IF(DK42="",FALSE,TRUE))</formula>
    </cfRule>
    <cfRule type="expression" dxfId="84" priority="211">
      <formula>OR(IF(DK42&lt;DL42,TRUE),IF(AND(DL42="",DK42&lt;&gt;""),TRUE))</formula>
    </cfRule>
  </conditionalFormatting>
  <conditionalFormatting sqref="DP5:DP17">
    <cfRule type="expression" dxfId="83" priority="210">
      <formula>IF(DP5&gt;=DQ5,IF(DP5="",FALSE,TRUE))</formula>
    </cfRule>
    <cfRule type="expression" dxfId="82" priority="209">
      <formula>OR(IF(DP5&lt;DQ5,TRUE),IF(AND(DQ5="",DP5&lt;&gt;""),TRUE))</formula>
    </cfRule>
  </conditionalFormatting>
  <conditionalFormatting sqref="DP20:DP25">
    <cfRule type="expression" dxfId="81" priority="206">
      <formula>IF(DP20&gt;=DQ20,IF(DP20="",FALSE,TRUE))</formula>
    </cfRule>
    <cfRule type="expression" dxfId="80" priority="205">
      <formula>OR(IF(DP20&lt;DQ20,TRUE),IF(AND(DQ20="",DP20&lt;&gt;""),TRUE))</formula>
    </cfRule>
  </conditionalFormatting>
  <conditionalFormatting sqref="DP42:DP49">
    <cfRule type="expression" dxfId="79" priority="194">
      <formula>IF(DP42&gt;=DQ42,IF(DP42="",FALSE,TRUE))</formula>
    </cfRule>
    <cfRule type="expression" dxfId="78" priority="193">
      <formula>OR(IF(DP42&lt;DQ42,TRUE),IF(AND(DQ42="",DP42&lt;&gt;""),TRUE))</formula>
    </cfRule>
  </conditionalFormatting>
  <conditionalFormatting sqref="DR5:DR17">
    <cfRule type="expression" dxfId="77" priority="208">
      <formula>IF(DR5&gt;=DS5,IF(DR5="",FALSE,TRUE))</formula>
    </cfRule>
    <cfRule type="expression" dxfId="76" priority="207">
      <formula>OR(IF(DR5&lt;DS5,TRUE),IF(AND(DS5="",DR5&lt;&gt;""),TRUE))</formula>
    </cfRule>
  </conditionalFormatting>
  <conditionalFormatting sqref="DR20:DR25">
    <cfRule type="expression" dxfId="75" priority="204">
      <formula>IF(DR20&gt;=DS20,IF(DR20="",FALSE,TRUE))</formula>
    </cfRule>
    <cfRule type="expression" dxfId="74" priority="203">
      <formula>OR(IF(DR20&lt;DS20,TRUE),IF(AND(DS20="",DR20&lt;&gt;""),TRUE))</formula>
    </cfRule>
  </conditionalFormatting>
  <conditionalFormatting sqref="DR42:DR49">
    <cfRule type="expression" dxfId="73" priority="192">
      <formula>IF(DR42&gt;=DS42,IF(DR42="",FALSE,TRUE))</formula>
    </cfRule>
    <cfRule type="expression" dxfId="72" priority="191">
      <formula>OR(IF(DR42&lt;DS42,TRUE),IF(AND(DS42="",DR42&lt;&gt;""),TRUE))</formula>
    </cfRule>
  </conditionalFormatting>
  <conditionalFormatting sqref="DW5:DW17">
    <cfRule type="expression" dxfId="71" priority="190">
      <formula>IF(DW5&gt;=DX5,IF(DW5="",FALSE,TRUE))</formula>
    </cfRule>
    <cfRule type="expression" dxfId="70" priority="189">
      <formula>OR(IF(DW5&lt;DX5,TRUE),IF(AND(DX5="",DW5&lt;&gt;""),TRUE))</formula>
    </cfRule>
  </conditionalFormatting>
  <conditionalFormatting sqref="DW20:DW25">
    <cfRule type="expression" dxfId="69" priority="186">
      <formula>IF(DW20&gt;=DX20,IF(DW20="",FALSE,TRUE))</formula>
    </cfRule>
    <cfRule type="expression" dxfId="68" priority="185">
      <formula>OR(IF(DW20&lt;DX20,TRUE),IF(AND(DX20="",DW20&lt;&gt;""),TRUE))</formula>
    </cfRule>
  </conditionalFormatting>
  <conditionalFormatting sqref="DW42:DW49">
    <cfRule type="expression" dxfId="67" priority="174">
      <formula>IF(DW42&gt;=DX42,IF(DW42="",FALSE,TRUE))</formula>
    </cfRule>
    <cfRule type="expression" dxfId="66" priority="173">
      <formula>OR(IF(DW42&lt;DX42,TRUE),IF(AND(DX42="",DW42&lt;&gt;""),TRUE))</formula>
    </cfRule>
  </conditionalFormatting>
  <conditionalFormatting sqref="DY5:DY17">
    <cfRule type="expression" dxfId="65" priority="188">
      <formula>IF(DY5&gt;=DZ5,IF(DY5="",FALSE,TRUE))</formula>
    </cfRule>
    <cfRule type="expression" dxfId="64" priority="187">
      <formula>OR(IF(DY5&lt;DZ5,TRUE),IF(AND(DZ5="",DY5&lt;&gt;""),TRUE))</formula>
    </cfRule>
  </conditionalFormatting>
  <conditionalFormatting sqref="DY20:DY25">
    <cfRule type="expression" dxfId="63" priority="184">
      <formula>IF(DY20&gt;=DZ20,IF(DY20="",FALSE,TRUE))</formula>
    </cfRule>
    <cfRule type="expression" dxfId="62" priority="183">
      <formula>OR(IF(DY20&lt;DZ20,TRUE),IF(AND(DZ20="",DY20&lt;&gt;""),TRUE))</formula>
    </cfRule>
  </conditionalFormatting>
  <conditionalFormatting sqref="DY42:DY49">
    <cfRule type="expression" dxfId="61" priority="172">
      <formula>IF(DY42&gt;=DZ42,IF(DY42="",FALSE,TRUE))</formula>
    </cfRule>
    <cfRule type="expression" dxfId="60" priority="171">
      <formula>OR(IF(DY42&lt;DZ42,TRUE),IF(AND(DZ42="",DY42&lt;&gt;""),TRUE))</formula>
    </cfRule>
  </conditionalFormatting>
  <conditionalFormatting sqref="ED5:ED17">
    <cfRule type="expression" dxfId="59" priority="170">
      <formula>IF(ED5&gt;=EE5,IF(ED5="",FALSE,TRUE))</formula>
    </cfRule>
    <cfRule type="expression" dxfId="58" priority="169">
      <formula>OR(IF(ED5&lt;EE5,TRUE),IF(AND(EE5="",ED5&lt;&gt;""),TRUE))</formula>
    </cfRule>
  </conditionalFormatting>
  <conditionalFormatting sqref="ED20:ED25">
    <cfRule type="expression" dxfId="57" priority="166">
      <formula>IF(ED20&gt;=EE20,IF(ED20="",FALSE,TRUE))</formula>
    </cfRule>
    <cfRule type="expression" dxfId="56" priority="165">
      <formula>OR(IF(ED20&lt;EE20,TRUE),IF(AND(EE20="",ED20&lt;&gt;""),TRUE))</formula>
    </cfRule>
  </conditionalFormatting>
  <conditionalFormatting sqref="ED42:ED49">
    <cfRule type="expression" dxfId="55" priority="154">
      <formula>IF(ED42&gt;=EE42,IF(ED42="",FALSE,TRUE))</formula>
    </cfRule>
    <cfRule type="expression" dxfId="54" priority="153">
      <formula>OR(IF(ED42&lt;EE42,TRUE),IF(AND(EE42="",ED42&lt;&gt;""),TRUE))</formula>
    </cfRule>
  </conditionalFormatting>
  <conditionalFormatting sqref="EF5:EF17">
    <cfRule type="expression" dxfId="53" priority="168">
      <formula>IF(EF5&gt;=EG5,IF(EF5="",FALSE,TRUE))</formula>
    </cfRule>
    <cfRule type="expression" dxfId="52" priority="167">
      <formula>OR(IF(EF5&lt;EG5,TRUE),IF(AND(EG5="",EF5&lt;&gt;""),TRUE))</formula>
    </cfRule>
  </conditionalFormatting>
  <conditionalFormatting sqref="EF20:EF25">
    <cfRule type="expression" dxfId="51" priority="164">
      <formula>IF(EF20&gt;=EG20,IF(EF20="",FALSE,TRUE))</formula>
    </cfRule>
    <cfRule type="expression" dxfId="50" priority="163">
      <formula>OR(IF(EF20&lt;EG20,TRUE),IF(AND(EG20="",EF20&lt;&gt;""),TRUE))</formula>
    </cfRule>
  </conditionalFormatting>
  <conditionalFormatting sqref="EF42:EF49">
    <cfRule type="expression" dxfId="49" priority="151">
      <formula>OR(IF(EF42&lt;EG42,TRUE),IF(AND(EG42="",EF42&lt;&gt;""),TRUE))</formula>
    </cfRule>
    <cfRule type="expression" dxfId="48" priority="152">
      <formula>IF(EF42&gt;=EG42,IF(EF42="",FALSE,TRUE))</formula>
    </cfRule>
  </conditionalFormatting>
  <conditionalFormatting sqref="EK5:EK17">
    <cfRule type="expression" dxfId="47" priority="150">
      <formula>IF(EK5&gt;=EL5,IF(EK5="",FALSE,TRUE))</formula>
    </cfRule>
    <cfRule type="expression" dxfId="46" priority="149">
      <formula>OR(IF(EK5&lt;EL5,TRUE),IF(AND(EL5="",EK5&lt;&gt;""),TRUE))</formula>
    </cfRule>
  </conditionalFormatting>
  <conditionalFormatting sqref="EK20:EK25">
    <cfRule type="expression" dxfId="45" priority="145">
      <formula>OR(IF(EK20&lt;EL20,TRUE),IF(AND(EL20="",EK20&lt;&gt;""),TRUE))</formula>
    </cfRule>
    <cfRule type="expression" dxfId="44" priority="146">
      <formula>IF(EK20&gt;=EL20,IF(EK20="",FALSE,TRUE))</formula>
    </cfRule>
  </conditionalFormatting>
  <conditionalFormatting sqref="EK42:EK49">
    <cfRule type="expression" dxfId="43" priority="134">
      <formula>IF(EK42&gt;=EL42,IF(EK42="",FALSE,TRUE))</formula>
    </cfRule>
    <cfRule type="expression" dxfId="42" priority="133">
      <formula>OR(IF(EK42&lt;EL42,TRUE),IF(AND(EL42="",EK42&lt;&gt;""),TRUE))</formula>
    </cfRule>
  </conditionalFormatting>
  <conditionalFormatting sqref="EM5:EM17">
    <cfRule type="expression" dxfId="41" priority="148">
      <formula>IF(EM5&gt;=EN5,IF(EM5="",FALSE,TRUE))</formula>
    </cfRule>
    <cfRule type="expression" dxfId="40" priority="147">
      <formula>OR(IF(EM5&lt;EN5,TRUE),IF(AND(EN5="",EM5&lt;&gt;""),TRUE))</formula>
    </cfRule>
  </conditionalFormatting>
  <conditionalFormatting sqref="EM20:EM25">
    <cfRule type="expression" dxfId="39" priority="144">
      <formula>IF(EM20&gt;=EN20,IF(EM20="",FALSE,TRUE))</formula>
    </cfRule>
    <cfRule type="expression" dxfId="38" priority="143">
      <formula>OR(IF(EM20&lt;EN20,TRUE),IF(AND(EN20="",EM20&lt;&gt;""),TRUE))</formula>
    </cfRule>
  </conditionalFormatting>
  <conditionalFormatting sqref="EM42:EM49">
    <cfRule type="expression" dxfId="37" priority="132">
      <formula>IF(EM42&gt;=EN42,IF(EM42="",FALSE,TRUE))</formula>
    </cfRule>
    <cfRule type="expression" dxfId="36" priority="131">
      <formula>OR(IF(EM42&lt;EN42,TRUE),IF(AND(EN42="",EM42&lt;&gt;""),TRUE))</formula>
    </cfRule>
  </conditionalFormatting>
  <conditionalFormatting sqref="ER5:ER17">
    <cfRule type="expression" dxfId="35" priority="130">
      <formula>IF(ER5&gt;=ES5,IF(ER5="",FALSE,TRUE))</formula>
    </cfRule>
    <cfRule type="expression" dxfId="34" priority="129">
      <formula>OR(IF(ER5&lt;ES5,TRUE),IF(AND(ES5="",ER5&lt;&gt;""),TRUE))</formula>
    </cfRule>
  </conditionalFormatting>
  <conditionalFormatting sqref="ER20:ER25">
    <cfRule type="expression" dxfId="33" priority="126">
      <formula>IF(ER20&gt;=ES20,IF(ER20="",FALSE,TRUE))</formula>
    </cfRule>
    <cfRule type="expression" dxfId="32" priority="125">
      <formula>OR(IF(ER20&lt;ES20,TRUE),IF(AND(ES20="",ER20&lt;&gt;""),TRUE))</formula>
    </cfRule>
  </conditionalFormatting>
  <conditionalFormatting sqref="ER42:ER49">
    <cfRule type="expression" dxfId="31" priority="114">
      <formula>IF(ER42&gt;=ES42,IF(ER42="",FALSE,TRUE))</formula>
    </cfRule>
    <cfRule type="expression" dxfId="30" priority="113">
      <formula>OR(IF(ER42&lt;ES42,TRUE),IF(AND(ES42="",ER42&lt;&gt;""),TRUE))</formula>
    </cfRule>
  </conditionalFormatting>
  <conditionalFormatting sqref="ET5:ET17">
    <cfRule type="expression" dxfId="29" priority="128">
      <formula>IF(ET5&gt;=EU5,IF(ET5="",FALSE,TRUE))</formula>
    </cfRule>
    <cfRule type="expression" dxfId="28" priority="127">
      <formula>OR(IF(ET5&lt;EU5,TRUE),IF(AND(EU5="",ET5&lt;&gt;""),TRUE))</formula>
    </cfRule>
  </conditionalFormatting>
  <conditionalFormatting sqref="ET20:ET25">
    <cfRule type="expression" dxfId="27" priority="124">
      <formula>IF(ET20&gt;=EU20,IF(ET20="",FALSE,TRUE))</formula>
    </cfRule>
    <cfRule type="expression" dxfId="26" priority="123">
      <formula>OR(IF(ET20&lt;EU20,TRUE),IF(AND(EU20="",ET20&lt;&gt;""),TRUE))</formula>
    </cfRule>
  </conditionalFormatting>
  <conditionalFormatting sqref="ET42:ET49">
    <cfRule type="expression" dxfId="25" priority="112">
      <formula>IF(ET42&gt;=EU42,IF(ET42="",FALSE,TRUE))</formula>
    </cfRule>
    <cfRule type="expression" dxfId="24" priority="111">
      <formula>OR(IF(ET42&lt;EU42,TRUE),IF(AND(EU42="",ET42&lt;&gt;""),TRUE))</formula>
    </cfRule>
  </conditionalFormatting>
  <conditionalFormatting sqref="EY5:EY17">
    <cfRule type="expression" dxfId="23" priority="110">
      <formula>IF(EY5&gt;=EZ5,IF(EY5="",FALSE,TRUE))</formula>
    </cfRule>
    <cfRule type="expression" dxfId="22" priority="109">
      <formula>OR(IF(EY5&lt;EZ5,TRUE),IF(AND(EZ5="",EY5&lt;&gt;""),TRUE))</formula>
    </cfRule>
  </conditionalFormatting>
  <conditionalFormatting sqref="EY20:EY25">
    <cfRule type="expression" dxfId="21" priority="106">
      <formula>IF(EY20&gt;=EZ20,IF(EY20="",FALSE,TRUE))</formula>
    </cfRule>
    <cfRule type="expression" dxfId="20" priority="105">
      <formula>OR(IF(EY20&lt;EZ20,TRUE),IF(AND(EZ20="",EY20&lt;&gt;""),TRUE))</formula>
    </cfRule>
  </conditionalFormatting>
  <conditionalFormatting sqref="EY42:EY49">
    <cfRule type="expression" dxfId="19" priority="93">
      <formula>OR(IF(EY42&lt;EZ42,TRUE),IF(AND(EZ42="",EY42&lt;&gt;""),TRUE))</formula>
    </cfRule>
    <cfRule type="expression" dxfId="18" priority="94">
      <formula>IF(EY42&gt;=EZ42,IF(EY42="",FALSE,TRUE))</formula>
    </cfRule>
  </conditionalFormatting>
  <conditionalFormatting sqref="FA5:FA17">
    <cfRule type="expression" dxfId="17" priority="108">
      <formula>IF(FA5&gt;=FB5,IF(FA5="",FALSE,TRUE))</formula>
    </cfRule>
    <cfRule type="expression" dxfId="16" priority="107">
      <formula>OR(IF(FA5&lt;FB5,TRUE),IF(AND(FB5="",FA5&lt;&gt;""),TRUE))</formula>
    </cfRule>
  </conditionalFormatting>
  <conditionalFormatting sqref="FA20:FA25">
    <cfRule type="expression" dxfId="15" priority="104">
      <formula>IF(FA20&gt;=FB20,IF(FA20="",FALSE,TRUE))</formula>
    </cfRule>
    <cfRule type="expression" dxfId="14" priority="103">
      <formula>OR(IF(FA20&lt;FB20,TRUE),IF(AND(FB20="",FA20&lt;&gt;""),TRUE))</formula>
    </cfRule>
  </conditionalFormatting>
  <conditionalFormatting sqref="FA42:FA49">
    <cfRule type="expression" dxfId="13" priority="92">
      <formula>IF(FA42&gt;=FB42,IF(FA42="",FALSE,TRUE))</formula>
    </cfRule>
    <cfRule type="expression" dxfId="12" priority="91">
      <formula>OR(IF(FA42&lt;FB42,TRUE),IF(AND(FB42="",FA42&lt;&gt;""),TRUE))</formula>
    </cfRule>
  </conditionalFormatting>
  <dataValidations count="1">
    <dataValidation type="list" allowBlank="1" showInputMessage="1" showErrorMessage="1" sqref="O20:R25 R51 O65:R68 V20:Y25 AJ5:AM17 V28:Y33 AX20:BA25 AC5:AF17 AC28:AF33 AC20:AF25 O52:R59 AQ28:AT33 V5:Y17 AX28:BA33 AJ20:AM25 DB52:DE59 AX42:BA49 AC52:AF59 BS5:BV17 AQ20:AT25 DP5:DS17 O36:R39 AQ36:AT39 AX36:BA39 BE36:BH39 AQ5:AT17 BL42:BO49 BL36:BO39 V42:Y49 AC42:AF49 BE28:BH33 EZ20:EZ39 BL20:BO25 BS42:BV49 AJ36:AM39 BL28:BO33 DB28:DE33 BS20:BV25 CN42:CQ49 BZ36:CC39 BS28:BV33 CN5:CQ17 BZ20:CC25 BZ42:CC49 CG36:CJ39 CN28:CQ33 BL5:BO17 CG20:CJ25 CG42:CJ49 BS36:BV39 CG28:CJ33 BZ5:CC17 CU28:CX33 CU42:CX49 CN36:CQ39 DB5:DE17 AX5:BA17 DI5:DL17 DP42:DS49 CU36:CX39 BZ28:CC33 DB42:DE49 CU20:CX25 DI42:DL49 DI36:DL39 BE20:BH25 BE5:BH17 DB20:DE25 V36:Y39 AQ42:AT49 DI28:DL33 CU5:CX17 DI20:DL25 CN52:CQ59 O28:R33 DP28:DS33 DB36:DE39 DP20:DS25 AC36:AF39 DP36:DS39 DW28:DZ33 DW5:DZ17 FB5:FB39 DW42:DZ49 DW36:DZ39 ED28:EG33 ED5:EG17 DW20:DZ25 ED42:EG49 ED36:EG39 ER20:EU25 EK5:EN17 ED20:EG25 EK42:EN49 EK36:EN39 EK28:EN33 ER5:EU17 EK20:EN25 ER42:EU49 ER28:EU33 FA28:FA33 EY52:FB59 EY42:FB49 CG5:CJ17 AJ28:AM33 ER65:EU68 EK52:EN59 EK65:EN68 ED52:EG59 ED65:EG68 DW52:DZ59 DW65:DZ68 DP52:DS59 DP65:DS68 O5:R17 DI65:DL68 ER36:EU39 DB65:DE68 BZ52:CC59 CU65:CX68 DI52:DL59 CN65:CQ68 CG52:CJ59 CG65:CJ68 BE42:BH49 BZ65:CC68 CU52:CX59 BS65:BV68 BT60 BL65:BO68 BV52:BV60 BE65:BH68 ER52:EU59 EY65:FB68 AX52:BA59 AX65:BA68 BE52:BH59 AQ65:AT68 AQ52:AT59 AJ65:AM68 AJ42:AM49 AC65:AF68 V52:Y59 V65:Y68 AJ52:AM59 EY5:FA17 FA36:FA39 EY28:EY33 EY20:EY25 FA20:FA25 EY36:EY39 AF50 O42:R49 BL52:BO59 BS52:BU59 CN20:CQ25"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zoomScale="45" workbookViewId="0">
      <selection activeCell="J10" sqref="J10"/>
    </sheetView>
  </sheetViews>
  <sheetFormatPr baseColWidth="10" defaultColWidth="10.6640625" defaultRowHeight="15.5"/>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1">
      <c r="A1" s="9" t="s">
        <v>42</v>
      </c>
      <c r="B1" s="15" t="s">
        <v>39</v>
      </c>
      <c r="C1" s="15" t="s">
        <v>40</v>
      </c>
      <c r="D1" s="15" t="s">
        <v>41</v>
      </c>
      <c r="E1" s="1" t="s">
        <v>43</v>
      </c>
      <c r="F1" s="1" t="s">
        <v>44</v>
      </c>
      <c r="G1" s="1" t="s">
        <v>45</v>
      </c>
      <c r="H1" s="1" t="s">
        <v>46</v>
      </c>
      <c r="I1" s="1" t="s">
        <v>47</v>
      </c>
      <c r="J1" s="1" t="s">
        <v>48</v>
      </c>
      <c r="K1" s="1" t="s">
        <v>49</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5.5"/>
  <sheetData>
    <row r="1" spans="1:8" ht="2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5.5"/>
  <sheetData>
    <row r="1" spans="1:8" ht="2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Leo Mendel</cp:lastModifiedBy>
  <dcterms:created xsi:type="dcterms:W3CDTF">2020-04-19T13:33:28Z</dcterms:created>
  <dcterms:modified xsi:type="dcterms:W3CDTF">2023-11-09T14:12:36Z</dcterms:modified>
</cp:coreProperties>
</file>