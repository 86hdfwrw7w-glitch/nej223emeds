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Paweł\Desktop\"/>
    </mc:Choice>
  </mc:AlternateContent>
  <xr:revisionPtr revIDLastSave="0" documentId="13_ncr:1_{FB0DDAD2-A98C-429A-BD27-CC61808DED73}" xr6:coauthVersionLast="47" xr6:coauthVersionMax="47" xr10:uidLastSave="{00000000-0000-0000-0000-000000000000}"/>
  <bookViews>
    <workbookView xWindow="-120" yWindow="-120" windowWidth="29040" windowHeight="15840"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37" i="7" l="1"/>
  <c r="AI30" i="7"/>
  <c r="AI23" i="7"/>
  <c r="DO4" i="7"/>
  <c r="DH4" i="7"/>
  <c r="C11" i="10"/>
  <c r="C7" i="10"/>
  <c r="DA4" i="7"/>
  <c r="CT4" i="7"/>
  <c r="CM4" i="7"/>
  <c r="CF4" i="7"/>
  <c r="BY4" i="7"/>
  <c r="BR4" i="7"/>
  <c r="K14" i="7" a="1"/>
  <c r="K14" i="7" s="1"/>
  <c r="J14" i="7" a="1"/>
  <c r="J14" i="7" s="1"/>
  <c r="I1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AP37" i="7"/>
  <c r="AB37" i="7"/>
  <c r="U37" i="7"/>
  <c r="N37" i="7"/>
  <c r="G37"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AP30" i="7"/>
  <c r="AB30" i="7"/>
  <c r="U30" i="7"/>
  <c r="N30" i="7"/>
  <c r="G30" i="7"/>
  <c r="BK4" i="7"/>
  <c r="C12" i="10"/>
  <c r="K21" i="7" a="1"/>
  <c r="K21" i="7" s="1"/>
  <c r="J21" i="7" a="1"/>
  <c r="J21" i="7" s="1"/>
  <c r="K18" i="7" a="1"/>
  <c r="K18" i="7" s="1"/>
  <c r="J18" i="7" a="1"/>
  <c r="J18" i="7" s="1"/>
  <c r="K17" i="7" a="1"/>
  <c r="K17" i="7" s="1"/>
  <c r="J17" i="7" a="1"/>
  <c r="J17" i="7" s="1"/>
  <c r="K16" i="7" a="1"/>
  <c r="K16" i="7" s="1"/>
  <c r="J16" i="7" a="1"/>
  <c r="J16" i="7" s="1"/>
  <c r="K15" i="7" a="1"/>
  <c r="K15" i="7" s="1"/>
  <c r="J15" i="7" a="1"/>
  <c r="J15" i="7" s="1"/>
  <c r="K13" i="7" a="1"/>
  <c r="K13" i="7" s="1"/>
  <c r="J13" i="7" a="1"/>
  <c r="J13" i="7" s="1"/>
  <c r="K28" i="7" a="1"/>
  <c r="K28" i="7" s="1"/>
  <c r="J28" i="7" a="1"/>
  <c r="J28" i="7" s="1"/>
  <c r="K27" i="7" a="1"/>
  <c r="K27" i="7" s="1"/>
  <c r="J27" i="7" a="1"/>
  <c r="J27" i="7" s="1"/>
  <c r="K26" i="7" a="1"/>
  <c r="K26" i="7" s="1"/>
  <c r="J26" i="7" a="1"/>
  <c r="J26" i="7" s="1"/>
  <c r="K25" i="7" a="1"/>
  <c r="K25" i="7" s="1"/>
  <c r="J25" i="7" a="1"/>
  <c r="J25" i="7" s="1"/>
  <c r="K24" i="7" a="1"/>
  <c r="K24" i="7" s="1"/>
  <c r="J24" i="7" a="1"/>
  <c r="J2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N4" i="7"/>
  <c r="N12" i="7"/>
  <c r="G4" i="7"/>
  <c r="AP23" i="7"/>
  <c r="AB23" i="7"/>
  <c r="U23" i="7"/>
  <c r="I28" i="7"/>
  <c r="I27" i="7"/>
  <c r="I26" i="7"/>
  <c r="I25" i="7"/>
  <c r="I24" i="7"/>
  <c r="I21" i="7"/>
  <c r="I18" i="7"/>
  <c r="I17" i="7"/>
  <c r="I16" i="7"/>
  <c r="I15" i="7"/>
  <c r="I13" i="7"/>
  <c r="I6" i="7"/>
  <c r="I7" i="7"/>
  <c r="I8" i="7"/>
  <c r="I9" i="7"/>
  <c r="I10" i="7"/>
  <c r="I5" i="7"/>
  <c r="N23" i="7"/>
  <c r="G23" i="7"/>
  <c r="G12" i="7"/>
  <c r="I37" i="7" l="1"/>
  <c r="I30" i="7"/>
  <c r="J37" i="7"/>
  <c r="K37" i="7"/>
  <c r="K30" i="7"/>
  <c r="J30" i="7"/>
  <c r="I23" i="7"/>
  <c r="J23" i="7"/>
  <c r="K23" i="7"/>
  <c r="I12" i="7"/>
  <c r="J12" i="7"/>
  <c r="K1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<sst xmlns="http://schemas.openxmlformats.org/spreadsheetml/2006/main" count="308" uniqueCount="138">
  <si>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</si>
  <si>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</si>
  <si>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</si>
  <si>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</si>
  <si>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</si>
  <si>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</si>
  <si>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</si>
  <si>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</si>
  <si>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</si>
  <si>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</si>
  <si>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</si>
  <si>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</si>
  <si>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</si>
  <si>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</si>
  <si>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</si>
  <si>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</si>
  <si>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</si>
  <si>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</si>
  <si>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</si>
  <si>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</si>
  <si>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</si>
  <si>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</si>
  <si>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</si>
  <si>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</si>
  <si>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</si>
  <si>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</si>
  <si>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</si>
  <si>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</si>
  <si>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</si>
  <si>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</si>
  <si>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</si>
  <si>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</si>
  <si>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</si>
  <si>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</si>
  <si>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</si>
  <si>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</si>
  <si>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</si>
  <si>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</si>
  <si>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</si>
  <si>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</si>
  <si>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</si>
  <si>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</si>
  <si>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</si>
  <si>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</si>
  <si>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</si>
  <si>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</si>
  <si>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</si>
  <si>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</si>
  <si>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</si>
  <si>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</si>
  <si>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</si>
  <si>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</si>
  <si>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</si>
  <si>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</si>
  <si>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</si>
  <si>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</si>
  <si>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</si>
  <si>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</si>
  <si>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</si>
  <si>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</si>
  <si>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</si>
  <si>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</si>
  <si>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</si>
  <si>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</si>
  <si>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</si>
  <si>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</si>
  <si>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</si>
  <si>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</si>
  <si>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</si>
  <si>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</si>
  <si>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</si>
  <si>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</si>
  <si>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</si>
  <si>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</si>
  <si>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</si>
  <si>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</si>
  <si>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</si>
  <si>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</si>
  <si>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</si>
  <si>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</si>
  <si>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</si>
  <si>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</si>
  <si>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</si>
  <si>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</si>
  <si>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</si>
  <si>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</si>
  <si>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</si>
  <si>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</si>
  <si>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</si>
  <si>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</si>
  <si>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</si>
  <si>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</si>
  <si>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</si>
  <si>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</si>
  <si>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</si>
  <si>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</si>
  <si>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Management II</t>
  </si>
  <si>
    <t>1.)Technologiemanagement</t>
  </si>
  <si>
    <t>2.)Innovationsmanagement</t>
  </si>
  <si>
    <t>3.)Digitalisierung</t>
  </si>
  <si>
    <t>4.)Grundlagen der Produktionswirtschaft</t>
  </si>
  <si>
    <t>5) Produktionstheorie</t>
  </si>
  <si>
    <t>6) Gestaltung des Produktionsprogramms</t>
  </si>
  <si>
    <t xml:space="preserve">Finance </t>
  </si>
  <si>
    <t>2) Bewertung von Anleihen</t>
  </si>
  <si>
    <t>Makroökonomie II</t>
  </si>
  <si>
    <t>Mikroökonomie II</t>
  </si>
  <si>
    <t>1) Einleitung</t>
  </si>
  <si>
    <t>2) Theorie des Konsumentenverhaltens</t>
  </si>
  <si>
    <t>3) Allgemeines Gleichgewicht</t>
  </si>
  <si>
    <t>Statistik</t>
  </si>
  <si>
    <t>2) Deskriptive Statistik</t>
  </si>
  <si>
    <t>4) Ereignisse und Wahrscheinlichkeiten</t>
  </si>
  <si>
    <t>3) Parameter</t>
  </si>
  <si>
    <t>5) Zufallsvariablen und Verteilung</t>
  </si>
  <si>
    <t>KW 15</t>
  </si>
  <si>
    <t>KW 16</t>
  </si>
  <si>
    <t>KW 17</t>
  </si>
  <si>
    <t>KW 18</t>
  </si>
  <si>
    <t>KW 27</t>
  </si>
  <si>
    <t>KW 28</t>
  </si>
  <si>
    <t>1) Wirtschaftswachstum</t>
  </si>
  <si>
    <t>2) Arbeitsmarkt</t>
  </si>
  <si>
    <t>3) Geld und Inflation</t>
  </si>
  <si>
    <t>4) Arbeitslosigkeit und Inflation : Philipskurve</t>
  </si>
  <si>
    <t>5) Konsum und intertemporale Makroökonomik</t>
  </si>
  <si>
    <t>1) Unternehmensfinanzierung / Geld und Zeit</t>
  </si>
  <si>
    <t>3) Bewertung von Aktien</t>
  </si>
  <si>
    <t>4) Investitionsentscheidungsregeln</t>
  </si>
  <si>
    <t>5) Risiko und Rendite – Diversifikation in Portfolios</t>
  </si>
  <si>
    <t>6) Portfoliotheorie und Capital Asset Pricing Model</t>
  </si>
  <si>
    <t>7) Risiko und Kapitalkosten</t>
  </si>
  <si>
    <t>8) Markteffizienz</t>
  </si>
  <si>
    <t>9) Unternehmensfinanzierung</t>
  </si>
  <si>
    <t>KW 29 Klausuren</t>
  </si>
  <si>
    <t>KW 30 Klausuren</t>
  </si>
  <si>
    <t>4) Theorie des Produzentenverhaltens</t>
  </si>
  <si>
    <t>5) Zeit und Unsicherheit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</si>
</sst>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4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0">
  <autoFilter ref="A1:K46" xr:uid="{6E266E34-2786-2747-BCE7-51B74867A564}"/>
  <tableColumns count="11">
    <tableColumn id="1" xr3:uid="{95FD92F7-3DC8-704D-A103-A7EDDAB255AB}" name="Datum" dataDxfId="39"/>
    <tableColumn id="2" xr3:uid="{F464D510-8166-E740-A343-FB84BDEF877F}" name="Lerneinheiten durchgezogen" dataDxfId="38"/>
    <tableColumn id="3" xr3:uid="{75F52B08-1A00-0848-BBE6-1EDF7B31B1AD}" name="Tagesplan erstellt" dataDxfId="37"/>
    <tableColumn id="4" xr3:uid="{E6B18D89-E799-AD48-9DAA-37AEE1D29011}" name="Konzentrationslevel" dataDxfId="3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5.75"/>
  <cols>
    <col min="1" max="1" width="11.875" customWidth="1"/>
    <col min="2" max="2" width="62.625" customWidth="1"/>
  </cols>
  <sheetData>
    <row r="2" spans="1:4">
      <c r="C2" s="18" t="s">
        <v>79</v>
      </c>
    </row>
    <row r="3" spans="1:4">
      <c r="C3" s="17" t="s">
        <v>64</v>
      </c>
    </row>
    <row r="4" spans="1:4">
      <c r="C4" s="16" t="s">
        <v>78</v>
      </c>
    </row>
    <row r="5" spans="1:4">
      <c r="A5" s="2" t="s">
        <v>61</v>
      </c>
      <c r="B5" s="2" t="s">
        <v>62</v>
      </c>
      <c r="C5" s="2" t="s">
        <v>63</v>
      </c>
      <c r="D5" s="2" t="s">
        <v>65</v>
      </c>
    </row>
    <row r="6" spans="1:4">
      <c r="A6" t="s">
        <v>57</v>
      </c>
      <c r="B6" s="18" t="s">
        <v>60</v>
      </c>
      <c r="D6" t="s">
        <v>94</v>
      </c>
    </row>
    <row r="7" spans="1:4">
      <c r="A7" t="s">
        <v>68</v>
      </c>
      <c r="B7" t="s">
        <v>69</v>
      </c>
      <c r="C7" s="16">
        <f>32</f>
        <v>32</v>
      </c>
    </row>
    <row r="8" spans="1:4">
      <c r="A8" t="s">
        <v>59</v>
      </c>
      <c r="B8" s="18" t="s">
        <v>58</v>
      </c>
      <c r="D8" t="s">
        <v>82</v>
      </c>
    </row>
    <row r="9" spans="1:4">
      <c r="A9" t="s">
        <v>67</v>
      </c>
      <c r="B9" s="18" t="s">
        <v>80</v>
      </c>
      <c r="D9" t="s">
        <v>83</v>
      </c>
    </row>
    <row r="10" spans="1:4">
      <c r="A10" t="s">
        <v>71</v>
      </c>
      <c r="B10" t="s">
        <v>70</v>
      </c>
      <c r="C10" s="16">
        <v>12</v>
      </c>
      <c r="D10" t="s">
        <v>66</v>
      </c>
    </row>
    <row r="11" spans="1:4">
      <c r="A11" t="s">
        <v>72</v>
      </c>
      <c r="B11" t="s">
        <v>74</v>
      </c>
      <c r="C11" s="16">
        <f>32*3</f>
        <v>96</v>
      </c>
      <c r="D11" t="s">
        <v>73</v>
      </c>
    </row>
    <row r="12" spans="1:4">
      <c r="A12" t="s">
        <v>76</v>
      </c>
      <c r="B12" t="s">
        <v>75</v>
      </c>
      <c r="C12" s="17">
        <f>C11/C10</f>
        <v>8</v>
      </c>
    </row>
    <row r="13" spans="1:4">
      <c r="A13" t="s">
        <v>81</v>
      </c>
      <c r="B13" t="s">
        <v>77</v>
      </c>
      <c r="D13" t="s">
        <v>84</v>
      </c>
    </row>
    <row r="14" spans="1:4">
      <c r="A14" t="s">
        <v>85</v>
      </c>
      <c r="B14" t="s">
        <v>86</v>
      </c>
      <c r="D14" t="s">
        <v>87</v>
      </c>
    </row>
    <row r="15" spans="1:4">
      <c r="A15" t="s">
        <v>88</v>
      </c>
      <c r="B15" s="18" t="s">
        <v>89</v>
      </c>
    </row>
    <row r="16" spans="1:4">
      <c r="A16" t="s">
        <v>92</v>
      </c>
      <c r="B16" s="18" t="s">
        <v>90</v>
      </c>
    </row>
    <row r="17" spans="1:2">
      <c r="A17" t="s">
        <v>93</v>
      </c>
      <c r="B17" t="s">
        <v>91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42"/>
  <sheetViews>
    <sheetView showGridLines="0" tabSelected="1" zoomScale="75" zoomScaleNormal="75" workbookViewId="0">
      <pane xSplit="12" topLeftCell="N1" activePane="topRight" state="frozen"/>
      <selection pane="topRight" activeCell="V38" sqref="V38"/>
    </sheetView>
  </sheetViews>
  <sheetFormatPr baseColWidth="10" defaultColWidth="8.875" defaultRowHeight="15.75" outlineLevelRow="1"/>
  <cols>
    <col min="2" max="2" width="27.125" bestFit="1" customWidth="1"/>
    <col min="3" max="3" width="24.62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s>
  <sheetData>
    <row r="1" spans="2:124" ht="33.75">
      <c r="B1" s="4" t="s">
        <v>0</v>
      </c>
      <c r="D1" s="4"/>
      <c r="G1" s="13" t="s">
        <v>34</v>
      </c>
      <c r="I1" s="13" t="s">
        <v>34</v>
      </c>
      <c r="J1" s="13" t="s">
        <v>34</v>
      </c>
      <c r="K1" s="13" t="s">
        <v>34</v>
      </c>
    </row>
    <row r="2" spans="2:124">
      <c r="I2" s="20" t="s">
        <v>27</v>
      </c>
      <c r="J2" s="20"/>
      <c r="K2" s="20"/>
      <c r="L2" s="20"/>
      <c r="N2" s="20" t="s">
        <v>115</v>
      </c>
      <c r="O2" s="20"/>
      <c r="P2" s="20"/>
      <c r="Q2" s="20"/>
      <c r="R2" s="20"/>
      <c r="S2" s="20"/>
      <c r="U2" s="20" t="s">
        <v>116</v>
      </c>
      <c r="V2" s="20"/>
      <c r="W2" s="20"/>
      <c r="X2" s="20"/>
      <c r="Y2" s="20"/>
      <c r="Z2" s="20"/>
      <c r="AB2" s="20" t="s">
        <v>117</v>
      </c>
      <c r="AC2" s="20"/>
      <c r="AD2" s="20"/>
      <c r="AE2" s="20"/>
      <c r="AF2" s="20"/>
      <c r="AG2" s="20"/>
      <c r="AI2" s="20" t="s">
        <v>118</v>
      </c>
      <c r="AJ2" s="20"/>
      <c r="AK2" s="20"/>
      <c r="AL2" s="20"/>
      <c r="AM2" s="20"/>
      <c r="AN2" s="20"/>
      <c r="AP2" s="20" t="s">
        <v>35</v>
      </c>
      <c r="AQ2" s="20"/>
      <c r="AR2" s="20"/>
      <c r="AS2" s="20"/>
      <c r="AT2" s="20"/>
      <c r="AU2" s="20"/>
      <c r="AW2" s="20" t="s">
        <v>36</v>
      </c>
      <c r="AX2" s="20"/>
      <c r="AY2" s="20"/>
      <c r="AZ2" s="20"/>
      <c r="BA2" s="20"/>
      <c r="BB2" s="20"/>
      <c r="BD2" s="20" t="s">
        <v>37</v>
      </c>
      <c r="BE2" s="20"/>
      <c r="BF2" s="20"/>
      <c r="BG2" s="20"/>
      <c r="BH2" s="20"/>
      <c r="BI2" s="20"/>
      <c r="BK2" s="20" t="s">
        <v>38</v>
      </c>
      <c r="BL2" s="20"/>
      <c r="BM2" s="20"/>
      <c r="BN2" s="20"/>
      <c r="BO2" s="20"/>
      <c r="BP2" s="20"/>
      <c r="BR2" s="20" t="s">
        <v>43</v>
      </c>
      <c r="BS2" s="20"/>
      <c r="BT2" s="20"/>
      <c r="BU2" s="20"/>
      <c r="BV2" s="20"/>
      <c r="BW2" s="20"/>
      <c r="BY2" s="20" t="s">
        <v>44</v>
      </c>
      <c r="BZ2" s="20"/>
      <c r="CA2" s="20"/>
      <c r="CB2" s="20"/>
      <c r="CC2" s="20"/>
      <c r="CD2" s="20"/>
      <c r="CF2" s="20" t="s">
        <v>45</v>
      </c>
      <c r="CG2" s="20"/>
      <c r="CH2" s="20"/>
      <c r="CI2" s="20"/>
      <c r="CJ2" s="20"/>
      <c r="CK2" s="20"/>
      <c r="CM2" s="20" t="s">
        <v>95</v>
      </c>
      <c r="CN2" s="20"/>
      <c r="CO2" s="20"/>
      <c r="CP2" s="20"/>
      <c r="CQ2" s="20"/>
      <c r="CR2" s="20"/>
      <c r="CT2" s="20" t="s">
        <v>119</v>
      </c>
      <c r="CU2" s="20"/>
      <c r="CV2" s="20"/>
      <c r="CW2" s="20"/>
      <c r="CX2" s="20"/>
      <c r="CY2" s="20"/>
      <c r="DA2" s="20" t="s">
        <v>120</v>
      </c>
      <c r="DB2" s="20"/>
      <c r="DC2" s="20"/>
      <c r="DD2" s="20"/>
      <c r="DE2" s="20"/>
      <c r="DF2" s="20"/>
      <c r="DH2" s="20" t="s">
        <v>134</v>
      </c>
      <c r="DI2" s="20"/>
      <c r="DJ2" s="20"/>
      <c r="DK2" s="20"/>
      <c r="DL2" s="20"/>
      <c r="DM2" s="20"/>
      <c r="DO2" s="20" t="s">
        <v>135</v>
      </c>
      <c r="DP2" s="20"/>
      <c r="DQ2" s="20"/>
      <c r="DR2" s="20"/>
      <c r="DS2" s="20"/>
      <c r="DT2" s="20"/>
    </row>
    <row r="3" spans="2:124">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row>
    <row r="4" spans="2:124">
      <c r="B4" t="s">
        <v>27</v>
      </c>
      <c r="C4" t="s">
        <v>96</v>
      </c>
      <c r="D4" s="19">
        <v>45135</v>
      </c>
      <c r="E4" s="9">
        <v>6</v>
      </c>
      <c r="G4" s="10">
        <f>+SUM(G5:G10)</f>
        <v>0.4</v>
      </c>
      <c r="I4" s="12">
        <f>+SUM(I5:I10)</f>
        <v>7</v>
      </c>
      <c r="J4" s="11">
        <f>+SUMPRODUCT(G5:G10,J5:J10)</f>
        <v>0</v>
      </c>
      <c r="K4" s="11">
        <f>+SUMPRODUCT(G5:G10,K5:K10)</f>
        <v>0</v>
      </c>
      <c r="L4" s="9"/>
      <c r="N4" s="12">
        <f>+SUM(N5:N10)</f>
        <v>7</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row>
    <row r="5" spans="2:124" outlineLevel="1">
      <c r="B5" t="s">
        <v>28</v>
      </c>
      <c r="C5" t="s">
        <v>96</v>
      </c>
      <c r="E5" s="9"/>
      <c r="F5" t="s">
        <v>97</v>
      </c>
      <c r="G5" s="10">
        <v>0.1</v>
      </c>
      <c r="I5" s="9">
        <f t="shared" ref="I5:I10" si="0">+SUMIF($N$3:$ZS$3,I$3,$N5:$ZS5)</f>
        <v>2</v>
      </c>
      <c r="J5" s="11" cm="1">
        <f t="array" ref="J5">MAX(IF($N$3:$EA$3=$J$3,N5:EA5))</f>
        <v>0</v>
      </c>
      <c r="K5" s="11" cm="1">
        <f t="array" ref="K5">MAX(IF($N$3:$EA$3=$J$3,N5:EA5))</f>
        <v>0</v>
      </c>
      <c r="L5" s="9"/>
      <c r="N5">
        <v>2</v>
      </c>
      <c r="O5" s="10"/>
      <c r="P5" s="10"/>
      <c r="Q5" s="10"/>
      <c r="R5" s="10"/>
      <c r="V5" s="10"/>
      <c r="W5" s="10">
        <v>0.5</v>
      </c>
      <c r="X5" s="10"/>
      <c r="Y5" s="10">
        <v>0.5</v>
      </c>
      <c r="AC5" s="10"/>
      <c r="AD5" s="10">
        <v>0.5</v>
      </c>
      <c r="AE5" s="10"/>
      <c r="AF5" s="10">
        <v>0.5</v>
      </c>
      <c r="AJ5" s="10"/>
      <c r="AK5" s="10">
        <v>0.5</v>
      </c>
      <c r="AL5" s="10"/>
      <c r="AM5" s="10">
        <v>0.5</v>
      </c>
      <c r="AQ5" s="10"/>
      <c r="AR5" s="10">
        <v>0.5</v>
      </c>
      <c r="AS5" s="10"/>
      <c r="AT5" s="10">
        <v>0.5</v>
      </c>
      <c r="AX5" s="10"/>
      <c r="AY5" s="10">
        <v>0.5</v>
      </c>
      <c r="AZ5" s="10"/>
      <c r="BA5" s="10">
        <v>0.5</v>
      </c>
      <c r="BE5" s="10"/>
      <c r="BF5" s="10">
        <v>0.5</v>
      </c>
      <c r="BG5" s="10"/>
      <c r="BH5" s="10">
        <v>0.5</v>
      </c>
      <c r="BL5" s="10"/>
      <c r="BM5" s="10">
        <v>0.8</v>
      </c>
      <c r="BN5" s="10"/>
      <c r="BO5" s="10">
        <v>0.8</v>
      </c>
      <c r="BS5" s="10"/>
      <c r="BT5" s="10">
        <v>0.8</v>
      </c>
      <c r="BU5" s="10"/>
      <c r="BV5" s="10">
        <v>0.8</v>
      </c>
      <c r="BZ5" s="10"/>
      <c r="CA5" s="10">
        <v>0.8</v>
      </c>
      <c r="CB5" s="10"/>
      <c r="CC5" s="10">
        <v>0.8</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row>
    <row r="6" spans="2:124" outlineLevel="1">
      <c r="B6" t="s">
        <v>28</v>
      </c>
      <c r="C6" t="s">
        <v>96</v>
      </c>
      <c r="E6" s="9"/>
      <c r="F6" t="s">
        <v>98</v>
      </c>
      <c r="G6" s="10">
        <v>0.05</v>
      </c>
      <c r="I6" s="9">
        <f t="shared" si="0"/>
        <v>1.5</v>
      </c>
      <c r="J6" s="11" cm="1">
        <f t="array" ref="J6">MAX(IF($N$3:$EA$3=$J$3,N6:EA6))</f>
        <v>0</v>
      </c>
      <c r="K6" s="11" cm="1">
        <f t="array" ref="K6">MAX(IF($N$3:$EA$3=$J$3,N6:EA6))</f>
        <v>0</v>
      </c>
      <c r="L6" s="9"/>
      <c r="N6">
        <v>1.5</v>
      </c>
      <c r="O6" s="10"/>
      <c r="P6" s="10"/>
      <c r="Q6" s="10"/>
      <c r="R6" s="10"/>
      <c r="V6" s="10"/>
      <c r="W6" s="10"/>
      <c r="X6" s="10"/>
      <c r="Y6" s="10"/>
      <c r="AC6" s="10"/>
      <c r="AD6" s="10">
        <v>0.5</v>
      </c>
      <c r="AE6" s="10"/>
      <c r="AF6" s="10">
        <v>0.5</v>
      </c>
      <c r="AJ6" s="10"/>
      <c r="AK6" s="10">
        <v>0.5</v>
      </c>
      <c r="AL6" s="10"/>
      <c r="AM6" s="10">
        <v>0.5</v>
      </c>
      <c r="AQ6" s="10"/>
      <c r="AR6" s="10">
        <v>0.5</v>
      </c>
      <c r="AS6" s="10"/>
      <c r="AT6" s="10">
        <v>0.5</v>
      </c>
      <c r="AX6" s="10"/>
      <c r="AY6" s="10">
        <v>0.5</v>
      </c>
      <c r="AZ6" s="10"/>
      <c r="BA6" s="10">
        <v>0.5</v>
      </c>
      <c r="BE6" s="10"/>
      <c r="BF6" s="10">
        <v>0.5</v>
      </c>
      <c r="BG6" s="10"/>
      <c r="BH6" s="10">
        <v>0.5</v>
      </c>
      <c r="BL6" s="10"/>
      <c r="BM6" s="10">
        <v>0.8</v>
      </c>
      <c r="BN6" s="10"/>
      <c r="BO6" s="10">
        <v>0.8</v>
      </c>
      <c r="BS6" s="10"/>
      <c r="BT6" s="10">
        <v>0.8</v>
      </c>
      <c r="BU6" s="10"/>
      <c r="BV6" s="10">
        <v>0.8</v>
      </c>
      <c r="BZ6" s="10"/>
      <c r="CA6" s="10">
        <v>0.8</v>
      </c>
      <c r="CB6" s="10"/>
      <c r="CC6" s="10">
        <v>0.8</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row>
    <row r="7" spans="2:124" outlineLevel="1">
      <c r="B7" t="s">
        <v>28</v>
      </c>
      <c r="C7" t="s">
        <v>96</v>
      </c>
      <c r="E7" s="9"/>
      <c r="F7" t="s">
        <v>99</v>
      </c>
      <c r="G7" s="10">
        <v>0.05</v>
      </c>
      <c r="I7" s="9">
        <f t="shared" si="0"/>
        <v>1.5</v>
      </c>
      <c r="J7" s="11" cm="1">
        <f t="array" ref="J7">MAX(IF($N$3:$EA$3=$J$3,N7:EA7))</f>
        <v>0</v>
      </c>
      <c r="K7" s="11" cm="1">
        <f t="array" ref="K7">MAX(IF($N$3:$EA$3=$J$3,N7:EA7))</f>
        <v>0</v>
      </c>
      <c r="L7" s="9"/>
      <c r="N7">
        <v>1.5</v>
      </c>
      <c r="O7" s="10"/>
      <c r="P7" s="10"/>
      <c r="Q7" s="10"/>
      <c r="R7" s="10"/>
      <c r="V7" s="10"/>
      <c r="W7" s="10"/>
      <c r="X7" s="10"/>
      <c r="Y7" s="10"/>
      <c r="AC7" s="10"/>
      <c r="AD7" s="10"/>
      <c r="AE7" s="10"/>
      <c r="AF7" s="10"/>
      <c r="AJ7" s="10"/>
      <c r="AK7" s="10">
        <v>0.5</v>
      </c>
      <c r="AL7" s="10"/>
      <c r="AM7" s="10">
        <v>0.5</v>
      </c>
      <c r="AQ7" s="10"/>
      <c r="AR7" s="10">
        <v>0.5</v>
      </c>
      <c r="AS7" s="10"/>
      <c r="AT7" s="10">
        <v>0.5</v>
      </c>
      <c r="AX7" s="10"/>
      <c r="AY7" s="10">
        <v>0.5</v>
      </c>
      <c r="AZ7" s="10"/>
      <c r="BA7" s="10">
        <v>0.5</v>
      </c>
      <c r="BE7" s="10"/>
      <c r="BF7" s="10">
        <v>0.5</v>
      </c>
      <c r="BG7" s="10"/>
      <c r="BH7" s="10">
        <v>0.5</v>
      </c>
      <c r="BL7" s="10"/>
      <c r="BM7" s="10">
        <v>0.5</v>
      </c>
      <c r="BN7" s="10"/>
      <c r="BO7" s="10">
        <v>0.5</v>
      </c>
      <c r="BS7" s="10"/>
      <c r="BT7" s="10">
        <v>0.8</v>
      </c>
      <c r="BU7" s="10"/>
      <c r="BV7" s="10">
        <v>0.8</v>
      </c>
      <c r="BZ7" s="10"/>
      <c r="CA7" s="10">
        <v>0.8</v>
      </c>
      <c r="CB7" s="10"/>
      <c r="CC7" s="10">
        <v>0.8</v>
      </c>
      <c r="CG7" s="10"/>
      <c r="CH7" s="10">
        <v>0.8</v>
      </c>
      <c r="CI7" s="10"/>
      <c r="CJ7" s="10">
        <v>0.8</v>
      </c>
      <c r="CN7" s="10"/>
      <c r="CO7" s="10">
        <v>1</v>
      </c>
      <c r="CP7" s="10"/>
      <c r="CQ7" s="10">
        <v>1</v>
      </c>
      <c r="CU7" s="10"/>
      <c r="CV7" s="10">
        <v>1</v>
      </c>
      <c r="CW7" s="10"/>
      <c r="CX7" s="10">
        <v>1</v>
      </c>
      <c r="DB7" s="10"/>
      <c r="DC7" s="10"/>
      <c r="DD7" s="10"/>
      <c r="DE7" s="10"/>
      <c r="DI7" s="10"/>
      <c r="DJ7" s="10"/>
      <c r="DK7" s="10"/>
      <c r="DL7" s="10"/>
      <c r="DP7" s="10"/>
      <c r="DQ7" s="10"/>
      <c r="DR7" s="10"/>
      <c r="DS7" s="10"/>
    </row>
    <row r="8" spans="2:124" outlineLevel="1">
      <c r="B8" t="s">
        <v>28</v>
      </c>
      <c r="C8" t="s">
        <v>96</v>
      </c>
      <c r="E8" s="9"/>
      <c r="F8" t="s">
        <v>100</v>
      </c>
      <c r="G8" s="10">
        <v>0.05</v>
      </c>
      <c r="I8" s="9">
        <f t="shared" si="0"/>
        <v>2</v>
      </c>
      <c r="J8" s="11" cm="1">
        <f t="array" ref="J8">MAX(IF($N$3:$EA$3=$J$3,N8:EA8))</f>
        <v>0</v>
      </c>
      <c r="K8" s="11" cm="1">
        <f t="array" ref="K8">MAX(IF($N$3:$EA$3=$J$3,N8:EA8))</f>
        <v>0</v>
      </c>
      <c r="L8" s="9"/>
      <c r="N8">
        <v>2</v>
      </c>
      <c r="O8" s="10"/>
      <c r="P8" s="10"/>
      <c r="Q8" s="10"/>
      <c r="R8" s="10"/>
      <c r="V8" s="10"/>
      <c r="W8" s="10"/>
      <c r="X8" s="10"/>
      <c r="Y8" s="10"/>
      <c r="AC8" s="10"/>
      <c r="AD8" s="10"/>
      <c r="AE8" s="10"/>
      <c r="AF8" s="10"/>
      <c r="AJ8" s="10"/>
      <c r="AK8" s="10"/>
      <c r="AL8" s="10"/>
      <c r="AM8" s="10"/>
      <c r="AQ8" s="10"/>
      <c r="AR8" s="10">
        <v>0.5</v>
      </c>
      <c r="AS8" s="10"/>
      <c r="AT8" s="10">
        <v>0.5</v>
      </c>
      <c r="AX8" s="10"/>
      <c r="AY8" s="10">
        <v>0.5</v>
      </c>
      <c r="AZ8" s="10"/>
      <c r="BA8" s="10">
        <v>0.5</v>
      </c>
      <c r="BE8" s="10"/>
      <c r="BF8" s="10">
        <v>0.5</v>
      </c>
      <c r="BG8" s="10"/>
      <c r="BH8" s="10">
        <v>0.5</v>
      </c>
      <c r="BL8" s="10"/>
      <c r="BM8" s="10">
        <v>0.5</v>
      </c>
      <c r="BN8" s="10"/>
      <c r="BO8" s="10">
        <v>0.5</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DB8" s="10"/>
      <c r="DC8" s="10"/>
      <c r="DD8" s="10"/>
      <c r="DE8" s="10"/>
      <c r="DI8" s="10"/>
      <c r="DJ8" s="10"/>
      <c r="DK8" s="10"/>
      <c r="DL8" s="10"/>
      <c r="DP8" s="10"/>
      <c r="DQ8" s="10"/>
      <c r="DR8" s="10"/>
      <c r="DS8" s="10"/>
    </row>
    <row r="9" spans="2:124" outlineLevel="1">
      <c r="B9" t="s">
        <v>28</v>
      </c>
      <c r="C9" t="s">
        <v>96</v>
      </c>
      <c r="E9" s="9"/>
      <c r="F9" t="s">
        <v>101</v>
      </c>
      <c r="G9" s="10">
        <v>0.05</v>
      </c>
      <c r="I9" s="9">
        <f t="shared" si="0"/>
        <v>0</v>
      </c>
      <c r="J9" s="11" cm="1">
        <f t="array" ref="J9">MAX(IF($N$3:$EA$3=$J$3,N9:EA9))</f>
        <v>0</v>
      </c>
      <c r="K9" s="11" cm="1">
        <f t="array" ref="K9">MAX(IF($N$3:$EA$3=$J$3,N9:EA9))</f>
        <v>0</v>
      </c>
      <c r="L9" s="9"/>
      <c r="O9" s="10"/>
      <c r="P9" s="10"/>
      <c r="Q9" s="10"/>
      <c r="R9" s="10"/>
      <c r="V9" s="10"/>
      <c r="W9" s="10"/>
      <c r="X9" s="10"/>
      <c r="Y9" s="10"/>
      <c r="AC9" s="10"/>
      <c r="AD9" s="10"/>
      <c r="AE9" s="10"/>
      <c r="AF9" s="10"/>
      <c r="AJ9" s="10"/>
      <c r="AK9" s="10"/>
      <c r="AL9" s="10"/>
      <c r="AM9" s="10"/>
      <c r="AQ9" s="10"/>
      <c r="AR9" s="10"/>
      <c r="AS9" s="10"/>
      <c r="AT9" s="10"/>
      <c r="AX9" s="10"/>
      <c r="AY9" s="10">
        <v>0.5</v>
      </c>
      <c r="AZ9" s="10"/>
      <c r="BA9" s="10">
        <v>0.5</v>
      </c>
      <c r="BE9" s="10"/>
      <c r="BF9" s="10">
        <v>0.5</v>
      </c>
      <c r="BG9" s="10"/>
      <c r="BH9" s="10">
        <v>0.5</v>
      </c>
      <c r="BL9" s="10"/>
      <c r="BM9" s="10">
        <v>0.5</v>
      </c>
      <c r="BN9" s="10"/>
      <c r="BO9" s="10">
        <v>0.5</v>
      </c>
      <c r="BS9" s="10"/>
      <c r="BT9" s="10">
        <v>0.5</v>
      </c>
      <c r="BU9" s="10"/>
      <c r="BV9" s="10">
        <v>0.5</v>
      </c>
      <c r="BZ9" s="10"/>
      <c r="CA9" s="10">
        <v>0.8</v>
      </c>
      <c r="CB9" s="10"/>
      <c r="CC9" s="10">
        <v>0.8</v>
      </c>
      <c r="CG9" s="10"/>
      <c r="CH9" s="10">
        <v>0.8</v>
      </c>
      <c r="CI9" s="10"/>
      <c r="CJ9" s="10">
        <v>0.8</v>
      </c>
      <c r="CN9" s="10"/>
      <c r="CO9" s="10">
        <v>0.8</v>
      </c>
      <c r="CP9" s="10"/>
      <c r="CQ9" s="10">
        <v>0.8</v>
      </c>
      <c r="CU9" s="10"/>
      <c r="CV9" s="10">
        <v>1</v>
      </c>
      <c r="CW9" s="10"/>
      <c r="CX9" s="10">
        <v>1</v>
      </c>
      <c r="DB9" s="10"/>
      <c r="DC9" s="10"/>
      <c r="DD9" s="10"/>
      <c r="DE9" s="10"/>
      <c r="DI9" s="10"/>
      <c r="DJ9" s="10"/>
      <c r="DK9" s="10"/>
      <c r="DL9" s="10"/>
      <c r="DP9" s="10"/>
      <c r="DQ9" s="10"/>
      <c r="DR9" s="10"/>
      <c r="DS9" s="10"/>
    </row>
    <row r="10" spans="2:124" outlineLevel="1">
      <c r="B10" t="s">
        <v>28</v>
      </c>
      <c r="C10" t="s">
        <v>96</v>
      </c>
      <c r="E10" s="9"/>
      <c r="F10" t="s">
        <v>102</v>
      </c>
      <c r="G10" s="10">
        <v>0.1</v>
      </c>
      <c r="I10" s="9">
        <f t="shared" si="0"/>
        <v>0</v>
      </c>
      <c r="J10" s="11" cm="1">
        <f t="array" ref="J10">MAX(IF($N$3:$EA$3=$J$3,N10:EA10))</f>
        <v>0</v>
      </c>
      <c r="K10" s="11" cm="1">
        <f t="array" ref="K10">MAX(IF($N$3:$EA$3=$J$3,N10:EA10))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v>0.5</v>
      </c>
      <c r="BG10" s="10"/>
      <c r="BH10" s="10">
        <v>0.5</v>
      </c>
      <c r="BL10" s="10"/>
      <c r="BM10" s="10">
        <v>0.5</v>
      </c>
      <c r="BN10" s="10"/>
      <c r="BO10" s="10">
        <v>0.5</v>
      </c>
      <c r="BS10" s="10"/>
      <c r="BT10" s="10">
        <v>0.5</v>
      </c>
      <c r="BU10" s="10"/>
      <c r="BV10" s="10">
        <v>0.5</v>
      </c>
      <c r="BZ10" s="10"/>
      <c r="CA10" s="10">
        <v>0.8</v>
      </c>
      <c r="CB10" s="10"/>
      <c r="CC10" s="10">
        <v>0.8</v>
      </c>
      <c r="CG10" s="10"/>
      <c r="CH10" s="10">
        <v>0.8</v>
      </c>
      <c r="CI10" s="10"/>
      <c r="CJ10" s="10">
        <v>0.8</v>
      </c>
      <c r="CN10" s="10"/>
      <c r="CO10" s="10">
        <v>0.8</v>
      </c>
      <c r="CP10" s="10"/>
      <c r="CQ10" s="10">
        <v>0.8</v>
      </c>
      <c r="CU10" s="10"/>
      <c r="CV10" s="10">
        <v>1</v>
      </c>
      <c r="CW10" s="10"/>
      <c r="CX10" s="10">
        <v>1</v>
      </c>
      <c r="DB10" s="10"/>
      <c r="DC10" s="10"/>
      <c r="DD10" s="10"/>
      <c r="DE10" s="10"/>
      <c r="DI10" s="10"/>
      <c r="DJ10" s="10"/>
      <c r="DK10" s="10"/>
      <c r="DL10" s="10"/>
      <c r="DP10" s="10"/>
      <c r="DQ10" s="10"/>
      <c r="DR10" s="10"/>
      <c r="DS10" s="10"/>
    </row>
    <row r="12" spans="2:124">
      <c r="B12" t="s">
        <v>27</v>
      </c>
      <c r="C12" t="s">
        <v>103</v>
      </c>
      <c r="D12" s="19">
        <v>45133</v>
      </c>
      <c r="E12" s="9">
        <v>6</v>
      </c>
      <c r="G12" s="10">
        <f>+SUM(G13:G21)</f>
        <v>1.2</v>
      </c>
      <c r="I12" s="12">
        <f>+SUM(I13:I21)</f>
        <v>7</v>
      </c>
      <c r="J12" s="11">
        <f>+SUMPRODUCT(G13:G21,J13:J21)</f>
        <v>0</v>
      </c>
      <c r="K12" s="11">
        <f>+SUMPRODUCT(G13:G21,K13:K21)</f>
        <v>0</v>
      </c>
      <c r="L12" s="9"/>
      <c r="N12" s="12">
        <f>+SUM(N13:N21)</f>
        <v>7</v>
      </c>
      <c r="U12" s="12">
        <f>+SUM(U13:U21)</f>
        <v>0</v>
      </c>
      <c r="AB12" s="12">
        <f>+SUM(AB13:AB21)</f>
        <v>0</v>
      </c>
      <c r="AI12" s="12">
        <f>+SUM(AI13:AI21)</f>
        <v>0</v>
      </c>
      <c r="AP12" s="12">
        <f>+SUM(AP13:AP21)</f>
        <v>0</v>
      </c>
    </row>
    <row r="13" spans="2:124" outlineLevel="1">
      <c r="B13" t="s">
        <v>28</v>
      </c>
      <c r="C13" t="s">
        <v>103</v>
      </c>
      <c r="E13" s="9"/>
      <c r="F13" t="s">
        <v>126</v>
      </c>
      <c r="G13" s="10">
        <v>0.1</v>
      </c>
      <c r="I13" s="9">
        <f t="shared" ref="I13:I18" si="1">+SUMIF($N$3:$ZS$3,I$3,$N13:$ZS13)</f>
        <v>7</v>
      </c>
      <c r="J13" s="11" cm="1">
        <f t="array" ref="J13">MAX(IF($N$3:$EA$3=$J$3,N13:EA13))</f>
        <v>0</v>
      </c>
      <c r="K13" s="11" cm="1">
        <f t="array" ref="K13">MAX(IF($N$3:$EA$3=$J$3,N13:EA13))</f>
        <v>0</v>
      </c>
      <c r="L13" s="9"/>
      <c r="N13">
        <v>7</v>
      </c>
      <c r="O13" s="10"/>
      <c r="P13" s="10"/>
      <c r="Q13" s="10"/>
      <c r="R13" s="10"/>
      <c r="V13" s="10"/>
      <c r="W13" s="10"/>
      <c r="X13" s="10"/>
      <c r="Y13" s="10"/>
      <c r="AC13" s="10"/>
      <c r="AD13" s="10">
        <v>0.5</v>
      </c>
      <c r="AE13" s="10"/>
      <c r="AF13" s="10">
        <v>0.5</v>
      </c>
      <c r="AJ13" s="10"/>
      <c r="AK13" s="10">
        <v>0.5</v>
      </c>
      <c r="AL13" s="10"/>
      <c r="AM13" s="10">
        <v>0.5</v>
      </c>
      <c r="AQ13" s="10"/>
      <c r="AR13" s="10">
        <v>0.8</v>
      </c>
      <c r="AS13" s="10"/>
      <c r="AT13" s="10">
        <v>0.8</v>
      </c>
      <c r="AX13" s="10"/>
      <c r="AY13" s="10">
        <v>0.8</v>
      </c>
      <c r="AZ13" s="10"/>
      <c r="BA13" s="10">
        <v>0.8</v>
      </c>
      <c r="BE13" s="10"/>
      <c r="BF13" s="10">
        <v>0.8</v>
      </c>
      <c r="BG13" s="10"/>
      <c r="BH13" s="10">
        <v>0.8</v>
      </c>
      <c r="BL13" s="10"/>
      <c r="BM13" s="10">
        <v>0.8</v>
      </c>
      <c r="BN13" s="10"/>
      <c r="BO13" s="10">
        <v>0.8</v>
      </c>
      <c r="BS13" s="10"/>
      <c r="BT13" s="10">
        <v>1</v>
      </c>
      <c r="BU13" s="10"/>
      <c r="BV13" s="10">
        <v>1</v>
      </c>
      <c r="BZ13" s="10"/>
      <c r="CA13" s="10">
        <v>1</v>
      </c>
      <c r="CB13" s="10"/>
      <c r="CC13" s="10">
        <v>1</v>
      </c>
      <c r="CG13" s="10"/>
      <c r="CH13" s="10">
        <v>1</v>
      </c>
      <c r="CI13" s="10"/>
      <c r="CJ13" s="10">
        <v>1</v>
      </c>
      <c r="CN13" s="10"/>
      <c r="CO13" s="10">
        <v>1</v>
      </c>
      <c r="CP13" s="10"/>
      <c r="CQ13" s="10">
        <v>1</v>
      </c>
      <c r="CU13" s="10"/>
      <c r="CV13" s="10">
        <v>1</v>
      </c>
      <c r="CW13" s="10"/>
      <c r="CX13" s="10">
        <v>1</v>
      </c>
      <c r="DB13" s="10"/>
      <c r="DC13" s="10"/>
      <c r="DD13" s="10"/>
      <c r="DE13" s="10"/>
      <c r="DI13" s="10"/>
      <c r="DJ13" s="10"/>
      <c r="DK13" s="10"/>
      <c r="DL13" s="10"/>
      <c r="DP13" s="10"/>
      <c r="DQ13" s="10"/>
      <c r="DR13" s="10"/>
      <c r="DS13" s="10"/>
    </row>
    <row r="14" spans="2:124" outlineLevel="1">
      <c r="B14" t="s">
        <v>28</v>
      </c>
      <c r="C14" t="s">
        <v>103</v>
      </c>
      <c r="E14" s="9"/>
      <c r="F14" t="s">
        <v>104</v>
      </c>
      <c r="G14" s="10">
        <v>0.2</v>
      </c>
      <c r="I14" s="9">
        <f t="shared" si="1"/>
        <v>0</v>
      </c>
      <c r="J14" s="11" cm="1">
        <f t="array" ref="J14">MAX(IF($N$3:$EA$3=$J$3,N14:EA14))</f>
        <v>0</v>
      </c>
      <c r="K14" s="11" cm="1">
        <f t="array" ref="K14">MAX(IF($N$3:$EA$3=$J$3,N14:EA14))</f>
        <v>0</v>
      </c>
      <c r="L14" s="9"/>
      <c r="O14" s="10"/>
      <c r="P14" s="10"/>
      <c r="Q14" s="10"/>
      <c r="R14" s="10"/>
      <c r="V14" s="10"/>
      <c r="W14" s="10"/>
      <c r="X14" s="10"/>
      <c r="Y14" s="10"/>
      <c r="AC14" s="10"/>
      <c r="AD14" s="10">
        <v>0.5</v>
      </c>
      <c r="AE14" s="10"/>
      <c r="AF14" s="10">
        <v>0.5</v>
      </c>
      <c r="AJ14" s="10"/>
      <c r="AK14" s="10">
        <v>0.5</v>
      </c>
      <c r="AL14" s="10"/>
      <c r="AM14" s="10">
        <v>0.5</v>
      </c>
      <c r="AQ14" s="10"/>
      <c r="AR14" s="10">
        <v>0.5</v>
      </c>
      <c r="AS14" s="10"/>
      <c r="AT14" s="10">
        <v>0.5</v>
      </c>
      <c r="AX14" s="10"/>
      <c r="AY14" s="10">
        <v>0.8</v>
      </c>
      <c r="AZ14" s="10"/>
      <c r="BA14" s="10">
        <v>0.8</v>
      </c>
      <c r="BE14" s="10"/>
      <c r="BF14" s="10">
        <v>0.8</v>
      </c>
      <c r="BG14" s="10"/>
      <c r="BH14" s="10">
        <v>0.8</v>
      </c>
      <c r="BL14" s="10"/>
      <c r="BM14" s="10">
        <v>0.8</v>
      </c>
      <c r="BN14" s="10"/>
      <c r="BO14" s="10">
        <v>0.8</v>
      </c>
      <c r="BS14" s="10"/>
      <c r="BT14" s="10">
        <v>0.8</v>
      </c>
      <c r="BU14" s="10"/>
      <c r="BV14" s="10">
        <v>0.8</v>
      </c>
      <c r="BZ14" s="10"/>
      <c r="CA14" s="10">
        <v>1</v>
      </c>
      <c r="CB14" s="10"/>
      <c r="CC14" s="10">
        <v>1</v>
      </c>
      <c r="CG14" s="10"/>
      <c r="CH14" s="10">
        <v>1</v>
      </c>
      <c r="CI14" s="10"/>
      <c r="CJ14" s="10">
        <v>1</v>
      </c>
      <c r="CN14" s="10"/>
      <c r="CO14" s="10">
        <v>1</v>
      </c>
      <c r="CP14" s="10"/>
      <c r="CQ14" s="10">
        <v>1</v>
      </c>
      <c r="CU14" s="10"/>
      <c r="CV14" s="10">
        <v>1</v>
      </c>
      <c r="CW14" s="10"/>
      <c r="CX14" s="10">
        <v>1</v>
      </c>
      <c r="DB14" s="10"/>
      <c r="DC14" s="10"/>
      <c r="DD14" s="10"/>
      <c r="DE14" s="10"/>
      <c r="DI14" s="10"/>
      <c r="DJ14" s="10"/>
      <c r="DK14" s="10"/>
      <c r="DL14" s="10"/>
      <c r="DP14" s="10"/>
      <c r="DQ14" s="10"/>
      <c r="DR14" s="10"/>
      <c r="DS14" s="10"/>
    </row>
    <row r="15" spans="2:124" outlineLevel="1">
      <c r="B15" t="s">
        <v>28</v>
      </c>
      <c r="C15" t="s">
        <v>103</v>
      </c>
      <c r="E15" s="9"/>
      <c r="F15" t="s">
        <v>127</v>
      </c>
      <c r="G15" s="10">
        <v>0.2</v>
      </c>
      <c r="I15" s="9">
        <f t="shared" si="1"/>
        <v>0</v>
      </c>
      <c r="J15" s="11" cm="1">
        <f t="array" ref="J15">MAX(IF($N$3:$EA$3=$J$3,N15:EA15))</f>
        <v>0</v>
      </c>
      <c r="K15" s="11" cm="1">
        <f t="array" ref="K15">MAX(IF($N$3:$EA$3=$J$3,N15:EA15))</f>
        <v>0</v>
      </c>
      <c r="L15" s="9"/>
      <c r="O15" s="10"/>
      <c r="P15" s="10"/>
      <c r="Q15" s="10"/>
      <c r="R15" s="10"/>
      <c r="V15" s="10"/>
      <c r="W15" s="10"/>
      <c r="X15" s="10"/>
      <c r="Y15" s="10"/>
      <c r="AC15" s="10"/>
      <c r="AD15" s="10">
        <v>0.5</v>
      </c>
      <c r="AE15" s="10"/>
      <c r="AF15" s="10">
        <v>0.5</v>
      </c>
      <c r="AJ15" s="10"/>
      <c r="AK15" s="10">
        <v>0.5</v>
      </c>
      <c r="AL15" s="10"/>
      <c r="AM15" s="10">
        <v>0.5</v>
      </c>
      <c r="AQ15" s="10"/>
      <c r="AR15" s="10">
        <v>0.5</v>
      </c>
      <c r="AS15" s="10"/>
      <c r="AT15" s="10">
        <v>0.5</v>
      </c>
      <c r="AX15" s="10"/>
      <c r="AY15" s="10">
        <v>0.8</v>
      </c>
      <c r="AZ15" s="10"/>
      <c r="BA15" s="10">
        <v>0.8</v>
      </c>
      <c r="BE15" s="10"/>
      <c r="BF15" s="10">
        <v>0.8</v>
      </c>
      <c r="BG15" s="10"/>
      <c r="BH15" s="10">
        <v>0.8</v>
      </c>
      <c r="BL15" s="10"/>
      <c r="BM15" s="10">
        <v>0.8</v>
      </c>
      <c r="BN15" s="10"/>
      <c r="BO15" s="10">
        <v>0.8</v>
      </c>
      <c r="BS15" s="10"/>
      <c r="BT15" s="10">
        <v>0.8</v>
      </c>
      <c r="BU15" s="10"/>
      <c r="BV15" s="10">
        <v>0.8</v>
      </c>
      <c r="BZ15" s="10"/>
      <c r="CA15" s="10">
        <v>1</v>
      </c>
      <c r="CB15" s="10"/>
      <c r="CC15" s="10">
        <v>1</v>
      </c>
      <c r="CG15" s="10"/>
      <c r="CH15" s="10">
        <v>1</v>
      </c>
      <c r="CI15" s="10"/>
      <c r="CJ15" s="10">
        <v>1</v>
      </c>
      <c r="CN15" s="10"/>
      <c r="CO15" s="10">
        <v>1</v>
      </c>
      <c r="CP15" s="10"/>
      <c r="CQ15" s="10">
        <v>1</v>
      </c>
      <c r="CU15" s="10"/>
      <c r="CV15" s="10">
        <v>1</v>
      </c>
      <c r="CW15" s="10"/>
      <c r="CX15" s="10">
        <v>1</v>
      </c>
      <c r="DB15" s="10"/>
      <c r="DC15" s="10"/>
      <c r="DD15" s="10"/>
      <c r="DE15" s="10"/>
      <c r="DI15" s="10"/>
      <c r="DJ15" s="10"/>
      <c r="DK15" s="10"/>
      <c r="DL15" s="10"/>
      <c r="DP15" s="10"/>
      <c r="DQ15" s="10"/>
      <c r="DR15" s="10"/>
      <c r="DS15" s="10"/>
    </row>
    <row r="16" spans="2:124" outlineLevel="1">
      <c r="B16" t="s">
        <v>28</v>
      </c>
      <c r="C16" t="s">
        <v>103</v>
      </c>
      <c r="E16" s="9"/>
      <c r="F16" t="s">
        <v>128</v>
      </c>
      <c r="G16" s="10">
        <v>0.15</v>
      </c>
      <c r="I16" s="9">
        <f t="shared" si="1"/>
        <v>0</v>
      </c>
      <c r="J16" s="11" cm="1">
        <f t="array" ref="J16">MAX(IF($N$3:$EA$3=$J$3,N16:EA16))</f>
        <v>0</v>
      </c>
      <c r="K16" s="11" cm="1">
        <f t="array" ref="K16">MAX(IF($N$3:$EA$3=$J$3,N16:EA16))</f>
        <v>0</v>
      </c>
      <c r="L16" s="9"/>
      <c r="O16" s="10"/>
      <c r="P16" s="10"/>
      <c r="Q16" s="10"/>
      <c r="R16" s="10"/>
      <c r="V16" s="10"/>
      <c r="W16" s="10"/>
      <c r="X16" s="10"/>
      <c r="Y16" s="10"/>
      <c r="AC16" s="10"/>
      <c r="AD16" s="10"/>
      <c r="AE16" s="10"/>
      <c r="AF16" s="10"/>
      <c r="AJ16" s="10"/>
      <c r="AK16" s="10">
        <v>0.5</v>
      </c>
      <c r="AL16" s="10"/>
      <c r="AM16" s="10">
        <v>0.5</v>
      </c>
      <c r="AQ16" s="10"/>
      <c r="AR16" s="10">
        <v>0.5</v>
      </c>
      <c r="AS16" s="10"/>
      <c r="AT16" s="10">
        <v>0.5</v>
      </c>
      <c r="AX16" s="10"/>
      <c r="AY16" s="10">
        <v>0.8</v>
      </c>
      <c r="AZ16" s="10"/>
      <c r="BA16" s="10">
        <v>0.8</v>
      </c>
      <c r="BE16" s="10"/>
      <c r="BF16" s="10">
        <v>0.8</v>
      </c>
      <c r="BG16" s="10"/>
      <c r="BH16" s="10">
        <v>0.8</v>
      </c>
      <c r="BL16" s="10"/>
      <c r="BM16" s="10">
        <v>0.8</v>
      </c>
      <c r="BN16" s="10"/>
      <c r="BO16" s="10">
        <v>0.8</v>
      </c>
      <c r="BS16" s="10"/>
      <c r="BT16" s="10">
        <v>0.8</v>
      </c>
      <c r="BU16" s="10"/>
      <c r="BV16" s="10">
        <v>0.8</v>
      </c>
      <c r="BZ16" s="10"/>
      <c r="CA16" s="10">
        <v>0.8</v>
      </c>
      <c r="CB16" s="10"/>
      <c r="CC16" s="10">
        <v>0.8</v>
      </c>
      <c r="CG16" s="10"/>
      <c r="CH16" s="10">
        <v>1</v>
      </c>
      <c r="CI16" s="10"/>
      <c r="CJ16" s="10">
        <v>1</v>
      </c>
      <c r="CN16" s="10"/>
      <c r="CO16" s="10">
        <v>1</v>
      </c>
      <c r="CP16" s="10"/>
      <c r="CQ16" s="10">
        <v>1</v>
      </c>
      <c r="CU16" s="10"/>
      <c r="CV16" s="10">
        <v>1</v>
      </c>
      <c r="CW16" s="10"/>
      <c r="CX16" s="10">
        <v>1</v>
      </c>
      <c r="DB16" s="10"/>
      <c r="DC16" s="10"/>
      <c r="DD16" s="10"/>
      <c r="DE16" s="10"/>
      <c r="DI16" s="10"/>
      <c r="DJ16" s="10"/>
      <c r="DK16" s="10"/>
      <c r="DL16" s="10"/>
      <c r="DP16" s="10"/>
      <c r="DQ16" s="10"/>
      <c r="DR16" s="10"/>
      <c r="DS16" s="10"/>
    </row>
    <row r="17" spans="2:123" outlineLevel="1">
      <c r="B17" t="s">
        <v>28</v>
      </c>
      <c r="C17" t="s">
        <v>103</v>
      </c>
      <c r="E17" s="9"/>
      <c r="F17" t="s">
        <v>129</v>
      </c>
      <c r="G17" s="10">
        <v>0.15</v>
      </c>
      <c r="I17" s="9">
        <f t="shared" si="1"/>
        <v>0</v>
      </c>
      <c r="J17" s="11" cm="1">
        <f t="array" ref="J17">MAX(IF($N$3:$EA$3=$J$3,N17:EA17))</f>
        <v>0</v>
      </c>
      <c r="K17" s="11" cm="1">
        <f t="array" ref="K17">MAX(IF($N$3:$EA$3=$J$3,N17:EA17))</f>
        <v>0</v>
      </c>
      <c r="L17" s="9"/>
      <c r="O17" s="10"/>
      <c r="P17" s="10"/>
      <c r="Q17" s="10"/>
      <c r="R17" s="10"/>
      <c r="V17" s="10"/>
      <c r="W17" s="10"/>
      <c r="X17" s="10"/>
      <c r="Y17" s="10"/>
      <c r="AC17" s="10"/>
      <c r="AD17" s="10"/>
      <c r="AE17" s="10"/>
      <c r="AF17" s="10"/>
      <c r="AJ17" s="10"/>
      <c r="AK17" s="10">
        <v>0.5</v>
      </c>
      <c r="AL17" s="10"/>
      <c r="AM17" s="10">
        <v>0.5</v>
      </c>
      <c r="AQ17" s="10"/>
      <c r="AR17" s="10">
        <v>0.5</v>
      </c>
      <c r="AS17" s="10"/>
      <c r="AT17" s="10">
        <v>0.5</v>
      </c>
      <c r="AX17" s="10"/>
      <c r="AY17" s="10">
        <v>0.5</v>
      </c>
      <c r="AZ17" s="10"/>
      <c r="BA17" s="10">
        <v>0.5</v>
      </c>
      <c r="BE17" s="10"/>
      <c r="BF17" s="10">
        <v>0.8</v>
      </c>
      <c r="BG17" s="10"/>
      <c r="BH17" s="10">
        <v>0.8</v>
      </c>
      <c r="BL17" s="10"/>
      <c r="BM17" s="10">
        <v>0.8</v>
      </c>
      <c r="BN17" s="10"/>
      <c r="BO17" s="10">
        <v>0.8</v>
      </c>
      <c r="BS17" s="10"/>
      <c r="BT17" s="10">
        <v>0.8</v>
      </c>
      <c r="BU17" s="10"/>
      <c r="BV17" s="10">
        <v>0.8</v>
      </c>
      <c r="BZ17" s="10"/>
      <c r="CA17" s="10">
        <v>0.8</v>
      </c>
      <c r="CB17" s="10"/>
      <c r="CC17" s="10">
        <v>0.8</v>
      </c>
      <c r="CG17" s="10"/>
      <c r="CH17" s="10">
        <v>1</v>
      </c>
      <c r="CI17" s="10"/>
      <c r="CJ17" s="10">
        <v>1</v>
      </c>
      <c r="CN17" s="10"/>
      <c r="CO17" s="10">
        <v>1</v>
      </c>
      <c r="CP17" s="10"/>
      <c r="CQ17" s="10">
        <v>1</v>
      </c>
      <c r="CU17" s="10"/>
      <c r="CV17" s="10">
        <v>1</v>
      </c>
      <c r="CW17" s="10"/>
      <c r="CX17" s="10">
        <v>1</v>
      </c>
      <c r="DB17" s="10"/>
      <c r="DC17" s="10"/>
      <c r="DD17" s="10"/>
      <c r="DE17" s="10"/>
      <c r="DI17" s="10"/>
      <c r="DJ17" s="10"/>
      <c r="DK17" s="10"/>
      <c r="DL17" s="10"/>
      <c r="DP17" s="10"/>
      <c r="DQ17" s="10"/>
      <c r="DR17" s="10"/>
      <c r="DS17" s="10"/>
    </row>
    <row r="18" spans="2:123" outlineLevel="1">
      <c r="B18" t="s">
        <v>28</v>
      </c>
      <c r="C18" t="s">
        <v>103</v>
      </c>
      <c r="E18" s="9"/>
      <c r="F18" t="s">
        <v>130</v>
      </c>
      <c r="G18" s="10">
        <v>0.2</v>
      </c>
      <c r="I18" s="9">
        <f t="shared" si="1"/>
        <v>0</v>
      </c>
      <c r="J18" s="11" cm="1">
        <f t="array" ref="J18">MAX(IF($N$3:$EA$3=$J$3,N18:EA18))</f>
        <v>0</v>
      </c>
      <c r="K18" s="11" cm="1">
        <f t="array" ref="K18">MAX(IF($N$3:$EA$3=$J$3,N18:EA18))</f>
        <v>0</v>
      </c>
      <c r="L18" s="9"/>
      <c r="O18" s="10"/>
      <c r="P18" s="10"/>
      <c r="Q18" s="10"/>
      <c r="R18" s="10"/>
      <c r="V18" s="10"/>
      <c r="W18" s="10"/>
      <c r="X18" s="10"/>
      <c r="Y18" s="10"/>
      <c r="AC18" s="10"/>
      <c r="AD18" s="10"/>
      <c r="AE18" s="10"/>
      <c r="AF18" s="10"/>
      <c r="AJ18" s="10"/>
      <c r="AK18" s="10">
        <v>0.5</v>
      </c>
      <c r="AL18" s="10"/>
      <c r="AM18" s="10">
        <v>0.5</v>
      </c>
      <c r="AQ18" s="10"/>
      <c r="AR18" s="10">
        <v>0.5</v>
      </c>
      <c r="AS18" s="10"/>
      <c r="AT18" s="10">
        <v>0.5</v>
      </c>
      <c r="AX18" s="10"/>
      <c r="AY18" s="10">
        <v>0.5</v>
      </c>
      <c r="AZ18" s="10"/>
      <c r="BA18" s="10">
        <v>0.5</v>
      </c>
      <c r="BE18" s="10"/>
      <c r="BF18" s="10">
        <v>0.8</v>
      </c>
      <c r="BG18" s="10"/>
      <c r="BH18" s="10">
        <v>0.8</v>
      </c>
      <c r="BL18" s="10"/>
      <c r="BM18" s="10">
        <v>0.8</v>
      </c>
      <c r="BN18" s="10"/>
      <c r="BO18" s="10">
        <v>0.8</v>
      </c>
      <c r="BS18" s="10"/>
      <c r="BT18" s="10">
        <v>0.8</v>
      </c>
      <c r="BU18" s="10"/>
      <c r="BV18" s="10">
        <v>0.8</v>
      </c>
      <c r="BZ18" s="10"/>
      <c r="CA18" s="10">
        <v>0.8</v>
      </c>
      <c r="CB18" s="10"/>
      <c r="CC18" s="10">
        <v>0.8</v>
      </c>
      <c r="CG18" s="10"/>
      <c r="CH18" s="10">
        <v>0.8</v>
      </c>
      <c r="CI18" s="10"/>
      <c r="CJ18" s="10">
        <v>0.8</v>
      </c>
      <c r="CN18" s="10"/>
      <c r="CO18" s="10">
        <v>1</v>
      </c>
      <c r="CP18" s="10"/>
      <c r="CQ18" s="10">
        <v>1</v>
      </c>
      <c r="CU18" s="10"/>
      <c r="CV18" s="10">
        <v>1</v>
      </c>
      <c r="CW18" s="10"/>
      <c r="CX18" s="10">
        <v>1</v>
      </c>
      <c r="DB18" s="10"/>
      <c r="DC18" s="10"/>
      <c r="DD18" s="10"/>
      <c r="DE18" s="10"/>
      <c r="DI18" s="10"/>
      <c r="DJ18" s="10"/>
      <c r="DK18" s="10"/>
      <c r="DL18" s="10"/>
      <c r="DP18" s="10"/>
      <c r="DQ18" s="10"/>
      <c r="DR18" s="10"/>
      <c r="DS18" s="10"/>
    </row>
    <row r="19" spans="2:123" outlineLevel="1">
      <c r="B19" t="s">
        <v>28</v>
      </c>
      <c r="C19" t="s">
        <v>103</v>
      </c>
      <c r="E19" s="9"/>
      <c r="F19" t="s">
        <v>131</v>
      </c>
      <c r="G19" s="10"/>
      <c r="I19" s="9"/>
      <c r="J19" s="11"/>
      <c r="K19" s="11"/>
      <c r="L19" s="9"/>
      <c r="O19" s="10"/>
      <c r="P19" s="10"/>
      <c r="Q19" s="10"/>
      <c r="R19" s="10"/>
      <c r="V19" s="10"/>
      <c r="W19" s="10"/>
      <c r="X19" s="10"/>
      <c r="Y19" s="10"/>
      <c r="AC19" s="10"/>
      <c r="AD19" s="10"/>
      <c r="AE19" s="10"/>
      <c r="AF19" s="10"/>
      <c r="AJ19" s="10"/>
      <c r="AK19" s="10">
        <v>0.5</v>
      </c>
      <c r="AL19" s="10"/>
      <c r="AM19" s="10">
        <v>0.5</v>
      </c>
      <c r="AQ19" s="10"/>
      <c r="AR19" s="10">
        <v>0.5</v>
      </c>
      <c r="AS19" s="10"/>
      <c r="AT19" s="10">
        <v>0.5</v>
      </c>
      <c r="AX19" s="10"/>
      <c r="AY19" s="10">
        <v>0.5</v>
      </c>
      <c r="AZ19" s="10"/>
      <c r="BA19" s="10">
        <v>0.5</v>
      </c>
      <c r="BE19" s="10"/>
      <c r="BF19" s="10">
        <v>0.8</v>
      </c>
      <c r="BG19" s="10"/>
      <c r="BH19" s="10">
        <v>0.8</v>
      </c>
      <c r="BL19" s="10"/>
      <c r="BM19" s="10">
        <v>0.8</v>
      </c>
      <c r="BN19" s="10"/>
      <c r="BO19" s="10">
        <v>0.8</v>
      </c>
      <c r="BS19" s="10"/>
      <c r="BT19" s="10">
        <v>0.8</v>
      </c>
      <c r="BU19" s="10"/>
      <c r="BV19" s="10">
        <v>0.8</v>
      </c>
      <c r="BZ19" s="10"/>
      <c r="CA19" s="10">
        <v>0.8</v>
      </c>
      <c r="CB19" s="10"/>
      <c r="CC19" s="10">
        <v>0.8</v>
      </c>
      <c r="CG19" s="10"/>
      <c r="CH19" s="10">
        <v>0.8</v>
      </c>
      <c r="CI19" s="10"/>
      <c r="CJ19" s="10">
        <v>0.8</v>
      </c>
      <c r="CN19" s="10"/>
      <c r="CO19" s="10">
        <v>1</v>
      </c>
      <c r="CP19" s="10"/>
      <c r="CQ19" s="10">
        <v>1</v>
      </c>
      <c r="CU19" s="10"/>
      <c r="CV19" s="10">
        <v>1</v>
      </c>
      <c r="CW19" s="10"/>
      <c r="CX19" s="10">
        <v>1</v>
      </c>
      <c r="DB19" s="10"/>
      <c r="DC19" s="10"/>
      <c r="DD19" s="10"/>
      <c r="DE19" s="10"/>
      <c r="DI19" s="10"/>
      <c r="DJ19" s="10"/>
      <c r="DK19" s="10"/>
      <c r="DL19" s="10"/>
      <c r="DP19" s="10"/>
      <c r="DQ19" s="10"/>
      <c r="DR19" s="10"/>
      <c r="DS19" s="10"/>
    </row>
    <row r="20" spans="2:123" outlineLevel="1">
      <c r="B20" t="s">
        <v>28</v>
      </c>
      <c r="C20" t="s">
        <v>103</v>
      </c>
      <c r="E20" s="9"/>
      <c r="F20" t="s">
        <v>132</v>
      </c>
      <c r="G20" s="10"/>
      <c r="I20" s="9"/>
      <c r="J20" s="11"/>
      <c r="K20" s="11"/>
      <c r="L20" s="9"/>
      <c r="O20" s="10"/>
      <c r="P20" s="10"/>
      <c r="Q20" s="10"/>
      <c r="R20" s="10"/>
      <c r="V20" s="10"/>
      <c r="W20" s="10"/>
      <c r="X20" s="10"/>
      <c r="Y20" s="10"/>
      <c r="AC20" s="10"/>
      <c r="AD20" s="10"/>
      <c r="AE20" s="10"/>
      <c r="AF20" s="10"/>
      <c r="AJ20" s="10"/>
      <c r="AK20" s="10"/>
      <c r="AL20" s="10"/>
      <c r="AM20" s="10"/>
      <c r="AQ20" s="10"/>
      <c r="AR20" s="10">
        <v>0.5</v>
      </c>
      <c r="AS20" s="10"/>
      <c r="AT20" s="10">
        <v>0.5</v>
      </c>
      <c r="AX20" s="10"/>
      <c r="AY20" s="10">
        <v>0.5</v>
      </c>
      <c r="AZ20" s="10"/>
      <c r="BA20" s="10">
        <v>0.5</v>
      </c>
      <c r="BE20" s="10"/>
      <c r="BF20" s="10">
        <v>0.5</v>
      </c>
      <c r="BG20" s="10"/>
      <c r="BH20" s="10">
        <v>0.5</v>
      </c>
      <c r="BL20" s="10"/>
      <c r="BM20" s="10">
        <v>0.8</v>
      </c>
      <c r="BN20" s="10"/>
      <c r="BO20" s="10">
        <v>0.8</v>
      </c>
      <c r="BS20" s="10"/>
      <c r="BT20" s="10">
        <v>0.8</v>
      </c>
      <c r="BU20" s="10"/>
      <c r="BV20" s="10">
        <v>0.8</v>
      </c>
      <c r="BZ20" s="10"/>
      <c r="CA20" s="10">
        <v>0.8</v>
      </c>
      <c r="CB20" s="10"/>
      <c r="CC20" s="10">
        <v>0.8</v>
      </c>
      <c r="CG20" s="10"/>
      <c r="CH20" s="10">
        <v>0.8</v>
      </c>
      <c r="CI20" s="10"/>
      <c r="CJ20" s="10">
        <v>0.8</v>
      </c>
      <c r="CN20" s="10"/>
      <c r="CO20" s="10">
        <v>0.8</v>
      </c>
      <c r="CP20" s="10"/>
      <c r="CQ20" s="10">
        <v>0.8</v>
      </c>
      <c r="CU20" s="10"/>
      <c r="CV20" s="10">
        <v>1</v>
      </c>
      <c r="CW20" s="10"/>
      <c r="CX20" s="10">
        <v>1</v>
      </c>
      <c r="DB20" s="10"/>
      <c r="DC20" s="10"/>
      <c r="DD20" s="10"/>
      <c r="DE20" s="10"/>
      <c r="DI20" s="10"/>
      <c r="DJ20" s="10"/>
      <c r="DK20" s="10"/>
      <c r="DL20" s="10"/>
      <c r="DP20" s="10"/>
      <c r="DQ20" s="10"/>
      <c r="DR20" s="10"/>
      <c r="DS20" s="10"/>
    </row>
    <row r="21" spans="2:123" outlineLevel="1">
      <c r="B21" t="s">
        <v>28</v>
      </c>
      <c r="C21" t="s">
        <v>103</v>
      </c>
      <c r="E21" s="9"/>
      <c r="F21" t="s">
        <v>133</v>
      </c>
      <c r="G21" s="10">
        <v>0.2</v>
      </c>
      <c r="I21" s="9">
        <f>+SUMIF($N$3:$ZS$3,I$3,$N21:$ZS21)</f>
        <v>0</v>
      </c>
      <c r="J21" s="11" cm="1">
        <f t="array" ref="J21">MAX(IF($N$3:$EA$3=$J$3,N21:EA21))</f>
        <v>0</v>
      </c>
      <c r="K21" s="11" cm="1">
        <f t="array" ref="K21">MAX(IF($N$3:$EA$3=$J$3,N21:EA21))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0.8</v>
      </c>
      <c r="BN21" s="10"/>
      <c r="BO21" s="10">
        <v>0.8</v>
      </c>
      <c r="BS21" s="10"/>
      <c r="BT21" s="10">
        <v>0.8</v>
      </c>
      <c r="BU21" s="10"/>
      <c r="BV21" s="10">
        <v>0.8</v>
      </c>
      <c r="BZ21" s="10"/>
      <c r="CA21" s="10">
        <v>0.8</v>
      </c>
      <c r="CB21" s="10"/>
      <c r="CC21" s="10">
        <v>0.8</v>
      </c>
      <c r="CG21" s="10"/>
      <c r="CH21" s="10">
        <v>0.8</v>
      </c>
      <c r="CI21" s="10"/>
      <c r="CJ21" s="10">
        <v>0.8</v>
      </c>
      <c r="CN21" s="10"/>
      <c r="CO21" s="10">
        <v>0.8</v>
      </c>
      <c r="CP21" s="10"/>
      <c r="CQ21" s="10">
        <v>0.8</v>
      </c>
      <c r="CU21" s="10"/>
      <c r="CV21" s="10">
        <v>1</v>
      </c>
      <c r="CW21" s="10"/>
      <c r="CX21" s="10">
        <v>1</v>
      </c>
      <c r="DB21" s="10"/>
      <c r="DC21" s="10"/>
      <c r="DD21" s="10"/>
      <c r="DE21" s="10"/>
      <c r="DI21" s="10"/>
      <c r="DJ21" s="10"/>
      <c r="DK21" s="10"/>
      <c r="DL21" s="10"/>
      <c r="DP21" s="10"/>
      <c r="DQ21" s="10"/>
      <c r="DR21" s="10"/>
      <c r="DS21" s="10"/>
    </row>
    <row r="22" spans="2:123">
      <c r="AT22" s="10"/>
    </row>
    <row r="23" spans="2:123">
      <c r="B23" t="s">
        <v>27</v>
      </c>
      <c r="C23" t="s">
        <v>106</v>
      </c>
      <c r="D23" s="19">
        <v>45125</v>
      </c>
      <c r="E23" s="9">
        <v>6</v>
      </c>
      <c r="G23" s="10">
        <f>+SUM(G24:G28)</f>
        <v>0.35</v>
      </c>
      <c r="I23" s="12">
        <f>+SUM(I24:I28)</f>
        <v>0</v>
      </c>
      <c r="J23" s="11">
        <f>+SUMPRODUCT(G24:G28,J24:J28)</f>
        <v>0</v>
      </c>
      <c r="K23" s="11">
        <f>+SUMPRODUCT(G24:G28,K24:K28)</f>
        <v>0</v>
      </c>
      <c r="L23" s="9"/>
      <c r="N23" s="12">
        <f>+SUM(N24:N28)</f>
        <v>0</v>
      </c>
      <c r="U23" s="12">
        <f>+SUM(U24:U28)</f>
        <v>0</v>
      </c>
      <c r="AB23" s="12">
        <f>+SUM(AB24:AB28)</f>
        <v>0</v>
      </c>
      <c r="AI23" s="12">
        <f>+SUM(AI24:AI28)</f>
        <v>0</v>
      </c>
      <c r="AP23" s="12">
        <f>+SUM(AP24:AP28)</f>
        <v>0</v>
      </c>
    </row>
    <row r="24" spans="2:123" outlineLevel="1">
      <c r="B24" t="s">
        <v>28</v>
      </c>
      <c r="C24" t="s">
        <v>106</v>
      </c>
      <c r="E24" s="9"/>
      <c r="F24" t="s">
        <v>107</v>
      </c>
      <c r="G24" s="10">
        <v>0.1</v>
      </c>
      <c r="I24" s="9">
        <f>+SUMIF($N$3:$ZS$3,I$3,$N24:$ZS24)</f>
        <v>0</v>
      </c>
      <c r="J24" s="11" cm="1">
        <f t="array" ref="J24">MAX(IF($N$3:$EA$3=$J$3,N24:EA24))</f>
        <v>0</v>
      </c>
      <c r="K24" s="11" cm="1">
        <f t="array" ref="K24">MAX(IF($N$3:$EA$3=$J$3,N24:EA24))</f>
        <v>0</v>
      </c>
      <c r="L24" s="9"/>
      <c r="O24" s="10"/>
      <c r="P24" s="10"/>
      <c r="Q24" s="10"/>
      <c r="R24" s="10"/>
      <c r="V24" s="10"/>
      <c r="W24" s="10">
        <v>0.5</v>
      </c>
      <c r="X24" s="10"/>
      <c r="Y24" s="10">
        <v>0.5</v>
      </c>
      <c r="AC24" s="10"/>
      <c r="AD24" s="10">
        <v>0.5</v>
      </c>
      <c r="AE24" s="10"/>
      <c r="AF24" s="10">
        <v>0.5</v>
      </c>
      <c r="AJ24" s="10"/>
      <c r="AK24" s="10">
        <v>0.5</v>
      </c>
      <c r="AL24" s="10"/>
      <c r="AM24" s="10">
        <v>0.5</v>
      </c>
      <c r="AQ24" s="10"/>
      <c r="AR24" s="10">
        <v>0.5</v>
      </c>
      <c r="AS24" s="10"/>
      <c r="AT24" s="10">
        <v>0.5</v>
      </c>
      <c r="AX24" s="10"/>
      <c r="AY24" s="10">
        <v>0.8</v>
      </c>
      <c r="AZ24" s="10"/>
      <c r="BA24" s="10">
        <v>0.8</v>
      </c>
      <c r="BE24" s="10"/>
      <c r="BF24" s="10">
        <v>0.8</v>
      </c>
      <c r="BG24" s="10"/>
      <c r="BH24" s="10">
        <v>0.8</v>
      </c>
      <c r="BL24" s="10"/>
      <c r="BM24" s="10">
        <v>0.8</v>
      </c>
      <c r="BN24" s="10"/>
      <c r="BO24" s="10">
        <v>0.8</v>
      </c>
      <c r="BS24" s="10"/>
      <c r="BT24" s="10">
        <v>0.8</v>
      </c>
      <c r="BU24" s="10"/>
      <c r="BV24" s="10">
        <v>0.8</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row>
    <row r="25" spans="2:123" outlineLevel="1">
      <c r="B25" t="s">
        <v>28</v>
      </c>
      <c r="C25" t="s">
        <v>106</v>
      </c>
      <c r="E25" s="9"/>
      <c r="F25" t="s">
        <v>108</v>
      </c>
      <c r="G25" s="10">
        <v>0.05</v>
      </c>
      <c r="I25" s="9">
        <f>+SUMIF($N$3:$ZS$3,I$3,$N25:$ZS25)</f>
        <v>0</v>
      </c>
      <c r="J25" s="11" cm="1">
        <f t="array" ref="J25">MAX(IF($N$3:$EA$3=$J$3,N25:EA25))</f>
        <v>0</v>
      </c>
      <c r="K25" s="11" cm="1">
        <f t="array" ref="K25">MAX(IF($N$3:$EA$3=$J$3,N25:EA25))</f>
        <v>0</v>
      </c>
      <c r="L25" s="9"/>
      <c r="O25" s="10"/>
      <c r="P25" s="10"/>
      <c r="Q25" s="10"/>
      <c r="R25" s="10"/>
      <c r="V25" s="10"/>
      <c r="W25" s="10"/>
      <c r="X25" s="10"/>
      <c r="Y25" s="10"/>
      <c r="AC25" s="10"/>
      <c r="AD25" s="10">
        <v>0.5</v>
      </c>
      <c r="AE25" s="10"/>
      <c r="AF25" s="10">
        <v>0.5</v>
      </c>
      <c r="AJ25" s="10"/>
      <c r="AK25" s="10">
        <v>0.5</v>
      </c>
      <c r="AL25" s="10"/>
      <c r="AM25" s="10">
        <v>0.5</v>
      </c>
      <c r="AQ25" s="10"/>
      <c r="AR25" s="10">
        <v>0.5</v>
      </c>
      <c r="AS25" s="10"/>
      <c r="AT25" s="10">
        <v>0.5</v>
      </c>
      <c r="AX25" s="10"/>
      <c r="AY25" s="10">
        <v>0.5</v>
      </c>
      <c r="AZ25" s="10"/>
      <c r="BA25" s="10">
        <v>0.5</v>
      </c>
      <c r="BE25" s="10"/>
      <c r="BF25" s="10">
        <v>0.8</v>
      </c>
      <c r="BG25" s="10"/>
      <c r="BH25" s="10">
        <v>0.8</v>
      </c>
      <c r="BL25" s="10"/>
      <c r="BM25" s="10">
        <v>0.8</v>
      </c>
      <c r="BN25" s="10"/>
      <c r="BO25" s="10">
        <v>0.8</v>
      </c>
      <c r="BS25" s="10"/>
      <c r="BT25" s="10">
        <v>0.8</v>
      </c>
      <c r="BU25" s="10"/>
      <c r="BV25" s="10">
        <v>0.8</v>
      </c>
      <c r="BZ25" s="10"/>
      <c r="CA25" s="10">
        <v>0.8</v>
      </c>
      <c r="CB25" s="10"/>
      <c r="CC25" s="10">
        <v>0.8</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row>
    <row r="26" spans="2:123" outlineLevel="1">
      <c r="B26" t="s">
        <v>28</v>
      </c>
      <c r="C26" t="s">
        <v>106</v>
      </c>
      <c r="E26" s="9"/>
      <c r="F26" t="s">
        <v>109</v>
      </c>
      <c r="G26" s="10">
        <v>0.05</v>
      </c>
      <c r="I26" s="9">
        <f>+SUMIF($N$3:$ZS$3,I$3,$N26:$ZS26)</f>
        <v>0</v>
      </c>
      <c r="J26" s="11" cm="1">
        <f t="array" ref="J26">MAX(IF($N$3:$EA$3=$J$3,N26:EA26))</f>
        <v>0</v>
      </c>
      <c r="K26" s="11" cm="1">
        <f t="array" ref="K26">MAX(IF($N$3:$EA$3=$J$3,N26:EA26))</f>
        <v>0</v>
      </c>
      <c r="L26" s="9"/>
      <c r="O26" s="10"/>
      <c r="P26" s="10"/>
      <c r="Q26" s="10"/>
      <c r="R26" s="10"/>
      <c r="V26" s="10"/>
      <c r="W26" s="10"/>
      <c r="X26" s="10"/>
      <c r="Y26" s="10"/>
      <c r="AC26" s="10"/>
      <c r="AD26" s="10"/>
      <c r="AE26" s="10"/>
      <c r="AF26" s="10"/>
      <c r="AJ26" s="10"/>
      <c r="AK26" s="10">
        <v>0.5</v>
      </c>
      <c r="AL26" s="10"/>
      <c r="AM26" s="10">
        <v>0.5</v>
      </c>
      <c r="AQ26" s="10"/>
      <c r="AR26" s="10">
        <v>0.5</v>
      </c>
      <c r="AS26" s="10"/>
      <c r="AT26" s="10">
        <v>0.5</v>
      </c>
      <c r="AX26" s="10"/>
      <c r="AY26" s="10">
        <v>0.5</v>
      </c>
      <c r="AZ26" s="10"/>
      <c r="BA26" s="10">
        <v>0.5</v>
      </c>
      <c r="BE26" s="10"/>
      <c r="BF26" s="10">
        <v>0.8</v>
      </c>
      <c r="BG26" s="10"/>
      <c r="BH26" s="10">
        <v>0.8</v>
      </c>
      <c r="BL26" s="10"/>
      <c r="BM26" s="10">
        <v>0.8</v>
      </c>
      <c r="BN26" s="10"/>
      <c r="BO26" s="10">
        <v>0.8</v>
      </c>
      <c r="BS26" s="10"/>
      <c r="BT26" s="10">
        <v>0.8</v>
      </c>
      <c r="BU26" s="10"/>
      <c r="BV26" s="10">
        <v>0.8</v>
      </c>
      <c r="BZ26" s="10"/>
      <c r="CA26" s="10">
        <v>0.8</v>
      </c>
      <c r="CB26" s="10"/>
      <c r="CC26" s="10">
        <v>0.8</v>
      </c>
      <c r="CG26" s="10"/>
      <c r="CH26" s="10">
        <v>0.8</v>
      </c>
      <c r="CI26" s="10"/>
      <c r="CJ26" s="10">
        <v>0.8</v>
      </c>
      <c r="CN26" s="10"/>
      <c r="CO26" s="10">
        <v>1</v>
      </c>
      <c r="CP26" s="10"/>
      <c r="CQ26" s="10">
        <v>1</v>
      </c>
      <c r="CU26" s="10"/>
      <c r="CV26" s="10">
        <v>1</v>
      </c>
      <c r="CW26" s="10"/>
      <c r="CX26" s="10">
        <v>1</v>
      </c>
      <c r="DB26" s="10"/>
      <c r="DC26" s="10"/>
      <c r="DD26" s="10"/>
      <c r="DE26" s="10"/>
      <c r="DI26" s="10"/>
      <c r="DJ26" s="10"/>
      <c r="DK26" s="10"/>
      <c r="DL26" s="10"/>
      <c r="DP26" s="10"/>
      <c r="DQ26" s="10"/>
      <c r="DR26" s="10"/>
      <c r="DS26" s="10"/>
    </row>
    <row r="27" spans="2:123" outlineLevel="1">
      <c r="B27" t="s">
        <v>28</v>
      </c>
      <c r="C27" t="s">
        <v>106</v>
      </c>
      <c r="E27" s="9"/>
      <c r="F27" t="s">
        <v>136</v>
      </c>
      <c r="G27" s="10">
        <v>0.05</v>
      </c>
      <c r="I27" s="9">
        <f>+SUMIF($N$3:$ZS$3,I$3,$N27:$ZS27)</f>
        <v>0</v>
      </c>
      <c r="J27" s="11" cm="1">
        <f t="array" ref="J27">MAX(IF($N$3:$EA$3=$J$3,N27:EA27))</f>
        <v>0</v>
      </c>
      <c r="K27" s="11" cm="1">
        <f t="array" ref="K27">MAX(IF($N$3:$EA$3=$J$3,N27:EA27))</f>
        <v>0</v>
      </c>
      <c r="L27" s="9"/>
      <c r="O27" s="10"/>
      <c r="P27" s="10"/>
      <c r="Q27" s="10"/>
      <c r="R27" s="10"/>
      <c r="V27" s="10"/>
      <c r="W27" s="10"/>
      <c r="X27" s="10"/>
      <c r="Y27" s="10"/>
      <c r="AC27" s="10"/>
      <c r="AD27" s="10"/>
      <c r="AE27" s="10"/>
      <c r="AF27" s="10"/>
      <c r="AJ27" s="10"/>
      <c r="AK27" s="10"/>
      <c r="AL27" s="10"/>
      <c r="AM27" s="10"/>
      <c r="AQ27" s="10"/>
      <c r="AR27" s="10">
        <v>0.5</v>
      </c>
      <c r="AS27" s="10"/>
      <c r="AT27" s="10">
        <v>0.5</v>
      </c>
      <c r="AX27" s="10"/>
      <c r="AY27" s="10">
        <v>0.5</v>
      </c>
      <c r="AZ27" s="10"/>
      <c r="BA27" s="10">
        <v>0.5</v>
      </c>
      <c r="BE27" s="10"/>
      <c r="BF27" s="10">
        <v>0.5</v>
      </c>
      <c r="BG27" s="10"/>
      <c r="BH27" s="10">
        <v>0.5</v>
      </c>
      <c r="BL27" s="10"/>
      <c r="BM27" s="10">
        <v>0.8</v>
      </c>
      <c r="BN27" s="10"/>
      <c r="BO27" s="10">
        <v>0.8</v>
      </c>
      <c r="BS27" s="10"/>
      <c r="BT27" s="10">
        <v>0.8</v>
      </c>
      <c r="BU27" s="10"/>
      <c r="BV27" s="10">
        <v>0.8</v>
      </c>
      <c r="BZ27" s="10"/>
      <c r="CA27" s="10">
        <v>0.8</v>
      </c>
      <c r="CB27" s="10"/>
      <c r="CC27" s="10">
        <v>0.8</v>
      </c>
      <c r="CG27" s="10"/>
      <c r="CH27" s="10">
        <v>0.8</v>
      </c>
      <c r="CI27" s="10"/>
      <c r="CJ27" s="10">
        <v>0.8</v>
      </c>
      <c r="CN27" s="10"/>
      <c r="CO27" s="10">
        <v>0.8</v>
      </c>
      <c r="CP27" s="10"/>
      <c r="CQ27" s="10">
        <v>0.8</v>
      </c>
      <c r="CU27" s="10"/>
      <c r="CV27" s="10">
        <v>1</v>
      </c>
      <c r="CW27" s="10"/>
      <c r="CX27" s="10">
        <v>1</v>
      </c>
      <c r="DB27" s="10"/>
      <c r="DC27" s="10"/>
      <c r="DD27" s="10"/>
      <c r="DE27" s="10"/>
      <c r="DI27" s="10"/>
      <c r="DJ27" s="10"/>
      <c r="DK27" s="10"/>
      <c r="DL27" s="10"/>
      <c r="DP27" s="10"/>
      <c r="DQ27" s="10"/>
      <c r="DR27" s="10"/>
      <c r="DS27" s="10"/>
    </row>
    <row r="28" spans="2:123" outlineLevel="1">
      <c r="B28" t="s">
        <v>28</v>
      </c>
      <c r="C28" t="s">
        <v>106</v>
      </c>
      <c r="E28" s="9"/>
      <c r="F28" t="s">
        <v>137</v>
      </c>
      <c r="G28" s="10">
        <v>0.1</v>
      </c>
      <c r="I28" s="9">
        <f>+SUMIF($N$3:$ZS$3,I$3,$N28:$ZS28)</f>
        <v>0</v>
      </c>
      <c r="J28" s="11" cm="1">
        <f t="array" ref="J28">MAX(IF($N$3:$EA$3=$J$3,N28:EA28))</f>
        <v>0</v>
      </c>
      <c r="K28" s="11" cm="1">
        <f t="array" ref="K28">MAX(IF($N$3:$EA$3=$J$3,N28:EA28))</f>
        <v>0</v>
      </c>
      <c r="L28" s="9"/>
      <c r="O28" s="10"/>
      <c r="P28" s="10"/>
      <c r="Q28" s="10"/>
      <c r="R28" s="10"/>
      <c r="V28" s="10"/>
      <c r="W28" s="10"/>
      <c r="X28" s="10"/>
      <c r="Y28" s="10"/>
      <c r="AC28" s="10"/>
      <c r="AD28" s="10"/>
      <c r="AE28" s="10"/>
      <c r="AF28" s="10"/>
      <c r="AJ28" s="10"/>
      <c r="AK28" s="10"/>
      <c r="AL28" s="10"/>
      <c r="AM28" s="10"/>
      <c r="AQ28" s="10"/>
      <c r="AR28" s="10">
        <v>0.5</v>
      </c>
      <c r="AS28" s="10"/>
      <c r="AT28" s="10">
        <v>0.5</v>
      </c>
      <c r="AX28" s="10"/>
      <c r="AY28" s="10">
        <v>0.5</v>
      </c>
      <c r="AZ28" s="10"/>
      <c r="BA28" s="10">
        <v>0.5</v>
      </c>
      <c r="BE28" s="10"/>
      <c r="BF28" s="10">
        <v>0.5</v>
      </c>
      <c r="BG28" s="10"/>
      <c r="BH28" s="10">
        <v>0.5</v>
      </c>
      <c r="BL28" s="10"/>
      <c r="BM28" s="10">
        <v>0.5</v>
      </c>
      <c r="BN28" s="10"/>
      <c r="BO28" s="10">
        <v>0.5</v>
      </c>
      <c r="BS28" s="10"/>
      <c r="BT28" s="10">
        <v>0.8</v>
      </c>
      <c r="BU28" s="10"/>
      <c r="BV28" s="10">
        <v>0.8</v>
      </c>
      <c r="BZ28" s="10"/>
      <c r="CA28" s="10">
        <v>0.8</v>
      </c>
      <c r="CB28" s="10"/>
      <c r="CC28" s="10">
        <v>0.8</v>
      </c>
      <c r="CG28" s="10"/>
      <c r="CH28" s="10">
        <v>0.8</v>
      </c>
      <c r="CI28" s="10"/>
      <c r="CJ28" s="10">
        <v>0.8</v>
      </c>
      <c r="CN28" s="10"/>
      <c r="CO28" s="10">
        <v>0.8</v>
      </c>
      <c r="CP28" s="10"/>
      <c r="CQ28" s="10">
        <v>0.8</v>
      </c>
      <c r="CU28" s="10"/>
      <c r="CV28" s="10">
        <v>1</v>
      </c>
      <c r="CW28" s="10"/>
      <c r="CX28" s="10">
        <v>1</v>
      </c>
      <c r="DB28" s="10"/>
      <c r="DC28" s="10"/>
      <c r="DD28" s="10"/>
      <c r="DE28" s="10"/>
      <c r="DI28" s="10"/>
      <c r="DJ28" s="10"/>
      <c r="DK28" s="10"/>
      <c r="DL28" s="10"/>
      <c r="DP28" s="10"/>
      <c r="DQ28" s="10"/>
      <c r="DR28" s="10"/>
      <c r="DS28" s="10"/>
    </row>
    <row r="29" spans="2:123">
      <c r="CX29" s="10"/>
    </row>
    <row r="30" spans="2:123">
      <c r="B30" t="s">
        <v>27</v>
      </c>
      <c r="C30" t="s">
        <v>110</v>
      </c>
      <c r="D30" s="19">
        <v>45128</v>
      </c>
      <c r="E30" s="9">
        <v>6</v>
      </c>
      <c r="G30" s="10">
        <f>+SUM(G31:G35)</f>
        <v>0.44999999999999996</v>
      </c>
      <c r="I30" s="12">
        <f>+SUM(I31:I35)</f>
        <v>0</v>
      </c>
      <c r="J30" s="11">
        <f>+SUMPRODUCT(G31:G35,J31:J35)</f>
        <v>0</v>
      </c>
      <c r="K30" s="11">
        <f>+SUMPRODUCT(G31:G35,K31:K35)</f>
        <v>0</v>
      </c>
      <c r="L30" s="9"/>
      <c r="N30" s="12">
        <f>+SUM(N31:N35)</f>
        <v>0</v>
      </c>
      <c r="U30" s="12">
        <f>+SUM(U31:U35)</f>
        <v>0</v>
      </c>
      <c r="AB30" s="12">
        <f>+SUM(AB31:AB35)</f>
        <v>0</v>
      </c>
      <c r="AI30" s="12">
        <f>+SUM(AI31:AI35)</f>
        <v>0</v>
      </c>
      <c r="AP30" s="12">
        <f>+SUM(AP31:AP35)</f>
        <v>0</v>
      </c>
    </row>
    <row r="31" spans="2:123" outlineLevel="1">
      <c r="B31" t="s">
        <v>28</v>
      </c>
      <c r="C31" t="s">
        <v>110</v>
      </c>
      <c r="E31" s="9"/>
      <c r="F31" t="s">
        <v>30</v>
      </c>
      <c r="G31" s="10">
        <v>0.1</v>
      </c>
      <c r="I31" s="9">
        <f>+SUMIF($N$3:$ZS$3,I$3,$N31:$ZS31)</f>
        <v>0</v>
      </c>
      <c r="J31" s="11" cm="1">
        <f t="array" ref="J31">MAX(IF($N$3:$EA$3=$J$3,N31:EA31))</f>
        <v>0</v>
      </c>
      <c r="K31" s="11" cm="1">
        <f t="array" ref="K31">MAX(IF($N$3:$EA$3=$J$3,N31:EA31))</f>
        <v>0</v>
      </c>
      <c r="L31" s="9"/>
      <c r="O31" s="10"/>
      <c r="P31" s="10"/>
      <c r="Q31" s="10"/>
      <c r="R31" s="10"/>
      <c r="V31" s="10"/>
      <c r="W31" s="10"/>
      <c r="X31" s="10"/>
      <c r="Y31" s="10"/>
      <c r="AC31" s="10"/>
      <c r="AD31" s="10">
        <v>0.5</v>
      </c>
      <c r="AE31" s="10"/>
      <c r="AF31" s="10">
        <v>0.5</v>
      </c>
      <c r="AJ31" s="10"/>
      <c r="AK31" s="10">
        <v>0.5</v>
      </c>
      <c r="AL31" s="10"/>
      <c r="AM31" s="10">
        <v>0.5</v>
      </c>
      <c r="AQ31" s="10"/>
      <c r="AR31" s="10">
        <v>0.5</v>
      </c>
      <c r="AS31" s="10"/>
      <c r="AT31" s="10">
        <v>0.5</v>
      </c>
      <c r="AX31" s="10"/>
      <c r="AY31" s="10">
        <v>0.5</v>
      </c>
      <c r="AZ31" s="10"/>
      <c r="BA31" s="10">
        <v>0.5</v>
      </c>
      <c r="BE31" s="10"/>
      <c r="BF31" s="10">
        <v>0.8</v>
      </c>
      <c r="BG31" s="10"/>
      <c r="BH31" s="10">
        <v>0.8</v>
      </c>
      <c r="BL31" s="10"/>
      <c r="BM31" s="10">
        <v>0.8</v>
      </c>
      <c r="BN31" s="10"/>
      <c r="BO31" s="10">
        <v>0.8</v>
      </c>
      <c r="BS31" s="10"/>
      <c r="BT31" s="10">
        <v>0.8</v>
      </c>
      <c r="BU31" s="10"/>
      <c r="BV31" s="10">
        <v>0.8</v>
      </c>
      <c r="BZ31" s="10"/>
      <c r="CA31" s="10">
        <v>1</v>
      </c>
      <c r="CB31" s="10"/>
      <c r="CC31" s="10">
        <v>1</v>
      </c>
      <c r="CG31" s="10"/>
      <c r="CH31" s="10">
        <v>1</v>
      </c>
      <c r="CI31" s="10"/>
      <c r="CJ31" s="10">
        <v>1</v>
      </c>
      <c r="CN31" s="10"/>
      <c r="CO31" s="10">
        <v>1</v>
      </c>
      <c r="CP31" s="10"/>
      <c r="CQ31" s="10">
        <v>1</v>
      </c>
      <c r="CU31" s="10"/>
      <c r="CV31" s="10">
        <v>1</v>
      </c>
      <c r="CW31" s="10"/>
      <c r="CX31" s="10">
        <v>1</v>
      </c>
      <c r="DB31" s="10"/>
      <c r="DC31" s="10"/>
      <c r="DD31" s="10"/>
      <c r="DE31" s="10"/>
      <c r="DI31" s="10"/>
      <c r="DJ31" s="10"/>
      <c r="DK31" s="10"/>
      <c r="DL31" s="10"/>
      <c r="DP31" s="10"/>
      <c r="DQ31" s="10"/>
      <c r="DR31" s="10"/>
      <c r="DS31" s="10"/>
    </row>
    <row r="32" spans="2:123" outlineLevel="1">
      <c r="B32" t="s">
        <v>28</v>
      </c>
      <c r="C32" t="s">
        <v>110</v>
      </c>
      <c r="E32" s="9"/>
      <c r="F32" t="s">
        <v>111</v>
      </c>
      <c r="G32" s="10">
        <v>0.05</v>
      </c>
      <c r="I32" s="9">
        <f>+SUMIF($N$3:$ZS$3,I$3,$N32:$ZS32)</f>
        <v>0</v>
      </c>
      <c r="J32" s="11" cm="1">
        <f t="array" ref="J32">MAX(IF($N$3:$EA$3=$J$3,N32:EA32))</f>
        <v>0</v>
      </c>
      <c r="K32" s="11" cm="1">
        <f t="array" ref="K32">MAX(IF($N$3:$EA$3=$J$3,N32:EA32))</f>
        <v>0</v>
      </c>
      <c r="L32" s="9"/>
      <c r="O32" s="10"/>
      <c r="P32" s="10"/>
      <c r="Q32" s="10"/>
      <c r="R32" s="10"/>
      <c r="V32" s="10"/>
      <c r="W32" s="10"/>
      <c r="X32" s="10"/>
      <c r="Y32" s="10"/>
      <c r="AC32" s="10"/>
      <c r="AD32" s="10"/>
      <c r="AE32" s="10"/>
      <c r="AF32" s="10"/>
      <c r="AJ32" s="10"/>
      <c r="AK32" s="10">
        <v>0.5</v>
      </c>
      <c r="AL32" s="10"/>
      <c r="AM32" s="10">
        <v>0.5</v>
      </c>
      <c r="AQ32" s="10"/>
      <c r="AR32" s="10">
        <v>0.5</v>
      </c>
      <c r="AS32" s="10"/>
      <c r="AT32" s="10">
        <v>0.5</v>
      </c>
      <c r="AX32" s="10"/>
      <c r="AY32" s="10">
        <v>0.5</v>
      </c>
      <c r="AZ32" s="10"/>
      <c r="BA32" s="10">
        <v>0.5</v>
      </c>
      <c r="BE32" s="10"/>
      <c r="BF32" s="10">
        <v>0.5</v>
      </c>
      <c r="BG32" s="10"/>
      <c r="BH32" s="10">
        <v>0.5</v>
      </c>
      <c r="BL32" s="10"/>
      <c r="BM32" s="10">
        <v>0.8</v>
      </c>
      <c r="BN32" s="10"/>
      <c r="BO32" s="10">
        <v>0.8</v>
      </c>
      <c r="BS32" s="10"/>
      <c r="BT32" s="10">
        <v>0.8</v>
      </c>
      <c r="BU32" s="10"/>
      <c r="BV32" s="10">
        <v>0.8</v>
      </c>
      <c r="BZ32" s="10"/>
      <c r="CA32" s="10">
        <v>1</v>
      </c>
      <c r="CB32" s="10"/>
      <c r="CC32" s="10">
        <v>1</v>
      </c>
      <c r="CG32" s="10"/>
      <c r="CH32" s="10">
        <v>1</v>
      </c>
      <c r="CI32" s="10"/>
      <c r="CJ32" s="10">
        <v>1</v>
      </c>
      <c r="CN32" s="10"/>
      <c r="CO32" s="10">
        <v>1</v>
      </c>
      <c r="CP32" s="10"/>
      <c r="CQ32" s="10">
        <v>1</v>
      </c>
      <c r="CU32" s="10"/>
      <c r="CV32" s="10">
        <v>1</v>
      </c>
      <c r="CW32" s="10"/>
      <c r="CX32" s="10">
        <v>1</v>
      </c>
      <c r="DB32" s="10"/>
      <c r="DC32" s="10"/>
      <c r="DD32" s="10"/>
      <c r="DE32" s="10"/>
      <c r="DI32" s="10"/>
      <c r="DJ32" s="10"/>
      <c r="DK32" s="10"/>
      <c r="DL32" s="10"/>
      <c r="DP32" s="10"/>
      <c r="DQ32" s="10"/>
      <c r="DR32" s="10"/>
      <c r="DS32" s="10"/>
    </row>
    <row r="33" spans="2:123" outlineLevel="1">
      <c r="B33" t="s">
        <v>28</v>
      </c>
      <c r="C33" t="s">
        <v>110</v>
      </c>
      <c r="E33" s="9"/>
      <c r="F33" t="s">
        <v>113</v>
      </c>
      <c r="G33" s="10">
        <v>0.1</v>
      </c>
      <c r="I33" s="9">
        <f>+SUMIF($N$3:$ZS$3,I$3,$N33:$ZS33)</f>
        <v>0</v>
      </c>
      <c r="J33" s="11" cm="1">
        <f t="array" ref="J33">MAX(IF($N$3:$EA$3=$J$3,N33:EA33))</f>
        <v>0</v>
      </c>
      <c r="K33" s="11" cm="1">
        <f t="array" ref="K33">MAX(IF($N$3:$EA$3=$J$3,N33:EA33))</f>
        <v>0</v>
      </c>
      <c r="L33" s="9"/>
      <c r="O33" s="10"/>
      <c r="P33" s="10"/>
      <c r="Q33" s="10"/>
      <c r="R33" s="10"/>
      <c r="V33" s="10"/>
      <c r="W33" s="10"/>
      <c r="X33" s="10"/>
      <c r="Y33" s="10"/>
      <c r="AC33" s="10"/>
      <c r="AD33" s="10"/>
      <c r="AE33" s="10"/>
      <c r="AF33" s="10"/>
      <c r="AJ33" s="10"/>
      <c r="AK33" s="10"/>
      <c r="AL33" s="10"/>
      <c r="AM33" s="10"/>
      <c r="AQ33" s="10"/>
      <c r="AR33" s="10">
        <v>0.5</v>
      </c>
      <c r="AS33" s="10"/>
      <c r="AT33" s="10">
        <v>0.5</v>
      </c>
      <c r="AX33" s="10"/>
      <c r="AY33" s="10">
        <v>0.5</v>
      </c>
      <c r="AZ33" s="10"/>
      <c r="BA33" s="10">
        <v>0.5</v>
      </c>
      <c r="BE33" s="10"/>
      <c r="BF33" s="10">
        <v>0.5</v>
      </c>
      <c r="BG33" s="10"/>
      <c r="BH33" s="10">
        <v>0.5</v>
      </c>
      <c r="BL33" s="10"/>
      <c r="BM33" s="10">
        <v>0.8</v>
      </c>
      <c r="BN33" s="10"/>
      <c r="BO33" s="10">
        <v>0.8</v>
      </c>
      <c r="BS33" s="10"/>
      <c r="BT33" s="10">
        <v>0.8</v>
      </c>
      <c r="BU33" s="10"/>
      <c r="BV33" s="10">
        <v>0.8</v>
      </c>
      <c r="BZ33" s="10"/>
      <c r="CA33" s="10">
        <v>0.8</v>
      </c>
      <c r="CB33" s="10"/>
      <c r="CC33" s="10">
        <v>0.8</v>
      </c>
      <c r="CG33" s="10"/>
      <c r="CH33" s="10">
        <v>1</v>
      </c>
      <c r="CI33" s="10"/>
      <c r="CJ33" s="10">
        <v>1</v>
      </c>
      <c r="CN33" s="10"/>
      <c r="CO33" s="10">
        <v>1</v>
      </c>
      <c r="CP33" s="10"/>
      <c r="CQ33" s="10">
        <v>1</v>
      </c>
      <c r="CU33" s="10"/>
      <c r="CV33" s="10">
        <v>1</v>
      </c>
      <c r="CW33" s="10"/>
      <c r="CX33" s="10">
        <v>1</v>
      </c>
      <c r="DB33" s="10"/>
      <c r="DC33" s="10"/>
      <c r="DD33" s="10"/>
      <c r="DE33" s="10"/>
      <c r="DI33" s="10"/>
      <c r="DJ33" s="10"/>
      <c r="DK33" s="10"/>
      <c r="DL33" s="10"/>
      <c r="DP33" s="10"/>
      <c r="DQ33" s="10"/>
      <c r="DR33" s="10"/>
      <c r="DS33" s="10"/>
    </row>
    <row r="34" spans="2:123" outlineLevel="1">
      <c r="B34" t="s">
        <v>28</v>
      </c>
      <c r="C34" t="s">
        <v>110</v>
      </c>
      <c r="E34" s="9"/>
      <c r="F34" t="s">
        <v>112</v>
      </c>
      <c r="G34" s="10">
        <v>0.1</v>
      </c>
      <c r="I34" s="9">
        <f>+SUMIF($N$3:$ZS$3,I$3,$N34:$ZS34)</f>
        <v>0</v>
      </c>
      <c r="J34" s="11" cm="1">
        <f t="array" ref="J34">MAX(IF($N$3:$EA$3=$J$3,N34:EA34))</f>
        <v>0</v>
      </c>
      <c r="K34" s="11" cm="1">
        <f t="array" ref="K34">MAX(IF($N$3:$EA$3=$J$3,N34:EA34))</f>
        <v>0</v>
      </c>
      <c r="L34" s="9"/>
      <c r="O34" s="10"/>
      <c r="P34" s="10"/>
      <c r="Q34" s="10"/>
      <c r="R34" s="10"/>
      <c r="V34" s="10"/>
      <c r="W34" s="10"/>
      <c r="X34" s="10"/>
      <c r="Y34" s="10"/>
      <c r="AC34" s="10"/>
      <c r="AD34" s="10"/>
      <c r="AE34" s="10"/>
      <c r="AF34" s="10"/>
      <c r="AJ34" s="10"/>
      <c r="AK34" s="10"/>
      <c r="AL34" s="10"/>
      <c r="AM34" s="10"/>
      <c r="AQ34" s="10"/>
      <c r="AR34" s="10"/>
      <c r="AS34" s="10"/>
      <c r="AT34" s="10"/>
      <c r="AX34" s="10"/>
      <c r="AY34" s="10">
        <v>0.5</v>
      </c>
      <c r="AZ34" s="10"/>
      <c r="BA34" s="10">
        <v>0.5</v>
      </c>
      <c r="BE34" s="10"/>
      <c r="BF34" s="10">
        <v>0.5</v>
      </c>
      <c r="BG34" s="10"/>
      <c r="BH34" s="10">
        <v>0.5</v>
      </c>
      <c r="BL34" s="10"/>
      <c r="BM34" s="10">
        <v>0.5</v>
      </c>
      <c r="BN34" s="10"/>
      <c r="BO34" s="10">
        <v>0.5</v>
      </c>
      <c r="BS34" s="10"/>
      <c r="BT34" s="10">
        <v>0.8</v>
      </c>
      <c r="BU34" s="10"/>
      <c r="BV34" s="10">
        <v>0.8</v>
      </c>
      <c r="BZ34" s="10"/>
      <c r="CA34" s="10">
        <v>0.8</v>
      </c>
      <c r="CB34" s="10"/>
      <c r="CC34" s="10">
        <v>0.8</v>
      </c>
      <c r="CG34" s="10"/>
      <c r="CH34" s="10">
        <v>0.8</v>
      </c>
      <c r="CI34" s="10"/>
      <c r="CJ34" s="10">
        <v>0.8</v>
      </c>
      <c r="CN34" s="10"/>
      <c r="CO34" s="10">
        <v>1</v>
      </c>
      <c r="CP34" s="10"/>
      <c r="CQ34" s="10">
        <v>1</v>
      </c>
      <c r="CU34" s="10"/>
      <c r="CV34" s="10">
        <v>1</v>
      </c>
      <c r="CW34" s="10"/>
      <c r="CX34" s="10">
        <v>1</v>
      </c>
      <c r="DB34" s="10"/>
      <c r="DC34" s="10"/>
      <c r="DD34" s="10"/>
      <c r="DE34" s="10"/>
      <c r="DI34" s="10"/>
      <c r="DJ34" s="10"/>
      <c r="DK34" s="10"/>
      <c r="DL34" s="10"/>
      <c r="DP34" s="10"/>
      <c r="DQ34" s="10"/>
      <c r="DR34" s="10"/>
      <c r="DS34" s="10"/>
    </row>
    <row r="35" spans="2:123" outlineLevel="1">
      <c r="B35" t="s">
        <v>28</v>
      </c>
      <c r="C35" t="s">
        <v>110</v>
      </c>
      <c r="E35" s="9"/>
      <c r="F35" t="s">
        <v>114</v>
      </c>
      <c r="G35" s="10">
        <v>0.1</v>
      </c>
      <c r="I35" s="9">
        <f>+SUMIF($N$3:$ZS$3,I$3,$N35:$ZS35)</f>
        <v>0</v>
      </c>
      <c r="J35" s="11" cm="1">
        <f t="array" ref="J35">MAX(IF($N$3:$EA$3=$J$3,N35:EA35))</f>
        <v>0</v>
      </c>
      <c r="K35" s="11" cm="1">
        <f t="array" ref="K35">MAX(IF($N$3:$EA$3=$J$3,N35:EA35))</f>
        <v>0</v>
      </c>
      <c r="L35" s="9"/>
      <c r="O35" s="10"/>
      <c r="P35" s="10"/>
      <c r="Q35" s="10"/>
      <c r="R35" s="10"/>
      <c r="V35" s="10"/>
      <c r="W35" s="10"/>
      <c r="X35" s="10"/>
      <c r="Y35" s="10"/>
      <c r="AC35" s="10"/>
      <c r="AD35" s="10"/>
      <c r="AE35" s="10"/>
      <c r="AF35" s="10"/>
      <c r="AJ35" s="10"/>
      <c r="AK35" s="10"/>
      <c r="AL35" s="10"/>
      <c r="AM35" s="10"/>
      <c r="AQ35" s="10"/>
      <c r="AR35" s="10"/>
      <c r="AS35" s="10"/>
      <c r="AT35" s="10"/>
      <c r="AX35" s="10"/>
      <c r="AY35" s="10">
        <v>0.5</v>
      </c>
      <c r="AZ35" s="10"/>
      <c r="BA35" s="10">
        <v>0.5</v>
      </c>
      <c r="BE35" s="10"/>
      <c r="BF35" s="10">
        <v>0.5</v>
      </c>
      <c r="BG35" s="10"/>
      <c r="BH35" s="10">
        <v>0.5</v>
      </c>
      <c r="BL35" s="10"/>
      <c r="BM35" s="10">
        <v>0.5</v>
      </c>
      <c r="BN35" s="10"/>
      <c r="BO35" s="10">
        <v>0.5</v>
      </c>
      <c r="BS35" s="10"/>
      <c r="BT35" s="10">
        <v>0.8</v>
      </c>
      <c r="BU35" s="10"/>
      <c r="BV35" s="10">
        <v>0.8</v>
      </c>
      <c r="BZ35" s="10"/>
      <c r="CA35" s="10">
        <v>0.8</v>
      </c>
      <c r="CB35" s="10"/>
      <c r="CC35" s="10">
        <v>0.8</v>
      </c>
      <c r="CG35" s="10"/>
      <c r="CH35" s="10">
        <v>0.8</v>
      </c>
      <c r="CI35" s="10"/>
      <c r="CJ35" s="10">
        <v>0.8</v>
      </c>
      <c r="CN35" s="10"/>
      <c r="CO35" s="10">
        <v>0.8</v>
      </c>
      <c r="CP35" s="10"/>
      <c r="CQ35" s="10">
        <v>0.8</v>
      </c>
      <c r="CU35" s="10"/>
      <c r="CV35" s="10">
        <v>1</v>
      </c>
      <c r="CW35" s="10"/>
      <c r="CX35" s="10">
        <v>1</v>
      </c>
      <c r="DB35" s="10"/>
      <c r="DC35" s="10"/>
      <c r="DD35" s="10"/>
      <c r="DE35" s="10"/>
      <c r="DI35" s="10"/>
      <c r="DJ35" s="10"/>
      <c r="DK35" s="10"/>
      <c r="DL35" s="10"/>
      <c r="DP35" s="10"/>
      <c r="DQ35" s="10"/>
      <c r="DR35" s="10"/>
      <c r="DS35" s="10"/>
    </row>
    <row r="37" spans="2:123">
      <c r="B37" t="s">
        <v>27</v>
      </c>
      <c r="C37" t="s">
        <v>105</v>
      </c>
      <c r="D37" s="19">
        <v>45131</v>
      </c>
      <c r="E37" s="9">
        <v>6</v>
      </c>
      <c r="G37" s="10">
        <f>+SUM(G38:G42)</f>
        <v>0.4</v>
      </c>
      <c r="I37" s="12">
        <f>+SUM(I38:I42)</f>
        <v>0</v>
      </c>
      <c r="J37" s="11">
        <f>+SUMPRODUCT(G38:G42,J38:J42)</f>
        <v>0</v>
      </c>
      <c r="K37" s="11">
        <f>+SUMPRODUCT(G38:G42,K38:K42)</f>
        <v>0</v>
      </c>
      <c r="L37" s="9"/>
      <c r="N37" s="12">
        <f>+SUM(N38:N42)</f>
        <v>0</v>
      </c>
      <c r="U37" s="12">
        <f>+SUM(U38:U42)</f>
        <v>0</v>
      </c>
      <c r="AB37" s="12">
        <f>+SUM(AB38:AB42)</f>
        <v>0</v>
      </c>
      <c r="AI37" s="12">
        <f>+SUM(AI38:AI42)</f>
        <v>0</v>
      </c>
      <c r="AP37" s="12">
        <f>+SUM(AP38:AP42)</f>
        <v>0</v>
      </c>
    </row>
    <row r="38" spans="2:123" outlineLevel="1">
      <c r="B38" t="s">
        <v>28</v>
      </c>
      <c r="C38" t="s">
        <v>105</v>
      </c>
      <c r="E38" s="9"/>
      <c r="F38" t="s">
        <v>121</v>
      </c>
      <c r="G38" s="10">
        <v>0.1</v>
      </c>
      <c r="I38" s="9">
        <f>+SUMIF($N$3:$ZS$3,I$3,$N38:$ZS38)</f>
        <v>0</v>
      </c>
      <c r="J38" s="11" cm="1">
        <f t="array" ref="J38">MAX(IF($N$3:$EA$3=$J$3,N38:EA38))</f>
        <v>0</v>
      </c>
      <c r="K38" s="11" cm="1">
        <f t="array" ref="K38">MAX(IF($N$3:$EA$3=$J$3,N38:EA38))</f>
        <v>0</v>
      </c>
      <c r="L38" s="9"/>
      <c r="O38" s="10"/>
      <c r="P38" s="10"/>
      <c r="Q38" s="10"/>
      <c r="R38" s="10"/>
      <c r="V38" s="10"/>
      <c r="W38" s="10">
        <v>0.5</v>
      </c>
      <c r="X38" s="10"/>
      <c r="Y38" s="10">
        <v>0.5</v>
      </c>
      <c r="AC38" s="10"/>
      <c r="AD38" s="10">
        <v>0.5</v>
      </c>
      <c r="AE38" s="10"/>
      <c r="AF38" s="10">
        <v>0.5</v>
      </c>
      <c r="AJ38" s="10"/>
      <c r="AK38" s="10">
        <v>0.5</v>
      </c>
      <c r="AL38" s="10"/>
      <c r="AM38" s="10">
        <v>0.5</v>
      </c>
      <c r="AQ38" s="10"/>
      <c r="AR38" s="10">
        <v>0.5</v>
      </c>
      <c r="AS38" s="10"/>
      <c r="AT38" s="10">
        <v>0.5</v>
      </c>
      <c r="AX38" s="10"/>
      <c r="AY38" s="10">
        <v>0.5</v>
      </c>
      <c r="AZ38" s="10"/>
      <c r="BA38" s="10">
        <v>0.5</v>
      </c>
      <c r="BE38" s="10"/>
      <c r="BF38" s="10">
        <v>0.8</v>
      </c>
      <c r="BG38" s="10"/>
      <c r="BH38" s="10">
        <v>0.8</v>
      </c>
      <c r="BL38" s="10"/>
      <c r="BM38" s="10">
        <v>0.8</v>
      </c>
      <c r="BN38" s="10"/>
      <c r="BO38" s="10">
        <v>0.8</v>
      </c>
      <c r="BS38" s="10"/>
      <c r="BT38" s="10">
        <v>0.8</v>
      </c>
      <c r="BU38" s="10"/>
      <c r="BV38" s="10">
        <v>0.8</v>
      </c>
      <c r="BZ38" s="10"/>
      <c r="CA38" s="10">
        <v>0.8</v>
      </c>
      <c r="CB38" s="10"/>
      <c r="CC38" s="10">
        <v>0.8</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row>
    <row r="39" spans="2:123" outlineLevel="1">
      <c r="B39" t="s">
        <v>28</v>
      </c>
      <c r="C39" t="s">
        <v>105</v>
      </c>
      <c r="E39" s="9"/>
      <c r="F39" t="s">
        <v>122</v>
      </c>
      <c r="G39" s="10">
        <v>0.05</v>
      </c>
      <c r="I39" s="9">
        <f>+SUMIF($N$3:$ZS$3,I$3,$N39:$ZS39)</f>
        <v>0</v>
      </c>
      <c r="J39" s="11" cm="1">
        <f t="array" ref="J39">MAX(IF($N$3:$EA$3=$J$3,N39:EA39))</f>
        <v>0</v>
      </c>
      <c r="K39" s="11" cm="1">
        <f t="array" ref="K39">MAX(IF($N$3:$EA$3=$J$3,N39:EA39))</f>
        <v>0</v>
      </c>
      <c r="L39" s="9"/>
      <c r="O39" s="10"/>
      <c r="P39" s="10"/>
      <c r="Q39" s="10"/>
      <c r="R39" s="10"/>
      <c r="V39" s="10"/>
      <c r="W39" s="10"/>
      <c r="X39" s="10"/>
      <c r="Y39" s="10"/>
      <c r="AC39" s="10"/>
      <c r="AD39" s="10">
        <v>0.5</v>
      </c>
      <c r="AE39" s="10"/>
      <c r="AF39" s="10">
        <v>0.5</v>
      </c>
      <c r="AJ39" s="10"/>
      <c r="AK39" s="10">
        <v>0.5</v>
      </c>
      <c r="AL39" s="10"/>
      <c r="AM39" s="10">
        <v>0.5</v>
      </c>
      <c r="AQ39" s="10"/>
      <c r="AR39" s="10">
        <v>0.5</v>
      </c>
      <c r="AS39" s="10"/>
      <c r="AT39" s="10">
        <v>0.5</v>
      </c>
      <c r="AX39" s="10"/>
      <c r="AY39" s="10">
        <v>0.5</v>
      </c>
      <c r="AZ39" s="10"/>
      <c r="BA39" s="10">
        <v>0.5</v>
      </c>
      <c r="BE39" s="10"/>
      <c r="BF39" s="10">
        <v>0.5</v>
      </c>
      <c r="BG39" s="10"/>
      <c r="BH39" s="10">
        <v>0.5</v>
      </c>
      <c r="BL39" s="10"/>
      <c r="BM39" s="10">
        <v>0.8</v>
      </c>
      <c r="BN39" s="10"/>
      <c r="BO39" s="10">
        <v>0.8</v>
      </c>
      <c r="BS39" s="10"/>
      <c r="BT39" s="10">
        <v>0.8</v>
      </c>
      <c r="BU39" s="10"/>
      <c r="BV39" s="10">
        <v>0.8</v>
      </c>
      <c r="BZ39" s="10"/>
      <c r="CA39" s="10">
        <v>0.8</v>
      </c>
      <c r="CB39" s="10"/>
      <c r="CC39" s="10">
        <v>0.8</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row>
    <row r="40" spans="2:123" outlineLevel="1">
      <c r="B40" t="s">
        <v>28</v>
      </c>
      <c r="C40" t="s">
        <v>105</v>
      </c>
      <c r="E40" s="9"/>
      <c r="F40" t="s">
        <v>123</v>
      </c>
      <c r="G40" s="10">
        <v>0.05</v>
      </c>
      <c r="I40" s="9">
        <f>+SUMIF($N$3:$ZS$3,I$3,$N40:$ZS40)</f>
        <v>0</v>
      </c>
      <c r="J40" s="11" cm="1">
        <f t="array" ref="J40">MAX(IF($N$3:$EA$3=$J$3,N40:EA40))</f>
        <v>0</v>
      </c>
      <c r="K40" s="11" cm="1">
        <f t="array" ref="K40">MAX(IF($N$3:$EA$3=$J$3,N40:EA40))</f>
        <v>0</v>
      </c>
      <c r="L40" s="9"/>
      <c r="O40" s="10"/>
      <c r="P40" s="10"/>
      <c r="Q40" s="10"/>
      <c r="R40" s="10"/>
      <c r="V40" s="10"/>
      <c r="W40" s="10"/>
      <c r="X40" s="10"/>
      <c r="Y40" s="10"/>
      <c r="AC40" s="10"/>
      <c r="AD40" s="10"/>
      <c r="AE40" s="10"/>
      <c r="AF40" s="10"/>
      <c r="AJ40" s="10"/>
      <c r="AK40" s="10">
        <v>0.5</v>
      </c>
      <c r="AL40" s="10"/>
      <c r="AM40" s="10">
        <v>0.5</v>
      </c>
      <c r="AQ40" s="10"/>
      <c r="AR40" s="10">
        <v>0.5</v>
      </c>
      <c r="AS40" s="10"/>
      <c r="AT40" s="10">
        <v>0.5</v>
      </c>
      <c r="AX40" s="10"/>
      <c r="AY40" s="10">
        <v>0.5</v>
      </c>
      <c r="AZ40" s="10"/>
      <c r="BA40" s="10">
        <v>0.5</v>
      </c>
      <c r="BE40" s="10"/>
      <c r="BF40" s="10">
        <v>0.5</v>
      </c>
      <c r="BG40" s="10"/>
      <c r="BH40" s="10">
        <v>0.5</v>
      </c>
      <c r="BL40" s="10"/>
      <c r="BM40" s="10">
        <v>0.5</v>
      </c>
      <c r="BN40" s="10"/>
      <c r="BO40" s="10">
        <v>0.5</v>
      </c>
      <c r="BS40" s="10"/>
      <c r="BT40" s="10">
        <v>0.8</v>
      </c>
      <c r="BU40" s="10"/>
      <c r="BV40" s="10">
        <v>0.8</v>
      </c>
      <c r="BZ40" s="10"/>
      <c r="CA40" s="10">
        <v>0.8</v>
      </c>
      <c r="CB40" s="10"/>
      <c r="CC40" s="10">
        <v>0.8</v>
      </c>
      <c r="CG40" s="10"/>
      <c r="CH40" s="10">
        <v>0.8</v>
      </c>
      <c r="CI40" s="10"/>
      <c r="CJ40" s="10">
        <v>0.8</v>
      </c>
      <c r="CN40" s="10"/>
      <c r="CO40" s="10">
        <v>1</v>
      </c>
      <c r="CP40" s="10"/>
      <c r="CQ40" s="10">
        <v>1</v>
      </c>
      <c r="CU40" s="10"/>
      <c r="CV40" s="10">
        <v>1</v>
      </c>
      <c r="CW40" s="10"/>
      <c r="CX40" s="10">
        <v>1</v>
      </c>
      <c r="DB40" s="10"/>
      <c r="DC40" s="10"/>
      <c r="DD40" s="10"/>
      <c r="DE40" s="10"/>
      <c r="DI40" s="10"/>
      <c r="DJ40" s="10"/>
      <c r="DK40" s="10"/>
      <c r="DL40" s="10"/>
      <c r="DP40" s="10"/>
      <c r="DQ40" s="10"/>
      <c r="DR40" s="10"/>
      <c r="DS40" s="10"/>
    </row>
    <row r="41" spans="2:123" outlineLevel="1">
      <c r="B41" t="s">
        <v>28</v>
      </c>
      <c r="C41" t="s">
        <v>105</v>
      </c>
      <c r="E41" s="9"/>
      <c r="F41" t="s">
        <v>124</v>
      </c>
      <c r="G41" s="10">
        <v>0.1</v>
      </c>
      <c r="I41" s="9">
        <f>+SUMIF($N$3:$ZS$3,I$3,$N41:$ZS41)</f>
        <v>0</v>
      </c>
      <c r="J41" s="11" cm="1">
        <f t="array" ref="J41">MAX(IF($N$3:$EA$3=$J$3,N41:EA41))</f>
        <v>0</v>
      </c>
      <c r="K41" s="11" cm="1">
        <f t="array" ref="K41">MAX(IF($N$3:$EA$3=$J$3,N41:EA41))</f>
        <v>0</v>
      </c>
      <c r="L41" s="9"/>
      <c r="O41" s="10"/>
      <c r="P41" s="10"/>
      <c r="Q41" s="10"/>
      <c r="R41" s="10"/>
      <c r="V41" s="10"/>
      <c r="W41" s="10"/>
      <c r="X41" s="10"/>
      <c r="Y41" s="10"/>
      <c r="AC41" s="10"/>
      <c r="AD41" s="10"/>
      <c r="AE41" s="10"/>
      <c r="AF41" s="10"/>
      <c r="AJ41" s="10"/>
      <c r="AK41" s="10"/>
      <c r="AL41" s="10"/>
      <c r="AM41" s="10"/>
      <c r="AQ41" s="10"/>
      <c r="AR41" s="10">
        <v>0.5</v>
      </c>
      <c r="AS41" s="10"/>
      <c r="AT41" s="10">
        <v>0.5</v>
      </c>
      <c r="AX41" s="10"/>
      <c r="AY41" s="10">
        <v>0.5</v>
      </c>
      <c r="AZ41" s="10"/>
      <c r="BA41" s="10">
        <v>0.5</v>
      </c>
      <c r="BE41" s="10"/>
      <c r="BF41" s="10">
        <v>0.5</v>
      </c>
      <c r="BG41" s="10"/>
      <c r="BH41" s="10">
        <v>0.5</v>
      </c>
      <c r="BL41" s="10"/>
      <c r="BM41" s="10">
        <v>0.5</v>
      </c>
      <c r="BN41" s="10"/>
      <c r="BO41" s="10">
        <v>0.5</v>
      </c>
      <c r="BS41" s="10"/>
      <c r="BT41" s="10">
        <v>0.8</v>
      </c>
      <c r="BU41" s="10"/>
      <c r="BV41" s="10">
        <v>0.8</v>
      </c>
      <c r="BZ41" s="10"/>
      <c r="CA41" s="10">
        <v>0.8</v>
      </c>
      <c r="CB41" s="10"/>
      <c r="CC41" s="10">
        <v>0.8</v>
      </c>
      <c r="CG41" s="10"/>
      <c r="CH41" s="10">
        <v>0.8</v>
      </c>
      <c r="CI41" s="10"/>
      <c r="CJ41" s="10">
        <v>0.8</v>
      </c>
      <c r="CN41" s="10"/>
      <c r="CO41" s="10">
        <v>1</v>
      </c>
      <c r="CP41" s="10"/>
      <c r="CQ41" s="10">
        <v>1</v>
      </c>
      <c r="CU41" s="10"/>
      <c r="CV41" s="10">
        <v>1</v>
      </c>
      <c r="CW41" s="10"/>
      <c r="CX41" s="10">
        <v>1</v>
      </c>
      <c r="DB41" s="10"/>
      <c r="DC41" s="10"/>
      <c r="DD41" s="10"/>
      <c r="DE41" s="10"/>
      <c r="DI41" s="10"/>
      <c r="DJ41" s="10"/>
      <c r="DK41" s="10"/>
      <c r="DL41" s="10"/>
      <c r="DP41" s="10"/>
      <c r="DQ41" s="10"/>
      <c r="DR41" s="10"/>
      <c r="DS41" s="10"/>
    </row>
    <row r="42" spans="2:123" outlineLevel="1">
      <c r="B42" t="s">
        <v>28</v>
      </c>
      <c r="C42" t="s">
        <v>105</v>
      </c>
      <c r="E42" s="9"/>
      <c r="F42" t="s">
        <v>125</v>
      </c>
      <c r="G42" s="10">
        <v>0.1</v>
      </c>
      <c r="I42" s="9">
        <f>+SUMIF($N$3:$ZS$3,I$3,$N42:$ZS42)</f>
        <v>0</v>
      </c>
      <c r="J42" s="11" cm="1">
        <f t="array" ref="J42">MAX(IF($N$3:$EA$3=$J$3,N42:EA42))</f>
        <v>0</v>
      </c>
      <c r="K42" s="11" cm="1">
        <f t="array" ref="K42">MAX(IF($N$3:$EA$3=$J$3,N42:EA42))</f>
        <v>0</v>
      </c>
      <c r="L42" s="9"/>
      <c r="O42" s="10"/>
      <c r="P42" s="10"/>
      <c r="Q42" s="10"/>
      <c r="R42" s="10"/>
      <c r="V42" s="10"/>
      <c r="W42" s="10"/>
      <c r="X42" s="10"/>
      <c r="Y42" s="10"/>
      <c r="AC42" s="10"/>
      <c r="AD42" s="10"/>
      <c r="AE42" s="10"/>
      <c r="AF42" s="10"/>
      <c r="AJ42" s="10"/>
      <c r="AK42" s="10"/>
      <c r="AL42" s="10"/>
      <c r="AM42" s="10"/>
      <c r="AQ42" s="10"/>
      <c r="AR42" s="10"/>
      <c r="AS42" s="10"/>
      <c r="AT42" s="10"/>
      <c r="AX42" s="10"/>
      <c r="AY42" s="10">
        <v>0.5</v>
      </c>
      <c r="AZ42" s="10"/>
      <c r="BA42" s="10">
        <v>0.5</v>
      </c>
      <c r="BE42" s="10"/>
      <c r="BF42" s="10">
        <v>0.5</v>
      </c>
      <c r="BG42" s="10"/>
      <c r="BH42" s="10">
        <v>0.5</v>
      </c>
      <c r="BL42" s="10"/>
      <c r="BM42" s="10">
        <v>0.5</v>
      </c>
      <c r="BN42" s="10"/>
      <c r="BO42" s="10">
        <v>0.5</v>
      </c>
      <c r="BS42" s="10"/>
      <c r="BT42" s="10">
        <v>0.5</v>
      </c>
      <c r="BU42" s="10"/>
      <c r="BV42" s="10">
        <v>0.5</v>
      </c>
      <c r="BZ42" s="10"/>
      <c r="CA42" s="10">
        <v>0.8</v>
      </c>
      <c r="CB42" s="10"/>
      <c r="CC42" s="10">
        <v>0.8</v>
      </c>
      <c r="CG42" s="10"/>
      <c r="CH42" s="10">
        <v>0.8</v>
      </c>
      <c r="CI42" s="10"/>
      <c r="CJ42" s="10">
        <v>0.8</v>
      </c>
      <c r="CN42" s="10"/>
      <c r="CO42" s="10">
        <v>0.8</v>
      </c>
      <c r="CP42" s="10"/>
      <c r="CQ42" s="10">
        <v>0.8</v>
      </c>
      <c r="CU42" s="10"/>
      <c r="CV42" s="10">
        <v>1</v>
      </c>
      <c r="CW42" s="10"/>
      <c r="CX42" s="10">
        <v>1</v>
      </c>
      <c r="DB42" s="10"/>
      <c r="DC42" s="10"/>
      <c r="DD42" s="10"/>
      <c r="DE42" s="10"/>
      <c r="DI42" s="10"/>
      <c r="DJ42" s="10"/>
      <c r="DK42" s="10"/>
      <c r="DL42" s="10"/>
      <c r="DP42" s="10"/>
      <c r="DQ42" s="10"/>
      <c r="DR42" s="10"/>
      <c r="DS42" s="10"/>
    </row>
  </sheetData>
  <mergeCells count="17">
    <mergeCell ref="CM2:CR2"/>
    <mergeCell ref="DH2:DM2"/>
    <mergeCell ref="DO2:DT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s>
  <phoneticPr fontId="5" type="noConversion"/>
  <conditionalFormatting sqref="J5:J10">
    <cfRule type="colorScale" priority="621">
      <colorScale>
        <cfvo type="percent" val="0"/>
        <cfvo type="percent" val="100"/>
        <color rgb="FFFF231B"/>
        <color rgb="FF10FF07"/>
      </colorScale>
    </cfRule>
  </conditionalFormatting>
  <conditionalFormatting sqref="J14">
    <cfRule type="colorScale" priority="150">
      <colorScale>
        <cfvo type="percent" val="0"/>
        <cfvo type="percent" val="100"/>
        <color rgb="FFFF231B"/>
        <color rgb="FF10FF07"/>
      </colorScale>
    </cfRule>
  </conditionalFormatting>
  <conditionalFormatting sqref="J15:J21 J13">
    <cfRule type="colorScale" priority="403">
      <colorScale>
        <cfvo type="percent" val="0"/>
        <cfvo type="percent" val="100"/>
        <color rgb="FFFF231B"/>
        <color rgb="FF10FF07"/>
      </colorScale>
    </cfRule>
  </conditionalFormatting>
  <conditionalFormatting sqref="J24:J28">
    <cfRule type="colorScale" priority="1248">
      <colorScale>
        <cfvo type="percent" val="0"/>
        <cfvo type="percent" val="100"/>
        <color rgb="FFFF231B"/>
        <color rgb="FF10FF07"/>
      </colorScale>
    </cfRule>
  </conditionalFormatting>
  <conditionalFormatting sqref="J31:J35">
    <cfRule type="colorScale" priority="1312">
      <colorScale>
        <cfvo type="percent" val="0"/>
        <cfvo type="percent" val="100"/>
        <color rgb="FFFF231B"/>
        <color rgb="FF10FF07"/>
      </colorScale>
    </cfRule>
  </conditionalFormatting>
  <conditionalFormatting sqref="J38:J42">
    <cfRule type="colorScale" priority="1727">
      <colorScale>
        <cfvo type="percent" val="0"/>
        <cfvo type="percent" val="100"/>
        <color rgb="FFFF231B"/>
        <color rgb="FF10FF07"/>
      </colorScale>
    </cfRule>
  </conditionalFormatting>
  <conditionalFormatting sqref="J6:K10">
    <cfRule type="colorScale" priority="592">
      <colorScale>
        <cfvo type="percent" val="0"/>
        <cfvo type="percent" val="100"/>
        <color rgb="FFFF231B"/>
        <color rgb="FF10FF07"/>
      </colorScale>
    </cfRule>
  </conditionalFormatting>
  <conditionalFormatting sqref="J14:K14">
    <cfRule type="colorScale" priority="151">
      <colorScale>
        <cfvo type="percent" val="0"/>
        <cfvo type="percent" val="100"/>
        <color rgb="FFFF231B"/>
        <color rgb="FF10FF07"/>
      </colorScale>
    </cfRule>
  </conditionalFormatting>
  <conditionalFormatting sqref="J15:K21">
    <cfRule type="colorScale" priority="404">
      <colorScale>
        <cfvo type="percent" val="0"/>
        <cfvo type="percent" val="100"/>
        <color rgb="FFFF231B"/>
        <color rgb="FF10FF07"/>
      </colorScale>
    </cfRule>
  </conditionalFormatting>
  <conditionalFormatting sqref="J25:K28">
    <cfRule type="colorScale" priority="1249">
      <colorScale>
        <cfvo type="percent" val="0"/>
        <cfvo type="percent" val="100"/>
        <color rgb="FFFF231B"/>
        <color rgb="FF10FF07"/>
      </colorScale>
    </cfRule>
  </conditionalFormatting>
  <conditionalFormatting sqref="J32:K35">
    <cfRule type="colorScale" priority="1313">
      <colorScale>
        <cfvo type="percent" val="0"/>
        <cfvo type="percent" val="100"/>
        <color rgb="FFFF231B"/>
        <color rgb="FF10FF07"/>
      </colorScale>
    </cfRule>
  </conditionalFormatting>
  <conditionalFormatting sqref="J39:K42">
    <cfRule type="colorScale" priority="1728">
      <colorScale>
        <cfvo type="percent" val="0"/>
        <cfvo type="percent" val="100"/>
        <color rgb="FFFF231B"/>
        <color rgb="FF10FF07"/>
      </colorScale>
    </cfRule>
  </conditionalFormatting>
  <conditionalFormatting sqref="K5:K10">
    <cfRule type="colorScale" priority="622">
      <colorScale>
        <cfvo type="percent" val="0"/>
        <cfvo type="percent" val="100"/>
        <color rgb="FFFF231B"/>
        <color rgb="FF10FF07"/>
      </colorScale>
    </cfRule>
  </conditionalFormatting>
  <conditionalFormatting sqref="K14">
    <cfRule type="colorScale" priority="149">
      <colorScale>
        <cfvo type="percent" val="0"/>
        <cfvo type="percent" val="100"/>
        <color rgb="FFFF231B"/>
        <color rgb="FF10FF07"/>
      </colorScale>
    </cfRule>
  </conditionalFormatting>
  <conditionalFormatting sqref="K15:K21 K13">
    <cfRule type="colorScale" priority="402">
      <colorScale>
        <cfvo type="percent" val="0"/>
        <cfvo type="percent" val="100"/>
        <color rgb="FFFF231B"/>
        <color rgb="FF10FF07"/>
      </colorScale>
    </cfRule>
  </conditionalFormatting>
  <conditionalFormatting sqref="K24:K28">
    <cfRule type="colorScale" priority="1250">
      <colorScale>
        <cfvo type="percent" val="0"/>
        <cfvo type="percent" val="100"/>
        <color rgb="FFFF231B"/>
        <color rgb="FF10FF07"/>
      </colorScale>
    </cfRule>
  </conditionalFormatting>
  <conditionalFormatting sqref="K31:K35">
    <cfRule type="colorScale" priority="1314">
      <colorScale>
        <cfvo type="percent" val="0"/>
        <cfvo type="percent" val="100"/>
        <color rgb="FFFF231B"/>
        <color rgb="FF10FF07"/>
      </colorScale>
    </cfRule>
  </conditionalFormatting>
  <conditionalFormatting sqref="K38:K42">
    <cfRule type="colorScale" priority="1729">
      <colorScale>
        <cfvo type="percent" val="0"/>
        <cfvo type="percent" val="100"/>
        <color rgb="FFFF231B"/>
        <color rgb="FF10FF07"/>
      </colorScale>
    </cfRule>
  </conditionalFormatting>
  <conditionalFormatting sqref="O5:O10 Q5:Q10 V5:V10 X5:X10 AC5:AC10 AE5:AE10 AJ5:AJ10 AL5:AL10 AQ5:AQ10 AS5:AS10 AX5:AX10 AZ5:AZ10 BE5:BE10 BG5:BG10 BL5:BL10 BN5:BN10 O13:O21 Q13:Q21 V13:V21 X13:X21 AC13:AC21 AE13:AE21 AJ13:AJ21 AL13:AL21 AQ13:AQ21 AS13:AS21 AX13:AX21 AZ13:AZ21 BE13:BE21 BG13:BG21 BL13:BL21 BN13:BN21 BS13:BS21 BU13:BU21 BZ13:BZ21 CB13:CB21 CG13:CG21 CI13:CI21 CN13:CN21 CP13:CP21 CU13:CU21 CW13:CW21 DB13:DB21 DD13:DD21 O24:O28 Q24:Q28 V24:V28 X24:X28 AC24:AC28 AE24:AE28 AJ24:AJ28 AL24:AL28 AQ24:AQ28 AS24:AS28 AX24:AX28 AZ24:AZ28 BE24:BE28 BG24:BG28 BL24:BL28 BN24:BN28 BS24:BS28 BU24:BU28 BZ24:BZ28 CB24:CB28 CG24:CG28 CI24:CI28 CN24:CN28 CP24:CP28 CU24:CU28 CW24:CW28 DB24:DB28 DD24:DD28 O31:O35 Q31:Q35 V31:V35 X31:X35 AC31:AC35 AE31:AE35 AJ31:AJ35 AL31:AL35 AQ31:AQ35 AS31:AS35 AX31:AX35 AZ31:AZ35 BE31:BE35 BG31:BG35 BL31:BL35 BN31:BN35 BS31:BS35 BU31:BU35 BZ31:BZ35 CB31:CB35 CG31:CG35 CI31:CI35 CN31:CN35 CP31:CP35 CU31:CU35 CW31:CW35 DB31:DB35 DD31:DD35 O38:O42 Q38:Q42 V38:V42 X38:X42 AC38:AC42 AE38:AE42 AJ38:AJ42 AL38:AL42 AQ38:AQ42 AS38:AS42 AX38:AX42 AZ38:AZ42 BE38:BE42 BG38:BG42 BL38:BL42 BN38:BN42 BS38:BS42 BU38:BU42 BZ38:BZ42 CB38:CB42 CG38:CG42 CI38:CI42 CN38:CN42 CP38:CP42 CU38:CU42 CW38:CW42 DB38:DB42 DD38:DD42">
    <cfRule type="expression" dxfId="35" priority="590">
      <formula>IF(O5&gt;=P5,IF(O5="",FALSE,TRUE))</formula>
    </cfRule>
    <cfRule type="expression" dxfId="34" priority="589">
      <formula>OR(IF(O5&lt;P5,TRUE),IF(AND(P5="",O5&lt;&gt;""),TRUE))</formula>
    </cfRule>
  </conditionalFormatting>
  <conditionalFormatting sqref="BS5:BS10 BU5:BU10">
    <cfRule type="expression" dxfId="33" priority="145">
      <formula>OR(IF(BS5&lt;BT5,TRUE),IF(AND(BT5="",BS5&lt;&gt;""),TRUE))</formula>
    </cfRule>
    <cfRule type="expression" dxfId="32" priority="146">
      <formula>IF(BS5&gt;=BT5,IF(BS5="",FALSE,TRUE))</formula>
    </cfRule>
  </conditionalFormatting>
  <conditionalFormatting sqref="BZ5:BZ10">
    <cfRule type="expression" dxfId="31" priority="126">
      <formula>IF(BZ5&gt;=CA5,IF(BZ5="",FALSE,TRUE))</formula>
    </cfRule>
    <cfRule type="expression" dxfId="30" priority="125">
      <formula>OR(IF(BZ5&lt;CA5,TRUE),IF(AND(CA5="",BZ5&lt;&gt;""),TRUE))</formula>
    </cfRule>
  </conditionalFormatting>
  <conditionalFormatting sqref="CB5:CB10">
    <cfRule type="expression" dxfId="29" priority="26">
      <formula>IF(CB5&gt;=CC5,IF(CB5="",FALSE,TRUE))</formula>
    </cfRule>
    <cfRule type="expression" dxfId="28" priority="25">
      <formula>OR(IF(CB5&lt;CC5,TRUE),IF(AND(CC5="",CB5&lt;&gt;""),TRUE))</formula>
    </cfRule>
  </conditionalFormatting>
  <conditionalFormatting sqref="CG5:CG10 CI5:CI10">
    <cfRule type="expression" dxfId="27" priority="106">
      <formula>IF(CG5&gt;=CH5,IF(CG5="",FALSE,TRUE))</formula>
    </cfRule>
    <cfRule type="expression" dxfId="26" priority="105">
      <formula>OR(IF(CG5&lt;CH5,TRUE),IF(AND(CH5="",CG5&lt;&gt;""),TRUE))</formula>
    </cfRule>
  </conditionalFormatting>
  <conditionalFormatting sqref="CN5:CN10 CP5:CP10">
    <cfRule type="expression" dxfId="25" priority="86">
      <formula>IF(CN5&gt;=CO5,IF(CN5="",FALSE,TRUE))</formula>
    </cfRule>
    <cfRule type="expression" dxfId="24" priority="85">
      <formula>OR(IF(CN5&lt;CO5,TRUE),IF(AND(CO5="",CN5&lt;&gt;""),TRUE))</formula>
    </cfRule>
  </conditionalFormatting>
  <conditionalFormatting sqref="CU5:CU10 CW5:CW10">
    <cfRule type="expression" dxfId="23" priority="66">
      <formula>IF(CU5&gt;=CV5,IF(CU5="",FALSE,TRUE))</formula>
    </cfRule>
    <cfRule type="expression" dxfId="22" priority="65">
      <formula>OR(IF(CU5&lt;CV5,TRUE),IF(AND(CV5="",CU5&lt;&gt;""),TRUE))</formula>
    </cfRule>
  </conditionalFormatting>
  <conditionalFormatting sqref="DB5:DB10 DD5:DD10">
    <cfRule type="expression" dxfId="21" priority="46">
      <formula>IF(DB5&gt;=DC5,IF(DB5="",FALSE,TRUE))</formula>
    </cfRule>
    <cfRule type="expression" dxfId="20" priority="45">
      <formula>OR(IF(DB5&lt;DC5,TRUE),IF(AND(DC5="",DB5&lt;&gt;""),TRUE))</formula>
    </cfRule>
  </conditionalFormatting>
  <conditionalFormatting sqref="DI5:DI10 DK5:DK10">
    <cfRule type="expression" dxfId="19" priority="18">
      <formula>IF(DI5&gt;=DJ5,IF(DI5="",FALSE,TRUE))</formula>
    </cfRule>
    <cfRule type="expression" dxfId="18" priority="17">
      <formula>OR(IF(DI5&lt;DJ5,TRUE),IF(AND(DJ5="",DI5&lt;&gt;""),TRUE))</formula>
    </cfRule>
  </conditionalFormatting>
  <conditionalFormatting sqref="DI13:DI21 DK13:DK21 DI24:DI28 DK24:DK28 DI31:DI35 DK31:DK35 DI38:DI42 DK38:DK42">
    <cfRule type="expression" dxfId="17" priority="20">
      <formula>IF(DI13&gt;=DJ13,IF(DI13="",FALSE,TRUE))</formula>
    </cfRule>
    <cfRule type="expression" dxfId="16" priority="19">
      <formula>OR(IF(DI13&lt;DJ13,TRUE),IF(AND(DJ13="",DI13&lt;&gt;""),TRUE))</formula>
    </cfRule>
  </conditionalFormatting>
  <conditionalFormatting sqref="DP5:DP10 DR5:DR10">
    <cfRule type="expression" dxfId="15" priority="9">
      <formula>OR(IF(DP5&lt;DQ5,TRUE),IF(AND(DQ5="",DP5&lt;&gt;""),TRUE))</formula>
    </cfRule>
    <cfRule type="expression" dxfId="14" priority="10">
      <formula>IF(DP5&gt;=DQ5,IF(DP5="",FALSE,TRUE))</formula>
    </cfRule>
  </conditionalFormatting>
  <conditionalFormatting sqref="DP13:DP21 DR13:DR21 DP24:DP28 DR24:DR28 DP31:DP35 DR31:DR35 DP38:DP42 DR38:DR42">
    <cfRule type="expression" dxfId="13" priority="12">
      <formula>IF(DP13&gt;=DQ13,IF(DP13="",FALSE,TRUE))</formula>
    </cfRule>
    <cfRule type="expression" dxfId="12" priority="11">
      <formula>OR(IF(DP13&lt;DQ13,TRUE),IF(AND(DQ13="",DP13&lt;&gt;""),TRUE))</formula>
    </cfRule>
  </conditionalFormatting>
  <dataValidations count="1">
    <dataValidation type="list" allowBlank="1" showInputMessage="1" showErrorMessage="1" sqref="AJ38:AM42 AJ13:AM21 AQ31:AT35 AX13:BA21 BE38:BH42 BL38:BO42 BS5:BV10 O13:R21 CG13:CJ21 BS13:BV21 CN5:CQ10 CN13:CQ21 DP13:DS21 DB5:DE10 BL13:BO21 O38:R42 O5:R10 AX38:BA42 AJ5:AM10 AC24:AF28 V13:Y21 BS31:BV35 BZ31:CC35 BE13:BH21 BZ13:CC21 CG31:CJ35 CU5:CX10 DB24:DE28 DB31:DE35 CU24:CX28 CN38:CQ42 CN24:CQ28 BZ38:CC42 BS38:BV42 V5:Y10 AC31:AF35 AC5:AF10 AQ13:AT21 AX5:BA10 AX31:BA35 V24:Y28 BL24:BO28 AC13:AF21 BZ5:CC10 BL31:BO35 BE24:BH28 BE31:BH35 AQ24:AT28 AJ31:AM35 V31:Y35 O31:R35 CG5:CJ10 CG38:CJ42 DB38:DE42 CU38:CX42 CX29 O24:R28 CG24:CJ28 DB13:DE21 CU31:CX35 BZ24:CC28 CN31:CQ35 BS24:BV28 BL5:BO10 BE5:BH10 AQ5:AT10 AX24:BA28 AQ38:AT42 AJ24:AM28 AC38:AF42 DI5:DL10 DI24:DL28 DI31:DL35 DI38:DL42 DI13:DL21 DP5:DS10 DP24:DS28 DP31:DS35 DP38:DS42 CU13:CX21 AT22 V38:Y4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16</v>
      </c>
    </row>
    <row r="6" spans="2:2">
      <c r="B6" s="2" t="s">
        <v>13</v>
      </c>
    </row>
    <row r="7" spans="2:2" ht="47.25">
      <c r="B7" s="1" t="s">
        <v>14</v>
      </c>
    </row>
    <row r="9" spans="2:2">
      <c r="B9" s="2" t="s">
        <v>15</v>
      </c>
    </row>
    <row r="10" spans="2:2" ht="63">
      <c r="B10" s="1" t="s">
        <v>40</v>
      </c>
    </row>
    <row r="12" spans="2:2">
      <c r="B12" s="2" t="s">
        <v>17</v>
      </c>
    </row>
    <row r="13" spans="2:2" ht="126">
      <c r="B13" s="1" t="s">
        <v>18</v>
      </c>
    </row>
    <row r="15" spans="2:2">
      <c r="B15" s="2" t="s">
        <v>19</v>
      </c>
    </row>
    <row r="16" spans="2:2" ht="110.25">
      <c r="B16" s="1" t="s">
        <v>20</v>
      </c>
    </row>
    <row r="17" spans="2:2">
      <c r="B17" s="1"/>
    </row>
    <row r="18" spans="2:2">
      <c r="B18" s="2" t="s">
        <v>39</v>
      </c>
    </row>
    <row r="19" spans="2:2" ht="141.75">
      <c r="B19" s="1" t="s">
        <v>41</v>
      </c>
    </row>
    <row r="21" spans="2:2">
      <c r="B21" s="2" t="s">
        <v>21</v>
      </c>
    </row>
    <row r="22" spans="2:2" ht="110.25">
      <c r="B22" s="1" t="s">
        <v>42</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49</v>
      </c>
      <c r="B1" s="15" t="s">
        <v>46</v>
      </c>
      <c r="C1" s="15" t="s">
        <v>47</v>
      </c>
      <c r="D1" s="15" t="s">
        <v>48</v>
      </c>
      <c r="E1" s="1" t="s">
        <v>50</v>
      </c>
      <c r="F1" s="1" t="s">
        <v>51</v>
      </c>
      <c r="G1" s="1" t="s">
        <v>52</v>
      </c>
      <c r="H1" s="1" t="s">
        <v>53</v>
      </c>
      <c r="I1" s="1" t="s">
        <v>54</v>
      </c>
      <c r="J1" s="1" t="s">
        <v>55</v>
      </c>
      <c r="K1" s="1" t="s">
        <v>56</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Paweł</cp:lastModifiedBy>
  <dcterms:created xsi:type="dcterms:W3CDTF">2020-04-19T13:33:28Z</dcterms:created>
  <dcterms:modified xsi:type="dcterms:W3CDTF">2023-04-27T12:48:11Z</dcterms:modified>
</cp:coreProperties>
</file>