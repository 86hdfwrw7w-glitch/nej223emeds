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https://wwums-my.sharepoint.com/personal/jgerlach_on_wwu_de/Documents/"/>
    </mc:Choice>
  </mc:AlternateContent>
  <xr:revisionPtr revIDLastSave="2233" documentId="8_{7D317C1C-D48D-AA41-AE70-87E630C69E3A}" xr6:coauthVersionLast="47" xr6:coauthVersionMax="47" xr10:uidLastSave="{B03A39DF-A1F1-AD44-A390-BCF6FC695EF7}"/>
  <bookViews>
    <workbookView xWindow="0" yWindow="0" windowWidth="28800" windowHeight="18000" activeTab="1" xr2:uid="{50F29292-BE80-0C47-A0D2-DD086CB3D310}"/>
  </bookViews>
  <sheets>
    <sheet name="ANLEITUNG" sheetId="10" r:id="rId1"/>
    <sheet name="Semesterplan" sheetId="7" r:id="rId2"/>
    <sheet name="Tabelle1" sheetId="11" r:id="rId3"/>
    <sheet name="Best-Practices" sheetId="2" r:id="rId4"/>
    <sheet name="COMMITTMENT" sheetId="9" r:id="rId5"/>
    <sheet name="Wochenplan KW 42" sheetId="3" r:id="rId6"/>
    <sheet name="Wochenplan KW 43"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C7" i="10"/>
  <c r="K95" i="7" a="1"/>
  <c r="K95" i="7" s="1"/>
  <c r="J95" i="7" a="1"/>
  <c r="J95" i="7" s="1"/>
  <c r="C12" i="10"/>
  <c r="I75" i="7"/>
  <c r="J75" i="7" a="1"/>
  <c r="J75" i="7" s="1"/>
  <c r="K75" i="7" a="1"/>
  <c r="K75" i="7" s="1"/>
  <c r="I76" i="7"/>
  <c r="J76" i="7" a="1"/>
  <c r="J76" i="7" s="1"/>
  <c r="K76" i="7" a="1"/>
  <c r="K76" i="7" s="1"/>
  <c r="I68" i="7"/>
  <c r="J68" i="7" a="1"/>
  <c r="J68" i="7" s="1"/>
  <c r="K68" i="7" a="1"/>
  <c r="K68" i="7" s="1"/>
  <c r="K6" i="7" a="1"/>
  <c r="K6" i="7" s="1"/>
  <c r="G4" i="7"/>
  <c r="K9" i="7" a="1"/>
  <c r="K9" i="7" s="1"/>
  <c r="J9" i="7" a="1"/>
  <c r="J9" i="7" s="1"/>
  <c r="K7" i="7" a="1"/>
  <c r="K7" i="7" s="1"/>
  <c r="J7" i="7" a="1"/>
  <c r="J7" i="7" s="1"/>
  <c r="I7" i="7"/>
  <c r="J8" i="7" a="1"/>
  <c r="J8" i="7" s="1"/>
  <c r="K8" i="7" a="1"/>
  <c r="K8" i="7" s="1"/>
  <c r="K13" i="7" a="1"/>
  <c r="K13" i="7" s="1"/>
  <c r="J13" i="7" a="1"/>
  <c r="J13" i="7" s="1"/>
  <c r="G37" i="7"/>
  <c r="G59" i="7"/>
  <c r="G15" i="7"/>
  <c r="G81" i="7"/>
  <c r="I61" i="7"/>
  <c r="I62" i="7"/>
  <c r="I63" i="7"/>
  <c r="I64" i="7"/>
  <c r="I66" i="7"/>
  <c r="I67" i="7"/>
  <c r="I69" i="7"/>
  <c r="I70" i="7"/>
  <c r="I72" i="7"/>
  <c r="I73" i="7"/>
  <c r="I74" i="7"/>
  <c r="I77" i="7"/>
  <c r="I78" i="7"/>
  <c r="I15" i="7"/>
  <c r="K79" i="7" a="1"/>
  <c r="K79" i="7" s="1"/>
  <c r="J79" i="7" a="1"/>
  <c r="J79" i="7" s="1"/>
  <c r="I79" i="7"/>
  <c r="K78" i="7" a="1"/>
  <c r="K78" i="7" s="1"/>
  <c r="J78" i="7" a="1"/>
  <c r="J78" i="7" s="1"/>
  <c r="K77" i="7" a="1"/>
  <c r="K77" i="7" s="1"/>
  <c r="J77" i="7" a="1"/>
  <c r="J77" i="7" s="1"/>
  <c r="K74" i="7" a="1"/>
  <c r="K74" i="7" s="1"/>
  <c r="J74" i="7" a="1"/>
  <c r="J74" i="7" s="1"/>
  <c r="K73" i="7" a="1"/>
  <c r="K73" i="7" s="1"/>
  <c r="J73" i="7" a="1"/>
  <c r="J73" i="7" s="1"/>
  <c r="K72" i="7" a="1"/>
  <c r="K72" i="7" s="1"/>
  <c r="J72" i="7" a="1"/>
  <c r="J72" i="7" s="1"/>
  <c r="K71" i="7" a="1"/>
  <c r="K71" i="7" s="1"/>
  <c r="J71" i="7" a="1"/>
  <c r="J71" i="7" s="1"/>
  <c r="K70" i="7" a="1"/>
  <c r="K70" i="7" s="1"/>
  <c r="J70" i="7" a="1"/>
  <c r="J70" i="7" s="1"/>
  <c r="K69" i="7" a="1"/>
  <c r="K69" i="7" s="1"/>
  <c r="J69" i="7" a="1"/>
  <c r="J69" i="7" s="1"/>
  <c r="K67" i="7" a="1"/>
  <c r="K67" i="7" s="1"/>
  <c r="J67" i="7" a="1"/>
  <c r="J67" i="7" s="1"/>
  <c r="K66" i="7" a="1"/>
  <c r="K66" i="7" s="1"/>
  <c r="J66" i="7" a="1"/>
  <c r="J66" i="7" s="1"/>
  <c r="K65" i="7" a="1"/>
  <c r="K65" i="7" s="1"/>
  <c r="J65" i="7" a="1"/>
  <c r="J65" i="7" s="1"/>
  <c r="I37" i="7"/>
  <c r="O37" i="7"/>
  <c r="V37" i="7"/>
  <c r="AC37" i="7"/>
  <c r="AJ37" i="7"/>
  <c r="AQ37" i="7"/>
  <c r="AX37" i="7"/>
  <c r="BE37" i="7"/>
  <c r="BL37" i="7"/>
  <c r="BS37" i="7"/>
  <c r="BZ37" i="7"/>
  <c r="CG37" i="7"/>
  <c r="CN37" i="7"/>
  <c r="CU37" i="7"/>
  <c r="DB37" i="7"/>
  <c r="DI37" i="7"/>
  <c r="DP37" i="7"/>
  <c r="DW37" i="7"/>
  <c r="ED37" i="7"/>
  <c r="J38" i="7" a="1"/>
  <c r="J38" i="7" s="1"/>
  <c r="K38" i="7" a="1"/>
  <c r="K38" i="7" s="1"/>
  <c r="K35" i="7" a="1"/>
  <c r="K35" i="7" s="1"/>
  <c r="K34" i="7" a="1"/>
  <c r="K34" i="7" s="1"/>
  <c r="K33" i="7" a="1"/>
  <c r="K33" i="7" s="1"/>
  <c r="K32" i="7" a="1"/>
  <c r="K32" i="7" s="1"/>
  <c r="K31" i="7" a="1"/>
  <c r="K31" i="7" s="1"/>
  <c r="K30" i="7" a="1"/>
  <c r="K30" i="7" s="1"/>
  <c r="K29" i="7" a="1"/>
  <c r="K29" i="7" s="1"/>
  <c r="K28" i="7" a="1"/>
  <c r="K28" i="7" s="1"/>
  <c r="K27" i="7" a="1"/>
  <c r="K27" i="7" s="1"/>
  <c r="K26" i="7" a="1"/>
  <c r="K26" i="7" s="1"/>
  <c r="K25" i="7" a="1"/>
  <c r="K25" i="7" s="1"/>
  <c r="K24" i="7" a="1"/>
  <c r="K24" i="7" s="1"/>
  <c r="I6" i="7"/>
  <c r="I12" i="7"/>
  <c r="K101" i="7" a="1"/>
  <c r="K101" i="7" s="1"/>
  <c r="J101" i="7" a="1"/>
  <c r="J101" i="7" s="1"/>
  <c r="I101" i="7"/>
  <c r="K100" i="7" a="1"/>
  <c r="K100" i="7" s="1"/>
  <c r="J100" i="7" a="1"/>
  <c r="J100" i="7" s="1"/>
  <c r="K99" i="7" a="1"/>
  <c r="K99" i="7" s="1"/>
  <c r="J99" i="7" a="1"/>
  <c r="J99" i="7" s="1"/>
  <c r="K98" i="7" a="1"/>
  <c r="K98" i="7" s="1"/>
  <c r="J98" i="7" a="1"/>
  <c r="J98" i="7" s="1"/>
  <c r="I98" i="7"/>
  <c r="K97" i="7" a="1"/>
  <c r="K97" i="7" s="1"/>
  <c r="J97" i="7" a="1"/>
  <c r="J97" i="7" s="1"/>
  <c r="I97" i="7"/>
  <c r="K96" i="7" a="1"/>
  <c r="K96" i="7" s="1"/>
  <c r="J96" i="7" a="1"/>
  <c r="J96" i="7" s="1"/>
  <c r="K94" i="7" a="1"/>
  <c r="K94" i="7" s="1"/>
  <c r="J94" i="7" a="1"/>
  <c r="J94" i="7" s="1"/>
  <c r="K93" i="7" a="1"/>
  <c r="K93" i="7" s="1"/>
  <c r="J93" i="7" a="1"/>
  <c r="J93" i="7" s="1"/>
  <c r="I93" i="7"/>
  <c r="K92" i="7" a="1"/>
  <c r="K92" i="7" s="1"/>
  <c r="J92" i="7" a="1"/>
  <c r="J92" i="7" s="1"/>
  <c r="I92" i="7"/>
  <c r="K91" i="7" a="1"/>
  <c r="K91" i="7" s="1"/>
  <c r="J91" i="7" a="1"/>
  <c r="J91" i="7" s="1"/>
  <c r="K90" i="7" a="1"/>
  <c r="K90" i="7" s="1"/>
  <c r="J90" i="7" a="1"/>
  <c r="J90" i="7" s="1"/>
  <c r="K89" i="7" a="1"/>
  <c r="K89" i="7" s="1"/>
  <c r="J89" i="7" a="1"/>
  <c r="J89" i="7" s="1"/>
  <c r="I89" i="7"/>
  <c r="K88" i="7" a="1"/>
  <c r="K88" i="7" s="1"/>
  <c r="J88" i="7" a="1"/>
  <c r="J88" i="7" s="1"/>
  <c r="I88" i="7"/>
  <c r="K87" i="7" a="1"/>
  <c r="K87" i="7" s="1"/>
  <c r="J87" i="7" a="1"/>
  <c r="J87" i="7" s="1"/>
  <c r="K86" i="7" a="1"/>
  <c r="K86" i="7" s="1"/>
  <c r="J86" i="7" a="1"/>
  <c r="J86" i="7" s="1"/>
  <c r="K52" i="7" a="1"/>
  <c r="K52" i="7" s="1"/>
  <c r="J52" i="7" a="1"/>
  <c r="J52" i="7" s="1"/>
  <c r="K51" i="7" a="1"/>
  <c r="K51" i="7" s="1"/>
  <c r="J51" i="7" a="1"/>
  <c r="J51" i="7" s="1"/>
  <c r="K50" i="7" a="1"/>
  <c r="K50" i="7" s="1"/>
  <c r="J50" i="7" a="1"/>
  <c r="J50" i="7" s="1"/>
  <c r="K49" i="7" a="1"/>
  <c r="K49" i="7" s="1"/>
  <c r="J49" i="7" a="1"/>
  <c r="J49" i="7" s="1"/>
  <c r="K48" i="7" a="1"/>
  <c r="K48" i="7" s="1"/>
  <c r="J48" i="7" a="1"/>
  <c r="J48" i="7" s="1"/>
  <c r="K47" i="7" a="1"/>
  <c r="K47" i="7" s="1"/>
  <c r="J47" i="7" a="1"/>
  <c r="J47" i="7" s="1"/>
  <c r="K46" i="7" a="1"/>
  <c r="K46" i="7" s="1"/>
  <c r="J46" i="7" a="1"/>
  <c r="J46" i="7" s="1"/>
  <c r="K45" i="7" a="1"/>
  <c r="K45" i="7" s="1"/>
  <c r="J45" i="7" a="1"/>
  <c r="J45" i="7" s="1"/>
  <c r="K44" i="7" a="1"/>
  <c r="K44" i="7" s="1"/>
  <c r="J44" i="7" a="1"/>
  <c r="J44" i="7" s="1"/>
  <c r="K43" i="7" a="1"/>
  <c r="K43" i="7" s="1"/>
  <c r="J43" i="7" a="1"/>
  <c r="J43" i="7" s="1"/>
  <c r="K42" i="7" a="1"/>
  <c r="K42" i="7" s="1"/>
  <c r="J42" i="7" a="1"/>
  <c r="J42" i="7" s="1"/>
  <c r="K23" i="7" a="1"/>
  <c r="K23" i="7" s="1"/>
  <c r="K22" i="7" a="1"/>
  <c r="K22" i="7" s="1"/>
  <c r="K21" i="7" a="1"/>
  <c r="K21" i="7" s="1"/>
  <c r="K20" i="7" a="1"/>
  <c r="K20" i="7" s="1"/>
  <c r="K19" i="7" a="1"/>
  <c r="K19" i="7" s="1"/>
  <c r="K12" i="7" a="1"/>
  <c r="K12" i="7" s="1"/>
  <c r="J12" i="7" a="1"/>
  <c r="J12" i="7" s="1"/>
  <c r="K11" i="7" a="1"/>
  <c r="K11" i="7" s="1"/>
  <c r="J11" i="7" a="1"/>
  <c r="J11" i="7" s="1"/>
  <c r="K10" i="7" a="1"/>
  <c r="K10" i="7" s="1"/>
  <c r="J10" i="7" a="1"/>
  <c r="J10" i="7" s="1"/>
  <c r="I59" i="7" l="1"/>
  <c r="I4" i="7"/>
  <c r="K85" i="7" a="1"/>
  <c r="K85" i="7" s="1"/>
  <c r="J85" i="7" a="1"/>
  <c r="J85" i="7" s="1"/>
  <c r="I85" i="7"/>
  <c r="K84" i="7" a="1"/>
  <c r="K84" i="7" s="1"/>
  <c r="J84" i="7" a="1"/>
  <c r="J84" i="7" s="1"/>
  <c r="I84" i="7"/>
  <c r="K83" i="7" a="1"/>
  <c r="K83" i="7" s="1"/>
  <c r="J83" i="7" a="1"/>
  <c r="J83" i="7" s="1"/>
  <c r="K82" i="7" a="1"/>
  <c r="K82" i="7" s="1"/>
  <c r="J82" i="7" a="1"/>
  <c r="J82" i="7" s="1"/>
  <c r="AJ81" i="7"/>
  <c r="AJ59" i="7" s="1"/>
  <c r="AC81" i="7"/>
  <c r="AC59" i="7" s="1"/>
  <c r="V81" i="7"/>
  <c r="O81" i="7"/>
  <c r="O59" i="7" s="1"/>
  <c r="K16" i="7" a="1"/>
  <c r="K16" i="7" s="1"/>
  <c r="K17" i="7" a="1"/>
  <c r="K17" i="7" s="1"/>
  <c r="K18" i="7" a="1"/>
  <c r="K18" i="7" s="1"/>
  <c r="J6" i="7" a="1"/>
  <c r="J6" i="7" s="1"/>
  <c r="K5" i="7" a="1"/>
  <c r="K5" i="7" s="1"/>
  <c r="J5" i="7" a="1"/>
  <c r="J5" i="7" s="1"/>
  <c r="K64" i="7" a="1"/>
  <c r="K64" i="7" s="1"/>
  <c r="J64" i="7" a="1"/>
  <c r="J64" i="7" s="1"/>
  <c r="K63" i="7" a="1"/>
  <c r="K63" i="7" s="1"/>
  <c r="J63" i="7" a="1"/>
  <c r="J63" i="7" s="1"/>
  <c r="K62" i="7" a="1"/>
  <c r="K62" i="7" s="1"/>
  <c r="J62" i="7" a="1"/>
  <c r="J62" i="7" s="1"/>
  <c r="K61" i="7" a="1"/>
  <c r="K61" i="7" s="1"/>
  <c r="J61" i="7" a="1"/>
  <c r="J61" i="7" s="1"/>
  <c r="K60" i="7" a="1"/>
  <c r="K60" i="7" s="1"/>
  <c r="J60" i="7" a="1"/>
  <c r="J60" i="7" s="1"/>
  <c r="V59" i="7"/>
  <c r="V15" i="7"/>
  <c r="O15" i="7"/>
  <c r="K41" i="7" a="1"/>
  <c r="K41" i="7" s="1"/>
  <c r="J41" i="7" a="1"/>
  <c r="J41" i="7" s="1"/>
  <c r="K40" i="7" a="1"/>
  <c r="K40" i="7" s="1"/>
  <c r="J40" i="7" a="1"/>
  <c r="J40" i="7" s="1"/>
  <c r="K39" i="7" a="1"/>
  <c r="K39" i="7" s="1"/>
  <c r="J39" i="7" a="1"/>
  <c r="J39" i="7" s="1"/>
  <c r="AJ15" i="7"/>
  <c r="AC15" i="7"/>
  <c r="K37" i="7" l="1"/>
  <c r="K15" i="7" s="1"/>
  <c r="J37" i="7"/>
  <c r="J35" i="7" s="1"/>
  <c r="J34" i="7" s="1"/>
  <c r="J33" i="7" s="1"/>
  <c r="J32" i="7" s="1"/>
  <c r="J31" i="7" s="1"/>
  <c r="J30" i="7" s="1"/>
  <c r="J29" i="7" s="1"/>
  <c r="J28" i="7" s="1"/>
  <c r="J27" i="7" s="1"/>
  <c r="J26" i="7" s="1"/>
  <c r="J25" i="7" s="1"/>
  <c r="J24" i="7" s="1"/>
  <c r="J23" i="7" s="1"/>
  <c r="J22" i="7" s="1"/>
  <c r="J21" i="7" s="1"/>
  <c r="J20" i="7" s="1"/>
  <c r="J19" i="7" s="1"/>
  <c r="J18" i="7" s="1"/>
  <c r="J17" i="7" s="1"/>
  <c r="J16" i="7" s="1"/>
  <c r="I81" i="7"/>
  <c r="J81" i="7"/>
  <c r="J59" i="7" s="1"/>
  <c r="K81" i="7"/>
  <c r="K59" i="7" s="1"/>
  <c r="O4" i="7"/>
  <c r="AC4" i="7"/>
  <c r="AJ4" i="7"/>
  <c r="V4" i="7"/>
  <c r="K4" i="7" l="1"/>
  <c r="J15" i="7"/>
  <c r="J4" i="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<sst xmlns="http://schemas.openxmlformats.org/spreadsheetml/2006/main" count="674" uniqueCount="316">
  <si>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</si>
  <si>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</si>
  <si>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</si>
  <si>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</si>
  <si>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</si>
  <si>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</si>
  <si>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</si>
  <si>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</si>
  <si>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</si>
  <si>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</si>
  <si>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</si>
  <si>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</si>
  <si>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</si>
  <si>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</si>
  <si>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</si>
  <si>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</si>
  <si>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</si>
  <si>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</si>
  <si>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</si>
  <si>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</si>
  <si>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</si>
  <si>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</si>
  <si>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</si>
  <si>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</si>
  <si>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</si>
  <si>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</si>
  <si>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</si>
  <si>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</si>
  <si>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</si>
  <si>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</si>
  <si>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</si>
  <si>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</si>
  <si>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</si>
  <si>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</si>
  <si>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</si>
  <si>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</si>
  <si>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</si>
  <si>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</si>
  <si>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</si>
  <si>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</si>
  <si>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</si>
  <si>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</si>
  <si>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</si>
  <si>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</si>
  <si>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</si>
  <si>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</si>
  <si>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</si>
  <si>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</si>
  <si>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</si>
  <si>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</si>
  <si>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</si>
  <si>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</si>
  <si>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</si>
  <si>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</si>
  <si>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</si>
  <si>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</si>
  <si>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</si>
  <si>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</si>
  <si>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</si>
  <si>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</si>
  <si>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</si>
  <si>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</si>
  <si>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</si>
  <si>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</si>
  <si>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</si>
  <si>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</si>
  <si>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</si>
  <si>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</si>
  <si>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</si>
  <si>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</si>
  <si>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</si>
  <si>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</si>
  <si>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</si>
  <si>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</si>
  <si>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</si>
  <si>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</si>
  <si>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</si>
  <si>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</si>
  <si>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</si>
  <si>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</si>
  <si>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</si>
  <si>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</si>
  <si>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</si>
  <si>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</si>
  <si>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</si>
  <si>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Analysis</t>
  </si>
  <si>
    <t>4.2.23-24.2.23</t>
  </si>
  <si>
    <t>LP</t>
  </si>
  <si>
    <t xml:space="preserve">Wirtschafts- und Unternehmensethik </t>
  </si>
  <si>
    <t xml:space="preserve">Mikroökonomik </t>
  </si>
  <si>
    <t xml:space="preserve">1) Haushaltstheorie </t>
  </si>
  <si>
    <t>Mikroökonomik</t>
  </si>
  <si>
    <t>VWL</t>
  </si>
  <si>
    <t>BWL</t>
  </si>
  <si>
    <t xml:space="preserve">1) Grundlagen der Ethik </t>
  </si>
  <si>
    <t xml:space="preserve">2) Moral und Rationalität </t>
  </si>
  <si>
    <t xml:space="preserve">3) Ansätze der Ethik </t>
  </si>
  <si>
    <t>4) Wann handelt Homo Oeconoicus moralisch?</t>
  </si>
  <si>
    <t xml:space="preserve">5) Die Ethik der Rahmenordnung </t>
  </si>
  <si>
    <t xml:space="preserve">6) Die Ethik des Unternehmens </t>
  </si>
  <si>
    <t xml:space="preserve">7) Die Ethik des Individuums im Unternehmen </t>
  </si>
  <si>
    <t xml:space="preserve">Ethik </t>
  </si>
  <si>
    <t>2.4.23-24.4.23</t>
  </si>
  <si>
    <t>KW 43</t>
  </si>
  <si>
    <t>KW 44</t>
  </si>
  <si>
    <t>KW 45</t>
  </si>
  <si>
    <t>KW 46</t>
  </si>
  <si>
    <t>KW 47</t>
  </si>
  <si>
    <t>KW 48</t>
  </si>
  <si>
    <t>KW 49</t>
  </si>
  <si>
    <t>KW 50</t>
  </si>
  <si>
    <t>KW 51</t>
  </si>
  <si>
    <t>KW 52</t>
  </si>
  <si>
    <t>KW 5 KLAUSUREN!!!</t>
  </si>
  <si>
    <t>KW 3 (Wiederholung)</t>
  </si>
  <si>
    <t>KW 4 (Wiederholung)</t>
  </si>
  <si>
    <t>KW 6 KLAUSUREN!!!</t>
  </si>
  <si>
    <t>KW 7 KLAUSUREN!!!</t>
  </si>
  <si>
    <t>KW 8 KLAUSUREN!!!</t>
  </si>
  <si>
    <t xml:space="preserve">BWL </t>
  </si>
  <si>
    <t xml:space="preserve">VWL </t>
  </si>
  <si>
    <t>1) "Theories of Business: The Pillars of Business Administration (ist unterteilt in die zwei nachfolgenden Vorlesungen)</t>
  </si>
  <si>
    <t>3) Was ist die BWL (in Term 1 des 1.Semesters-11.10-22.11)</t>
  </si>
  <si>
    <t>4) The Practices of Business: Learning from Leaders  (Start in term 2 des 1.Semesters- 28.11)</t>
  </si>
  <si>
    <t>5) You are the CEO NOW: How to manage your first company (Start in term 2 des 1.Semesters- 29.11)</t>
  </si>
  <si>
    <t xml:space="preserve">6)Applied Emprical Research (das sind Studien, an denen wir teilnehmen müssen. Das zählt nicht mit in die Modulnote rein, ist aber dennoch verpflichtend) </t>
  </si>
  <si>
    <t xml:space="preserve">1.1) Budgetrestriktion </t>
  </si>
  <si>
    <t>1.2) Präferenzen und Nutzen</t>
  </si>
  <si>
    <t>1.4) Nachfrage und Elastizität</t>
  </si>
  <si>
    <t xml:space="preserve">1.5) Konsumentenrente </t>
  </si>
  <si>
    <t>1.3) Konsumentscheidungen</t>
  </si>
  <si>
    <t xml:space="preserve">1.1) rationale Fkt. </t>
  </si>
  <si>
    <t xml:space="preserve">1.2) Exponentialfkt. </t>
  </si>
  <si>
    <t xml:space="preserve">1.3) Logarithmusfkt. </t>
  </si>
  <si>
    <t xml:space="preserve">1.4) Potenzfkt. </t>
  </si>
  <si>
    <t xml:space="preserve">1.5) Trigonomische Fkt. </t>
  </si>
  <si>
    <t xml:space="preserve">1.6) Fallweise Fkt. </t>
  </si>
  <si>
    <t xml:space="preserve">1) Funktionen </t>
  </si>
  <si>
    <t>2.2) Grenzwerte</t>
  </si>
  <si>
    <t>2.3) Summen</t>
  </si>
  <si>
    <t xml:space="preserve">2) Folgen und Reihen </t>
  </si>
  <si>
    <t xml:space="preserve">3) Differentialgleichung </t>
  </si>
  <si>
    <t xml:space="preserve">3.1) in 1 variable </t>
  </si>
  <si>
    <t xml:space="preserve">3.2) in n Variablen </t>
  </si>
  <si>
    <t>4.1) Flächenintegrale</t>
  </si>
  <si>
    <t xml:space="preserve">4.2) Stammfkt. </t>
  </si>
  <si>
    <t xml:space="preserve">4) Integralrechnung </t>
  </si>
  <si>
    <t>1.1) Top 5 Prinzipien der VWL</t>
  </si>
  <si>
    <t xml:space="preserve">1.2) ökonomisches Denken </t>
  </si>
  <si>
    <t xml:space="preserve">1.3) Wirtschaftskreislauf </t>
  </si>
  <si>
    <t xml:space="preserve">1) Was ist VWL (Economics)? </t>
  </si>
  <si>
    <t xml:space="preserve">2) Makroökonomik </t>
  </si>
  <si>
    <t xml:space="preserve">2.2) elementare Makroökonomik </t>
  </si>
  <si>
    <t xml:space="preserve">2.2.1) Einnahmen-Ausgabe-Modell </t>
  </si>
  <si>
    <t>2.1) Wirtschaftskreislauf und volkswirtschaftliche Zusammenrechnung (VGR)</t>
  </si>
  <si>
    <t xml:space="preserve">2.3) Produktion und Wachstum </t>
  </si>
  <si>
    <t xml:space="preserve">2.3.1) Produktionsmögllichkeitenkurve </t>
  </si>
  <si>
    <t xml:space="preserve">2.3.2) gesamtwirtschaftliche Produktionsfkt. </t>
  </si>
  <si>
    <t>2.3.3) Wirtschaftswachstum</t>
  </si>
  <si>
    <t xml:space="preserve">3) Geld und Kapitalmärkte </t>
  </si>
  <si>
    <t xml:space="preserve">4) Unternehmen und Märkte </t>
  </si>
  <si>
    <t>4.1) Angebotsentscheidung von Unternehmen</t>
  </si>
  <si>
    <t xml:space="preserve">4.2) Marktangebot und Marktnachfrage </t>
  </si>
  <si>
    <t xml:space="preserve">4.3) Marktgleichgewicht </t>
  </si>
  <si>
    <t>4.4) Marktformen</t>
  </si>
  <si>
    <t xml:space="preserve">2.1) Produktionsfunktion </t>
  </si>
  <si>
    <t>2) Unternehmenstheorie (Themen vom Sommersemester Skript)</t>
  </si>
  <si>
    <t>2.2) Kosten- und Kostenfunktion</t>
  </si>
  <si>
    <t xml:space="preserve">2.3) Produktions- und Kostenfunktion </t>
  </si>
  <si>
    <t>2.4) langfristige Kostenfunktion (evtl. noch löschen)</t>
  </si>
  <si>
    <t xml:space="preserve">2.5) externe Produktionseffekte </t>
  </si>
  <si>
    <t xml:space="preserve">2.6) Angebotsfunktion </t>
  </si>
  <si>
    <t>3) elementare Preistheorie (Skript von einer anderen FH)</t>
  </si>
  <si>
    <t>3.1) Preisgestaltung</t>
  </si>
  <si>
    <t xml:space="preserve">3.1.2) Kostenorientierte Preisgestaltung </t>
  </si>
  <si>
    <t xml:space="preserve">3.2.2) Nachfrageorientierte Preisgestaltung </t>
  </si>
  <si>
    <t xml:space="preserve">3.2) Konkurrenzorientierte Preisgestaltung </t>
  </si>
  <si>
    <t xml:space="preserve">3.3) Preisstrategien </t>
  </si>
  <si>
    <t xml:space="preserve">3.4) Bestimmung des Cournotschen Punktes bei S-förmigen Kostenverlauf </t>
  </si>
  <si>
    <t xml:space="preserve">aufstehen </t>
  </si>
  <si>
    <t>stretching routine</t>
  </si>
  <si>
    <r>
      <rPr>
        <sz val="10"/>
        <color theme="1"/>
        <rFont val="Calibri (Textkörper)"/>
      </rPr>
      <t>Beginn 1. Lernblock</t>
    </r>
    <r>
      <rPr>
        <sz val="12"/>
        <color theme="1"/>
        <rFont val="Calibri"/>
        <family val="2"/>
        <scheme val="minor"/>
      </rPr>
      <t xml:space="preserve"> </t>
    </r>
  </si>
  <si>
    <t>Beginn 2. Lernblock</t>
  </si>
  <si>
    <t xml:space="preserve">08:35-08:50 </t>
  </si>
  <si>
    <t>09:00-10:00</t>
  </si>
  <si>
    <t xml:space="preserve">15:00-15:05 </t>
  </si>
  <si>
    <t xml:space="preserve">Pause </t>
  </si>
  <si>
    <r>
      <rPr>
        <sz val="10"/>
        <color theme="1"/>
        <rFont val="Calibri (Textkörper)"/>
      </rPr>
      <t>Pause</t>
    </r>
    <r>
      <rPr>
        <sz val="12"/>
        <color theme="1"/>
        <rFont val="Calibri"/>
        <family val="2"/>
        <scheme val="minor"/>
      </rPr>
      <t xml:space="preserve"> </t>
    </r>
  </si>
  <si>
    <t xml:space="preserve">Modul 2: Karriereplanung, Praktikaauswahl, Videos "Kooperationen", "Praktikaauswahl- Mindset", "Vorgehen", "relevante Stellen", "Praktika-Auswahl" anschauen </t>
  </si>
  <si>
    <t>15:05-16:05</t>
  </si>
  <si>
    <t>16:05-16:10</t>
  </si>
  <si>
    <t xml:space="preserve">Modul 2: Karriereplanung, Unternehmenskooperation alle Videos anschauen </t>
  </si>
  <si>
    <t>16:10-16.50</t>
  </si>
  <si>
    <t>16:50-16:55</t>
  </si>
  <si>
    <t>16:55-18:00</t>
  </si>
  <si>
    <t xml:space="preserve">Unternhemensliste durchgehen und Unternhemen anschauen, wo ich mich bewerben möchte, wo ich mich bewerben muss, was benötige etc. </t>
  </si>
  <si>
    <t>18:00-18:30</t>
  </si>
  <si>
    <t>Essen kochen</t>
  </si>
  <si>
    <t xml:space="preserve">nach Münster fahren </t>
  </si>
  <si>
    <t xml:space="preserve">20:00-open End </t>
  </si>
  <si>
    <t xml:space="preserve">Enactus Infoveranstaltung </t>
  </si>
  <si>
    <r>
      <rPr>
        <sz val="10"/>
        <color theme="1"/>
        <rFont val="Calibri"/>
        <family val="2"/>
        <scheme val="minor"/>
      </rPr>
      <t>Pause</t>
    </r>
    <r>
      <rPr>
        <sz val="10"/>
        <color theme="1"/>
        <rFont val="Calibri (Textkörper)"/>
      </rPr>
      <t xml:space="preserve"> </t>
    </r>
  </si>
  <si>
    <t xml:space="preserve">Modul 7: Noten - passende Lerntechniken, , "Aufgaben", "Muss mann Tutorien, Mentorien, Übungen besuchen" und "Vorlesungen" durcharbeiten </t>
  </si>
  <si>
    <t xml:space="preserve">Modul 7: Noten - passende lerntechniken, Videos "ANKI- Tutorial",  "Gamechanger" durcharbeiten </t>
  </si>
  <si>
    <t>10:00-10:05</t>
  </si>
  <si>
    <t>10:05-11:05</t>
  </si>
  <si>
    <t xml:space="preserve">Tracking Sheet beenden- Level Ups verteilen </t>
  </si>
  <si>
    <t xml:space="preserve">13:00-14:00 </t>
  </si>
  <si>
    <t>Pause (evt. schnelles Frühstück machen)</t>
  </si>
  <si>
    <t xml:space="preserve">4.3) Integrationsregeln </t>
  </si>
  <si>
    <t xml:space="preserve">4.4) Anwendung </t>
  </si>
  <si>
    <t xml:space="preserve">4.5) Mehrfachintegrale </t>
  </si>
  <si>
    <t>11:05-11:10</t>
  </si>
  <si>
    <t>11:10- 13:00</t>
  </si>
  <si>
    <t>KW 1 2023</t>
  </si>
  <si>
    <t>KW 2 (beherrsche 100% des Lernstoffs)--&gt; wann ich welchen Stoff zu 100% beherrsche muss, ist von den Prüfungsterminen abhängig, die noch nicht bekannt sind. Deshalb erstmal jedes fach zu 100% bei in der 2. KW 2023</t>
  </si>
  <si>
    <t xml:space="preserve">3.1) Konsequentialistische Ethik </t>
  </si>
  <si>
    <t xml:space="preserve">3.2) Deontologische Ethik </t>
  </si>
  <si>
    <t xml:space="preserve">3.3) Tugendethik </t>
  </si>
  <si>
    <t xml:space="preserve">4.1) Compliance </t>
  </si>
  <si>
    <t xml:space="preserve">4.2) Kooperationsanreize </t>
  </si>
  <si>
    <t xml:space="preserve">5.1) Der Umverteilungsstaat </t>
  </si>
  <si>
    <t xml:space="preserve">5.1.1) Paretoverbessernde Umverteilung </t>
  </si>
  <si>
    <t xml:space="preserve">5.2) Maximin-Gerechtigkeit: Die Theorie der Gerechtigkeit von John Rawls </t>
  </si>
  <si>
    <t xml:space="preserve">5.3) Die soziale Marktwirtschaft als wirtschaftsethische Institution </t>
  </si>
  <si>
    <t xml:space="preserve">5.4) Die Marktgesellschaft </t>
  </si>
  <si>
    <t xml:space="preserve">6.1) Dimensionen der Unternehmensverantwortung </t>
  </si>
  <si>
    <t>7.1) Integrität und die Pflichten aus dem Arbeitsverhältnis</t>
  </si>
  <si>
    <t>7.2) Whistleblowing</t>
  </si>
  <si>
    <t xml:space="preserve">5 Fächer </t>
  </si>
  <si>
    <t>14:11-15:00</t>
  </si>
  <si>
    <t>Modul 2: Karriereplanung, Praktikaauswahl, Videos "dein nächster Schritt" und "dein nächster Schritt - Ergänzung" schauen und aktuelles Rating berechnen</t>
  </si>
  <si>
    <t xml:space="preserve">Übersicht </t>
  </si>
  <si>
    <t xml:space="preserve">große Pause </t>
  </si>
  <si>
    <t xml:space="preserve">zum check in den "personal development" DC schicken </t>
  </si>
  <si>
    <t>Ja</t>
  </si>
  <si>
    <t xml:space="preserve">Ich hatte einen guten Fokus über die Lernsessions verteilt und habe mich nicht ablenken lassen. Die letzte Stunde (16:55 Uhr- 18:00 Uhr) war allerdings sehr anstrengend und ich hatte das Gefühl, dass ich nicht mehr zu 100% konzentriert war. </t>
  </si>
  <si>
    <t>aufstehen</t>
  </si>
  <si>
    <t xml:space="preserve">Tagesplan für nächsten Tag erstellt </t>
  </si>
  <si>
    <t>Beginn 1. Lernblock</t>
  </si>
  <si>
    <t>Freitag (21.10.2022)</t>
  </si>
  <si>
    <t xml:space="preserve">Tracking Sheet beenden </t>
  </si>
  <si>
    <t>08:40-08:50</t>
  </si>
  <si>
    <t>Tasche packen</t>
  </si>
  <si>
    <t xml:space="preserve">Wiederholungen einbauen (alle 3-4Wochen) </t>
  </si>
  <si>
    <t>00:00-00:30</t>
  </si>
  <si>
    <t>schlafen</t>
  </si>
  <si>
    <t>06:50-08:40</t>
  </si>
  <si>
    <t>Modul 7 "akademische Leistungen"- Noten- Tracking Sheet- Video " Vorlernen nicht möglich- was tun?</t>
  </si>
  <si>
    <t xml:space="preserve">Zug abfahrt </t>
  </si>
  <si>
    <t xml:space="preserve">09:25-9:40 Uhr </t>
  </si>
  <si>
    <t>Praktikastellen raussuchen</t>
  </si>
  <si>
    <t xml:space="preserve">09:40-09:53 </t>
  </si>
  <si>
    <t>11:54-12:08</t>
  </si>
  <si>
    <t>12:08-13:22</t>
  </si>
  <si>
    <t>umsteigen, restlichen Tagesplan klären</t>
  </si>
  <si>
    <t xml:space="preserve">umsteigen, restlichen tagesplan klären </t>
  </si>
  <si>
    <t xml:space="preserve">08:50:09:00 </t>
  </si>
  <si>
    <t xml:space="preserve">essen machen </t>
  </si>
  <si>
    <t xml:space="preserve">zum Zug gehen </t>
  </si>
  <si>
    <t xml:space="preserve">Enactus Bewerbung korigieren </t>
  </si>
  <si>
    <t xml:space="preserve">09:53-11:10 </t>
  </si>
  <si>
    <t xml:space="preserve">Enactus Bewerbung korrigieren </t>
  </si>
  <si>
    <t>11:10-12:08</t>
  </si>
  <si>
    <t xml:space="preserve">2) Willkommen in der BWL  (in Term 1 des 1.Semesters- 11.10-22.11, Skripte bekommt man nur ) 2.1) Vorlesung 17.10.22- Wert in der BWL </t>
  </si>
  <si>
    <t xml:space="preserve"> 2.1)Vorlesung 17.10.22- Wert in der BWL </t>
  </si>
  <si>
    <t xml:space="preserve">3.1) Vorlesung 18.10.22- Management </t>
  </si>
  <si>
    <t xml:space="preserve">Bemerkungen </t>
  </si>
  <si>
    <t>6:45-6:50</t>
  </si>
  <si>
    <t xml:space="preserve">zu spät aufgestanden (07:15  Uhr), weil ich sehr kaputt war nachdem ersten Wecker und wieder eingeschlafen bin </t>
  </si>
  <si>
    <t xml:space="preserve">Beginn des Lernblocks hat sich deshalb auf 7:20 verschoben </t>
  </si>
  <si>
    <t>Nein</t>
  </si>
  <si>
    <t>mehr trinken während den Lernblöcken, mehr schlafen!</t>
  </si>
  <si>
    <t>/</t>
  </si>
  <si>
    <t>müde, Kopfschmerzen</t>
  </si>
  <si>
    <t xml:space="preserve">ich konnte mich die ersten 1,5 Stunden gut  konzentrieren. Dann saß ich im falschen Zug und musste mir eine neue Verbindung raussuchen (was mich all in all 2 Stunden gekostet hat, d.h. ich bin anstatt 4, 6 Stunden gefahren. Außerdem konnte ich 2 Stunden nicht nutzen, da ich mich mit jemandem unterhalten "musste"), was meine Konzentration auf die Aufgaben verringerte. In der Wartezeit (1,30 Stunden) am Bahnhof in Göttingen war ich ebenfalls nicht so gut konzentriert aufgrund von lauten Geräuschen und ich habe mich öfter von Whatsappnachrichten ablenken lassen. Im letzten Zug konnnte ich mich zu Beginn gut konzentrieren, aber habe gegen Ende wieder Konzentrationsprobleme gehabt, da ich mich sehr müde gefühlt habe und Kopfschmerzen hatte. </t>
  </si>
  <si>
    <t xml:space="preserve">nicht geschafft </t>
  </si>
  <si>
    <t>erneut nicht geschafft, es zu beenden- nachholen- Level-Ups richtig verteilen!!!</t>
  </si>
  <si>
    <r>
      <rPr>
        <sz val="12"/>
        <color rgb="FFFF0000"/>
        <rFont val="Calibri (Textkörper)"/>
      </rPr>
      <t>nicht geschafft</t>
    </r>
    <r>
      <rPr>
        <sz val="12"/>
        <color theme="1"/>
        <rFont val="Calibri"/>
        <family val="2"/>
        <scheme val="minor"/>
      </rPr>
      <t xml:space="preserve"> </t>
    </r>
  </si>
  <si>
    <t xml:space="preserve">aufstehen, Zähne putzen </t>
  </si>
  <si>
    <t>(20.10.2022)</t>
  </si>
  <si>
    <t>Bemerkung</t>
  </si>
  <si>
    <t>nicht eingebaut- eher abends einbauen, da ich früh keine Lust habe</t>
  </si>
  <si>
    <t xml:space="preserve">1-mal pro Lernblock eine 10 Minutenpause, anstatt einer 5 Minutenpause einschieben, Stretching Routine Abends einführen                                                           </t>
  </si>
  <si>
    <t xml:space="preserve">Tracking Sheet nicht zu ende geschafft, noch erledigen! </t>
  </si>
  <si>
    <t xml:space="preserve">Essen bereits in der großen pause vorgekocht </t>
  </si>
  <si>
    <t xml:space="preserve">ausgefallen, da das zeitlich nicht geklappt hätte </t>
  </si>
  <si>
    <r>
      <t xml:space="preserve">ausgefallen, da das zeitlich nicht geklappt hätte- </t>
    </r>
    <r>
      <rPr>
        <sz val="12"/>
        <color rgb="FFFF0000"/>
        <rFont val="Calibri (Textkörper)"/>
      </rPr>
      <t>dafür im Notencall gewesen</t>
    </r>
  </si>
  <si>
    <t xml:space="preserve">Tagesplan erstellen, COMMITTMENTS eintragen </t>
  </si>
  <si>
    <t>abends</t>
  </si>
  <si>
    <t xml:space="preserve">Familienzeit, Zeit mit Elli, einkaufen fürs Grillen </t>
  </si>
  <si>
    <t>10:00-16:00</t>
  </si>
  <si>
    <t>16:00-17:00</t>
  </si>
  <si>
    <t>17:00-19:00</t>
  </si>
  <si>
    <t>19:00/19:10-19:15/19:25</t>
  </si>
  <si>
    <t>Tracking Sheet beenden, d.h. Level-Ups verteilen</t>
  </si>
  <si>
    <t xml:space="preserve">2.1) Folgen und Reihen </t>
  </si>
  <si>
    <t>3.2) Kapitalmärkte und Kapitalgleichgewicht</t>
  </si>
  <si>
    <t xml:space="preserve">3.1) Geld und Geldkreislauf  </t>
  </si>
  <si>
    <t xml:space="preserve">Fragen: </t>
  </si>
  <si>
    <t xml:space="preserve">2) Ist die verteilung der Level-Ups okay? </t>
  </si>
  <si>
    <t xml:space="preserve">3) Ich habe nochmal bezüglich BWL und der Teilung der Module in Term 1 und Term 2 recherchiert und herausgefunden, dass in der Prüfung auch Inhalte der praktischen Übung (You are the CEO now)" und der Studie (Applied Emprical Research), an der man teilnehmen muss, abgefragt werden. Diese Beiden praktischen Sachen wurden dieses Jahr eingeführt, weshalb es dazu keine Informationen etc. gibt. Kann ich das vorbereiten und wenn ja wie? </t>
  </si>
  <si>
    <t>1) Soll ich die Stunden, die ich pro Woche für jedes Fach zum Lernen investiere, auch gleich verteilen oder nach den LP gewichten?  (aktuell habe ich die Stunden  nach den Lp´s gewichtet und mit der Formel "(HWOCHE/SUMMEECTS) * ECTS(fachN)" aus Modul 7- Noten-Tracking Sheet- 3. Video "Anleitung" berechnet)</t>
  </si>
  <si>
    <t xml:space="preserve">Gemüse </t>
  </si>
  <si>
    <t xml:space="preserve">Obst </t>
  </si>
  <si>
    <t>geschafft</t>
  </si>
  <si>
    <r>
      <rPr>
        <sz val="12"/>
        <color rgb="FFFF0000"/>
        <rFont val="Calibri (Textkörper)"/>
      </rPr>
      <t xml:space="preserve">nur teilweise geschafft, </t>
    </r>
    <r>
      <rPr>
        <sz val="12"/>
        <rFont val="Calibri (Textkörper)"/>
      </rPr>
      <t>nicht alle Unternehmen, die in meinem Ratingbereich sind, geschafft</t>
    </r>
  </si>
  <si>
    <t>nicht geschafft</t>
  </si>
  <si>
    <t>Samstag (22.10.2022)</t>
  </si>
  <si>
    <t>Sonntag (23.10.2022)</t>
  </si>
  <si>
    <t>10:00-12:00</t>
  </si>
  <si>
    <t>12:00-12:15</t>
  </si>
  <si>
    <t xml:space="preserve">Gamechangervideo nacharbeiten </t>
  </si>
  <si>
    <t xml:space="preserve">ab 13:00 Grillen mit den Jungs </t>
  </si>
  <si>
    <t xml:space="preserve">schlaf in h </t>
  </si>
  <si>
    <t xml:space="preserve">Ich war beim Beenden des Tracking Sheets zwar konzentriert, aber habe die richtige Level-Up Verteilung nicht hinbekommen, weshalb das länger als geplant dauerte. Ich habe dann meine Kapitel nochmal angepasst und habe die Level-Ups dann verteilen können und das Tracking Sheet zur Kontrolle in den DC geschickt. Die Praktikastellen habe ich dann rausgesucht, aber da es schon so spät war (23:30 Uhr), habe ich nicht mehr alle geschafft.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</si>
</sst>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Textkörper)"/>
    </font>
    <font>
      <sz val="12"/>
      <color rgb="FF000000"/>
      <name val="Calibri"/>
      <family val="2"/>
      <scheme val="minor"/>
    </font>
    <font>
      <sz val="10"/>
      <color theme="1"/>
      <name val="Calibri (Textkörper)"/>
    </font>
    <font>
      <sz val="10"/>
      <color theme="1"/>
      <name val="Calibri"/>
      <family val="2"/>
      <scheme val="minor"/>
    </font>
    <font>
      <sz val="8"/>
      <name val="Calibri"/>
      <family val="2"/>
      <scheme val="minor"/>
    </font>
    <font>
      <sz val="12"/>
      <name val="Calibri (Textkörper)"/>
    </font>
    <font>
      <sz val="12"/>
      <color theme="1"/>
      <name val="Calibri (Textkörper)"/>
    </font>
    <font>
      <sz val="12"/>
      <color theme="9"/>
      <name val="Calibri (Textkörper)"/>
    </font>
    <font>
      <sz val="12"/>
      <color theme="9"/>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10FF07"/>
        <bgColor rgb="FF000000"/>
      </patternFill>
    </fill>
    <fill>
      <patternFill patternType="solid">
        <fgColor rgb="FFFF0000"/>
        <bgColor rgb="FF000000"/>
      </patternFill>
    </fill>
    <fill>
      <patternFill patternType="solid">
        <fgColor rgb="FFFF231B"/>
        <bgColor rgb="FF000000"/>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0" fontId="1" fillId="2" borderId="0" xfId="0" applyFont="1" applyFill="1" applyAlignment="1">
      <alignment horizontal="center"/>
    </xf>
    <xf numFmtId="0" fontId="6" fillId="0" borderId="0" xfId="0" applyFont="1"/>
    <xf numFmtId="0" fontId="6" fillId="0" borderId="0" xfId="0" applyFont="1" applyAlignment="1">
      <alignment horizontal="center"/>
    </xf>
    <xf numFmtId="9" fontId="6" fillId="0" borderId="0" xfId="0" applyNumberFormat="1" applyFont="1"/>
    <xf numFmtId="9" fontId="6" fillId="7" borderId="0" xfId="0" applyNumberFormat="1" applyFont="1" applyFill="1" applyAlignment="1">
      <alignment horizontal="center"/>
    </xf>
    <xf numFmtId="9" fontId="6" fillId="8" borderId="0" xfId="0" applyNumberFormat="1" applyFont="1" applyFill="1"/>
    <xf numFmtId="9" fontId="6" fillId="9" borderId="0" xfId="0" applyNumberFormat="1" applyFont="1" applyFill="1" applyAlignment="1">
      <alignment horizontal="center"/>
    </xf>
    <xf numFmtId="0" fontId="7" fillId="0" borderId="0" xfId="0" applyFont="1"/>
    <xf numFmtId="0" fontId="8" fillId="0" borderId="0" xfId="0" applyFont="1"/>
    <xf numFmtId="0" fontId="11" fillId="0" borderId="0" xfId="0" applyFont="1"/>
    <xf numFmtId="0" fontId="12" fillId="0" borderId="0" xfId="0" applyFont="1"/>
    <xf numFmtId="0" fontId="13" fillId="0" borderId="0" xfId="0" applyFont="1"/>
  </cellXfs>
  <cellStyles count="1">
    <cellStyle name="Standard" xfId="0" builtinId="0"/>
  </cellStyles>
  <dxfs count="930">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N40" totalsRowShown="0" headerRowDxfId="929">
  <autoFilter ref="A1:N40" xr:uid="{6E266E34-2786-2747-BCE7-51B74867A564}"/>
  <tableColumns count="14">
    <tableColumn id="1" xr3:uid="{95FD92F7-3DC8-704D-A103-A7EDDAB255AB}" name="Datum" dataDxfId="928"/>
    <tableColumn id="2" xr3:uid="{F464D510-8166-E740-A343-FB84BDEF877F}" name="Lerneinheiten durchgezogen" dataDxfId="927"/>
    <tableColumn id="3" xr3:uid="{75F52B08-1A00-0848-BBE6-1EDF7B31B1AD}" name="Tagesplan erstellt" dataDxfId="926"/>
    <tableColumn id="4" xr3:uid="{E6B18D89-E799-AD48-9DAA-37AEE1D29011}" name="Konzentrationslevel" dataDxfId="925"/>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5" xr3:uid="{B2563876-DDB8-364C-9182-7CB598856284}" name="Gemüse "/>
    <tableColumn id="14" xr3:uid="{C9105CDD-FECA-5545-A74C-C1C8B29233B1}" name="Obst "/>
    <tableColumn id="16" xr3:uid="{5ECD5046-B472-E041-B8F5-4BBD41C163D4}" name="schlaf in h "/>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zoomScale="125"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18" t="s">
        <v>69</v>
      </c>
    </row>
    <row r="3" spans="1:4" x14ac:dyDescent="0.2">
      <c r="C3" s="17" t="s">
        <v>54</v>
      </c>
    </row>
    <row r="4" spans="1:4" x14ac:dyDescent="0.2">
      <c r="C4" s="16" t="s">
        <v>68</v>
      </c>
    </row>
    <row r="5" spans="1:4" x14ac:dyDescent="0.2">
      <c r="A5" s="2" t="s">
        <v>51</v>
      </c>
      <c r="B5" s="2" t="s">
        <v>52</v>
      </c>
      <c r="C5" s="2" t="s">
        <v>53</v>
      </c>
      <c r="D5" s="2" t="s">
        <v>55</v>
      </c>
    </row>
    <row r="6" spans="1:4" x14ac:dyDescent="0.2">
      <c r="A6" t="s">
        <v>47</v>
      </c>
      <c r="B6" s="18" t="s">
        <v>50</v>
      </c>
      <c r="C6" t="s">
        <v>229</v>
      </c>
      <c r="D6" t="s">
        <v>84</v>
      </c>
    </row>
    <row r="7" spans="1:4" x14ac:dyDescent="0.2">
      <c r="A7" t="s">
        <v>58</v>
      </c>
      <c r="B7" t="s">
        <v>59</v>
      </c>
      <c r="C7" s="16">
        <f>80</f>
        <v>80</v>
      </c>
    </row>
    <row r="8" spans="1:4" x14ac:dyDescent="0.2">
      <c r="A8" t="s">
        <v>49</v>
      </c>
      <c r="B8" s="18" t="s">
        <v>48</v>
      </c>
      <c r="C8" t="s">
        <v>86</v>
      </c>
      <c r="D8" t="s">
        <v>72</v>
      </c>
    </row>
    <row r="9" spans="1:4" x14ac:dyDescent="0.2">
      <c r="A9" t="s">
        <v>57</v>
      </c>
      <c r="B9" s="18" t="s">
        <v>70</v>
      </c>
      <c r="C9">
        <v>15</v>
      </c>
      <c r="D9" t="s">
        <v>73</v>
      </c>
    </row>
    <row r="10" spans="1:4" x14ac:dyDescent="0.2">
      <c r="A10" t="s">
        <v>61</v>
      </c>
      <c r="B10" t="s">
        <v>60</v>
      </c>
      <c r="C10" s="16">
        <v>12</v>
      </c>
      <c r="D10" t="s">
        <v>56</v>
      </c>
    </row>
    <row r="11" spans="1:4" x14ac:dyDescent="0.2">
      <c r="A11" t="s">
        <v>62</v>
      </c>
      <c r="B11" t="s">
        <v>64</v>
      </c>
      <c r="C11" s="16">
        <f>3*80</f>
        <v>240</v>
      </c>
      <c r="D11" t="s">
        <v>63</v>
      </c>
    </row>
    <row r="12" spans="1:4" x14ac:dyDescent="0.2">
      <c r="A12" t="s">
        <v>66</v>
      </c>
      <c r="B12" t="s">
        <v>65</v>
      </c>
      <c r="C12" s="17">
        <f>C11/C10</f>
        <v>20</v>
      </c>
    </row>
    <row r="13" spans="1:4" x14ac:dyDescent="0.2">
      <c r="A13" t="s">
        <v>71</v>
      </c>
      <c r="B13" t="s">
        <v>67</v>
      </c>
      <c r="C13" s="20"/>
      <c r="D13" t="s">
        <v>74</v>
      </c>
    </row>
    <row r="14" spans="1:4" x14ac:dyDescent="0.2">
      <c r="A14" t="s">
        <v>75</v>
      </c>
      <c r="B14" t="s">
        <v>76</v>
      </c>
      <c r="D14" t="s">
        <v>77</v>
      </c>
    </row>
    <row r="15" spans="1:4" x14ac:dyDescent="0.2">
      <c r="A15" t="s">
        <v>78</v>
      </c>
      <c r="B15" s="18" t="s">
        <v>79</v>
      </c>
    </row>
    <row r="16" spans="1:4" x14ac:dyDescent="0.2">
      <c r="A16" t="s">
        <v>82</v>
      </c>
      <c r="B16" s="18" t="s">
        <v>80</v>
      </c>
    </row>
    <row r="17" spans="1:2" x14ac:dyDescent="0.2">
      <c r="A17" t="s">
        <v>83</v>
      </c>
      <c r="B17" t="s">
        <v>81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EI108"/>
  <sheetViews>
    <sheetView showGridLines="0" tabSelected="1" zoomScale="85" zoomScaleNormal="100" workbookViewId="0">
      <pane xSplit="12" topLeftCell="M1" activePane="topRight" state="frozen"/>
      <selection pane="topRight" activeCell="A108" sqref="A10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4" width="2.5" customWidth="1"/>
    <col min="16" max="16" width="12.5" bestFit="1" customWidth="1"/>
    <col min="17" max="17" width="6.33203125" customWidth="1"/>
    <col min="18" max="18" width="14.83203125" bestFit="1" customWidth="1"/>
    <col min="19" max="19" width="6" customWidth="1"/>
    <col min="20" max="20" width="12.6640625" bestFit="1" customWidth="1"/>
    <col min="21" max="21" width="2.5" customWidth="1"/>
    <col min="23" max="23" width="12.5" bestFit="1" customWidth="1"/>
    <col min="24" max="24" width="6.33203125" customWidth="1"/>
    <col min="25" max="25" width="14.83203125" bestFit="1" customWidth="1"/>
    <col min="26" max="26" width="6" customWidth="1"/>
    <col min="27" max="27" width="12.6640625" bestFit="1" customWidth="1"/>
    <col min="28" max="28" width="2.5" customWidth="1"/>
    <col min="30" max="30" width="12.5" bestFit="1" customWidth="1"/>
    <col min="31" max="31" width="6.33203125" customWidth="1"/>
    <col min="32" max="32" width="14.83203125" bestFit="1" customWidth="1"/>
    <col min="33" max="33" width="6" customWidth="1"/>
    <col min="34" max="34" width="12.6640625" bestFit="1" customWidth="1"/>
    <col min="35" max="35" width="2.5" customWidth="1"/>
    <col min="37" max="37" width="12.5" bestFit="1" customWidth="1"/>
    <col min="38" max="38" width="6.33203125" customWidth="1"/>
    <col min="39" max="39" width="14.83203125" bestFit="1" customWidth="1"/>
    <col min="40" max="40" width="6" customWidth="1"/>
    <col min="41" max="41" width="12.6640625" bestFit="1" customWidth="1"/>
    <col min="42" max="42" width="2.5" customWidth="1"/>
    <col min="44" max="44" width="12.5" bestFit="1" customWidth="1"/>
    <col min="45" max="45" width="6.33203125" customWidth="1"/>
    <col min="46" max="46" width="14.83203125" bestFit="1" customWidth="1"/>
    <col min="47" max="47" width="6" customWidth="1"/>
    <col min="48" max="48" width="12.6640625" bestFit="1" customWidth="1"/>
    <col min="49" max="49" width="2.5" customWidth="1"/>
    <col min="51" max="51" width="12.5" bestFit="1" customWidth="1"/>
    <col min="52" max="52" width="6.33203125" customWidth="1"/>
    <col min="53" max="53" width="14.83203125" bestFit="1" customWidth="1"/>
    <col min="54" max="54" width="6" customWidth="1"/>
    <col min="55" max="55" width="12.6640625" bestFit="1" customWidth="1"/>
    <col min="56" max="56" width="2.5" customWidth="1"/>
    <col min="58" max="58" width="12.5" bestFit="1" customWidth="1"/>
    <col min="59" max="59" width="6.33203125" customWidth="1"/>
    <col min="60" max="60" width="14.83203125" bestFit="1" customWidth="1"/>
    <col min="61" max="61" width="6" customWidth="1"/>
    <col min="62" max="62" width="12.6640625" bestFit="1" customWidth="1"/>
    <col min="63" max="63" width="2.5" customWidth="1"/>
    <col min="65" max="65" width="12.5" bestFit="1" customWidth="1"/>
    <col min="66" max="66" width="6.33203125" customWidth="1"/>
    <col min="67" max="67" width="14.83203125" bestFit="1" customWidth="1"/>
    <col min="68" max="68" width="6" customWidth="1"/>
    <col min="69" max="69" width="12.6640625" bestFit="1" customWidth="1"/>
    <col min="70" max="70" width="2.5" customWidth="1"/>
    <col min="72" max="72" width="12.5" bestFit="1" customWidth="1"/>
    <col min="73" max="73" width="6.33203125" customWidth="1"/>
    <col min="74" max="74" width="14.83203125" bestFit="1" customWidth="1"/>
    <col min="75" max="75" width="6" customWidth="1"/>
    <col min="76" max="76" width="12.6640625" bestFit="1" customWidth="1"/>
    <col min="77" max="77" width="2.5" customWidth="1"/>
    <col min="79" max="79" width="12.5" bestFit="1" customWidth="1"/>
    <col min="80" max="80" width="6.33203125" customWidth="1"/>
    <col min="81" max="81" width="14.83203125" bestFit="1" customWidth="1"/>
    <col min="82" max="82" width="6" customWidth="1"/>
    <col min="83" max="83" width="12.6640625" bestFit="1" customWidth="1"/>
    <col min="84" max="84" width="2.5" customWidth="1"/>
    <col min="86" max="86" width="12.5" bestFit="1" customWidth="1"/>
    <col min="87" max="87" width="6.33203125" customWidth="1"/>
    <col min="88" max="88" width="14.83203125" bestFit="1" customWidth="1"/>
    <col min="89" max="89" width="6" customWidth="1"/>
    <col min="90" max="90" width="12.6640625" bestFit="1" customWidth="1"/>
    <col min="91" max="91" width="2.5" customWidth="1"/>
    <col min="93" max="93" width="12.5" bestFit="1" customWidth="1"/>
    <col min="94" max="94" width="6.33203125" customWidth="1"/>
    <col min="95" max="95" width="14.83203125" bestFit="1" customWidth="1"/>
    <col min="96" max="96" width="6" customWidth="1"/>
    <col min="97" max="97" width="12.6640625" bestFit="1" customWidth="1"/>
    <col min="98" max="98" width="2.5" customWidth="1"/>
    <col min="100" max="100" width="12.5" bestFit="1" customWidth="1"/>
    <col min="101" max="101" width="6.33203125" customWidth="1"/>
    <col min="102" max="102" width="14.83203125" bestFit="1" customWidth="1"/>
    <col min="103" max="103" width="6" customWidth="1"/>
    <col min="104" max="104" width="12.6640625" bestFit="1" customWidth="1"/>
    <col min="105" max="105" width="2.5" customWidth="1"/>
    <col min="107" max="107" width="12.5" bestFit="1" customWidth="1"/>
    <col min="108" max="108" width="6.33203125" customWidth="1"/>
    <col min="109" max="109" width="14.83203125" bestFit="1" customWidth="1"/>
    <col min="110" max="110" width="6" customWidth="1"/>
    <col min="111" max="111" width="12.6640625" bestFit="1" customWidth="1"/>
    <col min="112" max="112" width="2.5" customWidth="1"/>
    <col min="114" max="114" width="12.5" bestFit="1" customWidth="1"/>
    <col min="115" max="115" width="6.33203125" customWidth="1"/>
    <col min="116" max="116" width="14.83203125" bestFit="1" customWidth="1"/>
    <col min="117" max="117" width="6" customWidth="1"/>
    <col min="118" max="118" width="12.6640625" bestFit="1" customWidth="1"/>
    <col min="119" max="119" width="2.5" customWidth="1"/>
    <col min="121" max="121" width="12.5" bestFit="1" customWidth="1"/>
    <col min="122" max="122" width="6.33203125" customWidth="1"/>
    <col min="123" max="123" width="14.83203125" bestFit="1" customWidth="1"/>
    <col min="124" max="124" width="6" customWidth="1"/>
    <col min="125" max="125" width="12.6640625" bestFit="1" customWidth="1"/>
    <col min="126" max="126" width="2.5" customWidth="1"/>
    <col min="128" max="128" width="12.5" bestFit="1" customWidth="1"/>
    <col min="129" max="129" width="6.33203125" customWidth="1"/>
    <col min="130" max="130" width="14.83203125" bestFit="1" customWidth="1"/>
    <col min="131" max="131" width="6" customWidth="1"/>
    <col min="132" max="132" width="12.6640625" bestFit="1" customWidth="1"/>
    <col min="133" max="133" width="2.5" customWidth="1"/>
    <col min="135" max="135" width="12.5" bestFit="1" customWidth="1"/>
    <col min="136" max="136" width="6.33203125" customWidth="1"/>
    <col min="137" max="137" width="14.83203125" bestFit="1" customWidth="1"/>
    <col min="138" max="138" width="6" customWidth="1"/>
    <col min="139" max="139" width="12.6640625" bestFit="1" customWidth="1"/>
  </cols>
  <sheetData>
    <row r="1" spans="2:139" ht="34" x14ac:dyDescent="0.4">
      <c r="B1" s="4" t="s">
        <v>0</v>
      </c>
      <c r="D1" s="4"/>
      <c r="G1" s="13" t="s">
        <v>31</v>
      </c>
      <c r="I1" s="13" t="s">
        <v>31</v>
      </c>
      <c r="J1" s="13" t="s">
        <v>31</v>
      </c>
      <c r="K1" s="13" t="s">
        <v>31</v>
      </c>
    </row>
    <row r="2" spans="2:139" x14ac:dyDescent="0.2">
      <c r="I2" s="21" t="s">
        <v>232</v>
      </c>
      <c r="J2" s="21"/>
      <c r="K2" s="21"/>
      <c r="L2" s="21"/>
      <c r="O2" s="21" t="s">
        <v>103</v>
      </c>
      <c r="P2" s="21"/>
      <c r="Q2" s="21"/>
      <c r="R2" s="21"/>
      <c r="S2" s="21"/>
      <c r="T2" s="21"/>
      <c r="V2" s="21" t="s">
        <v>104</v>
      </c>
      <c r="W2" s="21"/>
      <c r="X2" s="21"/>
      <c r="Y2" s="21"/>
      <c r="Z2" s="21"/>
      <c r="AA2" s="21"/>
      <c r="AC2" s="21" t="s">
        <v>105</v>
      </c>
      <c r="AD2" s="21"/>
      <c r="AE2" s="21"/>
      <c r="AF2" s="21"/>
      <c r="AG2" s="21"/>
      <c r="AH2" s="21"/>
      <c r="AJ2" s="21" t="s">
        <v>106</v>
      </c>
      <c r="AK2" s="21"/>
      <c r="AL2" s="21"/>
      <c r="AM2" s="21"/>
      <c r="AN2" s="21"/>
      <c r="AO2" s="21"/>
      <c r="AQ2" s="21" t="s">
        <v>107</v>
      </c>
      <c r="AR2" s="21"/>
      <c r="AS2" s="21"/>
      <c r="AT2" s="21"/>
      <c r="AU2" s="21"/>
      <c r="AV2" s="21"/>
      <c r="AX2" s="21" t="s">
        <v>108</v>
      </c>
      <c r="AY2" s="21"/>
      <c r="AZ2" s="21"/>
      <c r="BA2" s="21"/>
      <c r="BB2" s="21"/>
      <c r="BC2" s="21"/>
      <c r="BE2" s="21" t="s">
        <v>109</v>
      </c>
      <c r="BF2" s="21"/>
      <c r="BG2" s="21"/>
      <c r="BH2" s="21"/>
      <c r="BI2" s="21"/>
      <c r="BJ2" s="21"/>
      <c r="BL2" s="21" t="s">
        <v>110</v>
      </c>
      <c r="BM2" s="21"/>
      <c r="BN2" s="21"/>
      <c r="BO2" s="21"/>
      <c r="BP2" s="21"/>
      <c r="BQ2" s="21"/>
      <c r="BS2" s="21" t="s">
        <v>111</v>
      </c>
      <c r="BT2" s="21"/>
      <c r="BU2" s="21"/>
      <c r="BV2" s="21"/>
      <c r="BW2" s="21"/>
      <c r="BX2" s="21"/>
      <c r="BZ2" s="21" t="s">
        <v>112</v>
      </c>
      <c r="CA2" s="21"/>
      <c r="CB2" s="21"/>
      <c r="CC2" s="21"/>
      <c r="CD2" s="21"/>
      <c r="CE2" s="21"/>
      <c r="CG2" s="21" t="s">
        <v>214</v>
      </c>
      <c r="CH2" s="21"/>
      <c r="CI2" s="21"/>
      <c r="CJ2" s="21"/>
      <c r="CK2" s="21"/>
      <c r="CL2" s="21"/>
      <c r="CN2" s="21" t="s">
        <v>215</v>
      </c>
      <c r="CO2" s="21"/>
      <c r="CP2" s="21"/>
      <c r="CQ2" s="21"/>
      <c r="CR2" s="21"/>
      <c r="CS2" s="21"/>
      <c r="CU2" s="21" t="s">
        <v>114</v>
      </c>
      <c r="CV2" s="21"/>
      <c r="CW2" s="21"/>
      <c r="CX2" s="21"/>
      <c r="CY2" s="21"/>
      <c r="CZ2" s="21"/>
      <c r="DB2" s="21" t="s">
        <v>115</v>
      </c>
      <c r="DC2" s="21"/>
      <c r="DD2" s="21"/>
      <c r="DE2" s="21"/>
      <c r="DF2" s="21"/>
      <c r="DG2" s="21"/>
      <c r="DI2" s="21" t="s">
        <v>113</v>
      </c>
      <c r="DJ2" s="21"/>
      <c r="DK2" s="21"/>
      <c r="DL2" s="21"/>
      <c r="DM2" s="21"/>
      <c r="DN2" s="21"/>
      <c r="DP2" s="21" t="s">
        <v>116</v>
      </c>
      <c r="DQ2" s="21"/>
      <c r="DR2" s="21"/>
      <c r="DS2" s="21"/>
      <c r="DT2" s="21"/>
      <c r="DU2" s="21"/>
      <c r="DW2" s="21" t="s">
        <v>117</v>
      </c>
      <c r="DX2" s="21"/>
      <c r="DY2" s="21"/>
      <c r="DZ2" s="21"/>
      <c r="EA2" s="21"/>
      <c r="EB2" s="21"/>
      <c r="ED2" s="21" t="s">
        <v>118</v>
      </c>
      <c r="EE2" s="21"/>
      <c r="EF2" s="21"/>
      <c r="EG2" s="21"/>
      <c r="EH2" s="21"/>
      <c r="EI2" s="21"/>
    </row>
    <row r="3" spans="2:139" x14ac:dyDescent="0.2">
      <c r="B3" s="5" t="s">
        <v>25</v>
      </c>
      <c r="C3" s="5" t="s">
        <v>1</v>
      </c>
      <c r="D3" s="5" t="s">
        <v>23</v>
      </c>
      <c r="E3" s="6" t="s">
        <v>87</v>
      </c>
      <c r="F3" s="5" t="s">
        <v>28</v>
      </c>
      <c r="G3" s="5" t="s">
        <v>29</v>
      </c>
      <c r="I3" s="6" t="s">
        <v>11</v>
      </c>
      <c r="J3" s="6" t="s">
        <v>2</v>
      </c>
      <c r="K3" s="6" t="s">
        <v>3</v>
      </c>
      <c r="L3" s="6" t="s">
        <v>12</v>
      </c>
      <c r="O3" s="5" t="s">
        <v>11</v>
      </c>
      <c r="P3" s="5" t="s">
        <v>2</v>
      </c>
      <c r="Q3" s="5" t="s">
        <v>30</v>
      </c>
      <c r="R3" s="5" t="s">
        <v>3</v>
      </c>
      <c r="S3" s="5" t="s">
        <v>30</v>
      </c>
      <c r="T3" s="5" t="s">
        <v>12</v>
      </c>
      <c r="V3" s="5" t="s">
        <v>11</v>
      </c>
      <c r="W3" s="5" t="s">
        <v>2</v>
      </c>
      <c r="X3" s="5" t="s">
        <v>30</v>
      </c>
      <c r="Y3" s="5" t="s">
        <v>3</v>
      </c>
      <c r="Z3" s="5" t="s">
        <v>30</v>
      </c>
      <c r="AA3" s="5" t="s">
        <v>12</v>
      </c>
      <c r="AC3" s="5" t="s">
        <v>11</v>
      </c>
      <c r="AD3" s="5" t="s">
        <v>2</v>
      </c>
      <c r="AE3" s="5" t="s">
        <v>30</v>
      </c>
      <c r="AF3" s="5" t="s">
        <v>3</v>
      </c>
      <c r="AG3" s="5" t="s">
        <v>30</v>
      </c>
      <c r="AH3" s="5" t="s">
        <v>12</v>
      </c>
      <c r="AJ3" s="5" t="s">
        <v>11</v>
      </c>
      <c r="AK3" s="5" t="s">
        <v>2</v>
      </c>
      <c r="AL3" s="5" t="s">
        <v>30</v>
      </c>
      <c r="AM3" s="5" t="s">
        <v>3</v>
      </c>
      <c r="AN3" s="5" t="s">
        <v>30</v>
      </c>
      <c r="AO3" s="5" t="s">
        <v>12</v>
      </c>
      <c r="AQ3" s="5" t="s">
        <v>11</v>
      </c>
      <c r="AR3" s="5" t="s">
        <v>2</v>
      </c>
      <c r="AS3" s="5" t="s">
        <v>30</v>
      </c>
      <c r="AT3" s="5" t="s">
        <v>3</v>
      </c>
      <c r="AU3" s="5" t="s">
        <v>30</v>
      </c>
      <c r="AV3" s="5" t="s">
        <v>12</v>
      </c>
      <c r="AX3" s="5" t="s">
        <v>11</v>
      </c>
      <c r="AY3" s="5" t="s">
        <v>2</v>
      </c>
      <c r="AZ3" s="5" t="s">
        <v>30</v>
      </c>
      <c r="BA3" s="5" t="s">
        <v>3</v>
      </c>
      <c r="BB3" s="5" t="s">
        <v>30</v>
      </c>
      <c r="BC3" s="5" t="s">
        <v>12</v>
      </c>
      <c r="BE3" s="5" t="s">
        <v>11</v>
      </c>
      <c r="BF3" s="5" t="s">
        <v>2</v>
      </c>
      <c r="BG3" s="5" t="s">
        <v>30</v>
      </c>
      <c r="BH3" s="5" t="s">
        <v>3</v>
      </c>
      <c r="BI3" s="5" t="s">
        <v>30</v>
      </c>
      <c r="BJ3" s="5" t="s">
        <v>12</v>
      </c>
      <c r="BL3" s="5" t="s">
        <v>11</v>
      </c>
      <c r="BM3" s="5" t="s">
        <v>2</v>
      </c>
      <c r="BN3" s="5" t="s">
        <v>30</v>
      </c>
      <c r="BO3" s="5" t="s">
        <v>3</v>
      </c>
      <c r="BP3" s="5" t="s">
        <v>30</v>
      </c>
      <c r="BQ3" s="5" t="s">
        <v>12</v>
      </c>
      <c r="BS3" s="5" t="s">
        <v>11</v>
      </c>
      <c r="BT3" s="5" t="s">
        <v>2</v>
      </c>
      <c r="BU3" s="5" t="s">
        <v>30</v>
      </c>
      <c r="BV3" s="5" t="s">
        <v>3</v>
      </c>
      <c r="BW3" s="5" t="s">
        <v>30</v>
      </c>
      <c r="BX3" s="5" t="s">
        <v>12</v>
      </c>
      <c r="BZ3" s="5" t="s">
        <v>11</v>
      </c>
      <c r="CA3" s="5" t="s">
        <v>2</v>
      </c>
      <c r="CB3" s="5" t="s">
        <v>30</v>
      </c>
      <c r="CC3" s="5" t="s">
        <v>3</v>
      </c>
      <c r="CD3" s="5" t="s">
        <v>30</v>
      </c>
      <c r="CE3" s="5" t="s">
        <v>12</v>
      </c>
      <c r="CG3" s="5" t="s">
        <v>11</v>
      </c>
      <c r="CH3" s="5" t="s">
        <v>2</v>
      </c>
      <c r="CI3" s="5" t="s">
        <v>30</v>
      </c>
      <c r="CJ3" s="5" t="s">
        <v>3</v>
      </c>
      <c r="CK3" s="5" t="s">
        <v>30</v>
      </c>
      <c r="CL3" s="5" t="s">
        <v>12</v>
      </c>
      <c r="CN3" s="5" t="s">
        <v>11</v>
      </c>
      <c r="CO3" s="5" t="s">
        <v>2</v>
      </c>
      <c r="CP3" s="5" t="s">
        <v>30</v>
      </c>
      <c r="CQ3" s="5" t="s">
        <v>3</v>
      </c>
      <c r="CR3" s="5" t="s">
        <v>30</v>
      </c>
      <c r="CS3" s="5" t="s">
        <v>12</v>
      </c>
      <c r="CU3" s="5" t="s">
        <v>11</v>
      </c>
      <c r="CV3" s="5" t="s">
        <v>2</v>
      </c>
      <c r="CW3" s="5" t="s">
        <v>30</v>
      </c>
      <c r="CX3" s="5" t="s">
        <v>3</v>
      </c>
      <c r="CY3" s="5" t="s">
        <v>30</v>
      </c>
      <c r="CZ3" s="5" t="s">
        <v>12</v>
      </c>
      <c r="DB3" s="5" t="s">
        <v>11</v>
      </c>
      <c r="DC3" s="5" t="s">
        <v>2</v>
      </c>
      <c r="DD3" s="5" t="s">
        <v>30</v>
      </c>
      <c r="DE3" s="5" t="s">
        <v>3</v>
      </c>
      <c r="DF3" s="5" t="s">
        <v>30</v>
      </c>
      <c r="DG3" s="5" t="s">
        <v>12</v>
      </c>
      <c r="DI3" s="5" t="s">
        <v>11</v>
      </c>
      <c r="DJ3" s="5" t="s">
        <v>2</v>
      </c>
      <c r="DK3" s="5" t="s">
        <v>30</v>
      </c>
      <c r="DL3" s="5" t="s">
        <v>3</v>
      </c>
      <c r="DM3" s="5" t="s">
        <v>30</v>
      </c>
      <c r="DN3" s="5" t="s">
        <v>12</v>
      </c>
      <c r="DP3" s="5" t="s">
        <v>11</v>
      </c>
      <c r="DQ3" s="5" t="s">
        <v>2</v>
      </c>
      <c r="DR3" s="5" t="s">
        <v>30</v>
      </c>
      <c r="DS3" s="5" t="s">
        <v>3</v>
      </c>
      <c r="DT3" s="5" t="s">
        <v>30</v>
      </c>
      <c r="DU3" s="5" t="s">
        <v>12</v>
      </c>
      <c r="DW3" s="5" t="s">
        <v>11</v>
      </c>
      <c r="DX3" s="5" t="s">
        <v>2</v>
      </c>
      <c r="DY3" s="5" t="s">
        <v>30</v>
      </c>
      <c r="DZ3" s="5" t="s">
        <v>3</v>
      </c>
      <c r="EA3" s="5" t="s">
        <v>30</v>
      </c>
      <c r="EB3" s="5" t="s">
        <v>12</v>
      </c>
      <c r="ED3" s="5" t="s">
        <v>11</v>
      </c>
      <c r="EE3" s="5" t="s">
        <v>2</v>
      </c>
      <c r="EF3" s="5" t="s">
        <v>30</v>
      </c>
      <c r="EG3" s="5" t="s">
        <v>3</v>
      </c>
      <c r="EH3" s="5" t="s">
        <v>30</v>
      </c>
      <c r="EI3" s="5" t="s">
        <v>12</v>
      </c>
    </row>
    <row r="4" spans="2:139" x14ac:dyDescent="0.2">
      <c r="B4" t="s">
        <v>26</v>
      </c>
      <c r="C4" t="s">
        <v>119</v>
      </c>
      <c r="D4" s="19" t="s">
        <v>86</v>
      </c>
      <c r="E4" s="9">
        <v>12</v>
      </c>
      <c r="G4" s="10">
        <f>+SUM(G5:G13)</f>
        <v>0</v>
      </c>
      <c r="I4" s="12">
        <f>+SUM(I5:I12)</f>
        <v>16</v>
      </c>
      <c r="J4" s="11">
        <f>+SUMPRODUCT(G5:G40,J5:J40)</f>
        <v>0</v>
      </c>
      <c r="K4" s="11">
        <f>+SUMPRODUCT(G5:G40,K5:K40)</f>
        <v>0</v>
      </c>
      <c r="L4" s="9"/>
      <c r="O4" s="12">
        <f>+SUM(O5:O40)</f>
        <v>0</v>
      </c>
      <c r="V4" s="12">
        <f>+SUM(V5:V40)</f>
        <v>0</v>
      </c>
      <c r="AC4" s="12">
        <f>+SUM(AC5:AC40)</f>
        <v>0</v>
      </c>
      <c r="AJ4" s="12">
        <f>+SUM(AJ5:AJ40)</f>
        <v>0</v>
      </c>
      <c r="CI4" s="10"/>
      <c r="CK4" s="10"/>
    </row>
    <row r="5" spans="2:139" outlineLevel="1" x14ac:dyDescent="0.2">
      <c r="B5" t="s">
        <v>27</v>
      </c>
      <c r="C5" t="s">
        <v>93</v>
      </c>
      <c r="E5" s="9"/>
      <c r="F5" t="s">
        <v>121</v>
      </c>
      <c r="G5" s="10">
        <v>0</v>
      </c>
      <c r="I5" s="9">
        <v>16</v>
      </c>
      <c r="J5" s="11" cm="1">
        <f t="array" ref="J5">MAX(IF($N$3:$EB$3=$J$3,N5:EB5))</f>
        <v>0</v>
      </c>
      <c r="K5" s="11" cm="1">
        <f t="array" ref="K5">MAX(IF($N$3:$EB$3=$J$3,N5:EB5))</f>
        <v>0</v>
      </c>
      <c r="L5" s="9"/>
      <c r="P5" s="10"/>
      <c r="Q5" s="10">
        <v>1</v>
      </c>
      <c r="R5" s="10"/>
      <c r="S5" s="10">
        <v>1</v>
      </c>
      <c r="W5" s="10"/>
      <c r="X5" s="10"/>
      <c r="Y5" s="10"/>
      <c r="Z5" s="10"/>
      <c r="AD5" s="10"/>
      <c r="AE5" s="10"/>
      <c r="AF5" s="10"/>
      <c r="AG5" s="10"/>
      <c r="AK5" s="10"/>
      <c r="AL5" s="10"/>
      <c r="AM5" s="10"/>
      <c r="AN5" s="10"/>
      <c r="AR5" s="10"/>
      <c r="AS5" s="10"/>
      <c r="AT5" s="10"/>
      <c r="AU5" s="10"/>
      <c r="AY5" s="10"/>
      <c r="AZ5" s="10"/>
      <c r="BA5" s="10"/>
      <c r="BB5" s="10"/>
      <c r="BF5" s="10"/>
      <c r="BG5" s="10"/>
      <c r="BH5" s="10"/>
      <c r="BI5" s="10"/>
      <c r="BM5" s="10"/>
      <c r="BN5" s="10"/>
      <c r="BO5" s="10"/>
      <c r="BP5" s="10"/>
      <c r="BT5" s="10"/>
      <c r="BU5" s="10"/>
      <c r="BV5" s="10"/>
      <c r="BW5" s="10"/>
      <c r="CA5" s="10"/>
      <c r="CB5" s="10"/>
      <c r="CC5" s="10"/>
      <c r="CD5" s="10"/>
      <c r="CH5" s="10"/>
      <c r="CI5" s="10">
        <v>1</v>
      </c>
      <c r="CJ5" s="10"/>
      <c r="CK5" s="10">
        <v>1</v>
      </c>
      <c r="CO5" s="10"/>
      <c r="CP5" s="10">
        <v>1</v>
      </c>
      <c r="CQ5" s="10"/>
      <c r="CR5" s="10">
        <v>1</v>
      </c>
      <c r="CV5" s="10"/>
      <c r="CW5" s="10"/>
      <c r="CX5" s="10"/>
      <c r="CY5" s="10"/>
      <c r="DC5" s="10"/>
      <c r="DD5" s="10"/>
      <c r="DE5" s="10"/>
      <c r="DF5" s="10"/>
      <c r="DJ5" s="10"/>
      <c r="DK5" s="10"/>
      <c r="DL5" s="10"/>
      <c r="DM5" s="10"/>
      <c r="DQ5" s="10"/>
      <c r="DR5" s="10"/>
      <c r="DS5" s="10"/>
      <c r="DT5" s="10"/>
      <c r="DX5" s="10"/>
      <c r="DY5" s="10"/>
      <c r="DZ5" s="10"/>
      <c r="EA5" s="10"/>
      <c r="EE5" s="10"/>
      <c r="EF5" s="10"/>
      <c r="EG5" s="10"/>
      <c r="EH5" s="10"/>
    </row>
    <row r="6" spans="2:139" outlineLevel="1" x14ac:dyDescent="0.2">
      <c r="B6" t="s">
        <v>27</v>
      </c>
      <c r="C6" t="s">
        <v>93</v>
      </c>
      <c r="E6" s="9"/>
      <c r="F6" t="s">
        <v>264</v>
      </c>
      <c r="G6" s="10">
        <v>0</v>
      </c>
      <c r="I6" s="9">
        <f>+SUMIF($N$3:$ZT$3,I$3,$N6:$ZT6)</f>
        <v>0</v>
      </c>
      <c r="J6" s="11" cm="1">
        <f t="array" ref="J6">MAX(IF($N$3:$EB$3=$J$3,N6:EB6))</f>
        <v>0</v>
      </c>
      <c r="K6" s="11" cm="1">
        <f t="array" ref="K6">MAX(IF($N$3:$EB$3=$J$3,N6:EB6))</f>
        <v>0</v>
      </c>
      <c r="L6" s="9"/>
      <c r="P6" s="10"/>
      <c r="Q6" s="10">
        <v>1</v>
      </c>
      <c r="R6" s="10"/>
      <c r="S6" s="10">
        <v>1</v>
      </c>
      <c r="W6" s="10"/>
      <c r="X6" s="10"/>
      <c r="Y6" s="10"/>
      <c r="Z6" s="10"/>
      <c r="AD6" s="10"/>
      <c r="AE6" s="10"/>
      <c r="AF6" s="10"/>
      <c r="AG6" s="10"/>
      <c r="AK6" s="10"/>
      <c r="AL6" s="10"/>
      <c r="AM6" s="10"/>
      <c r="AN6" s="10"/>
      <c r="AR6" s="10"/>
      <c r="AS6" s="10"/>
      <c r="AT6" s="10"/>
      <c r="AU6" s="10"/>
      <c r="AY6" s="10"/>
      <c r="AZ6" s="10"/>
      <c r="BA6" s="10"/>
      <c r="BB6" s="10"/>
      <c r="BF6" s="10"/>
      <c r="BG6" s="10"/>
      <c r="BH6" s="10"/>
      <c r="BI6" s="10"/>
      <c r="BM6" s="10"/>
      <c r="BN6" s="10"/>
      <c r="BO6" s="10"/>
      <c r="BP6" s="10"/>
      <c r="BT6" s="10"/>
      <c r="BU6" s="10"/>
      <c r="BV6" s="10"/>
      <c r="BW6" s="10"/>
      <c r="CA6" s="10"/>
      <c r="CB6" s="10"/>
      <c r="CC6" s="10"/>
      <c r="CD6" s="10"/>
      <c r="CH6" s="10"/>
      <c r="CI6" s="10">
        <v>1</v>
      </c>
      <c r="CJ6" s="10"/>
      <c r="CK6" s="10">
        <v>1</v>
      </c>
      <c r="CO6" s="10"/>
      <c r="CP6" s="10">
        <v>1</v>
      </c>
      <c r="CQ6" s="10"/>
      <c r="CR6" s="10">
        <v>1</v>
      </c>
      <c r="CV6" s="10"/>
      <c r="CW6" s="10"/>
      <c r="CX6" s="10"/>
      <c r="CY6" s="10"/>
      <c r="DC6" s="10"/>
      <c r="DD6" s="10"/>
      <c r="DE6" s="10"/>
      <c r="DF6" s="10"/>
      <c r="DJ6" s="10"/>
      <c r="DK6" s="10"/>
      <c r="DL6" s="10"/>
      <c r="DM6" s="10"/>
      <c r="DQ6" s="10"/>
      <c r="DR6" s="10"/>
      <c r="DS6" s="10"/>
      <c r="DT6" s="10"/>
      <c r="DX6" s="10"/>
      <c r="DY6" s="10"/>
      <c r="DZ6" s="10"/>
      <c r="EA6" s="10"/>
      <c r="EE6" s="10"/>
      <c r="EF6" s="10"/>
      <c r="EG6" s="10"/>
      <c r="EH6" s="10"/>
    </row>
    <row r="7" spans="2:139" outlineLevel="1" x14ac:dyDescent="0.2">
      <c r="B7" t="s">
        <v>27</v>
      </c>
      <c r="C7" t="s">
        <v>93</v>
      </c>
      <c r="E7" s="9"/>
      <c r="F7" t="s">
        <v>265</v>
      </c>
      <c r="G7" s="10">
        <v>0</v>
      </c>
      <c r="I7" s="9">
        <f>+SUMIF($N$3:$ZT$3,I$3,$N7:$ZT7)</f>
        <v>0</v>
      </c>
      <c r="J7" s="11" cm="1">
        <f t="array" ref="J7">MAX(IF($N$3:$EB$3=$J$3,N7:EB7))</f>
        <v>0</v>
      </c>
      <c r="K7" s="11" cm="1">
        <f t="array" ref="K7">MAX(IF($N$3:$EB$3=$J$3,N7:EB7))</f>
        <v>0</v>
      </c>
      <c r="L7" s="9"/>
      <c r="P7" s="10"/>
      <c r="Q7" s="10">
        <v>1</v>
      </c>
      <c r="R7" s="10"/>
      <c r="S7" s="10">
        <v>1</v>
      </c>
      <c r="W7" s="10"/>
      <c r="X7" s="10"/>
      <c r="Y7" s="10"/>
      <c r="Z7" s="10"/>
      <c r="AD7" s="10"/>
      <c r="AE7" s="10"/>
      <c r="AF7" s="10"/>
      <c r="AG7" s="10"/>
      <c r="AK7" s="10"/>
      <c r="AL7" s="10"/>
      <c r="AM7" s="10"/>
      <c r="AN7" s="10"/>
      <c r="AR7" s="10"/>
      <c r="AS7" s="10"/>
      <c r="AT7" s="10"/>
      <c r="AU7" s="10"/>
      <c r="AY7" s="10"/>
      <c r="AZ7" s="10"/>
      <c r="BA7" s="10"/>
      <c r="BB7" s="10"/>
      <c r="BF7" s="10"/>
      <c r="BG7" s="10"/>
      <c r="BH7" s="10"/>
      <c r="BI7" s="10"/>
      <c r="BM7" s="10"/>
      <c r="BN7" s="10"/>
      <c r="BO7" s="10"/>
      <c r="BP7" s="10"/>
      <c r="BT7" s="10"/>
      <c r="BU7" s="10"/>
      <c r="BV7" s="10"/>
      <c r="BW7" s="10"/>
      <c r="CA7" s="10"/>
      <c r="CB7" s="10"/>
      <c r="CC7" s="10"/>
      <c r="CD7" s="10"/>
      <c r="CH7" s="10"/>
      <c r="CI7" s="10">
        <v>1</v>
      </c>
      <c r="CJ7" s="10"/>
      <c r="CK7" s="10">
        <v>1</v>
      </c>
      <c r="CO7" s="10"/>
      <c r="CP7" s="10">
        <v>1</v>
      </c>
      <c r="CQ7" s="10"/>
      <c r="CR7" s="10">
        <v>1</v>
      </c>
      <c r="CV7" s="10"/>
      <c r="CW7" s="10"/>
      <c r="CX7" s="10"/>
      <c r="CY7" s="10"/>
      <c r="DC7" s="10"/>
      <c r="DD7" s="10"/>
      <c r="DE7" s="10"/>
      <c r="DF7" s="10"/>
      <c r="DJ7" s="10"/>
      <c r="DK7" s="10"/>
      <c r="DL7" s="10"/>
      <c r="DM7" s="10"/>
      <c r="DQ7" s="10"/>
      <c r="DR7" s="10"/>
      <c r="DS7" s="10"/>
      <c r="DT7" s="10"/>
      <c r="DX7" s="10"/>
      <c r="DY7" s="10"/>
      <c r="DZ7" s="10"/>
      <c r="EA7" s="10"/>
      <c r="EE7" s="10"/>
      <c r="EF7" s="10"/>
      <c r="EG7" s="10"/>
      <c r="EH7" s="10"/>
    </row>
    <row r="8" spans="2:139" outlineLevel="1" x14ac:dyDescent="0.2">
      <c r="B8" t="s">
        <v>27</v>
      </c>
      <c r="C8" t="s">
        <v>93</v>
      </c>
      <c r="E8" s="9"/>
      <c r="F8" t="s">
        <v>122</v>
      </c>
      <c r="G8" s="10">
        <v>0</v>
      </c>
      <c r="I8" s="9">
        <v>0</v>
      </c>
      <c r="J8" s="11" cm="1">
        <f t="array" ref="J8">MAX(IF($N$3:$EB$3=$J$3,N8:EB8))</f>
        <v>0</v>
      </c>
      <c r="K8" s="11" cm="1">
        <f t="array" ref="K8">MAX(IF($N$3:$EB$3=$J$3,N8:EB8))</f>
        <v>0</v>
      </c>
      <c r="L8" s="9"/>
      <c r="P8" s="10"/>
      <c r="Q8" s="10">
        <v>1</v>
      </c>
      <c r="R8" s="10"/>
      <c r="S8" s="10">
        <v>1</v>
      </c>
      <c r="W8" s="10"/>
      <c r="X8" s="10"/>
      <c r="Y8" s="10"/>
      <c r="Z8" s="10"/>
      <c r="AD8" s="10"/>
      <c r="AE8" s="10"/>
      <c r="AF8" s="10"/>
      <c r="AG8" s="10"/>
      <c r="AK8" s="10"/>
      <c r="AL8" s="10"/>
      <c r="AM8" s="10"/>
      <c r="AN8" s="10"/>
      <c r="AR8" s="10"/>
      <c r="AS8" s="10"/>
      <c r="AT8" s="10"/>
      <c r="AU8" s="10"/>
      <c r="AY8" s="10"/>
      <c r="AZ8" s="10"/>
      <c r="BA8" s="10"/>
      <c r="BB8" s="10"/>
      <c r="BF8" s="10"/>
      <c r="BG8" s="10"/>
      <c r="BH8" s="10"/>
      <c r="BI8" s="10"/>
      <c r="BM8" s="10"/>
      <c r="BN8" s="10"/>
      <c r="BO8" s="10"/>
      <c r="BP8" s="10"/>
      <c r="BT8" s="10"/>
      <c r="BU8" s="10"/>
      <c r="BV8" s="10"/>
      <c r="BW8" s="10"/>
      <c r="CA8" s="10"/>
      <c r="CB8" s="10"/>
      <c r="CC8" s="10"/>
      <c r="CD8" s="10"/>
      <c r="CH8" s="10"/>
      <c r="CI8" s="10">
        <v>1</v>
      </c>
      <c r="CJ8" s="10"/>
      <c r="CK8" s="10">
        <v>1</v>
      </c>
      <c r="CO8" s="10"/>
      <c r="CP8" s="10">
        <v>1</v>
      </c>
      <c r="CQ8" s="10"/>
      <c r="CR8" s="10">
        <v>1</v>
      </c>
      <c r="CV8" s="10"/>
      <c r="CW8" s="10"/>
      <c r="CX8" s="10"/>
      <c r="CY8" s="10"/>
      <c r="DC8" s="10"/>
      <c r="DD8" s="10"/>
      <c r="DE8" s="10"/>
      <c r="DF8" s="10"/>
      <c r="DJ8" s="10"/>
      <c r="DK8" s="10"/>
      <c r="DL8" s="10"/>
      <c r="DM8" s="10"/>
      <c r="DQ8" s="10"/>
      <c r="DR8" s="10"/>
      <c r="DS8" s="10"/>
      <c r="DT8" s="10"/>
      <c r="DX8" s="10"/>
      <c r="DY8" s="10"/>
      <c r="DZ8" s="10"/>
      <c r="EA8" s="10"/>
      <c r="EE8" s="10"/>
      <c r="EF8" s="10"/>
      <c r="EG8" s="10"/>
      <c r="EH8" s="10"/>
    </row>
    <row r="9" spans="2:139" outlineLevel="1" x14ac:dyDescent="0.2">
      <c r="B9" t="s">
        <v>27</v>
      </c>
      <c r="C9" t="s">
        <v>93</v>
      </c>
      <c r="E9" s="9"/>
      <c r="F9" t="s">
        <v>266</v>
      </c>
      <c r="G9" s="10">
        <v>0</v>
      </c>
      <c r="I9" s="9">
        <v>0</v>
      </c>
      <c r="J9" s="11" cm="1">
        <f t="array" ref="J9">MAX(IF($N$3:$EB$3=$J$3,N9:EB9))</f>
        <v>0</v>
      </c>
      <c r="K9" s="11" cm="1">
        <f t="array" ref="K9">MAX(IF($N$3:$EB$3=$J$3,N9:EB9))</f>
        <v>0</v>
      </c>
      <c r="L9" s="9"/>
      <c r="P9" s="10"/>
      <c r="Q9" s="10">
        <v>1</v>
      </c>
      <c r="R9" s="10"/>
      <c r="S9" s="10">
        <v>1</v>
      </c>
      <c r="W9" s="10"/>
      <c r="X9" s="10"/>
      <c r="Y9" s="10"/>
      <c r="Z9" s="10"/>
      <c r="AD9" s="10"/>
      <c r="AE9" s="10"/>
      <c r="AF9" s="10"/>
      <c r="AG9" s="10"/>
      <c r="AK9" s="10"/>
      <c r="AL9" s="10"/>
      <c r="AM9" s="10"/>
      <c r="AN9" s="10"/>
      <c r="AR9" s="10"/>
      <c r="AS9" s="10"/>
      <c r="AT9" s="10"/>
      <c r="AU9" s="10"/>
      <c r="AY9" s="10"/>
      <c r="AZ9" s="10"/>
      <c r="BA9" s="10"/>
      <c r="BB9" s="10"/>
      <c r="BF9" s="10"/>
      <c r="BG9" s="10"/>
      <c r="BH9" s="10"/>
      <c r="BI9" s="10"/>
      <c r="BM9" s="10"/>
      <c r="BN9" s="10"/>
      <c r="BO9" s="10"/>
      <c r="BP9" s="10"/>
      <c r="BT9" s="10"/>
      <c r="BU9" s="10"/>
      <c r="BV9" s="10"/>
      <c r="BW9" s="10"/>
      <c r="CA9" s="10"/>
      <c r="CB9" s="10"/>
      <c r="CC9" s="10"/>
      <c r="CD9" s="10"/>
      <c r="CH9" s="10"/>
      <c r="CI9" s="10">
        <v>1</v>
      </c>
      <c r="CJ9" s="10"/>
      <c r="CK9" s="10">
        <v>1</v>
      </c>
      <c r="CO9" s="10"/>
      <c r="CP9" s="10">
        <v>1</v>
      </c>
      <c r="CQ9" s="10"/>
      <c r="CR9" s="10">
        <v>1</v>
      </c>
      <c r="CV9" s="10"/>
      <c r="CW9" s="10"/>
      <c r="CX9" s="10"/>
      <c r="CY9" s="10"/>
      <c r="DC9" s="10"/>
      <c r="DD9" s="10"/>
      <c r="DE9" s="10"/>
      <c r="DF9" s="10"/>
      <c r="DJ9" s="10"/>
      <c r="DK9" s="10"/>
      <c r="DL9" s="10"/>
      <c r="DM9" s="10"/>
      <c r="DQ9" s="10"/>
      <c r="DR9" s="10"/>
      <c r="DS9" s="10"/>
      <c r="DT9" s="10"/>
      <c r="DX9" s="10"/>
      <c r="DY9" s="10"/>
      <c r="DZ9" s="10"/>
      <c r="EA9" s="10"/>
      <c r="EE9" s="10"/>
      <c r="EF9" s="10"/>
      <c r="EG9" s="10"/>
      <c r="EH9" s="10"/>
    </row>
    <row r="10" spans="2:139" outlineLevel="1" x14ac:dyDescent="0.2">
      <c r="B10" t="s">
        <v>27</v>
      </c>
      <c r="C10" t="s">
        <v>93</v>
      </c>
      <c r="E10" s="9"/>
      <c r="F10" t="s">
        <v>123</v>
      </c>
      <c r="G10" s="10">
        <v>0</v>
      </c>
      <c r="I10" s="9">
        <v>0</v>
      </c>
      <c r="J10" s="11" cm="1">
        <f t="array" ref="J10">MAX(IF($N$3:$EB$3=$J$3,N10:EB10))</f>
        <v>0</v>
      </c>
      <c r="K10" s="11" cm="1">
        <f t="array" ref="K10">MAX(IF($N$3:$EB$3=$J$3,N10:EB10))</f>
        <v>0</v>
      </c>
      <c r="L10" s="9"/>
      <c r="P10" s="10"/>
      <c r="Q10" s="10"/>
      <c r="R10" s="10"/>
      <c r="S10" s="10"/>
      <c r="W10" s="10"/>
      <c r="X10" s="10"/>
      <c r="Y10" s="10"/>
      <c r="Z10" s="10"/>
      <c r="AD10" s="10"/>
      <c r="AE10" s="10"/>
      <c r="AF10" s="10"/>
      <c r="AG10" s="10"/>
      <c r="AK10" s="10"/>
      <c r="AL10" s="10"/>
      <c r="AM10" s="10"/>
      <c r="AN10" s="10"/>
      <c r="AR10" s="10"/>
      <c r="AS10" s="10"/>
      <c r="AT10" s="10"/>
      <c r="AU10" s="10"/>
      <c r="AY10" s="10"/>
      <c r="AZ10" s="10"/>
      <c r="BA10" s="10"/>
      <c r="BB10" s="10"/>
      <c r="BF10" s="10"/>
      <c r="BG10" s="10"/>
      <c r="BH10" s="10"/>
      <c r="BI10" s="10"/>
      <c r="BM10" s="10"/>
      <c r="BN10" s="10"/>
      <c r="BO10" s="10"/>
      <c r="BP10" s="10"/>
      <c r="BT10" s="10"/>
      <c r="BU10" s="10"/>
      <c r="BV10" s="10"/>
      <c r="BW10" s="10"/>
      <c r="CA10" s="10"/>
      <c r="CB10" s="10"/>
      <c r="CC10" s="10"/>
      <c r="CD10" s="10"/>
      <c r="CH10" s="10"/>
      <c r="CI10" s="10">
        <v>1</v>
      </c>
      <c r="CJ10" s="10"/>
      <c r="CK10" s="10">
        <v>1</v>
      </c>
      <c r="CO10" s="10"/>
      <c r="CP10" s="10">
        <v>1</v>
      </c>
      <c r="CQ10" s="10"/>
      <c r="CR10" s="10">
        <v>1</v>
      </c>
      <c r="CV10" s="10"/>
      <c r="CW10" s="10"/>
      <c r="CX10" s="10"/>
      <c r="CY10" s="10"/>
      <c r="DC10" s="10"/>
      <c r="DD10" s="10"/>
      <c r="DE10" s="10"/>
      <c r="DF10" s="10"/>
      <c r="DJ10" s="10"/>
      <c r="DK10" s="10"/>
      <c r="DL10" s="10"/>
      <c r="DM10" s="10"/>
      <c r="DQ10" s="10"/>
      <c r="DR10" s="10"/>
      <c r="DS10" s="10"/>
      <c r="DT10" s="10"/>
      <c r="DX10" s="10"/>
      <c r="DY10" s="10"/>
      <c r="DZ10" s="10"/>
      <c r="EA10" s="10"/>
      <c r="EE10" s="10"/>
      <c r="EF10" s="10"/>
      <c r="EG10" s="10"/>
      <c r="EH10" s="10"/>
    </row>
    <row r="11" spans="2:139" outlineLevel="1" x14ac:dyDescent="0.2">
      <c r="B11" t="s">
        <v>27</v>
      </c>
      <c r="C11" t="s">
        <v>93</v>
      </c>
      <c r="E11" s="9"/>
      <c r="F11" t="s">
        <v>124</v>
      </c>
      <c r="G11" s="10">
        <v>0</v>
      </c>
      <c r="I11" s="9">
        <v>0</v>
      </c>
      <c r="J11" s="11" cm="1">
        <f t="array" ref="J11">MAX(IF($N$3:$EB$3=$J$3,N11:EB11))</f>
        <v>0</v>
      </c>
      <c r="K11" s="11" cm="1">
        <f t="array" ref="K11">MAX(IF($N$3:$EB$3=$J$3,N11:EB11))</f>
        <v>0</v>
      </c>
      <c r="L11" s="9"/>
      <c r="P11" s="10"/>
      <c r="Q11" s="10"/>
      <c r="R11" s="10"/>
      <c r="S11" s="10"/>
      <c r="W11" s="10"/>
      <c r="X11" s="10"/>
      <c r="Y11" s="10"/>
      <c r="Z11" s="10"/>
      <c r="AD11" s="10"/>
      <c r="AE11" s="10"/>
      <c r="AF11" s="10"/>
      <c r="AG11" s="10"/>
      <c r="AK11" s="10"/>
      <c r="AL11" s="10"/>
      <c r="AM11" s="10"/>
      <c r="AN11" s="10"/>
      <c r="AR11" s="10"/>
      <c r="AS11" s="10"/>
      <c r="AT11" s="10"/>
      <c r="AU11" s="10"/>
      <c r="AY11" s="10"/>
      <c r="AZ11" s="10"/>
      <c r="BA11" s="10"/>
      <c r="BB11" s="10"/>
      <c r="BF11" s="10"/>
      <c r="BG11" s="10"/>
      <c r="BH11" s="10"/>
      <c r="BI11" s="10"/>
      <c r="BM11" s="10"/>
      <c r="BN11" s="10"/>
      <c r="BO11" s="10"/>
      <c r="BP11" s="10"/>
      <c r="BT11" s="10"/>
      <c r="BU11" s="10"/>
      <c r="BV11" s="10"/>
      <c r="BW11" s="10"/>
      <c r="CA11" s="10"/>
      <c r="CB11" s="10"/>
      <c r="CC11" s="10"/>
      <c r="CD11" s="10"/>
      <c r="CH11" s="10"/>
      <c r="CI11" s="10">
        <v>1</v>
      </c>
      <c r="CJ11" s="10"/>
      <c r="CK11" s="10">
        <v>1</v>
      </c>
      <c r="CO11" s="10"/>
      <c r="CP11" s="10">
        <v>1</v>
      </c>
      <c r="CQ11" s="10"/>
      <c r="CR11" s="10">
        <v>1</v>
      </c>
      <c r="CV11" s="10"/>
      <c r="CW11" s="10"/>
      <c r="CX11" s="10"/>
      <c r="CY11" s="10"/>
      <c r="DC11" s="10"/>
      <c r="DD11" s="10"/>
      <c r="DE11" s="10"/>
      <c r="DF11" s="10"/>
      <c r="DJ11" s="10"/>
      <c r="DK11" s="10"/>
      <c r="DL11" s="10"/>
      <c r="DM11" s="10"/>
      <c r="DQ11" s="10"/>
      <c r="DR11" s="10"/>
      <c r="DS11" s="10"/>
      <c r="DT11" s="10"/>
      <c r="DX11" s="10"/>
      <c r="DY11" s="10"/>
      <c r="DZ11" s="10"/>
      <c r="EA11" s="10"/>
      <c r="EE11" s="10"/>
      <c r="EF11" s="10"/>
      <c r="EG11" s="10"/>
      <c r="EH11" s="10"/>
    </row>
    <row r="12" spans="2:139" outlineLevel="1" x14ac:dyDescent="0.2">
      <c r="B12" t="s">
        <v>27</v>
      </c>
      <c r="C12" t="s">
        <v>93</v>
      </c>
      <c r="E12" s="9"/>
      <c r="F12" t="s">
        <v>125</v>
      </c>
      <c r="G12" s="10">
        <v>0</v>
      </c>
      <c r="I12" s="9">
        <f>+SUMIF($N$3:$ZT$3,I$3,$N12:$ZT12)</f>
        <v>0</v>
      </c>
      <c r="J12" s="11" cm="1">
        <f t="array" ref="J12">MAX(IF($N$3:$EB$3=$J$3,N12:EB12))</f>
        <v>0</v>
      </c>
      <c r="K12" s="11" cm="1">
        <f t="array" ref="K12">MAX(IF($N$3:$EB$3=$J$3,N12:EB12))</f>
        <v>0</v>
      </c>
      <c r="L12" s="9"/>
      <c r="P12" s="10"/>
      <c r="Q12" s="10"/>
      <c r="R12" s="10"/>
      <c r="S12" s="10"/>
      <c r="W12" s="10"/>
      <c r="X12" s="10"/>
      <c r="Y12" s="10"/>
      <c r="Z12" s="10"/>
      <c r="AD12" s="10"/>
      <c r="AE12" s="10"/>
      <c r="AF12" s="10"/>
      <c r="AG12" s="10"/>
      <c r="AK12" s="10"/>
      <c r="AL12" s="10"/>
      <c r="AM12" s="10"/>
      <c r="AN12" s="10"/>
      <c r="AR12" s="10"/>
      <c r="AS12" s="10"/>
      <c r="AT12" s="10"/>
      <c r="AU12" s="10"/>
      <c r="AY12" s="10"/>
      <c r="AZ12" s="10"/>
      <c r="BA12" s="10"/>
      <c r="BB12" s="10"/>
      <c r="BF12" s="10"/>
      <c r="BG12" s="10"/>
      <c r="BH12" s="10"/>
      <c r="BI12" s="10"/>
      <c r="BM12" s="10"/>
      <c r="BN12" s="10"/>
      <c r="BO12" s="10"/>
      <c r="BP12" s="10"/>
      <c r="BT12" s="10"/>
      <c r="BU12" s="10"/>
      <c r="BV12" s="10"/>
      <c r="BW12" s="10"/>
      <c r="CA12" s="10"/>
      <c r="CB12" s="10"/>
      <c r="CC12" s="10"/>
      <c r="CD12" s="10"/>
      <c r="CH12" s="10"/>
      <c r="CI12" s="10">
        <v>1</v>
      </c>
      <c r="CJ12" s="10"/>
      <c r="CK12" s="10">
        <v>1</v>
      </c>
      <c r="CO12" s="10"/>
      <c r="CP12" s="10">
        <v>1</v>
      </c>
      <c r="CQ12" s="10"/>
      <c r="CR12" s="10">
        <v>1</v>
      </c>
      <c r="CV12" s="10"/>
      <c r="CW12" s="10"/>
      <c r="CX12" s="10"/>
      <c r="CY12" s="10"/>
      <c r="DC12" s="10"/>
      <c r="DD12" s="10"/>
      <c r="DE12" s="10"/>
      <c r="DF12" s="10"/>
      <c r="DJ12" s="10"/>
      <c r="DK12" s="10"/>
      <c r="DL12" s="10"/>
      <c r="DM12" s="10"/>
      <c r="DQ12" s="10"/>
      <c r="DR12" s="10"/>
      <c r="DS12" s="10"/>
      <c r="DT12" s="10"/>
      <c r="DX12" s="10"/>
      <c r="DY12" s="10"/>
      <c r="DZ12" s="10"/>
      <c r="EA12" s="10"/>
      <c r="EE12" s="10"/>
      <c r="EF12" s="10"/>
      <c r="EG12" s="10"/>
      <c r="EH12" s="10"/>
    </row>
    <row r="13" spans="2:139" outlineLevel="1" x14ac:dyDescent="0.2">
      <c r="B13" t="s">
        <v>27</v>
      </c>
      <c r="C13" t="s">
        <v>93</v>
      </c>
      <c r="E13" s="9"/>
      <c r="F13" t="s">
        <v>122</v>
      </c>
      <c r="G13" s="10">
        <v>0</v>
      </c>
      <c r="I13" s="9">
        <v>0</v>
      </c>
      <c r="J13" s="11" cm="1">
        <f t="array" ref="J13">MAX(IF($N$3:$EB$3=$J$3,N13:EB13))</f>
        <v>0</v>
      </c>
      <c r="K13" s="11" cm="1">
        <f t="array" ref="K13">MAX(IF($N$3:$EB$3=$J$3,N13:EB13))</f>
        <v>0</v>
      </c>
      <c r="L13" s="9"/>
      <c r="P13" s="10"/>
      <c r="Q13" s="10"/>
      <c r="R13" s="10"/>
      <c r="S13" s="10"/>
      <c r="W13" s="10"/>
      <c r="X13" s="10"/>
      <c r="Y13" s="10"/>
      <c r="Z13" s="10"/>
      <c r="AD13" s="10"/>
      <c r="AE13" s="10"/>
      <c r="AF13" s="10"/>
      <c r="AG13" s="10"/>
      <c r="AK13" s="10"/>
      <c r="AL13" s="10"/>
      <c r="AM13" s="10"/>
      <c r="AN13" s="10"/>
      <c r="AR13" s="10"/>
      <c r="AS13" s="10"/>
      <c r="AT13" s="10"/>
      <c r="AU13" s="10"/>
      <c r="AY13" s="10"/>
      <c r="AZ13" s="10"/>
      <c r="BA13" s="10"/>
      <c r="BB13" s="10"/>
      <c r="BF13" s="10"/>
      <c r="BG13" s="10"/>
      <c r="BH13" s="10"/>
      <c r="BI13" s="10"/>
      <c r="BM13" s="10"/>
      <c r="BN13" s="10"/>
      <c r="BO13" s="10"/>
      <c r="BP13" s="10"/>
      <c r="BT13" s="10"/>
      <c r="BU13" s="10"/>
      <c r="BV13" s="10"/>
      <c r="BW13" s="10"/>
      <c r="CA13" s="10"/>
      <c r="CB13" s="10"/>
      <c r="CC13" s="10"/>
      <c r="CD13" s="10"/>
      <c r="CH13" s="10"/>
      <c r="CI13" s="10">
        <v>1</v>
      </c>
      <c r="CJ13" s="10"/>
      <c r="CK13" s="10">
        <v>1</v>
      </c>
      <c r="CO13" s="10"/>
      <c r="CP13" s="10">
        <v>1</v>
      </c>
      <c r="CQ13" s="10"/>
      <c r="CR13" s="10">
        <v>1</v>
      </c>
      <c r="CV13" s="10"/>
      <c r="CW13" s="10"/>
      <c r="CX13" s="10"/>
      <c r="CY13" s="10"/>
      <c r="DC13" s="10"/>
      <c r="DD13" s="10"/>
      <c r="DE13" s="10"/>
      <c r="DF13" s="10"/>
      <c r="DJ13" s="10"/>
      <c r="DK13" s="10"/>
      <c r="DL13" s="10"/>
      <c r="DM13" s="10"/>
      <c r="DQ13" s="10"/>
      <c r="DR13" s="10"/>
      <c r="DS13" s="10"/>
      <c r="DT13" s="10"/>
      <c r="DX13" s="10"/>
      <c r="DY13" s="10"/>
      <c r="DZ13" s="10"/>
      <c r="EA13" s="10"/>
      <c r="EE13" s="10"/>
      <c r="EF13" s="10"/>
      <c r="EG13" s="10"/>
      <c r="EH13" s="10"/>
    </row>
    <row r="14" spans="2:139" outlineLevel="1" x14ac:dyDescent="0.2">
      <c r="E14" s="9"/>
      <c r="G14" s="10"/>
      <c r="I14" s="9"/>
      <c r="J14" s="11"/>
      <c r="K14" s="11"/>
      <c r="L14" s="9"/>
      <c r="P14" s="10"/>
      <c r="Q14" s="10"/>
      <c r="R14" s="10"/>
      <c r="S14" s="10"/>
      <c r="W14" s="10"/>
      <c r="X14" s="10"/>
      <c r="Y14" s="10"/>
      <c r="Z14" s="10"/>
      <c r="AD14" s="10"/>
      <c r="AE14" s="10"/>
      <c r="AF14" s="10"/>
      <c r="AG14" s="10"/>
      <c r="AK14" s="10"/>
      <c r="AL14" s="10"/>
      <c r="AM14" s="10"/>
      <c r="AN14" s="10"/>
      <c r="AR14" s="10"/>
      <c r="AS14" s="10"/>
      <c r="AT14" s="10"/>
      <c r="AU14" s="10"/>
      <c r="AY14" s="10"/>
      <c r="AZ14" s="10"/>
      <c r="BA14" s="10"/>
      <c r="BB14" s="10"/>
      <c r="BF14" s="10"/>
      <c r="BG14" s="10"/>
      <c r="BH14" s="10"/>
      <c r="BI14" s="10"/>
      <c r="BM14" s="10"/>
      <c r="BN14" s="10"/>
      <c r="BO14" s="10"/>
      <c r="BP14" s="10"/>
      <c r="BT14" s="10"/>
      <c r="BU14" s="10"/>
      <c r="BV14" s="10"/>
      <c r="BW14" s="10"/>
      <c r="CA14" s="10"/>
      <c r="CB14" s="10"/>
      <c r="CC14" s="10"/>
      <c r="CD14" s="10"/>
      <c r="CH14" s="10"/>
      <c r="CI14" s="10"/>
      <c r="CJ14" s="10"/>
      <c r="CK14" s="10"/>
      <c r="CO14" s="10"/>
      <c r="CP14" s="10"/>
      <c r="CQ14" s="10"/>
      <c r="CR14" s="10"/>
      <c r="CV14" s="10"/>
      <c r="CW14" s="10"/>
      <c r="CX14" s="10"/>
      <c r="CY14" s="10"/>
      <c r="DC14" s="10"/>
      <c r="DD14" s="10"/>
      <c r="DE14" s="10"/>
      <c r="DF14" s="10"/>
      <c r="DJ14" s="10"/>
      <c r="DK14" s="10"/>
      <c r="DL14" s="10"/>
      <c r="DM14" s="10"/>
      <c r="DQ14" s="10"/>
      <c r="DR14" s="10"/>
      <c r="DS14" s="10"/>
      <c r="DT14" s="10"/>
      <c r="DX14" s="10"/>
      <c r="DY14" s="10"/>
      <c r="DZ14" s="10"/>
      <c r="EA14" s="10"/>
      <c r="EE14" s="10"/>
      <c r="EF14" s="10"/>
      <c r="EG14" s="10"/>
      <c r="EH14" s="10"/>
    </row>
    <row r="15" spans="2:139" x14ac:dyDescent="0.2">
      <c r="B15" t="s">
        <v>26</v>
      </c>
      <c r="C15" t="s">
        <v>89</v>
      </c>
      <c r="D15" s="19" t="s">
        <v>86</v>
      </c>
      <c r="E15" s="9">
        <v>6</v>
      </c>
      <c r="G15" s="10">
        <f>+SUM(G16:G35)</f>
        <v>0</v>
      </c>
      <c r="I15" s="12">
        <f>+SUM(I16:I35)</f>
        <v>8</v>
      </c>
      <c r="J15" s="11">
        <f>+SUMPRODUCT(G16:G39,J16:J39)</f>
        <v>0</v>
      </c>
      <c r="K15" s="11">
        <f>+SUMPRODUCT(G16:G39,K16:K39)</f>
        <v>0</v>
      </c>
      <c r="L15" s="9"/>
      <c r="O15" s="12">
        <f>+SUM(O16:O39)</f>
        <v>0</v>
      </c>
      <c r="V15" s="12">
        <f>+SUM(V16:V39)</f>
        <v>0</v>
      </c>
      <c r="AC15" s="12">
        <f>+SUM(AC16:AC39)</f>
        <v>0</v>
      </c>
      <c r="AJ15" s="12">
        <f>+SUM(AJ16:AJ39)</f>
        <v>0</v>
      </c>
      <c r="CI15" s="10">
        <v>1</v>
      </c>
      <c r="CK15" s="10">
        <v>1</v>
      </c>
    </row>
    <row r="16" spans="2:139" outlineLevel="1" x14ac:dyDescent="0.2">
      <c r="B16" t="s">
        <v>27</v>
      </c>
      <c r="C16" t="s">
        <v>91</v>
      </c>
      <c r="E16" s="9"/>
      <c r="F16" t="s">
        <v>90</v>
      </c>
      <c r="G16" s="10">
        <v>0</v>
      </c>
      <c r="I16" s="9">
        <v>8</v>
      </c>
      <c r="J16" s="11">
        <f t="shared" ref="J16:J24" si="0">+SUMPRODUCT(G17:G40,J17:J40)</f>
        <v>0</v>
      </c>
      <c r="K16" s="11" cm="1">
        <f t="array" ref="K16">MAX(IF($N$3:$EB$3=$J$3,N16:EB16))</f>
        <v>0</v>
      </c>
      <c r="L16" s="9"/>
      <c r="P16" s="10"/>
      <c r="Q16" s="10">
        <v>0.5</v>
      </c>
      <c r="R16" s="10"/>
      <c r="S16" s="10">
        <v>0.5</v>
      </c>
      <c r="W16" s="10"/>
      <c r="X16" s="10">
        <v>0.5</v>
      </c>
      <c r="Y16" s="10"/>
      <c r="Z16" s="10">
        <v>0.5</v>
      </c>
      <c r="AD16" s="10"/>
      <c r="AE16" s="10">
        <v>0.5</v>
      </c>
      <c r="AF16" s="10"/>
      <c r="AG16" s="10">
        <v>0.5</v>
      </c>
      <c r="AK16" s="10"/>
      <c r="AL16" s="10">
        <v>0.5</v>
      </c>
      <c r="AM16" s="10"/>
      <c r="AN16" s="10">
        <v>0.5</v>
      </c>
      <c r="AR16" s="10"/>
      <c r="AS16" s="10">
        <v>0.8</v>
      </c>
      <c r="AT16" s="10"/>
      <c r="AU16" s="10">
        <v>0.8</v>
      </c>
      <c r="AY16" s="10"/>
      <c r="AZ16" s="10">
        <v>0.8</v>
      </c>
      <c r="BA16" s="10"/>
      <c r="BB16" s="10">
        <v>0.8</v>
      </c>
      <c r="BF16" s="10"/>
      <c r="BG16" s="10">
        <v>0.8</v>
      </c>
      <c r="BH16" s="10"/>
      <c r="BI16" s="10">
        <v>0.8</v>
      </c>
      <c r="BM16" s="10"/>
      <c r="BN16" s="10">
        <v>0.8</v>
      </c>
      <c r="BO16" s="10"/>
      <c r="BP16" s="10">
        <v>0.8</v>
      </c>
      <c r="BT16" s="10"/>
      <c r="BU16" s="10">
        <v>1</v>
      </c>
      <c r="BV16" s="10"/>
      <c r="BW16" s="10">
        <v>1</v>
      </c>
      <c r="CA16" s="10"/>
      <c r="CB16" s="10">
        <v>1</v>
      </c>
      <c r="CC16" s="10"/>
      <c r="CD16" s="10">
        <v>1</v>
      </c>
      <c r="CH16" s="10"/>
      <c r="CI16" s="10">
        <v>1</v>
      </c>
      <c r="CJ16" s="10"/>
      <c r="CK16" s="10">
        <v>1</v>
      </c>
      <c r="CO16" s="10"/>
      <c r="CP16" s="10">
        <v>1</v>
      </c>
      <c r="CQ16" s="10"/>
      <c r="CR16" s="10">
        <v>1</v>
      </c>
      <c r="CV16" s="10"/>
      <c r="CW16" s="10"/>
      <c r="CX16" s="10"/>
      <c r="CY16" s="10"/>
      <c r="DC16" s="10"/>
      <c r="DD16" s="10"/>
      <c r="DE16" s="10"/>
      <c r="DF16" s="10"/>
      <c r="DJ16" s="10"/>
      <c r="DK16" s="10"/>
      <c r="DL16" s="10"/>
      <c r="DM16" s="10"/>
      <c r="DQ16" s="10"/>
      <c r="DR16" s="10"/>
      <c r="DS16" s="10"/>
      <c r="DT16" s="10"/>
      <c r="DX16" s="10"/>
      <c r="DY16" s="10"/>
      <c r="DZ16" s="10"/>
      <c r="EA16" s="10"/>
      <c r="EE16" s="10"/>
      <c r="EF16" s="10"/>
      <c r="EG16" s="10"/>
      <c r="EH16" s="10"/>
    </row>
    <row r="17" spans="2:138" outlineLevel="1" x14ac:dyDescent="0.2">
      <c r="B17" t="s">
        <v>27</v>
      </c>
      <c r="C17" t="s">
        <v>91</v>
      </c>
      <c r="E17" s="9"/>
      <c r="F17" t="s">
        <v>126</v>
      </c>
      <c r="G17" s="10">
        <v>0</v>
      </c>
      <c r="I17" s="9">
        <v>0</v>
      </c>
      <c r="J17" s="11">
        <f t="shared" si="0"/>
        <v>0</v>
      </c>
      <c r="K17" s="11" cm="1">
        <f t="array" ref="K17">MAX(IF($N$3:$EB$3=$J$3,N17:EB17))</f>
        <v>0</v>
      </c>
      <c r="L17" s="9"/>
      <c r="P17" s="10"/>
      <c r="Q17" s="10">
        <v>0.5</v>
      </c>
      <c r="R17" s="10"/>
      <c r="S17" s="10">
        <v>0.5</v>
      </c>
      <c r="W17" s="10"/>
      <c r="X17" s="10">
        <v>0.5</v>
      </c>
      <c r="Y17" s="10"/>
      <c r="Z17" s="10">
        <v>0.5</v>
      </c>
      <c r="AD17" s="10"/>
      <c r="AE17" s="10">
        <v>0.5</v>
      </c>
      <c r="AF17" s="10"/>
      <c r="AG17" s="10">
        <v>0.5</v>
      </c>
      <c r="AK17" s="10"/>
      <c r="AL17" s="10">
        <v>0.5</v>
      </c>
      <c r="AM17" s="10"/>
      <c r="AN17" s="10">
        <v>0.5</v>
      </c>
      <c r="AR17" s="10"/>
      <c r="AS17" s="10">
        <v>0.8</v>
      </c>
      <c r="AT17" s="10"/>
      <c r="AU17" s="10">
        <v>0.8</v>
      </c>
      <c r="AY17" s="10"/>
      <c r="AZ17" s="10">
        <v>0.8</v>
      </c>
      <c r="BA17" s="10"/>
      <c r="BB17" s="10">
        <v>0.8</v>
      </c>
      <c r="BF17" s="10"/>
      <c r="BG17" s="10">
        <v>0.8</v>
      </c>
      <c r="BH17" s="10"/>
      <c r="BI17" s="10">
        <v>0.8</v>
      </c>
      <c r="BM17" s="10"/>
      <c r="BN17" s="10">
        <v>0.8</v>
      </c>
      <c r="BO17" s="10"/>
      <c r="BP17" s="10">
        <v>0.8</v>
      </c>
      <c r="BT17" s="10"/>
      <c r="BU17" s="10">
        <v>1</v>
      </c>
      <c r="BV17" s="10"/>
      <c r="BW17" s="10">
        <v>1</v>
      </c>
      <c r="CA17" s="10"/>
      <c r="CB17" s="10">
        <v>1</v>
      </c>
      <c r="CC17" s="10"/>
      <c r="CD17" s="10">
        <v>1</v>
      </c>
      <c r="CH17" s="10"/>
      <c r="CI17" s="10">
        <v>1</v>
      </c>
      <c r="CJ17" s="10"/>
      <c r="CK17" s="10">
        <v>1</v>
      </c>
      <c r="CO17" s="10"/>
      <c r="CP17" s="10">
        <v>1</v>
      </c>
      <c r="CQ17" s="10"/>
      <c r="CR17" s="10">
        <v>1</v>
      </c>
      <c r="CV17" s="10"/>
      <c r="CW17" s="10"/>
      <c r="CX17" s="10"/>
      <c r="CY17" s="10"/>
      <c r="DC17" s="10"/>
      <c r="DD17" s="10"/>
      <c r="DE17" s="10"/>
      <c r="DF17" s="10"/>
      <c r="DJ17" s="10"/>
      <c r="DK17" s="10"/>
      <c r="DL17" s="10"/>
      <c r="DM17" s="10"/>
      <c r="DQ17" s="10"/>
      <c r="DR17" s="10"/>
      <c r="DS17" s="10"/>
      <c r="DT17" s="10"/>
      <c r="DX17" s="10"/>
      <c r="DY17" s="10"/>
      <c r="DZ17" s="10"/>
      <c r="EA17" s="10"/>
      <c r="EE17" s="10"/>
      <c r="EF17" s="10"/>
      <c r="EG17" s="10"/>
      <c r="EH17" s="10"/>
    </row>
    <row r="18" spans="2:138" outlineLevel="1" x14ac:dyDescent="0.2">
      <c r="B18" t="s">
        <v>27</v>
      </c>
      <c r="C18" t="s">
        <v>91</v>
      </c>
      <c r="E18" s="9"/>
      <c r="F18" t="s">
        <v>127</v>
      </c>
      <c r="G18" s="10">
        <v>0</v>
      </c>
      <c r="I18" s="9">
        <v>0</v>
      </c>
      <c r="J18" s="11">
        <f t="shared" si="0"/>
        <v>0</v>
      </c>
      <c r="K18" s="11" cm="1">
        <f t="array" ref="K18">MAX(IF($N$3:$EB$3=$J$3,N18:EB18))</f>
        <v>0</v>
      </c>
      <c r="L18" s="9"/>
      <c r="P18" s="10"/>
      <c r="Q18" s="10">
        <v>0.5</v>
      </c>
      <c r="R18" s="10"/>
      <c r="S18" s="10">
        <v>0.5</v>
      </c>
      <c r="W18" s="10"/>
      <c r="X18" s="10">
        <v>0.5</v>
      </c>
      <c r="Y18" s="10"/>
      <c r="Z18" s="10">
        <v>0.5</v>
      </c>
      <c r="AD18" s="10"/>
      <c r="AE18" s="10">
        <v>0.5</v>
      </c>
      <c r="AF18" s="10"/>
      <c r="AG18" s="10">
        <v>0.5</v>
      </c>
      <c r="AK18" s="10"/>
      <c r="AL18" s="10">
        <v>0.5</v>
      </c>
      <c r="AM18" s="10"/>
      <c r="AN18" s="10">
        <v>0.5</v>
      </c>
      <c r="AR18" s="10"/>
      <c r="AS18" s="10">
        <v>0.8</v>
      </c>
      <c r="AT18" s="10"/>
      <c r="AU18" s="10">
        <v>0.8</v>
      </c>
      <c r="AY18" s="10"/>
      <c r="AZ18" s="10">
        <v>0.8</v>
      </c>
      <c r="BA18" s="10"/>
      <c r="BB18" s="10">
        <v>0.8</v>
      </c>
      <c r="BF18" s="10"/>
      <c r="BG18" s="10">
        <v>0.8</v>
      </c>
      <c r="BH18" s="10"/>
      <c r="BI18" s="10">
        <v>0.8</v>
      </c>
      <c r="BM18" s="10"/>
      <c r="BN18" s="10">
        <v>0.8</v>
      </c>
      <c r="BO18" s="10"/>
      <c r="BP18" s="10">
        <v>0.8</v>
      </c>
      <c r="BT18" s="10"/>
      <c r="BU18" s="10">
        <v>1</v>
      </c>
      <c r="BV18" s="10"/>
      <c r="BW18" s="10">
        <v>1</v>
      </c>
      <c r="CA18" s="10"/>
      <c r="CB18" s="10">
        <v>1</v>
      </c>
      <c r="CC18" s="10"/>
      <c r="CD18" s="10">
        <v>1</v>
      </c>
      <c r="CH18" s="10"/>
      <c r="CI18" s="10">
        <v>1</v>
      </c>
      <c r="CJ18" s="10"/>
      <c r="CK18" s="10">
        <v>1</v>
      </c>
      <c r="CO18" s="10"/>
      <c r="CP18" s="10">
        <v>1</v>
      </c>
      <c r="CQ18" s="10"/>
      <c r="CR18" s="10">
        <v>1</v>
      </c>
      <c r="CV18" s="10"/>
      <c r="CW18" s="10"/>
      <c r="CX18" s="10"/>
      <c r="CY18" s="10"/>
      <c r="DC18" s="10"/>
      <c r="DD18" s="10"/>
      <c r="DE18" s="10"/>
      <c r="DF18" s="10"/>
      <c r="DJ18" s="10"/>
      <c r="DK18" s="10"/>
      <c r="DL18" s="10"/>
      <c r="DM18" s="10"/>
      <c r="DQ18" s="10"/>
      <c r="DR18" s="10"/>
      <c r="DS18" s="10"/>
      <c r="DT18" s="10"/>
      <c r="DX18" s="10"/>
      <c r="DY18" s="10"/>
      <c r="DZ18" s="10"/>
      <c r="EA18" s="10"/>
      <c r="EE18" s="10"/>
      <c r="EF18" s="10"/>
      <c r="EG18" s="10"/>
      <c r="EH18" s="10"/>
    </row>
    <row r="19" spans="2:138" outlineLevel="1" x14ac:dyDescent="0.2">
      <c r="B19" t="s">
        <v>27</v>
      </c>
      <c r="C19" t="s">
        <v>91</v>
      </c>
      <c r="E19" s="9"/>
      <c r="F19" t="s">
        <v>130</v>
      </c>
      <c r="G19" s="10">
        <v>0</v>
      </c>
      <c r="I19" s="9">
        <v>0</v>
      </c>
      <c r="J19" s="11">
        <f t="shared" si="0"/>
        <v>0</v>
      </c>
      <c r="K19" s="11" cm="1">
        <f t="array" ref="K19">MAX(IF($N$3:$EB$3=$J$3,N19:EB19))</f>
        <v>0</v>
      </c>
      <c r="L19" s="9"/>
      <c r="P19" s="10"/>
      <c r="Q19" s="10">
        <v>0.5</v>
      </c>
      <c r="R19" s="10"/>
      <c r="S19" s="10">
        <v>0.5</v>
      </c>
      <c r="W19" s="10"/>
      <c r="X19" s="10">
        <v>0.5</v>
      </c>
      <c r="Y19" s="10"/>
      <c r="Z19" s="10">
        <v>0.5</v>
      </c>
      <c r="AD19" s="10"/>
      <c r="AE19" s="10">
        <v>0.5</v>
      </c>
      <c r="AF19" s="10"/>
      <c r="AG19" s="10">
        <v>0.5</v>
      </c>
      <c r="AK19" s="10"/>
      <c r="AL19" s="10">
        <v>0.5</v>
      </c>
      <c r="AM19" s="10"/>
      <c r="AN19" s="10">
        <v>0.5</v>
      </c>
      <c r="AR19" s="10"/>
      <c r="AS19" s="10">
        <v>0.8</v>
      </c>
      <c r="AT19" s="10"/>
      <c r="AU19" s="10">
        <v>0.8</v>
      </c>
      <c r="AY19" s="10"/>
      <c r="AZ19" s="10">
        <v>0.8</v>
      </c>
      <c r="BA19" s="10"/>
      <c r="BB19" s="10">
        <v>0.8</v>
      </c>
      <c r="BF19" s="10"/>
      <c r="BG19" s="10">
        <v>0.8</v>
      </c>
      <c r="BH19" s="10"/>
      <c r="BI19" s="10">
        <v>0.8</v>
      </c>
      <c r="BM19" s="10"/>
      <c r="BN19" s="10">
        <v>0.8</v>
      </c>
      <c r="BO19" s="10"/>
      <c r="BP19" s="10">
        <v>0.8</v>
      </c>
      <c r="BT19" s="10"/>
      <c r="BU19" s="10">
        <v>1</v>
      </c>
      <c r="BV19" s="10"/>
      <c r="BW19" s="10">
        <v>1</v>
      </c>
      <c r="CA19" s="10"/>
      <c r="CB19" s="10">
        <v>1</v>
      </c>
      <c r="CC19" s="10"/>
      <c r="CD19" s="10">
        <v>1</v>
      </c>
      <c r="CH19" s="10"/>
      <c r="CI19" s="10">
        <v>1</v>
      </c>
      <c r="CJ19" s="10"/>
      <c r="CK19" s="10">
        <v>1</v>
      </c>
      <c r="CO19" s="10"/>
      <c r="CP19" s="10">
        <v>1</v>
      </c>
      <c r="CQ19" s="10"/>
      <c r="CR19" s="10">
        <v>1</v>
      </c>
      <c r="CV19" s="10"/>
      <c r="CW19" s="10"/>
      <c r="CX19" s="10"/>
      <c r="CY19" s="10"/>
      <c r="DC19" s="10"/>
      <c r="DD19" s="10"/>
      <c r="DE19" s="10"/>
      <c r="DF19" s="10"/>
      <c r="DJ19" s="10"/>
      <c r="DK19" s="10"/>
      <c r="DL19" s="10"/>
      <c r="DM19" s="10"/>
      <c r="DQ19" s="10"/>
      <c r="DR19" s="10"/>
      <c r="DS19" s="10"/>
      <c r="DT19" s="10"/>
      <c r="DX19" s="10"/>
      <c r="DY19" s="10"/>
      <c r="DZ19" s="10"/>
      <c r="EA19" s="10"/>
      <c r="EE19" s="10"/>
      <c r="EF19" s="10"/>
      <c r="EG19" s="10"/>
      <c r="EH19" s="10"/>
    </row>
    <row r="20" spans="2:138" outlineLevel="1" x14ac:dyDescent="0.2">
      <c r="B20" t="s">
        <v>27</v>
      </c>
      <c r="C20" t="s">
        <v>91</v>
      </c>
      <c r="E20" s="9"/>
      <c r="F20" t="s">
        <v>128</v>
      </c>
      <c r="G20" s="10">
        <v>0</v>
      </c>
      <c r="I20" s="9">
        <v>0</v>
      </c>
      <c r="J20" s="11">
        <f t="shared" si="0"/>
        <v>0</v>
      </c>
      <c r="K20" s="11" cm="1">
        <f t="array" ref="K20">MAX(IF($N$3:$EB$3=$J$3,N20:EB20))</f>
        <v>0</v>
      </c>
      <c r="L20" s="9"/>
      <c r="P20" s="10"/>
      <c r="Q20" s="10">
        <v>0.5</v>
      </c>
      <c r="R20" s="10"/>
      <c r="S20" s="10">
        <v>0.5</v>
      </c>
      <c r="W20" s="10"/>
      <c r="X20" s="10">
        <v>0.5</v>
      </c>
      <c r="Y20" s="10"/>
      <c r="Z20" s="10">
        <v>0.5</v>
      </c>
      <c r="AD20" s="10"/>
      <c r="AE20" s="10">
        <v>0.5</v>
      </c>
      <c r="AF20" s="10"/>
      <c r="AG20" s="10">
        <v>0.5</v>
      </c>
      <c r="AK20" s="10"/>
      <c r="AL20" s="10">
        <v>0.5</v>
      </c>
      <c r="AM20" s="10"/>
      <c r="AN20" s="10">
        <v>0.5</v>
      </c>
      <c r="AR20" s="10"/>
      <c r="AS20" s="10">
        <v>0.8</v>
      </c>
      <c r="AT20" s="10"/>
      <c r="AU20" s="10">
        <v>0.8</v>
      </c>
      <c r="AY20" s="10"/>
      <c r="AZ20" s="10">
        <v>0.8</v>
      </c>
      <c r="BA20" s="10"/>
      <c r="BB20" s="10">
        <v>0.8</v>
      </c>
      <c r="BF20" s="10"/>
      <c r="BG20" s="10">
        <v>0.8</v>
      </c>
      <c r="BH20" s="10"/>
      <c r="BI20" s="10">
        <v>0.8</v>
      </c>
      <c r="BM20" s="10"/>
      <c r="BN20" s="10">
        <v>0.8</v>
      </c>
      <c r="BO20" s="10"/>
      <c r="BP20" s="10">
        <v>0.8</v>
      </c>
      <c r="BT20" s="10"/>
      <c r="BU20" s="10">
        <v>1</v>
      </c>
      <c r="BV20" s="10"/>
      <c r="BW20" s="10">
        <v>1</v>
      </c>
      <c r="CA20" s="10"/>
      <c r="CB20" s="10">
        <v>1</v>
      </c>
      <c r="CC20" s="10"/>
      <c r="CD20" s="10">
        <v>1</v>
      </c>
      <c r="CH20" s="10"/>
      <c r="CI20" s="10">
        <v>1</v>
      </c>
      <c r="CJ20" s="10"/>
      <c r="CK20" s="10">
        <v>1</v>
      </c>
      <c r="CO20" s="10"/>
      <c r="CP20" s="10">
        <v>1</v>
      </c>
      <c r="CQ20" s="10"/>
      <c r="CR20" s="10">
        <v>1</v>
      </c>
      <c r="CV20" s="10"/>
      <c r="CW20" s="10"/>
      <c r="CX20" s="10"/>
      <c r="CY20" s="10"/>
      <c r="DC20" s="10"/>
      <c r="DD20" s="10"/>
      <c r="DE20" s="10"/>
      <c r="DF20" s="10"/>
      <c r="DJ20" s="10"/>
      <c r="DK20" s="10"/>
      <c r="DL20" s="10"/>
      <c r="DM20" s="10"/>
      <c r="DQ20" s="10"/>
      <c r="DR20" s="10"/>
      <c r="DS20" s="10"/>
      <c r="DT20" s="10"/>
      <c r="DX20" s="10"/>
      <c r="DY20" s="10"/>
      <c r="DZ20" s="10"/>
      <c r="EA20" s="10"/>
      <c r="EE20" s="10"/>
      <c r="EF20" s="10"/>
      <c r="EG20" s="10"/>
      <c r="EH20" s="10"/>
    </row>
    <row r="21" spans="2:138" outlineLevel="1" x14ac:dyDescent="0.2">
      <c r="B21" t="s">
        <v>27</v>
      </c>
      <c r="C21" t="s">
        <v>91</v>
      </c>
      <c r="E21" s="9"/>
      <c r="F21" t="s">
        <v>129</v>
      </c>
      <c r="G21" s="10">
        <v>0</v>
      </c>
      <c r="I21" s="9">
        <v>0</v>
      </c>
      <c r="J21" s="11">
        <f t="shared" si="0"/>
        <v>0</v>
      </c>
      <c r="K21" s="11" cm="1">
        <f t="array" ref="K21">MAX(IF($N$3:$EB$3=$J$3,N21:EB21))</f>
        <v>0</v>
      </c>
      <c r="L21" s="9"/>
      <c r="P21" s="10"/>
      <c r="Q21" s="10"/>
      <c r="R21" s="10"/>
      <c r="S21" s="10"/>
      <c r="W21" s="10"/>
      <c r="X21" s="10">
        <v>0.5</v>
      </c>
      <c r="Y21" s="10"/>
      <c r="Z21" s="10">
        <v>0.5</v>
      </c>
      <c r="AD21" s="10"/>
      <c r="AE21" s="10">
        <v>0.5</v>
      </c>
      <c r="AF21" s="10"/>
      <c r="AG21" s="10">
        <v>0.5</v>
      </c>
      <c r="AK21" s="10"/>
      <c r="AL21" s="10">
        <v>0.5</v>
      </c>
      <c r="AM21" s="10"/>
      <c r="AN21" s="10">
        <v>0.5</v>
      </c>
      <c r="AR21" s="10"/>
      <c r="AS21" s="10">
        <v>0.5</v>
      </c>
      <c r="AT21" s="10"/>
      <c r="AU21" s="10">
        <v>0.5</v>
      </c>
      <c r="AY21" s="10"/>
      <c r="AZ21" s="10">
        <v>0.8</v>
      </c>
      <c r="BA21" s="10"/>
      <c r="BB21" s="10">
        <v>0.8</v>
      </c>
      <c r="BF21" s="10"/>
      <c r="BG21" s="10">
        <v>0.8</v>
      </c>
      <c r="BH21" s="10"/>
      <c r="BI21" s="10">
        <v>0.8</v>
      </c>
      <c r="BM21" s="10"/>
      <c r="BN21" s="10">
        <v>0.8</v>
      </c>
      <c r="BO21" s="10"/>
      <c r="BP21" s="10">
        <v>0.8</v>
      </c>
      <c r="BT21" s="10"/>
      <c r="BU21" s="10">
        <v>0.8</v>
      </c>
      <c r="BV21" s="10"/>
      <c r="BW21" s="10">
        <v>0.8</v>
      </c>
      <c r="CA21" s="10"/>
      <c r="CB21" s="10">
        <v>1</v>
      </c>
      <c r="CC21" s="10"/>
      <c r="CD21" s="10">
        <v>1</v>
      </c>
      <c r="CH21" s="10"/>
      <c r="CI21" s="10">
        <v>1</v>
      </c>
      <c r="CJ21" s="10"/>
      <c r="CK21" s="10">
        <v>1</v>
      </c>
      <c r="CO21" s="10"/>
      <c r="CP21" s="10">
        <v>1</v>
      </c>
      <c r="CQ21" s="10"/>
      <c r="CR21" s="10">
        <v>1</v>
      </c>
      <c r="CV21" s="10"/>
      <c r="CW21" s="10"/>
      <c r="CX21" s="10"/>
      <c r="CY21" s="10"/>
      <c r="DC21" s="10"/>
      <c r="DD21" s="10"/>
      <c r="DE21" s="10"/>
      <c r="DF21" s="10"/>
      <c r="DJ21" s="10"/>
      <c r="DK21" s="10"/>
      <c r="DL21" s="10"/>
      <c r="DM21" s="10"/>
      <c r="DQ21" s="10"/>
      <c r="DR21" s="10"/>
      <c r="DS21" s="10"/>
      <c r="DT21" s="10"/>
      <c r="DX21" s="10"/>
      <c r="DY21" s="10"/>
      <c r="DZ21" s="10"/>
      <c r="EA21" s="10"/>
      <c r="EE21" s="10"/>
      <c r="EF21" s="10"/>
      <c r="EG21" s="10"/>
      <c r="EH21" s="10"/>
    </row>
    <row r="22" spans="2:138" outlineLevel="1" x14ac:dyDescent="0.2">
      <c r="B22" t="s">
        <v>27</v>
      </c>
      <c r="C22" t="s">
        <v>91</v>
      </c>
      <c r="E22" s="9"/>
      <c r="F22" t="s">
        <v>166</v>
      </c>
      <c r="G22" s="10">
        <v>0</v>
      </c>
      <c r="I22" s="9">
        <v>0</v>
      </c>
      <c r="J22" s="11">
        <f t="shared" si="0"/>
        <v>0</v>
      </c>
      <c r="K22" s="11" cm="1">
        <f t="array" ref="K22">MAX(IF($N$3:$EB$3=$J$3,N22:EB22))</f>
        <v>0</v>
      </c>
      <c r="L22" s="9"/>
      <c r="P22" s="10"/>
      <c r="Q22" s="10"/>
      <c r="R22" s="10"/>
      <c r="S22" s="10"/>
      <c r="W22" s="10"/>
      <c r="X22" s="10">
        <v>0.5</v>
      </c>
      <c r="Y22" s="10"/>
      <c r="Z22" s="10">
        <v>0.5</v>
      </c>
      <c r="AD22" s="10"/>
      <c r="AE22" s="10">
        <v>0.5</v>
      </c>
      <c r="AF22" s="10"/>
      <c r="AG22" s="10">
        <v>0.5</v>
      </c>
      <c r="AK22" s="10"/>
      <c r="AL22" s="10">
        <v>0.5</v>
      </c>
      <c r="AM22" s="10"/>
      <c r="AN22" s="10">
        <v>0.5</v>
      </c>
      <c r="AR22" s="10"/>
      <c r="AS22" s="10">
        <v>0.5</v>
      </c>
      <c r="AT22" s="10"/>
      <c r="AU22" s="10">
        <v>0.5</v>
      </c>
      <c r="AY22" s="10"/>
      <c r="AZ22" s="10">
        <v>0.8</v>
      </c>
      <c r="BA22" s="10"/>
      <c r="BB22" s="10">
        <v>0.8</v>
      </c>
      <c r="BF22" s="10"/>
      <c r="BG22" s="10">
        <v>0.8</v>
      </c>
      <c r="BH22" s="10"/>
      <c r="BI22" s="10">
        <v>0.8</v>
      </c>
      <c r="BM22" s="10"/>
      <c r="BN22" s="10">
        <v>0.8</v>
      </c>
      <c r="BO22" s="10"/>
      <c r="BP22" s="10">
        <v>0.8</v>
      </c>
      <c r="BT22" s="10"/>
      <c r="BU22" s="10">
        <v>0.8</v>
      </c>
      <c r="BV22" s="10"/>
      <c r="BW22" s="10">
        <v>0.8</v>
      </c>
      <c r="CA22" s="10"/>
      <c r="CB22" s="10">
        <v>1</v>
      </c>
      <c r="CC22" s="10"/>
      <c r="CD22" s="10">
        <v>1</v>
      </c>
      <c r="CH22" s="10"/>
      <c r="CI22" s="10">
        <v>1</v>
      </c>
      <c r="CJ22" s="10"/>
      <c r="CK22" s="10">
        <v>1</v>
      </c>
      <c r="CO22" s="10"/>
      <c r="CP22" s="10">
        <v>1</v>
      </c>
      <c r="CQ22" s="10"/>
      <c r="CR22" s="10">
        <v>1</v>
      </c>
      <c r="CV22" s="10"/>
      <c r="CW22" s="10"/>
      <c r="CX22" s="10"/>
      <c r="CY22" s="10"/>
      <c r="DC22" s="10"/>
      <c r="DD22" s="10"/>
      <c r="DE22" s="10"/>
      <c r="DF22" s="10"/>
      <c r="DJ22" s="10"/>
      <c r="DK22" s="10"/>
      <c r="DL22" s="10"/>
      <c r="DM22" s="10"/>
      <c r="DQ22" s="10"/>
      <c r="DR22" s="10"/>
      <c r="DS22" s="10"/>
      <c r="DT22" s="10"/>
      <c r="DX22" s="10"/>
      <c r="DY22" s="10"/>
      <c r="DZ22" s="10"/>
      <c r="EA22" s="10"/>
      <c r="EE22" s="10"/>
      <c r="EF22" s="10"/>
      <c r="EG22" s="10"/>
      <c r="EH22" s="10"/>
    </row>
    <row r="23" spans="2:138" outlineLevel="1" x14ac:dyDescent="0.2">
      <c r="B23" t="s">
        <v>27</v>
      </c>
      <c r="C23" t="s">
        <v>91</v>
      </c>
      <c r="E23" s="9"/>
      <c r="F23" t="s">
        <v>165</v>
      </c>
      <c r="G23" s="10">
        <v>0</v>
      </c>
      <c r="I23" s="9">
        <v>0</v>
      </c>
      <c r="J23" s="11">
        <f t="shared" si="0"/>
        <v>0</v>
      </c>
      <c r="K23" s="11" cm="1">
        <f t="array" ref="K23">MAX(IF($N$3:$EB$3=$J$3,N23:EB23))</f>
        <v>0</v>
      </c>
      <c r="L23" s="9"/>
      <c r="P23" s="10"/>
      <c r="Q23" s="10"/>
      <c r="R23" s="10"/>
      <c r="S23" s="10"/>
      <c r="W23" s="10"/>
      <c r="X23" s="10">
        <v>0.5</v>
      </c>
      <c r="Y23" s="10"/>
      <c r="Z23" s="10">
        <v>0.5</v>
      </c>
      <c r="AD23" s="10"/>
      <c r="AE23" s="10">
        <v>0.5</v>
      </c>
      <c r="AF23" s="10"/>
      <c r="AG23" s="10">
        <v>0.5</v>
      </c>
      <c r="AK23" s="10"/>
      <c r="AL23" s="10">
        <v>0.5</v>
      </c>
      <c r="AM23" s="10"/>
      <c r="AN23" s="10">
        <v>0.5</v>
      </c>
      <c r="AR23" s="10"/>
      <c r="AS23" s="10">
        <v>0.5</v>
      </c>
      <c r="AT23" s="10"/>
      <c r="AU23" s="10">
        <v>0.5</v>
      </c>
      <c r="AY23" s="10"/>
      <c r="AZ23" s="10">
        <v>0.8</v>
      </c>
      <c r="BA23" s="10"/>
      <c r="BB23" s="10">
        <v>0.8</v>
      </c>
      <c r="BF23" s="10"/>
      <c r="BG23" s="10">
        <v>0.8</v>
      </c>
      <c r="BH23" s="10"/>
      <c r="BI23" s="10">
        <v>0.8</v>
      </c>
      <c r="BM23" s="10"/>
      <c r="BN23" s="10">
        <v>0.8</v>
      </c>
      <c r="BO23" s="10"/>
      <c r="BP23" s="10">
        <v>0.8</v>
      </c>
      <c r="BT23" s="10"/>
      <c r="BU23" s="10">
        <v>0.8</v>
      </c>
      <c r="BV23" s="10"/>
      <c r="BW23" s="10">
        <v>0.8</v>
      </c>
      <c r="CA23" s="10"/>
      <c r="CB23" s="10">
        <v>1</v>
      </c>
      <c r="CC23" s="10"/>
      <c r="CD23" s="10">
        <v>1</v>
      </c>
      <c r="CH23" s="10"/>
      <c r="CI23" s="10">
        <v>1</v>
      </c>
      <c r="CJ23" s="10"/>
      <c r="CK23" s="10">
        <v>1</v>
      </c>
      <c r="CO23" s="10"/>
      <c r="CP23" s="10">
        <v>1</v>
      </c>
      <c r="CQ23" s="10"/>
      <c r="CR23" s="10">
        <v>1</v>
      </c>
      <c r="CV23" s="10"/>
      <c r="CW23" s="10"/>
      <c r="CX23" s="10"/>
      <c r="CY23" s="10"/>
      <c r="DC23" s="10"/>
      <c r="DD23" s="10"/>
      <c r="DE23" s="10"/>
      <c r="DF23" s="10"/>
      <c r="DJ23" s="10"/>
      <c r="DK23" s="10"/>
      <c r="DL23" s="10"/>
      <c r="DM23" s="10"/>
      <c r="DQ23" s="10"/>
      <c r="DR23" s="10"/>
      <c r="DS23" s="10"/>
      <c r="DT23" s="10"/>
      <c r="DX23" s="10"/>
      <c r="DY23" s="10"/>
      <c r="DZ23" s="10"/>
      <c r="EA23" s="10"/>
      <c r="EE23" s="10"/>
      <c r="EF23" s="10"/>
      <c r="EG23" s="10"/>
      <c r="EH23" s="10"/>
    </row>
    <row r="24" spans="2:138" outlineLevel="1" x14ac:dyDescent="0.2">
      <c r="B24" t="s">
        <v>27</v>
      </c>
      <c r="C24" t="s">
        <v>91</v>
      </c>
      <c r="E24" s="9"/>
      <c r="F24" t="s">
        <v>167</v>
      </c>
      <c r="G24" s="10">
        <v>0</v>
      </c>
      <c r="I24" s="9">
        <v>0</v>
      </c>
      <c r="J24" s="11">
        <f t="shared" si="0"/>
        <v>0</v>
      </c>
      <c r="K24" s="11" cm="1">
        <f t="array" ref="K24">MAX(IF($N$3:$EB$3=$J$3,N24:EB24))</f>
        <v>0</v>
      </c>
      <c r="L24" s="9"/>
      <c r="P24" s="10"/>
      <c r="Q24" s="10"/>
      <c r="R24" s="10"/>
      <c r="S24" s="10"/>
      <c r="W24" s="10"/>
      <c r="X24" s="10">
        <v>0.5</v>
      </c>
      <c r="Y24" s="10"/>
      <c r="Z24" s="10">
        <v>0.5</v>
      </c>
      <c r="AD24" s="10"/>
      <c r="AE24" s="10">
        <v>0.5</v>
      </c>
      <c r="AF24" s="10"/>
      <c r="AG24" s="10">
        <v>0.5</v>
      </c>
      <c r="AK24" s="10"/>
      <c r="AL24" s="10">
        <v>0.5</v>
      </c>
      <c r="AM24" s="10"/>
      <c r="AN24" s="10">
        <v>0.5</v>
      </c>
      <c r="AR24" s="10"/>
      <c r="AS24" s="10">
        <v>0.5</v>
      </c>
      <c r="AT24" s="10"/>
      <c r="AU24" s="10">
        <v>0.5</v>
      </c>
      <c r="AY24" s="10"/>
      <c r="AZ24" s="10">
        <v>0.8</v>
      </c>
      <c r="BA24" s="10"/>
      <c r="BB24" s="10">
        <v>0.8</v>
      </c>
      <c r="BF24" s="10"/>
      <c r="BG24" s="10">
        <v>0.8</v>
      </c>
      <c r="BH24" s="10"/>
      <c r="BI24" s="10">
        <v>0.8</v>
      </c>
      <c r="BM24" s="10"/>
      <c r="BN24" s="10">
        <v>0.8</v>
      </c>
      <c r="BO24" s="10"/>
      <c r="BP24" s="10">
        <v>0.8</v>
      </c>
      <c r="BT24" s="10"/>
      <c r="BU24" s="10">
        <v>0.8</v>
      </c>
      <c r="BV24" s="10"/>
      <c r="BW24" s="10">
        <v>0.8</v>
      </c>
      <c r="CA24" s="10"/>
      <c r="CB24" s="10">
        <v>1</v>
      </c>
      <c r="CC24" s="10"/>
      <c r="CD24" s="10">
        <v>1</v>
      </c>
      <c r="CH24" s="10"/>
      <c r="CI24" s="10">
        <v>1</v>
      </c>
      <c r="CJ24" s="10"/>
      <c r="CK24" s="10">
        <v>1</v>
      </c>
      <c r="CO24" s="10"/>
      <c r="CP24" s="10">
        <v>1</v>
      </c>
      <c r="CQ24" s="10"/>
      <c r="CR24" s="10">
        <v>1</v>
      </c>
      <c r="CV24" s="10"/>
      <c r="CW24" s="10"/>
      <c r="CX24" s="10"/>
      <c r="CY24" s="10"/>
      <c r="DC24" s="10"/>
      <c r="DD24" s="10"/>
      <c r="DE24" s="10"/>
      <c r="DF24" s="10"/>
      <c r="DJ24" s="10"/>
      <c r="DK24" s="10"/>
      <c r="DL24" s="10"/>
      <c r="DM24" s="10"/>
      <c r="DQ24" s="10"/>
      <c r="DR24" s="10"/>
      <c r="DS24" s="10"/>
      <c r="DT24" s="10"/>
      <c r="DX24" s="10"/>
      <c r="DY24" s="10"/>
      <c r="DZ24" s="10"/>
      <c r="EA24" s="10"/>
      <c r="EE24" s="10"/>
      <c r="EF24" s="10"/>
      <c r="EG24" s="10"/>
      <c r="EH24" s="10"/>
    </row>
    <row r="25" spans="2:138" outlineLevel="1" x14ac:dyDescent="0.2">
      <c r="B25" t="s">
        <v>27</v>
      </c>
      <c r="C25" t="s">
        <v>91</v>
      </c>
      <c r="E25" s="9"/>
      <c r="F25" t="s">
        <v>168</v>
      </c>
      <c r="G25" s="10">
        <v>0</v>
      </c>
      <c r="I25" s="9">
        <v>0</v>
      </c>
      <c r="J25" s="11">
        <f>+SUMPRODUCT(G26:G48,J26:J48)</f>
        <v>0</v>
      </c>
      <c r="K25" s="11" cm="1">
        <f t="array" ref="K25">MAX(IF($N$3:$EB$3=$J$3,N25:EB25))</f>
        <v>0</v>
      </c>
      <c r="L25" s="9"/>
      <c r="P25" s="10"/>
      <c r="Q25" s="10"/>
      <c r="R25" s="10"/>
      <c r="S25" s="10"/>
      <c r="W25" s="10"/>
      <c r="X25" s="10">
        <v>0.5</v>
      </c>
      <c r="Y25" s="10"/>
      <c r="Z25" s="10">
        <v>0.5</v>
      </c>
      <c r="AD25" s="10"/>
      <c r="AE25" s="10">
        <v>0.5</v>
      </c>
      <c r="AF25" s="10"/>
      <c r="AG25" s="10">
        <v>0.5</v>
      </c>
      <c r="AK25" s="10"/>
      <c r="AL25" s="10">
        <v>0.5</v>
      </c>
      <c r="AM25" s="10"/>
      <c r="AN25" s="10">
        <v>0.5</v>
      </c>
      <c r="AR25" s="10"/>
      <c r="AS25" s="10">
        <v>0.5</v>
      </c>
      <c r="AT25" s="10"/>
      <c r="AU25" s="10">
        <v>0.5</v>
      </c>
      <c r="AY25" s="10"/>
      <c r="AZ25" s="10">
        <v>0.8</v>
      </c>
      <c r="BA25" s="10"/>
      <c r="BB25" s="10">
        <v>0.8</v>
      </c>
      <c r="BF25" s="10"/>
      <c r="BG25" s="10">
        <v>0.8</v>
      </c>
      <c r="BH25" s="10"/>
      <c r="BI25" s="10">
        <v>0.8</v>
      </c>
      <c r="BM25" s="10"/>
      <c r="BN25" s="10">
        <v>0.8</v>
      </c>
      <c r="BO25" s="10"/>
      <c r="BP25" s="10">
        <v>0.8</v>
      </c>
      <c r="BT25" s="10"/>
      <c r="BU25" s="10">
        <v>0.8</v>
      </c>
      <c r="BV25" s="10"/>
      <c r="BW25" s="10">
        <v>0.8</v>
      </c>
      <c r="CA25" s="10"/>
      <c r="CB25" s="10">
        <v>1</v>
      </c>
      <c r="CC25" s="10"/>
      <c r="CD25" s="10">
        <v>1</v>
      </c>
      <c r="CH25" s="10"/>
      <c r="CI25" s="10">
        <v>1</v>
      </c>
      <c r="CJ25" s="10"/>
      <c r="CK25" s="10">
        <v>1</v>
      </c>
      <c r="CO25" s="10"/>
      <c r="CP25" s="10">
        <v>1</v>
      </c>
      <c r="CQ25" s="10"/>
      <c r="CR25" s="10">
        <v>1</v>
      </c>
      <c r="CV25" s="10"/>
      <c r="CW25" s="10"/>
      <c r="CX25" s="10"/>
      <c r="CY25" s="10"/>
      <c r="DC25" s="10"/>
      <c r="DD25" s="10"/>
      <c r="DE25" s="10"/>
      <c r="DF25" s="10"/>
      <c r="DJ25" s="10"/>
      <c r="DK25" s="10"/>
      <c r="DL25" s="10"/>
      <c r="DM25" s="10"/>
      <c r="DQ25" s="10"/>
      <c r="DR25" s="10"/>
      <c r="DS25" s="10"/>
      <c r="DT25" s="10"/>
      <c r="DX25" s="10"/>
      <c r="DY25" s="10"/>
      <c r="DZ25" s="10"/>
      <c r="EA25" s="10"/>
      <c r="EE25" s="10"/>
      <c r="EF25" s="10"/>
      <c r="EG25" s="10"/>
      <c r="EH25" s="10"/>
    </row>
    <row r="26" spans="2:138" outlineLevel="1" x14ac:dyDescent="0.2">
      <c r="B26" t="s">
        <v>27</v>
      </c>
      <c r="C26" t="s">
        <v>91</v>
      </c>
      <c r="E26" s="9"/>
      <c r="F26" t="s">
        <v>169</v>
      </c>
      <c r="G26" s="10">
        <v>0</v>
      </c>
      <c r="I26" s="9">
        <v>0</v>
      </c>
      <c r="J26" s="11">
        <f>+SUMPRODUCT(G27:G49,J27:J49)</f>
        <v>0</v>
      </c>
      <c r="K26" s="11" cm="1">
        <f t="array" ref="K26">MAX(IF($N$3:$EB$3=$J$3,N26:EB26))</f>
        <v>0</v>
      </c>
      <c r="L26" s="9"/>
      <c r="P26" s="10"/>
      <c r="Q26" s="10"/>
      <c r="R26" s="10"/>
      <c r="S26" s="10"/>
      <c r="W26" s="10"/>
      <c r="X26" s="10"/>
      <c r="Y26" s="10"/>
      <c r="Z26" s="10"/>
      <c r="AD26" s="10"/>
      <c r="AE26" s="10">
        <v>0.5</v>
      </c>
      <c r="AF26" s="10"/>
      <c r="AG26" s="10">
        <v>0.5</v>
      </c>
      <c r="AK26" s="10"/>
      <c r="AL26" s="10">
        <v>0.5</v>
      </c>
      <c r="AM26" s="10"/>
      <c r="AN26" s="10">
        <v>0.5</v>
      </c>
      <c r="AR26" s="10"/>
      <c r="AS26" s="10">
        <v>0.5</v>
      </c>
      <c r="AT26" s="10"/>
      <c r="AU26" s="10">
        <v>0.5</v>
      </c>
      <c r="AY26" s="10"/>
      <c r="AZ26" s="10">
        <v>0.5</v>
      </c>
      <c r="BA26" s="10"/>
      <c r="BB26" s="10">
        <v>0.5</v>
      </c>
      <c r="BF26" s="10"/>
      <c r="BG26" s="10">
        <v>0.8</v>
      </c>
      <c r="BH26" s="10"/>
      <c r="BI26" s="10">
        <v>0.8</v>
      </c>
      <c r="BM26" s="10"/>
      <c r="BN26" s="10">
        <v>0.8</v>
      </c>
      <c r="BO26" s="10"/>
      <c r="BP26" s="10">
        <v>0.8</v>
      </c>
      <c r="BT26" s="10"/>
      <c r="BU26" s="10">
        <v>0.8</v>
      </c>
      <c r="BV26" s="10"/>
      <c r="BW26" s="10">
        <v>0.8</v>
      </c>
      <c r="CA26" s="10"/>
      <c r="CB26" s="10">
        <v>0.8</v>
      </c>
      <c r="CC26" s="10"/>
      <c r="CD26" s="10">
        <v>0.8</v>
      </c>
      <c r="CH26" s="10"/>
      <c r="CI26" s="10">
        <v>1</v>
      </c>
      <c r="CJ26" s="10"/>
      <c r="CK26" s="10">
        <v>1</v>
      </c>
      <c r="CO26" s="10"/>
      <c r="CP26" s="10">
        <v>1</v>
      </c>
      <c r="CQ26" s="10"/>
      <c r="CR26" s="10">
        <v>1</v>
      </c>
      <c r="CV26" s="10"/>
      <c r="CW26" s="10"/>
      <c r="CX26" s="10"/>
      <c r="CY26" s="10"/>
      <c r="DC26" s="10"/>
      <c r="DD26" s="10"/>
      <c r="DE26" s="10"/>
      <c r="DF26" s="10"/>
      <c r="DJ26" s="10"/>
      <c r="DK26" s="10"/>
      <c r="DL26" s="10"/>
      <c r="DM26" s="10"/>
      <c r="DQ26" s="10"/>
      <c r="DR26" s="10"/>
      <c r="DS26" s="10"/>
      <c r="DT26" s="10"/>
      <c r="DX26" s="10"/>
      <c r="DY26" s="10"/>
      <c r="DZ26" s="10"/>
      <c r="EA26" s="10"/>
      <c r="EE26" s="10"/>
      <c r="EF26" s="10"/>
      <c r="EG26" s="10"/>
      <c r="EH26" s="10"/>
    </row>
    <row r="27" spans="2:138" outlineLevel="1" x14ac:dyDescent="0.2">
      <c r="B27" t="s">
        <v>27</v>
      </c>
      <c r="C27" t="s">
        <v>91</v>
      </c>
      <c r="E27" s="9"/>
      <c r="F27" t="s">
        <v>170</v>
      </c>
      <c r="G27" s="10">
        <v>0</v>
      </c>
      <c r="I27" s="9">
        <v>0</v>
      </c>
      <c r="J27" s="11">
        <f>+SUMPRODUCT(G28:G50,J28:J50)</f>
        <v>0</v>
      </c>
      <c r="K27" s="11" cm="1">
        <f t="array" ref="K27">MAX(IF($N$3:$EB$3=$J$3,N27:EB27))</f>
        <v>0</v>
      </c>
      <c r="L27" s="9"/>
      <c r="P27" s="10"/>
      <c r="Q27" s="10"/>
      <c r="R27" s="10"/>
      <c r="S27" s="10"/>
      <c r="W27" s="10"/>
      <c r="X27" s="10"/>
      <c r="Y27" s="10"/>
      <c r="Z27" s="10"/>
      <c r="AD27" s="10"/>
      <c r="AE27" s="10">
        <v>0.5</v>
      </c>
      <c r="AF27" s="10"/>
      <c r="AG27" s="10">
        <v>0.5</v>
      </c>
      <c r="AK27" s="10"/>
      <c r="AL27" s="10">
        <v>0.5</v>
      </c>
      <c r="AM27" s="10"/>
      <c r="AN27" s="10">
        <v>0.5</v>
      </c>
      <c r="AR27" s="10"/>
      <c r="AS27" s="10">
        <v>0.5</v>
      </c>
      <c r="AT27" s="10"/>
      <c r="AU27" s="10">
        <v>0.5</v>
      </c>
      <c r="AY27" s="10"/>
      <c r="AZ27" s="10">
        <v>0.5</v>
      </c>
      <c r="BA27" s="10"/>
      <c r="BB27" s="10">
        <v>0.5</v>
      </c>
      <c r="BF27" s="10"/>
      <c r="BG27" s="10">
        <v>0.8</v>
      </c>
      <c r="BH27" s="10"/>
      <c r="BI27" s="10">
        <v>0.8</v>
      </c>
      <c r="BM27" s="10"/>
      <c r="BN27" s="10">
        <v>0.8</v>
      </c>
      <c r="BO27" s="10"/>
      <c r="BP27" s="10">
        <v>0.8</v>
      </c>
      <c r="BT27" s="10"/>
      <c r="BU27" s="10">
        <v>0.8</v>
      </c>
      <c r="BV27" s="10"/>
      <c r="BW27" s="10">
        <v>0.8</v>
      </c>
      <c r="CA27" s="10"/>
      <c r="CB27" s="10">
        <v>0.8</v>
      </c>
      <c r="CC27" s="10"/>
      <c r="CD27" s="10">
        <v>0.8</v>
      </c>
      <c r="CH27" s="10"/>
      <c r="CI27" s="10">
        <v>1</v>
      </c>
      <c r="CJ27" s="10"/>
      <c r="CK27" s="10">
        <v>1</v>
      </c>
      <c r="CO27" s="10"/>
      <c r="CP27" s="10">
        <v>1</v>
      </c>
      <c r="CQ27" s="10"/>
      <c r="CR27" s="10">
        <v>1</v>
      </c>
      <c r="CV27" s="10"/>
      <c r="CW27" s="10"/>
      <c r="CX27" s="10"/>
      <c r="CY27" s="10"/>
      <c r="DC27" s="10"/>
      <c r="DD27" s="10"/>
      <c r="DE27" s="10"/>
      <c r="DF27" s="10"/>
      <c r="DJ27" s="10"/>
      <c r="DK27" s="10"/>
      <c r="DL27" s="10"/>
      <c r="DM27" s="10"/>
      <c r="DQ27" s="10"/>
      <c r="DR27" s="10"/>
      <c r="DS27" s="10"/>
      <c r="DT27" s="10"/>
      <c r="DX27" s="10"/>
      <c r="DY27" s="10"/>
      <c r="DZ27" s="10"/>
      <c r="EA27" s="10"/>
      <c r="EE27" s="10"/>
      <c r="EF27" s="10"/>
      <c r="EG27" s="10"/>
      <c r="EH27" s="10"/>
    </row>
    <row r="28" spans="2:138" outlineLevel="1" x14ac:dyDescent="0.2">
      <c r="B28" t="s">
        <v>27</v>
      </c>
      <c r="C28" t="s">
        <v>91</v>
      </c>
      <c r="E28" s="9"/>
      <c r="F28" t="s">
        <v>171</v>
      </c>
      <c r="G28" s="10">
        <v>0</v>
      </c>
      <c r="I28" s="9">
        <v>0</v>
      </c>
      <c r="J28" s="11">
        <f>+SUMPRODUCT(G29:G51,J29:J51)</f>
        <v>0</v>
      </c>
      <c r="K28" s="11" cm="1">
        <f t="array" ref="K28">MAX(IF($N$3:$EB$3=$J$3,N28:EB28))</f>
        <v>0</v>
      </c>
      <c r="L28" s="9"/>
      <c r="P28" s="10"/>
      <c r="Q28" s="10"/>
      <c r="R28" s="10"/>
      <c r="S28" s="10"/>
      <c r="W28" s="10"/>
      <c r="X28" s="10"/>
      <c r="Y28" s="10"/>
      <c r="Z28" s="10"/>
      <c r="AD28" s="10"/>
      <c r="AE28" s="10">
        <v>0.5</v>
      </c>
      <c r="AF28" s="10"/>
      <c r="AG28" s="10">
        <v>0.5</v>
      </c>
      <c r="AK28" s="10"/>
      <c r="AL28" s="10">
        <v>0.5</v>
      </c>
      <c r="AM28" s="10"/>
      <c r="AN28" s="10">
        <v>0.5</v>
      </c>
      <c r="AR28" s="10"/>
      <c r="AS28" s="10">
        <v>0.5</v>
      </c>
      <c r="AT28" s="10"/>
      <c r="AU28" s="10">
        <v>0.5</v>
      </c>
      <c r="AY28" s="10"/>
      <c r="AZ28" s="10">
        <v>0.5</v>
      </c>
      <c r="BA28" s="10"/>
      <c r="BB28" s="10">
        <v>0.5</v>
      </c>
      <c r="BF28" s="10"/>
      <c r="BG28" s="10">
        <v>0.8</v>
      </c>
      <c r="BH28" s="10"/>
      <c r="BI28" s="10">
        <v>0.8</v>
      </c>
      <c r="BM28" s="10"/>
      <c r="BN28" s="10">
        <v>0.8</v>
      </c>
      <c r="BO28" s="10"/>
      <c r="BP28" s="10">
        <v>0.8</v>
      </c>
      <c r="BT28" s="10"/>
      <c r="BU28" s="10">
        <v>0.8</v>
      </c>
      <c r="BV28" s="10"/>
      <c r="BW28" s="10">
        <v>0.8</v>
      </c>
      <c r="CA28" s="10"/>
      <c r="CB28" s="10">
        <v>0.8</v>
      </c>
      <c r="CC28" s="10"/>
      <c r="CD28" s="10">
        <v>0.8</v>
      </c>
      <c r="CH28" s="10"/>
      <c r="CI28" s="10">
        <v>1</v>
      </c>
      <c r="CJ28" s="10"/>
      <c r="CK28" s="10">
        <v>1</v>
      </c>
      <c r="CO28" s="10"/>
      <c r="CP28" s="10">
        <v>1</v>
      </c>
      <c r="CQ28" s="10"/>
      <c r="CR28" s="10">
        <v>1</v>
      </c>
      <c r="CV28" s="10"/>
      <c r="CW28" s="10"/>
      <c r="CX28" s="10"/>
      <c r="CY28" s="10"/>
      <c r="DC28" s="10"/>
      <c r="DD28" s="10"/>
      <c r="DE28" s="10"/>
      <c r="DF28" s="10"/>
      <c r="DJ28" s="10"/>
      <c r="DK28" s="10"/>
      <c r="DL28" s="10"/>
      <c r="DM28" s="10"/>
      <c r="DQ28" s="10"/>
      <c r="DR28" s="10"/>
      <c r="DS28" s="10"/>
      <c r="DT28" s="10"/>
      <c r="DX28" s="10"/>
      <c r="DY28" s="10"/>
      <c r="DZ28" s="10"/>
      <c r="EA28" s="10"/>
      <c r="EE28" s="10"/>
      <c r="EF28" s="10"/>
      <c r="EG28" s="10"/>
      <c r="EH28" s="10"/>
    </row>
    <row r="29" spans="2:138" outlineLevel="1" x14ac:dyDescent="0.2">
      <c r="B29" t="s">
        <v>27</v>
      </c>
      <c r="C29" t="s">
        <v>91</v>
      </c>
      <c r="E29" s="9"/>
      <c r="F29" t="s">
        <v>172</v>
      </c>
      <c r="G29" s="10">
        <v>0</v>
      </c>
      <c r="I29" s="9">
        <v>0</v>
      </c>
      <c r="J29" s="11">
        <f>+SUMPRODUCT(G30:G52,J30:J52)</f>
        <v>0</v>
      </c>
      <c r="K29" s="11" cm="1">
        <f t="array" ref="K29">MAX(IF($N$3:$EB$3=$J$3,N29:EB29))</f>
        <v>0</v>
      </c>
      <c r="L29" s="9"/>
      <c r="P29" s="10"/>
      <c r="Q29" s="10"/>
      <c r="R29" s="10"/>
      <c r="S29" s="10"/>
      <c r="W29" s="10"/>
      <c r="X29" s="10"/>
      <c r="Y29" s="10"/>
      <c r="Z29" s="10"/>
      <c r="AD29" s="10"/>
      <c r="AE29" s="10">
        <v>0.5</v>
      </c>
      <c r="AF29" s="10"/>
      <c r="AG29" s="10">
        <v>0.5</v>
      </c>
      <c r="AK29" s="10"/>
      <c r="AL29" s="10">
        <v>0.5</v>
      </c>
      <c r="AM29" s="10"/>
      <c r="AN29" s="10">
        <v>0.5</v>
      </c>
      <c r="AR29" s="10"/>
      <c r="AS29" s="10">
        <v>0.5</v>
      </c>
      <c r="AT29" s="10"/>
      <c r="AU29" s="10">
        <v>0.5</v>
      </c>
      <c r="AY29" s="10"/>
      <c r="AZ29" s="10">
        <v>0.5</v>
      </c>
      <c r="BA29" s="10"/>
      <c r="BB29" s="10">
        <v>0.5</v>
      </c>
      <c r="BF29" s="10"/>
      <c r="BG29" s="10">
        <v>0.8</v>
      </c>
      <c r="BH29" s="10"/>
      <c r="BI29" s="10">
        <v>0.8</v>
      </c>
      <c r="BM29" s="10"/>
      <c r="BN29" s="10">
        <v>0.8</v>
      </c>
      <c r="BO29" s="10"/>
      <c r="BP29" s="10">
        <v>0.8</v>
      </c>
      <c r="BT29" s="10"/>
      <c r="BU29" s="10">
        <v>0.8</v>
      </c>
      <c r="BV29" s="10"/>
      <c r="BW29" s="10">
        <v>0.8</v>
      </c>
      <c r="CA29" s="10"/>
      <c r="CB29" s="10">
        <v>0.8</v>
      </c>
      <c r="CC29" s="10"/>
      <c r="CD29" s="10">
        <v>0.8</v>
      </c>
      <c r="CH29" s="10"/>
      <c r="CI29" s="10">
        <v>1</v>
      </c>
      <c r="CJ29" s="10"/>
      <c r="CK29" s="10">
        <v>1</v>
      </c>
      <c r="CO29" s="10"/>
      <c r="CP29" s="10">
        <v>1</v>
      </c>
      <c r="CQ29" s="10"/>
      <c r="CR29" s="10">
        <v>1</v>
      </c>
      <c r="CV29" s="10"/>
      <c r="CW29" s="10"/>
      <c r="CX29" s="10"/>
      <c r="CY29" s="10"/>
      <c r="DC29" s="10"/>
      <c r="DD29" s="10"/>
      <c r="DE29" s="10"/>
      <c r="DF29" s="10"/>
      <c r="DJ29" s="10"/>
      <c r="DK29" s="10"/>
      <c r="DL29" s="10"/>
      <c r="DM29" s="10"/>
      <c r="DQ29" s="10"/>
      <c r="DR29" s="10"/>
      <c r="DS29" s="10"/>
      <c r="DT29" s="10"/>
      <c r="DX29" s="10"/>
      <c r="DY29" s="10"/>
      <c r="DZ29" s="10"/>
      <c r="EA29" s="10"/>
      <c r="EE29" s="10"/>
      <c r="EF29" s="10"/>
      <c r="EG29" s="10"/>
      <c r="EH29" s="10"/>
    </row>
    <row r="30" spans="2:138" outlineLevel="1" x14ac:dyDescent="0.2">
      <c r="B30" t="s">
        <v>27</v>
      </c>
      <c r="C30" t="s">
        <v>91</v>
      </c>
      <c r="E30" s="9"/>
      <c r="F30" t="s">
        <v>173</v>
      </c>
      <c r="G30" s="10">
        <v>0</v>
      </c>
      <c r="I30" s="9">
        <v>0</v>
      </c>
      <c r="J30" s="11">
        <f>+SUMPRODUCT(G31:G53,J31:J53)</f>
        <v>0</v>
      </c>
      <c r="K30" s="11" cm="1">
        <f t="array" ref="K30">MAX(IF($N$3:$EB$3=$J$3,N30:EB30))</f>
        <v>0</v>
      </c>
      <c r="L30" s="9"/>
      <c r="P30" s="10"/>
      <c r="Q30" s="10"/>
      <c r="R30" s="10"/>
      <c r="S30" s="10"/>
      <c r="W30" s="10"/>
      <c r="X30" s="10"/>
      <c r="Y30" s="10"/>
      <c r="Z30" s="10"/>
      <c r="AD30" s="10"/>
      <c r="AE30" s="10">
        <v>0.5</v>
      </c>
      <c r="AF30" s="10"/>
      <c r="AG30" s="10">
        <v>0.5</v>
      </c>
      <c r="AK30" s="10"/>
      <c r="AL30" s="10">
        <v>0.5</v>
      </c>
      <c r="AM30" s="10"/>
      <c r="AN30" s="10">
        <v>0.5</v>
      </c>
      <c r="AR30" s="10"/>
      <c r="AS30" s="10">
        <v>0.5</v>
      </c>
      <c r="AT30" s="10"/>
      <c r="AU30" s="10">
        <v>0.5</v>
      </c>
      <c r="AY30" s="10"/>
      <c r="AZ30" s="10">
        <v>0.5</v>
      </c>
      <c r="BA30" s="10"/>
      <c r="BB30" s="10">
        <v>0.5</v>
      </c>
      <c r="BF30" s="10"/>
      <c r="BG30" s="10">
        <v>0.8</v>
      </c>
      <c r="BH30" s="10"/>
      <c r="BI30" s="10">
        <v>0.8</v>
      </c>
      <c r="BM30" s="10"/>
      <c r="BN30" s="10">
        <v>0.8</v>
      </c>
      <c r="BO30" s="10"/>
      <c r="BP30" s="10">
        <v>0.8</v>
      </c>
      <c r="BT30" s="10"/>
      <c r="BU30" s="10">
        <v>0.8</v>
      </c>
      <c r="BV30" s="10"/>
      <c r="BW30" s="10">
        <v>0.8</v>
      </c>
      <c r="CA30" s="10"/>
      <c r="CB30" s="10">
        <v>0.8</v>
      </c>
      <c r="CC30" s="10"/>
      <c r="CD30" s="10">
        <v>0.8</v>
      </c>
      <c r="CH30" s="10"/>
      <c r="CI30" s="10">
        <v>1</v>
      </c>
      <c r="CJ30" s="10"/>
      <c r="CK30" s="10">
        <v>1</v>
      </c>
      <c r="CO30" s="10"/>
      <c r="CP30" s="10">
        <v>1</v>
      </c>
      <c r="CQ30" s="10"/>
      <c r="CR30" s="10">
        <v>1</v>
      </c>
      <c r="CV30" s="10"/>
      <c r="CW30" s="10"/>
      <c r="CX30" s="10"/>
      <c r="CY30" s="10"/>
      <c r="DC30" s="10"/>
      <c r="DD30" s="10"/>
      <c r="DE30" s="10"/>
      <c r="DF30" s="10"/>
      <c r="DJ30" s="10"/>
      <c r="DK30" s="10"/>
      <c r="DL30" s="10"/>
      <c r="DM30" s="10"/>
      <c r="DQ30" s="10"/>
      <c r="DR30" s="10"/>
      <c r="DS30" s="10"/>
      <c r="DT30" s="10"/>
      <c r="DX30" s="10"/>
      <c r="DY30" s="10"/>
      <c r="DZ30" s="10"/>
      <c r="EA30" s="10"/>
      <c r="EE30" s="10"/>
      <c r="EF30" s="10"/>
      <c r="EG30" s="10"/>
      <c r="EH30" s="10"/>
    </row>
    <row r="31" spans="2:138" outlineLevel="1" x14ac:dyDescent="0.2">
      <c r="B31" t="s">
        <v>27</v>
      </c>
      <c r="C31" t="s">
        <v>91</v>
      </c>
      <c r="E31" s="9"/>
      <c r="F31" t="s">
        <v>174</v>
      </c>
      <c r="G31" s="10">
        <v>0</v>
      </c>
      <c r="I31" s="9">
        <v>0</v>
      </c>
      <c r="J31" s="11">
        <f>+SUMPRODUCT(G32:G54,J32:J54)</f>
        <v>0</v>
      </c>
      <c r="K31" s="11" cm="1">
        <f t="array" ref="K31">MAX(IF($N$3:$EB$3=$J$3,N31:EB31))</f>
        <v>0</v>
      </c>
      <c r="L31" s="9"/>
      <c r="P31" s="10"/>
      <c r="Q31" s="10"/>
      <c r="R31" s="10"/>
      <c r="S31" s="10"/>
      <c r="W31" s="10"/>
      <c r="X31" s="10"/>
      <c r="Y31" s="10"/>
      <c r="Z31" s="10"/>
      <c r="AD31" s="10"/>
      <c r="AE31" s="10"/>
      <c r="AF31" s="10"/>
      <c r="AG31" s="10"/>
      <c r="AK31" s="10"/>
      <c r="AL31" s="10">
        <v>0.5</v>
      </c>
      <c r="AM31" s="10"/>
      <c r="AN31" s="10">
        <v>0.5</v>
      </c>
      <c r="AR31" s="10"/>
      <c r="AS31" s="10">
        <v>0.5</v>
      </c>
      <c r="AT31" s="10"/>
      <c r="AU31" s="10">
        <v>0.5</v>
      </c>
      <c r="AY31" s="10"/>
      <c r="AZ31" s="10">
        <v>0.5</v>
      </c>
      <c r="BA31" s="10"/>
      <c r="BB31" s="10">
        <v>0.5</v>
      </c>
      <c r="BF31" s="10"/>
      <c r="BG31" s="10">
        <v>0.5</v>
      </c>
      <c r="BH31" s="10"/>
      <c r="BI31" s="10">
        <v>0.5</v>
      </c>
      <c r="BM31" s="10"/>
      <c r="BN31" s="10">
        <v>0.8</v>
      </c>
      <c r="BO31" s="10"/>
      <c r="BP31" s="10">
        <v>0.8</v>
      </c>
      <c r="BT31" s="10"/>
      <c r="BU31" s="10">
        <v>0.8</v>
      </c>
      <c r="BV31" s="10"/>
      <c r="BW31" s="10">
        <v>0.8</v>
      </c>
      <c r="CA31" s="10"/>
      <c r="CB31" s="10">
        <v>0.8</v>
      </c>
      <c r="CC31" s="10"/>
      <c r="CD31" s="10">
        <v>0.8</v>
      </c>
      <c r="CH31" s="10"/>
      <c r="CI31" s="10">
        <v>0.8</v>
      </c>
      <c r="CJ31" s="10"/>
      <c r="CK31" s="10">
        <v>0.8</v>
      </c>
      <c r="CO31" s="10"/>
      <c r="CP31" s="10">
        <v>1</v>
      </c>
      <c r="CQ31" s="10"/>
      <c r="CR31" s="10">
        <v>1</v>
      </c>
      <c r="CV31" s="10"/>
      <c r="CW31" s="10"/>
      <c r="CX31" s="10"/>
      <c r="CY31" s="10"/>
      <c r="DC31" s="10"/>
      <c r="DD31" s="10"/>
      <c r="DE31" s="10"/>
      <c r="DF31" s="10"/>
      <c r="DJ31" s="10"/>
      <c r="DK31" s="10"/>
      <c r="DL31" s="10"/>
      <c r="DM31" s="10"/>
      <c r="DQ31" s="10"/>
      <c r="DR31" s="10"/>
      <c r="DS31" s="10"/>
      <c r="DT31" s="10"/>
      <c r="DX31" s="10"/>
      <c r="DY31" s="10"/>
      <c r="DZ31" s="10"/>
      <c r="EA31" s="10"/>
      <c r="EE31" s="10"/>
      <c r="EF31" s="10"/>
      <c r="EG31" s="10"/>
      <c r="EH31" s="10"/>
    </row>
    <row r="32" spans="2:138" outlineLevel="1" x14ac:dyDescent="0.2">
      <c r="B32" t="s">
        <v>27</v>
      </c>
      <c r="C32" t="s">
        <v>91</v>
      </c>
      <c r="E32" s="9"/>
      <c r="F32" t="s">
        <v>175</v>
      </c>
      <c r="G32" s="10">
        <v>0</v>
      </c>
      <c r="I32" s="9">
        <v>0</v>
      </c>
      <c r="J32" s="11">
        <f>+SUMPRODUCT(G33:G55,J33:J55)</f>
        <v>0</v>
      </c>
      <c r="K32" s="11" cm="1">
        <f t="array" ref="K32">MAX(IF($N$3:$EB$3=$J$3,N32:EB32))</f>
        <v>0</v>
      </c>
      <c r="L32" s="9"/>
      <c r="P32" s="10"/>
      <c r="Q32" s="10"/>
      <c r="R32" s="10"/>
      <c r="S32" s="10"/>
      <c r="W32" s="10"/>
      <c r="X32" s="10"/>
      <c r="Y32" s="10"/>
      <c r="Z32" s="10"/>
      <c r="AD32" s="10"/>
      <c r="AE32" s="10"/>
      <c r="AF32" s="10"/>
      <c r="AG32" s="10"/>
      <c r="AK32" s="10"/>
      <c r="AL32" s="10">
        <v>0.5</v>
      </c>
      <c r="AM32" s="10"/>
      <c r="AN32" s="10">
        <v>0.5</v>
      </c>
      <c r="AR32" s="10"/>
      <c r="AS32" s="10">
        <v>0.5</v>
      </c>
      <c r="AT32" s="10"/>
      <c r="AU32" s="10">
        <v>0.5</v>
      </c>
      <c r="AY32" s="10"/>
      <c r="AZ32" s="10">
        <v>0.5</v>
      </c>
      <c r="BA32" s="10"/>
      <c r="BB32" s="10">
        <v>0.5</v>
      </c>
      <c r="BF32" s="10"/>
      <c r="BG32" s="10">
        <v>0.5</v>
      </c>
      <c r="BH32" s="10"/>
      <c r="BI32" s="10">
        <v>0.5</v>
      </c>
      <c r="BM32" s="10"/>
      <c r="BN32" s="10">
        <v>0.8</v>
      </c>
      <c r="BO32" s="10"/>
      <c r="BP32" s="10">
        <v>0.8</v>
      </c>
      <c r="BT32" s="10"/>
      <c r="BU32" s="10">
        <v>0.8</v>
      </c>
      <c r="BV32" s="10"/>
      <c r="BW32" s="10">
        <v>0.8</v>
      </c>
      <c r="CA32" s="10"/>
      <c r="CB32" s="10">
        <v>0.8</v>
      </c>
      <c r="CC32" s="10"/>
      <c r="CD32" s="10">
        <v>0.8</v>
      </c>
      <c r="CH32" s="10"/>
      <c r="CI32" s="10">
        <v>0.8</v>
      </c>
      <c r="CJ32" s="10"/>
      <c r="CK32" s="10">
        <v>0.8</v>
      </c>
      <c r="CO32" s="10"/>
      <c r="CP32" s="10">
        <v>1</v>
      </c>
      <c r="CQ32" s="10"/>
      <c r="CR32" s="10">
        <v>1</v>
      </c>
      <c r="CV32" s="10"/>
      <c r="CW32" s="10"/>
      <c r="CX32" s="10"/>
      <c r="CY32" s="10"/>
      <c r="DC32" s="10"/>
      <c r="DD32" s="10"/>
      <c r="DE32" s="10"/>
      <c r="DF32" s="10"/>
      <c r="DJ32" s="10"/>
      <c r="DK32" s="10"/>
      <c r="DL32" s="10"/>
      <c r="DM32" s="10"/>
      <c r="DQ32" s="10"/>
      <c r="DR32" s="10"/>
      <c r="DS32" s="10"/>
      <c r="DT32" s="10"/>
      <c r="DX32" s="10"/>
      <c r="DY32" s="10"/>
      <c r="DZ32" s="10"/>
      <c r="EA32" s="10"/>
      <c r="EE32" s="10"/>
      <c r="EF32" s="10"/>
      <c r="EG32" s="10"/>
      <c r="EH32" s="10"/>
    </row>
    <row r="33" spans="2:138" outlineLevel="1" x14ac:dyDescent="0.2">
      <c r="B33" t="s">
        <v>27</v>
      </c>
      <c r="C33" t="s">
        <v>91</v>
      </c>
      <c r="E33" s="9"/>
      <c r="F33" t="s">
        <v>176</v>
      </c>
      <c r="G33" s="10">
        <v>0</v>
      </c>
      <c r="I33" s="9">
        <v>0</v>
      </c>
      <c r="J33" s="11">
        <f>+SUMPRODUCT(G34:G56,J34:J56)</f>
        <v>0</v>
      </c>
      <c r="K33" s="11" cm="1">
        <f t="array" ref="K33">MAX(IF($N$3:$EB$3=$J$3,N33:EB33))</f>
        <v>0</v>
      </c>
      <c r="L33" s="9"/>
      <c r="P33" s="10"/>
      <c r="Q33" s="10"/>
      <c r="R33" s="10"/>
      <c r="S33" s="10"/>
      <c r="W33" s="10"/>
      <c r="X33" s="10"/>
      <c r="Y33" s="10"/>
      <c r="Z33" s="10"/>
      <c r="AD33" s="10"/>
      <c r="AE33" s="10"/>
      <c r="AF33" s="10"/>
      <c r="AG33" s="10"/>
      <c r="AK33" s="10"/>
      <c r="AL33" s="10">
        <v>0.5</v>
      </c>
      <c r="AM33" s="10"/>
      <c r="AN33" s="10">
        <v>0.5</v>
      </c>
      <c r="AR33" s="10"/>
      <c r="AS33" s="10">
        <v>0.5</v>
      </c>
      <c r="AT33" s="10"/>
      <c r="AU33" s="10">
        <v>0.5</v>
      </c>
      <c r="AY33" s="10"/>
      <c r="AZ33" s="10">
        <v>0.5</v>
      </c>
      <c r="BA33" s="10"/>
      <c r="BB33" s="10">
        <v>0.5</v>
      </c>
      <c r="BF33" s="10"/>
      <c r="BG33" s="10">
        <v>0.5</v>
      </c>
      <c r="BH33" s="10"/>
      <c r="BI33" s="10">
        <v>0.5</v>
      </c>
      <c r="BM33" s="10"/>
      <c r="BN33" s="10">
        <v>0.8</v>
      </c>
      <c r="BO33" s="10"/>
      <c r="BP33" s="10">
        <v>0.8</v>
      </c>
      <c r="BT33" s="10"/>
      <c r="BU33" s="10">
        <v>0.8</v>
      </c>
      <c r="BV33" s="10"/>
      <c r="BW33" s="10">
        <v>0.8</v>
      </c>
      <c r="CA33" s="10"/>
      <c r="CB33" s="10">
        <v>0.8</v>
      </c>
      <c r="CC33" s="10"/>
      <c r="CD33" s="10">
        <v>0.8</v>
      </c>
      <c r="CH33" s="10"/>
      <c r="CI33" s="10">
        <v>0.8</v>
      </c>
      <c r="CJ33" s="10"/>
      <c r="CK33" s="10">
        <v>0.8</v>
      </c>
      <c r="CO33" s="10"/>
      <c r="CP33" s="10">
        <v>1</v>
      </c>
      <c r="CQ33" s="10"/>
      <c r="CR33" s="10">
        <v>1</v>
      </c>
      <c r="CV33" s="10"/>
      <c r="CW33" s="10"/>
      <c r="CX33" s="10"/>
      <c r="CY33" s="10"/>
      <c r="DC33" s="10"/>
      <c r="DD33" s="10"/>
      <c r="DE33" s="10"/>
      <c r="DF33" s="10"/>
      <c r="DJ33" s="10"/>
      <c r="DK33" s="10"/>
      <c r="DL33" s="10"/>
      <c r="DM33" s="10"/>
      <c r="DQ33" s="10"/>
      <c r="DR33" s="10"/>
      <c r="DS33" s="10"/>
      <c r="DT33" s="10"/>
      <c r="DX33" s="10"/>
      <c r="DY33" s="10"/>
      <c r="DZ33" s="10"/>
      <c r="EA33" s="10"/>
      <c r="EE33" s="10"/>
      <c r="EF33" s="10"/>
      <c r="EG33" s="10"/>
      <c r="EH33" s="10"/>
    </row>
    <row r="34" spans="2:138" outlineLevel="1" x14ac:dyDescent="0.2">
      <c r="B34" t="s">
        <v>27</v>
      </c>
      <c r="C34" t="s">
        <v>91</v>
      </c>
      <c r="E34" s="9"/>
      <c r="F34" t="s">
        <v>177</v>
      </c>
      <c r="G34" s="10">
        <v>0</v>
      </c>
      <c r="I34" s="9">
        <v>0</v>
      </c>
      <c r="J34" s="11">
        <f>+SUMPRODUCT(G35:G57,J35:J57)</f>
        <v>0</v>
      </c>
      <c r="K34" s="11" cm="1">
        <f t="array" ref="K34">MAX(IF($N$3:$EB$3=$J$3,N34:EB34))</f>
        <v>0</v>
      </c>
      <c r="L34" s="9"/>
      <c r="P34" s="10"/>
      <c r="Q34" s="10"/>
      <c r="R34" s="10"/>
      <c r="S34" s="10"/>
      <c r="W34" s="10"/>
      <c r="X34" s="10"/>
      <c r="Y34" s="10"/>
      <c r="Z34" s="10"/>
      <c r="AD34" s="10"/>
      <c r="AE34" s="10"/>
      <c r="AF34" s="10"/>
      <c r="AG34" s="10"/>
      <c r="AK34" s="10"/>
      <c r="AL34" s="10">
        <v>0.5</v>
      </c>
      <c r="AM34" s="10"/>
      <c r="AN34" s="10">
        <v>0.5</v>
      </c>
      <c r="AR34" s="10"/>
      <c r="AS34" s="10">
        <v>0.5</v>
      </c>
      <c r="AT34" s="10"/>
      <c r="AU34" s="10">
        <v>0.5</v>
      </c>
      <c r="AY34" s="10"/>
      <c r="AZ34" s="10">
        <v>0.5</v>
      </c>
      <c r="BA34" s="10"/>
      <c r="BB34" s="10">
        <v>0.5</v>
      </c>
      <c r="BF34" s="10"/>
      <c r="BG34" s="10">
        <v>0.5</v>
      </c>
      <c r="BH34" s="10"/>
      <c r="BI34" s="10">
        <v>0.5</v>
      </c>
      <c r="BM34" s="10"/>
      <c r="BN34" s="10">
        <v>0.8</v>
      </c>
      <c r="BO34" s="10"/>
      <c r="BP34" s="10">
        <v>0.8</v>
      </c>
      <c r="BT34" s="10"/>
      <c r="BU34" s="10">
        <v>0.8</v>
      </c>
      <c r="BV34" s="10"/>
      <c r="BW34" s="10">
        <v>0.8</v>
      </c>
      <c r="CA34" s="10"/>
      <c r="CB34" s="10">
        <v>0.8</v>
      </c>
      <c r="CC34" s="10"/>
      <c r="CD34" s="10">
        <v>0.8</v>
      </c>
      <c r="CH34" s="10"/>
      <c r="CI34" s="10">
        <v>0.8</v>
      </c>
      <c r="CJ34" s="10"/>
      <c r="CK34" s="10">
        <v>0.8</v>
      </c>
      <c r="CO34" s="10"/>
      <c r="CP34" s="10">
        <v>1</v>
      </c>
      <c r="CQ34" s="10"/>
      <c r="CR34" s="10">
        <v>1</v>
      </c>
      <c r="CV34" s="10"/>
      <c r="CW34" s="10"/>
      <c r="CX34" s="10"/>
      <c r="CY34" s="10"/>
      <c r="DC34" s="10"/>
      <c r="DD34" s="10"/>
      <c r="DE34" s="10"/>
      <c r="DF34" s="10"/>
      <c r="DJ34" s="10"/>
      <c r="DK34" s="10"/>
      <c r="DL34" s="10"/>
      <c r="DM34" s="10"/>
      <c r="DQ34" s="10"/>
      <c r="DR34" s="10"/>
      <c r="DS34" s="10"/>
      <c r="DT34" s="10"/>
      <c r="DX34" s="10"/>
      <c r="DY34" s="10"/>
      <c r="DZ34" s="10"/>
      <c r="EA34" s="10"/>
      <c r="EE34" s="10"/>
      <c r="EF34" s="10"/>
      <c r="EG34" s="10"/>
      <c r="EH34" s="10"/>
    </row>
    <row r="35" spans="2:138" outlineLevel="1" x14ac:dyDescent="0.2">
      <c r="B35" t="s">
        <v>27</v>
      </c>
      <c r="C35" t="s">
        <v>91</v>
      </c>
      <c r="E35" s="9"/>
      <c r="F35" t="s">
        <v>178</v>
      </c>
      <c r="G35" s="10">
        <v>0</v>
      </c>
      <c r="I35" s="9">
        <v>0</v>
      </c>
      <c r="J35" s="11">
        <f>+SUMPRODUCT(G36:G58,J36:J58)</f>
        <v>0</v>
      </c>
      <c r="K35" s="11" cm="1">
        <f t="array" ref="K35">MAX(IF($N$3:$EB$3=$J$3,N35:EB35))</f>
        <v>0</v>
      </c>
      <c r="L35" s="9"/>
      <c r="P35" s="10"/>
      <c r="Q35" s="10"/>
      <c r="R35" s="10"/>
      <c r="S35" s="10"/>
      <c r="W35" s="10"/>
      <c r="X35" s="10"/>
      <c r="Y35" s="10"/>
      <c r="Z35" s="10"/>
      <c r="AD35" s="10"/>
      <c r="AE35" s="10"/>
      <c r="AF35" s="10"/>
      <c r="AG35" s="10"/>
      <c r="AK35" s="10"/>
      <c r="AL35" s="10">
        <v>0.5</v>
      </c>
      <c r="AM35" s="10"/>
      <c r="AN35" s="10">
        <v>0.5</v>
      </c>
      <c r="AR35" s="10"/>
      <c r="AS35" s="10">
        <v>0.5</v>
      </c>
      <c r="AT35" s="10"/>
      <c r="AU35" s="10">
        <v>0.5</v>
      </c>
      <c r="AY35" s="10"/>
      <c r="AZ35" s="10">
        <v>0.5</v>
      </c>
      <c r="BA35" s="10"/>
      <c r="BB35" s="10">
        <v>0.5</v>
      </c>
      <c r="BF35" s="10"/>
      <c r="BG35" s="10">
        <v>0.5</v>
      </c>
      <c r="BH35" s="10"/>
      <c r="BI35" s="10">
        <v>0.5</v>
      </c>
      <c r="BM35" s="10"/>
      <c r="BN35" s="10">
        <v>0.8</v>
      </c>
      <c r="BO35" s="10"/>
      <c r="BP35" s="10">
        <v>0.8</v>
      </c>
      <c r="BT35" s="10"/>
      <c r="BU35" s="10">
        <v>0.8</v>
      </c>
      <c r="BV35" s="10"/>
      <c r="BW35" s="10">
        <v>0.8</v>
      </c>
      <c r="CA35" s="10"/>
      <c r="CB35" s="10">
        <v>0.8</v>
      </c>
      <c r="CC35" s="10"/>
      <c r="CD35" s="10">
        <v>0.8</v>
      </c>
      <c r="CH35" s="10"/>
      <c r="CI35" s="10">
        <v>0.8</v>
      </c>
      <c r="CJ35" s="10"/>
      <c r="CK35" s="10">
        <v>0.8</v>
      </c>
      <c r="CO35" s="10"/>
      <c r="CP35" s="10">
        <v>1</v>
      </c>
      <c r="CQ35" s="10"/>
      <c r="CR35" s="10">
        <v>1</v>
      </c>
      <c r="CV35" s="10"/>
      <c r="CW35" s="10"/>
      <c r="CX35" s="10"/>
      <c r="CY35" s="10"/>
      <c r="DC35" s="10"/>
      <c r="DD35" s="10"/>
      <c r="DE35" s="10"/>
      <c r="DF35" s="10"/>
      <c r="DJ35" s="10"/>
      <c r="DK35" s="10"/>
      <c r="DL35" s="10"/>
      <c r="DM35" s="10"/>
      <c r="DQ35" s="10"/>
      <c r="DR35" s="10"/>
      <c r="DS35" s="10"/>
      <c r="DT35" s="10"/>
      <c r="DX35" s="10"/>
      <c r="DY35" s="10"/>
      <c r="DZ35" s="10"/>
      <c r="EA35" s="10"/>
      <c r="EE35" s="10"/>
      <c r="EF35" s="10"/>
      <c r="EG35" s="10"/>
      <c r="EH35" s="10"/>
    </row>
    <row r="36" spans="2:138" outlineLevel="1" x14ac:dyDescent="0.2">
      <c r="E36" s="9"/>
      <c r="G36" s="10"/>
      <c r="I36" s="9"/>
      <c r="J36" s="11"/>
      <c r="K36" s="11"/>
      <c r="L36" s="9"/>
      <c r="P36" s="10"/>
      <c r="Q36" s="10"/>
      <c r="R36" s="10"/>
      <c r="S36" s="10"/>
      <c r="W36" s="10"/>
      <c r="X36" s="10"/>
      <c r="Y36" s="10"/>
      <c r="Z36" s="10"/>
      <c r="AD36" s="10"/>
      <c r="AE36" s="10"/>
      <c r="AF36" s="10"/>
      <c r="AG36" s="10"/>
      <c r="AK36" s="10"/>
      <c r="AL36" s="10"/>
      <c r="AM36" s="10"/>
      <c r="AN36" s="10"/>
      <c r="AR36" s="10"/>
      <c r="AS36" s="10"/>
      <c r="AT36" s="10"/>
      <c r="AU36" s="10"/>
      <c r="AY36" s="10"/>
      <c r="AZ36" s="10"/>
      <c r="BA36" s="10"/>
      <c r="BB36" s="10"/>
      <c r="BF36" s="10"/>
      <c r="BG36" s="10"/>
      <c r="BH36" s="10"/>
      <c r="BI36" s="10"/>
      <c r="BM36" s="10"/>
      <c r="BN36" s="10"/>
      <c r="BO36" s="10"/>
      <c r="BP36" s="10"/>
      <c r="BT36" s="10"/>
      <c r="BU36" s="10"/>
      <c r="BV36" s="10"/>
      <c r="BW36" s="10"/>
      <c r="CA36" s="10"/>
      <c r="CB36" s="10"/>
      <c r="CC36" s="10"/>
      <c r="CD36" s="10"/>
      <c r="CH36" s="10"/>
      <c r="CI36" s="10"/>
      <c r="CJ36" s="10"/>
      <c r="CK36" s="10"/>
      <c r="CO36" s="10"/>
      <c r="CP36" s="10"/>
      <c r="CQ36" s="10"/>
      <c r="CR36" s="10"/>
      <c r="CV36" s="10"/>
      <c r="CW36" s="10"/>
      <c r="CX36" s="10"/>
      <c r="CY36" s="10"/>
      <c r="DC36" s="10"/>
      <c r="DD36" s="10"/>
      <c r="DE36" s="10"/>
      <c r="DF36" s="10"/>
      <c r="DJ36" s="10"/>
      <c r="DK36" s="10"/>
      <c r="DL36" s="10"/>
      <c r="DM36" s="10"/>
      <c r="DQ36" s="10"/>
      <c r="DR36" s="10"/>
      <c r="DS36" s="10"/>
      <c r="DT36" s="10"/>
      <c r="DX36" s="10"/>
      <c r="DY36" s="10"/>
      <c r="DZ36" s="10"/>
      <c r="EA36" s="10"/>
      <c r="EE36" s="10"/>
      <c r="EF36" s="10"/>
      <c r="EG36" s="10"/>
      <c r="EH36" s="10"/>
    </row>
    <row r="37" spans="2:138" x14ac:dyDescent="0.2">
      <c r="B37" t="s">
        <v>26</v>
      </c>
      <c r="C37" t="s">
        <v>85</v>
      </c>
      <c r="D37" s="19" t="s">
        <v>86</v>
      </c>
      <c r="E37" s="9">
        <v>6</v>
      </c>
      <c r="G37" s="10">
        <f>+SUM(G38:G57)</f>
        <v>0</v>
      </c>
      <c r="I37" s="12">
        <f>+SUM(I38:I57)</f>
        <v>8</v>
      </c>
      <c r="J37" s="11">
        <f>+SUMPRODUCT(G38:G58,J38:J58)</f>
        <v>0</v>
      </c>
      <c r="K37" s="11">
        <f>+SUMPRODUCT(G38:G58,K38:K58)</f>
        <v>0</v>
      </c>
      <c r="L37" s="9"/>
      <c r="O37" s="12">
        <f>+SUM(O38:O58)</f>
        <v>0</v>
      </c>
      <c r="V37" s="12">
        <f>+SUM(V38:V58)</f>
        <v>0</v>
      </c>
      <c r="AC37" s="12">
        <f>+SUM(AC38:AC58)</f>
        <v>0</v>
      </c>
      <c r="AJ37" s="12">
        <f>+SUM(AJ38:AJ58)</f>
        <v>0</v>
      </c>
      <c r="AQ37" s="12">
        <f>+SUM(AQ38:AQ58)</f>
        <v>0</v>
      </c>
      <c r="AX37" s="12">
        <f>+SUM(AX38:AX58)</f>
        <v>0</v>
      </c>
      <c r="BE37" s="12">
        <f>+SUM(BE38:BE58)</f>
        <v>0</v>
      </c>
      <c r="BL37" s="12">
        <f>+SUM(BL38:BL58)</f>
        <v>0</v>
      </c>
      <c r="BS37" s="12">
        <f>+SUM(BS38:BS58)</f>
        <v>0</v>
      </c>
      <c r="BZ37" s="12">
        <f>+SUM(BZ38:BZ58)</f>
        <v>0</v>
      </c>
      <c r="CG37" s="12">
        <f>+SUM(CG38:CG58)</f>
        <v>0</v>
      </c>
      <c r="CN37" s="12">
        <f>+SUM(CN38:CN58)</f>
        <v>0</v>
      </c>
      <c r="CU37" s="12">
        <f>+SUM(CU38:CU58)</f>
        <v>0</v>
      </c>
      <c r="DB37" s="12">
        <f>+SUM(DB38:DB58)</f>
        <v>0</v>
      </c>
      <c r="DI37" s="12">
        <f>+SUM(DI38:DI58)</f>
        <v>0</v>
      </c>
      <c r="DP37" s="12">
        <f>+SUM(DP38:DP58)</f>
        <v>0</v>
      </c>
      <c r="DW37" s="12">
        <f>+SUM(DW38:DW58)</f>
        <v>0</v>
      </c>
      <c r="ED37" s="12">
        <f>+SUM(ED38:ED58)</f>
        <v>0</v>
      </c>
    </row>
    <row r="38" spans="2:138" outlineLevel="1" x14ac:dyDescent="0.2">
      <c r="B38" t="s">
        <v>27</v>
      </c>
      <c r="C38" t="s">
        <v>85</v>
      </c>
      <c r="E38" s="9"/>
      <c r="F38" t="s">
        <v>137</v>
      </c>
      <c r="G38" s="10">
        <v>0</v>
      </c>
      <c r="I38" s="9">
        <v>8</v>
      </c>
      <c r="J38" s="11" cm="1">
        <f t="array" ref="J38">MAX(IF($N$3:$EB$3=$J$3,N38:EB38))</f>
        <v>0</v>
      </c>
      <c r="K38" s="11" cm="1">
        <f t="array" ref="K38">MAX(IF($N$3:$EB$3=$J$3,N38:EB38))</f>
        <v>0</v>
      </c>
      <c r="L38" s="9"/>
      <c r="P38" s="10"/>
      <c r="Q38" s="10">
        <v>0.5</v>
      </c>
      <c r="R38" s="10"/>
      <c r="S38" s="10">
        <v>0.5</v>
      </c>
      <c r="W38" s="10"/>
      <c r="X38" s="10">
        <v>0.5</v>
      </c>
      <c r="Y38" s="10"/>
      <c r="Z38" s="10">
        <v>0.5</v>
      </c>
      <c r="AD38" s="10"/>
      <c r="AE38" s="10">
        <v>0.5</v>
      </c>
      <c r="AF38" s="10"/>
      <c r="AG38" s="10">
        <v>0.5</v>
      </c>
      <c r="AK38" s="10"/>
      <c r="AL38" s="10">
        <v>0.5</v>
      </c>
      <c r="AM38" s="10"/>
      <c r="AN38" s="10">
        <v>0.5</v>
      </c>
      <c r="AR38" s="10"/>
      <c r="AS38" s="10">
        <v>0.8</v>
      </c>
      <c r="AT38" s="10"/>
      <c r="AU38" s="10">
        <v>0.8</v>
      </c>
      <c r="AY38" s="10"/>
      <c r="AZ38" s="10">
        <v>0.8</v>
      </c>
      <c r="BA38" s="10"/>
      <c r="BB38" s="10">
        <v>0.8</v>
      </c>
      <c r="BF38" s="10"/>
      <c r="BG38" s="10">
        <v>0.8</v>
      </c>
      <c r="BH38" s="10"/>
      <c r="BI38" s="10">
        <v>0.8</v>
      </c>
      <c r="BM38" s="10"/>
      <c r="BN38" s="10">
        <v>0.8</v>
      </c>
      <c r="BO38" s="10"/>
      <c r="BP38" s="10">
        <v>0.8</v>
      </c>
      <c r="BT38" s="10"/>
      <c r="BU38" s="10">
        <v>1</v>
      </c>
      <c r="BV38" s="10"/>
      <c r="BW38" s="10">
        <v>1</v>
      </c>
      <c r="CA38" s="10"/>
      <c r="CB38" s="10">
        <v>1</v>
      </c>
      <c r="CC38" s="10"/>
      <c r="CD38" s="10">
        <v>1</v>
      </c>
      <c r="CH38" s="10"/>
      <c r="CI38" s="10">
        <v>1</v>
      </c>
      <c r="CJ38" s="10"/>
      <c r="CK38" s="10">
        <v>1</v>
      </c>
      <c r="CO38" s="10"/>
      <c r="CP38" s="10">
        <v>1</v>
      </c>
      <c r="CQ38" s="10"/>
      <c r="CR38" s="10">
        <v>1</v>
      </c>
      <c r="CV38" s="10"/>
      <c r="CW38" s="10"/>
      <c r="CX38" s="10"/>
      <c r="CY38" s="10"/>
      <c r="DC38" s="10"/>
      <c r="DD38" s="10"/>
      <c r="DE38" s="10"/>
      <c r="DF38" s="10"/>
      <c r="DJ38" s="10"/>
      <c r="DK38" s="10"/>
      <c r="DL38" s="10"/>
      <c r="DM38" s="10"/>
      <c r="DQ38" s="10"/>
      <c r="DR38" s="10"/>
      <c r="DS38" s="10"/>
      <c r="DT38" s="10"/>
      <c r="DX38" s="10"/>
      <c r="DY38" s="10"/>
      <c r="DZ38" s="10"/>
      <c r="EA38" s="10"/>
      <c r="EE38" s="10"/>
      <c r="EF38" s="10"/>
      <c r="EG38" s="10"/>
      <c r="EH38" s="10"/>
    </row>
    <row r="39" spans="2:138" outlineLevel="1" x14ac:dyDescent="0.2">
      <c r="B39" t="s">
        <v>27</v>
      </c>
      <c r="C39" t="s">
        <v>85</v>
      </c>
      <c r="E39" s="9"/>
      <c r="F39" t="s">
        <v>131</v>
      </c>
      <c r="G39" s="10">
        <v>0</v>
      </c>
      <c r="I39" s="9">
        <v>0</v>
      </c>
      <c r="J39" s="11" cm="1">
        <f t="array" ref="J39">MAX(IF($N$3:$EB$3=$J$3,N39:EB39))</f>
        <v>0</v>
      </c>
      <c r="K39" s="11" cm="1">
        <f t="array" ref="K39">MAX(IF($N$3:$EB$3=$J$3,N39:EB39))</f>
        <v>0</v>
      </c>
      <c r="L39" s="9"/>
      <c r="P39" s="10"/>
      <c r="Q39" s="10">
        <v>0.5</v>
      </c>
      <c r="R39" s="10"/>
      <c r="S39" s="10">
        <v>0.5</v>
      </c>
      <c r="W39" s="10"/>
      <c r="X39" s="10">
        <v>0.5</v>
      </c>
      <c r="Y39" s="10"/>
      <c r="Z39" s="10">
        <v>0.5</v>
      </c>
      <c r="AD39" s="10"/>
      <c r="AE39" s="10">
        <v>0.5</v>
      </c>
      <c r="AF39" s="10"/>
      <c r="AG39" s="10">
        <v>0.5</v>
      </c>
      <c r="AK39" s="10"/>
      <c r="AL39" s="10">
        <v>0.5</v>
      </c>
      <c r="AM39" s="10"/>
      <c r="AN39" s="10">
        <v>0.5</v>
      </c>
      <c r="AR39" s="10"/>
      <c r="AS39" s="10">
        <v>0.8</v>
      </c>
      <c r="AT39" s="10"/>
      <c r="AU39" s="10">
        <v>0.8</v>
      </c>
      <c r="AY39" s="10"/>
      <c r="AZ39" s="10">
        <v>0.8</v>
      </c>
      <c r="BA39" s="10"/>
      <c r="BB39" s="10">
        <v>0.8</v>
      </c>
      <c r="BF39" s="10"/>
      <c r="BG39" s="10">
        <v>0.8</v>
      </c>
      <c r="BH39" s="10"/>
      <c r="BI39" s="10">
        <v>0.8</v>
      </c>
      <c r="BM39" s="10"/>
      <c r="BN39" s="10">
        <v>0.8</v>
      </c>
      <c r="BO39" s="10"/>
      <c r="BP39" s="10">
        <v>0.8</v>
      </c>
      <c r="BT39" s="10"/>
      <c r="BU39" s="10">
        <v>1</v>
      </c>
      <c r="BV39" s="10"/>
      <c r="BW39" s="10">
        <v>1</v>
      </c>
      <c r="CA39" s="10"/>
      <c r="CB39" s="10">
        <v>1</v>
      </c>
      <c r="CC39" s="10"/>
      <c r="CD39" s="10">
        <v>1</v>
      </c>
      <c r="CH39" s="10"/>
      <c r="CI39" s="10">
        <v>1</v>
      </c>
      <c r="CJ39" s="10"/>
      <c r="CK39" s="10">
        <v>1</v>
      </c>
      <c r="CO39" s="10"/>
      <c r="CP39" s="10">
        <v>1</v>
      </c>
      <c r="CQ39" s="10"/>
      <c r="CR39" s="10">
        <v>1</v>
      </c>
      <c r="CV39" s="10"/>
      <c r="CW39" s="10"/>
      <c r="CX39" s="10"/>
      <c r="CY39" s="10"/>
      <c r="DC39" s="10"/>
      <c r="DD39" s="10"/>
      <c r="DE39" s="10"/>
      <c r="DF39" s="10"/>
      <c r="DJ39" s="10"/>
      <c r="DK39" s="10"/>
      <c r="DL39" s="10"/>
      <c r="DM39" s="10"/>
      <c r="DQ39" s="10"/>
      <c r="DR39" s="10"/>
      <c r="DS39" s="10"/>
      <c r="DT39" s="10"/>
      <c r="DX39" s="10"/>
      <c r="DY39" s="10"/>
      <c r="DZ39" s="10"/>
      <c r="EA39" s="10"/>
      <c r="EE39" s="10"/>
      <c r="EF39" s="10"/>
      <c r="EG39" s="10"/>
      <c r="EH39" s="10"/>
    </row>
    <row r="40" spans="2:138" outlineLevel="1" x14ac:dyDescent="0.2">
      <c r="B40" t="s">
        <v>27</v>
      </c>
      <c r="C40" t="s">
        <v>85</v>
      </c>
      <c r="E40" s="9"/>
      <c r="F40" t="s">
        <v>132</v>
      </c>
      <c r="G40" s="10">
        <v>0</v>
      </c>
      <c r="I40" s="9">
        <v>0</v>
      </c>
      <c r="J40" s="11" cm="1">
        <f t="array" ref="J40">MAX(IF($N$3:$EB$3=$J$3,N40:EB40))</f>
        <v>0</v>
      </c>
      <c r="K40" s="11" cm="1">
        <f t="array" ref="K40">MAX(IF($N$3:$EB$3=$J$3,N40:EB40))</f>
        <v>0</v>
      </c>
      <c r="L40" s="9"/>
      <c r="P40" s="10"/>
      <c r="Q40" s="10">
        <v>0.5</v>
      </c>
      <c r="R40" s="10"/>
      <c r="S40" s="10">
        <v>0.5</v>
      </c>
      <c r="W40" s="10"/>
      <c r="X40" s="10">
        <v>0.5</v>
      </c>
      <c r="Y40" s="10"/>
      <c r="Z40" s="10">
        <v>0.5</v>
      </c>
      <c r="AD40" s="10"/>
      <c r="AE40" s="10">
        <v>0.5</v>
      </c>
      <c r="AF40" s="10"/>
      <c r="AG40" s="10">
        <v>0.5</v>
      </c>
      <c r="AK40" s="10"/>
      <c r="AL40" s="10">
        <v>0.5</v>
      </c>
      <c r="AM40" s="10"/>
      <c r="AN40" s="10">
        <v>0.5</v>
      </c>
      <c r="AR40" s="10"/>
      <c r="AS40" s="10">
        <v>0.8</v>
      </c>
      <c r="AT40" s="10"/>
      <c r="AU40" s="10">
        <v>0.8</v>
      </c>
      <c r="AY40" s="10"/>
      <c r="AZ40" s="10">
        <v>0.8</v>
      </c>
      <c r="BA40" s="10"/>
      <c r="BB40" s="10">
        <v>0.8</v>
      </c>
      <c r="BF40" s="10"/>
      <c r="BG40" s="10">
        <v>0.8</v>
      </c>
      <c r="BH40" s="10"/>
      <c r="BI40" s="10">
        <v>0.8</v>
      </c>
      <c r="BM40" s="10"/>
      <c r="BN40" s="10">
        <v>0.8</v>
      </c>
      <c r="BO40" s="10"/>
      <c r="BP40" s="10">
        <v>0.8</v>
      </c>
      <c r="BT40" s="10"/>
      <c r="BU40" s="10">
        <v>1</v>
      </c>
      <c r="BV40" s="10"/>
      <c r="BW40" s="10">
        <v>1</v>
      </c>
      <c r="CA40" s="10"/>
      <c r="CB40" s="10">
        <v>1</v>
      </c>
      <c r="CC40" s="10"/>
      <c r="CD40" s="10">
        <v>1</v>
      </c>
      <c r="CH40" s="10"/>
      <c r="CI40" s="10">
        <v>1</v>
      </c>
      <c r="CJ40" s="10"/>
      <c r="CK40" s="10">
        <v>1</v>
      </c>
      <c r="CO40" s="10"/>
      <c r="CP40" s="10">
        <v>1</v>
      </c>
      <c r="CQ40" s="10"/>
      <c r="CR40" s="10">
        <v>1</v>
      </c>
      <c r="CV40" s="10"/>
      <c r="CW40" s="10"/>
      <c r="CX40" s="10"/>
      <c r="CY40" s="10"/>
      <c r="DC40" s="10"/>
      <c r="DD40" s="10"/>
      <c r="DE40" s="10"/>
      <c r="DF40" s="10"/>
      <c r="DJ40" s="10"/>
      <c r="DK40" s="10"/>
      <c r="DL40" s="10"/>
      <c r="DM40" s="10"/>
      <c r="DQ40" s="10"/>
      <c r="DR40" s="10"/>
      <c r="DS40" s="10"/>
      <c r="DT40" s="10"/>
      <c r="DX40" s="10"/>
      <c r="DY40" s="10"/>
      <c r="DZ40" s="10"/>
      <c r="EA40" s="10"/>
      <c r="EE40" s="10"/>
      <c r="EF40" s="10"/>
      <c r="EG40" s="10"/>
      <c r="EH40" s="10"/>
    </row>
    <row r="41" spans="2:138" outlineLevel="1" x14ac:dyDescent="0.2">
      <c r="B41" t="s">
        <v>27</v>
      </c>
      <c r="C41" t="s">
        <v>85</v>
      </c>
      <c r="E41" s="9"/>
      <c r="F41" t="s">
        <v>133</v>
      </c>
      <c r="G41" s="10">
        <v>0</v>
      </c>
      <c r="I41" s="9">
        <v>0</v>
      </c>
      <c r="J41" s="11" cm="1">
        <f t="array" ref="J41">MAX(IF($N$3:$EB$3=$J$3,N41:EB41))</f>
        <v>0</v>
      </c>
      <c r="K41" s="11" cm="1">
        <f t="array" ref="K41">MAX(IF($N$3:$EB$3=$J$3,N41:EB41))</f>
        <v>0</v>
      </c>
      <c r="L41" s="9"/>
      <c r="P41" s="10"/>
      <c r="Q41" s="10">
        <v>0.5</v>
      </c>
      <c r="R41" s="10"/>
      <c r="S41" s="10">
        <v>0.5</v>
      </c>
      <c r="W41" s="10"/>
      <c r="X41" s="10">
        <v>0.5</v>
      </c>
      <c r="Y41" s="10"/>
      <c r="Z41" s="10">
        <v>0.5</v>
      </c>
      <c r="AD41" s="10"/>
      <c r="AE41" s="10">
        <v>0.5</v>
      </c>
      <c r="AF41" s="10"/>
      <c r="AG41" s="10">
        <v>0.5</v>
      </c>
      <c r="AK41" s="10"/>
      <c r="AL41" s="10">
        <v>0.5</v>
      </c>
      <c r="AM41" s="10"/>
      <c r="AN41" s="10">
        <v>0.5</v>
      </c>
      <c r="AR41" s="10"/>
      <c r="AS41" s="10">
        <v>0.8</v>
      </c>
      <c r="AT41" s="10"/>
      <c r="AU41" s="10">
        <v>0.8</v>
      </c>
      <c r="AY41" s="10"/>
      <c r="AZ41" s="10">
        <v>0.8</v>
      </c>
      <c r="BA41" s="10"/>
      <c r="BB41" s="10">
        <v>0.8</v>
      </c>
      <c r="BF41" s="10"/>
      <c r="BG41" s="10">
        <v>0.8</v>
      </c>
      <c r="BH41" s="10"/>
      <c r="BI41" s="10">
        <v>0.8</v>
      </c>
      <c r="BM41" s="10"/>
      <c r="BN41" s="10">
        <v>0.8</v>
      </c>
      <c r="BO41" s="10"/>
      <c r="BP41" s="10">
        <v>0.8</v>
      </c>
      <c r="BT41" s="10"/>
      <c r="BU41" s="10">
        <v>1</v>
      </c>
      <c r="BV41" s="10"/>
      <c r="BW41" s="10">
        <v>1</v>
      </c>
      <c r="CA41" s="10"/>
      <c r="CB41" s="10">
        <v>1</v>
      </c>
      <c r="CC41" s="10"/>
      <c r="CD41" s="10">
        <v>1</v>
      </c>
      <c r="CH41" s="10"/>
      <c r="CI41" s="10">
        <v>1</v>
      </c>
      <c r="CJ41" s="10"/>
      <c r="CK41" s="10">
        <v>1</v>
      </c>
      <c r="CO41" s="10"/>
      <c r="CP41" s="10">
        <v>1</v>
      </c>
      <c r="CQ41" s="10"/>
      <c r="CR41" s="10">
        <v>1</v>
      </c>
      <c r="CV41" s="10"/>
      <c r="CW41" s="10"/>
      <c r="CX41" s="10"/>
      <c r="CY41" s="10"/>
      <c r="DC41" s="10"/>
      <c r="DD41" s="10"/>
      <c r="DE41" s="10"/>
      <c r="DF41" s="10"/>
      <c r="DJ41" s="10"/>
      <c r="DK41" s="10"/>
      <c r="DL41" s="10"/>
      <c r="DM41" s="10"/>
      <c r="DQ41" s="10"/>
      <c r="DR41" s="10"/>
      <c r="DS41" s="10"/>
      <c r="DT41" s="10"/>
      <c r="DX41" s="10"/>
      <c r="DY41" s="10"/>
      <c r="DZ41" s="10"/>
      <c r="EA41" s="10"/>
      <c r="EE41" s="10"/>
      <c r="EF41" s="10"/>
      <c r="EG41" s="10"/>
      <c r="EH41" s="10"/>
    </row>
    <row r="42" spans="2:138" outlineLevel="1" x14ac:dyDescent="0.2">
      <c r="B42" t="s">
        <v>27</v>
      </c>
      <c r="C42" t="s">
        <v>85</v>
      </c>
      <c r="E42" s="9"/>
      <c r="F42" t="s">
        <v>134</v>
      </c>
      <c r="G42" s="10">
        <v>0</v>
      </c>
      <c r="I42" s="9">
        <v>0</v>
      </c>
      <c r="J42" s="11" cm="1">
        <f t="array" ref="J42">MAX(IF($N$3:$EB$3=$J$3,N42:EB42))</f>
        <v>0</v>
      </c>
      <c r="K42" s="11" cm="1">
        <f t="array" ref="K42">MAX(IF($N$3:$EB$3=$J$3,N42:EB42))</f>
        <v>0</v>
      </c>
      <c r="L42" s="9"/>
      <c r="P42" s="10"/>
      <c r="Q42" s="10">
        <v>0.5</v>
      </c>
      <c r="R42" s="10"/>
      <c r="S42" s="10">
        <v>0.5</v>
      </c>
      <c r="W42" s="10"/>
      <c r="X42" s="10">
        <v>0.5</v>
      </c>
      <c r="Y42" s="10"/>
      <c r="Z42" s="10">
        <v>0.5</v>
      </c>
      <c r="AD42" s="10"/>
      <c r="AE42" s="10">
        <v>0.5</v>
      </c>
      <c r="AF42" s="10"/>
      <c r="AG42" s="10">
        <v>0.5</v>
      </c>
      <c r="AK42" s="10"/>
      <c r="AL42" s="10">
        <v>0.5</v>
      </c>
      <c r="AM42" s="10"/>
      <c r="AN42" s="10">
        <v>0.5</v>
      </c>
      <c r="AR42" s="10"/>
      <c r="AS42" s="10">
        <v>0.8</v>
      </c>
      <c r="AT42" s="10"/>
      <c r="AU42" s="10">
        <v>0.8</v>
      </c>
      <c r="AY42" s="10"/>
      <c r="AZ42" s="10">
        <v>0.8</v>
      </c>
      <c r="BA42" s="10"/>
      <c r="BB42" s="10">
        <v>0.8</v>
      </c>
      <c r="BF42" s="10"/>
      <c r="BG42" s="10">
        <v>0.8</v>
      </c>
      <c r="BH42" s="10"/>
      <c r="BI42" s="10">
        <v>0.8</v>
      </c>
      <c r="BM42" s="10"/>
      <c r="BN42" s="10">
        <v>0.8</v>
      </c>
      <c r="BO42" s="10"/>
      <c r="BP42" s="10">
        <v>0.8</v>
      </c>
      <c r="BT42" s="10"/>
      <c r="BU42" s="10">
        <v>1</v>
      </c>
      <c r="BV42" s="10"/>
      <c r="BW42" s="10">
        <v>1</v>
      </c>
      <c r="CA42" s="10"/>
      <c r="CB42" s="10">
        <v>1</v>
      </c>
      <c r="CC42" s="10"/>
      <c r="CD42" s="10">
        <v>1</v>
      </c>
      <c r="CH42" s="10"/>
      <c r="CI42" s="10">
        <v>1</v>
      </c>
      <c r="CJ42" s="10"/>
      <c r="CK42" s="10">
        <v>1</v>
      </c>
      <c r="CO42" s="10"/>
      <c r="CP42" s="10">
        <v>1</v>
      </c>
      <c r="CQ42" s="10"/>
      <c r="CR42" s="10">
        <v>1</v>
      </c>
      <c r="CV42" s="10"/>
      <c r="CW42" s="10"/>
      <c r="CX42" s="10"/>
      <c r="CY42" s="10"/>
      <c r="DC42" s="10"/>
      <c r="DD42" s="10"/>
      <c r="DE42" s="10"/>
      <c r="DF42" s="10"/>
      <c r="DJ42" s="10"/>
      <c r="DK42" s="10"/>
      <c r="DL42" s="10"/>
      <c r="DM42" s="10"/>
      <c r="DQ42" s="10"/>
      <c r="DR42" s="10"/>
      <c r="DS42" s="10"/>
      <c r="DT42" s="10"/>
      <c r="DX42" s="10"/>
      <c r="DY42" s="10"/>
      <c r="DZ42" s="10"/>
      <c r="EA42" s="10"/>
      <c r="EE42" s="10"/>
      <c r="EF42" s="10"/>
      <c r="EG42" s="10"/>
      <c r="EH42" s="10"/>
    </row>
    <row r="43" spans="2:138" outlineLevel="1" x14ac:dyDescent="0.2">
      <c r="B43" t="s">
        <v>27</v>
      </c>
      <c r="C43" t="s">
        <v>85</v>
      </c>
      <c r="E43" s="9"/>
      <c r="F43" t="s">
        <v>135</v>
      </c>
      <c r="G43" s="10">
        <v>0</v>
      </c>
      <c r="I43" s="9">
        <v>0</v>
      </c>
      <c r="J43" s="11" cm="1">
        <f t="array" ref="J43">MAX(IF($N$3:$EB$3=$J$3,N43:EB43))</f>
        <v>0</v>
      </c>
      <c r="K43" s="11" cm="1">
        <f t="array" ref="K43">MAX(IF($N$3:$EB$3=$J$3,N43:EB43))</f>
        <v>0</v>
      </c>
      <c r="L43" s="9"/>
      <c r="P43" s="10"/>
      <c r="Q43" s="10"/>
      <c r="R43" s="10"/>
      <c r="S43" s="10"/>
      <c r="W43" s="10"/>
      <c r="X43" s="10">
        <v>0.5</v>
      </c>
      <c r="Y43" s="10"/>
      <c r="Z43" s="10">
        <v>0.5</v>
      </c>
      <c r="AD43" s="10"/>
      <c r="AE43" s="10">
        <v>0.5</v>
      </c>
      <c r="AF43" s="10"/>
      <c r="AG43" s="10">
        <v>0.5</v>
      </c>
      <c r="AK43" s="10"/>
      <c r="AL43" s="10">
        <v>0.5</v>
      </c>
      <c r="AM43" s="10"/>
      <c r="AN43" s="10">
        <v>0.5</v>
      </c>
      <c r="AR43" s="10"/>
      <c r="AS43" s="10">
        <v>0.5</v>
      </c>
      <c r="AT43" s="10"/>
      <c r="AU43" s="10">
        <v>0.5</v>
      </c>
      <c r="AY43" s="10"/>
      <c r="AZ43" s="10">
        <v>0.8</v>
      </c>
      <c r="BA43" s="10"/>
      <c r="BB43" s="10">
        <v>0.8</v>
      </c>
      <c r="BF43" s="10"/>
      <c r="BG43" s="10">
        <v>0.8</v>
      </c>
      <c r="BH43" s="10"/>
      <c r="BI43" s="10">
        <v>0.8</v>
      </c>
      <c r="BM43" s="10"/>
      <c r="BN43" s="10">
        <v>0.8</v>
      </c>
      <c r="BO43" s="10"/>
      <c r="BP43" s="10">
        <v>0.8</v>
      </c>
      <c r="BT43" s="10"/>
      <c r="BU43" s="10">
        <v>0.8</v>
      </c>
      <c r="BV43" s="10"/>
      <c r="BW43" s="10">
        <v>0.8</v>
      </c>
      <c r="CA43" s="10"/>
      <c r="CB43" s="10">
        <v>1</v>
      </c>
      <c r="CC43" s="10"/>
      <c r="CD43" s="10">
        <v>1</v>
      </c>
      <c r="CH43" s="10"/>
      <c r="CI43" s="10">
        <v>1</v>
      </c>
      <c r="CJ43" s="10"/>
      <c r="CK43" s="10">
        <v>1</v>
      </c>
      <c r="CO43" s="10"/>
      <c r="CP43" s="10">
        <v>1</v>
      </c>
      <c r="CQ43" s="10"/>
      <c r="CR43" s="10">
        <v>1</v>
      </c>
      <c r="CV43" s="10"/>
      <c r="CW43" s="10"/>
      <c r="CX43" s="10"/>
      <c r="CY43" s="10"/>
      <c r="DC43" s="10"/>
      <c r="DD43" s="10"/>
      <c r="DE43" s="10"/>
      <c r="DF43" s="10"/>
      <c r="DJ43" s="10"/>
      <c r="DK43" s="10"/>
      <c r="DL43" s="10"/>
      <c r="DM43" s="10"/>
      <c r="DQ43" s="10"/>
      <c r="DR43" s="10"/>
      <c r="DS43" s="10"/>
      <c r="DT43" s="10"/>
      <c r="DX43" s="10"/>
      <c r="DY43" s="10"/>
      <c r="DZ43" s="10"/>
      <c r="EA43" s="10"/>
      <c r="EE43" s="10"/>
      <c r="EF43" s="10"/>
      <c r="EG43" s="10"/>
      <c r="EH43" s="10"/>
    </row>
    <row r="44" spans="2:138" outlineLevel="1" x14ac:dyDescent="0.2">
      <c r="B44" t="s">
        <v>27</v>
      </c>
      <c r="C44" t="s">
        <v>85</v>
      </c>
      <c r="E44" s="9"/>
      <c r="F44" t="s">
        <v>136</v>
      </c>
      <c r="G44" s="10">
        <v>0</v>
      </c>
      <c r="I44" s="9">
        <v>0</v>
      </c>
      <c r="J44" s="11" cm="1">
        <f t="array" ref="J44">MAX(IF($N$3:$EB$3=$J$3,N44:EB44))</f>
        <v>0</v>
      </c>
      <c r="K44" s="11" cm="1">
        <f t="array" ref="K44">MAX(IF($N$3:$EB$3=$J$3,N44:EB44))</f>
        <v>0</v>
      </c>
      <c r="L44" s="9"/>
      <c r="P44" s="10"/>
      <c r="Q44" s="10"/>
      <c r="R44" s="10"/>
      <c r="S44" s="10"/>
      <c r="W44" s="10"/>
      <c r="X44" s="10">
        <v>0.5</v>
      </c>
      <c r="Y44" s="10"/>
      <c r="Z44" s="10">
        <v>0.5</v>
      </c>
      <c r="AD44" s="10"/>
      <c r="AE44" s="10">
        <v>0.5</v>
      </c>
      <c r="AF44" s="10"/>
      <c r="AG44" s="10">
        <v>0.5</v>
      </c>
      <c r="AK44" s="10"/>
      <c r="AL44" s="10">
        <v>0.5</v>
      </c>
      <c r="AM44" s="10"/>
      <c r="AN44" s="10">
        <v>0.5</v>
      </c>
      <c r="AR44" s="10"/>
      <c r="AS44" s="10">
        <v>0.5</v>
      </c>
      <c r="AT44" s="10"/>
      <c r="AU44" s="10">
        <v>0.5</v>
      </c>
      <c r="AY44" s="10"/>
      <c r="AZ44" s="10">
        <v>0.8</v>
      </c>
      <c r="BA44" s="10"/>
      <c r="BB44" s="10">
        <v>0.8</v>
      </c>
      <c r="BF44" s="10"/>
      <c r="BG44" s="10">
        <v>0.8</v>
      </c>
      <c r="BH44" s="10"/>
      <c r="BI44" s="10">
        <v>0.8</v>
      </c>
      <c r="BM44" s="10"/>
      <c r="BN44" s="10">
        <v>0.8</v>
      </c>
      <c r="BO44" s="10"/>
      <c r="BP44" s="10">
        <v>0.8</v>
      </c>
      <c r="BT44" s="10"/>
      <c r="BU44" s="10">
        <v>0.8</v>
      </c>
      <c r="BV44" s="10"/>
      <c r="BW44" s="10">
        <v>0.8</v>
      </c>
      <c r="CA44" s="10"/>
      <c r="CB44" s="10">
        <v>1</v>
      </c>
      <c r="CC44" s="10"/>
      <c r="CD44" s="10">
        <v>1</v>
      </c>
      <c r="CH44" s="10"/>
      <c r="CI44" s="10">
        <v>1</v>
      </c>
      <c r="CJ44" s="10"/>
      <c r="CK44" s="10">
        <v>1</v>
      </c>
      <c r="CO44" s="10"/>
      <c r="CP44" s="10">
        <v>1</v>
      </c>
      <c r="CQ44" s="10"/>
      <c r="CR44" s="10">
        <v>1</v>
      </c>
      <c r="CV44" s="10"/>
      <c r="CW44" s="10"/>
      <c r="CX44" s="10"/>
      <c r="CY44" s="10"/>
      <c r="DC44" s="10"/>
      <c r="DD44" s="10"/>
      <c r="DE44" s="10"/>
      <c r="DF44" s="10"/>
      <c r="DJ44" s="10"/>
      <c r="DK44" s="10"/>
      <c r="DL44" s="10"/>
      <c r="DM44" s="10"/>
      <c r="DQ44" s="10"/>
      <c r="DR44" s="10"/>
      <c r="DS44" s="10"/>
      <c r="DT44" s="10"/>
      <c r="DX44" s="10"/>
      <c r="DY44" s="10"/>
      <c r="DZ44" s="10"/>
      <c r="EA44" s="10"/>
      <c r="EE44" s="10"/>
      <c r="EF44" s="10"/>
      <c r="EG44" s="10"/>
      <c r="EH44" s="10"/>
    </row>
    <row r="45" spans="2:138" outlineLevel="1" x14ac:dyDescent="0.2">
      <c r="B45" t="s">
        <v>27</v>
      </c>
      <c r="C45" t="s">
        <v>85</v>
      </c>
      <c r="E45" s="9"/>
      <c r="F45" t="s">
        <v>140</v>
      </c>
      <c r="G45" s="10">
        <v>0</v>
      </c>
      <c r="I45" s="9">
        <v>0</v>
      </c>
      <c r="J45" s="11" cm="1">
        <f t="array" ref="J45">MAX(IF($N$3:$EB$3=$J$3,N45:EB45))</f>
        <v>0</v>
      </c>
      <c r="K45" s="11" cm="1">
        <f t="array" ref="K45">MAX(IF($N$3:$EB$3=$J$3,N45:EB45))</f>
        <v>0</v>
      </c>
      <c r="L45" s="9"/>
      <c r="P45" s="10"/>
      <c r="Q45" s="10"/>
      <c r="R45" s="10"/>
      <c r="S45" s="10"/>
      <c r="W45" s="10"/>
      <c r="X45" s="10">
        <v>0.5</v>
      </c>
      <c r="Y45" s="10"/>
      <c r="Z45" s="10">
        <v>0.5</v>
      </c>
      <c r="AD45" s="10"/>
      <c r="AE45" s="10">
        <v>0.5</v>
      </c>
      <c r="AF45" s="10"/>
      <c r="AG45" s="10">
        <v>0.5</v>
      </c>
      <c r="AK45" s="10"/>
      <c r="AL45" s="10">
        <v>0.5</v>
      </c>
      <c r="AM45" s="10"/>
      <c r="AN45" s="10">
        <v>0.5</v>
      </c>
      <c r="AR45" s="10"/>
      <c r="AS45" s="10">
        <v>0.5</v>
      </c>
      <c r="AT45" s="10"/>
      <c r="AU45" s="10">
        <v>0.5</v>
      </c>
      <c r="AY45" s="10"/>
      <c r="AZ45" s="10">
        <v>0.8</v>
      </c>
      <c r="BA45" s="10"/>
      <c r="BB45" s="10">
        <v>0.8</v>
      </c>
      <c r="BF45" s="10"/>
      <c r="BG45" s="10">
        <v>0.8</v>
      </c>
      <c r="BH45" s="10"/>
      <c r="BI45" s="10">
        <v>0.8</v>
      </c>
      <c r="BM45" s="10"/>
      <c r="BN45" s="10">
        <v>0.8</v>
      </c>
      <c r="BO45" s="10"/>
      <c r="BP45" s="10">
        <v>0.8</v>
      </c>
      <c r="BT45" s="10"/>
      <c r="BU45" s="10">
        <v>0.8</v>
      </c>
      <c r="BV45" s="10"/>
      <c r="BW45" s="10">
        <v>0.8</v>
      </c>
      <c r="CA45" s="10"/>
      <c r="CB45" s="10">
        <v>1</v>
      </c>
      <c r="CC45" s="10"/>
      <c r="CD45" s="10">
        <v>1</v>
      </c>
      <c r="CH45" s="10"/>
      <c r="CI45" s="10">
        <v>1</v>
      </c>
      <c r="CJ45" s="10"/>
      <c r="CK45" s="10">
        <v>1</v>
      </c>
      <c r="CO45" s="10"/>
      <c r="CP45" s="10">
        <v>1</v>
      </c>
      <c r="CQ45" s="10"/>
      <c r="CR45" s="10">
        <v>1</v>
      </c>
      <c r="CV45" s="10"/>
      <c r="CW45" s="10"/>
      <c r="CX45" s="10"/>
      <c r="CY45" s="10"/>
      <c r="DC45" s="10"/>
      <c r="DD45" s="10"/>
      <c r="DE45" s="10"/>
      <c r="DF45" s="10"/>
      <c r="DJ45" s="10"/>
      <c r="DK45" s="10"/>
      <c r="DL45" s="10"/>
      <c r="DM45" s="10"/>
      <c r="DQ45" s="10"/>
      <c r="DR45" s="10"/>
      <c r="DS45" s="10"/>
      <c r="DT45" s="10"/>
      <c r="DX45" s="10"/>
      <c r="DY45" s="10"/>
      <c r="DZ45" s="10"/>
      <c r="EA45" s="10"/>
      <c r="EE45" s="10"/>
      <c r="EF45" s="10"/>
      <c r="EG45" s="10"/>
      <c r="EH45" s="10"/>
    </row>
    <row r="46" spans="2:138" outlineLevel="1" x14ac:dyDescent="0.2">
      <c r="B46" t="s">
        <v>27</v>
      </c>
      <c r="C46" t="s">
        <v>85</v>
      </c>
      <c r="E46" s="9"/>
      <c r="F46" t="s">
        <v>296</v>
      </c>
      <c r="G46" s="10">
        <v>0</v>
      </c>
      <c r="I46" s="9">
        <v>0</v>
      </c>
      <c r="J46" s="11" cm="1">
        <f t="array" ref="J46">MAX(IF($N$3:$EB$3=$J$3,N46:EB46))</f>
        <v>0</v>
      </c>
      <c r="K46" s="11" cm="1">
        <f t="array" ref="K46">MAX(IF($N$3:$EB$3=$J$3,N46:EB46))</f>
        <v>0</v>
      </c>
      <c r="L46" s="9"/>
      <c r="P46" s="10"/>
      <c r="Q46" s="10"/>
      <c r="R46" s="10"/>
      <c r="S46" s="10"/>
      <c r="W46" s="10"/>
      <c r="X46" s="10">
        <v>0.5</v>
      </c>
      <c r="Y46" s="10"/>
      <c r="Z46" s="10">
        <v>0.5</v>
      </c>
      <c r="AD46" s="10"/>
      <c r="AE46" s="10">
        <v>0.5</v>
      </c>
      <c r="AF46" s="10"/>
      <c r="AG46" s="10">
        <v>0.5</v>
      </c>
      <c r="AK46" s="10"/>
      <c r="AL46" s="10">
        <v>0.5</v>
      </c>
      <c r="AM46" s="10"/>
      <c r="AN46" s="10">
        <v>0.5</v>
      </c>
      <c r="AR46" s="10"/>
      <c r="AS46" s="10">
        <v>0.5</v>
      </c>
      <c r="AT46" s="10"/>
      <c r="AU46" s="10">
        <v>0.5</v>
      </c>
      <c r="AY46" s="10"/>
      <c r="AZ46" s="10">
        <v>0.8</v>
      </c>
      <c r="BA46" s="10"/>
      <c r="BB46" s="10">
        <v>0.8</v>
      </c>
      <c r="BF46" s="10"/>
      <c r="BG46" s="10">
        <v>0.8</v>
      </c>
      <c r="BH46" s="10"/>
      <c r="BI46" s="10">
        <v>0.8</v>
      </c>
      <c r="BM46" s="10"/>
      <c r="BN46" s="10">
        <v>0.8</v>
      </c>
      <c r="BO46" s="10"/>
      <c r="BP46" s="10">
        <v>0.8</v>
      </c>
      <c r="BT46" s="10"/>
      <c r="BU46" s="10">
        <v>0.8</v>
      </c>
      <c r="BV46" s="10"/>
      <c r="BW46" s="10">
        <v>0.8</v>
      </c>
      <c r="CA46" s="10"/>
      <c r="CB46" s="10">
        <v>1</v>
      </c>
      <c r="CC46" s="10"/>
      <c r="CD46" s="10">
        <v>1</v>
      </c>
      <c r="CH46" s="10"/>
      <c r="CI46" s="10">
        <v>1</v>
      </c>
      <c r="CJ46" s="10"/>
      <c r="CK46" s="10">
        <v>1</v>
      </c>
      <c r="CO46" s="10"/>
      <c r="CP46" s="10">
        <v>1</v>
      </c>
      <c r="CQ46" s="10"/>
      <c r="CR46" s="10">
        <v>1</v>
      </c>
      <c r="CV46" s="10"/>
      <c r="CW46" s="10"/>
      <c r="CX46" s="10"/>
      <c r="CY46" s="10"/>
      <c r="DC46" s="10"/>
      <c r="DD46" s="10"/>
      <c r="DE46" s="10"/>
      <c r="DF46" s="10"/>
      <c r="DJ46" s="10"/>
      <c r="DK46" s="10"/>
      <c r="DL46" s="10"/>
      <c r="DM46" s="10"/>
      <c r="DQ46" s="10"/>
      <c r="DR46" s="10"/>
      <c r="DS46" s="10"/>
      <c r="DT46" s="10"/>
      <c r="DX46" s="10"/>
      <c r="DY46" s="10"/>
      <c r="DZ46" s="10"/>
      <c r="EA46" s="10"/>
      <c r="EE46" s="10"/>
      <c r="EF46" s="10"/>
      <c r="EG46" s="10"/>
      <c r="EH46" s="10"/>
    </row>
    <row r="47" spans="2:138" outlineLevel="1" x14ac:dyDescent="0.2">
      <c r="B47" t="s">
        <v>27</v>
      </c>
      <c r="C47" t="s">
        <v>85</v>
      </c>
      <c r="E47" s="9"/>
      <c r="F47" t="s">
        <v>138</v>
      </c>
      <c r="G47" s="10">
        <v>0</v>
      </c>
      <c r="I47" s="9">
        <v>0</v>
      </c>
      <c r="J47" s="11" cm="1">
        <f t="array" ref="J47">MAX(IF($N$3:$EB$3=$J$3,N47:EB47))</f>
        <v>0</v>
      </c>
      <c r="K47" s="11" cm="1">
        <f t="array" ref="K47">MAX(IF($N$3:$EB$3=$J$3,N47:EB47))</f>
        <v>0</v>
      </c>
      <c r="L47" s="9"/>
      <c r="P47" s="10"/>
      <c r="Q47" s="10"/>
      <c r="R47" s="10"/>
      <c r="S47" s="10"/>
      <c r="W47" s="10"/>
      <c r="X47" s="10">
        <v>0.5</v>
      </c>
      <c r="Y47" s="10"/>
      <c r="Z47" s="10">
        <v>0.5</v>
      </c>
      <c r="AD47" s="10"/>
      <c r="AE47" s="10">
        <v>0.5</v>
      </c>
      <c r="AF47" s="10"/>
      <c r="AG47" s="10">
        <v>0.5</v>
      </c>
      <c r="AK47" s="10"/>
      <c r="AL47" s="10">
        <v>0.5</v>
      </c>
      <c r="AM47" s="10"/>
      <c r="AN47" s="10">
        <v>0.5</v>
      </c>
      <c r="AR47" s="10"/>
      <c r="AS47" s="10">
        <v>0.5</v>
      </c>
      <c r="AT47" s="10"/>
      <c r="AU47" s="10">
        <v>0.5</v>
      </c>
      <c r="AY47" s="10"/>
      <c r="AZ47" s="10">
        <v>0.8</v>
      </c>
      <c r="BA47" s="10"/>
      <c r="BB47" s="10">
        <v>0.8</v>
      </c>
      <c r="BF47" s="10"/>
      <c r="BG47" s="10">
        <v>0.8</v>
      </c>
      <c r="BH47" s="10"/>
      <c r="BI47" s="10">
        <v>0.8</v>
      </c>
      <c r="BM47" s="10"/>
      <c r="BN47" s="10">
        <v>0.8</v>
      </c>
      <c r="BO47" s="10"/>
      <c r="BP47" s="10">
        <v>0.8</v>
      </c>
      <c r="BT47" s="10"/>
      <c r="BU47" s="10">
        <v>0.8</v>
      </c>
      <c r="BV47" s="10"/>
      <c r="BW47" s="10">
        <v>0.8</v>
      </c>
      <c r="CA47" s="10"/>
      <c r="CB47" s="10">
        <v>1</v>
      </c>
      <c r="CC47" s="10"/>
      <c r="CD47" s="10">
        <v>1</v>
      </c>
      <c r="CH47" s="10"/>
      <c r="CI47" s="10">
        <v>1</v>
      </c>
      <c r="CJ47" s="10"/>
      <c r="CK47" s="10">
        <v>1</v>
      </c>
      <c r="CO47" s="10"/>
      <c r="CP47" s="10">
        <v>1</v>
      </c>
      <c r="CQ47" s="10"/>
      <c r="CR47" s="10">
        <v>1</v>
      </c>
      <c r="CV47" s="10"/>
      <c r="CW47" s="10"/>
      <c r="CX47" s="10"/>
      <c r="CY47" s="10"/>
      <c r="DC47" s="10"/>
      <c r="DD47" s="10"/>
      <c r="DE47" s="10"/>
      <c r="DF47" s="10"/>
      <c r="DJ47" s="10"/>
      <c r="DK47" s="10"/>
      <c r="DL47" s="10"/>
      <c r="DM47" s="10"/>
      <c r="DQ47" s="10"/>
      <c r="DR47" s="10"/>
      <c r="DS47" s="10"/>
      <c r="DT47" s="10"/>
      <c r="DX47" s="10"/>
      <c r="DY47" s="10"/>
      <c r="DZ47" s="10"/>
      <c r="EA47" s="10"/>
      <c r="EE47" s="10"/>
      <c r="EF47" s="10"/>
      <c r="EG47" s="10"/>
      <c r="EH47" s="10"/>
    </row>
    <row r="48" spans="2:138" outlineLevel="1" x14ac:dyDescent="0.2">
      <c r="B48" t="s">
        <v>27</v>
      </c>
      <c r="C48" t="s">
        <v>85</v>
      </c>
      <c r="E48" s="9"/>
      <c r="F48" t="s">
        <v>139</v>
      </c>
      <c r="G48" s="10">
        <v>0</v>
      </c>
      <c r="I48" s="9">
        <v>0</v>
      </c>
      <c r="J48" s="11" cm="1">
        <f t="array" ref="J48">MAX(IF($N$3:$EB$3=$J$3,N48:EB48))</f>
        <v>0</v>
      </c>
      <c r="K48" s="11" cm="1">
        <f t="array" ref="K48">MAX(IF($N$3:$EB$3=$J$3,N48:EB48))</f>
        <v>0</v>
      </c>
      <c r="L48" s="9"/>
      <c r="P48" s="10"/>
      <c r="Q48" s="10"/>
      <c r="R48" s="10"/>
      <c r="S48" s="10"/>
      <c r="W48" s="10"/>
      <c r="X48" s="10"/>
      <c r="Y48" s="10"/>
      <c r="Z48" s="10"/>
      <c r="AD48" s="10"/>
      <c r="AE48" s="10">
        <v>0.5</v>
      </c>
      <c r="AF48" s="10"/>
      <c r="AG48" s="10">
        <v>0.5</v>
      </c>
      <c r="AK48" s="10"/>
      <c r="AL48" s="10">
        <v>0.5</v>
      </c>
      <c r="AM48" s="10"/>
      <c r="AN48" s="10">
        <v>0.5</v>
      </c>
      <c r="AR48" s="10"/>
      <c r="AS48" s="10">
        <v>0.5</v>
      </c>
      <c r="AT48" s="10"/>
      <c r="AU48" s="10">
        <v>0.5</v>
      </c>
      <c r="AY48" s="10"/>
      <c r="AZ48" s="10">
        <v>0.5</v>
      </c>
      <c r="BA48" s="10"/>
      <c r="BB48" s="10">
        <v>0.5</v>
      </c>
      <c r="BF48" s="10"/>
      <c r="BG48" s="10">
        <v>0.8</v>
      </c>
      <c r="BH48" s="10"/>
      <c r="BI48" s="10">
        <v>0.8</v>
      </c>
      <c r="BM48" s="10"/>
      <c r="BN48" s="10">
        <v>0.8</v>
      </c>
      <c r="BO48" s="10"/>
      <c r="BP48" s="10">
        <v>0.8</v>
      </c>
      <c r="BT48" s="10"/>
      <c r="BU48" s="10">
        <v>0.8</v>
      </c>
      <c r="BV48" s="10"/>
      <c r="BW48" s="10">
        <v>0.8</v>
      </c>
      <c r="CA48" s="10"/>
      <c r="CB48" s="10">
        <v>0.8</v>
      </c>
      <c r="CC48" s="10"/>
      <c r="CD48" s="10">
        <v>0.8</v>
      </c>
      <c r="CH48" s="10"/>
      <c r="CI48" s="10">
        <v>1</v>
      </c>
      <c r="CJ48" s="10"/>
      <c r="CK48" s="10">
        <v>1</v>
      </c>
      <c r="CO48" s="10"/>
      <c r="CP48" s="10">
        <v>1</v>
      </c>
      <c r="CQ48" s="10"/>
      <c r="CR48" s="10">
        <v>1</v>
      </c>
      <c r="CV48" s="10"/>
      <c r="CW48" s="10"/>
      <c r="CX48" s="10"/>
      <c r="CY48" s="10"/>
      <c r="DC48" s="10"/>
      <c r="DD48" s="10"/>
      <c r="DE48" s="10"/>
      <c r="DF48" s="10"/>
      <c r="DJ48" s="10"/>
      <c r="DK48" s="10"/>
      <c r="DL48" s="10"/>
      <c r="DM48" s="10"/>
      <c r="DQ48" s="10"/>
      <c r="DR48" s="10"/>
      <c r="DS48" s="10"/>
      <c r="DT48" s="10"/>
      <c r="DX48" s="10"/>
      <c r="DY48" s="10"/>
      <c r="DZ48" s="10"/>
      <c r="EA48" s="10"/>
      <c r="EE48" s="10"/>
      <c r="EF48" s="10"/>
      <c r="EG48" s="10"/>
      <c r="EH48" s="10"/>
    </row>
    <row r="49" spans="1:139" outlineLevel="1" x14ac:dyDescent="0.2">
      <c r="B49" t="s">
        <v>27</v>
      </c>
      <c r="C49" t="s">
        <v>85</v>
      </c>
      <c r="E49" s="9"/>
      <c r="F49" t="s">
        <v>141</v>
      </c>
      <c r="G49" s="10">
        <v>0</v>
      </c>
      <c r="I49" s="9">
        <v>0</v>
      </c>
      <c r="J49" s="11" cm="1">
        <f t="array" ref="J49">MAX(IF($N$3:$EB$3=$J$3,N49:EB49))</f>
        <v>0</v>
      </c>
      <c r="K49" s="11" cm="1">
        <f t="array" ref="K49">MAX(IF($N$3:$EB$3=$J$3,N49:EB49))</f>
        <v>0</v>
      </c>
      <c r="L49" s="9"/>
      <c r="P49" s="10"/>
      <c r="Q49" s="10"/>
      <c r="R49" s="10"/>
      <c r="S49" s="10"/>
      <c r="W49" s="10"/>
      <c r="X49" s="10"/>
      <c r="Y49" s="10"/>
      <c r="Z49" s="10"/>
      <c r="AD49" s="10"/>
      <c r="AE49" s="10">
        <v>0.5</v>
      </c>
      <c r="AF49" s="10"/>
      <c r="AG49" s="10">
        <v>0.5</v>
      </c>
      <c r="AK49" s="10"/>
      <c r="AL49" s="10">
        <v>0.5</v>
      </c>
      <c r="AM49" s="10"/>
      <c r="AN49" s="10">
        <v>0.5</v>
      </c>
      <c r="AR49" s="10"/>
      <c r="AS49" s="10">
        <v>0.5</v>
      </c>
      <c r="AT49" s="10"/>
      <c r="AU49" s="10">
        <v>0.5</v>
      </c>
      <c r="AY49" s="10"/>
      <c r="AZ49" s="10">
        <v>0.5</v>
      </c>
      <c r="BA49" s="10"/>
      <c r="BB49" s="10">
        <v>0.5</v>
      </c>
      <c r="BF49" s="10"/>
      <c r="BG49" s="10">
        <v>0.8</v>
      </c>
      <c r="BH49" s="10"/>
      <c r="BI49" s="10">
        <v>0.8</v>
      </c>
      <c r="BM49" s="10"/>
      <c r="BN49" s="10">
        <v>0.8</v>
      </c>
      <c r="BO49" s="10"/>
      <c r="BP49" s="10">
        <v>0.8</v>
      </c>
      <c r="BT49" s="10"/>
      <c r="BU49" s="10">
        <v>0.8</v>
      </c>
      <c r="BV49" s="10"/>
      <c r="BW49" s="10">
        <v>0.8</v>
      </c>
      <c r="CA49" s="10"/>
      <c r="CB49" s="10">
        <v>0.8</v>
      </c>
      <c r="CC49" s="10"/>
      <c r="CD49" s="10">
        <v>0.8</v>
      </c>
      <c r="CH49" s="10"/>
      <c r="CI49" s="10">
        <v>1</v>
      </c>
      <c r="CJ49" s="10"/>
      <c r="CK49" s="10">
        <v>1</v>
      </c>
      <c r="CO49" s="10"/>
      <c r="CP49" s="10">
        <v>1</v>
      </c>
      <c r="CQ49" s="10"/>
      <c r="CR49" s="10">
        <v>1</v>
      </c>
      <c r="CV49" s="10"/>
      <c r="CW49" s="10"/>
      <c r="CX49" s="10"/>
      <c r="CY49" s="10"/>
      <c r="DC49" s="10"/>
      <c r="DD49" s="10"/>
      <c r="DE49" s="10"/>
      <c r="DF49" s="10"/>
      <c r="DJ49" s="10"/>
      <c r="DK49" s="10"/>
      <c r="DL49" s="10"/>
      <c r="DM49" s="10"/>
      <c r="DQ49" s="10"/>
      <c r="DR49" s="10"/>
      <c r="DS49" s="10"/>
      <c r="DT49" s="10"/>
      <c r="DX49" s="10"/>
      <c r="DY49" s="10"/>
      <c r="DZ49" s="10"/>
      <c r="EA49" s="10"/>
      <c r="EE49" s="10"/>
      <c r="EF49" s="10"/>
      <c r="EG49" s="10"/>
      <c r="EH49" s="10"/>
    </row>
    <row r="50" spans="1:139" outlineLevel="1" x14ac:dyDescent="0.2">
      <c r="B50" t="s">
        <v>27</v>
      </c>
      <c r="C50" t="s">
        <v>85</v>
      </c>
      <c r="E50" s="9"/>
      <c r="F50" t="s">
        <v>142</v>
      </c>
      <c r="G50" s="10">
        <v>0</v>
      </c>
      <c r="I50" s="9">
        <v>0</v>
      </c>
      <c r="J50" s="11" cm="1">
        <f t="array" ref="J50">MAX(IF($N$3:$EB$3=$J$3,N50:EB50))</f>
        <v>0</v>
      </c>
      <c r="K50" s="11" cm="1">
        <f t="array" ref="K50">MAX(IF($N$3:$EB$3=$J$3,N50:EB50))</f>
        <v>0</v>
      </c>
      <c r="L50" s="9"/>
      <c r="P50" s="10"/>
      <c r="Q50" s="10"/>
      <c r="R50" s="10"/>
      <c r="S50" s="10"/>
      <c r="W50" s="10"/>
      <c r="X50" s="10"/>
      <c r="Y50" s="10"/>
      <c r="Z50" s="10"/>
      <c r="AD50" s="10"/>
      <c r="AE50" s="10">
        <v>0.5</v>
      </c>
      <c r="AF50" s="10"/>
      <c r="AG50" s="10">
        <v>0.5</v>
      </c>
      <c r="AK50" s="10"/>
      <c r="AL50" s="10">
        <v>0.5</v>
      </c>
      <c r="AM50" s="26"/>
      <c r="AN50" s="10">
        <v>0.5</v>
      </c>
      <c r="AR50" s="10"/>
      <c r="AS50" s="10">
        <v>0.5</v>
      </c>
      <c r="AT50" s="10"/>
      <c r="AU50" s="10">
        <v>0.5</v>
      </c>
      <c r="AY50" s="10"/>
      <c r="AZ50" s="10">
        <v>0.5</v>
      </c>
      <c r="BA50" s="10"/>
      <c r="BB50" s="10">
        <v>0.5</v>
      </c>
      <c r="BF50" s="10"/>
      <c r="BG50" s="10">
        <v>0.8</v>
      </c>
      <c r="BH50" s="10"/>
      <c r="BI50" s="10">
        <v>0.8</v>
      </c>
      <c r="BM50" s="10"/>
      <c r="BN50" s="10">
        <v>0.8</v>
      </c>
      <c r="BO50" s="10"/>
      <c r="BP50" s="10">
        <v>0.8</v>
      </c>
      <c r="BT50" s="10"/>
      <c r="BU50" s="10">
        <v>0.8</v>
      </c>
      <c r="BV50" s="10"/>
      <c r="BW50" s="10">
        <v>0.8</v>
      </c>
      <c r="CA50" s="10"/>
      <c r="CB50" s="10">
        <v>0.8</v>
      </c>
      <c r="CC50" s="10"/>
      <c r="CD50" s="10">
        <v>0.8</v>
      </c>
      <c r="CH50" s="10"/>
      <c r="CI50" s="10">
        <v>1</v>
      </c>
      <c r="CJ50" s="10"/>
      <c r="CK50" s="10">
        <v>1</v>
      </c>
      <c r="CO50" s="10"/>
      <c r="CP50" s="10">
        <v>1</v>
      </c>
      <c r="CQ50" s="10"/>
      <c r="CR50" s="10">
        <v>1</v>
      </c>
      <c r="CV50" s="10"/>
      <c r="CW50" s="10"/>
      <c r="CX50" s="10"/>
      <c r="CY50" s="10"/>
      <c r="DC50" s="10"/>
      <c r="DD50" s="10"/>
      <c r="DE50" s="10"/>
      <c r="DF50" s="10"/>
      <c r="DJ50" s="10"/>
      <c r="DK50" s="10"/>
      <c r="DL50" s="10"/>
      <c r="DM50" s="10"/>
      <c r="DQ50" s="10"/>
      <c r="DR50" s="10"/>
      <c r="DS50" s="10"/>
      <c r="DT50" s="10"/>
      <c r="DX50" s="10"/>
      <c r="DY50" s="10"/>
      <c r="DZ50" s="10"/>
      <c r="EA50" s="10"/>
      <c r="EE50" s="10"/>
      <c r="EF50" s="10"/>
      <c r="EG50" s="10"/>
      <c r="EH50" s="10"/>
    </row>
    <row r="51" spans="1:139" outlineLevel="1" x14ac:dyDescent="0.2">
      <c r="B51" t="s">
        <v>27</v>
      </c>
      <c r="C51" t="s">
        <v>85</v>
      </c>
      <c r="E51" s="9"/>
      <c r="F51" t="s">
        <v>143</v>
      </c>
      <c r="G51" s="10">
        <v>0</v>
      </c>
      <c r="I51" s="9">
        <v>0</v>
      </c>
      <c r="J51" s="11" cm="1">
        <f t="array" ref="J51">MAX(IF($N$3:$EB$3=$J$3,N51:EB51))</f>
        <v>0</v>
      </c>
      <c r="K51" s="11" cm="1">
        <f t="array" ref="K51">MAX(IF($N$3:$EB$3=$J$3,N51:EB51))</f>
        <v>0</v>
      </c>
      <c r="L51" s="9"/>
      <c r="P51" s="10"/>
      <c r="Q51" s="10"/>
      <c r="R51" s="10"/>
      <c r="S51" s="10"/>
      <c r="W51" s="10"/>
      <c r="X51" s="10"/>
      <c r="Y51" s="10"/>
      <c r="Z51" s="10"/>
      <c r="AD51" s="10"/>
      <c r="AE51" s="10">
        <v>0.5</v>
      </c>
      <c r="AF51" s="10"/>
      <c r="AG51" s="10">
        <v>0.5</v>
      </c>
      <c r="AK51" s="10"/>
      <c r="AL51" s="10">
        <v>0.5</v>
      </c>
      <c r="AM51" s="26"/>
      <c r="AN51" s="10">
        <v>0.5</v>
      </c>
      <c r="AR51" s="10"/>
      <c r="AS51" s="10">
        <v>0.5</v>
      </c>
      <c r="AT51" s="10"/>
      <c r="AU51" s="10">
        <v>0.5</v>
      </c>
      <c r="AY51" s="10"/>
      <c r="AZ51" s="10">
        <v>0.5</v>
      </c>
      <c r="BA51" s="10"/>
      <c r="BB51" s="10">
        <v>0.5</v>
      </c>
      <c r="BF51" s="10"/>
      <c r="BG51" s="10">
        <v>0.8</v>
      </c>
      <c r="BH51" s="10"/>
      <c r="BI51" s="10">
        <v>0.8</v>
      </c>
      <c r="BM51" s="10"/>
      <c r="BN51" s="10">
        <v>0.8</v>
      </c>
      <c r="BO51" s="10"/>
      <c r="BP51" s="10">
        <v>0.8</v>
      </c>
      <c r="BT51" s="10"/>
      <c r="BU51" s="10">
        <v>0.8</v>
      </c>
      <c r="BV51" s="10"/>
      <c r="BW51" s="10">
        <v>0.8</v>
      </c>
      <c r="CA51" s="10"/>
      <c r="CB51" s="10">
        <v>0.8</v>
      </c>
      <c r="CC51" s="10"/>
      <c r="CD51" s="10">
        <v>0.8</v>
      </c>
      <c r="CH51" s="10"/>
      <c r="CI51" s="10">
        <v>1</v>
      </c>
      <c r="CJ51" s="10"/>
      <c r="CK51" s="10">
        <v>1</v>
      </c>
      <c r="CO51" s="10"/>
      <c r="CP51" s="10">
        <v>1</v>
      </c>
      <c r="CQ51" s="10"/>
      <c r="CR51" s="10">
        <v>1</v>
      </c>
      <c r="CV51" s="10"/>
      <c r="CW51" s="10"/>
      <c r="CX51" s="10"/>
      <c r="CY51" s="10"/>
      <c r="DC51" s="10"/>
      <c r="DD51" s="10"/>
      <c r="DE51" s="10"/>
      <c r="DF51" s="10"/>
      <c r="DJ51" s="10"/>
      <c r="DK51" s="10"/>
      <c r="DL51" s="10"/>
      <c r="DM51" s="10"/>
      <c r="DQ51" s="10"/>
      <c r="DR51" s="10"/>
      <c r="DS51" s="10"/>
      <c r="DT51" s="10"/>
      <c r="DX51" s="10"/>
      <c r="DY51" s="10"/>
      <c r="DZ51" s="10"/>
      <c r="EA51" s="10"/>
      <c r="EE51" s="10"/>
      <c r="EF51" s="10"/>
      <c r="EG51" s="10"/>
      <c r="EH51" s="10"/>
    </row>
    <row r="52" spans="1:139" outlineLevel="1" x14ac:dyDescent="0.2">
      <c r="B52" t="s">
        <v>27</v>
      </c>
      <c r="C52" t="s">
        <v>85</v>
      </c>
      <c r="E52" s="9"/>
      <c r="F52" t="s">
        <v>146</v>
      </c>
      <c r="G52" s="10">
        <v>0</v>
      </c>
      <c r="I52" s="9">
        <v>0</v>
      </c>
      <c r="J52" s="11" cm="1">
        <f t="array" ref="J52">MAX(IF($N$3:$EB$3=$J$3,N52:EB52))</f>
        <v>0</v>
      </c>
      <c r="K52" s="11" cm="1">
        <f t="array" ref="K52">MAX(IF($N$3:$EB$3=$J$3,N52:EB52))</f>
        <v>0</v>
      </c>
      <c r="L52" s="9"/>
      <c r="P52" s="10"/>
      <c r="Q52" s="10"/>
      <c r="R52" s="10"/>
      <c r="S52" s="10"/>
      <c r="W52" s="10"/>
      <c r="X52" s="10"/>
      <c r="Y52" s="10"/>
      <c r="Z52" s="10"/>
      <c r="AD52" s="10"/>
      <c r="AE52" s="10">
        <v>0.5</v>
      </c>
      <c r="AF52" s="10"/>
      <c r="AG52" s="10">
        <v>0.5</v>
      </c>
      <c r="AK52" s="10"/>
      <c r="AL52" s="10">
        <v>0.5</v>
      </c>
      <c r="AM52" s="26"/>
      <c r="AN52" s="10">
        <v>0.5</v>
      </c>
      <c r="AR52" s="10"/>
      <c r="AS52" s="10">
        <v>0.5</v>
      </c>
      <c r="AT52" s="10"/>
      <c r="AU52" s="10">
        <v>0.5</v>
      </c>
      <c r="AY52" s="10"/>
      <c r="AZ52" s="10">
        <v>0.5</v>
      </c>
      <c r="BA52" s="10"/>
      <c r="BB52" s="10">
        <v>0.5</v>
      </c>
      <c r="BF52" s="10"/>
      <c r="BG52" s="10">
        <v>0.8</v>
      </c>
      <c r="BH52" s="10"/>
      <c r="BI52" s="10">
        <v>0.8</v>
      </c>
      <c r="BM52" s="10"/>
      <c r="BN52" s="10">
        <v>0.8</v>
      </c>
      <c r="BO52" s="10"/>
      <c r="BP52" s="10">
        <v>0.8</v>
      </c>
      <c r="BT52" s="10"/>
      <c r="BU52" s="10">
        <v>0.8</v>
      </c>
      <c r="BV52" s="10"/>
      <c r="BW52" s="10">
        <v>0.8</v>
      </c>
      <c r="CA52" s="10"/>
      <c r="CB52" s="10">
        <v>0.8</v>
      </c>
      <c r="CC52" s="10"/>
      <c r="CD52" s="10">
        <v>0.8</v>
      </c>
      <c r="CH52" s="10"/>
      <c r="CI52" s="10">
        <v>1</v>
      </c>
      <c r="CJ52" s="10"/>
      <c r="CK52" s="10">
        <v>1</v>
      </c>
      <c r="CO52" s="10"/>
      <c r="CP52" s="10">
        <v>1</v>
      </c>
      <c r="CQ52" s="10"/>
      <c r="CR52" s="10">
        <v>1</v>
      </c>
      <c r="CV52" s="10"/>
      <c r="CW52" s="10"/>
      <c r="CX52" s="10"/>
      <c r="CY52" s="10"/>
      <c r="DC52" s="10"/>
      <c r="DD52" s="10"/>
      <c r="DE52" s="10"/>
      <c r="DF52" s="10"/>
      <c r="DJ52" s="10"/>
      <c r="DK52" s="10"/>
      <c r="DL52" s="10"/>
      <c r="DM52" s="10"/>
      <c r="DQ52" s="10"/>
      <c r="DR52" s="10"/>
      <c r="DS52" s="10"/>
      <c r="DT52" s="10"/>
      <c r="DX52" s="10"/>
      <c r="DY52" s="10"/>
      <c r="DZ52" s="10"/>
      <c r="EA52" s="10"/>
      <c r="EE52" s="10"/>
      <c r="EF52" s="10"/>
      <c r="EG52" s="10"/>
      <c r="EH52" s="10"/>
    </row>
    <row r="53" spans="1:139" outlineLevel="1" x14ac:dyDescent="0.2">
      <c r="B53" s="22" t="s">
        <v>27</v>
      </c>
      <c r="C53" s="22" t="s">
        <v>85</v>
      </c>
      <c r="D53" s="22"/>
      <c r="E53" s="23"/>
      <c r="F53" s="22" t="s">
        <v>144</v>
      </c>
      <c r="G53" s="10">
        <v>0</v>
      </c>
      <c r="H53" s="22"/>
      <c r="I53" s="23">
        <v>0</v>
      </c>
      <c r="J53" s="25">
        <v>0</v>
      </c>
      <c r="K53" s="25">
        <v>0</v>
      </c>
      <c r="L53" s="23"/>
      <c r="M53" s="22"/>
      <c r="N53" s="22"/>
      <c r="O53" s="22"/>
      <c r="P53" s="24"/>
      <c r="Q53" s="24"/>
      <c r="R53" s="24"/>
      <c r="S53" s="24"/>
      <c r="T53" s="22"/>
      <c r="U53" s="22"/>
      <c r="V53" s="22"/>
      <c r="W53" s="24"/>
      <c r="X53" s="24"/>
      <c r="Y53" s="24"/>
      <c r="Z53" s="24"/>
      <c r="AA53" s="22"/>
      <c r="AB53" s="22"/>
      <c r="AC53" s="22"/>
      <c r="AD53" s="24"/>
      <c r="AE53" s="10"/>
      <c r="AF53" s="24"/>
      <c r="AG53" s="10"/>
      <c r="AH53" s="22"/>
      <c r="AI53" s="22"/>
      <c r="AJ53" s="22"/>
      <c r="AK53" s="26"/>
      <c r="AL53" s="10">
        <v>0.5</v>
      </c>
      <c r="AM53" s="26"/>
      <c r="AN53" s="10">
        <v>0.5</v>
      </c>
      <c r="AO53" s="22"/>
      <c r="AP53" s="22"/>
      <c r="AQ53" s="22"/>
      <c r="AR53" s="10"/>
      <c r="AS53" s="10">
        <v>0.5</v>
      </c>
      <c r="AT53" s="10"/>
      <c r="AU53" s="10">
        <v>0.5</v>
      </c>
      <c r="AV53" s="22"/>
      <c r="AW53" s="22"/>
      <c r="AX53" s="22"/>
      <c r="AY53" s="10"/>
      <c r="AZ53" s="10">
        <v>0.5</v>
      </c>
      <c r="BA53" s="10"/>
      <c r="BB53" s="10">
        <v>0.5</v>
      </c>
      <c r="BC53" s="22"/>
      <c r="BD53" s="22"/>
      <c r="BE53" s="22"/>
      <c r="BF53" s="10"/>
      <c r="BG53" s="10">
        <v>0.5</v>
      </c>
      <c r="BH53" s="10"/>
      <c r="BI53" s="10">
        <v>0.5</v>
      </c>
      <c r="BJ53" s="22"/>
      <c r="BK53" s="22"/>
      <c r="BL53" s="22"/>
      <c r="BM53" s="26"/>
      <c r="BN53" s="10">
        <v>0.8</v>
      </c>
      <c r="BO53" s="26"/>
      <c r="BP53" s="10">
        <v>0.8</v>
      </c>
      <c r="BQ53" s="22"/>
      <c r="BR53" s="22"/>
      <c r="BS53" s="22"/>
      <c r="BT53" s="26"/>
      <c r="BU53" s="10">
        <v>0.8</v>
      </c>
      <c r="BV53" s="26"/>
      <c r="BW53" s="10">
        <v>0.8</v>
      </c>
      <c r="BX53" s="22"/>
      <c r="BY53" s="22"/>
      <c r="BZ53" s="22"/>
      <c r="CA53" s="26"/>
      <c r="CB53" s="10">
        <v>0.8</v>
      </c>
      <c r="CC53" s="26"/>
      <c r="CD53" s="10">
        <v>0.8</v>
      </c>
      <c r="CE53" s="22"/>
      <c r="CF53" s="22"/>
      <c r="CG53" s="22"/>
      <c r="CH53" s="26"/>
      <c r="CI53" s="10">
        <v>0.8</v>
      </c>
      <c r="CJ53" s="26"/>
      <c r="CK53" s="10">
        <v>0.8</v>
      </c>
      <c r="CL53" s="22"/>
      <c r="CM53" s="22"/>
      <c r="CN53" s="22"/>
      <c r="CO53" s="10"/>
      <c r="CP53" s="10">
        <v>1</v>
      </c>
      <c r="CQ53" s="10"/>
      <c r="CR53" s="10">
        <v>1</v>
      </c>
      <c r="CS53" s="22"/>
      <c r="CT53" s="22"/>
      <c r="CU53" s="22"/>
      <c r="CV53" s="24"/>
      <c r="CW53" s="24"/>
      <c r="CX53" s="24"/>
      <c r="CY53" s="24"/>
      <c r="CZ53" s="22"/>
      <c r="DA53" s="22"/>
      <c r="DB53" s="22"/>
      <c r="DC53" s="24"/>
      <c r="DD53" s="24"/>
      <c r="DE53" s="24"/>
      <c r="DF53" s="24"/>
      <c r="DG53" s="22"/>
      <c r="DH53" s="22"/>
      <c r="DI53" s="22"/>
      <c r="DJ53" s="24"/>
      <c r="DK53" s="24"/>
      <c r="DL53" s="24"/>
      <c r="DM53" s="24"/>
      <c r="DN53" s="22"/>
      <c r="DO53" s="22"/>
      <c r="DP53" s="22"/>
      <c r="DQ53" s="24"/>
      <c r="DR53" s="24"/>
      <c r="DS53" s="24"/>
      <c r="DT53" s="24"/>
      <c r="DU53" s="22"/>
      <c r="DV53" s="22"/>
      <c r="DW53" s="22"/>
      <c r="DX53" s="24"/>
      <c r="DY53" s="24"/>
      <c r="DZ53" s="24"/>
      <c r="EA53" s="24"/>
      <c r="EB53" s="22"/>
      <c r="EC53" s="22"/>
      <c r="ED53" s="22"/>
      <c r="EE53" s="24"/>
      <c r="EF53" s="24"/>
      <c r="EG53" s="24"/>
      <c r="EH53" s="24"/>
      <c r="EI53" s="22"/>
    </row>
    <row r="54" spans="1:139" outlineLevel="1" x14ac:dyDescent="0.2">
      <c r="B54" s="22" t="s">
        <v>27</v>
      </c>
      <c r="C54" s="22" t="s">
        <v>85</v>
      </c>
      <c r="D54" s="22"/>
      <c r="E54" s="23"/>
      <c r="F54" s="22" t="s">
        <v>145</v>
      </c>
      <c r="G54" s="10">
        <v>0</v>
      </c>
      <c r="H54" s="22"/>
      <c r="I54" s="23">
        <v>0</v>
      </c>
      <c r="J54" s="25">
        <v>0</v>
      </c>
      <c r="K54" s="25">
        <v>0</v>
      </c>
      <c r="L54" s="23"/>
      <c r="M54" s="22"/>
      <c r="N54" s="22"/>
      <c r="O54" s="22"/>
      <c r="P54" s="24"/>
      <c r="Q54" s="24"/>
      <c r="R54" s="24"/>
      <c r="S54" s="24"/>
      <c r="T54" s="22"/>
      <c r="U54" s="22"/>
      <c r="V54" s="22"/>
      <c r="W54" s="24"/>
      <c r="X54" s="24"/>
      <c r="Y54" s="24"/>
      <c r="Z54" s="24"/>
      <c r="AA54" s="22"/>
      <c r="AB54" s="22"/>
      <c r="AC54" s="22"/>
      <c r="AD54" s="24"/>
      <c r="AE54" s="10"/>
      <c r="AF54" s="24"/>
      <c r="AG54" s="10"/>
      <c r="AH54" s="22"/>
      <c r="AI54" s="22"/>
      <c r="AJ54" s="22"/>
      <c r="AK54" s="26"/>
      <c r="AL54" s="10">
        <v>0.5</v>
      </c>
      <c r="AM54" s="26"/>
      <c r="AN54" s="10">
        <v>0.5</v>
      </c>
      <c r="AO54" s="22"/>
      <c r="AP54" s="22"/>
      <c r="AQ54" s="22"/>
      <c r="AR54" s="10"/>
      <c r="AS54" s="10">
        <v>0.5</v>
      </c>
      <c r="AT54" s="10"/>
      <c r="AU54" s="10">
        <v>0.5</v>
      </c>
      <c r="AV54" s="22"/>
      <c r="AW54" s="22"/>
      <c r="AX54" s="22"/>
      <c r="AY54" s="10"/>
      <c r="AZ54" s="10">
        <v>0.5</v>
      </c>
      <c r="BA54" s="10"/>
      <c r="BB54" s="10">
        <v>0.5</v>
      </c>
      <c r="BC54" s="22"/>
      <c r="BD54" s="22"/>
      <c r="BE54" s="22"/>
      <c r="BF54" s="10"/>
      <c r="BG54" s="10">
        <v>0.5</v>
      </c>
      <c r="BH54" s="10"/>
      <c r="BI54" s="10">
        <v>0.5</v>
      </c>
      <c r="BJ54" s="22"/>
      <c r="BK54" s="22"/>
      <c r="BL54" s="22"/>
      <c r="BM54" s="26"/>
      <c r="BN54" s="10">
        <v>0.8</v>
      </c>
      <c r="BO54" s="26"/>
      <c r="BP54" s="10">
        <v>0.8</v>
      </c>
      <c r="BQ54" s="22"/>
      <c r="BR54" s="22"/>
      <c r="BS54" s="22"/>
      <c r="BT54" s="26"/>
      <c r="BU54" s="10">
        <v>0.8</v>
      </c>
      <c r="BV54" s="26"/>
      <c r="BW54" s="10">
        <v>0.8</v>
      </c>
      <c r="BX54" s="22"/>
      <c r="BY54" s="22"/>
      <c r="BZ54" s="22"/>
      <c r="CA54" s="26"/>
      <c r="CB54" s="10">
        <v>0.8</v>
      </c>
      <c r="CC54" s="26"/>
      <c r="CD54" s="10">
        <v>0.8</v>
      </c>
      <c r="CE54" s="22"/>
      <c r="CF54" s="22"/>
      <c r="CG54" s="22"/>
      <c r="CH54" s="26"/>
      <c r="CI54" s="10">
        <v>0.8</v>
      </c>
      <c r="CJ54" s="26"/>
      <c r="CK54" s="10">
        <v>0.8</v>
      </c>
      <c r="CL54" s="22"/>
      <c r="CM54" s="22"/>
      <c r="CN54" s="22"/>
      <c r="CO54" s="10"/>
      <c r="CP54" s="10">
        <v>1</v>
      </c>
      <c r="CQ54" s="10"/>
      <c r="CR54" s="10">
        <v>1</v>
      </c>
      <c r="CS54" s="22"/>
      <c r="CT54" s="22"/>
      <c r="CU54" s="22"/>
      <c r="CV54" s="24"/>
      <c r="CW54" s="24"/>
      <c r="CX54" s="24"/>
      <c r="CY54" s="24"/>
      <c r="CZ54" s="22"/>
      <c r="DA54" s="22"/>
      <c r="DB54" s="22"/>
      <c r="DC54" s="24"/>
      <c r="DD54" s="24"/>
      <c r="DE54" s="24"/>
      <c r="DF54" s="24"/>
      <c r="DG54" s="22"/>
      <c r="DH54" s="22"/>
      <c r="DI54" s="22"/>
      <c r="DJ54" s="24"/>
      <c r="DK54" s="24"/>
      <c r="DL54" s="24"/>
      <c r="DM54" s="24"/>
      <c r="DN54" s="22"/>
      <c r="DO54" s="22"/>
      <c r="DP54" s="22"/>
      <c r="DQ54" s="24"/>
      <c r="DR54" s="24"/>
      <c r="DS54" s="24"/>
      <c r="DT54" s="24"/>
      <c r="DU54" s="22"/>
      <c r="DV54" s="22"/>
      <c r="DW54" s="22"/>
      <c r="DX54" s="24"/>
      <c r="DY54" s="24"/>
      <c r="DZ54" s="24"/>
      <c r="EA54" s="24"/>
      <c r="EB54" s="22"/>
      <c r="EC54" s="22"/>
      <c r="ED54" s="22"/>
      <c r="EE54" s="24"/>
      <c r="EF54" s="24"/>
      <c r="EG54" s="24"/>
      <c r="EH54" s="24"/>
      <c r="EI54" s="22"/>
    </row>
    <row r="55" spans="1:139" outlineLevel="1" x14ac:dyDescent="0.2">
      <c r="B55" s="22" t="s">
        <v>27</v>
      </c>
      <c r="C55" s="22" t="s">
        <v>85</v>
      </c>
      <c r="D55" s="22"/>
      <c r="E55" s="23"/>
      <c r="F55" s="22" t="s">
        <v>209</v>
      </c>
      <c r="G55" s="10">
        <v>0</v>
      </c>
      <c r="H55" s="22"/>
      <c r="I55" s="23">
        <v>0</v>
      </c>
      <c r="J55" s="27">
        <v>0</v>
      </c>
      <c r="K55" s="27">
        <v>0</v>
      </c>
      <c r="L55" s="23"/>
      <c r="M55" s="22"/>
      <c r="N55" s="22"/>
      <c r="O55" s="22"/>
      <c r="P55" s="24"/>
      <c r="Q55" s="24"/>
      <c r="R55" s="24"/>
      <c r="S55" s="24"/>
      <c r="T55" s="22"/>
      <c r="U55" s="22"/>
      <c r="V55" s="22"/>
      <c r="W55" s="24"/>
      <c r="X55" s="24"/>
      <c r="Y55" s="24"/>
      <c r="Z55" s="24"/>
      <c r="AA55" s="22"/>
      <c r="AB55" s="22"/>
      <c r="AC55" s="22"/>
      <c r="AD55" s="24"/>
      <c r="AE55" s="10"/>
      <c r="AF55" s="24"/>
      <c r="AG55" s="10"/>
      <c r="AH55" s="22"/>
      <c r="AI55" s="22"/>
      <c r="AJ55" s="22"/>
      <c r="AK55" s="26"/>
      <c r="AL55" s="10">
        <v>0.5</v>
      </c>
      <c r="AM55" s="26"/>
      <c r="AN55" s="10">
        <v>0.5</v>
      </c>
      <c r="AO55" s="22"/>
      <c r="AP55" s="22"/>
      <c r="AQ55" s="22"/>
      <c r="AR55" s="10"/>
      <c r="AS55" s="10">
        <v>0.5</v>
      </c>
      <c r="AT55" s="10"/>
      <c r="AU55" s="10">
        <v>0.5</v>
      </c>
      <c r="AV55" s="22"/>
      <c r="AW55" s="22"/>
      <c r="AX55" s="22"/>
      <c r="AY55" s="10"/>
      <c r="AZ55" s="10">
        <v>0.5</v>
      </c>
      <c r="BA55" s="10"/>
      <c r="BB55" s="10">
        <v>0.5</v>
      </c>
      <c r="BC55" s="22"/>
      <c r="BD55" s="22"/>
      <c r="BE55" s="22"/>
      <c r="BF55" s="10"/>
      <c r="BG55" s="10">
        <v>0.5</v>
      </c>
      <c r="BH55" s="10"/>
      <c r="BI55" s="10">
        <v>0.5</v>
      </c>
      <c r="BJ55" s="22"/>
      <c r="BK55" s="22"/>
      <c r="BL55" s="22"/>
      <c r="BM55" s="26"/>
      <c r="BN55" s="10">
        <v>0.8</v>
      </c>
      <c r="BO55" s="26"/>
      <c r="BP55" s="10">
        <v>0.8</v>
      </c>
      <c r="BQ55" s="22"/>
      <c r="BR55" s="22"/>
      <c r="BS55" s="22"/>
      <c r="BT55" s="26"/>
      <c r="BU55" s="10">
        <v>0.8</v>
      </c>
      <c r="BV55" s="26"/>
      <c r="BW55" s="10">
        <v>0.8</v>
      </c>
      <c r="BX55" s="22"/>
      <c r="BY55" s="22"/>
      <c r="BZ55" s="22"/>
      <c r="CA55" s="26"/>
      <c r="CB55" s="10">
        <v>0.8</v>
      </c>
      <c r="CC55" s="26"/>
      <c r="CD55" s="10">
        <v>0.8</v>
      </c>
      <c r="CE55" s="22"/>
      <c r="CF55" s="22"/>
      <c r="CG55" s="22"/>
      <c r="CH55" s="26"/>
      <c r="CI55" s="10">
        <v>0.8</v>
      </c>
      <c r="CJ55" s="26"/>
      <c r="CK55" s="10">
        <v>0.8</v>
      </c>
      <c r="CL55" s="22"/>
      <c r="CM55" s="22"/>
      <c r="CN55" s="22"/>
      <c r="CO55" s="10"/>
      <c r="CP55" s="10">
        <v>1</v>
      </c>
      <c r="CQ55" s="10"/>
      <c r="CR55" s="10">
        <v>1</v>
      </c>
      <c r="CS55" s="22"/>
      <c r="CT55" s="22"/>
      <c r="CU55" s="22"/>
      <c r="CV55" s="24"/>
      <c r="CW55" s="24"/>
      <c r="CX55" s="24"/>
      <c r="CY55" s="24"/>
      <c r="CZ55" s="22"/>
      <c r="DA55" s="22"/>
      <c r="DB55" s="22"/>
      <c r="DC55" s="24"/>
      <c r="DD55" s="24"/>
      <c r="DE55" s="24"/>
      <c r="DF55" s="24"/>
      <c r="DG55" s="22"/>
      <c r="DH55" s="22"/>
      <c r="DI55" s="22"/>
      <c r="DJ55" s="24"/>
      <c r="DK55" s="24"/>
      <c r="DL55" s="24"/>
      <c r="DM55" s="24"/>
      <c r="DN55" s="22"/>
      <c r="DO55" s="22"/>
      <c r="DP55" s="22"/>
      <c r="DQ55" s="24"/>
      <c r="DR55" s="24"/>
      <c r="DS55" s="24"/>
      <c r="DT55" s="24"/>
      <c r="DU55" s="22"/>
      <c r="DV55" s="22"/>
      <c r="DW55" s="22"/>
      <c r="DX55" s="24"/>
      <c r="DY55" s="24"/>
      <c r="DZ55" s="24"/>
      <c r="EA55" s="24"/>
      <c r="EB55" s="22"/>
      <c r="EC55" s="22"/>
      <c r="ED55" s="22"/>
      <c r="EE55" s="24"/>
      <c r="EF55" s="24"/>
      <c r="EG55" s="24"/>
      <c r="EH55" s="24"/>
      <c r="EI55" s="22"/>
    </row>
    <row r="56" spans="1:139" outlineLevel="1" x14ac:dyDescent="0.2">
      <c r="B56" s="22" t="s">
        <v>27</v>
      </c>
      <c r="C56" s="22" t="s">
        <v>85</v>
      </c>
      <c r="D56" s="22"/>
      <c r="E56" s="23"/>
      <c r="F56" s="22" t="s">
        <v>210</v>
      </c>
      <c r="G56" s="10">
        <v>0</v>
      </c>
      <c r="H56" s="22"/>
      <c r="I56" s="23">
        <v>0</v>
      </c>
      <c r="J56" s="27">
        <v>0</v>
      </c>
      <c r="K56" s="27">
        <v>0</v>
      </c>
      <c r="L56" s="23"/>
      <c r="M56" s="22"/>
      <c r="N56" s="22"/>
      <c r="O56" s="22"/>
      <c r="P56" s="24"/>
      <c r="Q56" s="24"/>
      <c r="R56" s="24"/>
      <c r="S56" s="24"/>
      <c r="T56" s="22"/>
      <c r="U56" s="22"/>
      <c r="V56" s="22"/>
      <c r="W56" s="24"/>
      <c r="X56" s="24"/>
      <c r="Y56" s="24"/>
      <c r="Z56" s="24"/>
      <c r="AA56" s="22"/>
      <c r="AB56" s="22"/>
      <c r="AC56" s="22"/>
      <c r="AD56" s="24"/>
      <c r="AE56" s="10"/>
      <c r="AF56" s="24"/>
      <c r="AG56" s="10"/>
      <c r="AH56" s="22"/>
      <c r="AI56" s="22"/>
      <c r="AJ56" s="22"/>
      <c r="AK56" s="26"/>
      <c r="AL56" s="10">
        <v>0.5</v>
      </c>
      <c r="AM56" s="26"/>
      <c r="AN56" s="10">
        <v>0.5</v>
      </c>
      <c r="AO56" s="22"/>
      <c r="AP56" s="22"/>
      <c r="AQ56" s="22"/>
      <c r="AR56" s="10"/>
      <c r="AS56" s="10">
        <v>0.5</v>
      </c>
      <c r="AT56" s="10"/>
      <c r="AU56" s="10">
        <v>0.5</v>
      </c>
      <c r="AV56" s="22"/>
      <c r="AW56" s="22"/>
      <c r="AX56" s="22"/>
      <c r="AY56" s="10"/>
      <c r="AZ56" s="10">
        <v>0.5</v>
      </c>
      <c r="BA56" s="10"/>
      <c r="BB56" s="10">
        <v>0.5</v>
      </c>
      <c r="BC56" s="22"/>
      <c r="BD56" s="22"/>
      <c r="BE56" s="22"/>
      <c r="BF56" s="10"/>
      <c r="BG56" s="10">
        <v>0.5</v>
      </c>
      <c r="BH56" s="10"/>
      <c r="BI56" s="10">
        <v>0.5</v>
      </c>
      <c r="BJ56" s="22"/>
      <c r="BK56" s="22"/>
      <c r="BL56" s="22"/>
      <c r="BM56" s="26"/>
      <c r="BN56" s="10">
        <v>0.8</v>
      </c>
      <c r="BO56" s="26"/>
      <c r="BP56" s="10">
        <v>0.8</v>
      </c>
      <c r="BQ56" s="22"/>
      <c r="BR56" s="22"/>
      <c r="BS56" s="22"/>
      <c r="BT56" s="26"/>
      <c r="BU56" s="10">
        <v>0.8</v>
      </c>
      <c r="BV56" s="26"/>
      <c r="BW56" s="10">
        <v>0.8</v>
      </c>
      <c r="BX56" s="22"/>
      <c r="BY56" s="22"/>
      <c r="BZ56" s="22"/>
      <c r="CA56" s="26"/>
      <c r="CB56" s="10">
        <v>0.8</v>
      </c>
      <c r="CC56" s="26"/>
      <c r="CD56" s="10">
        <v>0.8</v>
      </c>
      <c r="CE56" s="22"/>
      <c r="CF56" s="22"/>
      <c r="CG56" s="22"/>
      <c r="CH56" s="26"/>
      <c r="CI56" s="10">
        <v>0.8</v>
      </c>
      <c r="CJ56" s="26"/>
      <c r="CK56" s="10">
        <v>0.8</v>
      </c>
      <c r="CL56" s="22"/>
      <c r="CM56" s="22"/>
      <c r="CN56" s="22"/>
      <c r="CO56" s="10"/>
      <c r="CP56" s="10">
        <v>1</v>
      </c>
      <c r="CQ56" s="10"/>
      <c r="CR56" s="10">
        <v>1</v>
      </c>
      <c r="CS56" s="22"/>
      <c r="CT56" s="22"/>
      <c r="CU56" s="22"/>
      <c r="CV56" s="24"/>
      <c r="CW56" s="24"/>
      <c r="CX56" s="24"/>
      <c r="CY56" s="24"/>
      <c r="CZ56" s="22"/>
      <c r="DA56" s="22"/>
      <c r="DB56" s="22"/>
      <c r="DC56" s="24"/>
      <c r="DD56" s="24"/>
      <c r="DE56" s="24"/>
      <c r="DF56" s="24"/>
      <c r="DG56" s="22"/>
      <c r="DH56" s="22"/>
      <c r="DI56" s="22"/>
      <c r="DJ56" s="24"/>
      <c r="DK56" s="24"/>
      <c r="DL56" s="24"/>
      <c r="DM56" s="24"/>
      <c r="DN56" s="22"/>
      <c r="DO56" s="22"/>
      <c r="DP56" s="22"/>
      <c r="DQ56" s="24"/>
      <c r="DR56" s="24"/>
      <c r="DS56" s="24"/>
      <c r="DT56" s="24"/>
      <c r="DU56" s="22"/>
      <c r="DV56" s="22"/>
      <c r="DW56" s="22"/>
      <c r="DX56" s="24"/>
      <c r="DY56" s="24"/>
      <c r="DZ56" s="24"/>
      <c r="EA56" s="24"/>
      <c r="EB56" s="22"/>
      <c r="EC56" s="22"/>
      <c r="ED56" s="22"/>
      <c r="EE56" s="24"/>
      <c r="EF56" s="24"/>
      <c r="EG56" s="24"/>
      <c r="EH56" s="24"/>
      <c r="EI56" s="22"/>
    </row>
    <row r="57" spans="1:139" outlineLevel="1" x14ac:dyDescent="0.2">
      <c r="A57" s="22"/>
      <c r="B57" s="22" t="s">
        <v>27</v>
      </c>
      <c r="C57" s="22" t="s">
        <v>85</v>
      </c>
      <c r="D57" s="22"/>
      <c r="E57" s="23"/>
      <c r="F57" s="22" t="s">
        <v>211</v>
      </c>
      <c r="G57" s="10">
        <v>0</v>
      </c>
      <c r="H57" s="22"/>
      <c r="I57" s="23">
        <v>0</v>
      </c>
      <c r="J57" s="27">
        <v>0</v>
      </c>
      <c r="K57" s="27">
        <v>0</v>
      </c>
      <c r="L57" s="23"/>
      <c r="M57" s="22"/>
      <c r="N57" s="22"/>
      <c r="O57" s="22"/>
      <c r="P57" s="24"/>
      <c r="Q57" s="24"/>
      <c r="R57" s="24"/>
      <c r="S57" s="24"/>
      <c r="T57" s="22"/>
      <c r="U57" s="22"/>
      <c r="V57" s="22"/>
      <c r="W57" s="24"/>
      <c r="X57" s="24"/>
      <c r="Y57" s="24"/>
      <c r="Z57" s="24"/>
      <c r="AA57" s="22"/>
      <c r="AB57" s="22"/>
      <c r="AC57" s="22"/>
      <c r="AD57" s="24"/>
      <c r="AE57" s="10"/>
      <c r="AF57" s="24"/>
      <c r="AG57" s="10"/>
      <c r="AH57" s="22"/>
      <c r="AI57" s="22"/>
      <c r="AJ57" s="22"/>
      <c r="AK57" s="26"/>
      <c r="AL57" s="10">
        <v>0.5</v>
      </c>
      <c r="AM57" s="26"/>
      <c r="AN57" s="10">
        <v>0.5</v>
      </c>
      <c r="AO57" s="22"/>
      <c r="AP57" s="22"/>
      <c r="AQ57" s="22"/>
      <c r="AR57" s="10"/>
      <c r="AS57" s="10">
        <v>0.5</v>
      </c>
      <c r="AT57" s="10"/>
      <c r="AU57" s="10">
        <v>0.5</v>
      </c>
      <c r="AV57" s="22"/>
      <c r="AW57" s="22"/>
      <c r="AX57" s="22"/>
      <c r="AY57" s="10"/>
      <c r="AZ57" s="10">
        <v>0.5</v>
      </c>
      <c r="BA57" s="10"/>
      <c r="BB57" s="10">
        <v>0.5</v>
      </c>
      <c r="BC57" s="22"/>
      <c r="BD57" s="22"/>
      <c r="BE57" s="22"/>
      <c r="BF57" s="10"/>
      <c r="BG57" s="10">
        <v>0.5</v>
      </c>
      <c r="BH57" s="10"/>
      <c r="BI57" s="10">
        <v>0.5</v>
      </c>
      <c r="BJ57" s="22"/>
      <c r="BK57" s="22"/>
      <c r="BL57" s="22"/>
      <c r="BM57" s="26"/>
      <c r="BN57" s="10">
        <v>0.8</v>
      </c>
      <c r="BO57" s="26"/>
      <c r="BP57" s="10">
        <v>0.8</v>
      </c>
      <c r="BQ57" s="22"/>
      <c r="BR57" s="22"/>
      <c r="BS57" s="22"/>
      <c r="BT57" s="26"/>
      <c r="BU57" s="10">
        <v>0.8</v>
      </c>
      <c r="BV57" s="26"/>
      <c r="BW57" s="10">
        <v>0.8</v>
      </c>
      <c r="BX57" s="22"/>
      <c r="BY57" s="22"/>
      <c r="BZ57" s="22"/>
      <c r="CA57" s="26"/>
      <c r="CB57" s="10">
        <v>0.8</v>
      </c>
      <c r="CC57" s="26"/>
      <c r="CD57" s="10">
        <v>0.8</v>
      </c>
      <c r="CE57" s="22"/>
      <c r="CF57" s="22"/>
      <c r="CG57" s="22"/>
      <c r="CH57" s="26"/>
      <c r="CI57" s="10">
        <v>0.8</v>
      </c>
      <c r="CJ57" s="26"/>
      <c r="CK57" s="10">
        <v>0.8</v>
      </c>
      <c r="CL57" s="22"/>
      <c r="CM57" s="22"/>
      <c r="CN57" s="22"/>
      <c r="CO57" s="10"/>
      <c r="CP57" s="10">
        <v>1</v>
      </c>
      <c r="CQ57" s="10"/>
      <c r="CR57" s="10">
        <v>1</v>
      </c>
      <c r="CS57" s="22"/>
      <c r="CT57" s="22"/>
      <c r="CU57" s="22"/>
      <c r="CV57" s="24"/>
      <c r="CW57" s="24"/>
      <c r="CX57" s="24"/>
      <c r="CY57" s="24"/>
      <c r="CZ57" s="22"/>
      <c r="DA57" s="22"/>
      <c r="DB57" s="22"/>
      <c r="DC57" s="24"/>
      <c r="DD57" s="24"/>
      <c r="DE57" s="24"/>
      <c r="DF57" s="24"/>
      <c r="DG57" s="22"/>
      <c r="DH57" s="22"/>
      <c r="DI57" s="22"/>
      <c r="DJ57" s="24"/>
      <c r="DK57" s="24"/>
      <c r="DL57" s="24"/>
      <c r="DM57" s="24"/>
      <c r="DN57" s="22"/>
      <c r="DO57" s="22"/>
      <c r="DP57" s="22"/>
      <c r="DQ57" s="24"/>
      <c r="DR57" s="24"/>
      <c r="DS57" s="24"/>
      <c r="DT57" s="24"/>
      <c r="DU57" s="22"/>
      <c r="DV57" s="22"/>
      <c r="DW57" s="22"/>
      <c r="DX57" s="24"/>
      <c r="DY57" s="24"/>
      <c r="DZ57" s="24"/>
      <c r="EA57" s="24"/>
      <c r="EB57" s="22"/>
      <c r="EC57" s="22"/>
      <c r="ED57" s="22"/>
      <c r="EE57" s="24"/>
      <c r="EF57" s="24"/>
      <c r="EG57" s="24"/>
      <c r="EH57" s="24"/>
      <c r="EI57" s="22"/>
    </row>
    <row r="58" spans="1:139" outlineLevel="1" x14ac:dyDescent="0.2">
      <c r="A58" s="22"/>
      <c r="B58" s="22"/>
      <c r="E58" s="9"/>
      <c r="G58" s="10"/>
      <c r="I58" s="9"/>
      <c r="J58" s="11"/>
      <c r="K58" s="11"/>
      <c r="L58" s="9"/>
      <c r="P58" s="10"/>
      <c r="Q58" s="10"/>
      <c r="R58" s="10"/>
      <c r="S58" s="10"/>
      <c r="W58" s="10"/>
      <c r="X58" s="10"/>
      <c r="Y58" s="10"/>
      <c r="Z58" s="10"/>
      <c r="AD58" s="10"/>
      <c r="AE58" s="10"/>
      <c r="AF58" s="10"/>
      <c r="AG58" s="10"/>
      <c r="AK58" s="10"/>
      <c r="AL58" s="10"/>
      <c r="AM58" s="10"/>
      <c r="AN58" s="10"/>
      <c r="AR58" s="10"/>
      <c r="AS58" s="10"/>
      <c r="AT58" s="10"/>
      <c r="AU58" s="10"/>
      <c r="AY58" s="10"/>
      <c r="AZ58" s="10"/>
      <c r="BA58" s="10"/>
      <c r="BB58" s="10"/>
      <c r="BF58" s="10"/>
      <c r="BG58" s="10"/>
      <c r="BH58" s="10"/>
      <c r="BI58" s="10"/>
      <c r="BM58" s="10"/>
      <c r="BN58" s="10"/>
      <c r="BO58" s="10"/>
      <c r="BP58" s="10"/>
      <c r="BT58" s="10"/>
      <c r="BU58" s="10"/>
      <c r="BV58" s="10"/>
      <c r="BW58" s="10"/>
      <c r="CA58" s="10"/>
      <c r="CB58" s="10"/>
      <c r="CC58" s="10"/>
      <c r="CD58" s="10"/>
      <c r="CH58" s="10"/>
      <c r="CI58" s="10"/>
      <c r="CJ58" s="10"/>
      <c r="CK58" s="10"/>
      <c r="CO58" s="10"/>
      <c r="CP58" s="10"/>
      <c r="CQ58" s="10"/>
      <c r="CR58" s="10"/>
      <c r="CV58" s="10"/>
      <c r="CW58" s="10"/>
      <c r="CX58" s="10"/>
      <c r="CY58" s="10"/>
      <c r="DC58" s="10"/>
      <c r="DD58" s="10"/>
      <c r="DE58" s="10"/>
      <c r="DF58" s="10"/>
      <c r="DJ58" s="10"/>
      <c r="DK58" s="10"/>
      <c r="DL58" s="10"/>
      <c r="DM58" s="10"/>
      <c r="DQ58" s="10"/>
      <c r="DR58" s="10"/>
      <c r="DS58" s="10"/>
      <c r="DT58" s="10"/>
      <c r="DX58" s="10"/>
      <c r="DY58" s="10"/>
      <c r="DZ58" s="10"/>
      <c r="EA58" s="10"/>
      <c r="EE58" s="10"/>
      <c r="EF58" s="10"/>
      <c r="EG58" s="10"/>
      <c r="EH58" s="10"/>
    </row>
    <row r="59" spans="1:139" x14ac:dyDescent="0.2">
      <c r="A59" s="22"/>
      <c r="B59" t="s">
        <v>26</v>
      </c>
      <c r="C59" t="s">
        <v>88</v>
      </c>
      <c r="D59" s="19" t="s">
        <v>102</v>
      </c>
      <c r="E59" s="9">
        <v>3</v>
      </c>
      <c r="G59" s="10">
        <f>+SUM(G60:G79)</f>
        <v>0</v>
      </c>
      <c r="I59" s="12">
        <f>+SUM(I60:I79)</f>
        <v>4</v>
      </c>
      <c r="J59" s="11">
        <f>+SUMPRODUCT(G60:G82,J60:J82)</f>
        <v>0</v>
      </c>
      <c r="K59" s="11">
        <f>+SUMPRODUCT(G60:G82,K60:K82)</f>
        <v>0</v>
      </c>
      <c r="L59" s="9"/>
      <c r="O59" s="12">
        <f>+SUM(O60:O82)</f>
        <v>0</v>
      </c>
      <c r="V59" s="12">
        <f>+SUM(V60:V82)</f>
        <v>0</v>
      </c>
      <c r="AC59" s="12">
        <f>+SUM(AC60:AC82)</f>
        <v>0</v>
      </c>
      <c r="AJ59" s="12">
        <f>+SUM(AJ60:AJ82)</f>
        <v>0</v>
      </c>
      <c r="CI59" s="10">
        <v>1</v>
      </c>
      <c r="CK59" s="10">
        <v>1</v>
      </c>
    </row>
    <row r="60" spans="1:139" outlineLevel="1" x14ac:dyDescent="0.2">
      <c r="A60" s="22"/>
      <c r="B60" t="s">
        <v>27</v>
      </c>
      <c r="C60" t="s">
        <v>101</v>
      </c>
      <c r="E60" s="9"/>
      <c r="F60" t="s">
        <v>94</v>
      </c>
      <c r="G60" s="10">
        <v>0</v>
      </c>
      <c r="I60" s="9">
        <v>4</v>
      </c>
      <c r="J60" s="11" cm="1">
        <f t="array" ref="J60">MAX(IF($N$3:$EB$3=$J$3,N60:EB60))</f>
        <v>0</v>
      </c>
      <c r="K60" s="11" cm="1">
        <f t="array" ref="K60">MAX(IF($N$3:$EB$3=$J$3,N60:EB60))</f>
        <v>0</v>
      </c>
      <c r="L60" s="9"/>
      <c r="P60" s="10"/>
      <c r="Q60" s="10">
        <v>0.5</v>
      </c>
      <c r="R60" s="10"/>
      <c r="S60" s="10">
        <v>0.5</v>
      </c>
      <c r="W60" s="10"/>
      <c r="X60" s="10">
        <v>0.5</v>
      </c>
      <c r="Y60" s="10"/>
      <c r="Z60" s="10">
        <v>0.5</v>
      </c>
      <c r="AD60" s="10"/>
      <c r="AE60" s="10">
        <v>0.5</v>
      </c>
      <c r="AF60" s="10"/>
      <c r="AG60" s="10">
        <v>0.5</v>
      </c>
      <c r="AK60" s="10"/>
      <c r="AL60" s="10">
        <v>0.5</v>
      </c>
      <c r="AM60" s="10"/>
      <c r="AN60" s="10">
        <v>0.5</v>
      </c>
      <c r="AR60" s="10"/>
      <c r="AS60" s="10">
        <v>0.8</v>
      </c>
      <c r="AT60" s="10"/>
      <c r="AU60" s="10">
        <v>0.8</v>
      </c>
      <c r="AY60" s="10"/>
      <c r="AZ60" s="10">
        <v>0.8</v>
      </c>
      <c r="BA60" s="10"/>
      <c r="BB60" s="10">
        <v>0.8</v>
      </c>
      <c r="BF60" s="10"/>
      <c r="BG60" s="10">
        <v>0.8</v>
      </c>
      <c r="BH60" s="10"/>
      <c r="BI60" s="10">
        <v>0.8</v>
      </c>
      <c r="BM60" s="10"/>
      <c r="BN60" s="10">
        <v>0.8</v>
      </c>
      <c r="BO60" s="10"/>
      <c r="BP60" s="10">
        <v>0.8</v>
      </c>
      <c r="BT60" s="10"/>
      <c r="BU60" s="10">
        <v>1</v>
      </c>
      <c r="BV60" s="10"/>
      <c r="BW60" s="10">
        <v>1</v>
      </c>
      <c r="CA60" s="10"/>
      <c r="CB60" s="10">
        <v>1</v>
      </c>
      <c r="CC60" s="10"/>
      <c r="CD60" s="10">
        <v>1</v>
      </c>
      <c r="CH60" s="10"/>
      <c r="CI60" s="10">
        <v>1</v>
      </c>
      <c r="CJ60" s="10"/>
      <c r="CK60" s="10">
        <v>1</v>
      </c>
      <c r="CO60" s="10"/>
      <c r="CP60" s="10">
        <v>1</v>
      </c>
      <c r="CQ60" s="10"/>
      <c r="CR60" s="10">
        <v>1</v>
      </c>
      <c r="CV60" s="10"/>
      <c r="CW60" s="10"/>
      <c r="CX60" s="10"/>
      <c r="CY60" s="10"/>
      <c r="DC60" s="10"/>
      <c r="DD60" s="10"/>
      <c r="DE60" s="10"/>
      <c r="DF60" s="10"/>
      <c r="DJ60" s="10"/>
      <c r="DK60" s="10"/>
      <c r="DL60" s="10"/>
      <c r="DM60" s="10"/>
      <c r="DQ60" s="10"/>
      <c r="DR60" s="10"/>
      <c r="DS60" s="10"/>
      <c r="DT60" s="10"/>
      <c r="DX60" s="10"/>
      <c r="DY60" s="10"/>
      <c r="DZ60" s="10"/>
      <c r="EA60" s="10"/>
      <c r="EE60" s="10"/>
      <c r="EF60" s="10"/>
      <c r="EG60" s="10"/>
      <c r="EH60" s="10"/>
    </row>
    <row r="61" spans="1:139" outlineLevel="1" x14ac:dyDescent="0.2">
      <c r="B61" t="s">
        <v>27</v>
      </c>
      <c r="C61" t="s">
        <v>101</v>
      </c>
      <c r="E61" s="9"/>
      <c r="F61" t="s">
        <v>95</v>
      </c>
      <c r="G61" s="10">
        <v>0</v>
      </c>
      <c r="I61" s="9">
        <f>+SUMIF($N$3:$ZT$3,I$3,$N61:$ZT61)</f>
        <v>0</v>
      </c>
      <c r="J61" s="11" cm="1">
        <f t="array" ref="J61">MAX(IF($N$3:$EB$3=$J$3,N61:EB61))</f>
        <v>0</v>
      </c>
      <c r="K61" s="11" cm="1">
        <f t="array" ref="K61">MAX(IF($N$3:$EB$3=$J$3,N61:EB61))</f>
        <v>0</v>
      </c>
      <c r="L61" s="9"/>
      <c r="P61" s="10"/>
      <c r="Q61" s="10">
        <v>0.5</v>
      </c>
      <c r="R61" s="10"/>
      <c r="S61" s="10">
        <v>0.5</v>
      </c>
      <c r="W61" s="10"/>
      <c r="X61" s="10">
        <v>0.5</v>
      </c>
      <c r="Y61" s="10"/>
      <c r="Z61" s="10">
        <v>0.5</v>
      </c>
      <c r="AD61" s="10"/>
      <c r="AE61" s="10">
        <v>0.5</v>
      </c>
      <c r="AF61" s="10"/>
      <c r="AG61" s="10">
        <v>0.5</v>
      </c>
      <c r="AK61" s="10"/>
      <c r="AL61" s="10">
        <v>0.5</v>
      </c>
      <c r="AM61" s="10"/>
      <c r="AN61" s="10">
        <v>0.5</v>
      </c>
      <c r="AR61" s="10"/>
      <c r="AS61" s="10">
        <v>0.8</v>
      </c>
      <c r="AT61" s="10"/>
      <c r="AU61" s="10">
        <v>0.8</v>
      </c>
      <c r="AY61" s="10"/>
      <c r="AZ61" s="10">
        <v>0.8</v>
      </c>
      <c r="BA61" s="10"/>
      <c r="BB61" s="10">
        <v>0.8</v>
      </c>
      <c r="BF61" s="10"/>
      <c r="BG61" s="10">
        <v>0.8</v>
      </c>
      <c r="BH61" s="10"/>
      <c r="BI61" s="10">
        <v>0.8</v>
      </c>
      <c r="BM61" s="10"/>
      <c r="BN61" s="10">
        <v>0.8</v>
      </c>
      <c r="BO61" s="10"/>
      <c r="BP61" s="10">
        <v>0.8</v>
      </c>
      <c r="BT61" s="10"/>
      <c r="BU61" s="10">
        <v>1</v>
      </c>
      <c r="BV61" s="10"/>
      <c r="BW61" s="10">
        <v>1</v>
      </c>
      <c r="CA61" s="10"/>
      <c r="CB61" s="10">
        <v>1</v>
      </c>
      <c r="CC61" s="10"/>
      <c r="CD61" s="10">
        <v>1</v>
      </c>
      <c r="CH61" s="10"/>
      <c r="CI61" s="10">
        <v>1</v>
      </c>
      <c r="CJ61" s="10"/>
      <c r="CK61" s="10">
        <v>1</v>
      </c>
      <c r="CO61" s="10"/>
      <c r="CP61" s="10">
        <v>1</v>
      </c>
      <c r="CQ61" s="10"/>
      <c r="CR61" s="10">
        <v>1</v>
      </c>
      <c r="CV61" s="10"/>
      <c r="CW61" s="10"/>
      <c r="CX61" s="10"/>
      <c r="CY61" s="10"/>
      <c r="DC61" s="10"/>
      <c r="DD61" s="10"/>
      <c r="DE61" s="10"/>
      <c r="DF61" s="10"/>
      <c r="DJ61" s="10"/>
      <c r="DK61" s="10"/>
      <c r="DL61" s="10"/>
      <c r="DM61" s="10"/>
      <c r="DQ61" s="10"/>
      <c r="DR61" s="10"/>
      <c r="DS61" s="10"/>
      <c r="DT61" s="10"/>
      <c r="DX61" s="10"/>
      <c r="DY61" s="10"/>
      <c r="DZ61" s="10"/>
      <c r="EA61" s="10"/>
      <c r="EE61" s="10"/>
      <c r="EF61" s="10"/>
      <c r="EG61" s="10"/>
      <c r="EH61" s="10"/>
    </row>
    <row r="62" spans="1:139" outlineLevel="1" x14ac:dyDescent="0.2">
      <c r="B62" t="s">
        <v>27</v>
      </c>
      <c r="C62" t="s">
        <v>101</v>
      </c>
      <c r="E62" s="9"/>
      <c r="F62" t="s">
        <v>96</v>
      </c>
      <c r="G62" s="10">
        <v>0</v>
      </c>
      <c r="I62" s="9">
        <f>+SUMIF($N$3:$ZT$3,I$3,$N62:$ZT62)</f>
        <v>0</v>
      </c>
      <c r="J62" s="11" cm="1">
        <f t="array" ref="J62">MAX(IF($N$3:$EB$3=$J$3,N62:EB62))</f>
        <v>0</v>
      </c>
      <c r="K62" s="11" cm="1">
        <f t="array" ref="K62">MAX(IF($N$3:$EB$3=$J$3,N62:EB62))</f>
        <v>0</v>
      </c>
      <c r="L62" s="9"/>
      <c r="P62" s="10"/>
      <c r="Q62" s="10">
        <v>0.5</v>
      </c>
      <c r="R62" s="10"/>
      <c r="S62" s="10">
        <v>0.5</v>
      </c>
      <c r="W62" s="10"/>
      <c r="X62" s="10">
        <v>0.5</v>
      </c>
      <c r="Y62" s="10"/>
      <c r="Z62" s="10">
        <v>0.5</v>
      </c>
      <c r="AD62" s="10"/>
      <c r="AE62" s="10">
        <v>0.5</v>
      </c>
      <c r="AF62" s="10"/>
      <c r="AG62" s="10">
        <v>0.5</v>
      </c>
      <c r="AK62" s="10"/>
      <c r="AL62" s="10">
        <v>0.5</v>
      </c>
      <c r="AM62" s="10"/>
      <c r="AN62" s="10">
        <v>0.5</v>
      </c>
      <c r="AR62" s="10"/>
      <c r="AS62" s="10">
        <v>0.8</v>
      </c>
      <c r="AT62" s="10"/>
      <c r="AU62" s="10">
        <v>0.8</v>
      </c>
      <c r="AY62" s="10"/>
      <c r="AZ62" s="10">
        <v>0.8</v>
      </c>
      <c r="BA62" s="10"/>
      <c r="BB62" s="10">
        <v>0.8</v>
      </c>
      <c r="BF62" s="10"/>
      <c r="BG62" s="10">
        <v>0.8</v>
      </c>
      <c r="BH62" s="10"/>
      <c r="BI62" s="10">
        <v>0.8</v>
      </c>
      <c r="BM62" s="10"/>
      <c r="BN62" s="10">
        <v>0.8</v>
      </c>
      <c r="BO62" s="10"/>
      <c r="BP62" s="10">
        <v>0.8</v>
      </c>
      <c r="BT62" s="10"/>
      <c r="BU62" s="10">
        <v>1</v>
      </c>
      <c r="BV62" s="10"/>
      <c r="BW62" s="10">
        <v>1</v>
      </c>
      <c r="CA62" s="10"/>
      <c r="CB62" s="10">
        <v>1</v>
      </c>
      <c r="CC62" s="10"/>
      <c r="CD62" s="10">
        <v>1</v>
      </c>
      <c r="CH62" s="10"/>
      <c r="CI62" s="10">
        <v>1</v>
      </c>
      <c r="CJ62" s="10"/>
      <c r="CK62" s="10">
        <v>1</v>
      </c>
      <c r="CO62" s="10"/>
      <c r="CP62" s="10">
        <v>1</v>
      </c>
      <c r="CQ62" s="10"/>
      <c r="CR62" s="10">
        <v>1</v>
      </c>
      <c r="CV62" s="10"/>
      <c r="CW62" s="10"/>
      <c r="CX62" s="10"/>
      <c r="CY62" s="10"/>
      <c r="DC62" s="10"/>
      <c r="DD62" s="10"/>
      <c r="DE62" s="10"/>
      <c r="DF62" s="10"/>
      <c r="DJ62" s="10"/>
      <c r="DK62" s="10"/>
      <c r="DL62" s="10"/>
      <c r="DM62" s="10"/>
      <c r="DQ62" s="10"/>
      <c r="DR62" s="10"/>
      <c r="DS62" s="10"/>
      <c r="DT62" s="10"/>
      <c r="DX62" s="10"/>
      <c r="DY62" s="10"/>
      <c r="DZ62" s="10"/>
      <c r="EA62" s="10"/>
      <c r="EE62" s="10"/>
      <c r="EF62" s="10"/>
      <c r="EG62" s="10"/>
      <c r="EH62" s="10"/>
    </row>
    <row r="63" spans="1:139" outlineLevel="1" x14ac:dyDescent="0.2">
      <c r="B63" t="s">
        <v>27</v>
      </c>
      <c r="C63" t="s">
        <v>101</v>
      </c>
      <c r="E63" s="9"/>
      <c r="F63" t="s">
        <v>216</v>
      </c>
      <c r="G63" s="10">
        <v>0</v>
      </c>
      <c r="I63" s="9">
        <f>+SUMIF($N$3:$ZT$3,I$3,$N63:$ZT63)</f>
        <v>0</v>
      </c>
      <c r="J63" s="11" cm="1">
        <f t="array" ref="J63">MAX(IF($N$3:$EB$3=$J$3,N63:EB63))</f>
        <v>0</v>
      </c>
      <c r="K63" s="11" cm="1">
        <f t="array" ref="K63">MAX(IF($N$3:$EB$3=$J$3,N63:EB63))</f>
        <v>0</v>
      </c>
      <c r="L63" s="9"/>
      <c r="P63" s="10"/>
      <c r="Q63" s="10">
        <v>0.5</v>
      </c>
      <c r="R63" s="10"/>
      <c r="S63" s="10">
        <v>0.5</v>
      </c>
      <c r="W63" s="10"/>
      <c r="X63" s="10">
        <v>0.5</v>
      </c>
      <c r="Y63" s="10"/>
      <c r="Z63" s="10">
        <v>0.5</v>
      </c>
      <c r="AD63" s="10"/>
      <c r="AE63" s="10">
        <v>0.5</v>
      </c>
      <c r="AF63" s="10"/>
      <c r="AG63" s="10">
        <v>0.5</v>
      </c>
      <c r="AK63" s="10"/>
      <c r="AL63" s="10">
        <v>0.5</v>
      </c>
      <c r="AM63" s="10"/>
      <c r="AN63" s="10">
        <v>0.5</v>
      </c>
      <c r="AR63" s="10"/>
      <c r="AS63" s="10">
        <v>0.8</v>
      </c>
      <c r="AT63" s="10"/>
      <c r="AU63" s="10">
        <v>0.8</v>
      </c>
      <c r="AY63" s="10"/>
      <c r="AZ63" s="10">
        <v>0.8</v>
      </c>
      <c r="BA63" s="10"/>
      <c r="BB63" s="10">
        <v>0.8</v>
      </c>
      <c r="BF63" s="10"/>
      <c r="BG63" s="10">
        <v>0.8</v>
      </c>
      <c r="BH63" s="10"/>
      <c r="BI63" s="10">
        <v>0.8</v>
      </c>
      <c r="BM63" s="10"/>
      <c r="BN63" s="10">
        <v>0.8</v>
      </c>
      <c r="BO63" s="10"/>
      <c r="BP63" s="10">
        <v>0.8</v>
      </c>
      <c r="BT63" s="10"/>
      <c r="BU63" s="10">
        <v>1</v>
      </c>
      <c r="BV63" s="10"/>
      <c r="BW63" s="10">
        <v>1</v>
      </c>
      <c r="CA63" s="10"/>
      <c r="CB63" s="10">
        <v>1</v>
      </c>
      <c r="CC63" s="10"/>
      <c r="CD63" s="10">
        <v>1</v>
      </c>
      <c r="CH63" s="10"/>
      <c r="CI63" s="10">
        <v>1</v>
      </c>
      <c r="CJ63" s="10"/>
      <c r="CK63" s="10">
        <v>1</v>
      </c>
      <c r="CO63" s="10"/>
      <c r="CP63" s="10">
        <v>1</v>
      </c>
      <c r="CQ63" s="10"/>
      <c r="CR63" s="10">
        <v>1</v>
      </c>
      <c r="CV63" s="10"/>
      <c r="CW63" s="10"/>
      <c r="CX63" s="10"/>
      <c r="CY63" s="10"/>
      <c r="DC63" s="10"/>
      <c r="DD63" s="10"/>
      <c r="DE63" s="10"/>
      <c r="DF63" s="10"/>
      <c r="DJ63" s="10"/>
      <c r="DK63" s="10"/>
      <c r="DL63" s="10"/>
      <c r="DM63" s="10"/>
      <c r="DQ63" s="10"/>
      <c r="DR63" s="10"/>
      <c r="DS63" s="10"/>
      <c r="DT63" s="10"/>
      <c r="DX63" s="10"/>
      <c r="DY63" s="10"/>
      <c r="DZ63" s="10"/>
      <c r="EA63" s="10"/>
      <c r="EE63" s="10"/>
      <c r="EF63" s="10"/>
      <c r="EG63" s="10"/>
      <c r="EH63" s="10"/>
    </row>
    <row r="64" spans="1:139" outlineLevel="1" x14ac:dyDescent="0.2">
      <c r="B64" t="s">
        <v>27</v>
      </c>
      <c r="C64" t="s">
        <v>101</v>
      </c>
      <c r="E64" s="9"/>
      <c r="F64" t="s">
        <v>217</v>
      </c>
      <c r="G64" s="10">
        <v>0</v>
      </c>
      <c r="I64" s="9">
        <f>+SUMIF($N$3:$ZT$3,I$3,$N64:$ZT64)</f>
        <v>0</v>
      </c>
      <c r="J64" s="11" cm="1">
        <f t="array" ref="J64">MAX(IF($N$3:$EB$3=$J$3,N64:EB64))</f>
        <v>0</v>
      </c>
      <c r="K64" s="11" cm="1">
        <f t="array" ref="K64">MAX(IF($N$3:$EB$3=$J$3,N64:EB64))</f>
        <v>0</v>
      </c>
      <c r="L64" s="9"/>
      <c r="P64" s="10"/>
      <c r="Q64" s="10">
        <v>0.5</v>
      </c>
      <c r="R64" s="10"/>
      <c r="S64" s="10">
        <v>0.5</v>
      </c>
      <c r="W64" s="10"/>
      <c r="X64" s="10">
        <v>0.5</v>
      </c>
      <c r="Y64" s="10"/>
      <c r="Z64" s="10">
        <v>0.5</v>
      </c>
      <c r="AD64" s="10"/>
      <c r="AE64" s="10">
        <v>0.5</v>
      </c>
      <c r="AF64" s="10"/>
      <c r="AG64" s="10">
        <v>0.5</v>
      </c>
      <c r="AK64" s="10"/>
      <c r="AL64" s="10">
        <v>0.5</v>
      </c>
      <c r="AM64" s="10"/>
      <c r="AN64" s="10">
        <v>0.5</v>
      </c>
      <c r="AR64" s="10"/>
      <c r="AS64" s="10">
        <v>0.8</v>
      </c>
      <c r="AT64" s="10"/>
      <c r="AU64" s="10">
        <v>0.8</v>
      </c>
      <c r="AY64" s="10"/>
      <c r="AZ64" s="10">
        <v>0.8</v>
      </c>
      <c r="BA64" s="10"/>
      <c r="BB64" s="10">
        <v>0.8</v>
      </c>
      <c r="BF64" s="10"/>
      <c r="BG64" s="10">
        <v>0.8</v>
      </c>
      <c r="BH64" s="10"/>
      <c r="BI64" s="10">
        <v>0.8</v>
      </c>
      <c r="BM64" s="10"/>
      <c r="BN64" s="10">
        <v>0.8</v>
      </c>
      <c r="BO64" s="10"/>
      <c r="BP64" s="10">
        <v>0.8</v>
      </c>
      <c r="BT64" s="10"/>
      <c r="BU64" s="10">
        <v>1</v>
      </c>
      <c r="BV64" s="10"/>
      <c r="BW64" s="10">
        <v>1</v>
      </c>
      <c r="CA64" s="10"/>
      <c r="CB64" s="10">
        <v>1</v>
      </c>
      <c r="CC64" s="10"/>
      <c r="CD64" s="10">
        <v>1</v>
      </c>
      <c r="CH64" s="10"/>
      <c r="CI64" s="10">
        <v>1</v>
      </c>
      <c r="CJ64" s="10"/>
      <c r="CK64" s="10">
        <v>1</v>
      </c>
      <c r="CO64" s="10"/>
      <c r="CP64" s="10">
        <v>1</v>
      </c>
      <c r="CQ64" s="10"/>
      <c r="CR64" s="10">
        <v>1</v>
      </c>
      <c r="CV64" s="10"/>
      <c r="CW64" s="10"/>
      <c r="CX64" s="10"/>
      <c r="CY64" s="10"/>
      <c r="DC64" s="10"/>
      <c r="DD64" s="10"/>
      <c r="DE64" s="10"/>
      <c r="DF64" s="10"/>
      <c r="DJ64" s="10"/>
      <c r="DK64" s="10"/>
      <c r="DL64" s="10"/>
      <c r="DM64" s="10"/>
      <c r="DQ64" s="10"/>
      <c r="DR64" s="10"/>
      <c r="DS64" s="10"/>
      <c r="DT64" s="10"/>
      <c r="DX64" s="10"/>
      <c r="DY64" s="10"/>
      <c r="DZ64" s="10"/>
      <c r="EA64" s="10"/>
      <c r="EE64" s="10"/>
      <c r="EF64" s="10"/>
      <c r="EG64" s="10"/>
      <c r="EH64" s="10"/>
    </row>
    <row r="65" spans="1:138" outlineLevel="1" x14ac:dyDescent="0.2">
      <c r="A65" s="22"/>
      <c r="B65" t="s">
        <v>27</v>
      </c>
      <c r="C65" t="s">
        <v>101</v>
      </c>
      <c r="E65" s="9"/>
      <c r="F65" t="s">
        <v>218</v>
      </c>
      <c r="G65" s="10">
        <v>0</v>
      </c>
      <c r="I65" s="9">
        <v>0</v>
      </c>
      <c r="J65" s="11" cm="1">
        <f t="array" ref="J65">MAX(IF($N$3:$EB$3=$J$3,N65:EB65))</f>
        <v>0</v>
      </c>
      <c r="K65" s="11" cm="1">
        <f t="array" ref="K65">MAX(IF($N$3:$EB$3=$J$3,N65:EB65))</f>
        <v>0</v>
      </c>
      <c r="L65" s="9"/>
      <c r="P65" s="10"/>
      <c r="Q65" s="10"/>
      <c r="R65" s="10"/>
      <c r="S65" s="10"/>
      <c r="W65" s="10"/>
      <c r="X65" s="10">
        <v>0.5</v>
      </c>
      <c r="Y65" s="10"/>
      <c r="Z65" s="10">
        <v>0.5</v>
      </c>
      <c r="AD65" s="10"/>
      <c r="AE65" s="10">
        <v>0.5</v>
      </c>
      <c r="AF65" s="10"/>
      <c r="AG65" s="10">
        <v>0.5</v>
      </c>
      <c r="AK65" s="10"/>
      <c r="AL65" s="10">
        <v>0.5</v>
      </c>
      <c r="AM65" s="10"/>
      <c r="AN65" s="10">
        <v>0.5</v>
      </c>
      <c r="AR65" s="10"/>
      <c r="AS65" s="10">
        <v>0.5</v>
      </c>
      <c r="AT65" s="10"/>
      <c r="AU65" s="10">
        <v>0.5</v>
      </c>
      <c r="AY65" s="10"/>
      <c r="AZ65" s="10">
        <v>0.8</v>
      </c>
      <c r="BA65" s="10"/>
      <c r="BB65" s="10">
        <v>0.8</v>
      </c>
      <c r="BF65" s="10"/>
      <c r="BG65" s="10">
        <v>0.8</v>
      </c>
      <c r="BH65" s="10"/>
      <c r="BI65" s="10">
        <v>0.8</v>
      </c>
      <c r="BM65" s="10"/>
      <c r="BN65" s="10">
        <v>0.8</v>
      </c>
      <c r="BO65" s="10"/>
      <c r="BP65" s="10">
        <v>0.8</v>
      </c>
      <c r="BT65" s="10"/>
      <c r="BU65" s="10">
        <v>0.8</v>
      </c>
      <c r="BV65" s="10"/>
      <c r="BW65" s="10">
        <v>0.8</v>
      </c>
      <c r="CA65" s="10"/>
      <c r="CB65" s="10">
        <v>1</v>
      </c>
      <c r="CC65" s="10"/>
      <c r="CD65" s="10">
        <v>1</v>
      </c>
      <c r="CH65" s="10"/>
      <c r="CI65" s="10">
        <v>1</v>
      </c>
      <c r="CJ65" s="10"/>
      <c r="CK65" s="10">
        <v>1</v>
      </c>
      <c r="CO65" s="10"/>
      <c r="CP65" s="10">
        <v>1</v>
      </c>
      <c r="CQ65" s="10"/>
      <c r="CR65" s="10">
        <v>1</v>
      </c>
      <c r="CV65" s="10"/>
      <c r="CW65" s="10"/>
      <c r="CX65" s="10"/>
      <c r="CY65" s="10"/>
      <c r="DC65" s="10"/>
      <c r="DD65" s="10"/>
      <c r="DE65" s="10"/>
      <c r="DF65" s="10"/>
      <c r="DJ65" s="10"/>
      <c r="DK65" s="10"/>
      <c r="DL65" s="10"/>
      <c r="DM65" s="10"/>
      <c r="DQ65" s="10"/>
      <c r="DR65" s="10"/>
      <c r="DS65" s="10"/>
      <c r="DT65" s="10"/>
      <c r="DX65" s="10"/>
      <c r="DY65" s="10"/>
      <c r="DZ65" s="10"/>
      <c r="EA65" s="10"/>
      <c r="EE65" s="10"/>
      <c r="EF65" s="10"/>
      <c r="EG65" s="10"/>
      <c r="EH65" s="10"/>
    </row>
    <row r="66" spans="1:138" outlineLevel="1" x14ac:dyDescent="0.2">
      <c r="B66" t="s">
        <v>27</v>
      </c>
      <c r="C66" t="s">
        <v>101</v>
      </c>
      <c r="E66" s="9"/>
      <c r="F66" t="s">
        <v>97</v>
      </c>
      <c r="G66" s="10">
        <v>0</v>
      </c>
      <c r="I66" s="9">
        <f>+SUMIF($N$3:$ZT$3,I$3,$N66:$ZT66)</f>
        <v>0</v>
      </c>
      <c r="J66" s="11" cm="1">
        <f t="array" ref="J66">MAX(IF($N$3:$EB$3=$J$3,N66:EB66))</f>
        <v>0</v>
      </c>
      <c r="K66" s="11" cm="1">
        <f t="array" ref="K66">MAX(IF($N$3:$EB$3=$J$3,N66:EB66))</f>
        <v>0</v>
      </c>
      <c r="L66" s="9"/>
      <c r="P66" s="10"/>
      <c r="Q66" s="10"/>
      <c r="R66" s="10"/>
      <c r="S66" s="10"/>
      <c r="W66" s="10"/>
      <c r="X66" s="10">
        <v>0.5</v>
      </c>
      <c r="Y66" s="10"/>
      <c r="Z66" s="10">
        <v>0.5</v>
      </c>
      <c r="AD66" s="10"/>
      <c r="AE66" s="10">
        <v>0.5</v>
      </c>
      <c r="AF66" s="10"/>
      <c r="AG66" s="10">
        <v>0.5</v>
      </c>
      <c r="AK66" s="10"/>
      <c r="AL66" s="10">
        <v>0.5</v>
      </c>
      <c r="AM66" s="10"/>
      <c r="AN66" s="10">
        <v>0.5</v>
      </c>
      <c r="AR66" s="10"/>
      <c r="AS66" s="10">
        <v>0.5</v>
      </c>
      <c r="AT66" s="10"/>
      <c r="AU66" s="10">
        <v>0.5</v>
      </c>
      <c r="AY66" s="10"/>
      <c r="AZ66" s="10">
        <v>0.8</v>
      </c>
      <c r="BA66" s="10"/>
      <c r="BB66" s="10">
        <v>0.8</v>
      </c>
      <c r="BF66" s="10"/>
      <c r="BG66" s="10">
        <v>0.8</v>
      </c>
      <c r="BH66" s="10"/>
      <c r="BI66" s="10">
        <v>0.8</v>
      </c>
      <c r="BM66" s="10"/>
      <c r="BN66" s="10">
        <v>0.8</v>
      </c>
      <c r="BO66" s="10"/>
      <c r="BP66" s="10">
        <v>0.8</v>
      </c>
      <c r="BT66" s="10"/>
      <c r="BU66" s="10">
        <v>0.8</v>
      </c>
      <c r="BV66" s="10"/>
      <c r="BW66" s="10">
        <v>0.8</v>
      </c>
      <c r="CA66" s="10"/>
      <c r="CB66" s="10">
        <v>1</v>
      </c>
      <c r="CC66" s="10"/>
      <c r="CD66" s="10">
        <v>1</v>
      </c>
      <c r="CH66" s="10"/>
      <c r="CI66" s="10">
        <v>1</v>
      </c>
      <c r="CJ66" s="10"/>
      <c r="CK66" s="10">
        <v>1</v>
      </c>
      <c r="CO66" s="10"/>
      <c r="CP66" s="10">
        <v>1</v>
      </c>
      <c r="CQ66" s="10"/>
      <c r="CR66" s="10">
        <v>1</v>
      </c>
      <c r="CV66" s="10"/>
      <c r="CW66" s="10"/>
      <c r="CX66" s="10"/>
      <c r="CY66" s="10"/>
      <c r="DC66" s="10"/>
      <c r="DD66" s="10"/>
      <c r="DE66" s="10"/>
      <c r="DF66" s="10"/>
      <c r="DJ66" s="10"/>
      <c r="DK66" s="10"/>
      <c r="DL66" s="10"/>
      <c r="DM66" s="10"/>
      <c r="DQ66" s="10"/>
      <c r="DR66" s="10"/>
      <c r="DS66" s="10"/>
      <c r="DT66" s="10"/>
      <c r="DX66" s="10"/>
      <c r="DY66" s="10"/>
      <c r="DZ66" s="10"/>
      <c r="EA66" s="10"/>
      <c r="EE66" s="10"/>
      <c r="EF66" s="10"/>
      <c r="EG66" s="10"/>
      <c r="EH66" s="10"/>
    </row>
    <row r="67" spans="1:138" outlineLevel="1" x14ac:dyDescent="0.2">
      <c r="B67" t="s">
        <v>27</v>
      </c>
      <c r="C67" t="s">
        <v>101</v>
      </c>
      <c r="E67" s="9"/>
      <c r="F67" t="s">
        <v>219</v>
      </c>
      <c r="G67" s="10">
        <v>0</v>
      </c>
      <c r="I67" s="9">
        <f>+SUMIF($N$3:$ZT$3,I$3,$N67:$ZT67)</f>
        <v>0</v>
      </c>
      <c r="J67" s="11" cm="1">
        <f t="array" ref="J67">MAX(IF($N$3:$EB$3=$J$3,N67:EB67))</f>
        <v>0</v>
      </c>
      <c r="K67" s="11" cm="1">
        <f t="array" ref="K67">MAX(IF($N$3:$EB$3=$J$3,N67:EB67))</f>
        <v>0</v>
      </c>
      <c r="L67" s="9"/>
      <c r="P67" s="10"/>
      <c r="Q67" s="10"/>
      <c r="R67" s="10"/>
      <c r="S67" s="10"/>
      <c r="W67" s="10"/>
      <c r="X67" s="10">
        <v>0.5</v>
      </c>
      <c r="Y67" s="10"/>
      <c r="Z67" s="10">
        <v>0.5</v>
      </c>
      <c r="AD67" s="10"/>
      <c r="AE67" s="10">
        <v>0.5</v>
      </c>
      <c r="AF67" s="10"/>
      <c r="AG67" s="10">
        <v>0.5</v>
      </c>
      <c r="AK67" s="10"/>
      <c r="AL67" s="10">
        <v>0.5</v>
      </c>
      <c r="AM67" s="10"/>
      <c r="AN67" s="10">
        <v>0.5</v>
      </c>
      <c r="AR67" s="10"/>
      <c r="AS67" s="10">
        <v>0.5</v>
      </c>
      <c r="AT67" s="10"/>
      <c r="AU67" s="10">
        <v>0.5</v>
      </c>
      <c r="AY67" s="10"/>
      <c r="AZ67" s="10">
        <v>0.8</v>
      </c>
      <c r="BA67" s="10"/>
      <c r="BB67" s="10">
        <v>0.8</v>
      </c>
      <c r="BF67" s="10"/>
      <c r="BG67" s="10">
        <v>0.8</v>
      </c>
      <c r="BH67" s="10"/>
      <c r="BI67" s="10">
        <v>0.8</v>
      </c>
      <c r="BM67" s="10"/>
      <c r="BN67" s="10">
        <v>0.8</v>
      </c>
      <c r="BO67" s="10"/>
      <c r="BP67" s="10">
        <v>0.8</v>
      </c>
      <c r="BT67" s="10"/>
      <c r="BU67" s="10">
        <v>0.8</v>
      </c>
      <c r="BV67" s="10"/>
      <c r="BW67" s="10">
        <v>0.8</v>
      </c>
      <c r="CA67" s="10"/>
      <c r="CB67" s="10">
        <v>1</v>
      </c>
      <c r="CC67" s="10"/>
      <c r="CD67" s="10">
        <v>1</v>
      </c>
      <c r="CH67" s="10"/>
      <c r="CI67" s="10">
        <v>1</v>
      </c>
      <c r="CJ67" s="10"/>
      <c r="CK67" s="10">
        <v>1</v>
      </c>
      <c r="CO67" s="10"/>
      <c r="CP67" s="10">
        <v>1</v>
      </c>
      <c r="CQ67" s="10"/>
      <c r="CR67" s="10">
        <v>1</v>
      </c>
      <c r="CV67" s="10"/>
      <c r="CW67" s="10"/>
      <c r="CX67" s="10"/>
      <c r="CY67" s="10"/>
      <c r="DC67" s="10"/>
      <c r="DD67" s="10"/>
      <c r="DE67" s="10"/>
      <c r="DF67" s="10"/>
      <c r="DJ67" s="10"/>
      <c r="DK67" s="10"/>
      <c r="DL67" s="10"/>
      <c r="DM67" s="10"/>
      <c r="DQ67" s="10"/>
      <c r="DR67" s="10"/>
      <c r="DS67" s="10"/>
      <c r="DT67" s="10"/>
      <c r="DX67" s="10"/>
      <c r="DY67" s="10"/>
      <c r="DZ67" s="10"/>
      <c r="EA67" s="10"/>
      <c r="EE67" s="10"/>
      <c r="EF67" s="10"/>
      <c r="EG67" s="10"/>
      <c r="EH67" s="10"/>
    </row>
    <row r="68" spans="1:138" outlineLevel="1" x14ac:dyDescent="0.2">
      <c r="B68" t="s">
        <v>27</v>
      </c>
      <c r="C68" t="s">
        <v>101</v>
      </c>
      <c r="E68" s="9"/>
      <c r="F68" t="s">
        <v>220</v>
      </c>
      <c r="G68" s="10">
        <v>0</v>
      </c>
      <c r="I68" s="9">
        <f>+SUMIF($N$3:$ZT$3,I$3,$N68:$ZT68)</f>
        <v>0</v>
      </c>
      <c r="J68" s="11" cm="1">
        <f t="array" ref="J68">MAX(IF($N$3:$EB$3=$J$3,N68:EB68))</f>
        <v>0</v>
      </c>
      <c r="K68" s="11" cm="1">
        <f t="array" ref="K68">MAX(IF($N$3:$EB$3=$J$3,N68:EB68))</f>
        <v>0</v>
      </c>
      <c r="L68" s="9"/>
      <c r="P68" s="10"/>
      <c r="Q68" s="10"/>
      <c r="R68" s="10"/>
      <c r="S68" s="10"/>
      <c r="W68" s="10"/>
      <c r="X68" s="10">
        <v>0.5</v>
      </c>
      <c r="Y68" s="10"/>
      <c r="Z68" s="10">
        <v>0.5</v>
      </c>
      <c r="AD68" s="10"/>
      <c r="AE68" s="10">
        <v>0.5</v>
      </c>
      <c r="AF68" s="10"/>
      <c r="AG68" s="10">
        <v>0.5</v>
      </c>
      <c r="AK68" s="10"/>
      <c r="AL68" s="10">
        <v>0.5</v>
      </c>
      <c r="AM68" s="10"/>
      <c r="AN68" s="10">
        <v>0.5</v>
      </c>
      <c r="AR68" s="10"/>
      <c r="AS68" s="10">
        <v>0.5</v>
      </c>
      <c r="AT68" s="10"/>
      <c r="AU68" s="10">
        <v>0.5</v>
      </c>
      <c r="AY68" s="10"/>
      <c r="AZ68" s="10">
        <v>0.8</v>
      </c>
      <c r="BA68" s="10"/>
      <c r="BB68" s="10">
        <v>0.8</v>
      </c>
      <c r="BF68" s="10"/>
      <c r="BG68" s="10">
        <v>0.8</v>
      </c>
      <c r="BH68" s="10"/>
      <c r="BI68" s="10">
        <v>0.8</v>
      </c>
      <c r="BM68" s="10"/>
      <c r="BN68" s="10">
        <v>0.8</v>
      </c>
      <c r="BO68" s="10"/>
      <c r="BP68" s="10">
        <v>0.8</v>
      </c>
      <c r="BT68" s="10"/>
      <c r="BU68" s="10">
        <v>0.8</v>
      </c>
      <c r="BV68" s="10"/>
      <c r="BW68" s="10">
        <v>0.8</v>
      </c>
      <c r="CA68" s="10"/>
      <c r="CB68" s="10">
        <v>1</v>
      </c>
      <c r="CC68" s="10"/>
      <c r="CD68" s="10">
        <v>1</v>
      </c>
      <c r="CH68" s="10"/>
      <c r="CI68" s="10">
        <v>1</v>
      </c>
      <c r="CJ68" s="10"/>
      <c r="CK68" s="10">
        <v>1</v>
      </c>
      <c r="CO68" s="10"/>
      <c r="CP68" s="10">
        <v>1</v>
      </c>
      <c r="CQ68" s="10"/>
      <c r="CR68" s="10">
        <v>1</v>
      </c>
      <c r="CV68" s="10"/>
      <c r="CW68" s="10"/>
      <c r="CX68" s="10"/>
      <c r="CY68" s="10"/>
      <c r="DC68" s="10"/>
      <c r="DD68" s="10"/>
      <c r="DE68" s="10"/>
      <c r="DF68" s="10"/>
      <c r="DJ68" s="10"/>
      <c r="DK68" s="10"/>
      <c r="DL68" s="10"/>
      <c r="DM68" s="10"/>
      <c r="DQ68" s="10"/>
      <c r="DR68" s="10"/>
      <c r="DS68" s="10"/>
      <c r="DT68" s="10"/>
      <c r="DX68" s="10"/>
      <c r="DY68" s="10"/>
      <c r="DZ68" s="10"/>
      <c r="EA68" s="10"/>
      <c r="EE68" s="10"/>
      <c r="EF68" s="10"/>
      <c r="EG68" s="10"/>
      <c r="EH68" s="10"/>
    </row>
    <row r="69" spans="1:138" outlineLevel="1" x14ac:dyDescent="0.2">
      <c r="B69" t="s">
        <v>27</v>
      </c>
      <c r="C69" t="s">
        <v>101</v>
      </c>
      <c r="E69" s="9"/>
      <c r="F69" t="s">
        <v>98</v>
      </c>
      <c r="G69" s="10">
        <v>0</v>
      </c>
      <c r="I69" s="9">
        <f>+SUMIF($N$3:$ZT$3,I$3,$N69:$ZT69)</f>
        <v>0</v>
      </c>
      <c r="J69" s="11" cm="1">
        <f t="array" ref="J69">MAX(IF($N$3:$EB$3=$J$3,N69:EB69))</f>
        <v>0</v>
      </c>
      <c r="K69" s="11" cm="1">
        <f t="array" ref="K69">MAX(IF($N$3:$EB$3=$J$3,N69:EB69))</f>
        <v>0</v>
      </c>
      <c r="L69" s="9"/>
      <c r="P69" s="10"/>
      <c r="Q69" s="10"/>
      <c r="R69" s="10"/>
      <c r="S69" s="10"/>
      <c r="W69" s="10"/>
      <c r="X69" s="10">
        <v>0.5</v>
      </c>
      <c r="Y69" s="10"/>
      <c r="Z69" s="10">
        <v>0.5</v>
      </c>
      <c r="AD69" s="10"/>
      <c r="AE69" s="10">
        <v>0.5</v>
      </c>
      <c r="AF69" s="10"/>
      <c r="AG69" s="10">
        <v>0.5</v>
      </c>
      <c r="AK69" s="10"/>
      <c r="AL69" s="10">
        <v>0.5</v>
      </c>
      <c r="AM69" s="10"/>
      <c r="AN69" s="10">
        <v>0.5</v>
      </c>
      <c r="AR69" s="10"/>
      <c r="AS69" s="10">
        <v>0.5</v>
      </c>
      <c r="AT69" s="10"/>
      <c r="AU69" s="10">
        <v>0.5</v>
      </c>
      <c r="AY69" s="10"/>
      <c r="AZ69" s="10">
        <v>0.8</v>
      </c>
      <c r="BA69" s="10"/>
      <c r="BB69" s="10">
        <v>0.8</v>
      </c>
      <c r="BF69" s="10"/>
      <c r="BG69" s="10">
        <v>0.8</v>
      </c>
      <c r="BH69" s="10"/>
      <c r="BI69" s="10">
        <v>0.8</v>
      </c>
      <c r="BM69" s="10"/>
      <c r="BN69" s="10">
        <v>0.8</v>
      </c>
      <c r="BO69" s="10"/>
      <c r="BP69" s="10">
        <v>0.8</v>
      </c>
      <c r="BT69" s="10"/>
      <c r="BU69" s="10">
        <v>0.8</v>
      </c>
      <c r="BV69" s="10"/>
      <c r="BW69" s="10">
        <v>0.8</v>
      </c>
      <c r="CA69" s="10"/>
      <c r="CB69" s="10">
        <v>1</v>
      </c>
      <c r="CC69" s="10"/>
      <c r="CD69" s="10">
        <v>1</v>
      </c>
      <c r="CH69" s="10"/>
      <c r="CI69" s="10">
        <v>1</v>
      </c>
      <c r="CJ69" s="10"/>
      <c r="CK69" s="10">
        <v>1</v>
      </c>
      <c r="CO69" s="10"/>
      <c r="CP69" s="10">
        <v>1</v>
      </c>
      <c r="CQ69" s="10"/>
      <c r="CR69" s="10">
        <v>1</v>
      </c>
      <c r="CV69" s="10"/>
      <c r="CW69" s="10"/>
      <c r="CX69" s="10"/>
      <c r="CY69" s="10"/>
      <c r="DC69" s="10"/>
      <c r="DD69" s="10"/>
      <c r="DE69" s="10"/>
      <c r="DF69" s="10"/>
      <c r="DJ69" s="10"/>
      <c r="DK69" s="10"/>
      <c r="DL69" s="10"/>
      <c r="DM69" s="10"/>
      <c r="DQ69" s="10"/>
      <c r="DR69" s="10"/>
      <c r="DS69" s="10"/>
      <c r="DT69" s="10"/>
      <c r="DX69" s="10"/>
      <c r="DY69" s="10"/>
      <c r="DZ69" s="10"/>
      <c r="EA69" s="10"/>
      <c r="EE69" s="10"/>
      <c r="EF69" s="10"/>
      <c r="EG69" s="10"/>
      <c r="EH69" s="10"/>
    </row>
    <row r="70" spans="1:138" outlineLevel="1" x14ac:dyDescent="0.2">
      <c r="B70" t="s">
        <v>27</v>
      </c>
      <c r="C70" t="s">
        <v>101</v>
      </c>
      <c r="E70" s="9"/>
      <c r="F70" t="s">
        <v>221</v>
      </c>
      <c r="G70" s="10">
        <v>0</v>
      </c>
      <c r="I70" s="9">
        <f>+SUMIF($N$3:$ZT$3,I$3,$N70:$ZT70)</f>
        <v>0</v>
      </c>
      <c r="J70" s="11" cm="1">
        <f t="array" ref="J70">MAX(IF($N$3:$EB$3=$J$3,N70:EB70))</f>
        <v>0</v>
      </c>
      <c r="K70" s="11" cm="1">
        <f t="array" ref="K70">MAX(IF($N$3:$EB$3=$J$3,N70:EB70))</f>
        <v>0</v>
      </c>
      <c r="L70" s="9"/>
      <c r="P70" s="10"/>
      <c r="Q70" s="10"/>
      <c r="R70" s="10"/>
      <c r="S70" s="10"/>
      <c r="W70" s="10"/>
      <c r="X70" s="10"/>
      <c r="Y70" s="10"/>
      <c r="Z70" s="10"/>
      <c r="AD70" s="10"/>
      <c r="AE70" s="10">
        <v>0.5</v>
      </c>
      <c r="AF70" s="10"/>
      <c r="AG70" s="10">
        <v>0.5</v>
      </c>
      <c r="AK70" s="10"/>
      <c r="AL70" s="10">
        <v>0.5</v>
      </c>
      <c r="AM70" s="10"/>
      <c r="AN70" s="10">
        <v>0.5</v>
      </c>
      <c r="AR70" s="10"/>
      <c r="AS70" s="10">
        <v>0.5</v>
      </c>
      <c r="AT70" s="10"/>
      <c r="AU70" s="10">
        <v>0.5</v>
      </c>
      <c r="AY70" s="10"/>
      <c r="AZ70" s="10">
        <v>0.5</v>
      </c>
      <c r="BA70" s="10"/>
      <c r="BB70" s="10">
        <v>0.5</v>
      </c>
      <c r="BF70" s="10"/>
      <c r="BG70" s="10">
        <v>0.8</v>
      </c>
      <c r="BH70" s="10"/>
      <c r="BI70" s="10">
        <v>0.8</v>
      </c>
      <c r="BM70" s="10"/>
      <c r="BN70" s="10">
        <v>0.8</v>
      </c>
      <c r="BO70" s="10"/>
      <c r="BP70" s="10">
        <v>0.8</v>
      </c>
      <c r="BT70" s="10"/>
      <c r="BU70" s="10">
        <v>0.8</v>
      </c>
      <c r="BV70" s="10"/>
      <c r="BW70" s="10">
        <v>0.8</v>
      </c>
      <c r="CA70" s="10"/>
      <c r="CB70" s="10">
        <v>0.8</v>
      </c>
      <c r="CC70" s="10"/>
      <c r="CD70" s="10">
        <v>0.8</v>
      </c>
      <c r="CH70" s="10"/>
      <c r="CI70" s="10">
        <v>1</v>
      </c>
      <c r="CJ70" s="10"/>
      <c r="CK70" s="10">
        <v>1</v>
      </c>
      <c r="CO70" s="10"/>
      <c r="CP70" s="10">
        <v>1</v>
      </c>
      <c r="CQ70" s="10"/>
      <c r="CR70" s="10">
        <v>1</v>
      </c>
      <c r="CV70" s="10"/>
      <c r="CW70" s="10"/>
      <c r="CX70" s="10"/>
      <c r="CY70" s="10"/>
      <c r="DC70" s="10"/>
      <c r="DD70" s="10"/>
      <c r="DE70" s="10"/>
      <c r="DF70" s="10"/>
      <c r="DJ70" s="10"/>
      <c r="DK70" s="10"/>
      <c r="DL70" s="10"/>
      <c r="DM70" s="10"/>
      <c r="DQ70" s="10"/>
      <c r="DR70" s="10"/>
      <c r="DS70" s="10"/>
      <c r="DT70" s="10"/>
      <c r="DX70" s="10"/>
      <c r="DY70" s="10"/>
      <c r="DZ70" s="10"/>
      <c r="EA70" s="10"/>
      <c r="EE70" s="10"/>
      <c r="EF70" s="10"/>
      <c r="EG70" s="10"/>
      <c r="EH70" s="10"/>
    </row>
    <row r="71" spans="1:138" outlineLevel="1" x14ac:dyDescent="0.2">
      <c r="A71" s="22"/>
      <c r="B71" t="s">
        <v>27</v>
      </c>
      <c r="C71" t="s">
        <v>101</v>
      </c>
      <c r="E71" s="9"/>
      <c r="F71" t="s">
        <v>222</v>
      </c>
      <c r="G71" s="10">
        <v>0</v>
      </c>
      <c r="I71" s="9">
        <v>0</v>
      </c>
      <c r="J71" s="11" cm="1">
        <f t="array" ref="J71">MAX(IF($N$3:$EB$3=$J$3,N71:EB71))</f>
        <v>0</v>
      </c>
      <c r="K71" s="11" cm="1">
        <f t="array" ref="K71">MAX(IF($N$3:$EB$3=$J$3,N71:EB71))</f>
        <v>0</v>
      </c>
      <c r="L71" s="9"/>
      <c r="P71" s="10"/>
      <c r="Q71" s="10"/>
      <c r="R71" s="10"/>
      <c r="S71" s="10"/>
      <c r="W71" s="10"/>
      <c r="X71" s="10"/>
      <c r="Y71" s="10"/>
      <c r="Z71" s="10"/>
      <c r="AD71" s="10"/>
      <c r="AE71" s="10">
        <v>0.5</v>
      </c>
      <c r="AF71" s="10"/>
      <c r="AG71" s="10">
        <v>0.5</v>
      </c>
      <c r="AK71" s="10"/>
      <c r="AL71" s="10">
        <v>0.5</v>
      </c>
      <c r="AM71" s="10"/>
      <c r="AN71" s="10">
        <v>0.5</v>
      </c>
      <c r="AR71" s="10"/>
      <c r="AS71" s="10">
        <v>0.5</v>
      </c>
      <c r="AT71" s="10"/>
      <c r="AU71" s="10">
        <v>0.5</v>
      </c>
      <c r="AY71" s="10"/>
      <c r="AZ71" s="10">
        <v>0.5</v>
      </c>
      <c r="BA71" s="10"/>
      <c r="BB71" s="10">
        <v>0.5</v>
      </c>
      <c r="BF71" s="10"/>
      <c r="BG71" s="10">
        <v>0.8</v>
      </c>
      <c r="BH71" s="10"/>
      <c r="BI71" s="10">
        <v>0.8</v>
      </c>
      <c r="BM71" s="10"/>
      <c r="BN71" s="10">
        <v>0.8</v>
      </c>
      <c r="BO71" s="10"/>
      <c r="BP71" s="10">
        <v>0.8</v>
      </c>
      <c r="BT71" s="10"/>
      <c r="BU71" s="10">
        <v>0.8</v>
      </c>
      <c r="BV71" s="10"/>
      <c r="BW71" s="10">
        <v>0.8</v>
      </c>
      <c r="CA71" s="10"/>
      <c r="CB71" s="10">
        <v>0.8</v>
      </c>
      <c r="CC71" s="10"/>
      <c r="CD71" s="10">
        <v>0.8</v>
      </c>
      <c r="CH71" s="10"/>
      <c r="CI71" s="10">
        <v>1</v>
      </c>
      <c r="CJ71" s="10"/>
      <c r="CK71" s="10">
        <v>1</v>
      </c>
      <c r="CO71" s="10"/>
      <c r="CP71" s="10">
        <v>1</v>
      </c>
      <c r="CQ71" s="10"/>
      <c r="CR71" s="10">
        <v>1</v>
      </c>
      <c r="CV71" s="10"/>
      <c r="CW71" s="10"/>
      <c r="CX71" s="10"/>
      <c r="CY71" s="10"/>
      <c r="DC71" s="10"/>
      <c r="DD71" s="10"/>
      <c r="DE71" s="10"/>
      <c r="DF71" s="10"/>
      <c r="DJ71" s="10"/>
      <c r="DK71" s="10"/>
      <c r="DL71" s="10"/>
      <c r="DM71" s="10"/>
      <c r="DQ71" s="10"/>
      <c r="DR71" s="10"/>
      <c r="DS71" s="10"/>
      <c r="DT71" s="10"/>
      <c r="DX71" s="10"/>
      <c r="DY71" s="10"/>
      <c r="DZ71" s="10"/>
      <c r="EA71" s="10"/>
      <c r="EE71" s="10"/>
      <c r="EF71" s="10"/>
      <c r="EG71" s="10"/>
      <c r="EH71" s="10"/>
    </row>
    <row r="72" spans="1:138" outlineLevel="1" x14ac:dyDescent="0.2">
      <c r="A72" s="22"/>
      <c r="B72" t="s">
        <v>27</v>
      </c>
      <c r="C72" t="s">
        <v>101</v>
      </c>
      <c r="E72" s="9"/>
      <c r="F72" t="s">
        <v>223</v>
      </c>
      <c r="G72" s="10">
        <v>0</v>
      </c>
      <c r="I72" s="9">
        <f>+SUMIF($N$3:$ZT$3,I$3,$N72:$ZT72)</f>
        <v>0</v>
      </c>
      <c r="J72" s="11" cm="1">
        <f t="array" ref="J72">MAX(IF($N$3:$EB$3=$J$3,N72:EB72))</f>
        <v>0</v>
      </c>
      <c r="K72" s="11" cm="1">
        <f t="array" ref="K72">MAX(IF($N$3:$EB$3=$J$3,N72:EB72))</f>
        <v>0</v>
      </c>
      <c r="L72" s="9"/>
      <c r="P72" s="10"/>
      <c r="Q72" s="10"/>
      <c r="R72" s="10"/>
      <c r="S72" s="10"/>
      <c r="W72" s="10"/>
      <c r="X72" s="10"/>
      <c r="Y72" s="10"/>
      <c r="Z72" s="10"/>
      <c r="AD72" s="10"/>
      <c r="AE72" s="10">
        <v>0.5</v>
      </c>
      <c r="AF72" s="10"/>
      <c r="AG72" s="10">
        <v>0.5</v>
      </c>
      <c r="AK72" s="10"/>
      <c r="AL72" s="10">
        <v>0.5</v>
      </c>
      <c r="AM72" s="10"/>
      <c r="AN72" s="10">
        <v>0.5</v>
      </c>
      <c r="AR72" s="10"/>
      <c r="AS72" s="10">
        <v>0.5</v>
      </c>
      <c r="AT72" s="10"/>
      <c r="AU72" s="10">
        <v>0.5</v>
      </c>
      <c r="AY72" s="10"/>
      <c r="AZ72" s="10">
        <v>0.5</v>
      </c>
      <c r="BA72" s="10"/>
      <c r="BB72" s="10">
        <v>0.5</v>
      </c>
      <c r="BF72" s="10"/>
      <c r="BG72" s="10">
        <v>0.8</v>
      </c>
      <c r="BH72" s="10"/>
      <c r="BI72" s="10">
        <v>0.8</v>
      </c>
      <c r="BM72" s="10"/>
      <c r="BN72" s="10">
        <v>0.8</v>
      </c>
      <c r="BO72" s="10"/>
      <c r="BP72" s="10">
        <v>0.8</v>
      </c>
      <c r="BT72" s="10"/>
      <c r="BU72" s="10">
        <v>0.8</v>
      </c>
      <c r="BV72" s="10"/>
      <c r="BW72" s="10">
        <v>0.8</v>
      </c>
      <c r="CA72" s="10"/>
      <c r="CB72" s="10">
        <v>0.8</v>
      </c>
      <c r="CC72" s="10"/>
      <c r="CD72" s="10">
        <v>0.8</v>
      </c>
      <c r="CH72" s="10"/>
      <c r="CI72" s="10">
        <v>1</v>
      </c>
      <c r="CJ72" s="10"/>
      <c r="CK72" s="10">
        <v>1</v>
      </c>
      <c r="CO72" s="10"/>
      <c r="CP72" s="10">
        <v>1</v>
      </c>
      <c r="CQ72" s="10"/>
      <c r="CR72" s="10">
        <v>1</v>
      </c>
      <c r="CV72" s="10"/>
      <c r="CW72" s="10"/>
      <c r="CX72" s="10"/>
      <c r="CY72" s="10"/>
      <c r="DC72" s="10"/>
      <c r="DD72" s="10"/>
      <c r="DE72" s="10"/>
      <c r="DF72" s="10"/>
      <c r="DJ72" s="10"/>
      <c r="DK72" s="10"/>
      <c r="DL72" s="10"/>
      <c r="DM72" s="10"/>
      <c r="DQ72" s="10"/>
      <c r="DR72" s="10"/>
      <c r="DS72" s="10"/>
      <c r="DT72" s="10"/>
      <c r="DX72" s="10"/>
      <c r="DY72" s="10"/>
      <c r="DZ72" s="10"/>
      <c r="EA72" s="10"/>
      <c r="EE72" s="10"/>
      <c r="EF72" s="10"/>
      <c r="EG72" s="10"/>
      <c r="EH72" s="10"/>
    </row>
    <row r="73" spans="1:138" outlineLevel="1" x14ac:dyDescent="0.2">
      <c r="B73" t="s">
        <v>27</v>
      </c>
      <c r="C73" t="s">
        <v>101</v>
      </c>
      <c r="E73" s="9"/>
      <c r="F73" t="s">
        <v>224</v>
      </c>
      <c r="G73" s="10">
        <v>0</v>
      </c>
      <c r="I73" s="9">
        <f>+SUMIF($N$3:$ZT$3,I$3,$N73:$ZT73)</f>
        <v>0</v>
      </c>
      <c r="J73" s="11" cm="1">
        <f t="array" ref="J73">MAX(IF($N$3:$EB$3=$J$3,N73:EB73))</f>
        <v>0</v>
      </c>
      <c r="K73" s="11" cm="1">
        <f t="array" ref="K73">MAX(IF($N$3:$EB$3=$J$3,N73:EB73))</f>
        <v>0</v>
      </c>
      <c r="L73" s="9"/>
      <c r="P73" s="10"/>
      <c r="Q73" s="10"/>
      <c r="R73" s="10"/>
      <c r="S73" s="10"/>
      <c r="W73" s="10"/>
      <c r="X73" s="10"/>
      <c r="Y73" s="10"/>
      <c r="Z73" s="10"/>
      <c r="AD73" s="10"/>
      <c r="AE73" s="10">
        <v>0.5</v>
      </c>
      <c r="AF73" s="10"/>
      <c r="AG73" s="10">
        <v>0.5</v>
      </c>
      <c r="AK73" s="10"/>
      <c r="AL73" s="10">
        <v>0.5</v>
      </c>
      <c r="AM73" s="10"/>
      <c r="AN73" s="10">
        <v>0.5</v>
      </c>
      <c r="AR73" s="10"/>
      <c r="AS73" s="10">
        <v>0.5</v>
      </c>
      <c r="AT73" s="10"/>
      <c r="AU73" s="10">
        <v>0.5</v>
      </c>
      <c r="AY73" s="10"/>
      <c r="AZ73" s="10">
        <v>0.5</v>
      </c>
      <c r="BA73" s="10"/>
      <c r="BB73" s="10">
        <v>0.5</v>
      </c>
      <c r="BF73" s="10"/>
      <c r="BG73" s="10">
        <v>0.8</v>
      </c>
      <c r="BH73" s="10"/>
      <c r="BI73" s="10">
        <v>0.8</v>
      </c>
      <c r="BM73" s="10"/>
      <c r="BN73" s="10">
        <v>0.8</v>
      </c>
      <c r="BO73" s="10"/>
      <c r="BP73" s="10">
        <v>0.8</v>
      </c>
      <c r="BT73" s="10"/>
      <c r="BU73" s="10">
        <v>0.8</v>
      </c>
      <c r="BV73" s="10"/>
      <c r="BW73" s="10">
        <v>0.8</v>
      </c>
      <c r="CA73" s="10"/>
      <c r="CB73" s="10">
        <v>0.8</v>
      </c>
      <c r="CC73" s="10"/>
      <c r="CD73" s="10">
        <v>0.8</v>
      </c>
      <c r="CH73" s="10"/>
      <c r="CI73" s="10">
        <v>1</v>
      </c>
      <c r="CJ73" s="10"/>
      <c r="CK73" s="10">
        <v>1</v>
      </c>
      <c r="CO73" s="10"/>
      <c r="CP73" s="10">
        <v>1</v>
      </c>
      <c r="CQ73" s="10"/>
      <c r="CR73" s="10">
        <v>1</v>
      </c>
      <c r="CV73" s="10"/>
      <c r="CW73" s="10"/>
      <c r="CX73" s="10"/>
      <c r="CY73" s="10"/>
      <c r="DC73" s="10"/>
      <c r="DD73" s="10"/>
      <c r="DE73" s="10"/>
      <c r="DF73" s="10"/>
      <c r="DJ73" s="10"/>
      <c r="DK73" s="10"/>
      <c r="DL73" s="10"/>
      <c r="DM73" s="10"/>
      <c r="DQ73" s="10"/>
      <c r="DR73" s="10"/>
      <c r="DS73" s="10"/>
      <c r="DT73" s="10"/>
      <c r="DX73" s="10"/>
      <c r="DY73" s="10"/>
      <c r="DZ73" s="10"/>
      <c r="EA73" s="10"/>
      <c r="EE73" s="10"/>
      <c r="EF73" s="10"/>
      <c r="EG73" s="10"/>
      <c r="EH73" s="10"/>
    </row>
    <row r="74" spans="1:138" outlineLevel="1" x14ac:dyDescent="0.2">
      <c r="B74" t="s">
        <v>27</v>
      </c>
      <c r="C74" t="s">
        <v>101</v>
      </c>
      <c r="E74" s="9"/>
      <c r="F74" t="s">
        <v>225</v>
      </c>
      <c r="G74" s="10">
        <v>0</v>
      </c>
      <c r="I74" s="9">
        <f>+SUMIF($N$3:$ZT$3,I$3,$N74:$ZT74)</f>
        <v>0</v>
      </c>
      <c r="J74" s="11" cm="1">
        <f t="array" ref="J74">MAX(IF($N$3:$EB$3=$J$3,N74:EB74))</f>
        <v>0</v>
      </c>
      <c r="K74" s="11" cm="1">
        <f t="array" ref="K74">MAX(IF($N$3:$EB$3=$J$3,N74:EB74))</f>
        <v>0</v>
      </c>
      <c r="L74" s="9"/>
      <c r="P74" s="10"/>
      <c r="Q74" s="10"/>
      <c r="R74" s="10"/>
      <c r="S74" s="10"/>
      <c r="W74" s="10"/>
      <c r="X74" s="10"/>
      <c r="Y74" s="10"/>
      <c r="Z74" s="10"/>
      <c r="AD74" s="10"/>
      <c r="AE74" s="10">
        <v>0.5</v>
      </c>
      <c r="AF74" s="10"/>
      <c r="AG74" s="10">
        <v>0.5</v>
      </c>
      <c r="AK74" s="10"/>
      <c r="AL74" s="10">
        <v>0.5</v>
      </c>
      <c r="AM74" s="10"/>
      <c r="AN74" s="10">
        <v>0.5</v>
      </c>
      <c r="AR74" s="10"/>
      <c r="AS74" s="10">
        <v>0.5</v>
      </c>
      <c r="AT74" s="10"/>
      <c r="AU74" s="10">
        <v>0.5</v>
      </c>
      <c r="AY74" s="10"/>
      <c r="AZ74" s="10">
        <v>0.5</v>
      </c>
      <c r="BA74" s="10"/>
      <c r="BB74" s="10">
        <v>0.5</v>
      </c>
      <c r="BF74" s="10"/>
      <c r="BG74" s="10">
        <v>0.8</v>
      </c>
      <c r="BH74" s="10"/>
      <c r="BI74" s="10">
        <v>0.8</v>
      </c>
      <c r="BM74" s="10"/>
      <c r="BN74" s="10">
        <v>0.8</v>
      </c>
      <c r="BO74" s="10"/>
      <c r="BP74" s="10">
        <v>0.8</v>
      </c>
      <c r="BT74" s="10"/>
      <c r="BU74" s="10">
        <v>0.8</v>
      </c>
      <c r="BV74" s="10"/>
      <c r="BW74" s="10">
        <v>0.8</v>
      </c>
      <c r="CA74" s="10"/>
      <c r="CB74" s="10">
        <v>0.8</v>
      </c>
      <c r="CC74" s="10"/>
      <c r="CD74" s="10">
        <v>0.8</v>
      </c>
      <c r="CH74" s="10"/>
      <c r="CI74" s="10">
        <v>1</v>
      </c>
      <c r="CJ74" s="10"/>
      <c r="CK74" s="10">
        <v>1</v>
      </c>
      <c r="CO74" s="10"/>
      <c r="CP74" s="10">
        <v>1</v>
      </c>
      <c r="CQ74" s="10"/>
      <c r="CR74" s="10">
        <v>1</v>
      </c>
      <c r="CV74" s="10"/>
      <c r="CW74" s="10"/>
      <c r="CX74" s="10"/>
      <c r="CY74" s="10"/>
      <c r="DC74" s="10"/>
      <c r="DD74" s="10"/>
      <c r="DE74" s="10"/>
      <c r="DF74" s="10"/>
      <c r="DJ74" s="10"/>
      <c r="DK74" s="10"/>
      <c r="DL74" s="10"/>
      <c r="DM74" s="10"/>
      <c r="DQ74" s="10"/>
      <c r="DR74" s="10"/>
      <c r="DS74" s="10"/>
      <c r="DT74" s="10"/>
      <c r="DX74" s="10"/>
      <c r="DY74" s="10"/>
      <c r="DZ74" s="10"/>
      <c r="EA74" s="10"/>
      <c r="EE74" s="10"/>
      <c r="EF74" s="10"/>
      <c r="EG74" s="10"/>
      <c r="EH74" s="10"/>
    </row>
    <row r="75" spans="1:138" outlineLevel="1" x14ac:dyDescent="0.2">
      <c r="B75" t="s">
        <v>27</v>
      </c>
      <c r="C75" t="s">
        <v>101</v>
      </c>
      <c r="E75" s="9"/>
      <c r="F75" t="s">
        <v>99</v>
      </c>
      <c r="G75" s="10">
        <v>0</v>
      </c>
      <c r="I75" s="9">
        <f>+SUMIF($N$3:$ZT$3,I$3,$N75:$ZT75)</f>
        <v>0</v>
      </c>
      <c r="J75" s="11" cm="1">
        <f t="array" ref="J75">MAX(IF($N$3:$EB$3=$J$3,N75:EB75))</f>
        <v>0</v>
      </c>
      <c r="K75" s="11" cm="1">
        <f t="array" ref="K75">MAX(IF($N$3:$EB$3=$J$3,N75:EB75))</f>
        <v>0</v>
      </c>
      <c r="L75" s="9"/>
      <c r="P75" s="10"/>
      <c r="Q75" s="10"/>
      <c r="R75" s="10"/>
      <c r="S75" s="10"/>
      <c r="W75" s="10"/>
      <c r="X75" s="10"/>
      <c r="Y75" s="10"/>
      <c r="Z75" s="10"/>
      <c r="AD75" s="10"/>
      <c r="AE75" s="10"/>
      <c r="AF75" s="10"/>
      <c r="AG75" s="10"/>
      <c r="AK75" s="10"/>
      <c r="AL75" s="10">
        <v>0.5</v>
      </c>
      <c r="AM75" s="10"/>
      <c r="AN75" s="10">
        <v>0.5</v>
      </c>
      <c r="AR75" s="10"/>
      <c r="AS75" s="10">
        <v>0.5</v>
      </c>
      <c r="AT75" s="10"/>
      <c r="AU75" s="10">
        <v>0.5</v>
      </c>
      <c r="AY75" s="10"/>
      <c r="AZ75" s="10">
        <v>0.5</v>
      </c>
      <c r="BA75" s="10"/>
      <c r="BB75" s="10">
        <v>0.5</v>
      </c>
      <c r="BF75" s="10"/>
      <c r="BG75" s="10">
        <v>0.5</v>
      </c>
      <c r="BH75" s="10"/>
      <c r="BI75" s="10">
        <v>0.5</v>
      </c>
      <c r="BM75" s="10"/>
      <c r="BN75" s="10">
        <v>0.8</v>
      </c>
      <c r="BO75" s="10"/>
      <c r="BP75" s="10">
        <v>0.8</v>
      </c>
      <c r="BT75" s="10"/>
      <c r="BU75" s="10">
        <v>0.8</v>
      </c>
      <c r="BV75" s="10"/>
      <c r="BW75" s="10">
        <v>0.8</v>
      </c>
      <c r="CA75" s="10"/>
      <c r="CB75" s="10">
        <v>0.8</v>
      </c>
      <c r="CC75" s="10"/>
      <c r="CD75" s="10">
        <v>0.8</v>
      </c>
      <c r="CH75" s="10"/>
      <c r="CI75" s="10">
        <v>0.8</v>
      </c>
      <c r="CJ75" s="10"/>
      <c r="CK75" s="10">
        <v>0.8</v>
      </c>
      <c r="CO75" s="10"/>
      <c r="CP75" s="10">
        <v>1</v>
      </c>
      <c r="CQ75" s="10"/>
      <c r="CR75" s="10">
        <v>1</v>
      </c>
      <c r="CV75" s="10"/>
      <c r="CW75" s="10"/>
      <c r="CX75" s="10"/>
      <c r="CY75" s="10"/>
      <c r="DC75" s="10"/>
      <c r="DD75" s="10"/>
      <c r="DE75" s="10"/>
      <c r="DF75" s="10"/>
      <c r="DJ75" s="10"/>
      <c r="DK75" s="10"/>
      <c r="DL75" s="10"/>
      <c r="DM75" s="10"/>
      <c r="DQ75" s="10"/>
      <c r="DR75" s="10"/>
      <c r="DS75" s="10"/>
      <c r="DT75" s="10"/>
      <c r="DX75" s="10"/>
      <c r="DY75" s="10"/>
      <c r="DZ75" s="10"/>
      <c r="EA75" s="10"/>
      <c r="EE75" s="10"/>
      <c r="EF75" s="10"/>
      <c r="EG75" s="10"/>
      <c r="EH75" s="10"/>
    </row>
    <row r="76" spans="1:138" outlineLevel="1" x14ac:dyDescent="0.2">
      <c r="B76" t="s">
        <v>27</v>
      </c>
      <c r="C76" t="s">
        <v>101</v>
      </c>
      <c r="E76" s="9"/>
      <c r="F76" t="s">
        <v>226</v>
      </c>
      <c r="G76" s="10">
        <v>0</v>
      </c>
      <c r="I76" s="9">
        <f>+SUMIF($N$3:$ZT$3,I$3,$N76:$ZT76)</f>
        <v>0</v>
      </c>
      <c r="J76" s="11" cm="1">
        <f t="array" ref="J76">MAX(IF($N$3:$EB$3=$J$3,N76:EB76))</f>
        <v>0</v>
      </c>
      <c r="K76" s="11" cm="1">
        <f t="array" ref="K76">MAX(IF($N$3:$EB$3=$J$3,N76:EB76))</f>
        <v>0</v>
      </c>
      <c r="L76" s="9"/>
      <c r="P76" s="10"/>
      <c r="Q76" s="10"/>
      <c r="R76" s="10"/>
      <c r="S76" s="10"/>
      <c r="W76" s="10"/>
      <c r="X76" s="10"/>
      <c r="Y76" s="10"/>
      <c r="Z76" s="10"/>
      <c r="AD76" s="10"/>
      <c r="AE76" s="10"/>
      <c r="AF76" s="10"/>
      <c r="AG76" s="10"/>
      <c r="AK76" s="10"/>
      <c r="AL76" s="10">
        <v>0.5</v>
      </c>
      <c r="AM76" s="10"/>
      <c r="AN76" s="10">
        <v>0.5</v>
      </c>
      <c r="AR76" s="10"/>
      <c r="AS76" s="10">
        <v>0.5</v>
      </c>
      <c r="AT76" s="10"/>
      <c r="AU76" s="10">
        <v>0.5</v>
      </c>
      <c r="AY76" s="10"/>
      <c r="AZ76" s="10">
        <v>0.5</v>
      </c>
      <c r="BA76" s="10"/>
      <c r="BB76" s="10">
        <v>0.5</v>
      </c>
      <c r="BF76" s="10"/>
      <c r="BG76" s="10">
        <v>0.5</v>
      </c>
      <c r="BH76" s="10"/>
      <c r="BI76" s="10">
        <v>0.5</v>
      </c>
      <c r="BM76" s="10"/>
      <c r="BN76" s="10">
        <v>0.8</v>
      </c>
      <c r="BO76" s="10"/>
      <c r="BP76" s="10">
        <v>0.8</v>
      </c>
      <c r="BT76" s="10"/>
      <c r="BU76" s="10">
        <v>0.8</v>
      </c>
      <c r="BV76" s="10"/>
      <c r="BW76" s="10">
        <v>0.8</v>
      </c>
      <c r="CA76" s="10"/>
      <c r="CB76" s="10">
        <v>0.8</v>
      </c>
      <c r="CC76" s="10"/>
      <c r="CD76" s="10">
        <v>0.8</v>
      </c>
      <c r="CH76" s="10"/>
      <c r="CI76" s="10">
        <v>0.8</v>
      </c>
      <c r="CJ76" s="10"/>
      <c r="CK76" s="10">
        <v>0.8</v>
      </c>
      <c r="CO76" s="10"/>
      <c r="CP76" s="10">
        <v>1</v>
      </c>
      <c r="CQ76" s="10"/>
      <c r="CR76" s="10">
        <v>1</v>
      </c>
      <c r="CV76" s="10"/>
      <c r="CW76" s="10"/>
      <c r="CX76" s="10"/>
      <c r="CY76" s="10"/>
      <c r="DC76" s="10"/>
      <c r="DD76" s="10"/>
      <c r="DE76" s="10"/>
      <c r="DF76" s="10"/>
      <c r="DJ76" s="10"/>
      <c r="DK76" s="10"/>
      <c r="DL76" s="10"/>
      <c r="DM76" s="10"/>
      <c r="DQ76" s="10"/>
      <c r="DR76" s="10"/>
      <c r="DS76" s="10"/>
      <c r="DT76" s="10"/>
      <c r="DX76" s="10"/>
      <c r="DY76" s="10"/>
      <c r="DZ76" s="10"/>
      <c r="EA76" s="10"/>
      <c r="EE76" s="10"/>
      <c r="EF76" s="10"/>
      <c r="EG76" s="10"/>
      <c r="EH76" s="10"/>
    </row>
    <row r="77" spans="1:138" outlineLevel="1" x14ac:dyDescent="0.2">
      <c r="B77" t="s">
        <v>27</v>
      </c>
      <c r="C77" t="s">
        <v>101</v>
      </c>
      <c r="E77" s="9"/>
      <c r="F77" t="s">
        <v>100</v>
      </c>
      <c r="G77" s="10">
        <v>0</v>
      </c>
      <c r="I77" s="9">
        <f>+SUMIF($N$3:$ZT$3,I$3,$N77:$ZT77)</f>
        <v>0</v>
      </c>
      <c r="J77" s="11" cm="1">
        <f t="array" ref="J77">MAX(IF($N$3:$EB$3=$J$3,N77:EB77))</f>
        <v>0</v>
      </c>
      <c r="K77" s="11" cm="1">
        <f t="array" ref="K77">MAX(IF($N$3:$EB$3=$J$3,N77:EB77))</f>
        <v>0</v>
      </c>
      <c r="L77" s="9"/>
      <c r="P77" s="10"/>
      <c r="Q77" s="10"/>
      <c r="R77" s="10"/>
      <c r="S77" s="10"/>
      <c r="W77" s="10"/>
      <c r="X77" s="10"/>
      <c r="Y77" s="10"/>
      <c r="Z77" s="10"/>
      <c r="AD77" s="10"/>
      <c r="AE77" s="10"/>
      <c r="AF77" s="10"/>
      <c r="AG77" s="10"/>
      <c r="AK77" s="10"/>
      <c r="AL77" s="10">
        <v>0.5</v>
      </c>
      <c r="AM77" s="10"/>
      <c r="AN77" s="10">
        <v>0.5</v>
      </c>
      <c r="AR77" s="10"/>
      <c r="AS77" s="10">
        <v>0.5</v>
      </c>
      <c r="AT77" s="10"/>
      <c r="AU77" s="10">
        <v>0.5</v>
      </c>
      <c r="AY77" s="10"/>
      <c r="AZ77" s="10">
        <v>0.5</v>
      </c>
      <c r="BA77" s="10"/>
      <c r="BB77" s="10">
        <v>0.5</v>
      </c>
      <c r="BF77" s="10"/>
      <c r="BG77" s="10">
        <v>0.5</v>
      </c>
      <c r="BH77" s="10"/>
      <c r="BI77" s="10">
        <v>0.5</v>
      </c>
      <c r="BM77" s="10"/>
      <c r="BN77" s="10">
        <v>0.8</v>
      </c>
      <c r="BO77" s="10"/>
      <c r="BP77" s="10">
        <v>0.8</v>
      </c>
      <c r="BT77" s="10"/>
      <c r="BU77" s="10">
        <v>0.8</v>
      </c>
      <c r="BV77" s="10"/>
      <c r="BW77" s="10">
        <v>0.8</v>
      </c>
      <c r="CA77" s="10"/>
      <c r="CB77" s="10">
        <v>0.8</v>
      </c>
      <c r="CC77" s="10"/>
      <c r="CD77" s="10">
        <v>0.8</v>
      </c>
      <c r="CH77" s="10"/>
      <c r="CI77" s="10">
        <v>0.8</v>
      </c>
      <c r="CJ77" s="10"/>
      <c r="CK77" s="10">
        <v>0.8</v>
      </c>
      <c r="CO77" s="10"/>
      <c r="CP77" s="10">
        <v>1</v>
      </c>
      <c r="CQ77" s="10"/>
      <c r="CR77" s="10">
        <v>1</v>
      </c>
      <c r="CV77" s="10"/>
      <c r="CW77" s="10"/>
      <c r="CX77" s="10"/>
      <c r="CY77" s="10"/>
      <c r="DC77" s="10"/>
      <c r="DD77" s="10"/>
      <c r="DE77" s="10"/>
      <c r="DF77" s="10"/>
      <c r="DJ77" s="10"/>
      <c r="DK77" s="10"/>
      <c r="DL77" s="10"/>
      <c r="DM77" s="10"/>
      <c r="DQ77" s="10"/>
      <c r="DR77" s="10"/>
      <c r="DS77" s="10"/>
      <c r="DT77" s="10"/>
      <c r="DX77" s="10"/>
      <c r="DY77" s="10"/>
      <c r="DZ77" s="10"/>
      <c r="EA77" s="10"/>
      <c r="EE77" s="10"/>
      <c r="EF77" s="10"/>
      <c r="EG77" s="10"/>
      <c r="EH77" s="10"/>
    </row>
    <row r="78" spans="1:138" outlineLevel="1" x14ac:dyDescent="0.2">
      <c r="B78" t="s">
        <v>27</v>
      </c>
      <c r="C78" t="s">
        <v>101</v>
      </c>
      <c r="E78" s="9"/>
      <c r="F78" t="s">
        <v>227</v>
      </c>
      <c r="G78" s="10">
        <v>0</v>
      </c>
      <c r="I78" s="9">
        <f>+SUMIF($N$3:$ZT$3,I$3,$N78:$ZT78)</f>
        <v>0</v>
      </c>
      <c r="J78" s="11" cm="1">
        <f t="array" ref="J78">MAX(IF($N$3:$EB$3=$J$3,N78:EB78))</f>
        <v>0</v>
      </c>
      <c r="K78" s="11" cm="1">
        <f t="array" ref="K78">MAX(IF($N$3:$EB$3=$J$3,N78:EB78))</f>
        <v>0</v>
      </c>
      <c r="L78" s="9"/>
      <c r="P78" s="10"/>
      <c r="Q78" s="10"/>
      <c r="R78" s="10"/>
      <c r="S78" s="10"/>
      <c r="W78" s="10"/>
      <c r="X78" s="10"/>
      <c r="Y78" s="10"/>
      <c r="Z78" s="10"/>
      <c r="AD78" s="10"/>
      <c r="AE78" s="10"/>
      <c r="AF78" s="10"/>
      <c r="AG78" s="10"/>
      <c r="AK78" s="10"/>
      <c r="AL78" s="10">
        <v>0.5</v>
      </c>
      <c r="AM78" s="10"/>
      <c r="AN78" s="10">
        <v>0.5</v>
      </c>
      <c r="AR78" s="10"/>
      <c r="AS78" s="10">
        <v>0.5</v>
      </c>
      <c r="AT78" s="10"/>
      <c r="AU78" s="10">
        <v>0.5</v>
      </c>
      <c r="AY78" s="10"/>
      <c r="AZ78" s="10">
        <v>0.5</v>
      </c>
      <c r="BA78" s="10"/>
      <c r="BB78" s="10">
        <v>0.5</v>
      </c>
      <c r="BF78" s="10"/>
      <c r="BG78" s="10">
        <v>0.5</v>
      </c>
      <c r="BH78" s="10"/>
      <c r="BI78" s="10">
        <v>0.5</v>
      </c>
      <c r="BM78" s="10"/>
      <c r="BN78" s="10">
        <v>0.8</v>
      </c>
      <c r="BO78" s="10"/>
      <c r="BP78" s="10">
        <v>0.8</v>
      </c>
      <c r="BT78" s="10"/>
      <c r="BU78" s="10">
        <v>0.8</v>
      </c>
      <c r="BV78" s="10"/>
      <c r="BW78" s="10">
        <v>0.8</v>
      </c>
      <c r="CA78" s="10"/>
      <c r="CB78" s="10">
        <v>0.8</v>
      </c>
      <c r="CC78" s="10"/>
      <c r="CD78" s="10">
        <v>0.8</v>
      </c>
      <c r="CH78" s="10"/>
      <c r="CI78" s="10">
        <v>0.8</v>
      </c>
      <c r="CJ78" s="10"/>
      <c r="CK78" s="10">
        <v>0.8</v>
      </c>
      <c r="CO78" s="10"/>
      <c r="CP78" s="10">
        <v>1</v>
      </c>
      <c r="CQ78" s="10"/>
      <c r="CR78" s="10">
        <v>1</v>
      </c>
      <c r="CV78" s="10"/>
      <c r="CW78" s="10"/>
      <c r="CX78" s="10"/>
      <c r="CY78" s="10"/>
      <c r="DC78" s="10"/>
      <c r="DD78" s="10"/>
      <c r="DE78" s="10"/>
      <c r="DF78" s="10"/>
      <c r="DJ78" s="10"/>
      <c r="DK78" s="10"/>
      <c r="DL78" s="10"/>
      <c r="DM78" s="10"/>
      <c r="DQ78" s="10"/>
      <c r="DR78" s="10"/>
      <c r="DS78" s="10"/>
      <c r="DT78" s="10"/>
      <c r="DX78" s="10"/>
      <c r="DY78" s="10"/>
      <c r="DZ78" s="10"/>
      <c r="EA78" s="10"/>
      <c r="EE78" s="10"/>
      <c r="EF78" s="10"/>
      <c r="EG78" s="10"/>
      <c r="EH78" s="10"/>
    </row>
    <row r="79" spans="1:138" outlineLevel="1" x14ac:dyDescent="0.2">
      <c r="B79" t="s">
        <v>27</v>
      </c>
      <c r="C79" t="s">
        <v>101</v>
      </c>
      <c r="E79" s="9"/>
      <c r="F79" t="s">
        <v>228</v>
      </c>
      <c r="G79" s="10">
        <v>0</v>
      </c>
      <c r="I79" s="9">
        <f>+SUMIF($N$3:$ZT$3,I$3,$N79:$ZT79)</f>
        <v>0</v>
      </c>
      <c r="J79" s="11" cm="1">
        <f t="array" ref="J79">MAX(IF($N$3:$EB$3=$J$3,N79:EB79))</f>
        <v>0</v>
      </c>
      <c r="K79" s="11" cm="1">
        <f t="array" ref="K79">MAX(IF($N$3:$EB$3=$J$3,N79:EB79))</f>
        <v>0</v>
      </c>
      <c r="L79" s="9"/>
      <c r="P79" s="10"/>
      <c r="Q79" s="10"/>
      <c r="R79" s="10"/>
      <c r="S79" s="10"/>
      <c r="W79" s="10"/>
      <c r="X79" s="10"/>
      <c r="Y79" s="10"/>
      <c r="Z79" s="10"/>
      <c r="AD79" s="10"/>
      <c r="AE79" s="10"/>
      <c r="AF79" s="10"/>
      <c r="AG79" s="10"/>
      <c r="AK79" s="10"/>
      <c r="AL79" s="10">
        <v>0.5</v>
      </c>
      <c r="AM79" s="10"/>
      <c r="AN79" s="10">
        <v>0.5</v>
      </c>
      <c r="AR79" s="10"/>
      <c r="AS79" s="10">
        <v>0.5</v>
      </c>
      <c r="AT79" s="10"/>
      <c r="AU79" s="10">
        <v>0.5</v>
      </c>
      <c r="AY79" s="10"/>
      <c r="AZ79" s="10">
        <v>0.5</v>
      </c>
      <c r="BA79" s="10"/>
      <c r="BB79" s="10">
        <v>0.5</v>
      </c>
      <c r="BF79" s="10"/>
      <c r="BG79" s="10">
        <v>0.5</v>
      </c>
      <c r="BH79" s="10"/>
      <c r="BI79" s="10">
        <v>0.5</v>
      </c>
      <c r="BM79" s="10"/>
      <c r="BN79" s="10">
        <v>0.8</v>
      </c>
      <c r="BO79" s="10"/>
      <c r="BP79" s="10">
        <v>0.8</v>
      </c>
      <c r="BT79" s="10"/>
      <c r="BU79" s="10">
        <v>0.8</v>
      </c>
      <c r="BV79" s="10"/>
      <c r="BW79" s="10">
        <v>0.8</v>
      </c>
      <c r="CA79" s="10"/>
      <c r="CB79" s="10">
        <v>0.8</v>
      </c>
      <c r="CC79" s="10"/>
      <c r="CD79" s="10">
        <v>0.8</v>
      </c>
      <c r="CH79" s="10"/>
      <c r="CI79" s="10">
        <v>0.8</v>
      </c>
      <c r="CJ79" s="10"/>
      <c r="CK79" s="10">
        <v>0.8</v>
      </c>
      <c r="CO79" s="10"/>
      <c r="CP79" s="10">
        <v>1</v>
      </c>
      <c r="CQ79" s="10"/>
      <c r="CR79" s="10">
        <v>1</v>
      </c>
      <c r="CV79" s="10"/>
      <c r="CW79" s="10"/>
      <c r="CX79" s="10"/>
      <c r="CY79" s="10"/>
      <c r="DC79" s="10"/>
      <c r="DD79" s="10"/>
      <c r="DE79" s="10"/>
      <c r="DF79" s="10"/>
      <c r="DJ79" s="10"/>
      <c r="DK79" s="10"/>
      <c r="DL79" s="10"/>
      <c r="DM79" s="10"/>
      <c r="DQ79" s="10"/>
      <c r="DR79" s="10"/>
      <c r="DS79" s="10"/>
      <c r="DT79" s="10"/>
      <c r="DX79" s="10"/>
      <c r="DY79" s="10"/>
      <c r="DZ79" s="10"/>
      <c r="EA79" s="10"/>
      <c r="EE79" s="10"/>
      <c r="EF79" s="10"/>
      <c r="EG79" s="10"/>
      <c r="EH79" s="10"/>
    </row>
    <row r="80" spans="1:138" outlineLevel="1" x14ac:dyDescent="0.2">
      <c r="E80" s="9"/>
      <c r="G80" s="10"/>
      <c r="I80" s="9"/>
      <c r="J80" s="11"/>
      <c r="K80" s="11"/>
      <c r="L80" s="9"/>
      <c r="P80" s="10"/>
      <c r="Q80" s="10"/>
      <c r="R80" s="10"/>
      <c r="S80" s="10"/>
      <c r="W80" s="10"/>
      <c r="X80" s="10"/>
      <c r="Y80" s="10"/>
      <c r="Z80" s="10"/>
      <c r="AD80" s="10"/>
      <c r="AE80" s="10"/>
      <c r="AF80" s="10"/>
      <c r="AG80" s="10"/>
      <c r="AK80" s="10"/>
      <c r="AL80" s="10"/>
      <c r="AM80" s="10"/>
      <c r="AN80" s="10"/>
      <c r="AR80" s="10"/>
      <c r="AS80" s="10"/>
      <c r="AT80" s="10"/>
      <c r="AU80" s="10"/>
      <c r="AY80" s="10"/>
      <c r="AZ80" s="10"/>
      <c r="BA80" s="10"/>
      <c r="BB80" s="10"/>
      <c r="BF80" s="10"/>
      <c r="BG80" s="10"/>
      <c r="BH80" s="10"/>
      <c r="BI80" s="10"/>
      <c r="BM80" s="10"/>
      <c r="BN80" s="10"/>
      <c r="BO80" s="10"/>
      <c r="BP80" s="10"/>
      <c r="BT80" s="10"/>
      <c r="BU80" s="10"/>
      <c r="BV80" s="10"/>
      <c r="BW80" s="10"/>
      <c r="CA80" s="10"/>
      <c r="CB80" s="10"/>
      <c r="CC80" s="10"/>
      <c r="CD80" s="10"/>
      <c r="CH80" s="10"/>
      <c r="CI80" s="10"/>
      <c r="CJ80" s="10"/>
      <c r="CK80" s="10"/>
      <c r="CO80" s="10"/>
      <c r="CP80" s="10"/>
      <c r="CQ80" s="10"/>
      <c r="CR80" s="10"/>
      <c r="CV80" s="10"/>
      <c r="CW80" s="10"/>
      <c r="CX80" s="10"/>
      <c r="CY80" s="10"/>
      <c r="DC80" s="10"/>
      <c r="DD80" s="10"/>
      <c r="DE80" s="10"/>
      <c r="DF80" s="10"/>
      <c r="DJ80" s="10"/>
      <c r="DK80" s="10"/>
      <c r="DL80" s="10"/>
      <c r="DM80" s="10"/>
      <c r="DQ80" s="10"/>
      <c r="DR80" s="10"/>
      <c r="DS80" s="10"/>
      <c r="DT80" s="10"/>
      <c r="DX80" s="10"/>
      <c r="DY80" s="10"/>
      <c r="DZ80" s="10"/>
      <c r="EA80" s="10"/>
      <c r="EE80" s="10"/>
      <c r="EF80" s="10"/>
      <c r="EG80" s="10"/>
      <c r="EH80" s="10"/>
    </row>
    <row r="81" spans="2:138" x14ac:dyDescent="0.2">
      <c r="B81" t="s">
        <v>26</v>
      </c>
      <c r="C81" t="s">
        <v>120</v>
      </c>
      <c r="D81" s="19" t="s">
        <v>86</v>
      </c>
      <c r="E81" s="9">
        <v>3</v>
      </c>
      <c r="G81" s="10">
        <f>+SUM(G82:G101)</f>
        <v>0</v>
      </c>
      <c r="I81" s="12">
        <f>+SUM(I82:I101)</f>
        <v>4</v>
      </c>
      <c r="J81" s="11">
        <f>+SUMPRODUCT(G82:G85,J82:J85)</f>
        <v>0</v>
      </c>
      <c r="K81" s="11">
        <f>+SUMPRODUCT(G82:G85,K82:K85)</f>
        <v>0</v>
      </c>
      <c r="L81" s="9"/>
      <c r="O81" s="12">
        <f>+SUM(O82:O85)</f>
        <v>0</v>
      </c>
      <c r="V81" s="12">
        <f>+SUM(V82:V85)</f>
        <v>0</v>
      </c>
      <c r="AC81" s="12">
        <f>+SUM(AC82:AC85)</f>
        <v>0</v>
      </c>
      <c r="AJ81" s="12">
        <f>+SUM(AJ82:AJ85)</f>
        <v>0</v>
      </c>
      <c r="CI81" s="10">
        <v>1</v>
      </c>
      <c r="CK81" s="10">
        <v>1</v>
      </c>
    </row>
    <row r="82" spans="2:138" outlineLevel="1" x14ac:dyDescent="0.2">
      <c r="B82" t="s">
        <v>27</v>
      </c>
      <c r="C82" t="s">
        <v>92</v>
      </c>
      <c r="E82" s="9"/>
      <c r="F82" t="s">
        <v>150</v>
      </c>
      <c r="G82" s="10">
        <v>0</v>
      </c>
      <c r="I82" s="9">
        <v>4</v>
      </c>
      <c r="J82" s="11" cm="1">
        <f t="array" ref="J82">MAX(IF($N$3:$EB$3=$J$3,N82:EB82))</f>
        <v>0</v>
      </c>
      <c r="K82" s="11" cm="1">
        <f t="array" ref="K82">MAX(IF($N$3:$EB$3=$J$3,N82:EB82))</f>
        <v>0</v>
      </c>
      <c r="L82" s="9"/>
      <c r="P82" s="10"/>
      <c r="Q82" s="10">
        <v>0.5</v>
      </c>
      <c r="R82" s="10"/>
      <c r="S82" s="10">
        <v>0.5</v>
      </c>
      <c r="W82" s="10"/>
      <c r="X82" s="10">
        <v>0.5</v>
      </c>
      <c r="Y82" s="10"/>
      <c r="Z82" s="10">
        <v>0.5</v>
      </c>
      <c r="AD82" s="10"/>
      <c r="AE82" s="10">
        <v>0.5</v>
      </c>
      <c r="AF82" s="10"/>
      <c r="AG82" s="10">
        <v>0.5</v>
      </c>
      <c r="AK82" s="10"/>
      <c r="AL82" s="10">
        <v>0.5</v>
      </c>
      <c r="AM82" s="10"/>
      <c r="AN82" s="10">
        <v>0.5</v>
      </c>
      <c r="AR82" s="10"/>
      <c r="AS82" s="10">
        <v>0.8</v>
      </c>
      <c r="AT82" s="10"/>
      <c r="AU82" s="10">
        <v>0.8</v>
      </c>
      <c r="AY82" s="10"/>
      <c r="AZ82" s="10">
        <v>0.8</v>
      </c>
      <c r="BA82" s="10"/>
      <c r="BB82" s="10">
        <v>0.8</v>
      </c>
      <c r="BF82" s="10"/>
      <c r="BG82" s="10">
        <v>0.8</v>
      </c>
      <c r="BH82" s="10"/>
      <c r="BI82" s="10">
        <v>0.8</v>
      </c>
      <c r="BM82" s="10"/>
      <c r="BN82" s="10">
        <v>0.8</v>
      </c>
      <c r="BO82" s="10"/>
      <c r="BP82" s="10">
        <v>0.8</v>
      </c>
      <c r="BT82" s="10"/>
      <c r="BU82" s="10">
        <v>1</v>
      </c>
      <c r="BV82" s="10"/>
      <c r="BW82" s="10">
        <v>1</v>
      </c>
      <c r="CA82" s="10"/>
      <c r="CB82" s="10">
        <v>1</v>
      </c>
      <c r="CC82" s="10"/>
      <c r="CD82" s="10">
        <v>1</v>
      </c>
      <c r="CH82" s="10"/>
      <c r="CI82" s="10">
        <v>1</v>
      </c>
      <c r="CJ82" s="10"/>
      <c r="CK82" s="10">
        <v>1</v>
      </c>
      <c r="CO82" s="10"/>
      <c r="CP82" s="10">
        <v>1</v>
      </c>
      <c r="CQ82" s="10"/>
      <c r="CR82" s="10">
        <v>1</v>
      </c>
      <c r="CV82" s="10"/>
      <c r="CW82" s="10"/>
      <c r="CX82" s="10"/>
      <c r="CY82" s="10"/>
      <c r="DC82" s="10"/>
      <c r="DD82" s="10"/>
      <c r="DE82" s="10"/>
      <c r="DF82" s="10"/>
      <c r="DJ82" s="10"/>
      <c r="DK82" s="10"/>
      <c r="DL82" s="10"/>
      <c r="DM82" s="10"/>
      <c r="DQ82" s="10"/>
      <c r="DR82" s="10"/>
      <c r="DS82" s="10"/>
      <c r="DT82" s="10"/>
      <c r="DX82" s="10"/>
      <c r="DY82" s="10"/>
      <c r="DZ82" s="10"/>
      <c r="EA82" s="10"/>
      <c r="EE82" s="10"/>
      <c r="EF82" s="10"/>
      <c r="EG82" s="10"/>
      <c r="EH82" s="10"/>
    </row>
    <row r="83" spans="2:138" outlineLevel="1" x14ac:dyDescent="0.2">
      <c r="B83" t="s">
        <v>27</v>
      </c>
      <c r="C83" t="s">
        <v>92</v>
      </c>
      <c r="E83" s="9"/>
      <c r="F83" t="s">
        <v>147</v>
      </c>
      <c r="G83" s="10">
        <v>0</v>
      </c>
      <c r="I83" s="9">
        <v>0</v>
      </c>
      <c r="J83" s="11" cm="1">
        <f t="array" ref="J83">MAX(IF($N$3:$EB$3=$J$3,N83:EB83))</f>
        <v>0</v>
      </c>
      <c r="K83" s="11" cm="1">
        <f t="array" ref="K83">MAX(IF($N$3:$EB$3=$J$3,N83:EB83))</f>
        <v>0</v>
      </c>
      <c r="L83" s="9"/>
      <c r="P83" s="10"/>
      <c r="Q83" s="10">
        <v>0.5</v>
      </c>
      <c r="R83" s="10"/>
      <c r="S83" s="10">
        <v>0.5</v>
      </c>
      <c r="W83" s="10"/>
      <c r="X83" s="10">
        <v>0.5</v>
      </c>
      <c r="Y83" s="10"/>
      <c r="Z83" s="10">
        <v>0.5</v>
      </c>
      <c r="AD83" s="10"/>
      <c r="AE83" s="10">
        <v>0.5</v>
      </c>
      <c r="AF83" s="10"/>
      <c r="AG83" s="10">
        <v>0.5</v>
      </c>
      <c r="AK83" s="10"/>
      <c r="AL83" s="10">
        <v>0.5</v>
      </c>
      <c r="AM83" s="10"/>
      <c r="AN83" s="10">
        <v>0.5</v>
      </c>
      <c r="AR83" s="10"/>
      <c r="AS83" s="10">
        <v>0.8</v>
      </c>
      <c r="AT83" s="10"/>
      <c r="AU83" s="10">
        <v>0.8</v>
      </c>
      <c r="AY83" s="10"/>
      <c r="AZ83" s="10">
        <v>0.8</v>
      </c>
      <c r="BA83" s="10"/>
      <c r="BB83" s="10">
        <v>0.8</v>
      </c>
      <c r="BF83" s="10"/>
      <c r="BG83" s="10">
        <v>0.8</v>
      </c>
      <c r="BH83" s="10"/>
      <c r="BI83" s="10">
        <v>0.8</v>
      </c>
      <c r="BM83" s="10"/>
      <c r="BN83" s="10">
        <v>0.8</v>
      </c>
      <c r="BO83" s="10"/>
      <c r="BP83" s="10">
        <v>0.8</v>
      </c>
      <c r="BT83" s="10"/>
      <c r="BU83" s="10">
        <v>1</v>
      </c>
      <c r="BV83" s="10"/>
      <c r="BW83" s="10">
        <v>1</v>
      </c>
      <c r="CA83" s="10"/>
      <c r="CB83" s="10">
        <v>1</v>
      </c>
      <c r="CC83" s="10"/>
      <c r="CD83" s="10">
        <v>1</v>
      </c>
      <c r="CH83" s="10"/>
      <c r="CI83" s="10">
        <v>1</v>
      </c>
      <c r="CJ83" s="10"/>
      <c r="CK83" s="10">
        <v>1</v>
      </c>
      <c r="CO83" s="10"/>
      <c r="CP83" s="10">
        <v>1</v>
      </c>
      <c r="CQ83" s="10"/>
      <c r="CR83" s="10">
        <v>1</v>
      </c>
      <c r="CV83" s="10"/>
      <c r="CW83" s="10"/>
      <c r="CX83" s="10"/>
      <c r="CY83" s="10"/>
      <c r="DC83" s="10"/>
      <c r="DD83" s="10"/>
      <c r="DE83" s="10"/>
      <c r="DF83" s="10"/>
      <c r="DJ83" s="10"/>
      <c r="DK83" s="10"/>
      <c r="DL83" s="10"/>
      <c r="DM83" s="10"/>
      <c r="DQ83" s="10"/>
      <c r="DR83" s="10"/>
      <c r="DS83" s="10"/>
      <c r="DT83" s="10"/>
      <c r="DX83" s="10"/>
      <c r="DY83" s="10"/>
      <c r="DZ83" s="10"/>
      <c r="EA83" s="10"/>
      <c r="EE83" s="10"/>
      <c r="EF83" s="10"/>
      <c r="EG83" s="10"/>
      <c r="EH83" s="10"/>
    </row>
    <row r="84" spans="2:138" outlineLevel="1" x14ac:dyDescent="0.2">
      <c r="B84" t="s">
        <v>27</v>
      </c>
      <c r="C84" t="s">
        <v>92</v>
      </c>
      <c r="E84" s="9"/>
      <c r="F84" t="s">
        <v>148</v>
      </c>
      <c r="G84" s="10">
        <v>0</v>
      </c>
      <c r="I84" s="9">
        <f>+SUMIF($N$3:$ZT$3,I$3,$N84:$ZT84)</f>
        <v>0</v>
      </c>
      <c r="J84" s="11" cm="1">
        <f t="array" ref="J84">MAX(IF($N$3:$EB$3=$J$3,N84:EB84))</f>
        <v>0</v>
      </c>
      <c r="K84" s="11" cm="1">
        <f t="array" ref="K84">MAX(IF($N$3:$EB$3=$J$3,N84:EB84))</f>
        <v>0</v>
      </c>
      <c r="L84" s="9"/>
      <c r="P84" s="10"/>
      <c r="Q84" s="10">
        <v>0.5</v>
      </c>
      <c r="R84" s="10"/>
      <c r="S84" s="10">
        <v>0.5</v>
      </c>
      <c r="W84" s="10"/>
      <c r="X84" s="10">
        <v>0.5</v>
      </c>
      <c r="Y84" s="10"/>
      <c r="Z84" s="10">
        <v>0.5</v>
      </c>
      <c r="AD84" s="10"/>
      <c r="AE84" s="10">
        <v>0.5</v>
      </c>
      <c r="AF84" s="10"/>
      <c r="AG84" s="10">
        <v>0.5</v>
      </c>
      <c r="AK84" s="10"/>
      <c r="AL84" s="10">
        <v>0.5</v>
      </c>
      <c r="AM84" s="10"/>
      <c r="AN84" s="10">
        <v>0.5</v>
      </c>
      <c r="AR84" s="10"/>
      <c r="AS84" s="10">
        <v>0.8</v>
      </c>
      <c r="AT84" s="10"/>
      <c r="AU84" s="10">
        <v>0.8</v>
      </c>
      <c r="AY84" s="10"/>
      <c r="AZ84" s="10">
        <v>0.8</v>
      </c>
      <c r="BA84" s="10"/>
      <c r="BB84" s="10">
        <v>0.8</v>
      </c>
      <c r="BF84" s="10"/>
      <c r="BG84" s="10">
        <v>0.8</v>
      </c>
      <c r="BH84" s="10"/>
      <c r="BI84" s="10">
        <v>0.8</v>
      </c>
      <c r="BM84" s="10"/>
      <c r="BN84" s="10">
        <v>0.8</v>
      </c>
      <c r="BO84" s="10"/>
      <c r="BP84" s="10">
        <v>0.8</v>
      </c>
      <c r="BT84" s="10"/>
      <c r="BU84" s="10">
        <v>1</v>
      </c>
      <c r="BV84" s="10"/>
      <c r="BW84" s="10">
        <v>1</v>
      </c>
      <c r="CA84" s="10"/>
      <c r="CB84" s="10">
        <v>1</v>
      </c>
      <c r="CC84" s="10"/>
      <c r="CD84" s="10">
        <v>1</v>
      </c>
      <c r="CH84" s="10"/>
      <c r="CI84" s="10">
        <v>1</v>
      </c>
      <c r="CJ84" s="10"/>
      <c r="CK84" s="10">
        <v>1</v>
      </c>
      <c r="CO84" s="10"/>
      <c r="CP84" s="10">
        <v>1</v>
      </c>
      <c r="CQ84" s="10"/>
      <c r="CR84" s="10">
        <v>1</v>
      </c>
      <c r="CV84" s="10"/>
      <c r="CW84" s="10"/>
      <c r="CX84" s="10"/>
      <c r="CY84" s="10"/>
      <c r="DC84" s="10"/>
      <c r="DD84" s="10"/>
      <c r="DE84" s="10"/>
      <c r="DF84" s="10"/>
      <c r="DJ84" s="10"/>
      <c r="DK84" s="10"/>
      <c r="DL84" s="10"/>
      <c r="DM84" s="10"/>
      <c r="DQ84" s="10"/>
      <c r="DR84" s="10"/>
      <c r="DS84" s="10"/>
      <c r="DT84" s="10"/>
      <c r="DX84" s="10"/>
      <c r="DY84" s="10"/>
      <c r="DZ84" s="10"/>
      <c r="EA84" s="10"/>
      <c r="EE84" s="10"/>
      <c r="EF84" s="10"/>
      <c r="EG84" s="10"/>
      <c r="EH84" s="10"/>
    </row>
    <row r="85" spans="2:138" outlineLevel="1" x14ac:dyDescent="0.2">
      <c r="B85" t="s">
        <v>27</v>
      </c>
      <c r="C85" t="s">
        <v>92</v>
      </c>
      <c r="E85" s="9"/>
      <c r="F85" t="s">
        <v>149</v>
      </c>
      <c r="G85" s="10">
        <v>0</v>
      </c>
      <c r="I85" s="9">
        <f>+SUMIF($N$3:$ZT$3,I$3,$N85:$ZT85)</f>
        <v>0</v>
      </c>
      <c r="J85" s="11" cm="1">
        <f t="array" ref="J85">MAX(IF($N$3:$EB$3=$J$3,N85:EB85))</f>
        <v>0</v>
      </c>
      <c r="K85" s="11" cm="1">
        <f t="array" ref="K85">MAX(IF($N$3:$EB$3=$J$3,N85:EB85))</f>
        <v>0</v>
      </c>
      <c r="L85" s="9"/>
      <c r="P85" s="10"/>
      <c r="Q85" s="10">
        <v>0.5</v>
      </c>
      <c r="R85" s="10"/>
      <c r="S85" s="10">
        <v>0.5</v>
      </c>
      <c r="W85" s="10"/>
      <c r="X85" s="10">
        <v>0.5</v>
      </c>
      <c r="Y85" s="10"/>
      <c r="Z85" s="10">
        <v>0.5</v>
      </c>
      <c r="AD85" s="10"/>
      <c r="AE85" s="10">
        <v>0.5</v>
      </c>
      <c r="AF85" s="10"/>
      <c r="AG85" s="10">
        <v>0.5</v>
      </c>
      <c r="AK85" s="10"/>
      <c r="AL85" s="10">
        <v>0.5</v>
      </c>
      <c r="AM85" s="10"/>
      <c r="AN85" s="10">
        <v>0.5</v>
      </c>
      <c r="AR85" s="10"/>
      <c r="AS85" s="10">
        <v>0.8</v>
      </c>
      <c r="AT85" s="10"/>
      <c r="AU85" s="10">
        <v>0.8</v>
      </c>
      <c r="AY85" s="10"/>
      <c r="AZ85" s="10">
        <v>0.8</v>
      </c>
      <c r="BA85" s="10"/>
      <c r="BB85" s="10">
        <v>0.8</v>
      </c>
      <c r="BF85" s="10"/>
      <c r="BG85" s="10">
        <v>0.8</v>
      </c>
      <c r="BH85" s="10"/>
      <c r="BI85" s="10">
        <v>0.8</v>
      </c>
      <c r="BM85" s="10"/>
      <c r="BN85" s="10">
        <v>0.8</v>
      </c>
      <c r="BO85" s="10"/>
      <c r="BP85" s="10">
        <v>0.8</v>
      </c>
      <c r="BT85" s="10"/>
      <c r="BU85" s="10">
        <v>1</v>
      </c>
      <c r="BV85" s="10"/>
      <c r="BW85" s="10">
        <v>1</v>
      </c>
      <c r="CA85" s="10"/>
      <c r="CB85" s="10">
        <v>1</v>
      </c>
      <c r="CC85" s="10"/>
      <c r="CD85" s="10">
        <v>1</v>
      </c>
      <c r="CH85" s="10"/>
      <c r="CI85" s="10">
        <v>1</v>
      </c>
      <c r="CJ85" s="10"/>
      <c r="CK85" s="10">
        <v>1</v>
      </c>
      <c r="CO85" s="10"/>
      <c r="CP85" s="10">
        <v>1</v>
      </c>
      <c r="CQ85" s="10"/>
      <c r="CR85" s="10">
        <v>1</v>
      </c>
      <c r="CV85" s="10"/>
      <c r="CW85" s="10"/>
      <c r="CX85" s="10"/>
      <c r="CY85" s="10"/>
      <c r="DC85" s="10"/>
      <c r="DD85" s="10"/>
      <c r="DE85" s="10"/>
      <c r="DF85" s="10"/>
      <c r="DJ85" s="10"/>
      <c r="DK85" s="10"/>
      <c r="DL85" s="10"/>
      <c r="DM85" s="10"/>
      <c r="DQ85" s="10"/>
      <c r="DR85" s="10"/>
      <c r="DS85" s="10"/>
      <c r="DT85" s="10"/>
      <c r="DX85" s="10"/>
      <c r="DY85" s="10"/>
      <c r="DZ85" s="10"/>
      <c r="EA85" s="10"/>
      <c r="EE85" s="10"/>
      <c r="EF85" s="10"/>
      <c r="EG85" s="10"/>
      <c r="EH85" s="10"/>
    </row>
    <row r="86" spans="2:138" outlineLevel="1" x14ac:dyDescent="0.2">
      <c r="B86" t="s">
        <v>27</v>
      </c>
      <c r="C86" t="s">
        <v>92</v>
      </c>
      <c r="E86" s="9"/>
      <c r="F86" t="s">
        <v>151</v>
      </c>
      <c r="G86" s="10">
        <v>0</v>
      </c>
      <c r="I86" s="9">
        <v>0</v>
      </c>
      <c r="J86" s="11" cm="1">
        <f t="array" ref="J86">MAX(IF($N$3:$EB$3=$J$3,N86:EB86))</f>
        <v>0</v>
      </c>
      <c r="K86" s="11" cm="1">
        <f t="array" ref="K86">MAX(IF($N$3:$EB$3=$J$3,N86:EB86))</f>
        <v>0</v>
      </c>
      <c r="L86" s="9"/>
      <c r="P86" s="10"/>
      <c r="Q86" s="10">
        <v>0.5</v>
      </c>
      <c r="R86" s="10"/>
      <c r="S86" s="10">
        <v>0.5</v>
      </c>
      <c r="W86" s="10"/>
      <c r="X86" s="10">
        <v>0.5</v>
      </c>
      <c r="Y86" s="10"/>
      <c r="Z86" s="10">
        <v>0.5</v>
      </c>
      <c r="AD86" s="10"/>
      <c r="AE86" s="10">
        <v>0.5</v>
      </c>
      <c r="AF86" s="10"/>
      <c r="AG86" s="10">
        <v>0.5</v>
      </c>
      <c r="AK86" s="10"/>
      <c r="AL86" s="10">
        <v>0.5</v>
      </c>
      <c r="AM86" s="10"/>
      <c r="AN86" s="10">
        <v>0.5</v>
      </c>
      <c r="AR86" s="10"/>
      <c r="AS86" s="10">
        <v>0.8</v>
      </c>
      <c r="AT86" s="10"/>
      <c r="AU86" s="10">
        <v>0.8</v>
      </c>
      <c r="AY86" s="10"/>
      <c r="AZ86" s="10">
        <v>0.8</v>
      </c>
      <c r="BA86" s="10"/>
      <c r="BB86" s="10">
        <v>0.8</v>
      </c>
      <c r="BF86" s="10"/>
      <c r="BG86" s="10">
        <v>0.8</v>
      </c>
      <c r="BH86" s="10"/>
      <c r="BI86" s="10">
        <v>0.8</v>
      </c>
      <c r="BM86" s="10"/>
      <c r="BN86" s="10">
        <v>0.8</v>
      </c>
      <c r="BO86" s="10"/>
      <c r="BP86" s="10">
        <v>0.8</v>
      </c>
      <c r="BT86" s="10"/>
      <c r="BU86" s="10">
        <v>1</v>
      </c>
      <c r="BV86" s="10"/>
      <c r="BW86" s="10">
        <v>1</v>
      </c>
      <c r="CA86" s="10"/>
      <c r="CB86" s="10">
        <v>1</v>
      </c>
      <c r="CC86" s="10"/>
      <c r="CD86" s="10">
        <v>1</v>
      </c>
      <c r="CH86" s="10"/>
      <c r="CI86" s="10">
        <v>1</v>
      </c>
      <c r="CJ86" s="10"/>
      <c r="CK86" s="10">
        <v>1</v>
      </c>
      <c r="CO86" s="10"/>
      <c r="CP86" s="10">
        <v>1</v>
      </c>
      <c r="CQ86" s="10"/>
      <c r="CR86" s="10">
        <v>1</v>
      </c>
      <c r="CV86" s="10"/>
      <c r="CW86" s="10"/>
      <c r="CX86" s="10"/>
      <c r="CY86" s="10"/>
      <c r="DC86" s="10"/>
      <c r="DD86" s="10"/>
      <c r="DE86" s="10"/>
      <c r="DF86" s="10"/>
      <c r="DJ86" s="10"/>
      <c r="DK86" s="10"/>
      <c r="DL86" s="10"/>
      <c r="DM86" s="10"/>
      <c r="DQ86" s="10"/>
      <c r="DR86" s="10"/>
      <c r="DS86" s="10"/>
      <c r="DT86" s="10"/>
      <c r="DX86" s="10"/>
      <c r="DY86" s="10"/>
      <c r="DZ86" s="10"/>
      <c r="EA86" s="10"/>
      <c r="EE86" s="10"/>
      <c r="EF86" s="10"/>
      <c r="EG86" s="10"/>
      <c r="EH86" s="10"/>
    </row>
    <row r="87" spans="2:138" outlineLevel="1" x14ac:dyDescent="0.2">
      <c r="B87" t="s">
        <v>27</v>
      </c>
      <c r="C87" t="s">
        <v>92</v>
      </c>
      <c r="E87" s="9"/>
      <c r="F87" t="s">
        <v>154</v>
      </c>
      <c r="G87" s="10">
        <v>0</v>
      </c>
      <c r="I87" s="9">
        <v>0</v>
      </c>
      <c r="J87" s="11" cm="1">
        <f t="array" ref="J87">MAX(IF($N$3:$EB$3=$J$3,N87:EB87))</f>
        <v>0</v>
      </c>
      <c r="K87" s="11" cm="1">
        <f t="array" ref="K87">MAX(IF($N$3:$EB$3=$J$3,N87:EB87))</f>
        <v>0</v>
      </c>
      <c r="L87" s="9"/>
      <c r="P87" s="10"/>
      <c r="Q87" s="10"/>
      <c r="R87" s="10"/>
      <c r="S87" s="10"/>
      <c r="W87" s="10"/>
      <c r="X87" s="10">
        <v>0.5</v>
      </c>
      <c r="Y87" s="10"/>
      <c r="Z87" s="10">
        <v>0.5</v>
      </c>
      <c r="AD87" s="10"/>
      <c r="AE87" s="10">
        <v>0.5</v>
      </c>
      <c r="AF87" s="10"/>
      <c r="AG87" s="10">
        <v>0.5</v>
      </c>
      <c r="AK87" s="10"/>
      <c r="AL87" s="10">
        <v>0.5</v>
      </c>
      <c r="AM87" s="10"/>
      <c r="AN87" s="10">
        <v>0.5</v>
      </c>
      <c r="AR87" s="10"/>
      <c r="AS87" s="10">
        <v>0.5</v>
      </c>
      <c r="AT87" s="10"/>
      <c r="AU87" s="10">
        <v>0.5</v>
      </c>
      <c r="AY87" s="10"/>
      <c r="AZ87" s="10">
        <v>0.8</v>
      </c>
      <c r="BA87" s="10"/>
      <c r="BB87" s="10">
        <v>0.8</v>
      </c>
      <c r="BF87" s="10"/>
      <c r="BG87" s="10">
        <v>0.8</v>
      </c>
      <c r="BH87" s="10"/>
      <c r="BI87" s="10">
        <v>0.8</v>
      </c>
      <c r="BM87" s="10"/>
      <c r="BN87" s="10">
        <v>0.8</v>
      </c>
      <c r="BO87" s="10"/>
      <c r="BP87" s="10">
        <v>0.8</v>
      </c>
      <c r="BT87" s="10"/>
      <c r="BU87" s="10">
        <v>0.8</v>
      </c>
      <c r="BV87" s="10"/>
      <c r="BW87" s="10">
        <v>0.8</v>
      </c>
      <c r="CA87" s="10"/>
      <c r="CB87" s="10">
        <v>1</v>
      </c>
      <c r="CC87" s="10"/>
      <c r="CD87" s="10">
        <v>1</v>
      </c>
      <c r="CH87" s="10"/>
      <c r="CI87" s="10">
        <v>1</v>
      </c>
      <c r="CJ87" s="10"/>
      <c r="CK87" s="10">
        <v>1</v>
      </c>
      <c r="CO87" s="10"/>
      <c r="CP87" s="10">
        <v>1</v>
      </c>
      <c r="CQ87" s="10"/>
      <c r="CR87" s="10">
        <v>1</v>
      </c>
      <c r="CV87" s="10"/>
      <c r="CW87" s="10"/>
      <c r="CX87" s="10"/>
      <c r="CY87" s="10"/>
      <c r="DC87" s="10"/>
      <c r="DD87" s="10"/>
      <c r="DE87" s="10"/>
      <c r="DF87" s="10"/>
      <c r="DJ87" s="10"/>
      <c r="DK87" s="10"/>
      <c r="DL87" s="10"/>
      <c r="DM87" s="10"/>
      <c r="DQ87" s="10"/>
      <c r="DR87" s="10"/>
      <c r="DS87" s="10"/>
      <c r="DT87" s="10"/>
      <c r="DX87" s="10"/>
      <c r="DY87" s="10"/>
      <c r="DZ87" s="10"/>
      <c r="EA87" s="10"/>
      <c r="EE87" s="10"/>
      <c r="EF87" s="10"/>
      <c r="EG87" s="10"/>
      <c r="EH87" s="10"/>
    </row>
    <row r="88" spans="2:138" outlineLevel="1" x14ac:dyDescent="0.2">
      <c r="B88" t="s">
        <v>27</v>
      </c>
      <c r="C88" t="s">
        <v>92</v>
      </c>
      <c r="E88" s="9"/>
      <c r="F88" t="s">
        <v>152</v>
      </c>
      <c r="G88" s="10">
        <v>0</v>
      </c>
      <c r="I88" s="9">
        <f>+SUMIF($N$3:$ZT$3,I$3,$N88:$ZT88)</f>
        <v>0</v>
      </c>
      <c r="J88" s="11" cm="1">
        <f t="array" ref="J88">MAX(IF($N$3:$EB$3=$J$3,N88:EB88))</f>
        <v>0</v>
      </c>
      <c r="K88" s="11" cm="1">
        <f t="array" ref="K88">MAX(IF($N$3:$EB$3=$J$3,N88:EB88))</f>
        <v>0</v>
      </c>
      <c r="L88" s="9"/>
      <c r="P88" s="10"/>
      <c r="Q88" s="10"/>
      <c r="R88" s="10"/>
      <c r="S88" s="10"/>
      <c r="W88" s="10"/>
      <c r="X88" s="10">
        <v>0.5</v>
      </c>
      <c r="Y88" s="10"/>
      <c r="Z88" s="10">
        <v>0.5</v>
      </c>
      <c r="AD88" s="10"/>
      <c r="AE88" s="10">
        <v>0.5</v>
      </c>
      <c r="AF88" s="10"/>
      <c r="AG88" s="10">
        <v>0.5</v>
      </c>
      <c r="AK88" s="10"/>
      <c r="AL88" s="10">
        <v>0.5</v>
      </c>
      <c r="AM88" s="10"/>
      <c r="AN88" s="10">
        <v>0.5</v>
      </c>
      <c r="AR88" s="10"/>
      <c r="AS88" s="10">
        <v>0.5</v>
      </c>
      <c r="AT88" s="10"/>
      <c r="AU88" s="10">
        <v>0.5</v>
      </c>
      <c r="AY88" s="10"/>
      <c r="AZ88" s="10">
        <v>0.8</v>
      </c>
      <c r="BA88" s="10"/>
      <c r="BB88" s="10">
        <v>0.8</v>
      </c>
      <c r="BF88" s="10"/>
      <c r="BG88" s="10">
        <v>0.8</v>
      </c>
      <c r="BH88" s="10"/>
      <c r="BI88" s="10">
        <v>0.8</v>
      </c>
      <c r="BM88" s="10"/>
      <c r="BN88" s="10">
        <v>0.8</v>
      </c>
      <c r="BO88" s="10"/>
      <c r="BP88" s="10">
        <v>0.8</v>
      </c>
      <c r="BT88" s="10"/>
      <c r="BU88" s="10">
        <v>0.8</v>
      </c>
      <c r="BV88" s="10"/>
      <c r="BW88" s="10">
        <v>0.8</v>
      </c>
      <c r="CA88" s="10"/>
      <c r="CB88" s="10">
        <v>1</v>
      </c>
      <c r="CC88" s="10"/>
      <c r="CD88" s="10">
        <v>1</v>
      </c>
      <c r="CH88" s="10"/>
      <c r="CI88" s="10">
        <v>1</v>
      </c>
      <c r="CJ88" s="10"/>
      <c r="CK88" s="10">
        <v>1</v>
      </c>
      <c r="CO88" s="10"/>
      <c r="CP88" s="10">
        <v>1</v>
      </c>
      <c r="CQ88" s="10"/>
      <c r="CR88" s="10">
        <v>1</v>
      </c>
      <c r="CV88" s="10"/>
      <c r="CW88" s="10"/>
      <c r="CX88" s="10"/>
      <c r="CY88" s="10"/>
      <c r="DC88" s="10"/>
      <c r="DD88" s="10"/>
      <c r="DE88" s="10"/>
      <c r="DF88" s="10"/>
      <c r="DJ88" s="10"/>
      <c r="DK88" s="10"/>
      <c r="DL88" s="10"/>
      <c r="DM88" s="10"/>
      <c r="DQ88" s="10"/>
      <c r="DR88" s="10"/>
      <c r="DS88" s="10"/>
      <c r="DT88" s="10"/>
      <c r="DX88" s="10"/>
      <c r="DY88" s="10"/>
      <c r="DZ88" s="10"/>
      <c r="EA88" s="10"/>
      <c r="EE88" s="10"/>
      <c r="EF88" s="10"/>
      <c r="EG88" s="10"/>
      <c r="EH88" s="10"/>
    </row>
    <row r="89" spans="2:138" outlineLevel="1" x14ac:dyDescent="0.2">
      <c r="B89" t="s">
        <v>27</v>
      </c>
      <c r="C89" t="s">
        <v>92</v>
      </c>
      <c r="E89" s="9"/>
      <c r="F89" t="s">
        <v>153</v>
      </c>
      <c r="G89" s="10">
        <v>0</v>
      </c>
      <c r="I89" s="9">
        <f>+SUMIF($N$3:$ZT$3,I$3,$N89:$ZT89)</f>
        <v>0</v>
      </c>
      <c r="J89" s="11" cm="1">
        <f t="array" ref="J89">MAX(IF($N$3:$EB$3=$J$3,N89:EB89))</f>
        <v>0</v>
      </c>
      <c r="K89" s="11" cm="1">
        <f t="array" ref="K89">MAX(IF($N$3:$EB$3=$J$3,N89:EB89))</f>
        <v>0</v>
      </c>
      <c r="L89" s="9"/>
      <c r="P89" s="10"/>
      <c r="Q89" s="10"/>
      <c r="R89" s="10"/>
      <c r="S89" s="10"/>
      <c r="W89" s="10"/>
      <c r="X89" s="10">
        <v>0.5</v>
      </c>
      <c r="Y89" s="10"/>
      <c r="Z89" s="10">
        <v>0.5</v>
      </c>
      <c r="AD89" s="10"/>
      <c r="AE89" s="10">
        <v>0.5</v>
      </c>
      <c r="AF89" s="10"/>
      <c r="AG89" s="10">
        <v>0.5</v>
      </c>
      <c r="AK89" s="10"/>
      <c r="AL89" s="10">
        <v>0.5</v>
      </c>
      <c r="AM89" s="10"/>
      <c r="AN89" s="10">
        <v>0.5</v>
      </c>
      <c r="AR89" s="10"/>
      <c r="AS89" s="10">
        <v>0.5</v>
      </c>
      <c r="AT89" s="10"/>
      <c r="AU89" s="10">
        <v>0.5</v>
      </c>
      <c r="AY89" s="10"/>
      <c r="AZ89" s="10">
        <v>0.8</v>
      </c>
      <c r="BA89" s="10"/>
      <c r="BB89" s="10">
        <v>0.8</v>
      </c>
      <c r="BF89" s="10"/>
      <c r="BG89" s="10">
        <v>0.8</v>
      </c>
      <c r="BH89" s="10"/>
      <c r="BI89" s="10">
        <v>0.8</v>
      </c>
      <c r="BM89" s="10"/>
      <c r="BN89" s="10">
        <v>0.8</v>
      </c>
      <c r="BO89" s="10"/>
      <c r="BP89" s="10">
        <v>0.8</v>
      </c>
      <c r="BT89" s="10"/>
      <c r="BU89" s="10">
        <v>0.8</v>
      </c>
      <c r="BV89" s="10"/>
      <c r="BW89" s="10">
        <v>0.8</v>
      </c>
      <c r="CA89" s="10"/>
      <c r="CB89" s="10">
        <v>1</v>
      </c>
      <c r="CC89" s="10"/>
      <c r="CD89" s="10">
        <v>1</v>
      </c>
      <c r="CH89" s="10"/>
      <c r="CI89" s="10">
        <v>1</v>
      </c>
      <c r="CJ89" s="10"/>
      <c r="CK89" s="10">
        <v>1</v>
      </c>
      <c r="CO89" s="10"/>
      <c r="CP89" s="10">
        <v>1</v>
      </c>
      <c r="CQ89" s="10"/>
      <c r="CR89" s="10">
        <v>1</v>
      </c>
      <c r="CV89" s="10"/>
      <c r="CW89" s="10"/>
      <c r="CX89" s="10"/>
      <c r="CY89" s="10"/>
      <c r="DC89" s="10"/>
      <c r="DD89" s="10"/>
      <c r="DE89" s="10"/>
      <c r="DF89" s="10"/>
      <c r="DJ89" s="10"/>
      <c r="DK89" s="10"/>
      <c r="DL89" s="10"/>
      <c r="DM89" s="10"/>
      <c r="DQ89" s="10"/>
      <c r="DR89" s="10"/>
      <c r="DS89" s="10"/>
      <c r="DT89" s="10"/>
      <c r="DX89" s="10"/>
      <c r="DY89" s="10"/>
      <c r="DZ89" s="10"/>
      <c r="EA89" s="10"/>
      <c r="EE89" s="10"/>
      <c r="EF89" s="10"/>
      <c r="EG89" s="10"/>
      <c r="EH89" s="10"/>
    </row>
    <row r="90" spans="2:138" outlineLevel="1" x14ac:dyDescent="0.2">
      <c r="B90" t="s">
        <v>27</v>
      </c>
      <c r="C90" t="s">
        <v>92</v>
      </c>
      <c r="E90" s="9"/>
      <c r="F90" t="s">
        <v>155</v>
      </c>
      <c r="G90" s="10">
        <v>0</v>
      </c>
      <c r="I90" s="9">
        <v>0</v>
      </c>
      <c r="J90" s="11" cm="1">
        <f t="array" ref="J90">MAX(IF($N$3:$EB$3=$J$3,N90:EB90))</f>
        <v>0</v>
      </c>
      <c r="K90" s="11" cm="1">
        <f t="array" ref="K90">MAX(IF($N$3:$EB$3=$J$3,N90:EB90))</f>
        <v>0</v>
      </c>
      <c r="L90" s="9"/>
      <c r="P90" s="10"/>
      <c r="Q90" s="10"/>
      <c r="R90" s="10"/>
      <c r="S90" s="10"/>
      <c r="W90" s="10"/>
      <c r="X90" s="10">
        <v>0.5</v>
      </c>
      <c r="Y90" s="10"/>
      <c r="Z90" s="10">
        <v>0.5</v>
      </c>
      <c r="AD90" s="10"/>
      <c r="AE90" s="10">
        <v>0.5</v>
      </c>
      <c r="AF90" s="10"/>
      <c r="AG90" s="10">
        <v>0.5</v>
      </c>
      <c r="AK90" s="10"/>
      <c r="AL90" s="10">
        <v>0.5</v>
      </c>
      <c r="AM90" s="10"/>
      <c r="AN90" s="10">
        <v>0.5</v>
      </c>
      <c r="AR90" s="10"/>
      <c r="AS90" s="10">
        <v>0.5</v>
      </c>
      <c r="AT90" s="10"/>
      <c r="AU90" s="10">
        <v>0.5</v>
      </c>
      <c r="AY90" s="10"/>
      <c r="AZ90" s="10">
        <v>0.8</v>
      </c>
      <c r="BA90" s="10"/>
      <c r="BB90" s="10">
        <v>0.8</v>
      </c>
      <c r="BF90" s="10"/>
      <c r="BG90" s="10">
        <v>0.8</v>
      </c>
      <c r="BH90" s="10"/>
      <c r="BI90" s="10">
        <v>0.8</v>
      </c>
      <c r="BM90" s="10"/>
      <c r="BN90" s="10">
        <v>0.8</v>
      </c>
      <c r="BO90" s="10"/>
      <c r="BP90" s="10">
        <v>0.8</v>
      </c>
      <c r="BT90" s="10"/>
      <c r="BU90" s="10">
        <v>0.8</v>
      </c>
      <c r="BV90" s="10"/>
      <c r="BW90" s="10">
        <v>0.8</v>
      </c>
      <c r="CA90" s="10"/>
      <c r="CB90" s="10">
        <v>1</v>
      </c>
      <c r="CC90" s="10"/>
      <c r="CD90" s="10">
        <v>1</v>
      </c>
      <c r="CH90" s="10"/>
      <c r="CI90" s="10">
        <v>1</v>
      </c>
      <c r="CJ90" s="10"/>
      <c r="CK90" s="10">
        <v>1</v>
      </c>
      <c r="CO90" s="10"/>
      <c r="CP90" s="10">
        <v>1</v>
      </c>
      <c r="CQ90" s="10"/>
      <c r="CR90" s="10">
        <v>1</v>
      </c>
      <c r="CV90" s="10"/>
      <c r="CW90" s="10"/>
      <c r="CX90" s="10"/>
      <c r="CY90" s="10"/>
      <c r="DC90" s="10"/>
      <c r="DD90" s="10"/>
      <c r="DE90" s="10"/>
      <c r="DF90" s="10"/>
      <c r="DJ90" s="10"/>
      <c r="DK90" s="10"/>
      <c r="DL90" s="10"/>
      <c r="DM90" s="10"/>
      <c r="DQ90" s="10"/>
      <c r="DR90" s="10"/>
      <c r="DS90" s="10"/>
      <c r="DT90" s="10"/>
      <c r="DX90" s="10"/>
      <c r="DY90" s="10"/>
      <c r="DZ90" s="10"/>
      <c r="EA90" s="10"/>
      <c r="EE90" s="10"/>
      <c r="EF90" s="10"/>
      <c r="EG90" s="10"/>
      <c r="EH90" s="10"/>
    </row>
    <row r="91" spans="2:138" outlineLevel="1" x14ac:dyDescent="0.2">
      <c r="B91" t="s">
        <v>27</v>
      </c>
      <c r="C91" t="s">
        <v>92</v>
      </c>
      <c r="E91" s="9"/>
      <c r="F91" t="s">
        <v>156</v>
      </c>
      <c r="G91" s="10">
        <v>0</v>
      </c>
      <c r="I91" s="9">
        <v>0</v>
      </c>
      <c r="J91" s="11" cm="1">
        <f t="array" ref="J91">MAX(IF($N$3:$EB$3=$J$3,N91:EB91))</f>
        <v>0</v>
      </c>
      <c r="K91" s="11" cm="1">
        <f t="array" ref="K91">MAX(IF($N$3:$EB$3=$J$3,N91:EB91))</f>
        <v>0</v>
      </c>
      <c r="L91" s="9"/>
      <c r="P91" s="10"/>
      <c r="Q91" s="10"/>
      <c r="R91" s="10"/>
      <c r="S91" s="10"/>
      <c r="W91" s="10"/>
      <c r="X91" s="10">
        <v>0.5</v>
      </c>
      <c r="Y91" s="10"/>
      <c r="Z91" s="10">
        <v>0.5</v>
      </c>
      <c r="AD91" s="10"/>
      <c r="AE91" s="10">
        <v>0.5</v>
      </c>
      <c r="AF91" s="10"/>
      <c r="AG91" s="10">
        <v>0.5</v>
      </c>
      <c r="AK91" s="10"/>
      <c r="AL91" s="10">
        <v>0.5</v>
      </c>
      <c r="AM91" s="10"/>
      <c r="AN91" s="10">
        <v>0.5</v>
      </c>
      <c r="AR91" s="10"/>
      <c r="AS91" s="10">
        <v>0.5</v>
      </c>
      <c r="AT91" s="10"/>
      <c r="AU91" s="10">
        <v>0.5</v>
      </c>
      <c r="AY91" s="10"/>
      <c r="AZ91" s="10">
        <v>0.8</v>
      </c>
      <c r="BA91" s="10"/>
      <c r="BB91" s="10">
        <v>0.8</v>
      </c>
      <c r="BF91" s="10"/>
      <c r="BG91" s="10">
        <v>0.8</v>
      </c>
      <c r="BH91" s="10"/>
      <c r="BI91" s="10">
        <v>0.8</v>
      </c>
      <c r="BM91" s="10"/>
      <c r="BN91" s="10">
        <v>0.8</v>
      </c>
      <c r="BO91" s="10"/>
      <c r="BP91" s="10">
        <v>0.8</v>
      </c>
      <c r="BT91" s="10"/>
      <c r="BU91" s="10">
        <v>0.8</v>
      </c>
      <c r="BV91" s="10"/>
      <c r="BW91" s="10">
        <v>0.8</v>
      </c>
      <c r="CA91" s="10"/>
      <c r="CB91" s="10">
        <v>1</v>
      </c>
      <c r="CC91" s="10"/>
      <c r="CD91" s="10">
        <v>1</v>
      </c>
      <c r="CH91" s="10"/>
      <c r="CI91" s="10">
        <v>1</v>
      </c>
      <c r="CJ91" s="10"/>
      <c r="CK91" s="10">
        <v>1</v>
      </c>
      <c r="CO91" s="10"/>
      <c r="CP91" s="10">
        <v>1</v>
      </c>
      <c r="CQ91" s="10"/>
      <c r="CR91" s="10">
        <v>1</v>
      </c>
      <c r="CV91" s="10"/>
      <c r="CW91" s="10"/>
      <c r="CX91" s="10"/>
      <c r="CY91" s="10"/>
      <c r="DC91" s="10"/>
      <c r="DD91" s="10"/>
      <c r="DE91" s="10"/>
      <c r="DF91" s="10"/>
      <c r="DJ91" s="10"/>
      <c r="DK91" s="10"/>
      <c r="DL91" s="10"/>
      <c r="DM91" s="10"/>
      <c r="DQ91" s="10"/>
      <c r="DR91" s="10"/>
      <c r="DS91" s="10"/>
      <c r="DT91" s="10"/>
      <c r="DX91" s="10"/>
      <c r="DY91" s="10"/>
      <c r="DZ91" s="10"/>
      <c r="EA91" s="10"/>
      <c r="EE91" s="10"/>
      <c r="EF91" s="10"/>
      <c r="EG91" s="10"/>
      <c r="EH91" s="10"/>
    </row>
    <row r="92" spans="2:138" outlineLevel="1" x14ac:dyDescent="0.2">
      <c r="B92" t="s">
        <v>27</v>
      </c>
      <c r="C92" t="s">
        <v>92</v>
      </c>
      <c r="E92" s="9"/>
      <c r="F92" t="s">
        <v>157</v>
      </c>
      <c r="G92" s="10">
        <v>0</v>
      </c>
      <c r="I92" s="9">
        <f>+SUMIF($N$3:$ZT$3,I$3,$N92:$ZT92)</f>
        <v>0</v>
      </c>
      <c r="J92" s="11" cm="1">
        <f t="array" ref="J92">MAX(IF($N$3:$EB$3=$J$3,N92:EB92))</f>
        <v>0</v>
      </c>
      <c r="K92" s="11" cm="1">
        <f t="array" ref="K92">MAX(IF($N$3:$EB$3=$J$3,N92:EB92))</f>
        <v>0</v>
      </c>
      <c r="L92" s="9"/>
      <c r="P92" s="10"/>
      <c r="Q92" s="10"/>
      <c r="R92" s="10"/>
      <c r="S92" s="10"/>
      <c r="W92" s="10"/>
      <c r="X92" s="10"/>
      <c r="Y92" s="10"/>
      <c r="Z92" s="10"/>
      <c r="AD92" s="10"/>
      <c r="AE92" s="10">
        <v>0.5</v>
      </c>
      <c r="AF92" s="10"/>
      <c r="AG92" s="10">
        <v>0.5</v>
      </c>
      <c r="AK92" s="10"/>
      <c r="AL92" s="10">
        <v>0.5</v>
      </c>
      <c r="AM92" s="10"/>
      <c r="AN92" s="10">
        <v>0.5</v>
      </c>
      <c r="AR92" s="10"/>
      <c r="AS92" s="10">
        <v>0.5</v>
      </c>
      <c r="AT92" s="10"/>
      <c r="AU92" s="10">
        <v>0.5</v>
      </c>
      <c r="AY92" s="10"/>
      <c r="AZ92" s="10">
        <v>0.5</v>
      </c>
      <c r="BA92" s="10"/>
      <c r="BB92" s="10">
        <v>0.5</v>
      </c>
      <c r="BF92" s="10"/>
      <c r="BG92" s="10">
        <v>0.8</v>
      </c>
      <c r="BH92" s="10"/>
      <c r="BI92" s="10">
        <v>0.8</v>
      </c>
      <c r="BM92" s="10"/>
      <c r="BN92" s="10">
        <v>0.8</v>
      </c>
      <c r="BO92" s="10"/>
      <c r="BP92" s="10">
        <v>0.8</v>
      </c>
      <c r="BT92" s="10"/>
      <c r="BU92" s="10">
        <v>0.8</v>
      </c>
      <c r="BV92" s="10"/>
      <c r="BW92" s="10">
        <v>0.8</v>
      </c>
      <c r="CA92" s="10"/>
      <c r="CB92" s="10">
        <v>0.8</v>
      </c>
      <c r="CC92" s="10"/>
      <c r="CD92" s="10">
        <v>0.8</v>
      </c>
      <c r="CH92" s="10"/>
      <c r="CI92" s="10">
        <v>1</v>
      </c>
      <c r="CJ92" s="10"/>
      <c r="CK92" s="10">
        <v>1</v>
      </c>
      <c r="CO92" s="10"/>
      <c r="CP92" s="10">
        <v>1</v>
      </c>
      <c r="CQ92" s="10"/>
      <c r="CR92" s="10">
        <v>1</v>
      </c>
      <c r="CV92" s="10"/>
      <c r="CW92" s="10"/>
      <c r="CX92" s="10"/>
      <c r="CY92" s="10"/>
      <c r="DC92" s="10"/>
      <c r="DD92" s="10"/>
      <c r="DE92" s="10"/>
      <c r="DF92" s="10"/>
      <c r="DJ92" s="10"/>
      <c r="DK92" s="10"/>
      <c r="DL92" s="10"/>
      <c r="DM92" s="10"/>
      <c r="DQ92" s="10"/>
      <c r="DR92" s="10"/>
      <c r="DS92" s="10"/>
      <c r="DT92" s="10"/>
      <c r="DX92" s="10"/>
      <c r="DY92" s="10"/>
      <c r="DZ92" s="10"/>
      <c r="EA92" s="10"/>
      <c r="EE92" s="10"/>
      <c r="EF92" s="10"/>
      <c r="EG92" s="10"/>
      <c r="EH92" s="10"/>
    </row>
    <row r="93" spans="2:138" outlineLevel="1" x14ac:dyDescent="0.2">
      <c r="B93" t="s">
        <v>27</v>
      </c>
      <c r="C93" t="s">
        <v>92</v>
      </c>
      <c r="E93" s="9"/>
      <c r="F93" t="s">
        <v>158</v>
      </c>
      <c r="G93" s="10">
        <v>0</v>
      </c>
      <c r="I93" s="9">
        <f>+SUMIF($N$3:$ZT$3,I$3,$N93:$ZT93)</f>
        <v>0</v>
      </c>
      <c r="J93" s="11" cm="1">
        <f t="array" ref="J93">MAX(IF($N$3:$EB$3=$J$3,N93:EB93))</f>
        <v>0</v>
      </c>
      <c r="K93" s="11" cm="1">
        <f t="array" ref="K93">MAX(IF($N$3:$EB$3=$J$3,N93:EB93))</f>
        <v>0</v>
      </c>
      <c r="L93" s="9"/>
      <c r="P93" s="10"/>
      <c r="Q93" s="10"/>
      <c r="R93" s="10"/>
      <c r="S93" s="10"/>
      <c r="W93" s="10"/>
      <c r="X93" s="10"/>
      <c r="Y93" s="10"/>
      <c r="Z93" s="10"/>
      <c r="AD93" s="10"/>
      <c r="AE93" s="10">
        <v>0.5</v>
      </c>
      <c r="AF93" s="10"/>
      <c r="AG93" s="10">
        <v>0.5</v>
      </c>
      <c r="AK93" s="10"/>
      <c r="AL93" s="10">
        <v>0.5</v>
      </c>
      <c r="AM93" s="10"/>
      <c r="AN93" s="10">
        <v>0.5</v>
      </c>
      <c r="AR93" s="10"/>
      <c r="AS93" s="10">
        <v>0.5</v>
      </c>
      <c r="AT93" s="10"/>
      <c r="AU93" s="10">
        <v>0.5</v>
      </c>
      <c r="AY93" s="10"/>
      <c r="AZ93" s="10">
        <v>0.5</v>
      </c>
      <c r="BA93" s="10"/>
      <c r="BB93" s="10">
        <v>0.5</v>
      </c>
      <c r="BF93" s="10"/>
      <c r="BG93" s="10">
        <v>0.8</v>
      </c>
      <c r="BH93" s="10"/>
      <c r="BI93" s="10">
        <v>0.8</v>
      </c>
      <c r="BM93" s="10"/>
      <c r="BN93" s="10">
        <v>0.8</v>
      </c>
      <c r="BO93" s="10"/>
      <c r="BP93" s="10">
        <v>0.8</v>
      </c>
      <c r="BT93" s="10"/>
      <c r="BU93" s="10">
        <v>0.8</v>
      </c>
      <c r="BV93" s="10"/>
      <c r="BW93" s="10">
        <v>0.8</v>
      </c>
      <c r="CA93" s="10"/>
      <c r="CB93" s="10">
        <v>0.8</v>
      </c>
      <c r="CC93" s="10"/>
      <c r="CD93" s="10">
        <v>0.8</v>
      </c>
      <c r="CH93" s="10"/>
      <c r="CI93" s="10">
        <v>1</v>
      </c>
      <c r="CJ93" s="10"/>
      <c r="CK93" s="10">
        <v>1</v>
      </c>
      <c r="CO93" s="10"/>
      <c r="CP93" s="10">
        <v>1</v>
      </c>
      <c r="CQ93" s="10"/>
      <c r="CR93" s="10">
        <v>1</v>
      </c>
      <c r="CV93" s="10"/>
      <c r="CW93" s="10"/>
      <c r="CX93" s="10"/>
      <c r="CY93" s="10"/>
      <c r="DC93" s="10"/>
      <c r="DD93" s="10"/>
      <c r="DE93" s="10"/>
      <c r="DF93" s="10"/>
      <c r="DJ93" s="10"/>
      <c r="DK93" s="10"/>
      <c r="DL93" s="10"/>
      <c r="DM93" s="10"/>
      <c r="DQ93" s="10"/>
      <c r="DR93" s="10"/>
      <c r="DS93" s="10"/>
      <c r="DT93" s="10"/>
      <c r="DX93" s="10"/>
      <c r="DY93" s="10"/>
      <c r="DZ93" s="10"/>
      <c r="EA93" s="10"/>
      <c r="EE93" s="10"/>
      <c r="EF93" s="10"/>
      <c r="EG93" s="10"/>
      <c r="EH93" s="10"/>
    </row>
    <row r="94" spans="2:138" outlineLevel="1" x14ac:dyDescent="0.2">
      <c r="B94" t="s">
        <v>27</v>
      </c>
      <c r="C94" t="s">
        <v>92</v>
      </c>
      <c r="E94" s="9"/>
      <c r="F94" t="s">
        <v>159</v>
      </c>
      <c r="G94" s="10">
        <v>0</v>
      </c>
      <c r="I94" s="9">
        <v>0</v>
      </c>
      <c r="J94" s="11" cm="1">
        <f t="array" ref="J94">MAX(IF($N$3:$EB$3=$J$3,N94:EB94))</f>
        <v>0</v>
      </c>
      <c r="K94" s="11" cm="1">
        <f t="array" ref="K94">MAX(IF($N$3:$EB$3=$J$3,N94:EB94))</f>
        <v>0</v>
      </c>
      <c r="L94" s="9"/>
      <c r="P94" s="10"/>
      <c r="Q94" s="10"/>
      <c r="R94" s="10"/>
      <c r="S94" s="10"/>
      <c r="W94" s="10"/>
      <c r="X94" s="10"/>
      <c r="Y94" s="10"/>
      <c r="Z94" s="10"/>
      <c r="AD94" s="10"/>
      <c r="AE94" s="10">
        <v>0.5</v>
      </c>
      <c r="AF94" s="10"/>
      <c r="AG94" s="10">
        <v>0.5</v>
      </c>
      <c r="AK94" s="10"/>
      <c r="AL94" s="10">
        <v>0.5</v>
      </c>
      <c r="AM94" s="10"/>
      <c r="AN94" s="10">
        <v>0.5</v>
      </c>
      <c r="AR94" s="10"/>
      <c r="AS94" s="10">
        <v>0.5</v>
      </c>
      <c r="AT94" s="10"/>
      <c r="AU94" s="10">
        <v>0.5</v>
      </c>
      <c r="AY94" s="10"/>
      <c r="AZ94" s="10">
        <v>0.5</v>
      </c>
      <c r="BA94" s="10"/>
      <c r="BB94" s="10">
        <v>0.5</v>
      </c>
      <c r="BF94" s="10"/>
      <c r="BG94" s="10">
        <v>0.8</v>
      </c>
      <c r="BH94" s="10"/>
      <c r="BI94" s="10">
        <v>0.8</v>
      </c>
      <c r="BM94" s="10"/>
      <c r="BN94" s="10">
        <v>0.8</v>
      </c>
      <c r="BO94" s="10"/>
      <c r="BP94" s="10">
        <v>0.8</v>
      </c>
      <c r="BT94" s="10"/>
      <c r="BU94" s="10">
        <v>0.8</v>
      </c>
      <c r="BV94" s="10"/>
      <c r="BW94" s="10">
        <v>0.8</v>
      </c>
      <c r="CA94" s="10"/>
      <c r="CB94" s="10">
        <v>0.8</v>
      </c>
      <c r="CC94" s="10"/>
      <c r="CD94" s="10">
        <v>0.8</v>
      </c>
      <c r="CH94" s="10"/>
      <c r="CI94" s="10">
        <v>1</v>
      </c>
      <c r="CJ94" s="10"/>
      <c r="CK94" s="10">
        <v>1</v>
      </c>
      <c r="CO94" s="10"/>
      <c r="CP94" s="10">
        <v>1</v>
      </c>
      <c r="CQ94" s="10"/>
      <c r="CR94" s="10">
        <v>1</v>
      </c>
      <c r="CV94" s="10"/>
      <c r="CW94" s="10"/>
      <c r="CX94" s="10"/>
      <c r="CY94" s="10"/>
      <c r="DC94" s="10"/>
      <c r="DD94" s="10"/>
      <c r="DE94" s="10"/>
      <c r="DF94" s="10"/>
      <c r="DJ94" s="10"/>
      <c r="DK94" s="10"/>
      <c r="DL94" s="10"/>
      <c r="DM94" s="10"/>
      <c r="DQ94" s="10"/>
      <c r="DR94" s="10"/>
      <c r="DS94" s="10"/>
      <c r="DT94" s="10"/>
      <c r="DX94" s="10"/>
      <c r="DY94" s="10"/>
      <c r="DZ94" s="10"/>
      <c r="EA94" s="10"/>
      <c r="EE94" s="10"/>
      <c r="EF94" s="10"/>
      <c r="EG94" s="10"/>
      <c r="EH94" s="10"/>
    </row>
    <row r="95" spans="2:138" outlineLevel="1" x14ac:dyDescent="0.2">
      <c r="B95" t="s">
        <v>27</v>
      </c>
      <c r="C95" t="s">
        <v>92</v>
      </c>
      <c r="E95" s="9"/>
      <c r="F95" t="s">
        <v>298</v>
      </c>
      <c r="G95" s="10">
        <v>0</v>
      </c>
      <c r="I95" s="9">
        <v>0</v>
      </c>
      <c r="J95" s="11" cm="1">
        <f t="array" ref="J95">MAX(IF($N$3:$EB$3=$J$3,N95:EB95))</f>
        <v>0</v>
      </c>
      <c r="K95" s="11" cm="1">
        <f t="array" ref="K95">MAX(IF($N$3:$EB$3=$J$3,N95:EB95))</f>
        <v>0</v>
      </c>
      <c r="L95" s="9"/>
      <c r="P95" s="10"/>
      <c r="Q95" s="10"/>
      <c r="R95" s="10"/>
      <c r="S95" s="10"/>
      <c r="W95" s="10"/>
      <c r="X95" s="10"/>
      <c r="Y95" s="10"/>
      <c r="Z95" s="10"/>
      <c r="AD95" s="10"/>
      <c r="AE95" s="10">
        <v>0.5</v>
      </c>
      <c r="AF95" s="10"/>
      <c r="AG95" s="10">
        <v>0.5</v>
      </c>
      <c r="AK95" s="10"/>
      <c r="AL95" s="10">
        <v>0.5</v>
      </c>
      <c r="AM95" s="10"/>
      <c r="AN95" s="10">
        <v>0.5</v>
      </c>
      <c r="AR95" s="10"/>
      <c r="AS95" s="10">
        <v>0.5</v>
      </c>
      <c r="AT95" s="10"/>
      <c r="AU95" s="10">
        <v>0.5</v>
      </c>
      <c r="AY95" s="10"/>
      <c r="AZ95" s="10">
        <v>0.5</v>
      </c>
      <c r="BA95" s="10"/>
      <c r="BB95" s="10">
        <v>0.5</v>
      </c>
      <c r="BF95" s="10"/>
      <c r="BG95" s="10">
        <v>0.8</v>
      </c>
      <c r="BH95" s="10"/>
      <c r="BI95" s="10">
        <v>0.8</v>
      </c>
      <c r="BM95" s="10"/>
      <c r="BN95" s="10">
        <v>0.8</v>
      </c>
      <c r="BO95" s="10"/>
      <c r="BP95" s="10">
        <v>0.8</v>
      </c>
      <c r="BT95" s="10"/>
      <c r="BU95" s="10">
        <v>0.8</v>
      </c>
      <c r="BV95" s="10"/>
      <c r="BW95" s="10">
        <v>0.8</v>
      </c>
      <c r="CA95" s="10"/>
      <c r="CB95" s="10">
        <v>0.8</v>
      </c>
      <c r="CC95" s="10"/>
      <c r="CD95" s="10">
        <v>0.8</v>
      </c>
      <c r="CH95" s="10"/>
      <c r="CI95" s="10">
        <v>1</v>
      </c>
      <c r="CJ95" s="10"/>
      <c r="CK95" s="10">
        <v>1</v>
      </c>
      <c r="CO95" s="10"/>
      <c r="CP95" s="10">
        <v>1</v>
      </c>
      <c r="CQ95" s="10"/>
      <c r="CR95" s="10">
        <v>1</v>
      </c>
      <c r="CV95" s="10"/>
      <c r="CW95" s="10"/>
      <c r="CX95" s="10"/>
      <c r="CY95" s="10"/>
      <c r="DC95" s="10"/>
      <c r="DD95" s="10"/>
      <c r="DE95" s="10"/>
      <c r="DF95" s="10"/>
      <c r="DJ95" s="10"/>
      <c r="DK95" s="10"/>
      <c r="DL95" s="10"/>
      <c r="DM95" s="10"/>
      <c r="DQ95" s="10"/>
      <c r="DR95" s="10"/>
      <c r="DS95" s="10"/>
      <c r="DT95" s="10"/>
      <c r="DX95" s="10"/>
      <c r="DY95" s="10"/>
      <c r="DZ95" s="10"/>
      <c r="EA95" s="10"/>
      <c r="EE95" s="10"/>
      <c r="EF95" s="10"/>
      <c r="EG95" s="10"/>
      <c r="EH95" s="10"/>
    </row>
    <row r="96" spans="2:138" outlineLevel="1" x14ac:dyDescent="0.2">
      <c r="B96" t="s">
        <v>27</v>
      </c>
      <c r="C96" t="s">
        <v>92</v>
      </c>
      <c r="E96" s="9"/>
      <c r="F96" t="s">
        <v>297</v>
      </c>
      <c r="G96" s="10">
        <v>0</v>
      </c>
      <c r="I96" s="9">
        <v>0</v>
      </c>
      <c r="J96" s="11" cm="1">
        <f t="array" ref="J96">MAX(IF($N$3:$EB$3=$J$3,N96:EB96))</f>
        <v>0</v>
      </c>
      <c r="K96" s="11" cm="1">
        <f t="array" ref="K96">MAX(IF($N$3:$EB$3=$J$3,N96:EB96))</f>
        <v>0</v>
      </c>
      <c r="L96" s="9"/>
      <c r="P96" s="10"/>
      <c r="Q96" s="10"/>
      <c r="R96" s="10"/>
      <c r="S96" s="10"/>
      <c r="W96" s="10"/>
      <c r="X96" s="10"/>
      <c r="Y96" s="10"/>
      <c r="Z96" s="10"/>
      <c r="AD96" s="10"/>
      <c r="AE96" s="10">
        <v>0.5</v>
      </c>
      <c r="AF96" s="10"/>
      <c r="AG96" s="10">
        <v>0.5</v>
      </c>
      <c r="AK96" s="10"/>
      <c r="AL96" s="10">
        <v>0.5</v>
      </c>
      <c r="AM96" s="10"/>
      <c r="AN96" s="10">
        <v>0.5</v>
      </c>
      <c r="AR96" s="10"/>
      <c r="AS96" s="10">
        <v>0.5</v>
      </c>
      <c r="AT96" s="10"/>
      <c r="AU96" s="10">
        <v>0.5</v>
      </c>
      <c r="AY96" s="10"/>
      <c r="AZ96" s="10">
        <v>0.5</v>
      </c>
      <c r="BA96" s="10"/>
      <c r="BB96" s="10">
        <v>0.5</v>
      </c>
      <c r="BF96" s="10"/>
      <c r="BG96" s="10">
        <v>0.8</v>
      </c>
      <c r="BH96" s="10"/>
      <c r="BI96" s="10">
        <v>0.8</v>
      </c>
      <c r="BM96" s="10"/>
      <c r="BN96" s="10">
        <v>0.8</v>
      </c>
      <c r="BO96" s="10"/>
      <c r="BP96" s="10">
        <v>0.8</v>
      </c>
      <c r="BT96" s="10"/>
      <c r="BU96" s="10">
        <v>0.8</v>
      </c>
      <c r="BV96" s="10"/>
      <c r="BW96" s="10">
        <v>0.8</v>
      </c>
      <c r="CA96" s="10"/>
      <c r="CB96" s="10">
        <v>0.8</v>
      </c>
      <c r="CC96" s="10"/>
      <c r="CD96" s="10">
        <v>0.8</v>
      </c>
      <c r="CH96" s="10"/>
      <c r="CI96" s="10">
        <v>1</v>
      </c>
      <c r="CJ96" s="10"/>
      <c r="CK96" s="10">
        <v>1</v>
      </c>
      <c r="CO96" s="10"/>
      <c r="CP96" s="10">
        <v>1</v>
      </c>
      <c r="CQ96" s="10"/>
      <c r="CR96" s="10">
        <v>1</v>
      </c>
      <c r="CV96" s="10"/>
      <c r="CW96" s="10"/>
      <c r="CX96" s="10"/>
      <c r="CY96" s="10"/>
      <c r="DC96" s="10"/>
      <c r="DD96" s="10"/>
      <c r="DE96" s="10"/>
      <c r="DF96" s="10"/>
      <c r="DJ96" s="10"/>
      <c r="DK96" s="10"/>
      <c r="DL96" s="10"/>
      <c r="DM96" s="10"/>
      <c r="DQ96" s="10"/>
      <c r="DR96" s="10"/>
      <c r="DS96" s="10"/>
      <c r="DT96" s="10"/>
      <c r="DX96" s="10"/>
      <c r="DY96" s="10"/>
      <c r="DZ96" s="10"/>
      <c r="EA96" s="10"/>
      <c r="EE96" s="10"/>
      <c r="EF96" s="10"/>
      <c r="EG96" s="10"/>
      <c r="EH96" s="10"/>
    </row>
    <row r="97" spans="1:138" outlineLevel="1" x14ac:dyDescent="0.2">
      <c r="B97" t="s">
        <v>27</v>
      </c>
      <c r="C97" t="s">
        <v>92</v>
      </c>
      <c r="E97" s="9"/>
      <c r="F97" t="s">
        <v>160</v>
      </c>
      <c r="G97" s="10">
        <v>0</v>
      </c>
      <c r="I97" s="9">
        <f>+SUMIF($N$3:$ZT$3,I$3,$N97:$ZT97)</f>
        <v>0</v>
      </c>
      <c r="J97" s="11" cm="1">
        <f t="array" ref="J97">MAX(IF($N$3:$EB$3=$J$3,N97:EB97))</f>
        <v>0</v>
      </c>
      <c r="K97" s="11" cm="1">
        <f t="array" ref="K97">MAX(IF($N$3:$EB$3=$J$3,N97:EB97))</f>
        <v>0</v>
      </c>
      <c r="L97" s="9"/>
      <c r="P97" s="10"/>
      <c r="Q97" s="10"/>
      <c r="R97" s="10"/>
      <c r="S97" s="10"/>
      <c r="W97" s="10"/>
      <c r="X97" s="10"/>
      <c r="Y97" s="10"/>
      <c r="Z97" s="10"/>
      <c r="AD97" s="10"/>
      <c r="AE97" s="10"/>
      <c r="AF97" s="10"/>
      <c r="AG97" s="10"/>
      <c r="AK97" s="10"/>
      <c r="AL97" s="10">
        <v>0.5</v>
      </c>
      <c r="AM97" s="10"/>
      <c r="AN97" s="10">
        <v>0.5</v>
      </c>
      <c r="AR97" s="10"/>
      <c r="AS97" s="10">
        <v>0.5</v>
      </c>
      <c r="AT97" s="10"/>
      <c r="AU97" s="10">
        <v>0.5</v>
      </c>
      <c r="AY97" s="10"/>
      <c r="AZ97" s="10">
        <v>0.5</v>
      </c>
      <c r="BA97" s="10"/>
      <c r="BB97" s="10">
        <v>0.5</v>
      </c>
      <c r="BF97" s="10"/>
      <c r="BG97" s="10">
        <v>0.5</v>
      </c>
      <c r="BH97" s="10"/>
      <c r="BI97" s="10">
        <v>0.5</v>
      </c>
      <c r="BM97" s="10"/>
      <c r="BN97" s="10">
        <v>0.8</v>
      </c>
      <c r="BO97" s="10"/>
      <c r="BP97" s="10">
        <v>0.8</v>
      </c>
      <c r="BT97" s="10"/>
      <c r="BU97" s="10">
        <v>0.8</v>
      </c>
      <c r="BV97" s="10"/>
      <c r="BW97" s="10">
        <v>0.8</v>
      </c>
      <c r="CA97" s="10"/>
      <c r="CB97" s="10">
        <v>0.8</v>
      </c>
      <c r="CC97" s="10"/>
      <c r="CD97" s="10">
        <v>0.8</v>
      </c>
      <c r="CH97" s="10"/>
      <c r="CI97" s="10">
        <v>0.8</v>
      </c>
      <c r="CJ97" s="10"/>
      <c r="CK97" s="10">
        <v>0.8</v>
      </c>
      <c r="CO97" s="10"/>
      <c r="CP97" s="10">
        <v>1</v>
      </c>
      <c r="CQ97" s="10"/>
      <c r="CR97" s="10">
        <v>1</v>
      </c>
      <c r="CV97" s="10"/>
      <c r="CW97" s="10"/>
      <c r="CX97" s="10"/>
      <c r="CY97" s="10"/>
      <c r="DC97" s="10"/>
      <c r="DD97" s="10"/>
      <c r="DE97" s="10"/>
      <c r="DF97" s="10"/>
      <c r="DJ97" s="10"/>
      <c r="DK97" s="10"/>
      <c r="DL97" s="10"/>
      <c r="DM97" s="10"/>
      <c r="DQ97" s="10"/>
      <c r="DR97" s="10"/>
      <c r="DS97" s="10"/>
      <c r="DT97" s="10"/>
      <c r="DX97" s="10"/>
      <c r="DY97" s="10"/>
      <c r="DZ97" s="10"/>
      <c r="EA97" s="10"/>
      <c r="EE97" s="10"/>
      <c r="EF97" s="10"/>
      <c r="EG97" s="10"/>
      <c r="EH97" s="10"/>
    </row>
    <row r="98" spans="1:138" outlineLevel="1" x14ac:dyDescent="0.2">
      <c r="B98" t="s">
        <v>27</v>
      </c>
      <c r="C98" t="s">
        <v>92</v>
      </c>
      <c r="E98" s="9"/>
      <c r="F98" t="s">
        <v>161</v>
      </c>
      <c r="G98" s="10">
        <v>0</v>
      </c>
      <c r="I98" s="9">
        <f>+SUMIF($N$3:$ZT$3,I$3,$N98:$ZT98)</f>
        <v>0</v>
      </c>
      <c r="J98" s="11" cm="1">
        <f t="array" ref="J98">MAX(IF($N$3:$EB$3=$J$3,N98:EB98))</f>
        <v>0</v>
      </c>
      <c r="K98" s="11" cm="1">
        <f t="array" ref="K98">MAX(IF($N$3:$EB$3=$J$3,N98:EB98))</f>
        <v>0</v>
      </c>
      <c r="L98" s="9"/>
      <c r="P98" s="10"/>
      <c r="Q98" s="10"/>
      <c r="R98" s="10"/>
      <c r="S98" s="10"/>
      <c r="W98" s="10"/>
      <c r="X98" s="10"/>
      <c r="Y98" s="10"/>
      <c r="Z98" s="10"/>
      <c r="AD98" s="10"/>
      <c r="AE98" s="10"/>
      <c r="AF98" s="10"/>
      <c r="AG98" s="10"/>
      <c r="AK98" s="10"/>
      <c r="AL98" s="10">
        <v>0.5</v>
      </c>
      <c r="AM98" s="10"/>
      <c r="AN98" s="10">
        <v>0.5</v>
      </c>
      <c r="AR98" s="10"/>
      <c r="AS98" s="10">
        <v>0.5</v>
      </c>
      <c r="AT98" s="10"/>
      <c r="AU98" s="10">
        <v>0.5</v>
      </c>
      <c r="AY98" s="10"/>
      <c r="AZ98" s="10">
        <v>0.5</v>
      </c>
      <c r="BA98" s="10"/>
      <c r="BB98" s="10">
        <v>0.5</v>
      </c>
      <c r="BF98" s="10"/>
      <c r="BG98" s="10">
        <v>0.5</v>
      </c>
      <c r="BH98" s="10"/>
      <c r="BI98" s="10">
        <v>0.5</v>
      </c>
      <c r="BM98" s="10"/>
      <c r="BN98" s="10">
        <v>0.8</v>
      </c>
      <c r="BO98" s="10"/>
      <c r="BP98" s="10">
        <v>0.8</v>
      </c>
      <c r="BT98" s="10"/>
      <c r="BU98" s="10">
        <v>0.8</v>
      </c>
      <c r="BV98" s="10"/>
      <c r="BW98" s="10">
        <v>0.8</v>
      </c>
      <c r="CA98" s="10"/>
      <c r="CB98" s="10">
        <v>0.8</v>
      </c>
      <c r="CC98" s="10"/>
      <c r="CD98" s="10">
        <v>0.8</v>
      </c>
      <c r="CH98" s="10"/>
      <c r="CI98" s="10">
        <v>0.8</v>
      </c>
      <c r="CJ98" s="10"/>
      <c r="CK98" s="10">
        <v>0.8</v>
      </c>
      <c r="CO98" s="10"/>
      <c r="CP98" s="10">
        <v>1</v>
      </c>
      <c r="CQ98" s="10"/>
      <c r="CR98" s="10">
        <v>1</v>
      </c>
      <c r="CV98" s="10"/>
      <c r="CW98" s="10"/>
      <c r="CX98" s="10"/>
      <c r="CY98" s="10"/>
      <c r="DC98" s="10"/>
      <c r="DD98" s="10"/>
      <c r="DE98" s="10"/>
      <c r="DF98" s="10"/>
      <c r="DJ98" s="10"/>
      <c r="DK98" s="10"/>
      <c r="DL98" s="10"/>
      <c r="DM98" s="10"/>
      <c r="DQ98" s="10"/>
      <c r="DR98" s="10"/>
      <c r="DS98" s="10"/>
      <c r="DT98" s="10"/>
      <c r="DX98" s="10"/>
      <c r="DY98" s="10"/>
      <c r="DZ98" s="10"/>
      <c r="EA98" s="10"/>
      <c r="EE98" s="10"/>
      <c r="EF98" s="10"/>
      <c r="EG98" s="10"/>
      <c r="EH98" s="10"/>
    </row>
    <row r="99" spans="1:138" outlineLevel="1" x14ac:dyDescent="0.2">
      <c r="B99" t="s">
        <v>27</v>
      </c>
      <c r="C99" t="s">
        <v>92</v>
      </c>
      <c r="E99" s="9"/>
      <c r="F99" t="s">
        <v>162</v>
      </c>
      <c r="G99" s="10">
        <v>0</v>
      </c>
      <c r="I99" s="9">
        <v>0</v>
      </c>
      <c r="J99" s="11" cm="1">
        <f t="array" ref="J99">MAX(IF($N$3:$EB$3=$J$3,N99:EB99))</f>
        <v>0</v>
      </c>
      <c r="K99" s="11" cm="1">
        <f t="array" ref="K99">MAX(IF($N$3:$EB$3=$J$3,N99:EB99))</f>
        <v>0</v>
      </c>
      <c r="L99" s="9"/>
      <c r="P99" s="10"/>
      <c r="Q99" s="10"/>
      <c r="R99" s="10"/>
      <c r="S99" s="10"/>
      <c r="W99" s="10"/>
      <c r="X99" s="10"/>
      <c r="Y99" s="10"/>
      <c r="Z99" s="10"/>
      <c r="AD99" s="10"/>
      <c r="AE99" s="10"/>
      <c r="AF99" s="10"/>
      <c r="AG99" s="10"/>
      <c r="AK99" s="10"/>
      <c r="AL99" s="10">
        <v>0.5</v>
      </c>
      <c r="AM99" s="10"/>
      <c r="AN99" s="10">
        <v>0.5</v>
      </c>
      <c r="AR99" s="10"/>
      <c r="AS99" s="10">
        <v>0.5</v>
      </c>
      <c r="AT99" s="10"/>
      <c r="AU99" s="10">
        <v>0.5</v>
      </c>
      <c r="AY99" s="10"/>
      <c r="AZ99" s="10">
        <v>0.5</v>
      </c>
      <c r="BA99" s="10"/>
      <c r="BB99" s="10">
        <v>0.5</v>
      </c>
      <c r="BF99" s="10"/>
      <c r="BG99" s="10">
        <v>0.5</v>
      </c>
      <c r="BH99" s="10"/>
      <c r="BI99" s="10">
        <v>0.5</v>
      </c>
      <c r="BM99" s="10"/>
      <c r="BN99" s="10">
        <v>0.8</v>
      </c>
      <c r="BO99" s="10"/>
      <c r="BP99" s="10">
        <v>0.8</v>
      </c>
      <c r="BT99" s="10"/>
      <c r="BU99" s="10">
        <v>0.8</v>
      </c>
      <c r="BV99" s="10"/>
      <c r="BW99" s="10">
        <v>0.8</v>
      </c>
      <c r="CA99" s="10"/>
      <c r="CB99" s="10">
        <v>0.8</v>
      </c>
      <c r="CC99" s="10"/>
      <c r="CD99" s="10">
        <v>0.8</v>
      </c>
      <c r="CH99" s="10"/>
      <c r="CI99" s="10">
        <v>0.8</v>
      </c>
      <c r="CJ99" s="10"/>
      <c r="CK99" s="10">
        <v>0.8</v>
      </c>
      <c r="CO99" s="10"/>
      <c r="CP99" s="10">
        <v>1</v>
      </c>
      <c r="CQ99" s="10"/>
      <c r="CR99" s="10">
        <v>1</v>
      </c>
      <c r="CV99" s="10"/>
      <c r="CW99" s="10"/>
      <c r="CX99" s="10"/>
      <c r="CY99" s="10"/>
      <c r="DC99" s="10"/>
      <c r="DD99" s="10"/>
      <c r="DE99" s="10"/>
      <c r="DF99" s="10"/>
      <c r="DJ99" s="10"/>
      <c r="DK99" s="10"/>
      <c r="DL99" s="10"/>
      <c r="DM99" s="10"/>
      <c r="DQ99" s="10"/>
      <c r="DR99" s="10"/>
      <c r="DS99" s="10"/>
      <c r="DT99" s="10"/>
      <c r="DX99" s="10"/>
      <c r="DY99" s="10"/>
      <c r="DZ99" s="10"/>
      <c r="EA99" s="10"/>
      <c r="EE99" s="10"/>
      <c r="EF99" s="10"/>
      <c r="EG99" s="10"/>
      <c r="EH99" s="10"/>
    </row>
    <row r="100" spans="1:138" outlineLevel="1" x14ac:dyDescent="0.2">
      <c r="B100" t="s">
        <v>27</v>
      </c>
      <c r="C100" t="s">
        <v>92</v>
      </c>
      <c r="E100" s="9"/>
      <c r="F100" t="s">
        <v>163</v>
      </c>
      <c r="G100" s="10">
        <v>0</v>
      </c>
      <c r="I100" s="9">
        <v>0</v>
      </c>
      <c r="J100" s="11" cm="1">
        <f t="array" ref="J100">MAX(IF($N$3:$EB$3=$J$3,N100:EB100))</f>
        <v>0</v>
      </c>
      <c r="K100" s="11" cm="1">
        <f t="array" ref="K100">MAX(IF($N$3:$EB$3=$J$3,N100:EB100))</f>
        <v>0</v>
      </c>
      <c r="L100" s="9"/>
      <c r="P100" s="10"/>
      <c r="Q100" s="10"/>
      <c r="R100" s="10"/>
      <c r="S100" s="10"/>
      <c r="W100" s="10"/>
      <c r="X100" s="10"/>
      <c r="Y100" s="10"/>
      <c r="Z100" s="10"/>
      <c r="AD100" s="10"/>
      <c r="AE100" s="10"/>
      <c r="AF100" s="10"/>
      <c r="AG100" s="10"/>
      <c r="AK100" s="10"/>
      <c r="AL100" s="10">
        <v>0.5</v>
      </c>
      <c r="AM100" s="10"/>
      <c r="AN100" s="10">
        <v>0.5</v>
      </c>
      <c r="AR100" s="10"/>
      <c r="AS100" s="10">
        <v>0.5</v>
      </c>
      <c r="AT100" s="10"/>
      <c r="AU100" s="10">
        <v>0.5</v>
      </c>
      <c r="AY100" s="10"/>
      <c r="AZ100" s="10">
        <v>0.5</v>
      </c>
      <c r="BA100" s="10"/>
      <c r="BB100" s="10">
        <v>0.5</v>
      </c>
      <c r="BF100" s="10"/>
      <c r="BG100" s="10">
        <v>0.5</v>
      </c>
      <c r="BH100" s="10"/>
      <c r="BI100" s="10">
        <v>0.5</v>
      </c>
      <c r="BM100" s="10"/>
      <c r="BN100" s="10">
        <v>0.8</v>
      </c>
      <c r="BO100" s="10"/>
      <c r="BP100" s="10">
        <v>0.8</v>
      </c>
      <c r="BT100" s="10"/>
      <c r="BU100" s="10">
        <v>0.8</v>
      </c>
      <c r="BV100" s="10"/>
      <c r="BW100" s="10">
        <v>0.8</v>
      </c>
      <c r="CA100" s="10"/>
      <c r="CB100" s="10">
        <v>0.8</v>
      </c>
      <c r="CC100" s="10"/>
      <c r="CD100" s="10">
        <v>0.8</v>
      </c>
      <c r="CH100" s="10"/>
      <c r="CI100" s="10">
        <v>0.8</v>
      </c>
      <c r="CJ100" s="10"/>
      <c r="CK100" s="10">
        <v>0.8</v>
      </c>
      <c r="CO100" s="10"/>
      <c r="CP100" s="10">
        <v>1</v>
      </c>
      <c r="CQ100" s="10"/>
      <c r="CR100" s="10">
        <v>1</v>
      </c>
      <c r="CV100" s="10"/>
      <c r="CW100" s="10"/>
      <c r="CX100" s="10"/>
      <c r="CY100" s="10"/>
      <c r="DC100" s="10"/>
      <c r="DD100" s="10"/>
      <c r="DE100" s="10"/>
      <c r="DF100" s="10"/>
      <c r="DJ100" s="10"/>
      <c r="DK100" s="10"/>
      <c r="DL100" s="10"/>
      <c r="DM100" s="10"/>
      <c r="DQ100" s="10"/>
      <c r="DR100" s="10"/>
      <c r="DS100" s="10"/>
      <c r="DT100" s="10"/>
      <c r="DX100" s="10"/>
      <c r="DY100" s="10"/>
      <c r="DZ100" s="10"/>
      <c r="EA100" s="10"/>
      <c r="EE100" s="10"/>
      <c r="EF100" s="10"/>
      <c r="EG100" s="10"/>
      <c r="EH100" s="10"/>
    </row>
    <row r="101" spans="1:138" outlineLevel="1" x14ac:dyDescent="0.2">
      <c r="B101" t="s">
        <v>27</v>
      </c>
      <c r="C101" t="s">
        <v>92</v>
      </c>
      <c r="E101" s="9"/>
      <c r="F101" t="s">
        <v>164</v>
      </c>
      <c r="G101" s="10">
        <v>0</v>
      </c>
      <c r="I101" s="9">
        <f>+SUMIF($N$3:$ZT$3,I$3,$N101:$ZT101)</f>
        <v>0</v>
      </c>
      <c r="J101" s="11" cm="1">
        <f t="array" ref="J101">MAX(IF($N$3:$EB$3=$J$3,N101:EB101))</f>
        <v>0</v>
      </c>
      <c r="K101" s="11" cm="1">
        <f t="array" ref="K101">MAX(IF($N$3:$EB$3=$J$3,N101:EB101))</f>
        <v>0</v>
      </c>
      <c r="L101" s="9"/>
      <c r="P101" s="10"/>
      <c r="Q101" s="10"/>
      <c r="R101" s="10"/>
      <c r="S101" s="10"/>
      <c r="W101" s="10"/>
      <c r="X101" s="10"/>
      <c r="Y101" s="10"/>
      <c r="Z101" s="10"/>
      <c r="AD101" s="10"/>
      <c r="AE101" s="10"/>
      <c r="AF101" s="10"/>
      <c r="AG101" s="10"/>
      <c r="AK101" s="10"/>
      <c r="AL101" s="10">
        <v>0.5</v>
      </c>
      <c r="AM101" s="10"/>
      <c r="AN101" s="10">
        <v>0.5</v>
      </c>
      <c r="AR101" s="10"/>
      <c r="AS101" s="10">
        <v>0.5</v>
      </c>
      <c r="AT101" s="10"/>
      <c r="AU101" s="10">
        <v>0.5</v>
      </c>
      <c r="AY101" s="10"/>
      <c r="AZ101" s="10">
        <v>0.5</v>
      </c>
      <c r="BA101" s="10"/>
      <c r="BB101" s="10">
        <v>0.5</v>
      </c>
      <c r="BF101" s="10"/>
      <c r="BG101" s="10">
        <v>0.5</v>
      </c>
      <c r="BH101" s="10"/>
      <c r="BI101" s="10">
        <v>0.5</v>
      </c>
      <c r="BM101" s="10"/>
      <c r="BN101" s="10">
        <v>0.8</v>
      </c>
      <c r="BO101" s="10"/>
      <c r="BP101" s="10">
        <v>0.8</v>
      </c>
      <c r="BT101" s="10"/>
      <c r="BU101" s="10">
        <v>0.8</v>
      </c>
      <c r="BV101" s="10"/>
      <c r="BW101" s="10">
        <v>0.8</v>
      </c>
      <c r="CA101" s="10"/>
      <c r="CB101" s="10">
        <v>0.8</v>
      </c>
      <c r="CC101" s="10"/>
      <c r="CD101" s="10">
        <v>0.8</v>
      </c>
      <c r="CH101" s="10"/>
      <c r="CI101" s="10">
        <v>0.8</v>
      </c>
      <c r="CJ101" s="10"/>
      <c r="CK101" s="10">
        <v>0.8</v>
      </c>
      <c r="CO101" s="10"/>
      <c r="CP101" s="10">
        <v>1</v>
      </c>
      <c r="CQ101" s="10"/>
      <c r="CR101" s="10">
        <v>1</v>
      </c>
      <c r="CV101" s="10"/>
      <c r="CW101" s="10"/>
      <c r="CX101" s="10"/>
      <c r="CY101" s="10"/>
      <c r="DC101" s="10"/>
      <c r="DD101" s="10"/>
      <c r="DE101" s="10"/>
      <c r="DF101" s="10"/>
      <c r="DJ101" s="10"/>
      <c r="DK101" s="10"/>
      <c r="DL101" s="10"/>
      <c r="DM101" s="10"/>
      <c r="DQ101" s="10"/>
      <c r="DR101" s="10"/>
      <c r="DS101" s="10"/>
      <c r="DT101" s="10"/>
      <c r="DX101" s="10"/>
      <c r="DY101" s="10"/>
      <c r="DZ101" s="10"/>
      <c r="EA101" s="10"/>
      <c r="EE101" s="10"/>
      <c r="EF101" s="10"/>
      <c r="EG101" s="10"/>
      <c r="EH101" s="10"/>
    </row>
    <row r="105" spans="1:138" x14ac:dyDescent="0.2">
      <c r="A105" t="s">
        <v>299</v>
      </c>
    </row>
    <row r="106" spans="1:138" x14ac:dyDescent="0.2">
      <c r="A106" t="s">
        <v>302</v>
      </c>
    </row>
    <row r="107" spans="1:138" x14ac:dyDescent="0.2">
      <c r="A107" t="s">
        <v>300</v>
      </c>
    </row>
    <row r="108" spans="1:138" x14ac:dyDescent="0.2">
      <c r="A108" t="s">
        <v>301</v>
      </c>
    </row>
  </sheetData>
  <mergeCells count="19">
    <mergeCell ref="CN2:CS2"/>
    <mergeCell ref="CU2:CZ2"/>
    <mergeCell ref="BE2:BJ2"/>
    <mergeCell ref="BL2:BQ2"/>
    <mergeCell ref="BS2:BX2"/>
    <mergeCell ref="BZ2:CE2"/>
    <mergeCell ref="CG2:CL2"/>
    <mergeCell ref="I2:L2"/>
    <mergeCell ref="AX2:BC2"/>
    <mergeCell ref="O2:T2"/>
    <mergeCell ref="V2:AA2"/>
    <mergeCell ref="AC2:AH2"/>
    <mergeCell ref="AJ2:AO2"/>
    <mergeCell ref="AQ2:AV2"/>
    <mergeCell ref="DB2:DG2"/>
    <mergeCell ref="DI2:DN2"/>
    <mergeCell ref="DP2:DU2"/>
    <mergeCell ref="DW2:EB2"/>
    <mergeCell ref="ED2:EI2"/>
  </mergeCells>
  <conditionalFormatting sqref="AY22 P22 R22 W22 Y22 AD22 AF22 AM22 AR22 AT22 BA22 BF22 BH22 BM22 BO22 BT22 BV22 CA22 CC22 CH22 CJ22 CO22 CQ22 CV22 CX22 DC22 DE22 DJ22 DL22 DQ22 DS22 DX22 DZ22 EE22 EG22 BV58 CX58 CV58 CJ58 CH58 CC58 CA58 BT58 BO58 BM58 AM58 AK58 AF58 AD58 Y58 W58 R58 P58 DE58 DC58 DL58 DJ58 DS58 DQ58 DZ58 DX58 EG58 EE58 AY35:AY36 P35:P36 R35:R36 W35:W36 Y35:Y36 AD35:AD36 AF35:AF36 AM35:AM36 AR35:AR36 AT35:AT36 BA35:BA36 BF35:BF36 BH35:BH36 BM35:BM36 BO35:BO36 BT35:BT36 BV35:BV36 CA35:CA36 CC35:CC36 CH35:CH36 CJ35:CJ36 CO35:CO36 CQ35:CQ36 CV35:CV36 CX35:CX36 DC35:DC36 DE35:DE36 DJ35:DJ36 DL35:DL36 DQ35:DQ36 DS35:DS36 DX35:DX36 DZ35:DZ36 EE35:EE36 EG35:EG36 CH61:CH64 CH66:CH70 AK36 BV38:BV52 P38:P52 R38:R52 W38:W52 Y38:Y52 AD38:AD52 AF38:AF52 AK38:AK52 AM38:AM49 BM38:BM52 BO38:BO52 BT38:BT52 CA38:CA52 CC38:CC52 CH38:CH52 CJ38:CJ52 CV38:CV52 CX38:CX52 CQ38:CQ58 CO38:CO58 BF38:BF58 BH38:BH58 BA38:BA58 AY38:AY58 AT38:AT58 AR38:AR58 DC38:DC52 DE38:DE52 DJ38:DJ52 DL38:DL52 DQ38:DQ52 DS38:DS52 DX38:DX52 DZ38:DZ52 EE38:EE52 EG38:EG52 CH72:CH80 R60:R80 P60:P80 Y60:Y80 W60:W80 AD60:AD80 AF60:AF80 AM60:AM80 AK60:AK80 AR60:AR80 AT60:AT80 BA60:BA80 AY60:AY80 BH60:BH80 BF60:BF80 BO60:BO80 BM60:BM80 BV60:BV80 BT60:BT80 CC60:CC80 CA60:CA80 CJ60:CJ80 CQ60:CQ80 CO60:CO80 CX60:CX80 CV60:CV80 DE60:DE80 DC60:DC80 DL60:DL80 DJ60:DJ80 DS60:DS80 DQ60:DQ80 DZ60:DZ80 DX60:DX80 EG60:EG80 EE60:EE80 AK94:AK95 AM94:AM95 AY94:AY95 BA94:BA95 P94:P95 R94:R95 W94:W95 Y94:Y95 AD94:AD95 AF94:AF95 AR94:AR95 AT94:AT95 BF94:BF95 BH94:BH95 BM94:BM95 BO94:BO95 BT94:BT95 BV94:BV95 CA94:CA95 CC94:CC95 CH94:CH95 CJ94:CJ95 CO94:CO95 CQ94:CQ95 CV94:CV95 CX94:CX95 DC94:DC95 DE94:DE95 DJ94:DJ95 DL94:DL95 DQ94:DQ95 DS94:DS95 DX94:DX95 DZ94:DZ95 EE94:EE95 EG94:EG95 AY5:AY14 P5:P14 R5:R14 W5:W14 Y5:Y14 AD5:AD14 AF5:AF14 AK5:AK14 AM5:AM14 AR5:AR14 AT5:AT14 BA5:BA14 BF5:BF14 BH5:BH14 BM5:BM14 BO5:BO14 BT5:BT14 BV5:BV14 CA5:CA14 CC5:CC14 CH5:CH14 CO5:CO14 CQ5:CQ14 CV5:CV14 CX5:CX14 DC5:DC14 DE5:DE14 DJ5:DJ14 DL5:DL14 DQ5:DQ14 DS5:DS14 DX5:DX14 DZ5:DZ14 EE5:EE14 EG5:EG14 CJ7:CJ14">
    <cfRule type="expression" dxfId="924" priority="2337">
      <formula>OR(IF(P5&lt;Q5,TRUE),IF(AND(Q5="",P5&lt;&gt;""),TRUE))</formula>
    </cfRule>
    <cfRule type="expression" dxfId="923" priority="2338">
      <formula>IF(P5&gt;=Q5,IF(P5="",FALSE,TRUE))</formula>
    </cfRule>
  </conditionalFormatting>
  <conditionalFormatting sqref="BF18 BH18 AY18 AM18 W18 Y18 P18 R18 BA18 AT18 AR18 AF18 AD18 BM18 BO18 BT18 BV18 CA18 CC18 CH18 CJ18 CO18 CQ18 CV18 CX18 BF21 BH21 AY21 AM21 W21 Y21 P21 R21 BA21 AT21 AR21 AF21 AD21 BM21 BO21 BT21 BV21 CA21 CC21 CH21 CJ21 CO21 CQ21 CV21 CX21 BF23 BH23 AY23 AM23 W23 Y23 P23 R23 BA23 AT23 AR23 AF23 AD23 BM23 BO23 BT23 BV23 CA23 CC23 CH23 CJ23 CO23 CQ23 CV23 CX23 BF26 BH26 AY26 AM26 W26 Y26 P26 R26 BA26 AT26 AR26 AF26 AD26 BM26 BO26 BT26 BV26 CA26 CC26 CH26 CJ26 CO26 CQ26 CV26 CX26 BF29 BH29 AY29 AM29 W29 Y29 P29 R29 BA29 AT29 AR29 AF29 AD29 BM29 BO29 BT29 BV29 CA29 CC29 CH29 CJ29 CO29 CQ29 CV29 CX29 BF31 BH31 AY31 AM31 W31 Y31 P31 R31 BA31 AT31 AR31 AF31 AD31 BM31 BO31 BT31 BV31 CA31 CC31 CH31 CJ31 CO31 CQ31 CV31 CX31 BF34 BH34 AY34 AM34 W34 Y34 P34 R34 BA34 AT34 AR34 AF34 AD34 BM34 BO34 BT34 BV34 CA34 CC34 CH34 CJ34 CO34 CQ34 CV34 CX34">
    <cfRule type="expression" dxfId="922" priority="1644">
      <formula>OR(IF(P18&lt;Q18,TRUE),IF(AND(Q18="",P18&lt;&gt;""),TRUE))</formula>
    </cfRule>
    <cfRule type="expression" dxfId="921" priority="1645">
      <formula>IF(P18&gt;=Q18,IF(P18="",FALSE,TRUE))</formula>
    </cfRule>
  </conditionalFormatting>
  <conditionalFormatting sqref="AY16:AY17">
    <cfRule type="expression" dxfId="920" priority="1606">
      <formula>OR(IF(AY16&lt;AZ16,TRUE),IF(AND(AZ16="",AY16&lt;&gt;""),TRUE))</formula>
    </cfRule>
    <cfRule type="expression" dxfId="919" priority="1607">
      <formula>IF(AY16&gt;=AZ16,IF(AY16="",FALSE,TRUE))</formula>
    </cfRule>
  </conditionalFormatting>
  <conditionalFormatting sqref="P16:P17">
    <cfRule type="expression" dxfId="918" priority="1636">
      <formula>OR(IF(P16&lt;Q16,TRUE),IF(AND(Q16="",P16&lt;&gt;""),TRUE))</formula>
    </cfRule>
    <cfRule type="expression" dxfId="917" priority="1637">
      <formula>IF(P16&gt;=Q16,IF(P16="",FALSE,TRUE))</formula>
    </cfRule>
  </conditionalFormatting>
  <conditionalFormatting sqref="R16:R17">
    <cfRule type="expression" dxfId="916" priority="1634">
      <formula>OR(IF(R16&lt;S16,TRUE),IF(AND(S16="",R16&lt;&gt;""),TRUE))</formula>
    </cfRule>
    <cfRule type="expression" dxfId="915" priority="1635">
      <formula>IF(R16&gt;=S16,IF(R16="",FALSE,TRUE))</formula>
    </cfRule>
  </conditionalFormatting>
  <conditionalFormatting sqref="W16:W17">
    <cfRule type="expression" dxfId="914" priority="1630">
      <formula>OR(IF(W16&lt;X16,TRUE),IF(AND(X16="",W16&lt;&gt;""),TRUE))</formula>
    </cfRule>
    <cfRule type="expression" dxfId="913" priority="1631">
      <formula>IF(W16&gt;=X16,IF(W16="",FALSE,TRUE))</formula>
    </cfRule>
  </conditionalFormatting>
  <conditionalFormatting sqref="Y16:Y17">
    <cfRule type="expression" dxfId="912" priority="1628">
      <formula>OR(IF(Y16&lt;Z16,TRUE),IF(AND(Z16="",Y16&lt;&gt;""),TRUE))</formula>
    </cfRule>
    <cfRule type="expression" dxfId="911" priority="1629">
      <formula>IF(Y16&gt;=Z16,IF(Y16="",FALSE,TRUE))</formula>
    </cfRule>
  </conditionalFormatting>
  <conditionalFormatting sqref="AD16:AD17">
    <cfRule type="expression" dxfId="910" priority="1624">
      <formula>OR(IF(AD16&lt;AE16,TRUE),IF(AND(AE16="",AD16&lt;&gt;""),TRUE))</formula>
    </cfRule>
    <cfRule type="expression" dxfId="909" priority="1625">
      <formula>IF(AD16&gt;=AE16,IF(AD16="",FALSE,TRUE))</formula>
    </cfRule>
  </conditionalFormatting>
  <conditionalFormatting sqref="AF16:AF17">
    <cfRule type="expression" dxfId="908" priority="1622">
      <formula>OR(IF(AF16&lt;AG16,TRUE),IF(AND(AG16="",AF16&lt;&gt;""),TRUE))</formula>
    </cfRule>
    <cfRule type="expression" dxfId="907" priority="1623">
      <formula>IF(AF16&gt;=AG16,IF(AF16="",FALSE,TRUE))</formula>
    </cfRule>
  </conditionalFormatting>
  <conditionalFormatting sqref="AK16:AK17">
    <cfRule type="expression" dxfId="906" priority="1618">
      <formula>OR(IF(AK16&lt;AL16,TRUE),IF(AND(AL16="",AK16&lt;&gt;""),TRUE))</formula>
    </cfRule>
    <cfRule type="expression" dxfId="905" priority="1619">
      <formula>IF(AK16&gt;=AL16,IF(AK16="",FALSE,TRUE))</formula>
    </cfRule>
  </conditionalFormatting>
  <conditionalFormatting sqref="AM16:AM17">
    <cfRule type="expression" dxfId="904" priority="1616">
      <formula>OR(IF(AM16&lt;AN16,TRUE),IF(AND(AN16="",AM16&lt;&gt;""),TRUE))</formula>
    </cfRule>
    <cfRule type="expression" dxfId="903" priority="1617">
      <formula>IF(AM16&gt;=AN16,IF(AM16="",FALSE,TRUE))</formula>
    </cfRule>
  </conditionalFormatting>
  <conditionalFormatting sqref="AR16:AR17">
    <cfRule type="expression" dxfId="902" priority="1612">
      <formula>OR(IF(AR16&lt;AS16,TRUE),IF(AND(AS16="",AR16&lt;&gt;""),TRUE))</formula>
    </cfRule>
    <cfRule type="expression" dxfId="901" priority="1613">
      <formula>IF(AR16&gt;=AS16,IF(AR16="",FALSE,TRUE))</formula>
    </cfRule>
  </conditionalFormatting>
  <conditionalFormatting sqref="AT16:AT17">
    <cfRule type="expression" dxfId="900" priority="1610">
      <formula>OR(IF(AT16&lt;AU16,TRUE),IF(AND(AU16="",AT16&lt;&gt;""),TRUE))</formula>
    </cfRule>
    <cfRule type="expression" dxfId="899" priority="1611">
      <formula>IF(AT16&gt;=AU16,IF(AT16="",FALSE,TRUE))</formula>
    </cfRule>
  </conditionalFormatting>
  <conditionalFormatting sqref="BA16:BA17">
    <cfRule type="expression" dxfId="898" priority="1604">
      <formula>OR(IF(BA16&lt;BB16,TRUE),IF(AND(BB16="",BA16&lt;&gt;""),TRUE))</formula>
    </cfRule>
    <cfRule type="expression" dxfId="897" priority="1605">
      <formula>IF(BA16&gt;=BB16,IF(BA16="",FALSE,TRUE))</formula>
    </cfRule>
  </conditionalFormatting>
  <conditionalFormatting sqref="BF16:BF17">
    <cfRule type="expression" dxfId="896" priority="1600">
      <formula>OR(IF(BF16&lt;BG16,TRUE),IF(AND(BG16="",BF16&lt;&gt;""),TRUE))</formula>
    </cfRule>
    <cfRule type="expression" dxfId="895" priority="1601">
      <formula>IF(BF16&gt;=BG16,IF(BF16="",FALSE,TRUE))</formula>
    </cfRule>
  </conditionalFormatting>
  <conditionalFormatting sqref="BH16:BH17">
    <cfRule type="expression" dxfId="894" priority="1598">
      <formula>OR(IF(BH16&lt;BI16,TRUE),IF(AND(BI16="",BH16&lt;&gt;""),TRUE))</formula>
    </cfRule>
    <cfRule type="expression" dxfId="893" priority="1599">
      <formula>IF(BH16&gt;=BI16,IF(BH16="",FALSE,TRUE))</formula>
    </cfRule>
  </conditionalFormatting>
  <conditionalFormatting sqref="BM16:BM17">
    <cfRule type="expression" dxfId="892" priority="1556">
      <formula>OR(IF(BM16&lt;BN16,TRUE),IF(AND(BN16="",BM16&lt;&gt;""),TRUE))</formula>
    </cfRule>
    <cfRule type="expression" dxfId="891" priority="1557">
      <formula>IF(BM16&gt;=BN16,IF(BM16="",FALSE,TRUE))</formula>
    </cfRule>
  </conditionalFormatting>
  <conditionalFormatting sqref="BO16:BO17">
    <cfRule type="expression" dxfId="890" priority="1554">
      <formula>OR(IF(BO16&lt;BP16,TRUE),IF(AND(BP16="",BO16&lt;&gt;""),TRUE))</formula>
    </cfRule>
    <cfRule type="expression" dxfId="889" priority="1555">
      <formula>IF(BO16&gt;=BP16,IF(BO16="",FALSE,TRUE))</formula>
    </cfRule>
  </conditionalFormatting>
  <conditionalFormatting sqref="BT16:BT17">
    <cfRule type="expression" dxfId="888" priority="1546">
      <formula>OR(IF(BT16&lt;BU16,TRUE),IF(AND(BU16="",BT16&lt;&gt;""),TRUE))</formula>
    </cfRule>
    <cfRule type="expression" dxfId="887" priority="1547">
      <formula>IF(BT16&gt;=BU16,IF(BT16="",FALSE,TRUE))</formula>
    </cfRule>
  </conditionalFormatting>
  <conditionalFormatting sqref="BV16:BV17">
    <cfRule type="expression" dxfId="886" priority="1544">
      <formula>OR(IF(BV16&lt;BW16,TRUE),IF(AND(BW16="",BV16&lt;&gt;""),TRUE))</formula>
    </cfRule>
    <cfRule type="expression" dxfId="885" priority="1545">
      <formula>IF(BV16&gt;=BW16,IF(BV16="",FALSE,TRUE))</formula>
    </cfRule>
  </conditionalFormatting>
  <conditionalFormatting sqref="CA16:CA17">
    <cfRule type="expression" dxfId="884" priority="1536">
      <formula>OR(IF(CA16&lt;CB16,TRUE),IF(AND(CB16="",CA16&lt;&gt;""),TRUE))</formula>
    </cfRule>
    <cfRule type="expression" dxfId="883" priority="1537">
      <formula>IF(CA16&gt;=CB16,IF(CA16="",FALSE,TRUE))</formula>
    </cfRule>
  </conditionalFormatting>
  <conditionalFormatting sqref="CC16:CC17">
    <cfRule type="expression" dxfId="882" priority="1534">
      <formula>OR(IF(CC16&lt;CD16,TRUE),IF(AND(CD16="",CC16&lt;&gt;""),TRUE))</formula>
    </cfRule>
    <cfRule type="expression" dxfId="881" priority="1535">
      <formula>IF(CC16&gt;=CD16,IF(CC16="",FALSE,TRUE))</formula>
    </cfRule>
  </conditionalFormatting>
  <conditionalFormatting sqref="CH16:CH17">
    <cfRule type="expression" dxfId="880" priority="1526">
      <formula>OR(IF(CH16&lt;CI16,TRUE),IF(AND(CI16="",CH16&lt;&gt;""),TRUE))</formula>
    </cfRule>
    <cfRule type="expression" dxfId="879" priority="1527">
      <formula>IF(CH16&gt;=CI16,IF(CH16="",FALSE,TRUE))</formula>
    </cfRule>
  </conditionalFormatting>
  <conditionalFormatting sqref="CJ16:CJ17">
    <cfRule type="expression" dxfId="878" priority="1524">
      <formula>OR(IF(CJ16&lt;CK16,TRUE),IF(AND(CK16="",CJ16&lt;&gt;""),TRUE))</formula>
    </cfRule>
    <cfRule type="expression" dxfId="877" priority="1525">
      <formula>IF(CJ16&gt;=CK16,IF(CJ16="",FALSE,TRUE))</formula>
    </cfRule>
  </conditionalFormatting>
  <conditionalFormatting sqref="CO16:CO17">
    <cfRule type="expression" dxfId="876" priority="1516">
      <formula>OR(IF(CO16&lt;CP16,TRUE),IF(AND(CP16="",CO16&lt;&gt;""),TRUE))</formula>
    </cfRule>
    <cfRule type="expression" dxfId="875" priority="1517">
      <formula>IF(CO16&gt;=CP16,IF(CO16="",FALSE,TRUE))</formula>
    </cfRule>
  </conditionalFormatting>
  <conditionalFormatting sqref="CQ16:CQ17">
    <cfRule type="expression" dxfId="874" priority="1514">
      <formula>OR(IF(CQ16&lt;CR16,TRUE),IF(AND(CR16="",CQ16&lt;&gt;""),TRUE))</formula>
    </cfRule>
    <cfRule type="expression" dxfId="873" priority="1515">
      <formula>IF(CQ16&gt;=CR16,IF(CQ16="",FALSE,TRUE))</formula>
    </cfRule>
  </conditionalFormatting>
  <conditionalFormatting sqref="CV16:CV17">
    <cfRule type="expression" dxfId="872" priority="1506">
      <formula>OR(IF(CV16&lt;CW16,TRUE),IF(AND(CW16="",CV16&lt;&gt;""),TRUE))</formula>
    </cfRule>
    <cfRule type="expression" dxfId="871" priority="1507">
      <formula>IF(CV16&gt;=CW16,IF(CV16="",FALSE,TRUE))</formula>
    </cfRule>
  </conditionalFormatting>
  <conditionalFormatting sqref="CX16:CX17">
    <cfRule type="expression" dxfId="870" priority="1504">
      <formula>OR(IF(CX16&lt;CY16,TRUE),IF(AND(CY16="",CX16&lt;&gt;""),TRUE))</formula>
    </cfRule>
    <cfRule type="expression" dxfId="869" priority="1505">
      <formula>IF(CX16&gt;=CY16,IF(CX16="",FALSE,TRUE))</formula>
    </cfRule>
  </conditionalFormatting>
  <conditionalFormatting sqref="DC18 DE18 DC21 DE21 DC23 DE23 DC26 DE26 DC29 DE29 DC31 DE31 DC34 DE34">
    <cfRule type="expression" dxfId="868" priority="1490">
      <formula>OR(IF(DC18&lt;DD18,TRUE),IF(AND(DD18="",DC18&lt;&gt;""),TRUE))</formula>
    </cfRule>
    <cfRule type="expression" dxfId="867" priority="1491">
      <formula>IF(DC18&gt;=DD18,IF(DC18="",FALSE,TRUE))</formula>
    </cfRule>
  </conditionalFormatting>
  <conditionalFormatting sqref="DC16:DC17">
    <cfRule type="expression" dxfId="866" priority="1486">
      <formula>OR(IF(DC16&lt;DD16,TRUE),IF(AND(DD16="",DC16&lt;&gt;""),TRUE))</formula>
    </cfRule>
    <cfRule type="expression" dxfId="865" priority="1487">
      <formula>IF(DC16&gt;=DD16,IF(DC16="",FALSE,TRUE))</formula>
    </cfRule>
  </conditionalFormatting>
  <conditionalFormatting sqref="DE16:DE17">
    <cfRule type="expression" dxfId="864" priority="1484">
      <formula>OR(IF(DE16&lt;DF16,TRUE),IF(AND(DF16="",DE16&lt;&gt;""),TRUE))</formula>
    </cfRule>
    <cfRule type="expression" dxfId="863" priority="1485">
      <formula>IF(DE16&gt;=DF16,IF(DE16="",FALSE,TRUE))</formula>
    </cfRule>
  </conditionalFormatting>
  <conditionalFormatting sqref="DJ18 DL18 DJ21 DL21 DJ23 DL23 DJ26 DL26 DJ29 DL29 DJ31 DL31 DJ34 DL34">
    <cfRule type="expression" dxfId="862" priority="1470">
      <formula>OR(IF(DJ18&lt;DK18,TRUE),IF(AND(DK18="",DJ18&lt;&gt;""),TRUE))</formula>
    </cfRule>
    <cfRule type="expression" dxfId="861" priority="1471">
      <formula>IF(DJ18&gt;=DK18,IF(DJ18="",FALSE,TRUE))</formula>
    </cfRule>
  </conditionalFormatting>
  <conditionalFormatting sqref="DJ16:DJ17">
    <cfRule type="expression" dxfId="860" priority="1466">
      <formula>OR(IF(DJ16&lt;DK16,TRUE),IF(AND(DK16="",DJ16&lt;&gt;""),TRUE))</formula>
    </cfRule>
    <cfRule type="expression" dxfId="859" priority="1467">
      <formula>IF(DJ16&gt;=DK16,IF(DJ16="",FALSE,TRUE))</formula>
    </cfRule>
  </conditionalFormatting>
  <conditionalFormatting sqref="DL16:DL17">
    <cfRule type="expression" dxfId="858" priority="1464">
      <formula>OR(IF(DL16&lt;DM16,TRUE),IF(AND(DM16="",DL16&lt;&gt;""),TRUE))</formula>
    </cfRule>
    <cfRule type="expression" dxfId="857" priority="1465">
      <formula>IF(DL16&gt;=DM16,IF(DL16="",FALSE,TRUE))</formula>
    </cfRule>
  </conditionalFormatting>
  <conditionalFormatting sqref="CH60 CJ5:CJ6">
    <cfRule type="expression" dxfId="856" priority="2598">
      <formula>OR(IF(CH5&lt;CI4,TRUE),IF(AND(CI4="",CH5&lt;&gt;""),TRUE))</formula>
    </cfRule>
    <cfRule type="expression" dxfId="855" priority="2599">
      <formula>IF(CH5&gt;=CI4,IF(CH5="",FALSE,TRUE))</formula>
    </cfRule>
  </conditionalFormatting>
  <conditionalFormatting sqref="DQ18 DS18 DQ21 DS21 DQ23 DS23 DQ26 DS26 DQ29 DS29 DQ31 DS31 DQ34 DS34">
    <cfRule type="expression" dxfId="854" priority="1450">
      <formula>OR(IF(DQ18&lt;DR18,TRUE),IF(AND(DR18="",DQ18&lt;&gt;""),TRUE))</formula>
    </cfRule>
    <cfRule type="expression" dxfId="853" priority="1451">
      <formula>IF(DQ18&gt;=DR18,IF(DQ18="",FALSE,TRUE))</formula>
    </cfRule>
  </conditionalFormatting>
  <conditionalFormatting sqref="DQ16:DQ17">
    <cfRule type="expression" dxfId="852" priority="1446">
      <formula>OR(IF(DQ16&lt;DR16,TRUE),IF(AND(DR16="",DQ16&lt;&gt;""),TRUE))</formula>
    </cfRule>
    <cfRule type="expression" dxfId="851" priority="1447">
      <formula>IF(DQ16&gt;=DR16,IF(DQ16="",FALSE,TRUE))</formula>
    </cfRule>
  </conditionalFormatting>
  <conditionalFormatting sqref="DS16:DS17">
    <cfRule type="expression" dxfId="850" priority="1444">
      <formula>OR(IF(DS16&lt;DT16,TRUE),IF(AND(DT16="",DS16&lt;&gt;""),TRUE))</formula>
    </cfRule>
    <cfRule type="expression" dxfId="849" priority="1445">
      <formula>IF(DS16&gt;=DT16,IF(DS16="",FALSE,TRUE))</formula>
    </cfRule>
  </conditionalFormatting>
  <conditionalFormatting sqref="DX18 DZ18 DX21 DZ21 DX23 DZ23 DX26 DZ26 DX29 DZ29 DX31 DZ31 DX34 DZ34">
    <cfRule type="expression" dxfId="848" priority="1430">
      <formula>OR(IF(DX18&lt;DY18,TRUE),IF(AND(DY18="",DX18&lt;&gt;""),TRUE))</formula>
    </cfRule>
    <cfRule type="expression" dxfId="847" priority="1431">
      <formula>IF(DX18&gt;=DY18,IF(DX18="",FALSE,TRUE))</formula>
    </cfRule>
  </conditionalFormatting>
  <conditionalFormatting sqref="DX16:DX17">
    <cfRule type="expression" dxfId="846" priority="1426">
      <formula>OR(IF(DX16&lt;DY16,TRUE),IF(AND(DY16="",DX16&lt;&gt;""),TRUE))</formula>
    </cfRule>
    <cfRule type="expression" dxfId="845" priority="1427">
      <formula>IF(DX16&gt;=DY16,IF(DX16="",FALSE,TRUE))</formula>
    </cfRule>
  </conditionalFormatting>
  <conditionalFormatting sqref="DZ16:DZ17">
    <cfRule type="expression" dxfId="844" priority="1424">
      <formula>OR(IF(DZ16&lt;EA16,TRUE),IF(AND(EA16="",DZ16&lt;&gt;""),TRUE))</formula>
    </cfRule>
    <cfRule type="expression" dxfId="843" priority="1425">
      <formula>IF(DZ16&gt;=EA16,IF(DZ16="",FALSE,TRUE))</formula>
    </cfRule>
  </conditionalFormatting>
  <conditionalFormatting sqref="EE18 EG18 EE21 EG21 EE23 EG23 EE26 EG26 EE29 EG29 EE31 EG31 EE34 EG34">
    <cfRule type="expression" dxfId="842" priority="1410">
      <formula>OR(IF(EE18&lt;EF18,TRUE),IF(AND(EF18="",EE18&lt;&gt;""),TRUE))</formula>
    </cfRule>
    <cfRule type="expression" dxfId="841" priority="1411">
      <formula>IF(EE18&gt;=EF18,IF(EE18="",FALSE,TRUE))</formula>
    </cfRule>
  </conditionalFormatting>
  <conditionalFormatting sqref="EE16:EE17">
    <cfRule type="expression" dxfId="840" priority="1406">
      <formula>OR(IF(EE16&lt;EF16,TRUE),IF(AND(EF16="",EE16&lt;&gt;""),TRUE))</formula>
    </cfRule>
    <cfRule type="expression" dxfId="839" priority="1407">
      <formula>IF(EE16&gt;=EF16,IF(EE16="",FALSE,TRUE))</formula>
    </cfRule>
  </conditionalFormatting>
  <conditionalFormatting sqref="EG16:EG17">
    <cfRule type="expression" dxfId="838" priority="1404">
      <formula>OR(IF(EG16&lt;EH16,TRUE),IF(AND(EH16="",EG16&lt;&gt;""),TRUE))</formula>
    </cfRule>
    <cfRule type="expression" dxfId="837" priority="1405">
      <formula>IF(EG16&gt;=EH16,IF(EG16="",FALSE,TRUE))</formula>
    </cfRule>
  </conditionalFormatting>
  <conditionalFormatting sqref="AM85 AK85 BA85 AY85 R85 P85 Y85 W85 AF85 AD85 AT85 AR85 BH85 BF85 BO85 BM85 BV85 BT85 CC85 CA85 CJ85 CH85 CQ85 CO85 CX85 CV85 AM89 AK89 BA89 AY89 R89 P89 Y89 W89 AF89 AD89 AT89 AR89 BH89 BF89 BO89 BM89 BV89 BT89 CC89 CA89 CJ89 CH89 CQ89 CO89 CX89 CV89 AM93 AK93 BA93 AY93 R93 P93 Y93 W93 AF93 AD93 AT93 AR93 BH93 BF93 BO93 BM93 BV93 BT93 CC93 CA93 CJ93 CH93 CQ93 CO93 CX93 CV93 AM98 AK98 BA98 AY98 R98 P98 Y98 W98 AF98 AD98 AT98 AR98 BH98 BF98 BO98 BM98 BV98 BT98 CC98 CA98 CJ98 CH98 CQ98 CO98 CX98 CV98">
    <cfRule type="expression" dxfId="836" priority="1395">
      <formula>OR(IF(P85&lt;Q85,TRUE),IF(AND(Q85="",P85&lt;&gt;""),TRUE))</formula>
    </cfRule>
    <cfRule type="expression" dxfId="835" priority="1396">
      <formula>IF(P85&gt;=Q85,IF(P85="",FALSE,TRUE))</formula>
    </cfRule>
  </conditionalFormatting>
  <conditionalFormatting sqref="AK82 AM82">
    <cfRule type="expression" dxfId="834" priority="1387">
      <formula>OR(IF(AK82&lt;AL82,TRUE),IF(AND(AL82="",AK82&lt;&gt;""),TRUE))</formula>
    </cfRule>
    <cfRule type="expression" dxfId="833" priority="1388">
      <formula>IF(AK82&gt;=AL82,IF(AK82="",FALSE,TRUE))</formula>
    </cfRule>
  </conditionalFormatting>
  <conditionalFormatting sqref="AY82 BA82">
    <cfRule type="expression" dxfId="832" priority="1383">
      <formula>OR(IF(AY82&lt;AZ82,TRUE),IF(AND(AZ82="",AY82&lt;&gt;""),TRUE))</formula>
    </cfRule>
    <cfRule type="expression" dxfId="831" priority="1384">
      <formula>IF(AY82&gt;=AZ82,IF(AY82="",FALSE,TRUE))</formula>
    </cfRule>
  </conditionalFormatting>
  <conditionalFormatting sqref="P82 R82">
    <cfRule type="expression" dxfId="830" priority="1393">
      <formula>OR(IF(P82&lt;Q82,TRUE),IF(AND(Q82="",P82&lt;&gt;""),TRUE))</formula>
    </cfRule>
    <cfRule type="expression" dxfId="829" priority="1394">
      <formula>IF(P82&gt;=Q82,IF(P82="",FALSE,TRUE))</formula>
    </cfRule>
  </conditionalFormatting>
  <conditionalFormatting sqref="W82 Y82">
    <cfRule type="expression" dxfId="828" priority="1391">
      <formula>OR(IF(W82&lt;X82,TRUE),IF(AND(X82="",W82&lt;&gt;""),TRUE))</formula>
    </cfRule>
    <cfRule type="expression" dxfId="827" priority="1392">
      <formula>IF(W82&gt;=X82,IF(W82="",FALSE,TRUE))</formula>
    </cfRule>
  </conditionalFormatting>
  <conditionalFormatting sqref="AD82 AF82">
    <cfRule type="expression" dxfId="826" priority="1389">
      <formula>OR(IF(AD82&lt;AE82,TRUE),IF(AND(AE82="",AD82&lt;&gt;""),TRUE))</formula>
    </cfRule>
    <cfRule type="expression" dxfId="825" priority="1390">
      <formula>IF(AD82&gt;=AE82,IF(AD82="",FALSE,TRUE))</formula>
    </cfRule>
  </conditionalFormatting>
  <conditionalFormatting sqref="AR82 AT82">
    <cfRule type="expression" dxfId="824" priority="1385">
      <formula>OR(IF(AR82&lt;AS82,TRUE),IF(AND(AS82="",AR82&lt;&gt;""),TRUE))</formula>
    </cfRule>
    <cfRule type="expression" dxfId="823" priority="1386">
      <formula>IF(AR82&gt;=AS82,IF(AR82="",FALSE,TRUE))</formula>
    </cfRule>
  </conditionalFormatting>
  <conditionalFormatting sqref="BF82 BH82">
    <cfRule type="expression" dxfId="822" priority="1381">
      <formula>OR(IF(BF82&lt;BG82,TRUE),IF(AND(BG82="",BF82&lt;&gt;""),TRUE))</formula>
    </cfRule>
    <cfRule type="expression" dxfId="821" priority="1382">
      <formula>IF(BF82&gt;=BG82,IF(BF82="",FALSE,TRUE))</formula>
    </cfRule>
  </conditionalFormatting>
  <conditionalFormatting sqref="AK83 AM83">
    <cfRule type="expression" dxfId="820" priority="1371">
      <formula>OR(IF(AK83&lt;AL83,TRUE),IF(AND(AL83="",AK83&lt;&gt;""),TRUE))</formula>
    </cfRule>
    <cfRule type="expression" dxfId="819" priority="1372">
      <formula>IF(AK83&gt;=AL83,IF(AK83="",FALSE,TRUE))</formula>
    </cfRule>
  </conditionalFormatting>
  <conditionalFormatting sqref="AY83 BA83">
    <cfRule type="expression" dxfId="818" priority="1367">
      <formula>OR(IF(AY83&lt;AZ83,TRUE),IF(AND(AZ83="",AY83&lt;&gt;""),TRUE))</formula>
    </cfRule>
    <cfRule type="expression" dxfId="817" priority="1368">
      <formula>IF(AY83&gt;=AZ83,IF(AY83="",FALSE,TRUE))</formula>
    </cfRule>
  </conditionalFormatting>
  <conditionalFormatting sqref="P83 R83">
    <cfRule type="expression" dxfId="816" priority="1377">
      <formula>OR(IF(P83&lt;Q83,TRUE),IF(AND(Q83="",P83&lt;&gt;""),TRUE))</formula>
    </cfRule>
    <cfRule type="expression" dxfId="815" priority="1378">
      <formula>IF(P83&gt;=Q83,IF(P83="",FALSE,TRUE))</formula>
    </cfRule>
  </conditionalFormatting>
  <conditionalFormatting sqref="W83 Y83">
    <cfRule type="expression" dxfId="814" priority="1375">
      <formula>OR(IF(W83&lt;X83,TRUE),IF(AND(X83="",W83&lt;&gt;""),TRUE))</formula>
    </cfRule>
    <cfRule type="expression" dxfId="813" priority="1376">
      <formula>IF(W83&gt;=X83,IF(W83="",FALSE,TRUE))</formula>
    </cfRule>
  </conditionalFormatting>
  <conditionalFormatting sqref="AD83 AF83">
    <cfRule type="expression" dxfId="812" priority="1373">
      <formula>OR(IF(AD83&lt;AE83,TRUE),IF(AND(AE83="",AD83&lt;&gt;""),TRUE))</formula>
    </cfRule>
    <cfRule type="expression" dxfId="811" priority="1374">
      <formula>IF(AD83&gt;=AE83,IF(AD83="",FALSE,TRUE))</formula>
    </cfRule>
  </conditionalFormatting>
  <conditionalFormatting sqref="AR83 AT83">
    <cfRule type="expression" dxfId="810" priority="1369">
      <formula>OR(IF(AR83&lt;AS83,TRUE),IF(AND(AS83="",AR83&lt;&gt;""),TRUE))</formula>
    </cfRule>
    <cfRule type="expression" dxfId="809" priority="1370">
      <formula>IF(AR83&gt;=AS83,IF(AR83="",FALSE,TRUE))</formula>
    </cfRule>
  </conditionalFormatting>
  <conditionalFormatting sqref="J83:K83">
    <cfRule type="colorScale" priority="1366">
      <colorScale>
        <cfvo type="percent" val="0"/>
        <cfvo type="percent" val="100"/>
        <color rgb="FFFF231B"/>
        <color rgb="FF10FF07"/>
      </colorScale>
    </cfRule>
  </conditionalFormatting>
  <conditionalFormatting sqref="J83">
    <cfRule type="colorScale" priority="1365">
      <colorScale>
        <cfvo type="percent" val="0"/>
        <cfvo type="percent" val="100"/>
        <color rgb="FFFF231B"/>
        <color rgb="FF10FF07"/>
      </colorScale>
    </cfRule>
  </conditionalFormatting>
  <conditionalFormatting sqref="K83">
    <cfRule type="colorScale" priority="1364">
      <colorScale>
        <cfvo type="percent" val="0"/>
        <cfvo type="percent" val="100"/>
        <color rgb="FFFF231B"/>
        <color rgb="FF10FF07"/>
      </colorScale>
    </cfRule>
  </conditionalFormatting>
  <conditionalFormatting sqref="BF83 BH83">
    <cfRule type="expression" dxfId="808" priority="1362">
      <formula>OR(IF(BF83&lt;BG83,TRUE),IF(AND(BG83="",BF83&lt;&gt;""),TRUE))</formula>
    </cfRule>
    <cfRule type="expression" dxfId="807" priority="1363">
      <formula>IF(BF83&gt;=BG83,IF(BF83="",FALSE,TRUE))</formula>
    </cfRule>
  </conditionalFormatting>
  <conditionalFormatting sqref="AM84 AK84">
    <cfRule type="expression" dxfId="806" priority="1352">
      <formula>OR(IF(AK84&lt;AL84,TRUE),IF(AND(AL84="",AK84&lt;&gt;""),TRUE))</formula>
    </cfRule>
    <cfRule type="expression" dxfId="805" priority="1353">
      <formula>IF(AK84&gt;=AL84,IF(AK84="",FALSE,TRUE))</formula>
    </cfRule>
  </conditionalFormatting>
  <conditionalFormatting sqref="BA84 AY84">
    <cfRule type="expression" dxfId="804" priority="1348">
      <formula>OR(IF(AY84&lt;AZ84,TRUE),IF(AND(AZ84="",AY84&lt;&gt;""),TRUE))</formula>
    </cfRule>
    <cfRule type="expression" dxfId="803" priority="1349">
      <formula>IF(AY84&gt;=AZ84,IF(AY84="",FALSE,TRUE))</formula>
    </cfRule>
  </conditionalFormatting>
  <conditionalFormatting sqref="R84 P84">
    <cfRule type="expression" dxfId="802" priority="1358">
      <formula>OR(IF(P84&lt;Q84,TRUE),IF(AND(Q84="",P84&lt;&gt;""),TRUE))</formula>
    </cfRule>
    <cfRule type="expression" dxfId="801" priority="1359">
      <formula>IF(P84&gt;=Q84,IF(P84="",FALSE,TRUE))</formula>
    </cfRule>
  </conditionalFormatting>
  <conditionalFormatting sqref="Y84 W84">
    <cfRule type="expression" dxfId="800" priority="1356">
      <formula>OR(IF(W84&lt;X84,TRUE),IF(AND(X84="",W84&lt;&gt;""),TRUE))</formula>
    </cfRule>
    <cfRule type="expression" dxfId="799" priority="1357">
      <formula>IF(W84&gt;=X84,IF(W84="",FALSE,TRUE))</formula>
    </cfRule>
  </conditionalFormatting>
  <conditionalFormatting sqref="AF84 AD84">
    <cfRule type="expression" dxfId="798" priority="1354">
      <formula>OR(IF(AD84&lt;AE84,TRUE),IF(AND(AE84="",AD84&lt;&gt;""),TRUE))</formula>
    </cfRule>
    <cfRule type="expression" dxfId="797" priority="1355">
      <formula>IF(AD84&gt;=AE84,IF(AD84="",FALSE,TRUE))</formula>
    </cfRule>
  </conditionalFormatting>
  <conditionalFormatting sqref="AT84 AR84">
    <cfRule type="expression" dxfId="796" priority="1350">
      <formula>OR(IF(AR84&lt;AS84,TRUE),IF(AND(AS84="",AR84&lt;&gt;""),TRUE))</formula>
    </cfRule>
    <cfRule type="expression" dxfId="795" priority="1351">
      <formula>IF(AR84&gt;=AS84,IF(AR84="",FALSE,TRUE))</formula>
    </cfRule>
  </conditionalFormatting>
  <conditionalFormatting sqref="J84:K84">
    <cfRule type="colorScale" priority="1347">
      <colorScale>
        <cfvo type="percent" val="0"/>
        <cfvo type="percent" val="100"/>
        <color rgb="FFFF231B"/>
        <color rgb="FF10FF07"/>
      </colorScale>
    </cfRule>
  </conditionalFormatting>
  <conditionalFormatting sqref="J84">
    <cfRule type="colorScale" priority="1346">
      <colorScale>
        <cfvo type="percent" val="0"/>
        <cfvo type="percent" val="100"/>
        <color rgb="FFFF231B"/>
        <color rgb="FF10FF07"/>
      </colorScale>
    </cfRule>
  </conditionalFormatting>
  <conditionalFormatting sqref="K84">
    <cfRule type="colorScale" priority="1345">
      <colorScale>
        <cfvo type="percent" val="0"/>
        <cfvo type="percent" val="100"/>
        <color rgb="FFFF231B"/>
        <color rgb="FF10FF07"/>
      </colorScale>
    </cfRule>
  </conditionalFormatting>
  <conditionalFormatting sqref="BH84 BF84">
    <cfRule type="expression" dxfId="794" priority="1343">
      <formula>OR(IF(BF84&lt;BG84,TRUE),IF(AND(BG84="",BF84&lt;&gt;""),TRUE))</formula>
    </cfRule>
    <cfRule type="expression" dxfId="793" priority="1344">
      <formula>IF(BF84&gt;=BG84,IF(BF84="",FALSE,TRUE))</formula>
    </cfRule>
  </conditionalFormatting>
  <conditionalFormatting sqref="BM82 BO82">
    <cfRule type="expression" dxfId="792" priority="1341">
      <formula>OR(IF(BM82&lt;BN82,TRUE),IF(AND(BN82="",BM82&lt;&gt;""),TRUE))</formula>
    </cfRule>
    <cfRule type="expression" dxfId="791" priority="1342">
      <formula>IF(BM82&gt;=BN82,IF(BM82="",FALSE,TRUE))</formula>
    </cfRule>
  </conditionalFormatting>
  <conditionalFormatting sqref="BM83 BO83">
    <cfRule type="expression" dxfId="790" priority="1339">
      <formula>OR(IF(BM83&lt;BN83,TRUE),IF(AND(BN83="",BM83&lt;&gt;""),TRUE))</formula>
    </cfRule>
    <cfRule type="expression" dxfId="789" priority="1340">
      <formula>IF(BM83&gt;=BN83,IF(BM83="",FALSE,TRUE))</formula>
    </cfRule>
  </conditionalFormatting>
  <conditionalFormatting sqref="BO84 BM84">
    <cfRule type="expression" dxfId="788" priority="1337">
      <formula>OR(IF(BM84&lt;BN84,TRUE),IF(AND(BN84="",BM84&lt;&gt;""),TRUE))</formula>
    </cfRule>
    <cfRule type="expression" dxfId="787" priority="1338">
      <formula>IF(BM84&gt;=BN84,IF(BM84="",FALSE,TRUE))</formula>
    </cfRule>
  </conditionalFormatting>
  <conditionalFormatting sqref="BT82 BV82">
    <cfRule type="expression" dxfId="786" priority="1335">
      <formula>OR(IF(BT82&lt;BU82,TRUE),IF(AND(BU82="",BT82&lt;&gt;""),TRUE))</formula>
    </cfRule>
    <cfRule type="expression" dxfId="785" priority="1336">
      <formula>IF(BT82&gt;=BU82,IF(BT82="",FALSE,TRUE))</formula>
    </cfRule>
  </conditionalFormatting>
  <conditionalFormatting sqref="BT83 BV83">
    <cfRule type="expression" dxfId="784" priority="1333">
      <formula>OR(IF(BT83&lt;BU83,TRUE),IF(AND(BU83="",BT83&lt;&gt;""),TRUE))</formula>
    </cfRule>
    <cfRule type="expression" dxfId="783" priority="1334">
      <formula>IF(BT83&gt;=BU83,IF(BT83="",FALSE,TRUE))</formula>
    </cfRule>
  </conditionalFormatting>
  <conditionalFormatting sqref="BV84 BT84">
    <cfRule type="expression" dxfId="782" priority="1331">
      <formula>OR(IF(BT84&lt;BU84,TRUE),IF(AND(BU84="",BT84&lt;&gt;""),TRUE))</formula>
    </cfRule>
    <cfRule type="expression" dxfId="781" priority="1332">
      <formula>IF(BT84&gt;=BU84,IF(BT84="",FALSE,TRUE))</formula>
    </cfRule>
  </conditionalFormatting>
  <conditionalFormatting sqref="CA82 CC82">
    <cfRule type="expression" dxfId="780" priority="1329">
      <formula>OR(IF(CA82&lt;CB82,TRUE),IF(AND(CB82="",CA82&lt;&gt;""),TRUE))</formula>
    </cfRule>
    <cfRule type="expression" dxfId="779" priority="1330">
      <formula>IF(CA82&gt;=CB82,IF(CA82="",FALSE,TRUE))</formula>
    </cfRule>
  </conditionalFormatting>
  <conditionalFormatting sqref="CA83 CC83">
    <cfRule type="expression" dxfId="778" priority="1327">
      <formula>OR(IF(CA83&lt;CB83,TRUE),IF(AND(CB83="",CA83&lt;&gt;""),TRUE))</formula>
    </cfRule>
    <cfRule type="expression" dxfId="777" priority="1328">
      <formula>IF(CA83&gt;=CB83,IF(CA83="",FALSE,TRUE))</formula>
    </cfRule>
  </conditionalFormatting>
  <conditionalFormatting sqref="CC84 CA84">
    <cfRule type="expression" dxfId="776" priority="1325">
      <formula>OR(IF(CA84&lt;CB84,TRUE),IF(AND(CB84="",CA84&lt;&gt;""),TRUE))</formula>
    </cfRule>
    <cfRule type="expression" dxfId="775" priority="1326">
      <formula>IF(CA84&gt;=CB84,IF(CA84="",FALSE,TRUE))</formula>
    </cfRule>
  </conditionalFormatting>
  <conditionalFormatting sqref="CH82 CJ82">
    <cfRule type="expression" dxfId="774" priority="1323">
      <formula>OR(IF(CH82&lt;CI82,TRUE),IF(AND(CI82="",CH82&lt;&gt;""),TRUE))</formula>
    </cfRule>
    <cfRule type="expression" dxfId="773" priority="1324">
      <formula>IF(CH82&gt;=CI82,IF(CH82="",FALSE,TRUE))</formula>
    </cfRule>
  </conditionalFormatting>
  <conditionalFormatting sqref="CH83 CJ83">
    <cfRule type="expression" dxfId="772" priority="1321">
      <formula>OR(IF(CH83&lt;CI83,TRUE),IF(AND(CI83="",CH83&lt;&gt;""),TRUE))</formula>
    </cfRule>
    <cfRule type="expression" dxfId="771" priority="1322">
      <formula>IF(CH83&gt;=CI83,IF(CH83="",FALSE,TRUE))</formula>
    </cfRule>
  </conditionalFormatting>
  <conditionalFormatting sqref="CJ84 CH84">
    <cfRule type="expression" dxfId="770" priority="1319">
      <formula>OR(IF(CH84&lt;CI84,TRUE),IF(AND(CI84="",CH84&lt;&gt;""),TRUE))</formula>
    </cfRule>
    <cfRule type="expression" dxfId="769" priority="1320">
      <formula>IF(CH84&gt;=CI84,IF(CH84="",FALSE,TRUE))</formula>
    </cfRule>
  </conditionalFormatting>
  <conditionalFormatting sqref="CO82 CQ82">
    <cfRule type="expression" dxfId="768" priority="1317">
      <formula>OR(IF(CO82&lt;CP82,TRUE),IF(AND(CP82="",CO82&lt;&gt;""),TRUE))</formula>
    </cfRule>
    <cfRule type="expression" dxfId="767" priority="1318">
      <formula>IF(CO82&gt;=CP82,IF(CO82="",FALSE,TRUE))</formula>
    </cfRule>
  </conditionalFormatting>
  <conditionalFormatting sqref="CO83 CQ83">
    <cfRule type="expression" dxfId="766" priority="1315">
      <formula>OR(IF(CO83&lt;CP83,TRUE),IF(AND(CP83="",CO83&lt;&gt;""),TRUE))</formula>
    </cfRule>
    <cfRule type="expression" dxfId="765" priority="1316">
      <formula>IF(CO83&gt;=CP83,IF(CO83="",FALSE,TRUE))</formula>
    </cfRule>
  </conditionalFormatting>
  <conditionalFormatting sqref="CQ84 CO84">
    <cfRule type="expression" dxfId="764" priority="1313">
      <formula>OR(IF(CO84&lt;CP84,TRUE),IF(AND(CP84="",CO84&lt;&gt;""),TRUE))</formula>
    </cfRule>
    <cfRule type="expression" dxfId="763" priority="1314">
      <formula>IF(CO84&gt;=CP84,IF(CO84="",FALSE,TRUE))</formula>
    </cfRule>
  </conditionalFormatting>
  <conditionalFormatting sqref="CV82 CX82">
    <cfRule type="expression" dxfId="762" priority="1311">
      <formula>OR(IF(CV82&lt;CW82,TRUE),IF(AND(CW82="",CV82&lt;&gt;""),TRUE))</formula>
    </cfRule>
    <cfRule type="expression" dxfId="761" priority="1312">
      <formula>IF(CV82&gt;=CW82,IF(CV82="",FALSE,TRUE))</formula>
    </cfRule>
  </conditionalFormatting>
  <conditionalFormatting sqref="CV83 CX83">
    <cfRule type="expression" dxfId="760" priority="1309">
      <formula>OR(IF(CV83&lt;CW83,TRUE),IF(AND(CW83="",CV83&lt;&gt;""),TRUE))</formula>
    </cfRule>
    <cfRule type="expression" dxfId="759" priority="1310">
      <formula>IF(CV83&gt;=CW83,IF(CV83="",FALSE,TRUE))</formula>
    </cfRule>
  </conditionalFormatting>
  <conditionalFormatting sqref="CX84 CV84">
    <cfRule type="expression" dxfId="758" priority="1307">
      <formula>OR(IF(CV84&lt;CW84,TRUE),IF(AND(CW84="",CV84&lt;&gt;""),TRUE))</formula>
    </cfRule>
    <cfRule type="expression" dxfId="757" priority="1308">
      <formula>IF(CV84&gt;=CW84,IF(CV84="",FALSE,TRUE))</formula>
    </cfRule>
  </conditionalFormatting>
  <conditionalFormatting sqref="J85:K85">
    <cfRule type="colorScale" priority="1397">
      <colorScale>
        <cfvo type="percent" val="0"/>
        <cfvo type="percent" val="100"/>
        <color rgb="FFFF231B"/>
        <color rgb="FF10FF07"/>
      </colorScale>
    </cfRule>
  </conditionalFormatting>
  <conditionalFormatting sqref="DE85 DC85">
    <cfRule type="expression" dxfId="756" priority="1305">
      <formula>OR(IF(DC85&lt;DD85,TRUE),IF(AND(DD85="",DC85&lt;&gt;""),TRUE))</formula>
    </cfRule>
    <cfRule type="expression" dxfId="755" priority="1306">
      <formula>IF(DC85&gt;=DD85,IF(DC85="",FALSE,TRUE))</formula>
    </cfRule>
  </conditionalFormatting>
  <conditionalFormatting sqref="DC82 DE82">
    <cfRule type="expression" dxfId="754" priority="1303">
      <formula>OR(IF(DC82&lt;DD82,TRUE),IF(AND(DD82="",DC82&lt;&gt;""),TRUE))</formula>
    </cfRule>
    <cfRule type="expression" dxfId="753" priority="1304">
      <formula>IF(DC82&gt;=DD82,IF(DC82="",FALSE,TRUE))</formula>
    </cfRule>
  </conditionalFormatting>
  <conditionalFormatting sqref="DC83 DE83">
    <cfRule type="expression" dxfId="752" priority="1301">
      <formula>OR(IF(DC83&lt;DD83,TRUE),IF(AND(DD83="",DC83&lt;&gt;""),TRUE))</formula>
    </cfRule>
    <cfRule type="expression" dxfId="751" priority="1302">
      <formula>IF(DC83&gt;=DD83,IF(DC83="",FALSE,TRUE))</formula>
    </cfRule>
  </conditionalFormatting>
  <conditionalFormatting sqref="DE84 DC84">
    <cfRule type="expression" dxfId="750" priority="1299">
      <formula>OR(IF(DC84&lt;DD84,TRUE),IF(AND(DD84="",DC84&lt;&gt;""),TRUE))</formula>
    </cfRule>
    <cfRule type="expression" dxfId="749" priority="1300">
      <formula>IF(DC84&gt;=DD84,IF(DC84="",FALSE,TRUE))</formula>
    </cfRule>
  </conditionalFormatting>
  <conditionalFormatting sqref="DL85 DJ85">
    <cfRule type="expression" dxfId="748" priority="1297">
      <formula>OR(IF(DJ85&lt;DK85,TRUE),IF(AND(DK85="",DJ85&lt;&gt;""),TRUE))</formula>
    </cfRule>
    <cfRule type="expression" dxfId="747" priority="1298">
      <formula>IF(DJ85&gt;=DK85,IF(DJ85="",FALSE,TRUE))</formula>
    </cfRule>
  </conditionalFormatting>
  <conditionalFormatting sqref="DJ82 DL82">
    <cfRule type="expression" dxfId="746" priority="1295">
      <formula>OR(IF(DJ82&lt;DK82,TRUE),IF(AND(DK82="",DJ82&lt;&gt;""),TRUE))</formula>
    </cfRule>
    <cfRule type="expression" dxfId="745" priority="1296">
      <formula>IF(DJ82&gt;=DK82,IF(DJ82="",FALSE,TRUE))</formula>
    </cfRule>
  </conditionalFormatting>
  <conditionalFormatting sqref="DJ83 DL83">
    <cfRule type="expression" dxfId="744" priority="1293">
      <formula>OR(IF(DJ83&lt;DK83,TRUE),IF(AND(DK83="",DJ83&lt;&gt;""),TRUE))</formula>
    </cfRule>
    <cfRule type="expression" dxfId="743" priority="1294">
      <formula>IF(DJ83&gt;=DK83,IF(DJ83="",FALSE,TRUE))</formula>
    </cfRule>
  </conditionalFormatting>
  <conditionalFormatting sqref="DL84 DJ84">
    <cfRule type="expression" dxfId="742" priority="1291">
      <formula>OR(IF(DJ84&lt;DK84,TRUE),IF(AND(DK84="",DJ84&lt;&gt;""),TRUE))</formula>
    </cfRule>
    <cfRule type="expression" dxfId="741" priority="1292">
      <formula>IF(DJ84&gt;=DK84,IF(DJ84="",FALSE,TRUE))</formula>
    </cfRule>
  </conditionalFormatting>
  <conditionalFormatting sqref="DS85 DQ85">
    <cfRule type="expression" dxfId="740" priority="1289">
      <formula>OR(IF(DQ85&lt;DR85,TRUE),IF(AND(DR85="",DQ85&lt;&gt;""),TRUE))</formula>
    </cfRule>
    <cfRule type="expression" dxfId="739" priority="1290">
      <formula>IF(DQ85&gt;=DR85,IF(DQ85="",FALSE,TRUE))</formula>
    </cfRule>
  </conditionalFormatting>
  <conditionalFormatting sqref="DQ82 DS82">
    <cfRule type="expression" dxfId="738" priority="1287">
      <formula>OR(IF(DQ82&lt;DR82,TRUE),IF(AND(DR82="",DQ82&lt;&gt;""),TRUE))</formula>
    </cfRule>
    <cfRule type="expression" dxfId="737" priority="1288">
      <formula>IF(DQ82&gt;=DR82,IF(DQ82="",FALSE,TRUE))</formula>
    </cfRule>
  </conditionalFormatting>
  <conditionalFormatting sqref="DQ83 DS83">
    <cfRule type="expression" dxfId="736" priority="1285">
      <formula>OR(IF(DQ83&lt;DR83,TRUE),IF(AND(DR83="",DQ83&lt;&gt;""),TRUE))</formula>
    </cfRule>
    <cfRule type="expression" dxfId="735" priority="1286">
      <formula>IF(DQ83&gt;=DR83,IF(DQ83="",FALSE,TRUE))</formula>
    </cfRule>
  </conditionalFormatting>
  <conditionalFormatting sqref="DS84 DQ84">
    <cfRule type="expression" dxfId="734" priority="1283">
      <formula>OR(IF(DQ84&lt;DR84,TRUE),IF(AND(DR84="",DQ84&lt;&gt;""),TRUE))</formula>
    </cfRule>
    <cfRule type="expression" dxfId="733" priority="1284">
      <formula>IF(DQ84&gt;=DR84,IF(DQ84="",FALSE,TRUE))</formula>
    </cfRule>
  </conditionalFormatting>
  <conditionalFormatting sqref="DZ85 DX85">
    <cfRule type="expression" dxfId="732" priority="1281">
      <formula>OR(IF(DX85&lt;DY85,TRUE),IF(AND(DY85="",DX85&lt;&gt;""),TRUE))</formula>
    </cfRule>
    <cfRule type="expression" dxfId="731" priority="1282">
      <formula>IF(DX85&gt;=DY85,IF(DX85="",FALSE,TRUE))</formula>
    </cfRule>
  </conditionalFormatting>
  <conditionalFormatting sqref="DX82 DZ82">
    <cfRule type="expression" dxfId="730" priority="1279">
      <formula>OR(IF(DX82&lt;DY82,TRUE),IF(AND(DY82="",DX82&lt;&gt;""),TRUE))</formula>
    </cfRule>
    <cfRule type="expression" dxfId="729" priority="1280">
      <formula>IF(DX82&gt;=DY82,IF(DX82="",FALSE,TRUE))</formula>
    </cfRule>
  </conditionalFormatting>
  <conditionalFormatting sqref="DX83 DZ83">
    <cfRule type="expression" dxfId="728" priority="1277">
      <formula>OR(IF(DX83&lt;DY83,TRUE),IF(AND(DY83="",DX83&lt;&gt;""),TRUE))</formula>
    </cfRule>
    <cfRule type="expression" dxfId="727" priority="1278">
      <formula>IF(DX83&gt;=DY83,IF(DX83="",FALSE,TRUE))</formula>
    </cfRule>
  </conditionalFormatting>
  <conditionalFormatting sqref="DZ84 DX84">
    <cfRule type="expression" dxfId="726" priority="1275">
      <formula>OR(IF(DX84&lt;DY84,TRUE),IF(AND(DY84="",DX84&lt;&gt;""),TRUE))</formula>
    </cfRule>
    <cfRule type="expression" dxfId="725" priority="1276">
      <formula>IF(DX84&gt;=DY84,IF(DX84="",FALSE,TRUE))</formula>
    </cfRule>
  </conditionalFormatting>
  <conditionalFormatting sqref="EG85 EE85">
    <cfRule type="expression" dxfId="724" priority="1273">
      <formula>OR(IF(EE85&lt;EF85,TRUE),IF(AND(EF85="",EE85&lt;&gt;""),TRUE))</formula>
    </cfRule>
    <cfRule type="expression" dxfId="723" priority="1274">
      <formula>IF(EE85&gt;=EF85,IF(EE85="",FALSE,TRUE))</formula>
    </cfRule>
  </conditionalFormatting>
  <conditionalFormatting sqref="EE82 EG82">
    <cfRule type="expression" dxfId="722" priority="1271">
      <formula>OR(IF(EE82&lt;EF82,TRUE),IF(AND(EF82="",EE82&lt;&gt;""),TRUE))</formula>
    </cfRule>
    <cfRule type="expression" dxfId="721" priority="1272">
      <formula>IF(EE82&gt;=EF82,IF(EE82="",FALSE,TRUE))</formula>
    </cfRule>
  </conditionalFormatting>
  <conditionalFormatting sqref="EE83 EG83">
    <cfRule type="expression" dxfId="720" priority="1269">
      <formula>OR(IF(EE83&lt;EF83,TRUE),IF(AND(EF83="",EE83&lt;&gt;""),TRUE))</formula>
    </cfRule>
    <cfRule type="expression" dxfId="719" priority="1270">
      <formula>IF(EE83&gt;=EF83,IF(EE83="",FALSE,TRUE))</formula>
    </cfRule>
  </conditionalFormatting>
  <conditionalFormatting sqref="EG84 EE84">
    <cfRule type="expression" dxfId="718" priority="1267">
      <formula>OR(IF(EE84&lt;EF84,TRUE),IF(AND(EF84="",EE84&lt;&gt;""),TRUE))</formula>
    </cfRule>
    <cfRule type="expression" dxfId="717" priority="1268">
      <formula>IF(EE84&gt;=EF84,IF(EE84="",FALSE,TRUE))</formula>
    </cfRule>
  </conditionalFormatting>
  <conditionalFormatting sqref="AY19:AY20">
    <cfRule type="expression" dxfId="716" priority="1241">
      <formula>OR(IF(AY19&lt;AZ19,TRUE),IF(AND(AZ19="",AY19&lt;&gt;""),TRUE))</formula>
    </cfRule>
    <cfRule type="expression" dxfId="715" priority="1242">
      <formula>IF(AY19&gt;=AZ19,IF(AY19="",FALSE,TRUE))</formula>
    </cfRule>
  </conditionalFormatting>
  <conditionalFormatting sqref="P19:P20">
    <cfRule type="expression" dxfId="714" priority="1261">
      <formula>OR(IF(P19&lt;Q19,TRUE),IF(AND(Q19="",P19&lt;&gt;""),TRUE))</formula>
    </cfRule>
    <cfRule type="expression" dxfId="713" priority="1262">
      <formula>IF(P19&gt;=Q19,IF(P19="",FALSE,TRUE))</formula>
    </cfRule>
  </conditionalFormatting>
  <conditionalFormatting sqref="R19:R20">
    <cfRule type="expression" dxfId="712" priority="1259">
      <formula>OR(IF(R19&lt;S19,TRUE),IF(AND(S19="",R19&lt;&gt;""),TRUE))</formula>
    </cfRule>
    <cfRule type="expression" dxfId="711" priority="1260">
      <formula>IF(R19&gt;=S19,IF(R19="",FALSE,TRUE))</formula>
    </cfRule>
  </conditionalFormatting>
  <conditionalFormatting sqref="W19:W20">
    <cfRule type="expression" dxfId="710" priority="1257">
      <formula>OR(IF(W19&lt;X19,TRUE),IF(AND(X19="",W19&lt;&gt;""),TRUE))</formula>
    </cfRule>
    <cfRule type="expression" dxfId="709" priority="1258">
      <formula>IF(W19&gt;=X19,IF(W19="",FALSE,TRUE))</formula>
    </cfRule>
  </conditionalFormatting>
  <conditionalFormatting sqref="Y19:Y20">
    <cfRule type="expression" dxfId="708" priority="1255">
      <formula>OR(IF(Y19&lt;Z19,TRUE),IF(AND(Z19="",Y19&lt;&gt;""),TRUE))</formula>
    </cfRule>
    <cfRule type="expression" dxfId="707" priority="1256">
      <formula>IF(Y19&gt;=Z19,IF(Y19="",FALSE,TRUE))</formula>
    </cfRule>
  </conditionalFormatting>
  <conditionalFormatting sqref="AD19:AD20">
    <cfRule type="expression" dxfId="706" priority="1253">
      <formula>OR(IF(AD19&lt;AE19,TRUE),IF(AND(AE19="",AD19&lt;&gt;""),TRUE))</formula>
    </cfRule>
    <cfRule type="expression" dxfId="705" priority="1254">
      <formula>IF(AD19&gt;=AE19,IF(AD19="",FALSE,TRUE))</formula>
    </cfRule>
  </conditionalFormatting>
  <conditionalFormatting sqref="AF19:AF20">
    <cfRule type="expression" dxfId="704" priority="1251">
      <formula>OR(IF(AF19&lt;AG19,TRUE),IF(AND(AG19="",AF19&lt;&gt;""),TRUE))</formula>
    </cfRule>
    <cfRule type="expression" dxfId="703" priority="1252">
      <formula>IF(AF19&gt;=AG19,IF(AF19="",FALSE,TRUE))</formula>
    </cfRule>
  </conditionalFormatting>
  <conditionalFormatting sqref="AM19:AM20">
    <cfRule type="expression" dxfId="702" priority="1247">
      <formula>OR(IF(AM19&lt;AN19,TRUE),IF(AND(AN19="",AM19&lt;&gt;""),TRUE))</formula>
    </cfRule>
    <cfRule type="expression" dxfId="701" priority="1248">
      <formula>IF(AM19&gt;=AN19,IF(AM19="",FALSE,TRUE))</formula>
    </cfRule>
  </conditionalFormatting>
  <conditionalFormatting sqref="AR19:AR20">
    <cfRule type="expression" dxfId="700" priority="1245">
      <formula>OR(IF(AR19&lt;AS19,TRUE),IF(AND(AS19="",AR19&lt;&gt;""),TRUE))</formula>
    </cfRule>
    <cfRule type="expression" dxfId="699" priority="1246">
      <formula>IF(AR19&gt;=AS19,IF(AR19="",FALSE,TRUE))</formula>
    </cfRule>
  </conditionalFormatting>
  <conditionalFormatting sqref="AT19:AT20">
    <cfRule type="expression" dxfId="698" priority="1243">
      <formula>OR(IF(AT19&lt;AU19,TRUE),IF(AND(AU19="",AT19&lt;&gt;""),TRUE))</formula>
    </cfRule>
    <cfRule type="expression" dxfId="697" priority="1244">
      <formula>IF(AT19&gt;=AU19,IF(AT19="",FALSE,TRUE))</formula>
    </cfRule>
  </conditionalFormatting>
  <conditionalFormatting sqref="BA19:BA20">
    <cfRule type="expression" dxfId="696" priority="1239">
      <formula>OR(IF(BA19&lt;BB19,TRUE),IF(AND(BB19="",BA19&lt;&gt;""),TRUE))</formula>
    </cfRule>
    <cfRule type="expression" dxfId="695" priority="1240">
      <formula>IF(BA19&gt;=BB19,IF(BA19="",FALSE,TRUE))</formula>
    </cfRule>
  </conditionalFormatting>
  <conditionalFormatting sqref="BF19:BF20">
    <cfRule type="expression" dxfId="694" priority="1237">
      <formula>OR(IF(BF19&lt;BG19,TRUE),IF(AND(BG19="",BF19&lt;&gt;""),TRUE))</formula>
    </cfRule>
    <cfRule type="expression" dxfId="693" priority="1238">
      <formula>IF(BF19&gt;=BG19,IF(BF19="",FALSE,TRUE))</formula>
    </cfRule>
  </conditionalFormatting>
  <conditionalFormatting sqref="BH19:BH20">
    <cfRule type="expression" dxfId="692" priority="1235">
      <formula>OR(IF(BH19&lt;BI19,TRUE),IF(AND(BI19="",BH19&lt;&gt;""),TRUE))</formula>
    </cfRule>
    <cfRule type="expression" dxfId="691" priority="1236">
      <formula>IF(BH19&gt;=BI19,IF(BH19="",FALSE,TRUE))</formula>
    </cfRule>
  </conditionalFormatting>
  <conditionalFormatting sqref="BM19:BM20">
    <cfRule type="expression" dxfId="690" priority="1233">
      <formula>OR(IF(BM19&lt;BN19,TRUE),IF(AND(BN19="",BM19&lt;&gt;""),TRUE))</formula>
    </cfRule>
    <cfRule type="expression" dxfId="689" priority="1234">
      <formula>IF(BM19&gt;=BN19,IF(BM19="",FALSE,TRUE))</formula>
    </cfRule>
  </conditionalFormatting>
  <conditionalFormatting sqref="BO19:BO20">
    <cfRule type="expression" dxfId="688" priority="1231">
      <formula>OR(IF(BO19&lt;BP19,TRUE),IF(AND(BP19="",BO19&lt;&gt;""),TRUE))</formula>
    </cfRule>
    <cfRule type="expression" dxfId="687" priority="1232">
      <formula>IF(BO19&gt;=BP19,IF(BO19="",FALSE,TRUE))</formula>
    </cfRule>
  </conditionalFormatting>
  <conditionalFormatting sqref="BT19:BT20">
    <cfRule type="expression" dxfId="686" priority="1229">
      <formula>OR(IF(BT19&lt;BU19,TRUE),IF(AND(BU19="",BT19&lt;&gt;""),TRUE))</formula>
    </cfRule>
    <cfRule type="expression" dxfId="685" priority="1230">
      <formula>IF(BT19&gt;=BU19,IF(BT19="",FALSE,TRUE))</formula>
    </cfRule>
  </conditionalFormatting>
  <conditionalFormatting sqref="BV19:BV20">
    <cfRule type="expression" dxfId="684" priority="1227">
      <formula>OR(IF(BV19&lt;BW19,TRUE),IF(AND(BW19="",BV19&lt;&gt;""),TRUE))</formula>
    </cfRule>
    <cfRule type="expression" dxfId="683" priority="1228">
      <formula>IF(BV19&gt;=BW19,IF(BV19="",FALSE,TRUE))</formula>
    </cfRule>
  </conditionalFormatting>
  <conditionalFormatting sqref="CA19:CA20">
    <cfRule type="expression" dxfId="682" priority="1225">
      <formula>OR(IF(CA19&lt;CB19,TRUE),IF(AND(CB19="",CA19&lt;&gt;""),TRUE))</formula>
    </cfRule>
    <cfRule type="expression" dxfId="681" priority="1226">
      <formula>IF(CA19&gt;=CB19,IF(CA19="",FALSE,TRUE))</formula>
    </cfRule>
  </conditionalFormatting>
  <conditionalFormatting sqref="CC19:CC20">
    <cfRule type="expression" dxfId="680" priority="1223">
      <formula>OR(IF(CC19&lt;CD19,TRUE),IF(AND(CD19="",CC19&lt;&gt;""),TRUE))</formula>
    </cfRule>
    <cfRule type="expression" dxfId="679" priority="1224">
      <formula>IF(CC19&gt;=CD19,IF(CC19="",FALSE,TRUE))</formula>
    </cfRule>
  </conditionalFormatting>
  <conditionalFormatting sqref="CH19:CH20">
    <cfRule type="expression" dxfId="678" priority="1221">
      <formula>OR(IF(CH19&lt;CI19,TRUE),IF(AND(CI19="",CH19&lt;&gt;""),TRUE))</formula>
    </cfRule>
    <cfRule type="expression" dxfId="677" priority="1222">
      <formula>IF(CH19&gt;=CI19,IF(CH19="",FALSE,TRUE))</formula>
    </cfRule>
  </conditionalFormatting>
  <conditionalFormatting sqref="CJ19:CJ20">
    <cfRule type="expression" dxfId="676" priority="1219">
      <formula>OR(IF(CJ19&lt;CK19,TRUE),IF(AND(CK19="",CJ19&lt;&gt;""),TRUE))</formula>
    </cfRule>
    <cfRule type="expression" dxfId="675" priority="1220">
      <formula>IF(CJ19&gt;=CK19,IF(CJ19="",FALSE,TRUE))</formula>
    </cfRule>
  </conditionalFormatting>
  <conditionalFormatting sqref="CO19:CO20">
    <cfRule type="expression" dxfId="674" priority="1217">
      <formula>OR(IF(CO19&lt;CP19,TRUE),IF(AND(CP19="",CO19&lt;&gt;""),TRUE))</formula>
    </cfRule>
    <cfRule type="expression" dxfId="673" priority="1218">
      <formula>IF(CO19&gt;=CP19,IF(CO19="",FALSE,TRUE))</formula>
    </cfRule>
  </conditionalFormatting>
  <conditionalFormatting sqref="CQ19:CQ20">
    <cfRule type="expression" dxfId="672" priority="1215">
      <formula>OR(IF(CQ19&lt;CR19,TRUE),IF(AND(CR19="",CQ19&lt;&gt;""),TRUE))</formula>
    </cfRule>
    <cfRule type="expression" dxfId="671" priority="1216">
      <formula>IF(CQ19&gt;=CR19,IF(CQ19="",FALSE,TRUE))</formula>
    </cfRule>
  </conditionalFormatting>
  <conditionalFormatting sqref="CV19:CV20">
    <cfRule type="expression" dxfId="670" priority="1213">
      <formula>OR(IF(CV19&lt;CW19,TRUE),IF(AND(CW19="",CV19&lt;&gt;""),TRUE))</formula>
    </cfRule>
    <cfRule type="expression" dxfId="669" priority="1214">
      <formula>IF(CV19&gt;=CW19,IF(CV19="",FALSE,TRUE))</formula>
    </cfRule>
  </conditionalFormatting>
  <conditionalFormatting sqref="CX19:CX20">
    <cfRule type="expression" dxfId="668" priority="1211">
      <formula>OR(IF(CX19&lt;CY19,TRUE),IF(AND(CY19="",CX19&lt;&gt;""),TRUE))</formula>
    </cfRule>
    <cfRule type="expression" dxfId="667" priority="1212">
      <formula>IF(CX19&gt;=CY19,IF(CX19="",FALSE,TRUE))</formula>
    </cfRule>
  </conditionalFormatting>
  <conditionalFormatting sqref="DC19:DC20">
    <cfRule type="expression" dxfId="666" priority="1209">
      <formula>OR(IF(DC19&lt;DD19,TRUE),IF(AND(DD19="",DC19&lt;&gt;""),TRUE))</formula>
    </cfRule>
    <cfRule type="expression" dxfId="665" priority="1210">
      <formula>IF(DC19&gt;=DD19,IF(DC19="",FALSE,TRUE))</formula>
    </cfRule>
  </conditionalFormatting>
  <conditionalFormatting sqref="DE19:DE20">
    <cfRule type="expression" dxfId="664" priority="1207">
      <formula>OR(IF(DE19&lt;DF19,TRUE),IF(AND(DF19="",DE19&lt;&gt;""),TRUE))</formula>
    </cfRule>
    <cfRule type="expression" dxfId="663" priority="1208">
      <formula>IF(DE19&gt;=DF19,IF(DE19="",FALSE,TRUE))</formula>
    </cfRule>
  </conditionalFormatting>
  <conditionalFormatting sqref="DJ19:DJ20">
    <cfRule type="expression" dxfId="662" priority="1205">
      <formula>OR(IF(DJ19&lt;DK19,TRUE),IF(AND(DK19="",DJ19&lt;&gt;""),TRUE))</formula>
    </cfRule>
    <cfRule type="expression" dxfId="661" priority="1206">
      <formula>IF(DJ19&gt;=DK19,IF(DJ19="",FALSE,TRUE))</formula>
    </cfRule>
  </conditionalFormatting>
  <conditionalFormatting sqref="DL19:DL20">
    <cfRule type="expression" dxfId="660" priority="1203">
      <formula>OR(IF(DL19&lt;DM19,TRUE),IF(AND(DM19="",DL19&lt;&gt;""),TRUE))</formula>
    </cfRule>
    <cfRule type="expression" dxfId="659" priority="1204">
      <formula>IF(DL19&gt;=DM19,IF(DL19="",FALSE,TRUE))</formula>
    </cfRule>
  </conditionalFormatting>
  <conditionalFormatting sqref="DQ19:DQ20">
    <cfRule type="expression" dxfId="658" priority="1201">
      <formula>OR(IF(DQ19&lt;DR19,TRUE),IF(AND(DR19="",DQ19&lt;&gt;""),TRUE))</formula>
    </cfRule>
    <cfRule type="expression" dxfId="657" priority="1202">
      <formula>IF(DQ19&gt;=DR19,IF(DQ19="",FALSE,TRUE))</formula>
    </cfRule>
  </conditionalFormatting>
  <conditionalFormatting sqref="DS19:DS20">
    <cfRule type="expression" dxfId="656" priority="1199">
      <formula>OR(IF(DS19&lt;DT19,TRUE),IF(AND(DT19="",DS19&lt;&gt;""),TRUE))</formula>
    </cfRule>
    <cfRule type="expression" dxfId="655" priority="1200">
      <formula>IF(DS19&gt;=DT19,IF(DS19="",FALSE,TRUE))</formula>
    </cfRule>
  </conditionalFormatting>
  <conditionalFormatting sqref="DX19:DX20">
    <cfRule type="expression" dxfId="654" priority="1197">
      <formula>OR(IF(DX19&lt;DY19,TRUE),IF(AND(DY19="",DX19&lt;&gt;""),TRUE))</formula>
    </cfRule>
    <cfRule type="expression" dxfId="653" priority="1198">
      <formula>IF(DX19&gt;=DY19,IF(DX19="",FALSE,TRUE))</formula>
    </cfRule>
  </conditionalFormatting>
  <conditionalFormatting sqref="DZ19:DZ20">
    <cfRule type="expression" dxfId="652" priority="1195">
      <formula>OR(IF(DZ19&lt;EA19,TRUE),IF(AND(EA19="",DZ19&lt;&gt;""),TRUE))</formula>
    </cfRule>
    <cfRule type="expression" dxfId="651" priority="1196">
      <formula>IF(DZ19&gt;=EA19,IF(DZ19="",FALSE,TRUE))</formula>
    </cfRule>
  </conditionalFormatting>
  <conditionalFormatting sqref="EE19:EE20">
    <cfRule type="expression" dxfId="650" priority="1193">
      <formula>OR(IF(EE19&lt;EF19,TRUE),IF(AND(EF19="",EE19&lt;&gt;""),TRUE))</formula>
    </cfRule>
    <cfRule type="expression" dxfId="649" priority="1194">
      <formula>IF(EE19&gt;=EF19,IF(EE19="",FALSE,TRUE))</formula>
    </cfRule>
  </conditionalFormatting>
  <conditionalFormatting sqref="EG19:EG20">
    <cfRule type="expression" dxfId="648" priority="1191">
      <formula>OR(IF(EG19&lt;EH19,TRUE),IF(AND(EH19="",EG19&lt;&gt;""),TRUE))</formula>
    </cfRule>
    <cfRule type="expression" dxfId="647" priority="1192">
      <formula>IF(EG19&gt;=EH19,IF(EG19="",FALSE,TRUE))</formula>
    </cfRule>
  </conditionalFormatting>
  <conditionalFormatting sqref="J50:K52 J39:K41 J43:K45 J47:K48 J58:K58">
    <cfRule type="colorScale" priority="3606">
      <colorScale>
        <cfvo type="percent" val="0"/>
        <cfvo type="percent" val="100"/>
        <color rgb="FFFF231B"/>
        <color rgb="FF10FF07"/>
      </colorScale>
    </cfRule>
  </conditionalFormatting>
  <conditionalFormatting sqref="J38:J52 J58">
    <cfRule type="colorScale" priority="3611">
      <colorScale>
        <cfvo type="percent" val="0"/>
        <cfvo type="percent" val="100"/>
        <color rgb="FFFF231B"/>
        <color rgb="FF10FF07"/>
      </colorScale>
    </cfRule>
  </conditionalFormatting>
  <conditionalFormatting sqref="K38:K52 K58">
    <cfRule type="colorScale" priority="3613">
      <colorScale>
        <cfvo type="percent" val="0"/>
        <cfvo type="percent" val="100"/>
        <color rgb="FFFF231B"/>
        <color rgb="FF10FF07"/>
      </colorScale>
    </cfRule>
  </conditionalFormatting>
  <conditionalFormatting sqref="AK86 AM86">
    <cfRule type="expression" dxfId="646" priority="954">
      <formula>OR(IF(AK86&lt;AL86,TRUE),IF(AND(AL86="",AK86&lt;&gt;""),TRUE))</formula>
    </cfRule>
    <cfRule type="expression" dxfId="645" priority="955">
      <formula>IF(AK86&gt;=AL86,IF(AK86="",FALSE,TRUE))</formula>
    </cfRule>
  </conditionalFormatting>
  <conditionalFormatting sqref="AY86 BA86">
    <cfRule type="expression" dxfId="644" priority="950">
      <formula>OR(IF(AY86&lt;AZ86,TRUE),IF(AND(AZ86="",AY86&lt;&gt;""),TRUE))</formula>
    </cfRule>
    <cfRule type="expression" dxfId="643" priority="951">
      <formula>IF(AY86&gt;=AZ86,IF(AY86="",FALSE,TRUE))</formula>
    </cfRule>
  </conditionalFormatting>
  <conditionalFormatting sqref="P86 R86">
    <cfRule type="expression" dxfId="642" priority="960">
      <formula>OR(IF(P86&lt;Q86,TRUE),IF(AND(Q86="",P86&lt;&gt;""),TRUE))</formula>
    </cfRule>
    <cfRule type="expression" dxfId="641" priority="961">
      <formula>IF(P86&gt;=Q86,IF(P86="",FALSE,TRUE))</formula>
    </cfRule>
  </conditionalFormatting>
  <conditionalFormatting sqref="W86 Y86">
    <cfRule type="expression" dxfId="640" priority="958">
      <formula>OR(IF(W86&lt;X86,TRUE),IF(AND(X86="",W86&lt;&gt;""),TRUE))</formula>
    </cfRule>
    <cfRule type="expression" dxfId="639" priority="959">
      <formula>IF(W86&gt;=X86,IF(W86="",FALSE,TRUE))</formula>
    </cfRule>
  </conditionalFormatting>
  <conditionalFormatting sqref="AD86 AF86">
    <cfRule type="expression" dxfId="638" priority="956">
      <formula>OR(IF(AD86&lt;AE86,TRUE),IF(AND(AE86="",AD86&lt;&gt;""),TRUE))</formula>
    </cfRule>
    <cfRule type="expression" dxfId="637" priority="957">
      <formula>IF(AD86&gt;=AE86,IF(AD86="",FALSE,TRUE))</formula>
    </cfRule>
  </conditionalFormatting>
  <conditionalFormatting sqref="AR86 AT86">
    <cfRule type="expression" dxfId="636" priority="952">
      <formula>OR(IF(AR86&lt;AS86,TRUE),IF(AND(AS86="",AR86&lt;&gt;""),TRUE))</formula>
    </cfRule>
    <cfRule type="expression" dxfId="635" priority="953">
      <formula>IF(AR86&gt;=AS86,IF(AR86="",FALSE,TRUE))</formula>
    </cfRule>
  </conditionalFormatting>
  <conditionalFormatting sqref="BF86 BH86">
    <cfRule type="expression" dxfId="634" priority="948">
      <formula>OR(IF(BF86&lt;BG86,TRUE),IF(AND(BG86="",BF86&lt;&gt;""),TRUE))</formula>
    </cfRule>
    <cfRule type="expression" dxfId="633" priority="949">
      <formula>IF(BF86&gt;=BG86,IF(BF86="",FALSE,TRUE))</formula>
    </cfRule>
  </conditionalFormatting>
  <conditionalFormatting sqref="AK87 AM87">
    <cfRule type="expression" dxfId="632" priority="938">
      <formula>OR(IF(AK87&lt;AL87,TRUE),IF(AND(AL87="",AK87&lt;&gt;""),TRUE))</formula>
    </cfRule>
    <cfRule type="expression" dxfId="631" priority="939">
      <formula>IF(AK87&gt;=AL87,IF(AK87="",FALSE,TRUE))</formula>
    </cfRule>
  </conditionalFormatting>
  <conditionalFormatting sqref="AY87 BA87">
    <cfRule type="expression" dxfId="630" priority="934">
      <formula>OR(IF(AY87&lt;AZ87,TRUE),IF(AND(AZ87="",AY87&lt;&gt;""),TRUE))</formula>
    </cfRule>
    <cfRule type="expression" dxfId="629" priority="935">
      <formula>IF(AY87&gt;=AZ87,IF(AY87="",FALSE,TRUE))</formula>
    </cfRule>
  </conditionalFormatting>
  <conditionalFormatting sqref="P87 R87">
    <cfRule type="expression" dxfId="628" priority="944">
      <formula>OR(IF(P87&lt;Q87,TRUE),IF(AND(Q87="",P87&lt;&gt;""),TRUE))</formula>
    </cfRule>
    <cfRule type="expression" dxfId="627" priority="945">
      <formula>IF(P87&gt;=Q87,IF(P87="",FALSE,TRUE))</formula>
    </cfRule>
  </conditionalFormatting>
  <conditionalFormatting sqref="W87 Y87">
    <cfRule type="expression" dxfId="626" priority="942">
      <formula>OR(IF(W87&lt;X87,TRUE),IF(AND(X87="",W87&lt;&gt;""),TRUE))</formula>
    </cfRule>
    <cfRule type="expression" dxfId="625" priority="943">
      <formula>IF(W87&gt;=X87,IF(W87="",FALSE,TRUE))</formula>
    </cfRule>
  </conditionalFormatting>
  <conditionalFormatting sqref="AD87 AF87">
    <cfRule type="expression" dxfId="624" priority="940">
      <formula>OR(IF(AD87&lt;AE87,TRUE),IF(AND(AE87="",AD87&lt;&gt;""),TRUE))</formula>
    </cfRule>
    <cfRule type="expression" dxfId="623" priority="941">
      <formula>IF(AD87&gt;=AE87,IF(AD87="",FALSE,TRUE))</formula>
    </cfRule>
  </conditionalFormatting>
  <conditionalFormatting sqref="AR87 AT87">
    <cfRule type="expression" dxfId="622" priority="936">
      <formula>OR(IF(AR87&lt;AS87,TRUE),IF(AND(AS87="",AR87&lt;&gt;""),TRUE))</formula>
    </cfRule>
    <cfRule type="expression" dxfId="621" priority="937">
      <formula>IF(AR87&gt;=AS87,IF(AR87="",FALSE,TRUE))</formula>
    </cfRule>
  </conditionalFormatting>
  <conditionalFormatting sqref="J87:K87">
    <cfRule type="colorScale" priority="933">
      <colorScale>
        <cfvo type="percent" val="0"/>
        <cfvo type="percent" val="100"/>
        <color rgb="FFFF231B"/>
        <color rgb="FF10FF07"/>
      </colorScale>
    </cfRule>
  </conditionalFormatting>
  <conditionalFormatting sqref="J87">
    <cfRule type="colorScale" priority="932">
      <colorScale>
        <cfvo type="percent" val="0"/>
        <cfvo type="percent" val="100"/>
        <color rgb="FFFF231B"/>
        <color rgb="FF10FF07"/>
      </colorScale>
    </cfRule>
  </conditionalFormatting>
  <conditionalFormatting sqref="K87">
    <cfRule type="colorScale" priority="931">
      <colorScale>
        <cfvo type="percent" val="0"/>
        <cfvo type="percent" val="100"/>
        <color rgb="FFFF231B"/>
        <color rgb="FF10FF07"/>
      </colorScale>
    </cfRule>
  </conditionalFormatting>
  <conditionalFormatting sqref="BF87 BH87">
    <cfRule type="expression" dxfId="620" priority="929">
      <formula>OR(IF(BF87&lt;BG87,TRUE),IF(AND(BG87="",BF87&lt;&gt;""),TRUE))</formula>
    </cfRule>
    <cfRule type="expression" dxfId="619" priority="930">
      <formula>IF(BF87&gt;=BG87,IF(BF87="",FALSE,TRUE))</formula>
    </cfRule>
  </conditionalFormatting>
  <conditionalFormatting sqref="AM88 AK88">
    <cfRule type="expression" dxfId="618" priority="919">
      <formula>OR(IF(AK88&lt;AL88,TRUE),IF(AND(AL88="",AK88&lt;&gt;""),TRUE))</formula>
    </cfRule>
    <cfRule type="expression" dxfId="617" priority="920">
      <formula>IF(AK88&gt;=AL88,IF(AK88="",FALSE,TRUE))</formula>
    </cfRule>
  </conditionalFormatting>
  <conditionalFormatting sqref="BA88 AY88">
    <cfRule type="expression" dxfId="616" priority="915">
      <formula>OR(IF(AY88&lt;AZ88,TRUE),IF(AND(AZ88="",AY88&lt;&gt;""),TRUE))</formula>
    </cfRule>
    <cfRule type="expression" dxfId="615" priority="916">
      <formula>IF(AY88&gt;=AZ88,IF(AY88="",FALSE,TRUE))</formula>
    </cfRule>
  </conditionalFormatting>
  <conditionalFormatting sqref="R88 P88">
    <cfRule type="expression" dxfId="614" priority="925">
      <formula>OR(IF(P88&lt;Q88,TRUE),IF(AND(Q88="",P88&lt;&gt;""),TRUE))</formula>
    </cfRule>
    <cfRule type="expression" dxfId="613" priority="926">
      <formula>IF(P88&gt;=Q88,IF(P88="",FALSE,TRUE))</formula>
    </cfRule>
  </conditionalFormatting>
  <conditionalFormatting sqref="Y88 W88">
    <cfRule type="expression" dxfId="612" priority="923">
      <formula>OR(IF(W88&lt;X88,TRUE),IF(AND(X88="",W88&lt;&gt;""),TRUE))</formula>
    </cfRule>
    <cfRule type="expression" dxfId="611" priority="924">
      <formula>IF(W88&gt;=X88,IF(W88="",FALSE,TRUE))</formula>
    </cfRule>
  </conditionalFormatting>
  <conditionalFormatting sqref="AF88 AD88">
    <cfRule type="expression" dxfId="610" priority="921">
      <formula>OR(IF(AD88&lt;AE88,TRUE),IF(AND(AE88="",AD88&lt;&gt;""),TRUE))</formula>
    </cfRule>
    <cfRule type="expression" dxfId="609" priority="922">
      <formula>IF(AD88&gt;=AE88,IF(AD88="",FALSE,TRUE))</formula>
    </cfRule>
  </conditionalFormatting>
  <conditionalFormatting sqref="AT88 AR88">
    <cfRule type="expression" dxfId="608" priority="917">
      <formula>OR(IF(AR88&lt;AS88,TRUE),IF(AND(AS88="",AR88&lt;&gt;""),TRUE))</formula>
    </cfRule>
    <cfRule type="expression" dxfId="607" priority="918">
      <formula>IF(AR88&gt;=AS88,IF(AR88="",FALSE,TRUE))</formula>
    </cfRule>
  </conditionalFormatting>
  <conditionalFormatting sqref="J88:K88">
    <cfRule type="colorScale" priority="914">
      <colorScale>
        <cfvo type="percent" val="0"/>
        <cfvo type="percent" val="100"/>
        <color rgb="FFFF231B"/>
        <color rgb="FF10FF07"/>
      </colorScale>
    </cfRule>
  </conditionalFormatting>
  <conditionalFormatting sqref="J88">
    <cfRule type="colorScale" priority="913">
      <colorScale>
        <cfvo type="percent" val="0"/>
        <cfvo type="percent" val="100"/>
        <color rgb="FFFF231B"/>
        <color rgb="FF10FF07"/>
      </colorScale>
    </cfRule>
  </conditionalFormatting>
  <conditionalFormatting sqref="K88">
    <cfRule type="colorScale" priority="912">
      <colorScale>
        <cfvo type="percent" val="0"/>
        <cfvo type="percent" val="100"/>
        <color rgb="FFFF231B"/>
        <color rgb="FF10FF07"/>
      </colorScale>
    </cfRule>
  </conditionalFormatting>
  <conditionalFormatting sqref="BH88 BF88">
    <cfRule type="expression" dxfId="606" priority="910">
      <formula>OR(IF(BF88&lt;BG88,TRUE),IF(AND(BG88="",BF88&lt;&gt;""),TRUE))</formula>
    </cfRule>
    <cfRule type="expression" dxfId="605" priority="911">
      <formula>IF(BF88&gt;=BG88,IF(BF88="",FALSE,TRUE))</formula>
    </cfRule>
  </conditionalFormatting>
  <conditionalFormatting sqref="BM86 BO86">
    <cfRule type="expression" dxfId="604" priority="908">
      <formula>OR(IF(BM86&lt;BN86,TRUE),IF(AND(BN86="",BM86&lt;&gt;""),TRUE))</formula>
    </cfRule>
    <cfRule type="expression" dxfId="603" priority="909">
      <formula>IF(BM86&gt;=BN86,IF(BM86="",FALSE,TRUE))</formula>
    </cfRule>
  </conditionalFormatting>
  <conditionalFormatting sqref="BM87 BO87">
    <cfRule type="expression" dxfId="602" priority="906">
      <formula>OR(IF(BM87&lt;BN87,TRUE),IF(AND(BN87="",BM87&lt;&gt;""),TRUE))</formula>
    </cfRule>
    <cfRule type="expression" dxfId="601" priority="907">
      <formula>IF(BM87&gt;=BN87,IF(BM87="",FALSE,TRUE))</formula>
    </cfRule>
  </conditionalFormatting>
  <conditionalFormatting sqref="BO88 BM88">
    <cfRule type="expression" dxfId="600" priority="904">
      <formula>OR(IF(BM88&lt;BN88,TRUE),IF(AND(BN88="",BM88&lt;&gt;""),TRUE))</formula>
    </cfRule>
    <cfRule type="expression" dxfId="599" priority="905">
      <formula>IF(BM88&gt;=BN88,IF(BM88="",FALSE,TRUE))</formula>
    </cfRule>
  </conditionalFormatting>
  <conditionalFormatting sqref="BT86 BV86">
    <cfRule type="expression" dxfId="598" priority="902">
      <formula>OR(IF(BT86&lt;BU86,TRUE),IF(AND(BU86="",BT86&lt;&gt;""),TRUE))</formula>
    </cfRule>
    <cfRule type="expression" dxfId="597" priority="903">
      <formula>IF(BT86&gt;=BU86,IF(BT86="",FALSE,TRUE))</formula>
    </cfRule>
  </conditionalFormatting>
  <conditionalFormatting sqref="BT87 BV87">
    <cfRule type="expression" dxfId="596" priority="900">
      <formula>OR(IF(BT87&lt;BU87,TRUE),IF(AND(BU87="",BT87&lt;&gt;""),TRUE))</formula>
    </cfRule>
    <cfRule type="expression" dxfId="595" priority="901">
      <formula>IF(BT87&gt;=BU87,IF(BT87="",FALSE,TRUE))</formula>
    </cfRule>
  </conditionalFormatting>
  <conditionalFormatting sqref="BV88 BT88">
    <cfRule type="expression" dxfId="594" priority="898">
      <formula>OR(IF(BT88&lt;BU88,TRUE),IF(AND(BU88="",BT88&lt;&gt;""),TRUE))</formula>
    </cfRule>
    <cfRule type="expression" dxfId="593" priority="899">
      <formula>IF(BT88&gt;=BU88,IF(BT88="",FALSE,TRUE))</formula>
    </cfRule>
  </conditionalFormatting>
  <conditionalFormatting sqref="CA86 CC86">
    <cfRule type="expression" dxfId="592" priority="896">
      <formula>OR(IF(CA86&lt;CB86,TRUE),IF(AND(CB86="",CA86&lt;&gt;""),TRUE))</formula>
    </cfRule>
    <cfRule type="expression" dxfId="591" priority="897">
      <formula>IF(CA86&gt;=CB86,IF(CA86="",FALSE,TRUE))</formula>
    </cfRule>
  </conditionalFormatting>
  <conditionalFormatting sqref="CA87 CC87">
    <cfRule type="expression" dxfId="590" priority="894">
      <formula>OR(IF(CA87&lt;CB87,TRUE),IF(AND(CB87="",CA87&lt;&gt;""),TRUE))</formula>
    </cfRule>
    <cfRule type="expression" dxfId="589" priority="895">
      <formula>IF(CA87&gt;=CB87,IF(CA87="",FALSE,TRUE))</formula>
    </cfRule>
  </conditionalFormatting>
  <conditionalFormatting sqref="CC88 CA88">
    <cfRule type="expression" dxfId="588" priority="892">
      <formula>OR(IF(CA88&lt;CB88,TRUE),IF(AND(CB88="",CA88&lt;&gt;""),TRUE))</formula>
    </cfRule>
    <cfRule type="expression" dxfId="587" priority="893">
      <formula>IF(CA88&gt;=CB88,IF(CA88="",FALSE,TRUE))</formula>
    </cfRule>
  </conditionalFormatting>
  <conditionalFormatting sqref="CH86 CJ86">
    <cfRule type="expression" dxfId="586" priority="890">
      <formula>OR(IF(CH86&lt;CI86,TRUE),IF(AND(CI86="",CH86&lt;&gt;""),TRUE))</formula>
    </cfRule>
    <cfRule type="expression" dxfId="585" priority="891">
      <formula>IF(CH86&gt;=CI86,IF(CH86="",FALSE,TRUE))</formula>
    </cfRule>
  </conditionalFormatting>
  <conditionalFormatting sqref="CH87 CJ87">
    <cfRule type="expression" dxfId="584" priority="888">
      <formula>OR(IF(CH87&lt;CI87,TRUE),IF(AND(CI87="",CH87&lt;&gt;""),TRUE))</formula>
    </cfRule>
    <cfRule type="expression" dxfId="583" priority="889">
      <formula>IF(CH87&gt;=CI87,IF(CH87="",FALSE,TRUE))</formula>
    </cfRule>
  </conditionalFormatting>
  <conditionalFormatting sqref="CJ88 CH88">
    <cfRule type="expression" dxfId="582" priority="886">
      <formula>OR(IF(CH88&lt;CI88,TRUE),IF(AND(CI88="",CH88&lt;&gt;""),TRUE))</formula>
    </cfRule>
    <cfRule type="expression" dxfId="581" priority="887">
      <formula>IF(CH88&gt;=CI88,IF(CH88="",FALSE,TRUE))</formula>
    </cfRule>
  </conditionalFormatting>
  <conditionalFormatting sqref="CO86 CQ86">
    <cfRule type="expression" dxfId="580" priority="884">
      <formula>OR(IF(CO86&lt;CP86,TRUE),IF(AND(CP86="",CO86&lt;&gt;""),TRUE))</formula>
    </cfRule>
    <cfRule type="expression" dxfId="579" priority="885">
      <formula>IF(CO86&gt;=CP86,IF(CO86="",FALSE,TRUE))</formula>
    </cfRule>
  </conditionalFormatting>
  <conditionalFormatting sqref="CO87 CQ87">
    <cfRule type="expression" dxfId="578" priority="882">
      <formula>OR(IF(CO87&lt;CP87,TRUE),IF(AND(CP87="",CO87&lt;&gt;""),TRUE))</formula>
    </cfRule>
    <cfRule type="expression" dxfId="577" priority="883">
      <formula>IF(CO87&gt;=CP87,IF(CO87="",FALSE,TRUE))</formula>
    </cfRule>
  </conditionalFormatting>
  <conditionalFormatting sqref="CQ88 CO88">
    <cfRule type="expression" dxfId="576" priority="880">
      <formula>OR(IF(CO88&lt;CP88,TRUE),IF(AND(CP88="",CO88&lt;&gt;""),TRUE))</formula>
    </cfRule>
    <cfRule type="expression" dxfId="575" priority="881">
      <formula>IF(CO88&gt;=CP88,IF(CO88="",FALSE,TRUE))</formula>
    </cfRule>
  </conditionalFormatting>
  <conditionalFormatting sqref="CV86 CX86">
    <cfRule type="expression" dxfId="574" priority="878">
      <formula>OR(IF(CV86&lt;CW86,TRUE),IF(AND(CW86="",CV86&lt;&gt;""),TRUE))</formula>
    </cfRule>
    <cfRule type="expression" dxfId="573" priority="879">
      <formula>IF(CV86&gt;=CW86,IF(CV86="",FALSE,TRUE))</formula>
    </cfRule>
  </conditionalFormatting>
  <conditionalFormatting sqref="CV87 CX87">
    <cfRule type="expression" dxfId="572" priority="876">
      <formula>OR(IF(CV87&lt;CW87,TRUE),IF(AND(CW87="",CV87&lt;&gt;""),TRUE))</formula>
    </cfRule>
    <cfRule type="expression" dxfId="571" priority="877">
      <formula>IF(CV87&gt;=CW87,IF(CV87="",FALSE,TRUE))</formula>
    </cfRule>
  </conditionalFormatting>
  <conditionalFormatting sqref="CX88 CV88">
    <cfRule type="expression" dxfId="570" priority="874">
      <formula>OR(IF(CV88&lt;CW88,TRUE),IF(AND(CW88="",CV88&lt;&gt;""),TRUE))</formula>
    </cfRule>
    <cfRule type="expression" dxfId="569" priority="875">
      <formula>IF(CV88&gt;=CW88,IF(CV88="",FALSE,TRUE))</formula>
    </cfRule>
  </conditionalFormatting>
  <conditionalFormatting sqref="J89:K89">
    <cfRule type="colorScale" priority="962">
      <colorScale>
        <cfvo type="percent" val="0"/>
        <cfvo type="percent" val="100"/>
        <color rgb="FFFF231B"/>
        <color rgb="FF10FF07"/>
      </colorScale>
    </cfRule>
  </conditionalFormatting>
  <conditionalFormatting sqref="DE89 DC89">
    <cfRule type="expression" dxfId="568" priority="872">
      <formula>OR(IF(DC89&lt;DD89,TRUE),IF(AND(DD89="",DC89&lt;&gt;""),TRUE))</formula>
    </cfRule>
    <cfRule type="expression" dxfId="567" priority="873">
      <formula>IF(DC89&gt;=DD89,IF(DC89="",FALSE,TRUE))</formula>
    </cfRule>
  </conditionalFormatting>
  <conditionalFormatting sqref="DC86 DE86">
    <cfRule type="expression" dxfId="566" priority="870">
      <formula>OR(IF(DC86&lt;DD86,TRUE),IF(AND(DD86="",DC86&lt;&gt;""),TRUE))</formula>
    </cfRule>
    <cfRule type="expression" dxfId="565" priority="871">
      <formula>IF(DC86&gt;=DD86,IF(DC86="",FALSE,TRUE))</formula>
    </cfRule>
  </conditionalFormatting>
  <conditionalFormatting sqref="DC87 DE87">
    <cfRule type="expression" dxfId="564" priority="868">
      <formula>OR(IF(DC87&lt;DD87,TRUE),IF(AND(DD87="",DC87&lt;&gt;""),TRUE))</formula>
    </cfRule>
    <cfRule type="expression" dxfId="563" priority="869">
      <formula>IF(DC87&gt;=DD87,IF(DC87="",FALSE,TRUE))</formula>
    </cfRule>
  </conditionalFormatting>
  <conditionalFormatting sqref="DE88 DC88">
    <cfRule type="expression" dxfId="562" priority="866">
      <formula>OR(IF(DC88&lt;DD88,TRUE),IF(AND(DD88="",DC88&lt;&gt;""),TRUE))</formula>
    </cfRule>
    <cfRule type="expression" dxfId="561" priority="867">
      <formula>IF(DC88&gt;=DD88,IF(DC88="",FALSE,TRUE))</formula>
    </cfRule>
  </conditionalFormatting>
  <conditionalFormatting sqref="DL89 DJ89">
    <cfRule type="expression" dxfId="560" priority="864">
      <formula>OR(IF(DJ89&lt;DK89,TRUE),IF(AND(DK89="",DJ89&lt;&gt;""),TRUE))</formula>
    </cfRule>
    <cfRule type="expression" dxfId="559" priority="865">
      <formula>IF(DJ89&gt;=DK89,IF(DJ89="",FALSE,TRUE))</formula>
    </cfRule>
  </conditionalFormatting>
  <conditionalFormatting sqref="DJ86 DL86">
    <cfRule type="expression" dxfId="558" priority="862">
      <formula>OR(IF(DJ86&lt;DK86,TRUE),IF(AND(DK86="",DJ86&lt;&gt;""),TRUE))</formula>
    </cfRule>
    <cfRule type="expression" dxfId="557" priority="863">
      <formula>IF(DJ86&gt;=DK86,IF(DJ86="",FALSE,TRUE))</formula>
    </cfRule>
  </conditionalFormatting>
  <conditionalFormatting sqref="DJ87 DL87">
    <cfRule type="expression" dxfId="556" priority="860">
      <formula>OR(IF(DJ87&lt;DK87,TRUE),IF(AND(DK87="",DJ87&lt;&gt;""),TRUE))</formula>
    </cfRule>
    <cfRule type="expression" dxfId="555" priority="861">
      <formula>IF(DJ87&gt;=DK87,IF(DJ87="",FALSE,TRUE))</formula>
    </cfRule>
  </conditionalFormatting>
  <conditionalFormatting sqref="DL88 DJ88">
    <cfRule type="expression" dxfId="554" priority="858">
      <formula>OR(IF(DJ88&lt;DK88,TRUE),IF(AND(DK88="",DJ88&lt;&gt;""),TRUE))</formula>
    </cfRule>
    <cfRule type="expression" dxfId="553" priority="859">
      <formula>IF(DJ88&gt;=DK88,IF(DJ88="",FALSE,TRUE))</formula>
    </cfRule>
  </conditionalFormatting>
  <conditionalFormatting sqref="DS89 DQ89">
    <cfRule type="expression" dxfId="552" priority="856">
      <formula>OR(IF(DQ89&lt;DR89,TRUE),IF(AND(DR89="",DQ89&lt;&gt;""),TRUE))</formula>
    </cfRule>
    <cfRule type="expression" dxfId="551" priority="857">
      <formula>IF(DQ89&gt;=DR89,IF(DQ89="",FALSE,TRUE))</formula>
    </cfRule>
  </conditionalFormatting>
  <conditionalFormatting sqref="DQ86 DS86">
    <cfRule type="expression" dxfId="550" priority="854">
      <formula>OR(IF(DQ86&lt;DR86,TRUE),IF(AND(DR86="",DQ86&lt;&gt;""),TRUE))</formula>
    </cfRule>
    <cfRule type="expression" dxfId="549" priority="855">
      <formula>IF(DQ86&gt;=DR86,IF(DQ86="",FALSE,TRUE))</formula>
    </cfRule>
  </conditionalFormatting>
  <conditionalFormatting sqref="DQ87 DS87">
    <cfRule type="expression" dxfId="548" priority="852">
      <formula>OR(IF(DQ87&lt;DR87,TRUE),IF(AND(DR87="",DQ87&lt;&gt;""),TRUE))</formula>
    </cfRule>
    <cfRule type="expression" dxfId="547" priority="853">
      <formula>IF(DQ87&gt;=DR87,IF(DQ87="",FALSE,TRUE))</formula>
    </cfRule>
  </conditionalFormatting>
  <conditionalFormatting sqref="DS88 DQ88">
    <cfRule type="expression" dxfId="546" priority="850">
      <formula>OR(IF(DQ88&lt;DR88,TRUE),IF(AND(DR88="",DQ88&lt;&gt;""),TRUE))</formula>
    </cfRule>
    <cfRule type="expression" dxfId="545" priority="851">
      <formula>IF(DQ88&gt;=DR88,IF(DQ88="",FALSE,TRUE))</formula>
    </cfRule>
  </conditionalFormatting>
  <conditionalFormatting sqref="DZ89 DX89">
    <cfRule type="expression" dxfId="544" priority="848">
      <formula>OR(IF(DX89&lt;DY89,TRUE),IF(AND(DY89="",DX89&lt;&gt;""),TRUE))</formula>
    </cfRule>
    <cfRule type="expression" dxfId="543" priority="849">
      <formula>IF(DX89&gt;=DY89,IF(DX89="",FALSE,TRUE))</formula>
    </cfRule>
  </conditionalFormatting>
  <conditionalFormatting sqref="DX86 DZ86">
    <cfRule type="expression" dxfId="542" priority="846">
      <formula>OR(IF(DX86&lt;DY86,TRUE),IF(AND(DY86="",DX86&lt;&gt;""),TRUE))</formula>
    </cfRule>
    <cfRule type="expression" dxfId="541" priority="847">
      <formula>IF(DX86&gt;=DY86,IF(DX86="",FALSE,TRUE))</formula>
    </cfRule>
  </conditionalFormatting>
  <conditionalFormatting sqref="DX87 DZ87">
    <cfRule type="expression" dxfId="540" priority="844">
      <formula>OR(IF(DX87&lt;DY87,TRUE),IF(AND(DY87="",DX87&lt;&gt;""),TRUE))</formula>
    </cfRule>
    <cfRule type="expression" dxfId="539" priority="845">
      <formula>IF(DX87&gt;=DY87,IF(DX87="",FALSE,TRUE))</formula>
    </cfRule>
  </conditionalFormatting>
  <conditionalFormatting sqref="DZ88 DX88">
    <cfRule type="expression" dxfId="538" priority="842">
      <formula>OR(IF(DX88&lt;DY88,TRUE),IF(AND(DY88="",DX88&lt;&gt;""),TRUE))</formula>
    </cfRule>
    <cfRule type="expression" dxfId="537" priority="843">
      <formula>IF(DX88&gt;=DY88,IF(DX88="",FALSE,TRUE))</formula>
    </cfRule>
  </conditionalFormatting>
  <conditionalFormatting sqref="EG89 EE89">
    <cfRule type="expression" dxfId="536" priority="840">
      <formula>OR(IF(EE89&lt;EF89,TRUE),IF(AND(EF89="",EE89&lt;&gt;""),TRUE))</formula>
    </cfRule>
    <cfRule type="expression" dxfId="535" priority="841">
      <formula>IF(EE89&gt;=EF89,IF(EE89="",FALSE,TRUE))</formula>
    </cfRule>
  </conditionalFormatting>
  <conditionalFormatting sqref="EE86 EG86">
    <cfRule type="expression" dxfId="534" priority="838">
      <formula>OR(IF(EE86&lt;EF86,TRUE),IF(AND(EF86="",EE86&lt;&gt;""),TRUE))</formula>
    </cfRule>
    <cfRule type="expression" dxfId="533" priority="839">
      <formula>IF(EE86&gt;=EF86,IF(EE86="",FALSE,TRUE))</formula>
    </cfRule>
  </conditionalFormatting>
  <conditionalFormatting sqref="EE87 EG87">
    <cfRule type="expression" dxfId="532" priority="836">
      <formula>OR(IF(EE87&lt;EF87,TRUE),IF(AND(EF87="",EE87&lt;&gt;""),TRUE))</formula>
    </cfRule>
    <cfRule type="expression" dxfId="531" priority="837">
      <formula>IF(EE87&gt;=EF87,IF(EE87="",FALSE,TRUE))</formula>
    </cfRule>
  </conditionalFormatting>
  <conditionalFormatting sqref="EG88 EE88">
    <cfRule type="expression" dxfId="530" priority="834">
      <formula>OR(IF(EE88&lt;EF88,TRUE),IF(AND(EF88="",EE88&lt;&gt;""),TRUE))</formula>
    </cfRule>
    <cfRule type="expression" dxfId="529" priority="835">
      <formula>IF(EE88&gt;=EF88,IF(EE88="",FALSE,TRUE))</formula>
    </cfRule>
  </conditionalFormatting>
  <conditionalFormatting sqref="AK90 AM90">
    <cfRule type="expression" dxfId="528" priority="825">
      <formula>OR(IF(AK90&lt;AL90,TRUE),IF(AND(AL90="",AK90&lt;&gt;""),TRUE))</formula>
    </cfRule>
    <cfRule type="expression" dxfId="527" priority="826">
      <formula>IF(AK90&gt;=AL90,IF(AK90="",FALSE,TRUE))</formula>
    </cfRule>
  </conditionalFormatting>
  <conditionalFormatting sqref="AY90 BA90">
    <cfRule type="expression" dxfId="526" priority="821">
      <formula>OR(IF(AY90&lt;AZ90,TRUE),IF(AND(AZ90="",AY90&lt;&gt;""),TRUE))</formula>
    </cfRule>
    <cfRule type="expression" dxfId="525" priority="822">
      <formula>IF(AY90&gt;=AZ90,IF(AY90="",FALSE,TRUE))</formula>
    </cfRule>
  </conditionalFormatting>
  <conditionalFormatting sqref="P90 R90">
    <cfRule type="expression" dxfId="524" priority="831">
      <formula>OR(IF(P90&lt;Q90,TRUE),IF(AND(Q90="",P90&lt;&gt;""),TRUE))</formula>
    </cfRule>
    <cfRule type="expression" dxfId="523" priority="832">
      <formula>IF(P90&gt;=Q90,IF(P90="",FALSE,TRUE))</formula>
    </cfRule>
  </conditionalFormatting>
  <conditionalFormatting sqref="W90 Y90">
    <cfRule type="expression" dxfId="522" priority="829">
      <formula>OR(IF(W90&lt;X90,TRUE),IF(AND(X90="",W90&lt;&gt;""),TRUE))</formula>
    </cfRule>
    <cfRule type="expression" dxfId="521" priority="830">
      <formula>IF(W90&gt;=X90,IF(W90="",FALSE,TRUE))</formula>
    </cfRule>
  </conditionalFormatting>
  <conditionalFormatting sqref="AD90 AF90">
    <cfRule type="expression" dxfId="520" priority="827">
      <formula>OR(IF(AD90&lt;AE90,TRUE),IF(AND(AE90="",AD90&lt;&gt;""),TRUE))</formula>
    </cfRule>
    <cfRule type="expression" dxfId="519" priority="828">
      <formula>IF(AD90&gt;=AE90,IF(AD90="",FALSE,TRUE))</formula>
    </cfRule>
  </conditionalFormatting>
  <conditionalFormatting sqref="AR90 AT90">
    <cfRule type="expression" dxfId="518" priority="823">
      <formula>OR(IF(AR90&lt;AS90,TRUE),IF(AND(AS90="",AR90&lt;&gt;""),TRUE))</formula>
    </cfRule>
    <cfRule type="expression" dxfId="517" priority="824">
      <formula>IF(AR90&gt;=AS90,IF(AR90="",FALSE,TRUE))</formula>
    </cfRule>
  </conditionalFormatting>
  <conditionalFormatting sqref="BF90 BH90">
    <cfRule type="expression" dxfId="516" priority="819">
      <formula>OR(IF(BF90&lt;BG90,TRUE),IF(AND(BG90="",BF90&lt;&gt;""),TRUE))</formula>
    </cfRule>
    <cfRule type="expression" dxfId="515" priority="820">
      <formula>IF(BF90&gt;=BG90,IF(BF90="",FALSE,TRUE))</formula>
    </cfRule>
  </conditionalFormatting>
  <conditionalFormatting sqref="AK91 AM91">
    <cfRule type="expression" dxfId="514" priority="809">
      <formula>OR(IF(AK91&lt;AL91,TRUE),IF(AND(AL91="",AK91&lt;&gt;""),TRUE))</formula>
    </cfRule>
    <cfRule type="expression" dxfId="513" priority="810">
      <formula>IF(AK91&gt;=AL91,IF(AK91="",FALSE,TRUE))</formula>
    </cfRule>
  </conditionalFormatting>
  <conditionalFormatting sqref="AY91 BA91">
    <cfRule type="expression" dxfId="512" priority="805">
      <formula>OR(IF(AY91&lt;AZ91,TRUE),IF(AND(AZ91="",AY91&lt;&gt;""),TRUE))</formula>
    </cfRule>
    <cfRule type="expression" dxfId="511" priority="806">
      <formula>IF(AY91&gt;=AZ91,IF(AY91="",FALSE,TRUE))</formula>
    </cfRule>
  </conditionalFormatting>
  <conditionalFormatting sqref="P91 R91">
    <cfRule type="expression" dxfId="510" priority="815">
      <formula>OR(IF(P91&lt;Q91,TRUE),IF(AND(Q91="",P91&lt;&gt;""),TRUE))</formula>
    </cfRule>
    <cfRule type="expression" dxfId="509" priority="816">
      <formula>IF(P91&gt;=Q91,IF(P91="",FALSE,TRUE))</formula>
    </cfRule>
  </conditionalFormatting>
  <conditionalFormatting sqref="W91 Y91">
    <cfRule type="expression" dxfId="508" priority="813">
      <formula>OR(IF(W91&lt;X91,TRUE),IF(AND(X91="",W91&lt;&gt;""),TRUE))</formula>
    </cfRule>
    <cfRule type="expression" dxfId="507" priority="814">
      <formula>IF(W91&gt;=X91,IF(W91="",FALSE,TRUE))</formula>
    </cfRule>
  </conditionalFormatting>
  <conditionalFormatting sqref="AD91 AF91">
    <cfRule type="expression" dxfId="506" priority="811">
      <formula>OR(IF(AD91&lt;AE91,TRUE),IF(AND(AE91="",AD91&lt;&gt;""),TRUE))</formula>
    </cfRule>
    <cfRule type="expression" dxfId="505" priority="812">
      <formula>IF(AD91&gt;=AE91,IF(AD91="",FALSE,TRUE))</formula>
    </cfRule>
  </conditionalFormatting>
  <conditionalFormatting sqref="AR91 AT91">
    <cfRule type="expression" dxfId="504" priority="807">
      <formula>OR(IF(AR91&lt;AS91,TRUE),IF(AND(AS91="",AR91&lt;&gt;""),TRUE))</formula>
    </cfRule>
    <cfRule type="expression" dxfId="503" priority="808">
      <formula>IF(AR91&gt;=AS91,IF(AR91="",FALSE,TRUE))</formula>
    </cfRule>
  </conditionalFormatting>
  <conditionalFormatting sqref="J91:K91">
    <cfRule type="colorScale" priority="804">
      <colorScale>
        <cfvo type="percent" val="0"/>
        <cfvo type="percent" val="100"/>
        <color rgb="FFFF231B"/>
        <color rgb="FF10FF07"/>
      </colorScale>
    </cfRule>
  </conditionalFormatting>
  <conditionalFormatting sqref="J91">
    <cfRule type="colorScale" priority="803">
      <colorScale>
        <cfvo type="percent" val="0"/>
        <cfvo type="percent" val="100"/>
        <color rgb="FFFF231B"/>
        <color rgb="FF10FF07"/>
      </colorScale>
    </cfRule>
  </conditionalFormatting>
  <conditionalFormatting sqref="K91">
    <cfRule type="colorScale" priority="802">
      <colorScale>
        <cfvo type="percent" val="0"/>
        <cfvo type="percent" val="100"/>
        <color rgb="FFFF231B"/>
        <color rgb="FF10FF07"/>
      </colorScale>
    </cfRule>
  </conditionalFormatting>
  <conditionalFormatting sqref="BF91 BH91">
    <cfRule type="expression" dxfId="502" priority="800">
      <formula>OR(IF(BF91&lt;BG91,TRUE),IF(AND(BG91="",BF91&lt;&gt;""),TRUE))</formula>
    </cfRule>
    <cfRule type="expression" dxfId="501" priority="801">
      <formula>IF(BF91&gt;=BG91,IF(BF91="",FALSE,TRUE))</formula>
    </cfRule>
  </conditionalFormatting>
  <conditionalFormatting sqref="AM92 AK92">
    <cfRule type="expression" dxfId="500" priority="790">
      <formula>OR(IF(AK92&lt;AL92,TRUE),IF(AND(AL92="",AK92&lt;&gt;""),TRUE))</formula>
    </cfRule>
    <cfRule type="expression" dxfId="499" priority="791">
      <formula>IF(AK92&gt;=AL92,IF(AK92="",FALSE,TRUE))</formula>
    </cfRule>
  </conditionalFormatting>
  <conditionalFormatting sqref="BA92 AY92">
    <cfRule type="expression" dxfId="498" priority="786">
      <formula>OR(IF(AY92&lt;AZ92,TRUE),IF(AND(AZ92="",AY92&lt;&gt;""),TRUE))</formula>
    </cfRule>
    <cfRule type="expression" dxfId="497" priority="787">
      <formula>IF(AY92&gt;=AZ92,IF(AY92="",FALSE,TRUE))</formula>
    </cfRule>
  </conditionalFormatting>
  <conditionalFormatting sqref="R92 P92">
    <cfRule type="expression" dxfId="496" priority="796">
      <formula>OR(IF(P92&lt;Q92,TRUE),IF(AND(Q92="",P92&lt;&gt;""),TRUE))</formula>
    </cfRule>
    <cfRule type="expression" dxfId="495" priority="797">
      <formula>IF(P92&gt;=Q92,IF(P92="",FALSE,TRUE))</formula>
    </cfRule>
  </conditionalFormatting>
  <conditionalFormatting sqref="Y92 W92">
    <cfRule type="expression" dxfId="494" priority="794">
      <formula>OR(IF(W92&lt;X92,TRUE),IF(AND(X92="",W92&lt;&gt;""),TRUE))</formula>
    </cfRule>
    <cfRule type="expression" dxfId="493" priority="795">
      <formula>IF(W92&gt;=X92,IF(W92="",FALSE,TRUE))</formula>
    </cfRule>
  </conditionalFormatting>
  <conditionalFormatting sqref="AF92 AD92">
    <cfRule type="expression" dxfId="492" priority="792">
      <formula>OR(IF(AD92&lt;AE92,TRUE),IF(AND(AE92="",AD92&lt;&gt;""),TRUE))</formula>
    </cfRule>
    <cfRule type="expression" dxfId="491" priority="793">
      <formula>IF(AD92&gt;=AE92,IF(AD92="",FALSE,TRUE))</formula>
    </cfRule>
  </conditionalFormatting>
  <conditionalFormatting sqref="AT92 AR92">
    <cfRule type="expression" dxfId="490" priority="788">
      <formula>OR(IF(AR92&lt;AS92,TRUE),IF(AND(AS92="",AR92&lt;&gt;""),TRUE))</formula>
    </cfRule>
    <cfRule type="expression" dxfId="489" priority="789">
      <formula>IF(AR92&gt;=AS92,IF(AR92="",FALSE,TRUE))</formula>
    </cfRule>
  </conditionalFormatting>
  <conditionalFormatting sqref="J92:K92">
    <cfRule type="colorScale" priority="785">
      <colorScale>
        <cfvo type="percent" val="0"/>
        <cfvo type="percent" val="100"/>
        <color rgb="FFFF231B"/>
        <color rgb="FF10FF07"/>
      </colorScale>
    </cfRule>
  </conditionalFormatting>
  <conditionalFormatting sqref="J92">
    <cfRule type="colorScale" priority="784">
      <colorScale>
        <cfvo type="percent" val="0"/>
        <cfvo type="percent" val="100"/>
        <color rgb="FFFF231B"/>
        <color rgb="FF10FF07"/>
      </colorScale>
    </cfRule>
  </conditionalFormatting>
  <conditionalFormatting sqref="K92">
    <cfRule type="colorScale" priority="783">
      <colorScale>
        <cfvo type="percent" val="0"/>
        <cfvo type="percent" val="100"/>
        <color rgb="FFFF231B"/>
        <color rgb="FF10FF07"/>
      </colorScale>
    </cfRule>
  </conditionalFormatting>
  <conditionalFormatting sqref="BH92 BF92">
    <cfRule type="expression" dxfId="488" priority="781">
      <formula>OR(IF(BF92&lt;BG92,TRUE),IF(AND(BG92="",BF92&lt;&gt;""),TRUE))</formula>
    </cfRule>
    <cfRule type="expression" dxfId="487" priority="782">
      <formula>IF(BF92&gt;=BG92,IF(BF92="",FALSE,TRUE))</formula>
    </cfRule>
  </conditionalFormatting>
  <conditionalFormatting sqref="BM90 BO90">
    <cfRule type="expression" dxfId="486" priority="779">
      <formula>OR(IF(BM90&lt;BN90,TRUE),IF(AND(BN90="",BM90&lt;&gt;""),TRUE))</formula>
    </cfRule>
    <cfRule type="expression" dxfId="485" priority="780">
      <formula>IF(BM90&gt;=BN90,IF(BM90="",FALSE,TRUE))</formula>
    </cfRule>
  </conditionalFormatting>
  <conditionalFormatting sqref="BM91 BO91">
    <cfRule type="expression" dxfId="484" priority="777">
      <formula>OR(IF(BM91&lt;BN91,TRUE),IF(AND(BN91="",BM91&lt;&gt;""),TRUE))</formula>
    </cfRule>
    <cfRule type="expression" dxfId="483" priority="778">
      <formula>IF(BM91&gt;=BN91,IF(BM91="",FALSE,TRUE))</formula>
    </cfRule>
  </conditionalFormatting>
  <conditionalFormatting sqref="BO92 BM92">
    <cfRule type="expression" dxfId="482" priority="775">
      <formula>OR(IF(BM92&lt;BN92,TRUE),IF(AND(BN92="",BM92&lt;&gt;""),TRUE))</formula>
    </cfRule>
    <cfRule type="expression" dxfId="481" priority="776">
      <formula>IF(BM92&gt;=BN92,IF(BM92="",FALSE,TRUE))</formula>
    </cfRule>
  </conditionalFormatting>
  <conditionalFormatting sqref="BT90 BV90">
    <cfRule type="expression" dxfId="480" priority="773">
      <formula>OR(IF(BT90&lt;BU90,TRUE),IF(AND(BU90="",BT90&lt;&gt;""),TRUE))</formula>
    </cfRule>
    <cfRule type="expression" dxfId="479" priority="774">
      <formula>IF(BT90&gt;=BU90,IF(BT90="",FALSE,TRUE))</formula>
    </cfRule>
  </conditionalFormatting>
  <conditionalFormatting sqref="BT91 BV91">
    <cfRule type="expression" dxfId="478" priority="771">
      <formula>OR(IF(BT91&lt;BU91,TRUE),IF(AND(BU91="",BT91&lt;&gt;""),TRUE))</formula>
    </cfRule>
    <cfRule type="expression" dxfId="477" priority="772">
      <formula>IF(BT91&gt;=BU91,IF(BT91="",FALSE,TRUE))</formula>
    </cfRule>
  </conditionalFormatting>
  <conditionalFormatting sqref="BV92 BT92">
    <cfRule type="expression" dxfId="476" priority="769">
      <formula>OR(IF(BT92&lt;BU92,TRUE),IF(AND(BU92="",BT92&lt;&gt;""),TRUE))</formula>
    </cfRule>
    <cfRule type="expression" dxfId="475" priority="770">
      <formula>IF(BT92&gt;=BU92,IF(BT92="",FALSE,TRUE))</formula>
    </cfRule>
  </conditionalFormatting>
  <conditionalFormatting sqref="CA90 CC90">
    <cfRule type="expression" dxfId="474" priority="767">
      <formula>OR(IF(CA90&lt;CB90,TRUE),IF(AND(CB90="",CA90&lt;&gt;""),TRUE))</formula>
    </cfRule>
    <cfRule type="expression" dxfId="473" priority="768">
      <formula>IF(CA90&gt;=CB90,IF(CA90="",FALSE,TRUE))</formula>
    </cfRule>
  </conditionalFormatting>
  <conditionalFormatting sqref="CA91 CC91">
    <cfRule type="expression" dxfId="472" priority="765">
      <formula>OR(IF(CA91&lt;CB91,TRUE),IF(AND(CB91="",CA91&lt;&gt;""),TRUE))</formula>
    </cfRule>
    <cfRule type="expression" dxfId="471" priority="766">
      <formula>IF(CA91&gt;=CB91,IF(CA91="",FALSE,TRUE))</formula>
    </cfRule>
  </conditionalFormatting>
  <conditionalFormatting sqref="CC92 CA92">
    <cfRule type="expression" dxfId="470" priority="763">
      <formula>OR(IF(CA92&lt;CB92,TRUE),IF(AND(CB92="",CA92&lt;&gt;""),TRUE))</formula>
    </cfRule>
    <cfRule type="expression" dxfId="469" priority="764">
      <formula>IF(CA92&gt;=CB92,IF(CA92="",FALSE,TRUE))</formula>
    </cfRule>
  </conditionalFormatting>
  <conditionalFormatting sqref="CH90 CJ90">
    <cfRule type="expression" dxfId="468" priority="761">
      <formula>OR(IF(CH90&lt;CI90,TRUE),IF(AND(CI90="",CH90&lt;&gt;""),TRUE))</formula>
    </cfRule>
    <cfRule type="expression" dxfId="467" priority="762">
      <formula>IF(CH90&gt;=CI90,IF(CH90="",FALSE,TRUE))</formula>
    </cfRule>
  </conditionalFormatting>
  <conditionalFormatting sqref="CH91 CJ91">
    <cfRule type="expression" dxfId="466" priority="759">
      <formula>OR(IF(CH91&lt;CI91,TRUE),IF(AND(CI91="",CH91&lt;&gt;""),TRUE))</formula>
    </cfRule>
    <cfRule type="expression" dxfId="465" priority="760">
      <formula>IF(CH91&gt;=CI91,IF(CH91="",FALSE,TRUE))</formula>
    </cfRule>
  </conditionalFormatting>
  <conditionalFormatting sqref="CJ92 CH92">
    <cfRule type="expression" dxfId="464" priority="757">
      <formula>OR(IF(CH92&lt;CI92,TRUE),IF(AND(CI92="",CH92&lt;&gt;""),TRUE))</formula>
    </cfRule>
    <cfRule type="expression" dxfId="463" priority="758">
      <formula>IF(CH92&gt;=CI92,IF(CH92="",FALSE,TRUE))</formula>
    </cfRule>
  </conditionalFormatting>
  <conditionalFormatting sqref="CO90 CQ90">
    <cfRule type="expression" dxfId="462" priority="755">
      <formula>OR(IF(CO90&lt;CP90,TRUE),IF(AND(CP90="",CO90&lt;&gt;""),TRUE))</formula>
    </cfRule>
    <cfRule type="expression" dxfId="461" priority="756">
      <formula>IF(CO90&gt;=CP90,IF(CO90="",FALSE,TRUE))</formula>
    </cfRule>
  </conditionalFormatting>
  <conditionalFormatting sqref="CO91 CQ91">
    <cfRule type="expression" dxfId="460" priority="753">
      <formula>OR(IF(CO91&lt;CP91,TRUE),IF(AND(CP91="",CO91&lt;&gt;""),TRUE))</formula>
    </cfRule>
    <cfRule type="expression" dxfId="459" priority="754">
      <formula>IF(CO91&gt;=CP91,IF(CO91="",FALSE,TRUE))</formula>
    </cfRule>
  </conditionalFormatting>
  <conditionalFormatting sqref="CQ92 CO92">
    <cfRule type="expression" dxfId="458" priority="751">
      <formula>OR(IF(CO92&lt;CP92,TRUE),IF(AND(CP92="",CO92&lt;&gt;""),TRUE))</formula>
    </cfRule>
    <cfRule type="expression" dxfId="457" priority="752">
      <formula>IF(CO92&gt;=CP92,IF(CO92="",FALSE,TRUE))</formula>
    </cfRule>
  </conditionalFormatting>
  <conditionalFormatting sqref="CV90 CX90">
    <cfRule type="expression" dxfId="456" priority="749">
      <formula>OR(IF(CV90&lt;CW90,TRUE),IF(AND(CW90="",CV90&lt;&gt;""),TRUE))</formula>
    </cfRule>
    <cfRule type="expression" dxfId="455" priority="750">
      <formula>IF(CV90&gt;=CW90,IF(CV90="",FALSE,TRUE))</formula>
    </cfRule>
  </conditionalFormatting>
  <conditionalFormatting sqref="CV91 CX91">
    <cfRule type="expression" dxfId="454" priority="747">
      <formula>OR(IF(CV91&lt;CW91,TRUE),IF(AND(CW91="",CV91&lt;&gt;""),TRUE))</formula>
    </cfRule>
    <cfRule type="expression" dxfId="453" priority="748">
      <formula>IF(CV91&gt;=CW91,IF(CV91="",FALSE,TRUE))</formula>
    </cfRule>
  </conditionalFormatting>
  <conditionalFormatting sqref="CX92 CV92">
    <cfRule type="expression" dxfId="452" priority="745">
      <formula>OR(IF(CV92&lt;CW92,TRUE),IF(AND(CW92="",CV92&lt;&gt;""),TRUE))</formula>
    </cfRule>
    <cfRule type="expression" dxfId="451" priority="746">
      <formula>IF(CV92&gt;=CW92,IF(CV92="",FALSE,TRUE))</formula>
    </cfRule>
  </conditionalFormatting>
  <conditionalFormatting sqref="J93:K93">
    <cfRule type="colorScale" priority="833">
      <colorScale>
        <cfvo type="percent" val="0"/>
        <cfvo type="percent" val="100"/>
        <color rgb="FFFF231B"/>
        <color rgb="FF10FF07"/>
      </colorScale>
    </cfRule>
  </conditionalFormatting>
  <conditionalFormatting sqref="DE93 DC93">
    <cfRule type="expression" dxfId="450" priority="743">
      <formula>OR(IF(DC93&lt;DD93,TRUE),IF(AND(DD93="",DC93&lt;&gt;""),TRUE))</formula>
    </cfRule>
    <cfRule type="expression" dxfId="449" priority="744">
      <formula>IF(DC93&gt;=DD93,IF(DC93="",FALSE,TRUE))</formula>
    </cfRule>
  </conditionalFormatting>
  <conditionalFormatting sqref="DC90 DE90">
    <cfRule type="expression" dxfId="448" priority="741">
      <formula>OR(IF(DC90&lt;DD90,TRUE),IF(AND(DD90="",DC90&lt;&gt;""),TRUE))</formula>
    </cfRule>
    <cfRule type="expression" dxfId="447" priority="742">
      <formula>IF(DC90&gt;=DD90,IF(DC90="",FALSE,TRUE))</formula>
    </cfRule>
  </conditionalFormatting>
  <conditionalFormatting sqref="DC91 DE91">
    <cfRule type="expression" dxfId="446" priority="739">
      <formula>OR(IF(DC91&lt;DD91,TRUE),IF(AND(DD91="",DC91&lt;&gt;""),TRUE))</formula>
    </cfRule>
    <cfRule type="expression" dxfId="445" priority="740">
      <formula>IF(DC91&gt;=DD91,IF(DC91="",FALSE,TRUE))</formula>
    </cfRule>
  </conditionalFormatting>
  <conditionalFormatting sqref="DE92 DC92">
    <cfRule type="expression" dxfId="444" priority="737">
      <formula>OR(IF(DC92&lt;DD92,TRUE),IF(AND(DD92="",DC92&lt;&gt;""),TRUE))</formula>
    </cfRule>
    <cfRule type="expression" dxfId="443" priority="738">
      <formula>IF(DC92&gt;=DD92,IF(DC92="",FALSE,TRUE))</formula>
    </cfRule>
  </conditionalFormatting>
  <conditionalFormatting sqref="DL93 DJ93">
    <cfRule type="expression" dxfId="442" priority="735">
      <formula>OR(IF(DJ93&lt;DK93,TRUE),IF(AND(DK93="",DJ93&lt;&gt;""),TRUE))</formula>
    </cfRule>
    <cfRule type="expression" dxfId="441" priority="736">
      <formula>IF(DJ93&gt;=DK93,IF(DJ93="",FALSE,TRUE))</formula>
    </cfRule>
  </conditionalFormatting>
  <conditionalFormatting sqref="DJ90 DL90">
    <cfRule type="expression" dxfId="440" priority="733">
      <formula>OR(IF(DJ90&lt;DK90,TRUE),IF(AND(DK90="",DJ90&lt;&gt;""),TRUE))</formula>
    </cfRule>
    <cfRule type="expression" dxfId="439" priority="734">
      <formula>IF(DJ90&gt;=DK90,IF(DJ90="",FALSE,TRUE))</formula>
    </cfRule>
  </conditionalFormatting>
  <conditionalFormatting sqref="DJ91 DL91">
    <cfRule type="expression" dxfId="438" priority="731">
      <formula>OR(IF(DJ91&lt;DK91,TRUE),IF(AND(DK91="",DJ91&lt;&gt;""),TRUE))</formula>
    </cfRule>
    <cfRule type="expression" dxfId="437" priority="732">
      <formula>IF(DJ91&gt;=DK91,IF(DJ91="",FALSE,TRUE))</formula>
    </cfRule>
  </conditionalFormatting>
  <conditionalFormatting sqref="DL92 DJ92">
    <cfRule type="expression" dxfId="436" priority="729">
      <formula>OR(IF(DJ92&lt;DK92,TRUE),IF(AND(DK92="",DJ92&lt;&gt;""),TRUE))</formula>
    </cfRule>
    <cfRule type="expression" dxfId="435" priority="730">
      <formula>IF(DJ92&gt;=DK92,IF(DJ92="",FALSE,TRUE))</formula>
    </cfRule>
  </conditionalFormatting>
  <conditionalFormatting sqref="DS93 DQ93">
    <cfRule type="expression" dxfId="434" priority="727">
      <formula>OR(IF(DQ93&lt;DR93,TRUE),IF(AND(DR93="",DQ93&lt;&gt;""),TRUE))</formula>
    </cfRule>
    <cfRule type="expression" dxfId="433" priority="728">
      <formula>IF(DQ93&gt;=DR93,IF(DQ93="",FALSE,TRUE))</formula>
    </cfRule>
  </conditionalFormatting>
  <conditionalFormatting sqref="DQ90 DS90">
    <cfRule type="expression" dxfId="432" priority="725">
      <formula>OR(IF(DQ90&lt;DR90,TRUE),IF(AND(DR90="",DQ90&lt;&gt;""),TRUE))</formula>
    </cfRule>
    <cfRule type="expression" dxfId="431" priority="726">
      <formula>IF(DQ90&gt;=DR90,IF(DQ90="",FALSE,TRUE))</formula>
    </cfRule>
  </conditionalFormatting>
  <conditionalFormatting sqref="DQ91 DS91">
    <cfRule type="expression" dxfId="430" priority="723">
      <formula>OR(IF(DQ91&lt;DR91,TRUE),IF(AND(DR91="",DQ91&lt;&gt;""),TRUE))</formula>
    </cfRule>
    <cfRule type="expression" dxfId="429" priority="724">
      <formula>IF(DQ91&gt;=DR91,IF(DQ91="",FALSE,TRUE))</formula>
    </cfRule>
  </conditionalFormatting>
  <conditionalFormatting sqref="DS92 DQ92">
    <cfRule type="expression" dxfId="428" priority="721">
      <formula>OR(IF(DQ92&lt;DR92,TRUE),IF(AND(DR92="",DQ92&lt;&gt;""),TRUE))</formula>
    </cfRule>
    <cfRule type="expression" dxfId="427" priority="722">
      <formula>IF(DQ92&gt;=DR92,IF(DQ92="",FALSE,TRUE))</formula>
    </cfRule>
  </conditionalFormatting>
  <conditionalFormatting sqref="DZ93 DX93">
    <cfRule type="expression" dxfId="426" priority="719">
      <formula>OR(IF(DX93&lt;DY93,TRUE),IF(AND(DY93="",DX93&lt;&gt;""),TRUE))</formula>
    </cfRule>
    <cfRule type="expression" dxfId="425" priority="720">
      <formula>IF(DX93&gt;=DY93,IF(DX93="",FALSE,TRUE))</formula>
    </cfRule>
  </conditionalFormatting>
  <conditionalFormatting sqref="DX90 DZ90">
    <cfRule type="expression" dxfId="424" priority="717">
      <formula>OR(IF(DX90&lt;DY90,TRUE),IF(AND(DY90="",DX90&lt;&gt;""),TRUE))</formula>
    </cfRule>
    <cfRule type="expression" dxfId="423" priority="718">
      <formula>IF(DX90&gt;=DY90,IF(DX90="",FALSE,TRUE))</formula>
    </cfRule>
  </conditionalFormatting>
  <conditionalFormatting sqref="DX91 DZ91">
    <cfRule type="expression" dxfId="422" priority="715">
      <formula>OR(IF(DX91&lt;DY91,TRUE),IF(AND(DY91="",DX91&lt;&gt;""),TRUE))</formula>
    </cfRule>
    <cfRule type="expression" dxfId="421" priority="716">
      <formula>IF(DX91&gt;=DY91,IF(DX91="",FALSE,TRUE))</formula>
    </cfRule>
  </conditionalFormatting>
  <conditionalFormatting sqref="DZ92 DX92">
    <cfRule type="expression" dxfId="420" priority="713">
      <formula>OR(IF(DX92&lt;DY92,TRUE),IF(AND(DY92="",DX92&lt;&gt;""),TRUE))</formula>
    </cfRule>
    <cfRule type="expression" dxfId="419" priority="714">
      <formula>IF(DX92&gt;=DY92,IF(DX92="",FALSE,TRUE))</formula>
    </cfRule>
  </conditionalFormatting>
  <conditionalFormatting sqref="EG93 EE93">
    <cfRule type="expression" dxfId="418" priority="711">
      <formula>OR(IF(EE93&lt;EF93,TRUE),IF(AND(EF93="",EE93&lt;&gt;""),TRUE))</formula>
    </cfRule>
    <cfRule type="expression" dxfId="417" priority="712">
      <formula>IF(EE93&gt;=EF93,IF(EE93="",FALSE,TRUE))</formula>
    </cfRule>
  </conditionalFormatting>
  <conditionalFormatting sqref="EE90 EG90">
    <cfRule type="expression" dxfId="416" priority="709">
      <formula>OR(IF(EE90&lt;EF90,TRUE),IF(AND(EF90="",EE90&lt;&gt;""),TRUE))</formula>
    </cfRule>
    <cfRule type="expression" dxfId="415" priority="710">
      <formula>IF(EE90&gt;=EF90,IF(EE90="",FALSE,TRUE))</formula>
    </cfRule>
  </conditionalFormatting>
  <conditionalFormatting sqref="EE91 EG91">
    <cfRule type="expression" dxfId="414" priority="707">
      <formula>OR(IF(EE91&lt;EF91,TRUE),IF(AND(EF91="",EE91&lt;&gt;""),TRUE))</formula>
    </cfRule>
    <cfRule type="expression" dxfId="413" priority="708">
      <formula>IF(EE91&gt;=EF91,IF(EE91="",FALSE,TRUE))</formula>
    </cfRule>
  </conditionalFormatting>
  <conditionalFormatting sqref="EG92 EE92">
    <cfRule type="expression" dxfId="412" priority="705">
      <formula>OR(IF(EE92&lt;EF92,TRUE),IF(AND(EF92="",EE92&lt;&gt;""),TRUE))</formula>
    </cfRule>
    <cfRule type="expression" dxfId="411" priority="706">
      <formula>IF(EE92&gt;=EF92,IF(EE92="",FALSE,TRUE))</formula>
    </cfRule>
  </conditionalFormatting>
  <conditionalFormatting sqref="AK96 AM96">
    <cfRule type="expression" dxfId="410" priority="680">
      <formula>OR(IF(AK96&lt;AL96,TRUE),IF(AND(AL96="",AK96&lt;&gt;""),TRUE))</formula>
    </cfRule>
    <cfRule type="expression" dxfId="409" priority="681">
      <formula>IF(AK96&gt;=AL96,IF(AK96="",FALSE,TRUE))</formula>
    </cfRule>
  </conditionalFormatting>
  <conditionalFormatting sqref="AY96 BA96">
    <cfRule type="expression" dxfId="408" priority="676">
      <formula>OR(IF(AY96&lt;AZ96,TRUE),IF(AND(AZ96="",AY96&lt;&gt;""),TRUE))</formula>
    </cfRule>
    <cfRule type="expression" dxfId="407" priority="677">
      <formula>IF(AY96&gt;=AZ96,IF(AY96="",FALSE,TRUE))</formula>
    </cfRule>
  </conditionalFormatting>
  <conditionalFormatting sqref="P96 R96">
    <cfRule type="expression" dxfId="406" priority="686">
      <formula>OR(IF(P96&lt;Q96,TRUE),IF(AND(Q96="",P96&lt;&gt;""),TRUE))</formula>
    </cfRule>
    <cfRule type="expression" dxfId="405" priority="687">
      <formula>IF(P96&gt;=Q96,IF(P96="",FALSE,TRUE))</formula>
    </cfRule>
  </conditionalFormatting>
  <conditionalFormatting sqref="W96 Y96">
    <cfRule type="expression" dxfId="404" priority="684">
      <formula>OR(IF(W96&lt;X96,TRUE),IF(AND(X96="",W96&lt;&gt;""),TRUE))</formula>
    </cfRule>
    <cfRule type="expression" dxfId="403" priority="685">
      <formula>IF(W96&gt;=X96,IF(W96="",FALSE,TRUE))</formula>
    </cfRule>
  </conditionalFormatting>
  <conditionalFormatting sqref="AD96 AF96">
    <cfRule type="expression" dxfId="402" priority="682">
      <formula>OR(IF(AD96&lt;AE96,TRUE),IF(AND(AE96="",AD96&lt;&gt;""),TRUE))</formula>
    </cfRule>
    <cfRule type="expression" dxfId="401" priority="683">
      <formula>IF(AD96&gt;=AE96,IF(AD96="",FALSE,TRUE))</formula>
    </cfRule>
  </conditionalFormatting>
  <conditionalFormatting sqref="AR96 AT96">
    <cfRule type="expression" dxfId="400" priority="678">
      <formula>OR(IF(AR96&lt;AS96,TRUE),IF(AND(AS96="",AR96&lt;&gt;""),TRUE))</formula>
    </cfRule>
    <cfRule type="expression" dxfId="399" priority="679">
      <formula>IF(AR96&gt;=AS96,IF(AR96="",FALSE,TRUE))</formula>
    </cfRule>
  </conditionalFormatting>
  <conditionalFormatting sqref="J96:K96">
    <cfRule type="colorScale" priority="675">
      <colorScale>
        <cfvo type="percent" val="0"/>
        <cfvo type="percent" val="100"/>
        <color rgb="FFFF231B"/>
        <color rgb="FF10FF07"/>
      </colorScale>
    </cfRule>
  </conditionalFormatting>
  <conditionalFormatting sqref="J96">
    <cfRule type="colorScale" priority="674">
      <colorScale>
        <cfvo type="percent" val="0"/>
        <cfvo type="percent" val="100"/>
        <color rgb="FFFF231B"/>
        <color rgb="FF10FF07"/>
      </colorScale>
    </cfRule>
  </conditionalFormatting>
  <conditionalFormatting sqref="K96">
    <cfRule type="colorScale" priority="673">
      <colorScale>
        <cfvo type="percent" val="0"/>
        <cfvo type="percent" val="100"/>
        <color rgb="FFFF231B"/>
        <color rgb="FF10FF07"/>
      </colorScale>
    </cfRule>
  </conditionalFormatting>
  <conditionalFormatting sqref="BF96 BH96">
    <cfRule type="expression" dxfId="398" priority="671">
      <formula>OR(IF(BF96&lt;BG96,TRUE),IF(AND(BG96="",BF96&lt;&gt;""),TRUE))</formula>
    </cfRule>
    <cfRule type="expression" dxfId="397" priority="672">
      <formula>IF(BF96&gt;=BG96,IF(BF96="",FALSE,TRUE))</formula>
    </cfRule>
  </conditionalFormatting>
  <conditionalFormatting sqref="AM97 AK97">
    <cfRule type="expression" dxfId="396" priority="661">
      <formula>OR(IF(AK97&lt;AL97,TRUE),IF(AND(AL97="",AK97&lt;&gt;""),TRUE))</formula>
    </cfRule>
    <cfRule type="expression" dxfId="395" priority="662">
      <formula>IF(AK97&gt;=AL97,IF(AK97="",FALSE,TRUE))</formula>
    </cfRule>
  </conditionalFormatting>
  <conditionalFormatting sqref="BA97 AY97">
    <cfRule type="expression" dxfId="394" priority="657">
      <formula>OR(IF(AY97&lt;AZ97,TRUE),IF(AND(AZ97="",AY97&lt;&gt;""),TRUE))</formula>
    </cfRule>
    <cfRule type="expression" dxfId="393" priority="658">
      <formula>IF(AY97&gt;=AZ97,IF(AY97="",FALSE,TRUE))</formula>
    </cfRule>
  </conditionalFormatting>
  <conditionalFormatting sqref="R97 P97">
    <cfRule type="expression" dxfId="392" priority="667">
      <formula>OR(IF(P97&lt;Q97,TRUE),IF(AND(Q97="",P97&lt;&gt;""),TRUE))</formula>
    </cfRule>
    <cfRule type="expression" dxfId="391" priority="668">
      <formula>IF(P97&gt;=Q97,IF(P97="",FALSE,TRUE))</formula>
    </cfRule>
  </conditionalFormatting>
  <conditionalFormatting sqref="Y97 W97">
    <cfRule type="expression" dxfId="390" priority="665">
      <formula>OR(IF(W97&lt;X97,TRUE),IF(AND(X97="",W97&lt;&gt;""),TRUE))</formula>
    </cfRule>
    <cfRule type="expression" dxfId="389" priority="666">
      <formula>IF(W97&gt;=X97,IF(W97="",FALSE,TRUE))</formula>
    </cfRule>
  </conditionalFormatting>
  <conditionalFormatting sqref="AF97 AD97">
    <cfRule type="expression" dxfId="388" priority="663">
      <formula>OR(IF(AD97&lt;AE97,TRUE),IF(AND(AE97="",AD97&lt;&gt;""),TRUE))</formula>
    </cfRule>
    <cfRule type="expression" dxfId="387" priority="664">
      <formula>IF(AD97&gt;=AE97,IF(AD97="",FALSE,TRUE))</formula>
    </cfRule>
  </conditionalFormatting>
  <conditionalFormatting sqref="AT97 AR97">
    <cfRule type="expression" dxfId="386" priority="659">
      <formula>OR(IF(AR97&lt;AS97,TRUE),IF(AND(AS97="",AR97&lt;&gt;""),TRUE))</formula>
    </cfRule>
    <cfRule type="expression" dxfId="385" priority="660">
      <formula>IF(AR97&gt;=AS97,IF(AR97="",FALSE,TRUE))</formula>
    </cfRule>
  </conditionalFormatting>
  <conditionalFormatting sqref="J97:K97">
    <cfRule type="colorScale" priority="656">
      <colorScale>
        <cfvo type="percent" val="0"/>
        <cfvo type="percent" val="100"/>
        <color rgb="FFFF231B"/>
        <color rgb="FF10FF07"/>
      </colorScale>
    </cfRule>
  </conditionalFormatting>
  <conditionalFormatting sqref="J97">
    <cfRule type="colorScale" priority="655">
      <colorScale>
        <cfvo type="percent" val="0"/>
        <cfvo type="percent" val="100"/>
        <color rgb="FFFF231B"/>
        <color rgb="FF10FF07"/>
      </colorScale>
    </cfRule>
  </conditionalFormatting>
  <conditionalFormatting sqref="K97">
    <cfRule type="colorScale" priority="654">
      <colorScale>
        <cfvo type="percent" val="0"/>
        <cfvo type="percent" val="100"/>
        <color rgb="FFFF231B"/>
        <color rgb="FF10FF07"/>
      </colorScale>
    </cfRule>
  </conditionalFormatting>
  <conditionalFormatting sqref="BH97 BF97">
    <cfRule type="expression" dxfId="384" priority="652">
      <formula>OR(IF(BF97&lt;BG97,TRUE),IF(AND(BG97="",BF97&lt;&gt;""),TRUE))</formula>
    </cfRule>
    <cfRule type="expression" dxfId="383" priority="653">
      <formula>IF(BF97&gt;=BG97,IF(BF97="",FALSE,TRUE))</formula>
    </cfRule>
  </conditionalFormatting>
  <conditionalFormatting sqref="BM96 BO96">
    <cfRule type="expression" dxfId="382" priority="648">
      <formula>OR(IF(BM96&lt;BN96,TRUE),IF(AND(BN96="",BM96&lt;&gt;""),TRUE))</formula>
    </cfRule>
    <cfRule type="expression" dxfId="381" priority="649">
      <formula>IF(BM96&gt;=BN96,IF(BM96="",FALSE,TRUE))</formula>
    </cfRule>
  </conditionalFormatting>
  <conditionalFormatting sqref="BO97 BM97">
    <cfRule type="expression" dxfId="380" priority="646">
      <formula>OR(IF(BM97&lt;BN97,TRUE),IF(AND(BN97="",BM97&lt;&gt;""),TRUE))</formula>
    </cfRule>
    <cfRule type="expression" dxfId="379" priority="647">
      <formula>IF(BM97&gt;=BN97,IF(BM97="",FALSE,TRUE))</formula>
    </cfRule>
  </conditionalFormatting>
  <conditionalFormatting sqref="BT96 BV96">
    <cfRule type="expression" dxfId="378" priority="642">
      <formula>OR(IF(BT96&lt;BU96,TRUE),IF(AND(BU96="",BT96&lt;&gt;""),TRUE))</formula>
    </cfRule>
    <cfRule type="expression" dxfId="377" priority="643">
      <formula>IF(BT96&gt;=BU96,IF(BT96="",FALSE,TRUE))</formula>
    </cfRule>
  </conditionalFormatting>
  <conditionalFormatting sqref="BV97 BT97">
    <cfRule type="expression" dxfId="376" priority="640">
      <formula>OR(IF(BT97&lt;BU97,TRUE),IF(AND(BU97="",BT97&lt;&gt;""),TRUE))</formula>
    </cfRule>
    <cfRule type="expression" dxfId="375" priority="641">
      <formula>IF(BT97&gt;=BU97,IF(BT97="",FALSE,TRUE))</formula>
    </cfRule>
  </conditionalFormatting>
  <conditionalFormatting sqref="CA96 CC96">
    <cfRule type="expression" dxfId="374" priority="636">
      <formula>OR(IF(CA96&lt;CB96,TRUE),IF(AND(CB96="",CA96&lt;&gt;""),TRUE))</formula>
    </cfRule>
    <cfRule type="expression" dxfId="373" priority="637">
      <formula>IF(CA96&gt;=CB96,IF(CA96="",FALSE,TRUE))</formula>
    </cfRule>
  </conditionalFormatting>
  <conditionalFormatting sqref="CC97 CA97">
    <cfRule type="expression" dxfId="372" priority="634">
      <formula>OR(IF(CA97&lt;CB97,TRUE),IF(AND(CB97="",CA97&lt;&gt;""),TRUE))</formula>
    </cfRule>
    <cfRule type="expression" dxfId="371" priority="635">
      <formula>IF(CA97&gt;=CB97,IF(CA97="",FALSE,TRUE))</formula>
    </cfRule>
  </conditionalFormatting>
  <conditionalFormatting sqref="CH96 CJ96">
    <cfRule type="expression" dxfId="370" priority="630">
      <formula>OR(IF(CH96&lt;CI96,TRUE),IF(AND(CI96="",CH96&lt;&gt;""),TRUE))</formula>
    </cfRule>
    <cfRule type="expression" dxfId="369" priority="631">
      <formula>IF(CH96&gt;=CI96,IF(CH96="",FALSE,TRUE))</formula>
    </cfRule>
  </conditionalFormatting>
  <conditionalFormatting sqref="CJ97 CH97">
    <cfRule type="expression" dxfId="368" priority="628">
      <formula>OR(IF(CH97&lt;CI97,TRUE),IF(AND(CI97="",CH97&lt;&gt;""),TRUE))</formula>
    </cfRule>
    <cfRule type="expression" dxfId="367" priority="629">
      <formula>IF(CH97&gt;=CI97,IF(CH97="",FALSE,TRUE))</formula>
    </cfRule>
  </conditionalFormatting>
  <conditionalFormatting sqref="CO96 CQ96">
    <cfRule type="expression" dxfId="366" priority="624">
      <formula>OR(IF(CO96&lt;CP96,TRUE),IF(AND(CP96="",CO96&lt;&gt;""),TRUE))</formula>
    </cfRule>
    <cfRule type="expression" dxfId="365" priority="625">
      <formula>IF(CO96&gt;=CP96,IF(CO96="",FALSE,TRUE))</formula>
    </cfRule>
  </conditionalFormatting>
  <conditionalFormatting sqref="CQ97 CO97">
    <cfRule type="expression" dxfId="364" priority="622">
      <formula>OR(IF(CO97&lt;CP97,TRUE),IF(AND(CP97="",CO97&lt;&gt;""),TRUE))</formula>
    </cfRule>
    <cfRule type="expression" dxfId="363" priority="623">
      <formula>IF(CO97&gt;=CP97,IF(CO97="",FALSE,TRUE))</formula>
    </cfRule>
  </conditionalFormatting>
  <conditionalFormatting sqref="CV96 CX96">
    <cfRule type="expression" dxfId="362" priority="618">
      <formula>OR(IF(CV96&lt;CW96,TRUE),IF(AND(CW96="",CV96&lt;&gt;""),TRUE))</formula>
    </cfRule>
    <cfRule type="expression" dxfId="361" priority="619">
      <formula>IF(CV96&gt;=CW96,IF(CV96="",FALSE,TRUE))</formula>
    </cfRule>
  </conditionalFormatting>
  <conditionalFormatting sqref="CX97 CV97">
    <cfRule type="expression" dxfId="360" priority="616">
      <formula>OR(IF(CV97&lt;CW97,TRUE),IF(AND(CW97="",CV97&lt;&gt;""),TRUE))</formula>
    </cfRule>
    <cfRule type="expression" dxfId="359" priority="617">
      <formula>IF(CV97&gt;=CW97,IF(CV97="",FALSE,TRUE))</formula>
    </cfRule>
  </conditionalFormatting>
  <conditionalFormatting sqref="J98:K98">
    <cfRule type="colorScale" priority="704">
      <colorScale>
        <cfvo type="percent" val="0"/>
        <cfvo type="percent" val="100"/>
        <color rgb="FFFF231B"/>
        <color rgb="FF10FF07"/>
      </colorScale>
    </cfRule>
  </conditionalFormatting>
  <conditionalFormatting sqref="DE98 DC98">
    <cfRule type="expression" dxfId="358" priority="614">
      <formula>OR(IF(DC98&lt;DD98,TRUE),IF(AND(DD98="",DC98&lt;&gt;""),TRUE))</formula>
    </cfRule>
    <cfRule type="expression" dxfId="357" priority="615">
      <formula>IF(DC98&gt;=DD98,IF(DC98="",FALSE,TRUE))</formula>
    </cfRule>
  </conditionalFormatting>
  <conditionalFormatting sqref="DC96 DE96">
    <cfRule type="expression" dxfId="356" priority="610">
      <formula>OR(IF(DC96&lt;DD96,TRUE),IF(AND(DD96="",DC96&lt;&gt;""),TRUE))</formula>
    </cfRule>
    <cfRule type="expression" dxfId="355" priority="611">
      <formula>IF(DC96&gt;=DD96,IF(DC96="",FALSE,TRUE))</formula>
    </cfRule>
  </conditionalFormatting>
  <conditionalFormatting sqref="DE97 DC97">
    <cfRule type="expression" dxfId="354" priority="608">
      <formula>OR(IF(DC97&lt;DD97,TRUE),IF(AND(DD97="",DC97&lt;&gt;""),TRUE))</formula>
    </cfRule>
    <cfRule type="expression" dxfId="353" priority="609">
      <formula>IF(DC97&gt;=DD97,IF(DC97="",FALSE,TRUE))</formula>
    </cfRule>
  </conditionalFormatting>
  <conditionalFormatting sqref="DL98 DJ98">
    <cfRule type="expression" dxfId="352" priority="606">
      <formula>OR(IF(DJ98&lt;DK98,TRUE),IF(AND(DK98="",DJ98&lt;&gt;""),TRUE))</formula>
    </cfRule>
    <cfRule type="expression" dxfId="351" priority="607">
      <formula>IF(DJ98&gt;=DK98,IF(DJ98="",FALSE,TRUE))</formula>
    </cfRule>
  </conditionalFormatting>
  <conditionalFormatting sqref="DJ96 DL96">
    <cfRule type="expression" dxfId="350" priority="602">
      <formula>OR(IF(DJ96&lt;DK96,TRUE),IF(AND(DK96="",DJ96&lt;&gt;""),TRUE))</formula>
    </cfRule>
    <cfRule type="expression" dxfId="349" priority="603">
      <formula>IF(DJ96&gt;=DK96,IF(DJ96="",FALSE,TRUE))</formula>
    </cfRule>
  </conditionalFormatting>
  <conditionalFormatting sqref="DL97 DJ97">
    <cfRule type="expression" dxfId="348" priority="600">
      <formula>OR(IF(DJ97&lt;DK97,TRUE),IF(AND(DK97="",DJ97&lt;&gt;""),TRUE))</formula>
    </cfRule>
    <cfRule type="expression" dxfId="347" priority="601">
      <formula>IF(DJ97&gt;=DK97,IF(DJ97="",FALSE,TRUE))</formula>
    </cfRule>
  </conditionalFormatting>
  <conditionalFormatting sqref="DS98 DQ98">
    <cfRule type="expression" dxfId="346" priority="598">
      <formula>OR(IF(DQ98&lt;DR98,TRUE),IF(AND(DR98="",DQ98&lt;&gt;""),TRUE))</formula>
    </cfRule>
    <cfRule type="expression" dxfId="345" priority="599">
      <formula>IF(DQ98&gt;=DR98,IF(DQ98="",FALSE,TRUE))</formula>
    </cfRule>
  </conditionalFormatting>
  <conditionalFormatting sqref="DQ96 DS96">
    <cfRule type="expression" dxfId="344" priority="594">
      <formula>OR(IF(DQ96&lt;DR96,TRUE),IF(AND(DR96="",DQ96&lt;&gt;""),TRUE))</formula>
    </cfRule>
    <cfRule type="expression" dxfId="343" priority="595">
      <formula>IF(DQ96&gt;=DR96,IF(DQ96="",FALSE,TRUE))</formula>
    </cfRule>
  </conditionalFormatting>
  <conditionalFormatting sqref="DS97 DQ97">
    <cfRule type="expression" dxfId="342" priority="592">
      <formula>OR(IF(DQ97&lt;DR97,TRUE),IF(AND(DR97="",DQ97&lt;&gt;""),TRUE))</formula>
    </cfRule>
    <cfRule type="expression" dxfId="341" priority="593">
      <formula>IF(DQ97&gt;=DR97,IF(DQ97="",FALSE,TRUE))</formula>
    </cfRule>
  </conditionalFormatting>
  <conditionalFormatting sqref="DZ98 DX98">
    <cfRule type="expression" dxfId="340" priority="590">
      <formula>OR(IF(DX98&lt;DY98,TRUE),IF(AND(DY98="",DX98&lt;&gt;""),TRUE))</formula>
    </cfRule>
    <cfRule type="expression" dxfId="339" priority="591">
      <formula>IF(DX98&gt;=DY98,IF(DX98="",FALSE,TRUE))</formula>
    </cfRule>
  </conditionalFormatting>
  <conditionalFormatting sqref="DX96 DZ96">
    <cfRule type="expression" dxfId="338" priority="586">
      <formula>OR(IF(DX96&lt;DY96,TRUE),IF(AND(DY96="",DX96&lt;&gt;""),TRUE))</formula>
    </cfRule>
    <cfRule type="expression" dxfId="337" priority="587">
      <formula>IF(DX96&gt;=DY96,IF(DX96="",FALSE,TRUE))</formula>
    </cfRule>
  </conditionalFormatting>
  <conditionalFormatting sqref="DZ97 DX97">
    <cfRule type="expression" dxfId="336" priority="584">
      <formula>OR(IF(DX97&lt;DY97,TRUE),IF(AND(DY97="",DX97&lt;&gt;""),TRUE))</formula>
    </cfRule>
    <cfRule type="expression" dxfId="335" priority="585">
      <formula>IF(DX97&gt;=DY97,IF(DX97="",FALSE,TRUE))</formula>
    </cfRule>
  </conditionalFormatting>
  <conditionalFormatting sqref="EG98 EE98">
    <cfRule type="expression" dxfId="334" priority="582">
      <formula>OR(IF(EE98&lt;EF98,TRUE),IF(AND(EF98="",EE98&lt;&gt;""),TRUE))</formula>
    </cfRule>
    <cfRule type="expression" dxfId="333" priority="583">
      <formula>IF(EE98&gt;=EF98,IF(EE98="",FALSE,TRUE))</formula>
    </cfRule>
  </conditionalFormatting>
  <conditionalFormatting sqref="EE96 EG96">
    <cfRule type="expression" dxfId="332" priority="578">
      <formula>OR(IF(EE96&lt;EF96,TRUE),IF(AND(EF96="",EE96&lt;&gt;""),TRUE))</formula>
    </cfRule>
    <cfRule type="expression" dxfId="331" priority="579">
      <formula>IF(EE96&gt;=EF96,IF(EE96="",FALSE,TRUE))</formula>
    </cfRule>
  </conditionalFormatting>
  <conditionalFormatting sqref="EG97 EE97">
    <cfRule type="expression" dxfId="330" priority="576">
      <formula>OR(IF(EE97&lt;EF97,TRUE),IF(AND(EF97="",EE97&lt;&gt;""),TRUE))</formula>
    </cfRule>
    <cfRule type="expression" dxfId="329" priority="577">
      <formula>IF(EE97&gt;=EF97,IF(EE97="",FALSE,TRUE))</formula>
    </cfRule>
  </conditionalFormatting>
  <conditionalFormatting sqref="AK99 AM99">
    <cfRule type="expression" dxfId="328" priority="567">
      <formula>OR(IF(AK99&lt;AL99,TRUE),IF(AND(AL99="",AK99&lt;&gt;""),TRUE))</formula>
    </cfRule>
    <cfRule type="expression" dxfId="327" priority="568">
      <formula>IF(AK99&gt;=AL99,IF(AK99="",FALSE,TRUE))</formula>
    </cfRule>
  </conditionalFormatting>
  <conditionalFormatting sqref="AY99 BA99">
    <cfRule type="expression" dxfId="326" priority="563">
      <formula>OR(IF(AY99&lt;AZ99,TRUE),IF(AND(AZ99="",AY99&lt;&gt;""),TRUE))</formula>
    </cfRule>
    <cfRule type="expression" dxfId="325" priority="564">
      <formula>IF(AY99&gt;=AZ99,IF(AY99="",FALSE,TRUE))</formula>
    </cfRule>
  </conditionalFormatting>
  <conditionalFormatting sqref="P99 R99">
    <cfRule type="expression" dxfId="324" priority="573">
      <formula>OR(IF(P99&lt;Q99,TRUE),IF(AND(Q99="",P99&lt;&gt;""),TRUE))</formula>
    </cfRule>
    <cfRule type="expression" dxfId="323" priority="574">
      <formula>IF(P99&gt;=Q99,IF(P99="",FALSE,TRUE))</formula>
    </cfRule>
  </conditionalFormatting>
  <conditionalFormatting sqref="W99 Y99">
    <cfRule type="expression" dxfId="322" priority="571">
      <formula>OR(IF(W99&lt;X99,TRUE),IF(AND(X99="",W99&lt;&gt;""),TRUE))</formula>
    </cfRule>
    <cfRule type="expression" dxfId="321" priority="572">
      <formula>IF(W99&gt;=X99,IF(W99="",FALSE,TRUE))</formula>
    </cfRule>
  </conditionalFormatting>
  <conditionalFormatting sqref="AD99 AF99">
    <cfRule type="expression" dxfId="320" priority="569">
      <formula>OR(IF(AD99&lt;AE99,TRUE),IF(AND(AE99="",AD99&lt;&gt;""),TRUE))</formula>
    </cfRule>
    <cfRule type="expression" dxfId="319" priority="570">
      <formula>IF(AD99&gt;=AE99,IF(AD99="",FALSE,TRUE))</formula>
    </cfRule>
  </conditionalFormatting>
  <conditionalFormatting sqref="AR99 AT99">
    <cfRule type="expression" dxfId="318" priority="565">
      <formula>OR(IF(AR99&lt;AS99,TRUE),IF(AND(AS99="",AR99&lt;&gt;""),TRUE))</formula>
    </cfRule>
    <cfRule type="expression" dxfId="317" priority="566">
      <formula>IF(AR99&gt;=AS99,IF(AR99="",FALSE,TRUE))</formula>
    </cfRule>
  </conditionalFormatting>
  <conditionalFormatting sqref="BF99 BH99">
    <cfRule type="expression" dxfId="316" priority="561">
      <formula>OR(IF(BF99&lt;BG99,TRUE),IF(AND(BG99="",BF99&lt;&gt;""),TRUE))</formula>
    </cfRule>
    <cfRule type="expression" dxfId="315" priority="562">
      <formula>IF(BF99&gt;=BG99,IF(BF99="",FALSE,TRUE))</formula>
    </cfRule>
  </conditionalFormatting>
  <conditionalFormatting sqref="AK100 AM100">
    <cfRule type="expression" dxfId="314" priority="551">
      <formula>OR(IF(AK100&lt;AL100,TRUE),IF(AND(AL100="",AK100&lt;&gt;""),TRUE))</formula>
    </cfRule>
    <cfRule type="expression" dxfId="313" priority="552">
      <formula>IF(AK100&gt;=AL100,IF(AK100="",FALSE,TRUE))</formula>
    </cfRule>
  </conditionalFormatting>
  <conditionalFormatting sqref="AY100 BA100">
    <cfRule type="expression" dxfId="312" priority="547">
      <formula>OR(IF(AY100&lt;AZ100,TRUE),IF(AND(AZ100="",AY100&lt;&gt;""),TRUE))</formula>
    </cfRule>
    <cfRule type="expression" dxfId="311" priority="548">
      <formula>IF(AY100&gt;=AZ100,IF(AY100="",FALSE,TRUE))</formula>
    </cfRule>
  </conditionalFormatting>
  <conditionalFormatting sqref="P100 R100">
    <cfRule type="expression" dxfId="310" priority="557">
      <formula>OR(IF(P100&lt;Q100,TRUE),IF(AND(Q100="",P100&lt;&gt;""),TRUE))</formula>
    </cfRule>
    <cfRule type="expression" dxfId="309" priority="558">
      <formula>IF(P100&gt;=Q100,IF(P100="",FALSE,TRUE))</formula>
    </cfRule>
  </conditionalFormatting>
  <conditionalFormatting sqref="W100 Y100">
    <cfRule type="expression" dxfId="308" priority="555">
      <formula>OR(IF(W100&lt;X100,TRUE),IF(AND(X100="",W100&lt;&gt;""),TRUE))</formula>
    </cfRule>
    <cfRule type="expression" dxfId="307" priority="556">
      <formula>IF(W100&gt;=X100,IF(W100="",FALSE,TRUE))</formula>
    </cfRule>
  </conditionalFormatting>
  <conditionalFormatting sqref="AD100 AF100">
    <cfRule type="expression" dxfId="306" priority="553">
      <formula>OR(IF(AD100&lt;AE100,TRUE),IF(AND(AE100="",AD100&lt;&gt;""),TRUE))</formula>
    </cfRule>
    <cfRule type="expression" dxfId="305" priority="554">
      <formula>IF(AD100&gt;=AE100,IF(AD100="",FALSE,TRUE))</formula>
    </cfRule>
  </conditionalFormatting>
  <conditionalFormatting sqref="AR100 AT100">
    <cfRule type="expression" dxfId="304" priority="549">
      <formula>OR(IF(AR100&lt;AS100,TRUE),IF(AND(AS100="",AR100&lt;&gt;""),TRUE))</formula>
    </cfRule>
    <cfRule type="expression" dxfId="303" priority="550">
      <formula>IF(AR100&gt;=AS100,IF(AR100="",FALSE,TRUE))</formula>
    </cfRule>
  </conditionalFormatting>
  <conditionalFormatting sqref="J100:K100">
    <cfRule type="colorScale" priority="546">
      <colorScale>
        <cfvo type="percent" val="0"/>
        <cfvo type="percent" val="100"/>
        <color rgb="FFFF231B"/>
        <color rgb="FF10FF07"/>
      </colorScale>
    </cfRule>
  </conditionalFormatting>
  <conditionalFormatting sqref="J100">
    <cfRule type="colorScale" priority="545">
      <colorScale>
        <cfvo type="percent" val="0"/>
        <cfvo type="percent" val="100"/>
        <color rgb="FFFF231B"/>
        <color rgb="FF10FF07"/>
      </colorScale>
    </cfRule>
  </conditionalFormatting>
  <conditionalFormatting sqref="K100">
    <cfRule type="colorScale" priority="544">
      <colorScale>
        <cfvo type="percent" val="0"/>
        <cfvo type="percent" val="100"/>
        <color rgb="FFFF231B"/>
        <color rgb="FF10FF07"/>
      </colorScale>
    </cfRule>
  </conditionalFormatting>
  <conditionalFormatting sqref="BF100 BH100">
    <cfRule type="expression" dxfId="302" priority="542">
      <formula>OR(IF(BF100&lt;BG100,TRUE),IF(AND(BG100="",BF100&lt;&gt;""),TRUE))</formula>
    </cfRule>
    <cfRule type="expression" dxfId="301" priority="543">
      <formula>IF(BF100&gt;=BG100,IF(BF100="",FALSE,TRUE))</formula>
    </cfRule>
  </conditionalFormatting>
  <conditionalFormatting sqref="AM101 AK101">
    <cfRule type="expression" dxfId="300" priority="532">
      <formula>OR(IF(AK101&lt;AL101,TRUE),IF(AND(AL101="",AK101&lt;&gt;""),TRUE))</formula>
    </cfRule>
    <cfRule type="expression" dxfId="299" priority="533">
      <formula>IF(AK101&gt;=AL101,IF(AK101="",FALSE,TRUE))</formula>
    </cfRule>
  </conditionalFormatting>
  <conditionalFormatting sqref="BA101 AY101">
    <cfRule type="expression" dxfId="298" priority="528">
      <formula>OR(IF(AY101&lt;AZ101,TRUE),IF(AND(AZ101="",AY101&lt;&gt;""),TRUE))</formula>
    </cfRule>
    <cfRule type="expression" dxfId="297" priority="529">
      <formula>IF(AY101&gt;=AZ101,IF(AY101="",FALSE,TRUE))</formula>
    </cfRule>
  </conditionalFormatting>
  <conditionalFormatting sqref="R101 P101">
    <cfRule type="expression" dxfId="296" priority="538">
      <formula>OR(IF(P101&lt;Q101,TRUE),IF(AND(Q101="",P101&lt;&gt;""),TRUE))</formula>
    </cfRule>
    <cfRule type="expression" dxfId="295" priority="539">
      <formula>IF(P101&gt;=Q101,IF(P101="",FALSE,TRUE))</formula>
    </cfRule>
  </conditionalFormatting>
  <conditionalFormatting sqref="Y101 W101">
    <cfRule type="expression" dxfId="294" priority="536">
      <formula>OR(IF(W101&lt;X101,TRUE),IF(AND(X101="",W101&lt;&gt;""),TRUE))</formula>
    </cfRule>
    <cfRule type="expression" dxfId="293" priority="537">
      <formula>IF(W101&gt;=X101,IF(W101="",FALSE,TRUE))</formula>
    </cfRule>
  </conditionalFormatting>
  <conditionalFormatting sqref="AF101 AD101">
    <cfRule type="expression" dxfId="292" priority="534">
      <formula>OR(IF(AD101&lt;AE101,TRUE),IF(AND(AE101="",AD101&lt;&gt;""),TRUE))</formula>
    </cfRule>
    <cfRule type="expression" dxfId="291" priority="535">
      <formula>IF(AD101&gt;=AE101,IF(AD101="",FALSE,TRUE))</formula>
    </cfRule>
  </conditionalFormatting>
  <conditionalFormatting sqref="AT101 AR101">
    <cfRule type="expression" dxfId="290" priority="530">
      <formula>OR(IF(AR101&lt;AS101,TRUE),IF(AND(AS101="",AR101&lt;&gt;""),TRUE))</formula>
    </cfRule>
    <cfRule type="expression" dxfId="289" priority="531">
      <formula>IF(AR101&gt;=AS101,IF(AR101="",FALSE,TRUE))</formula>
    </cfRule>
  </conditionalFormatting>
  <conditionalFormatting sqref="J101:K101">
    <cfRule type="colorScale" priority="527">
      <colorScale>
        <cfvo type="percent" val="0"/>
        <cfvo type="percent" val="100"/>
        <color rgb="FFFF231B"/>
        <color rgb="FF10FF07"/>
      </colorScale>
    </cfRule>
  </conditionalFormatting>
  <conditionalFormatting sqref="J101">
    <cfRule type="colorScale" priority="526">
      <colorScale>
        <cfvo type="percent" val="0"/>
        <cfvo type="percent" val="100"/>
        <color rgb="FFFF231B"/>
        <color rgb="FF10FF07"/>
      </colorScale>
    </cfRule>
  </conditionalFormatting>
  <conditionalFormatting sqref="K101">
    <cfRule type="colorScale" priority="525">
      <colorScale>
        <cfvo type="percent" val="0"/>
        <cfvo type="percent" val="100"/>
        <color rgb="FFFF231B"/>
        <color rgb="FF10FF07"/>
      </colorScale>
    </cfRule>
  </conditionalFormatting>
  <conditionalFormatting sqref="BH101 BF101">
    <cfRule type="expression" dxfId="288" priority="523">
      <formula>OR(IF(BF101&lt;BG101,TRUE),IF(AND(BG101="",BF101&lt;&gt;""),TRUE))</formula>
    </cfRule>
    <cfRule type="expression" dxfId="287" priority="524">
      <formula>IF(BF101&gt;=BG101,IF(BF101="",FALSE,TRUE))</formula>
    </cfRule>
  </conditionalFormatting>
  <conditionalFormatting sqref="BM99 BO99">
    <cfRule type="expression" dxfId="286" priority="521">
      <formula>OR(IF(BM99&lt;BN99,TRUE),IF(AND(BN99="",BM99&lt;&gt;""),TRUE))</formula>
    </cfRule>
    <cfRule type="expression" dxfId="285" priority="522">
      <formula>IF(BM99&gt;=BN99,IF(BM99="",FALSE,TRUE))</formula>
    </cfRule>
  </conditionalFormatting>
  <conditionalFormatting sqref="BM100 BO100">
    <cfRule type="expression" dxfId="284" priority="519">
      <formula>OR(IF(BM100&lt;BN100,TRUE),IF(AND(BN100="",BM100&lt;&gt;""),TRUE))</formula>
    </cfRule>
    <cfRule type="expression" dxfId="283" priority="520">
      <formula>IF(BM100&gt;=BN100,IF(BM100="",FALSE,TRUE))</formula>
    </cfRule>
  </conditionalFormatting>
  <conditionalFormatting sqref="BO101 BM101">
    <cfRule type="expression" dxfId="282" priority="517">
      <formula>OR(IF(BM101&lt;BN101,TRUE),IF(AND(BN101="",BM101&lt;&gt;""),TRUE))</formula>
    </cfRule>
    <cfRule type="expression" dxfId="281" priority="518">
      <formula>IF(BM101&gt;=BN101,IF(BM101="",FALSE,TRUE))</formula>
    </cfRule>
  </conditionalFormatting>
  <conditionalFormatting sqref="BT99 BV99">
    <cfRule type="expression" dxfId="280" priority="515">
      <formula>OR(IF(BT99&lt;BU99,TRUE),IF(AND(BU99="",BT99&lt;&gt;""),TRUE))</formula>
    </cfRule>
    <cfRule type="expression" dxfId="279" priority="516">
      <formula>IF(BT99&gt;=BU99,IF(BT99="",FALSE,TRUE))</formula>
    </cfRule>
  </conditionalFormatting>
  <conditionalFormatting sqref="BT100 BV100">
    <cfRule type="expression" dxfId="278" priority="513">
      <formula>OR(IF(BT100&lt;BU100,TRUE),IF(AND(BU100="",BT100&lt;&gt;""),TRUE))</formula>
    </cfRule>
    <cfRule type="expression" dxfId="277" priority="514">
      <formula>IF(BT100&gt;=BU100,IF(BT100="",FALSE,TRUE))</formula>
    </cfRule>
  </conditionalFormatting>
  <conditionalFormatting sqref="BV101 BT101">
    <cfRule type="expression" dxfId="276" priority="511">
      <formula>OR(IF(BT101&lt;BU101,TRUE),IF(AND(BU101="",BT101&lt;&gt;""),TRUE))</formula>
    </cfRule>
    <cfRule type="expression" dxfId="275" priority="512">
      <formula>IF(BT101&gt;=BU101,IF(BT101="",FALSE,TRUE))</formula>
    </cfRule>
  </conditionalFormatting>
  <conditionalFormatting sqref="CA99 CC99">
    <cfRule type="expression" dxfId="274" priority="509">
      <formula>OR(IF(CA99&lt;CB99,TRUE),IF(AND(CB99="",CA99&lt;&gt;""),TRUE))</formula>
    </cfRule>
    <cfRule type="expression" dxfId="273" priority="510">
      <formula>IF(CA99&gt;=CB99,IF(CA99="",FALSE,TRUE))</formula>
    </cfRule>
  </conditionalFormatting>
  <conditionalFormatting sqref="CA100 CC100">
    <cfRule type="expression" dxfId="272" priority="507">
      <formula>OR(IF(CA100&lt;CB100,TRUE),IF(AND(CB100="",CA100&lt;&gt;""),TRUE))</formula>
    </cfRule>
    <cfRule type="expression" dxfId="271" priority="508">
      <formula>IF(CA100&gt;=CB100,IF(CA100="",FALSE,TRUE))</formula>
    </cfRule>
  </conditionalFormatting>
  <conditionalFormatting sqref="CC101 CA101">
    <cfRule type="expression" dxfId="270" priority="505">
      <formula>OR(IF(CA101&lt;CB101,TRUE),IF(AND(CB101="",CA101&lt;&gt;""),TRUE))</formula>
    </cfRule>
    <cfRule type="expression" dxfId="269" priority="506">
      <formula>IF(CA101&gt;=CB101,IF(CA101="",FALSE,TRUE))</formula>
    </cfRule>
  </conditionalFormatting>
  <conditionalFormatting sqref="CH99 CJ99">
    <cfRule type="expression" dxfId="268" priority="503">
      <formula>OR(IF(CH99&lt;CI99,TRUE),IF(AND(CI99="",CH99&lt;&gt;""),TRUE))</formula>
    </cfRule>
    <cfRule type="expression" dxfId="267" priority="504">
      <formula>IF(CH99&gt;=CI99,IF(CH99="",FALSE,TRUE))</formula>
    </cfRule>
  </conditionalFormatting>
  <conditionalFormatting sqref="CH100 CJ100">
    <cfRule type="expression" dxfId="266" priority="501">
      <formula>OR(IF(CH100&lt;CI100,TRUE),IF(AND(CI100="",CH100&lt;&gt;""),TRUE))</formula>
    </cfRule>
    <cfRule type="expression" dxfId="265" priority="502">
      <formula>IF(CH100&gt;=CI100,IF(CH100="",FALSE,TRUE))</formula>
    </cfRule>
  </conditionalFormatting>
  <conditionalFormatting sqref="CJ101 CH101">
    <cfRule type="expression" dxfId="264" priority="499">
      <formula>OR(IF(CH101&lt;CI101,TRUE),IF(AND(CI101="",CH101&lt;&gt;""),TRUE))</formula>
    </cfRule>
    <cfRule type="expression" dxfId="263" priority="500">
      <formula>IF(CH101&gt;=CI101,IF(CH101="",FALSE,TRUE))</formula>
    </cfRule>
  </conditionalFormatting>
  <conditionalFormatting sqref="CO99 CQ99">
    <cfRule type="expression" dxfId="262" priority="497">
      <formula>OR(IF(CO99&lt;CP99,TRUE),IF(AND(CP99="",CO99&lt;&gt;""),TRUE))</formula>
    </cfRule>
    <cfRule type="expression" dxfId="261" priority="498">
      <formula>IF(CO99&gt;=CP99,IF(CO99="",FALSE,TRUE))</formula>
    </cfRule>
  </conditionalFormatting>
  <conditionalFormatting sqref="CO100 CQ100">
    <cfRule type="expression" dxfId="260" priority="495">
      <formula>OR(IF(CO100&lt;CP100,TRUE),IF(AND(CP100="",CO100&lt;&gt;""),TRUE))</formula>
    </cfRule>
    <cfRule type="expression" dxfId="259" priority="496">
      <formula>IF(CO100&gt;=CP100,IF(CO100="",FALSE,TRUE))</formula>
    </cfRule>
  </conditionalFormatting>
  <conditionalFormatting sqref="CQ101 CO101">
    <cfRule type="expression" dxfId="258" priority="493">
      <formula>OR(IF(CO101&lt;CP101,TRUE),IF(AND(CP101="",CO101&lt;&gt;""),TRUE))</formula>
    </cfRule>
    <cfRule type="expression" dxfId="257" priority="494">
      <formula>IF(CO101&gt;=CP101,IF(CO101="",FALSE,TRUE))</formula>
    </cfRule>
  </conditionalFormatting>
  <conditionalFormatting sqref="CV99 CX99">
    <cfRule type="expression" dxfId="256" priority="491">
      <formula>OR(IF(CV99&lt;CW99,TRUE),IF(AND(CW99="",CV99&lt;&gt;""),TRUE))</formula>
    </cfRule>
    <cfRule type="expression" dxfId="255" priority="492">
      <formula>IF(CV99&gt;=CW99,IF(CV99="",FALSE,TRUE))</formula>
    </cfRule>
  </conditionalFormatting>
  <conditionalFormatting sqref="CV100 CX100">
    <cfRule type="expression" dxfId="254" priority="489">
      <formula>OR(IF(CV100&lt;CW100,TRUE),IF(AND(CW100="",CV100&lt;&gt;""),TRUE))</formula>
    </cfRule>
    <cfRule type="expression" dxfId="253" priority="490">
      <formula>IF(CV100&gt;=CW100,IF(CV100="",FALSE,TRUE))</formula>
    </cfRule>
  </conditionalFormatting>
  <conditionalFormatting sqref="CX101 CV101">
    <cfRule type="expression" dxfId="252" priority="487">
      <formula>OR(IF(CV101&lt;CW101,TRUE),IF(AND(CW101="",CV101&lt;&gt;""),TRUE))</formula>
    </cfRule>
    <cfRule type="expression" dxfId="251" priority="488">
      <formula>IF(CV101&gt;=CW101,IF(CV101="",FALSE,TRUE))</formula>
    </cfRule>
  </conditionalFormatting>
  <conditionalFormatting sqref="DC99 DE99">
    <cfRule type="expression" dxfId="250" priority="483">
      <formula>OR(IF(DC99&lt;DD99,TRUE),IF(AND(DD99="",DC99&lt;&gt;""),TRUE))</formula>
    </cfRule>
    <cfRule type="expression" dxfId="249" priority="484">
      <formula>IF(DC99&gt;=DD99,IF(DC99="",FALSE,TRUE))</formula>
    </cfRule>
  </conditionalFormatting>
  <conditionalFormatting sqref="DC100 DE100">
    <cfRule type="expression" dxfId="248" priority="481">
      <formula>OR(IF(DC100&lt;DD100,TRUE),IF(AND(DD100="",DC100&lt;&gt;""),TRUE))</formula>
    </cfRule>
    <cfRule type="expression" dxfId="247" priority="482">
      <formula>IF(DC100&gt;=DD100,IF(DC100="",FALSE,TRUE))</formula>
    </cfRule>
  </conditionalFormatting>
  <conditionalFormatting sqref="DE101 DC101">
    <cfRule type="expression" dxfId="246" priority="479">
      <formula>OR(IF(DC101&lt;DD101,TRUE),IF(AND(DD101="",DC101&lt;&gt;""),TRUE))</formula>
    </cfRule>
    <cfRule type="expression" dxfId="245" priority="480">
      <formula>IF(DC101&gt;=DD101,IF(DC101="",FALSE,TRUE))</formula>
    </cfRule>
  </conditionalFormatting>
  <conditionalFormatting sqref="DJ99 DL99">
    <cfRule type="expression" dxfId="244" priority="475">
      <formula>OR(IF(DJ99&lt;DK99,TRUE),IF(AND(DK99="",DJ99&lt;&gt;""),TRUE))</formula>
    </cfRule>
    <cfRule type="expression" dxfId="243" priority="476">
      <formula>IF(DJ99&gt;=DK99,IF(DJ99="",FALSE,TRUE))</formula>
    </cfRule>
  </conditionalFormatting>
  <conditionalFormatting sqref="DJ100 DL100">
    <cfRule type="expression" dxfId="242" priority="473">
      <formula>OR(IF(DJ100&lt;DK100,TRUE),IF(AND(DK100="",DJ100&lt;&gt;""),TRUE))</formula>
    </cfRule>
    <cfRule type="expression" dxfId="241" priority="474">
      <formula>IF(DJ100&gt;=DK100,IF(DJ100="",FALSE,TRUE))</formula>
    </cfRule>
  </conditionalFormatting>
  <conditionalFormatting sqref="DL101 DJ101">
    <cfRule type="expression" dxfId="240" priority="471">
      <formula>OR(IF(DJ101&lt;DK101,TRUE),IF(AND(DK101="",DJ101&lt;&gt;""),TRUE))</formula>
    </cfRule>
    <cfRule type="expression" dxfId="239" priority="472">
      <formula>IF(DJ101&gt;=DK101,IF(DJ101="",FALSE,TRUE))</formula>
    </cfRule>
  </conditionalFormatting>
  <conditionalFormatting sqref="DQ99 DS99">
    <cfRule type="expression" dxfId="238" priority="467">
      <formula>OR(IF(DQ99&lt;DR99,TRUE),IF(AND(DR99="",DQ99&lt;&gt;""),TRUE))</formula>
    </cfRule>
    <cfRule type="expression" dxfId="237" priority="468">
      <formula>IF(DQ99&gt;=DR99,IF(DQ99="",FALSE,TRUE))</formula>
    </cfRule>
  </conditionalFormatting>
  <conditionalFormatting sqref="DQ100 DS100">
    <cfRule type="expression" dxfId="236" priority="465">
      <formula>OR(IF(DQ100&lt;DR100,TRUE),IF(AND(DR100="",DQ100&lt;&gt;""),TRUE))</formula>
    </cfRule>
    <cfRule type="expression" dxfId="235" priority="466">
      <formula>IF(DQ100&gt;=DR100,IF(DQ100="",FALSE,TRUE))</formula>
    </cfRule>
  </conditionalFormatting>
  <conditionalFormatting sqref="DS101 DQ101">
    <cfRule type="expression" dxfId="234" priority="463">
      <formula>OR(IF(DQ101&lt;DR101,TRUE),IF(AND(DR101="",DQ101&lt;&gt;""),TRUE))</formula>
    </cfRule>
    <cfRule type="expression" dxfId="233" priority="464">
      <formula>IF(DQ101&gt;=DR101,IF(DQ101="",FALSE,TRUE))</formula>
    </cfRule>
  </conditionalFormatting>
  <conditionalFormatting sqref="DX99 DZ99">
    <cfRule type="expression" dxfId="232" priority="459">
      <formula>OR(IF(DX99&lt;DY99,TRUE),IF(AND(DY99="",DX99&lt;&gt;""),TRUE))</formula>
    </cfRule>
    <cfRule type="expression" dxfId="231" priority="460">
      <formula>IF(DX99&gt;=DY99,IF(DX99="",FALSE,TRUE))</formula>
    </cfRule>
  </conditionalFormatting>
  <conditionalFormatting sqref="DX100 DZ100">
    <cfRule type="expression" dxfId="230" priority="457">
      <formula>OR(IF(DX100&lt;DY100,TRUE),IF(AND(DY100="",DX100&lt;&gt;""),TRUE))</formula>
    </cfRule>
    <cfRule type="expression" dxfId="229" priority="458">
      <formula>IF(DX100&gt;=DY100,IF(DX100="",FALSE,TRUE))</formula>
    </cfRule>
  </conditionalFormatting>
  <conditionalFormatting sqref="DZ101 DX101">
    <cfRule type="expression" dxfId="228" priority="455">
      <formula>OR(IF(DX101&lt;DY101,TRUE),IF(AND(DY101="",DX101&lt;&gt;""),TRUE))</formula>
    </cfRule>
    <cfRule type="expression" dxfId="227" priority="456">
      <formula>IF(DX101&gt;=DY101,IF(DX101="",FALSE,TRUE))</formula>
    </cfRule>
  </conditionalFormatting>
  <conditionalFormatting sqref="EE99 EG99">
    <cfRule type="expression" dxfId="226" priority="451">
      <formula>OR(IF(EE99&lt;EF99,TRUE),IF(AND(EF99="",EE99&lt;&gt;""),TRUE))</formula>
    </cfRule>
    <cfRule type="expression" dxfId="225" priority="452">
      <formula>IF(EE99&gt;=EF99,IF(EE99="",FALSE,TRUE))</formula>
    </cfRule>
  </conditionalFormatting>
  <conditionalFormatting sqref="EE100 EG100">
    <cfRule type="expression" dxfId="224" priority="449">
      <formula>OR(IF(EE100&lt;EF100,TRUE),IF(AND(EF100="",EE100&lt;&gt;""),TRUE))</formula>
    </cfRule>
    <cfRule type="expression" dxfId="223" priority="450">
      <formula>IF(EE100&gt;=EF100,IF(EE100="",FALSE,TRUE))</formula>
    </cfRule>
  </conditionalFormatting>
  <conditionalFormatting sqref="EG101 EE101">
    <cfRule type="expression" dxfId="222" priority="447">
      <formula>OR(IF(EE101&lt;EF101,TRUE),IF(AND(EF101="",EE101&lt;&gt;""),TRUE))</formula>
    </cfRule>
    <cfRule type="expression" dxfId="221" priority="448">
      <formula>IF(EE101&gt;=EF101,IF(EE101="",FALSE,TRUE))</formula>
    </cfRule>
  </conditionalFormatting>
  <conditionalFormatting sqref="J98:J99 J85:J86 J82 J89:J90 J93:J95">
    <cfRule type="colorScale" priority="3614">
      <colorScale>
        <cfvo type="percent" val="0"/>
        <cfvo type="percent" val="100"/>
        <color rgb="FFFF231B"/>
        <color rgb="FF10FF07"/>
      </colorScale>
    </cfRule>
  </conditionalFormatting>
  <conditionalFormatting sqref="K98:K99 K85:K86 K82 K89:K90 K93:K95">
    <cfRule type="colorScale" priority="3619">
      <colorScale>
        <cfvo type="percent" val="0"/>
        <cfvo type="percent" val="100"/>
        <color rgb="FFFF231B"/>
        <color rgb="FF10FF07"/>
      </colorScale>
    </cfRule>
  </conditionalFormatting>
  <conditionalFormatting sqref="AY30 P30 R30 W30 Y30 AD30 AF30 AM30 AR30 AT30 BA30 BF30 BH30 BM30 BO30 BT30 BV30 CA30 CC30 CH30 CJ30 CO30 CQ30 CV30 CX30 DC30 DE30 DJ30 DL30 DQ30 DS30 DX30 DZ30 EE30 EG30">
    <cfRule type="expression" dxfId="220" priority="316">
      <formula>OR(IF(P30&lt;Q30,TRUE),IF(AND(Q30="",P30&lt;&gt;""),TRUE))</formula>
    </cfRule>
    <cfRule type="expression" dxfId="219" priority="317">
      <formula>IF(P30&gt;=Q30,IF(P30="",FALSE,TRUE))</formula>
    </cfRule>
  </conditionalFormatting>
  <conditionalFormatting sqref="AY24:AY25">
    <cfRule type="expression" dxfId="218" priority="290">
      <formula>OR(IF(AY24&lt;AZ24,TRUE),IF(AND(AZ24="",AY24&lt;&gt;""),TRUE))</formula>
    </cfRule>
    <cfRule type="expression" dxfId="217" priority="291">
      <formula>IF(AY24&gt;=AZ24,IF(AY24="",FALSE,TRUE))</formula>
    </cfRule>
  </conditionalFormatting>
  <conditionalFormatting sqref="P24:P25">
    <cfRule type="expression" dxfId="216" priority="310">
      <formula>OR(IF(P24&lt;Q24,TRUE),IF(AND(Q24="",P24&lt;&gt;""),TRUE))</formula>
    </cfRule>
    <cfRule type="expression" dxfId="215" priority="311">
      <formula>IF(P24&gt;=Q24,IF(P24="",FALSE,TRUE))</formula>
    </cfRule>
  </conditionalFormatting>
  <conditionalFormatting sqref="R24:R25">
    <cfRule type="expression" dxfId="214" priority="308">
      <formula>OR(IF(R24&lt;S24,TRUE),IF(AND(S24="",R24&lt;&gt;""),TRUE))</formula>
    </cfRule>
    <cfRule type="expression" dxfId="213" priority="309">
      <formula>IF(R24&gt;=S24,IF(R24="",FALSE,TRUE))</formula>
    </cfRule>
  </conditionalFormatting>
  <conditionalFormatting sqref="W24:W25">
    <cfRule type="expression" dxfId="212" priority="306">
      <formula>OR(IF(W24&lt;X24,TRUE),IF(AND(X24="",W24&lt;&gt;""),TRUE))</formula>
    </cfRule>
    <cfRule type="expression" dxfId="211" priority="307">
      <formula>IF(W24&gt;=X24,IF(W24="",FALSE,TRUE))</formula>
    </cfRule>
  </conditionalFormatting>
  <conditionalFormatting sqref="Y24:Y25">
    <cfRule type="expression" dxfId="210" priority="304">
      <formula>OR(IF(Y24&lt;Z24,TRUE),IF(AND(Z24="",Y24&lt;&gt;""),TRUE))</formula>
    </cfRule>
    <cfRule type="expression" dxfId="209" priority="305">
      <formula>IF(Y24&gt;=Z24,IF(Y24="",FALSE,TRUE))</formula>
    </cfRule>
  </conditionalFormatting>
  <conditionalFormatting sqref="AD24:AD25">
    <cfRule type="expression" dxfId="208" priority="302">
      <formula>OR(IF(AD24&lt;AE24,TRUE),IF(AND(AE24="",AD24&lt;&gt;""),TRUE))</formula>
    </cfRule>
    <cfRule type="expression" dxfId="207" priority="303">
      <formula>IF(AD24&gt;=AE24,IF(AD24="",FALSE,TRUE))</formula>
    </cfRule>
  </conditionalFormatting>
  <conditionalFormatting sqref="AF24:AF25">
    <cfRule type="expression" dxfId="206" priority="300">
      <formula>OR(IF(AF24&lt;AG24,TRUE),IF(AND(AG24="",AF24&lt;&gt;""),TRUE))</formula>
    </cfRule>
    <cfRule type="expression" dxfId="205" priority="301">
      <formula>IF(AF24&gt;=AG24,IF(AF24="",FALSE,TRUE))</formula>
    </cfRule>
  </conditionalFormatting>
  <conditionalFormatting sqref="AM24:AM25">
    <cfRule type="expression" dxfId="204" priority="296">
      <formula>OR(IF(AM24&lt;AN24,TRUE),IF(AND(AN24="",AM24&lt;&gt;""),TRUE))</formula>
    </cfRule>
    <cfRule type="expression" dxfId="203" priority="297">
      <formula>IF(AM24&gt;=AN24,IF(AM24="",FALSE,TRUE))</formula>
    </cfRule>
  </conditionalFormatting>
  <conditionalFormatting sqref="AR24:AR25">
    <cfRule type="expression" dxfId="202" priority="294">
      <formula>OR(IF(AR24&lt;AS24,TRUE),IF(AND(AS24="",AR24&lt;&gt;""),TRUE))</formula>
    </cfRule>
    <cfRule type="expression" dxfId="201" priority="295">
      <formula>IF(AR24&gt;=AS24,IF(AR24="",FALSE,TRUE))</formula>
    </cfRule>
  </conditionalFormatting>
  <conditionalFormatting sqref="AT24:AT25">
    <cfRule type="expression" dxfId="200" priority="292">
      <formula>OR(IF(AT24&lt;AU24,TRUE),IF(AND(AU24="",AT24&lt;&gt;""),TRUE))</formula>
    </cfRule>
    <cfRule type="expression" dxfId="199" priority="293">
      <formula>IF(AT24&gt;=AU24,IF(AT24="",FALSE,TRUE))</formula>
    </cfRule>
  </conditionalFormatting>
  <conditionalFormatting sqref="BA24:BA25">
    <cfRule type="expression" dxfId="198" priority="288">
      <formula>OR(IF(BA24&lt;BB24,TRUE),IF(AND(BB24="",BA24&lt;&gt;""),TRUE))</formula>
    </cfRule>
    <cfRule type="expression" dxfId="197" priority="289">
      <formula>IF(BA24&gt;=BB24,IF(BA24="",FALSE,TRUE))</formula>
    </cfRule>
  </conditionalFormatting>
  <conditionalFormatting sqref="BF24:BF25">
    <cfRule type="expression" dxfId="196" priority="286">
      <formula>OR(IF(BF24&lt;BG24,TRUE),IF(AND(BG24="",BF24&lt;&gt;""),TRUE))</formula>
    </cfRule>
    <cfRule type="expression" dxfId="195" priority="287">
      <formula>IF(BF24&gt;=BG24,IF(BF24="",FALSE,TRUE))</formula>
    </cfRule>
  </conditionalFormatting>
  <conditionalFormatting sqref="BH24:BH25">
    <cfRule type="expression" dxfId="194" priority="284">
      <formula>OR(IF(BH24&lt;BI24,TRUE),IF(AND(BI24="",BH24&lt;&gt;""),TRUE))</formula>
    </cfRule>
    <cfRule type="expression" dxfId="193" priority="285">
      <formula>IF(BH24&gt;=BI24,IF(BH24="",FALSE,TRUE))</formula>
    </cfRule>
  </conditionalFormatting>
  <conditionalFormatting sqref="BM24:BM25">
    <cfRule type="expression" dxfId="192" priority="282">
      <formula>OR(IF(BM24&lt;BN24,TRUE),IF(AND(BN24="",BM24&lt;&gt;""),TRUE))</formula>
    </cfRule>
    <cfRule type="expression" dxfId="191" priority="283">
      <formula>IF(BM24&gt;=BN24,IF(BM24="",FALSE,TRUE))</formula>
    </cfRule>
  </conditionalFormatting>
  <conditionalFormatting sqref="BO24:BO25">
    <cfRule type="expression" dxfId="190" priority="280">
      <formula>OR(IF(BO24&lt;BP24,TRUE),IF(AND(BP24="",BO24&lt;&gt;""),TRUE))</formula>
    </cfRule>
    <cfRule type="expression" dxfId="189" priority="281">
      <formula>IF(BO24&gt;=BP24,IF(BO24="",FALSE,TRUE))</formula>
    </cfRule>
  </conditionalFormatting>
  <conditionalFormatting sqref="BT24:BT25">
    <cfRule type="expression" dxfId="188" priority="278">
      <formula>OR(IF(BT24&lt;BU24,TRUE),IF(AND(BU24="",BT24&lt;&gt;""),TRUE))</formula>
    </cfRule>
    <cfRule type="expression" dxfId="187" priority="279">
      <formula>IF(BT24&gt;=BU24,IF(BT24="",FALSE,TRUE))</formula>
    </cfRule>
  </conditionalFormatting>
  <conditionalFormatting sqref="BV24:BV25">
    <cfRule type="expression" dxfId="186" priority="276">
      <formula>OR(IF(BV24&lt;BW24,TRUE),IF(AND(BW24="",BV24&lt;&gt;""),TRUE))</formula>
    </cfRule>
    <cfRule type="expression" dxfId="185" priority="277">
      <formula>IF(BV24&gt;=BW24,IF(BV24="",FALSE,TRUE))</formula>
    </cfRule>
  </conditionalFormatting>
  <conditionalFormatting sqref="CA24:CA25">
    <cfRule type="expression" dxfId="184" priority="274">
      <formula>OR(IF(CA24&lt;CB24,TRUE),IF(AND(CB24="",CA24&lt;&gt;""),TRUE))</formula>
    </cfRule>
    <cfRule type="expression" dxfId="183" priority="275">
      <formula>IF(CA24&gt;=CB24,IF(CA24="",FALSE,TRUE))</formula>
    </cfRule>
  </conditionalFormatting>
  <conditionalFormatting sqref="CC24:CC25">
    <cfRule type="expression" dxfId="182" priority="272">
      <formula>OR(IF(CC24&lt;CD24,TRUE),IF(AND(CD24="",CC24&lt;&gt;""),TRUE))</formula>
    </cfRule>
    <cfRule type="expression" dxfId="181" priority="273">
      <formula>IF(CC24&gt;=CD24,IF(CC24="",FALSE,TRUE))</formula>
    </cfRule>
  </conditionalFormatting>
  <conditionalFormatting sqref="CH24:CH25">
    <cfRule type="expression" dxfId="180" priority="270">
      <formula>OR(IF(CH24&lt;CI24,TRUE),IF(AND(CI24="",CH24&lt;&gt;""),TRUE))</formula>
    </cfRule>
    <cfRule type="expression" dxfId="179" priority="271">
      <formula>IF(CH24&gt;=CI24,IF(CH24="",FALSE,TRUE))</formula>
    </cfRule>
  </conditionalFormatting>
  <conditionalFormatting sqref="CJ24:CJ25">
    <cfRule type="expression" dxfId="178" priority="268">
      <formula>OR(IF(CJ24&lt;CK24,TRUE),IF(AND(CK24="",CJ24&lt;&gt;""),TRUE))</formula>
    </cfRule>
    <cfRule type="expression" dxfId="177" priority="269">
      <formula>IF(CJ24&gt;=CK24,IF(CJ24="",FALSE,TRUE))</formula>
    </cfRule>
  </conditionalFormatting>
  <conditionalFormatting sqref="CO24:CO25">
    <cfRule type="expression" dxfId="176" priority="266">
      <formula>OR(IF(CO24&lt;CP24,TRUE),IF(AND(CP24="",CO24&lt;&gt;""),TRUE))</formula>
    </cfRule>
    <cfRule type="expression" dxfId="175" priority="267">
      <formula>IF(CO24&gt;=CP24,IF(CO24="",FALSE,TRUE))</formula>
    </cfRule>
  </conditionalFormatting>
  <conditionalFormatting sqref="CQ24:CQ25">
    <cfRule type="expression" dxfId="174" priority="264">
      <formula>OR(IF(CQ24&lt;CR24,TRUE),IF(AND(CR24="",CQ24&lt;&gt;""),TRUE))</formula>
    </cfRule>
    <cfRule type="expression" dxfId="173" priority="265">
      <formula>IF(CQ24&gt;=CR24,IF(CQ24="",FALSE,TRUE))</formula>
    </cfRule>
  </conditionalFormatting>
  <conditionalFormatting sqref="CV24:CV25">
    <cfRule type="expression" dxfId="172" priority="262">
      <formula>OR(IF(CV24&lt;CW24,TRUE),IF(AND(CW24="",CV24&lt;&gt;""),TRUE))</formula>
    </cfRule>
    <cfRule type="expression" dxfId="171" priority="263">
      <formula>IF(CV24&gt;=CW24,IF(CV24="",FALSE,TRUE))</formula>
    </cfRule>
  </conditionalFormatting>
  <conditionalFormatting sqref="CX24:CX25">
    <cfRule type="expression" dxfId="170" priority="260">
      <formula>OR(IF(CX24&lt;CY24,TRUE),IF(AND(CY24="",CX24&lt;&gt;""),TRUE))</formula>
    </cfRule>
    <cfRule type="expression" dxfId="169" priority="261">
      <formula>IF(CX24&gt;=CY24,IF(CX24="",FALSE,TRUE))</formula>
    </cfRule>
  </conditionalFormatting>
  <conditionalFormatting sqref="DC24:DC25">
    <cfRule type="expression" dxfId="168" priority="258">
      <formula>OR(IF(DC24&lt;DD24,TRUE),IF(AND(DD24="",DC24&lt;&gt;""),TRUE))</formula>
    </cfRule>
    <cfRule type="expression" dxfId="167" priority="259">
      <formula>IF(DC24&gt;=DD24,IF(DC24="",FALSE,TRUE))</formula>
    </cfRule>
  </conditionalFormatting>
  <conditionalFormatting sqref="DE24:DE25">
    <cfRule type="expression" dxfId="166" priority="256">
      <formula>OR(IF(DE24&lt;DF24,TRUE),IF(AND(DF24="",DE24&lt;&gt;""),TRUE))</formula>
    </cfRule>
    <cfRule type="expression" dxfId="165" priority="257">
      <formula>IF(DE24&gt;=DF24,IF(DE24="",FALSE,TRUE))</formula>
    </cfRule>
  </conditionalFormatting>
  <conditionalFormatting sqref="DJ24:DJ25">
    <cfRule type="expression" dxfId="164" priority="254">
      <formula>OR(IF(DJ24&lt;DK24,TRUE),IF(AND(DK24="",DJ24&lt;&gt;""),TRUE))</formula>
    </cfRule>
    <cfRule type="expression" dxfId="163" priority="255">
      <formula>IF(DJ24&gt;=DK24,IF(DJ24="",FALSE,TRUE))</formula>
    </cfRule>
  </conditionalFormatting>
  <conditionalFormatting sqref="DL24:DL25">
    <cfRule type="expression" dxfId="162" priority="252">
      <formula>OR(IF(DL24&lt;DM24,TRUE),IF(AND(DM24="",DL24&lt;&gt;""),TRUE))</formula>
    </cfRule>
    <cfRule type="expression" dxfId="161" priority="253">
      <formula>IF(DL24&gt;=DM24,IF(DL24="",FALSE,TRUE))</formula>
    </cfRule>
  </conditionalFormatting>
  <conditionalFormatting sqref="DQ24:DQ25">
    <cfRule type="expression" dxfId="160" priority="250">
      <formula>OR(IF(DQ24&lt;DR24,TRUE),IF(AND(DR24="",DQ24&lt;&gt;""),TRUE))</formula>
    </cfRule>
    <cfRule type="expression" dxfId="159" priority="251">
      <formula>IF(DQ24&gt;=DR24,IF(DQ24="",FALSE,TRUE))</formula>
    </cfRule>
  </conditionalFormatting>
  <conditionalFormatting sqref="DS24:DS25">
    <cfRule type="expression" dxfId="158" priority="248">
      <formula>OR(IF(DS24&lt;DT24,TRUE),IF(AND(DT24="",DS24&lt;&gt;""),TRUE))</formula>
    </cfRule>
    <cfRule type="expression" dxfId="157" priority="249">
      <formula>IF(DS24&gt;=DT24,IF(DS24="",FALSE,TRUE))</formula>
    </cfRule>
  </conditionalFormatting>
  <conditionalFormatting sqref="DX24:DX25">
    <cfRule type="expression" dxfId="156" priority="246">
      <formula>OR(IF(DX24&lt;DY24,TRUE),IF(AND(DY24="",DX24&lt;&gt;""),TRUE))</formula>
    </cfRule>
    <cfRule type="expression" dxfId="155" priority="247">
      <formula>IF(DX24&gt;=DY24,IF(DX24="",FALSE,TRUE))</formula>
    </cfRule>
  </conditionalFormatting>
  <conditionalFormatting sqref="DZ24:DZ25">
    <cfRule type="expression" dxfId="154" priority="244">
      <formula>OR(IF(DZ24&lt;EA24,TRUE),IF(AND(EA24="",DZ24&lt;&gt;""),TRUE))</formula>
    </cfRule>
    <cfRule type="expression" dxfId="153" priority="245">
      <formula>IF(DZ24&gt;=EA24,IF(DZ24="",FALSE,TRUE))</formula>
    </cfRule>
  </conditionalFormatting>
  <conditionalFormatting sqref="EE24:EE25">
    <cfRule type="expression" dxfId="152" priority="242">
      <formula>OR(IF(EE24&lt;EF24,TRUE),IF(AND(EF24="",EE24&lt;&gt;""),TRUE))</formula>
    </cfRule>
    <cfRule type="expression" dxfId="151" priority="243">
      <formula>IF(EE24&gt;=EF24,IF(EE24="",FALSE,TRUE))</formula>
    </cfRule>
  </conditionalFormatting>
  <conditionalFormatting sqref="EG24:EG25">
    <cfRule type="expression" dxfId="150" priority="240">
      <formula>OR(IF(EG24&lt;EH24,TRUE),IF(AND(EH24="",EG24&lt;&gt;""),TRUE))</formula>
    </cfRule>
    <cfRule type="expression" dxfId="149" priority="241">
      <formula>IF(EG24&gt;=EH24,IF(EG24="",FALSE,TRUE))</formula>
    </cfRule>
  </conditionalFormatting>
  <conditionalFormatting sqref="AY27:AY28">
    <cfRule type="expression" dxfId="148" priority="214">
      <formula>OR(IF(AY27&lt;AZ27,TRUE),IF(AND(AZ27="",AY27&lt;&gt;""),TRUE))</formula>
    </cfRule>
    <cfRule type="expression" dxfId="147" priority="215">
      <formula>IF(AY27&gt;=AZ27,IF(AY27="",FALSE,TRUE))</formula>
    </cfRule>
  </conditionalFormatting>
  <conditionalFormatting sqref="P27:P28">
    <cfRule type="expression" dxfId="146" priority="234">
      <formula>OR(IF(P27&lt;Q27,TRUE),IF(AND(Q27="",P27&lt;&gt;""),TRUE))</formula>
    </cfRule>
    <cfRule type="expression" dxfId="145" priority="235">
      <formula>IF(P27&gt;=Q27,IF(P27="",FALSE,TRUE))</formula>
    </cfRule>
  </conditionalFormatting>
  <conditionalFormatting sqref="R27:R28">
    <cfRule type="expression" dxfId="144" priority="232">
      <formula>OR(IF(R27&lt;S27,TRUE),IF(AND(S27="",R27&lt;&gt;""),TRUE))</formula>
    </cfRule>
    <cfRule type="expression" dxfId="143" priority="233">
      <formula>IF(R27&gt;=S27,IF(R27="",FALSE,TRUE))</formula>
    </cfRule>
  </conditionalFormatting>
  <conditionalFormatting sqref="W27:W28">
    <cfRule type="expression" dxfId="142" priority="230">
      <formula>OR(IF(W27&lt;X27,TRUE),IF(AND(X27="",W27&lt;&gt;""),TRUE))</formula>
    </cfRule>
    <cfRule type="expression" dxfId="141" priority="231">
      <formula>IF(W27&gt;=X27,IF(W27="",FALSE,TRUE))</formula>
    </cfRule>
  </conditionalFormatting>
  <conditionalFormatting sqref="Y27:Y28">
    <cfRule type="expression" dxfId="140" priority="228">
      <formula>OR(IF(Y27&lt;Z27,TRUE),IF(AND(Z27="",Y27&lt;&gt;""),TRUE))</formula>
    </cfRule>
    <cfRule type="expression" dxfId="139" priority="229">
      <formula>IF(Y27&gt;=Z27,IF(Y27="",FALSE,TRUE))</formula>
    </cfRule>
  </conditionalFormatting>
  <conditionalFormatting sqref="AD27:AD28">
    <cfRule type="expression" dxfId="138" priority="226">
      <formula>OR(IF(AD27&lt;AE27,TRUE),IF(AND(AE27="",AD27&lt;&gt;""),TRUE))</formula>
    </cfRule>
    <cfRule type="expression" dxfId="137" priority="227">
      <formula>IF(AD27&gt;=AE27,IF(AD27="",FALSE,TRUE))</formula>
    </cfRule>
  </conditionalFormatting>
  <conditionalFormatting sqref="AF27:AF28">
    <cfRule type="expression" dxfId="136" priority="224">
      <formula>OR(IF(AF27&lt;AG27,TRUE),IF(AND(AG27="",AF27&lt;&gt;""),TRUE))</formula>
    </cfRule>
    <cfRule type="expression" dxfId="135" priority="225">
      <formula>IF(AF27&gt;=AG27,IF(AF27="",FALSE,TRUE))</formula>
    </cfRule>
  </conditionalFormatting>
  <conditionalFormatting sqref="AM27:AM28">
    <cfRule type="expression" dxfId="134" priority="220">
      <formula>OR(IF(AM27&lt;AN27,TRUE),IF(AND(AN27="",AM27&lt;&gt;""),TRUE))</formula>
    </cfRule>
    <cfRule type="expression" dxfId="133" priority="221">
      <formula>IF(AM27&gt;=AN27,IF(AM27="",FALSE,TRUE))</formula>
    </cfRule>
  </conditionalFormatting>
  <conditionalFormatting sqref="AR27:AR28">
    <cfRule type="expression" dxfId="132" priority="218">
      <formula>OR(IF(AR27&lt;AS27,TRUE),IF(AND(AS27="",AR27&lt;&gt;""),TRUE))</formula>
    </cfRule>
    <cfRule type="expression" dxfId="131" priority="219">
      <formula>IF(AR27&gt;=AS27,IF(AR27="",FALSE,TRUE))</formula>
    </cfRule>
  </conditionalFormatting>
  <conditionalFormatting sqref="AT27:AT28">
    <cfRule type="expression" dxfId="130" priority="216">
      <formula>OR(IF(AT27&lt;AU27,TRUE),IF(AND(AU27="",AT27&lt;&gt;""),TRUE))</formula>
    </cfRule>
    <cfRule type="expression" dxfId="129" priority="217">
      <formula>IF(AT27&gt;=AU27,IF(AT27="",FALSE,TRUE))</formula>
    </cfRule>
  </conditionalFormatting>
  <conditionalFormatting sqref="BA27:BA28">
    <cfRule type="expression" dxfId="128" priority="212">
      <formula>OR(IF(BA27&lt;BB27,TRUE),IF(AND(BB27="",BA27&lt;&gt;""),TRUE))</formula>
    </cfRule>
    <cfRule type="expression" dxfId="127" priority="213">
      <formula>IF(BA27&gt;=BB27,IF(BA27="",FALSE,TRUE))</formula>
    </cfRule>
  </conditionalFormatting>
  <conditionalFormatting sqref="BF27:BF28">
    <cfRule type="expression" dxfId="126" priority="210">
      <formula>OR(IF(BF27&lt;BG27,TRUE),IF(AND(BG27="",BF27&lt;&gt;""),TRUE))</formula>
    </cfRule>
    <cfRule type="expression" dxfId="125" priority="211">
      <formula>IF(BF27&gt;=BG27,IF(BF27="",FALSE,TRUE))</formula>
    </cfRule>
  </conditionalFormatting>
  <conditionalFormatting sqref="BH27:BH28">
    <cfRule type="expression" dxfId="124" priority="208">
      <formula>OR(IF(BH27&lt;BI27,TRUE),IF(AND(BI27="",BH27&lt;&gt;""),TRUE))</formula>
    </cfRule>
    <cfRule type="expression" dxfId="123" priority="209">
      <formula>IF(BH27&gt;=BI27,IF(BH27="",FALSE,TRUE))</formula>
    </cfRule>
  </conditionalFormatting>
  <conditionalFormatting sqref="BM27:BM28">
    <cfRule type="expression" dxfId="122" priority="206">
      <formula>OR(IF(BM27&lt;BN27,TRUE),IF(AND(BN27="",BM27&lt;&gt;""),TRUE))</formula>
    </cfRule>
    <cfRule type="expression" dxfId="121" priority="207">
      <formula>IF(BM27&gt;=BN27,IF(BM27="",FALSE,TRUE))</formula>
    </cfRule>
  </conditionalFormatting>
  <conditionalFormatting sqref="BO27:BO28">
    <cfRule type="expression" dxfId="120" priority="204">
      <formula>OR(IF(BO27&lt;BP27,TRUE),IF(AND(BP27="",BO27&lt;&gt;""),TRUE))</formula>
    </cfRule>
    <cfRule type="expression" dxfId="119" priority="205">
      <formula>IF(BO27&gt;=BP27,IF(BO27="",FALSE,TRUE))</formula>
    </cfRule>
  </conditionalFormatting>
  <conditionalFormatting sqref="BT27:BT28">
    <cfRule type="expression" dxfId="118" priority="202">
      <formula>OR(IF(BT27&lt;BU27,TRUE),IF(AND(BU27="",BT27&lt;&gt;""),TRUE))</formula>
    </cfRule>
    <cfRule type="expression" dxfId="117" priority="203">
      <formula>IF(BT27&gt;=BU27,IF(BT27="",FALSE,TRUE))</formula>
    </cfRule>
  </conditionalFormatting>
  <conditionalFormatting sqref="BV27:BV28">
    <cfRule type="expression" dxfId="116" priority="200">
      <formula>OR(IF(BV27&lt;BW27,TRUE),IF(AND(BW27="",BV27&lt;&gt;""),TRUE))</formula>
    </cfRule>
    <cfRule type="expression" dxfId="115" priority="201">
      <formula>IF(BV27&gt;=BW27,IF(BV27="",FALSE,TRUE))</formula>
    </cfRule>
  </conditionalFormatting>
  <conditionalFormatting sqref="CA27:CA28">
    <cfRule type="expression" dxfId="114" priority="198">
      <formula>OR(IF(CA27&lt;CB27,TRUE),IF(AND(CB27="",CA27&lt;&gt;""),TRUE))</formula>
    </cfRule>
    <cfRule type="expression" dxfId="113" priority="199">
      <formula>IF(CA27&gt;=CB27,IF(CA27="",FALSE,TRUE))</formula>
    </cfRule>
  </conditionalFormatting>
  <conditionalFormatting sqref="CC27:CC28">
    <cfRule type="expression" dxfId="112" priority="196">
      <formula>OR(IF(CC27&lt;CD27,TRUE),IF(AND(CD27="",CC27&lt;&gt;""),TRUE))</formula>
    </cfRule>
    <cfRule type="expression" dxfId="111" priority="197">
      <formula>IF(CC27&gt;=CD27,IF(CC27="",FALSE,TRUE))</formula>
    </cfRule>
  </conditionalFormatting>
  <conditionalFormatting sqref="CH27:CH28">
    <cfRule type="expression" dxfId="110" priority="194">
      <formula>OR(IF(CH27&lt;CI27,TRUE),IF(AND(CI27="",CH27&lt;&gt;""),TRUE))</formula>
    </cfRule>
    <cfRule type="expression" dxfId="109" priority="195">
      <formula>IF(CH27&gt;=CI27,IF(CH27="",FALSE,TRUE))</formula>
    </cfRule>
  </conditionalFormatting>
  <conditionalFormatting sqref="CJ27:CJ28">
    <cfRule type="expression" dxfId="108" priority="192">
      <formula>OR(IF(CJ27&lt;CK27,TRUE),IF(AND(CK27="",CJ27&lt;&gt;""),TRUE))</formula>
    </cfRule>
    <cfRule type="expression" dxfId="107" priority="193">
      <formula>IF(CJ27&gt;=CK27,IF(CJ27="",FALSE,TRUE))</formula>
    </cfRule>
  </conditionalFormatting>
  <conditionalFormatting sqref="CO27:CO28">
    <cfRule type="expression" dxfId="106" priority="190">
      <formula>OR(IF(CO27&lt;CP27,TRUE),IF(AND(CP27="",CO27&lt;&gt;""),TRUE))</formula>
    </cfRule>
    <cfRule type="expression" dxfId="105" priority="191">
      <formula>IF(CO27&gt;=CP27,IF(CO27="",FALSE,TRUE))</formula>
    </cfRule>
  </conditionalFormatting>
  <conditionalFormatting sqref="CQ27:CQ28">
    <cfRule type="expression" dxfId="104" priority="188">
      <formula>OR(IF(CQ27&lt;CR27,TRUE),IF(AND(CR27="",CQ27&lt;&gt;""),TRUE))</formula>
    </cfRule>
    <cfRule type="expression" dxfId="103" priority="189">
      <formula>IF(CQ27&gt;=CR27,IF(CQ27="",FALSE,TRUE))</formula>
    </cfRule>
  </conditionalFormatting>
  <conditionalFormatting sqref="CV27:CV28">
    <cfRule type="expression" dxfId="102" priority="186">
      <formula>OR(IF(CV27&lt;CW27,TRUE),IF(AND(CW27="",CV27&lt;&gt;""),TRUE))</formula>
    </cfRule>
    <cfRule type="expression" dxfId="101" priority="187">
      <formula>IF(CV27&gt;=CW27,IF(CV27="",FALSE,TRUE))</formula>
    </cfRule>
  </conditionalFormatting>
  <conditionalFormatting sqref="CX27:CX28">
    <cfRule type="expression" dxfId="100" priority="184">
      <formula>OR(IF(CX27&lt;CY27,TRUE),IF(AND(CY27="",CX27&lt;&gt;""),TRUE))</formula>
    </cfRule>
    <cfRule type="expression" dxfId="99" priority="185">
      <formula>IF(CX27&gt;=CY27,IF(CX27="",FALSE,TRUE))</formula>
    </cfRule>
  </conditionalFormatting>
  <conditionalFormatting sqref="DC27:DC28">
    <cfRule type="expression" dxfId="98" priority="182">
      <formula>OR(IF(DC27&lt;DD27,TRUE),IF(AND(DD27="",DC27&lt;&gt;""),TRUE))</formula>
    </cfRule>
    <cfRule type="expression" dxfId="97" priority="183">
      <formula>IF(DC27&gt;=DD27,IF(DC27="",FALSE,TRUE))</formula>
    </cfRule>
  </conditionalFormatting>
  <conditionalFormatting sqref="DE27:DE28">
    <cfRule type="expression" dxfId="96" priority="180">
      <formula>OR(IF(DE27&lt;DF27,TRUE),IF(AND(DF27="",DE27&lt;&gt;""),TRUE))</formula>
    </cfRule>
    <cfRule type="expression" dxfId="95" priority="181">
      <formula>IF(DE27&gt;=DF27,IF(DE27="",FALSE,TRUE))</formula>
    </cfRule>
  </conditionalFormatting>
  <conditionalFormatting sqref="DJ27:DJ28">
    <cfRule type="expression" dxfId="94" priority="178">
      <formula>OR(IF(DJ27&lt;DK27,TRUE),IF(AND(DK27="",DJ27&lt;&gt;""),TRUE))</formula>
    </cfRule>
    <cfRule type="expression" dxfId="93" priority="179">
      <formula>IF(DJ27&gt;=DK27,IF(DJ27="",FALSE,TRUE))</formula>
    </cfRule>
  </conditionalFormatting>
  <conditionalFormatting sqref="DL27:DL28">
    <cfRule type="expression" dxfId="92" priority="176">
      <formula>OR(IF(DL27&lt;DM27,TRUE),IF(AND(DM27="",DL27&lt;&gt;""),TRUE))</formula>
    </cfRule>
    <cfRule type="expression" dxfId="91" priority="177">
      <formula>IF(DL27&gt;=DM27,IF(DL27="",FALSE,TRUE))</formula>
    </cfRule>
  </conditionalFormatting>
  <conditionalFormatting sqref="DQ27:DQ28">
    <cfRule type="expression" dxfId="90" priority="174">
      <formula>OR(IF(DQ27&lt;DR27,TRUE),IF(AND(DR27="",DQ27&lt;&gt;""),TRUE))</formula>
    </cfRule>
    <cfRule type="expression" dxfId="89" priority="175">
      <formula>IF(DQ27&gt;=DR27,IF(DQ27="",FALSE,TRUE))</formula>
    </cfRule>
  </conditionalFormatting>
  <conditionalFormatting sqref="DS27:DS28">
    <cfRule type="expression" dxfId="88" priority="172">
      <formula>OR(IF(DS27&lt;DT27,TRUE),IF(AND(DT27="",DS27&lt;&gt;""),TRUE))</formula>
    </cfRule>
    <cfRule type="expression" dxfId="87" priority="173">
      <formula>IF(DS27&gt;=DT27,IF(DS27="",FALSE,TRUE))</formula>
    </cfRule>
  </conditionalFormatting>
  <conditionalFormatting sqref="DX27:DX28">
    <cfRule type="expression" dxfId="86" priority="170">
      <formula>OR(IF(DX27&lt;DY27,TRUE),IF(AND(DY27="",DX27&lt;&gt;""),TRUE))</formula>
    </cfRule>
    <cfRule type="expression" dxfId="85" priority="171">
      <formula>IF(DX27&gt;=DY27,IF(DX27="",FALSE,TRUE))</formula>
    </cfRule>
  </conditionalFormatting>
  <conditionalFormatting sqref="DZ27:DZ28">
    <cfRule type="expression" dxfId="84" priority="168">
      <formula>OR(IF(DZ27&lt;EA27,TRUE),IF(AND(EA27="",DZ27&lt;&gt;""),TRUE))</formula>
    </cfRule>
    <cfRule type="expression" dxfId="83" priority="169">
      <formula>IF(DZ27&gt;=EA27,IF(DZ27="",FALSE,TRUE))</formula>
    </cfRule>
  </conditionalFormatting>
  <conditionalFormatting sqref="EE27:EE28">
    <cfRule type="expression" dxfId="82" priority="166">
      <formula>OR(IF(EE27&lt;EF27,TRUE),IF(AND(EF27="",EE27&lt;&gt;""),TRUE))</formula>
    </cfRule>
    <cfRule type="expression" dxfId="81" priority="167">
      <formula>IF(EE27&gt;=EF27,IF(EE27="",FALSE,TRUE))</formula>
    </cfRule>
  </conditionalFormatting>
  <conditionalFormatting sqref="EG27:EG28">
    <cfRule type="expression" dxfId="80" priority="164">
      <formula>OR(IF(EG27&lt;EH27,TRUE),IF(AND(EH27="",EG27&lt;&gt;""),TRUE))</formula>
    </cfRule>
    <cfRule type="expression" dxfId="79" priority="165">
      <formula>IF(EG27&gt;=EH27,IF(EG27="",FALSE,TRUE))</formula>
    </cfRule>
  </conditionalFormatting>
  <conditionalFormatting sqref="AY32:AY33">
    <cfRule type="expression" dxfId="78" priority="136">
      <formula>OR(IF(AY32&lt;AZ32,TRUE),IF(AND(AZ32="",AY32&lt;&gt;""),TRUE))</formula>
    </cfRule>
    <cfRule type="expression" dxfId="77" priority="137">
      <formula>IF(AY32&gt;=AZ32,IF(AY32="",FALSE,TRUE))</formula>
    </cfRule>
  </conditionalFormatting>
  <conditionalFormatting sqref="P32:P33">
    <cfRule type="expression" dxfId="76" priority="156">
      <formula>OR(IF(P32&lt;Q32,TRUE),IF(AND(Q32="",P32&lt;&gt;""),TRUE))</formula>
    </cfRule>
    <cfRule type="expression" dxfId="75" priority="157">
      <formula>IF(P32&gt;=Q32,IF(P32="",FALSE,TRUE))</formula>
    </cfRule>
  </conditionalFormatting>
  <conditionalFormatting sqref="R32:R33">
    <cfRule type="expression" dxfId="74" priority="154">
      <formula>OR(IF(R32&lt;S32,TRUE),IF(AND(S32="",R32&lt;&gt;""),TRUE))</formula>
    </cfRule>
    <cfRule type="expression" dxfId="73" priority="155">
      <formula>IF(R32&gt;=S32,IF(R32="",FALSE,TRUE))</formula>
    </cfRule>
  </conditionalFormatting>
  <conditionalFormatting sqref="W32:W33">
    <cfRule type="expression" dxfId="72" priority="152">
      <formula>OR(IF(W32&lt;X32,TRUE),IF(AND(X32="",W32&lt;&gt;""),TRUE))</formula>
    </cfRule>
    <cfRule type="expression" dxfId="71" priority="153">
      <formula>IF(W32&gt;=X32,IF(W32="",FALSE,TRUE))</formula>
    </cfRule>
  </conditionalFormatting>
  <conditionalFormatting sqref="Y32:Y33">
    <cfRule type="expression" dxfId="70" priority="150">
      <formula>OR(IF(Y32&lt;Z32,TRUE),IF(AND(Z32="",Y32&lt;&gt;""),TRUE))</formula>
    </cfRule>
    <cfRule type="expression" dxfId="69" priority="151">
      <formula>IF(Y32&gt;=Z32,IF(Y32="",FALSE,TRUE))</formula>
    </cfRule>
  </conditionalFormatting>
  <conditionalFormatting sqref="AD32:AD33">
    <cfRule type="expression" dxfId="68" priority="148">
      <formula>OR(IF(AD32&lt;AE32,TRUE),IF(AND(AE32="",AD32&lt;&gt;""),TRUE))</formula>
    </cfRule>
    <cfRule type="expression" dxfId="67" priority="149">
      <formula>IF(AD32&gt;=AE32,IF(AD32="",FALSE,TRUE))</formula>
    </cfRule>
  </conditionalFormatting>
  <conditionalFormatting sqref="AF32:AF33">
    <cfRule type="expression" dxfId="66" priority="146">
      <formula>OR(IF(AF32&lt;AG32,TRUE),IF(AND(AG32="",AF32&lt;&gt;""),TRUE))</formula>
    </cfRule>
    <cfRule type="expression" dxfId="65" priority="147">
      <formula>IF(AF32&gt;=AG32,IF(AF32="",FALSE,TRUE))</formula>
    </cfRule>
  </conditionalFormatting>
  <conditionalFormatting sqref="AM32:AM33">
    <cfRule type="expression" dxfId="64" priority="142">
      <formula>OR(IF(AM32&lt;AN32,TRUE),IF(AND(AN32="",AM32&lt;&gt;""),TRUE))</formula>
    </cfRule>
    <cfRule type="expression" dxfId="63" priority="143">
      <formula>IF(AM32&gt;=AN32,IF(AM32="",FALSE,TRUE))</formula>
    </cfRule>
  </conditionalFormatting>
  <conditionalFormatting sqref="AR32:AR33">
    <cfRule type="expression" dxfId="62" priority="140">
      <formula>OR(IF(AR32&lt;AS32,TRUE),IF(AND(AS32="",AR32&lt;&gt;""),TRUE))</formula>
    </cfRule>
    <cfRule type="expression" dxfId="61" priority="141">
      <formula>IF(AR32&gt;=AS32,IF(AR32="",FALSE,TRUE))</formula>
    </cfRule>
  </conditionalFormatting>
  <conditionalFormatting sqref="AT32:AT33">
    <cfRule type="expression" dxfId="60" priority="138">
      <formula>OR(IF(AT32&lt;AU32,TRUE),IF(AND(AU32="",AT32&lt;&gt;""),TRUE))</formula>
    </cfRule>
    <cfRule type="expression" dxfId="59" priority="139">
      <formula>IF(AT32&gt;=AU32,IF(AT32="",FALSE,TRUE))</formula>
    </cfRule>
  </conditionalFormatting>
  <conditionalFormatting sqref="BA32:BA33">
    <cfRule type="expression" dxfId="58" priority="134">
      <formula>OR(IF(BA32&lt;BB32,TRUE),IF(AND(BB32="",BA32&lt;&gt;""),TRUE))</formula>
    </cfRule>
    <cfRule type="expression" dxfId="57" priority="135">
      <formula>IF(BA32&gt;=BB32,IF(BA32="",FALSE,TRUE))</formula>
    </cfRule>
  </conditionalFormatting>
  <conditionalFormatting sqref="BF32:BF33">
    <cfRule type="expression" dxfId="56" priority="132">
      <formula>OR(IF(BF32&lt;BG32,TRUE),IF(AND(BG32="",BF32&lt;&gt;""),TRUE))</formula>
    </cfRule>
    <cfRule type="expression" dxfId="55" priority="133">
      <formula>IF(BF32&gt;=BG32,IF(BF32="",FALSE,TRUE))</formula>
    </cfRule>
  </conditionalFormatting>
  <conditionalFormatting sqref="BH32:BH33">
    <cfRule type="expression" dxfId="54" priority="130">
      <formula>OR(IF(BH32&lt;BI32,TRUE),IF(AND(BI32="",BH32&lt;&gt;""),TRUE))</formula>
    </cfRule>
    <cfRule type="expression" dxfId="53" priority="131">
      <formula>IF(BH32&gt;=BI32,IF(BH32="",FALSE,TRUE))</formula>
    </cfRule>
  </conditionalFormatting>
  <conditionalFormatting sqref="BM32:BM33">
    <cfRule type="expression" dxfId="52" priority="128">
      <formula>OR(IF(BM32&lt;BN32,TRUE),IF(AND(BN32="",BM32&lt;&gt;""),TRUE))</formula>
    </cfRule>
    <cfRule type="expression" dxfId="51" priority="129">
      <formula>IF(BM32&gt;=BN32,IF(BM32="",FALSE,TRUE))</formula>
    </cfRule>
  </conditionalFormatting>
  <conditionalFormatting sqref="BO32:BO33">
    <cfRule type="expression" dxfId="50" priority="126">
      <formula>OR(IF(BO32&lt;BP32,TRUE),IF(AND(BP32="",BO32&lt;&gt;""),TRUE))</formula>
    </cfRule>
    <cfRule type="expression" dxfId="49" priority="127">
      <formula>IF(BO32&gt;=BP32,IF(BO32="",FALSE,TRUE))</formula>
    </cfRule>
  </conditionalFormatting>
  <conditionalFormatting sqref="BT32:BT33">
    <cfRule type="expression" dxfId="48" priority="124">
      <formula>OR(IF(BT32&lt;BU32,TRUE),IF(AND(BU32="",BT32&lt;&gt;""),TRUE))</formula>
    </cfRule>
    <cfRule type="expression" dxfId="47" priority="125">
      <formula>IF(BT32&gt;=BU32,IF(BT32="",FALSE,TRUE))</formula>
    </cfRule>
  </conditionalFormatting>
  <conditionalFormatting sqref="BV32:BV33">
    <cfRule type="expression" dxfId="46" priority="122">
      <formula>OR(IF(BV32&lt;BW32,TRUE),IF(AND(BW32="",BV32&lt;&gt;""),TRUE))</formula>
    </cfRule>
    <cfRule type="expression" dxfId="45" priority="123">
      <formula>IF(BV32&gt;=BW32,IF(BV32="",FALSE,TRUE))</formula>
    </cfRule>
  </conditionalFormatting>
  <conditionalFormatting sqref="CA32:CA33">
    <cfRule type="expression" dxfId="44" priority="120">
      <formula>OR(IF(CA32&lt;CB32,TRUE),IF(AND(CB32="",CA32&lt;&gt;""),TRUE))</formula>
    </cfRule>
    <cfRule type="expression" dxfId="43" priority="121">
      <formula>IF(CA32&gt;=CB32,IF(CA32="",FALSE,TRUE))</formula>
    </cfRule>
  </conditionalFormatting>
  <conditionalFormatting sqref="CC32:CC33">
    <cfRule type="expression" dxfId="42" priority="118">
      <formula>OR(IF(CC32&lt;CD32,TRUE),IF(AND(CD32="",CC32&lt;&gt;""),TRUE))</formula>
    </cfRule>
    <cfRule type="expression" dxfId="41" priority="119">
      <formula>IF(CC32&gt;=CD32,IF(CC32="",FALSE,TRUE))</formula>
    </cfRule>
  </conditionalFormatting>
  <conditionalFormatting sqref="CH32:CH33">
    <cfRule type="expression" dxfId="40" priority="116">
      <formula>OR(IF(CH32&lt;CI32,TRUE),IF(AND(CI32="",CH32&lt;&gt;""),TRUE))</formula>
    </cfRule>
    <cfRule type="expression" dxfId="39" priority="117">
      <formula>IF(CH32&gt;=CI32,IF(CH32="",FALSE,TRUE))</formula>
    </cfRule>
  </conditionalFormatting>
  <conditionalFormatting sqref="CJ32:CJ33">
    <cfRule type="expression" dxfId="38" priority="114">
      <formula>OR(IF(CJ32&lt;CK32,TRUE),IF(AND(CK32="",CJ32&lt;&gt;""),TRUE))</formula>
    </cfRule>
    <cfRule type="expression" dxfId="37" priority="115">
      <formula>IF(CJ32&gt;=CK32,IF(CJ32="",FALSE,TRUE))</formula>
    </cfRule>
  </conditionalFormatting>
  <conditionalFormatting sqref="CO32:CO33">
    <cfRule type="expression" dxfId="36" priority="112">
      <formula>OR(IF(CO32&lt;CP32,TRUE),IF(AND(CP32="",CO32&lt;&gt;""),TRUE))</formula>
    </cfRule>
    <cfRule type="expression" dxfId="35" priority="113">
      <formula>IF(CO32&gt;=CP32,IF(CO32="",FALSE,TRUE))</formula>
    </cfRule>
  </conditionalFormatting>
  <conditionalFormatting sqref="CQ32:CQ33">
    <cfRule type="expression" dxfId="34" priority="110">
      <formula>OR(IF(CQ32&lt;CR32,TRUE),IF(AND(CR32="",CQ32&lt;&gt;""),TRUE))</formula>
    </cfRule>
    <cfRule type="expression" dxfId="33" priority="111">
      <formula>IF(CQ32&gt;=CR32,IF(CQ32="",FALSE,TRUE))</formula>
    </cfRule>
  </conditionalFormatting>
  <conditionalFormatting sqref="CV32:CV33">
    <cfRule type="expression" dxfId="32" priority="108">
      <formula>OR(IF(CV32&lt;CW32,TRUE),IF(AND(CW32="",CV32&lt;&gt;""),TRUE))</formula>
    </cfRule>
    <cfRule type="expression" dxfId="31" priority="109">
      <formula>IF(CV32&gt;=CW32,IF(CV32="",FALSE,TRUE))</formula>
    </cfRule>
  </conditionalFormatting>
  <conditionalFormatting sqref="CX32:CX33">
    <cfRule type="expression" dxfId="30" priority="106">
      <formula>OR(IF(CX32&lt;CY32,TRUE),IF(AND(CY32="",CX32&lt;&gt;""),TRUE))</formula>
    </cfRule>
    <cfRule type="expression" dxfId="29" priority="107">
      <formula>IF(CX32&gt;=CY32,IF(CX32="",FALSE,TRUE))</formula>
    </cfRule>
  </conditionalFormatting>
  <conditionalFormatting sqref="DC32:DC33">
    <cfRule type="expression" dxfId="28" priority="104">
      <formula>OR(IF(DC32&lt;DD32,TRUE),IF(AND(DD32="",DC32&lt;&gt;""),TRUE))</formula>
    </cfRule>
    <cfRule type="expression" dxfId="27" priority="105">
      <formula>IF(DC32&gt;=DD32,IF(DC32="",FALSE,TRUE))</formula>
    </cfRule>
  </conditionalFormatting>
  <conditionalFormatting sqref="DE32:DE33">
    <cfRule type="expression" dxfId="26" priority="102">
      <formula>OR(IF(DE32&lt;DF32,TRUE),IF(AND(DF32="",DE32&lt;&gt;""),TRUE))</formula>
    </cfRule>
    <cfRule type="expression" dxfId="25" priority="103">
      <formula>IF(DE32&gt;=DF32,IF(DE32="",FALSE,TRUE))</formula>
    </cfRule>
  </conditionalFormatting>
  <conditionalFormatting sqref="DJ32:DJ33">
    <cfRule type="expression" dxfId="24" priority="100">
      <formula>OR(IF(DJ32&lt;DK32,TRUE),IF(AND(DK32="",DJ32&lt;&gt;""),TRUE))</formula>
    </cfRule>
    <cfRule type="expression" dxfId="23" priority="101">
      <formula>IF(DJ32&gt;=DK32,IF(DJ32="",FALSE,TRUE))</formula>
    </cfRule>
  </conditionalFormatting>
  <conditionalFormatting sqref="DL32:DL33">
    <cfRule type="expression" dxfId="22" priority="98">
      <formula>OR(IF(DL32&lt;DM32,TRUE),IF(AND(DM32="",DL32&lt;&gt;""),TRUE))</formula>
    </cfRule>
    <cfRule type="expression" dxfId="21" priority="99">
      <formula>IF(DL32&gt;=DM32,IF(DL32="",FALSE,TRUE))</formula>
    </cfRule>
  </conditionalFormatting>
  <conditionalFormatting sqref="DQ32:DQ33">
    <cfRule type="expression" dxfId="20" priority="96">
      <formula>OR(IF(DQ32&lt;DR32,TRUE),IF(AND(DR32="",DQ32&lt;&gt;""),TRUE))</formula>
    </cfRule>
    <cfRule type="expression" dxfId="19" priority="97">
      <formula>IF(DQ32&gt;=DR32,IF(DQ32="",FALSE,TRUE))</formula>
    </cfRule>
  </conditionalFormatting>
  <conditionalFormatting sqref="DS32:DS33">
    <cfRule type="expression" dxfId="18" priority="94">
      <formula>OR(IF(DS32&lt;DT32,TRUE),IF(AND(DT32="",DS32&lt;&gt;""),TRUE))</formula>
    </cfRule>
    <cfRule type="expression" dxfId="17" priority="95">
      <formula>IF(DS32&gt;=DT32,IF(DS32="",FALSE,TRUE))</formula>
    </cfRule>
  </conditionalFormatting>
  <conditionalFormatting sqref="DX32:DX33">
    <cfRule type="expression" dxfId="16" priority="92">
      <formula>OR(IF(DX32&lt;DY32,TRUE),IF(AND(DY32="",DX32&lt;&gt;""),TRUE))</formula>
    </cfRule>
    <cfRule type="expression" dxfId="15" priority="93">
      <formula>IF(DX32&gt;=DY32,IF(DX32="",FALSE,TRUE))</formula>
    </cfRule>
  </conditionalFormatting>
  <conditionalFormatting sqref="DZ32:DZ33">
    <cfRule type="expression" dxfId="14" priority="90">
      <formula>OR(IF(DZ32&lt;EA32,TRUE),IF(AND(EA32="",DZ32&lt;&gt;""),TRUE))</formula>
    </cfRule>
    <cfRule type="expression" dxfId="13" priority="91">
      <formula>IF(DZ32&gt;=EA32,IF(DZ32="",FALSE,TRUE))</formula>
    </cfRule>
  </conditionalFormatting>
  <conditionalFormatting sqref="EE32:EE33">
    <cfRule type="expression" dxfId="12" priority="88">
      <formula>OR(IF(EE32&lt;EF32,TRUE),IF(AND(EF32="",EE32&lt;&gt;""),TRUE))</formula>
    </cfRule>
    <cfRule type="expression" dxfId="11" priority="89">
      <formula>IF(EE32&gt;=EF32,IF(EE32="",FALSE,TRUE))</formula>
    </cfRule>
  </conditionalFormatting>
  <conditionalFormatting sqref="EG32:EG33">
    <cfRule type="expression" dxfId="10" priority="86">
      <formula>OR(IF(EG32&lt;EH32,TRUE),IF(AND(EH32="",EG32&lt;&gt;""),TRUE))</formula>
    </cfRule>
    <cfRule type="expression" dxfId="9" priority="87">
      <formula>IF(EG32&gt;=EH32,IF(EG32="",FALSE,TRUE))</formula>
    </cfRule>
  </conditionalFormatting>
  <conditionalFormatting sqref="K17:K18 K20:K23 K25:K26 K28:K31 K33:K34 J36:K36">
    <cfRule type="colorScale" priority="5203">
      <colorScale>
        <cfvo type="percent" val="0"/>
        <cfvo type="percent" val="100"/>
        <color rgb="FFFF231B"/>
        <color rgb="FF10FF07"/>
      </colorScale>
    </cfRule>
  </conditionalFormatting>
  <conditionalFormatting sqref="J36">
    <cfRule type="colorScale" priority="5209">
      <colorScale>
        <cfvo type="percent" val="0"/>
        <cfvo type="percent" val="100"/>
        <color rgb="FFFF231B"/>
        <color rgb="FF10FF07"/>
      </colorScale>
    </cfRule>
  </conditionalFormatting>
  <conditionalFormatting sqref="K16:K36">
    <cfRule type="colorScale" priority="5210">
      <colorScale>
        <cfvo type="percent" val="0"/>
        <cfvo type="percent" val="100"/>
        <color rgb="FFFF231B"/>
        <color rgb="FF10FF07"/>
      </colorScale>
    </cfRule>
  </conditionalFormatting>
  <conditionalFormatting sqref="CH65">
    <cfRule type="expression" dxfId="8" priority="8">
      <formula>OR(IF(CH65&lt;CI64,TRUE),IF(AND(CI64="",CH65&lt;&gt;""),TRUE))</formula>
    </cfRule>
    <cfRule type="expression" dxfId="7" priority="9">
      <formula>IF(CH65&gt;=CI64,IF(CH65="",FALSE,TRUE))</formula>
    </cfRule>
  </conditionalFormatting>
  <conditionalFormatting sqref="CH71">
    <cfRule type="expression" dxfId="6" priority="6">
      <formula>OR(IF(CH71&lt;CI70,TRUE),IF(AND(CI70="",CH71&lt;&gt;""),TRUE))</formula>
    </cfRule>
    <cfRule type="expression" dxfId="5" priority="7">
      <formula>IF(CH71&gt;=CI70,IF(CH71="",FALSE,TRUE))</formula>
    </cfRule>
  </conditionalFormatting>
  <conditionalFormatting sqref="J7:K7">
    <cfRule type="colorScale" priority="2">
      <colorScale>
        <cfvo type="percent" val="0"/>
        <cfvo type="percent" val="100"/>
        <color rgb="FFFF231B"/>
        <color rgb="FF10FF07"/>
      </colorScale>
    </cfRule>
  </conditionalFormatting>
  <conditionalFormatting sqref="J9:K9">
    <cfRule type="colorScale" priority="1">
      <colorScale>
        <cfvo type="percent" val="0"/>
        <cfvo type="percent" val="100"/>
        <color rgb="FFFF231B"/>
        <color rgb="FF10FF07"/>
      </colorScale>
    </cfRule>
  </conditionalFormatting>
  <conditionalFormatting sqref="AK18:AK35">
    <cfRule type="expression" dxfId="4" priority="5882">
      <formula>OR(IF(AK18&lt;AL19,TRUE),IF(AND(AL19="",AK18&lt;&gt;""),TRUE))</formula>
    </cfRule>
    <cfRule type="expression" dxfId="3" priority="5883">
      <formula>IF(AK18&gt;=AL19,IF(AK18="",FALSE,TRUE))</formula>
    </cfRule>
  </conditionalFormatting>
  <conditionalFormatting sqref="J66:K70 J61:K64 J72:K80">
    <cfRule type="colorScale" priority="6040">
      <colorScale>
        <cfvo type="percent" val="0"/>
        <cfvo type="percent" val="100"/>
        <color rgb="FFFF231B"/>
        <color rgb="FF10FF07"/>
      </colorScale>
    </cfRule>
  </conditionalFormatting>
  <conditionalFormatting sqref="J60:J80">
    <cfRule type="colorScale" priority="6044">
      <colorScale>
        <cfvo type="percent" val="0"/>
        <cfvo type="percent" val="100"/>
        <color rgb="FFFF231B"/>
        <color rgb="FF10FF07"/>
      </colorScale>
    </cfRule>
  </conditionalFormatting>
  <conditionalFormatting sqref="K60:K80">
    <cfRule type="colorScale" priority="6046">
      <colorScale>
        <cfvo type="percent" val="0"/>
        <cfvo type="percent" val="100"/>
        <color rgb="FFFF231B"/>
        <color rgb="FF10FF07"/>
      </colorScale>
    </cfRule>
  </conditionalFormatting>
  <conditionalFormatting sqref="J10:K10 J6:K6 J12:K12">
    <cfRule type="colorScale" priority="6119">
      <colorScale>
        <cfvo type="percent" val="0"/>
        <cfvo type="percent" val="100"/>
        <color rgb="FFFF231B"/>
        <color rgb="FF10FF07"/>
      </colorScale>
    </cfRule>
  </conditionalFormatting>
  <conditionalFormatting sqref="J5:J14">
    <cfRule type="colorScale" priority="6141">
      <colorScale>
        <cfvo type="percent" val="0"/>
        <cfvo type="percent" val="100"/>
        <color rgb="FFFF231B"/>
        <color rgb="FF10FF07"/>
      </colorScale>
    </cfRule>
  </conditionalFormatting>
  <conditionalFormatting sqref="K5:K14">
    <cfRule type="colorScale" priority="6142">
      <colorScale>
        <cfvo type="percent" val="0"/>
        <cfvo type="percent" val="100"/>
        <color rgb="FFFF231B"/>
        <color rgb="FF10FF07"/>
      </colorScale>
    </cfRule>
  </conditionalFormatting>
  <dataValidations count="1">
    <dataValidation type="list" allowBlank="1" showInputMessage="1" showErrorMessage="1" sqref="DQ58:DT58 EE16:EH36 AG36 X26:X36 Z31:Z36 BV16:BV36 AZ36 CB36 AS36 DX58:EA58 EE58:EH58 DJ58:DM58 AK58:AN58 AD58:AG58 W58:Z58 P58:S58 BM58:BP58 BT58:BW58 CA58:CD58 CV58:CY58 DC58:DF58 CH58:CK58 DX16:EA36 DQ16:DT36 CJ16:CJ36 CH16:CH36 DJ16:DM36 DC16:DF36 P60:S80 CV16:CY36 BN36 BN82:BN89 BP82:BP89 CJ5:CJ14 CA5:CD14 P82:S101 W5:Z14 AD5:AG14 AR5:AU14 AY5:BB14 BF5:BI14 AK5:AN14 BT5:BW14 CV5:CY14 BM5:BP14 DC5:DF14 DJ5:DM14 CI5:CI13 CH5:CH14 DQ5:DT14 DX5:EA14 EE5:EH14 CD36 CA16:CA36 CC16:CC36 CD60:CD69 BW36 BU36 BT16:BT36 CD82:CD91 BM60:BP80 AK60:AN80 BP36 BM16:BM36 BO16:BO36 BF60:BI80 BB36 AY16:AY36 BA16:BA36 AU36 AR16:AR36 AT16:AT36 AN36 AL36 AM16:AM36 AK82:AN101 AD16:AD36 AF16:AF36 P38:S52 W16:W36 Y16:Y36 AE38:AE57 AK38:AK52 AK16:AK36 AM38:AM49 CO16:CR36 BO38:BO52 BM38:BM52 BP38:BP57 BV38:BV52 BT38:BT52 BU80 CH38:CK52 CI59:CI74 CO38:CR58 BU60:BU64 AE36 AN38:AN57 BB92:BB101 BF82:BI101 BO82:BO101 BU16:BU20 EE38:EH52 DX38:EA52 DQ38:DT52 DC38:DF52 CV38:CY52 W38:Z52 DJ38:DM52 CO60:CR80 EE60:EH80 DX60:EA80 DQ60:DT80 DJ60:DM80 DC60:DF80 CV60:CY80 W60:Z80 Q26:Q36 AS58 AS60:AS64 AZ92:AZ101 BG31:BG36 CD38:CD47 BV82:BV101 BN38:BN57 CJ82:CJ101 CH82:CH101 BB80 AD82:AG101 W82:Z101 CV82:CY101 DC82:DF101 DJ82:DM101 DQ82:DT101 DX82:EA101 EE82:EH101 AR82:AU101 AL38:AL57 AD60:AG80 BG53:BG58 CO82:CR101 BM82:BM101 CH60:CH80 CJ60:CJ80 CI80 CA38:CA52 CB38:CB47 CC38:CC52 CD80 CB60:CB69 CA60:CA80 CC60:CC80 CB80 BW38:BW57 CA82:CA101 CC82:CC101 BT82:BT101 BW80 BT60:BT80 BV60:BV80 CB82:CB91 BW82:BW86 BU82:BU86 BW60:BW64 BU38:BU57 BW16:BW20 BI31:BI36 BF16:BF36 BH16:BH36 BI53:BI58 BF38:BF58 BH38:BH58 BB53:BB58 AY38:AY58 BA38:BA58 AZ58 AY60:AY80 BA60:BA80 AZ80 AY82:AY101 BA82:BA101 AU58 AR38:AR58 AT38:AT58 AU80 AS80 AR60:AR80 AT60:AT80 AU60:AU64 AG38:AG57 AD38:AD52 AF38:AF52 S26:S36 P16:P36 R16:R36 CO5:CR14 CK5:CK13 P5:S1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22B6D-D629-A149-B9DB-4E9DEEE76F8A}">
  <dimension ref="A1"/>
  <sheetViews>
    <sheetView workbookViewId="0"/>
  </sheetViews>
  <sheetFormatPr baseColWidth="10" defaultRowHeight="16" x14ac:dyDescent="0.2"/>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9" workbookViewId="0">
      <selection activeCell="B21" sqref="B21"/>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33</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32</v>
      </c>
    </row>
    <row r="19" spans="2:2" ht="153" x14ac:dyDescent="0.2">
      <c r="B19" s="1" t="s">
        <v>34</v>
      </c>
    </row>
    <row r="21" spans="2:2" x14ac:dyDescent="0.2">
      <c r="B21" s="2" t="s">
        <v>244</v>
      </c>
    </row>
    <row r="22" spans="2:2" ht="136" x14ac:dyDescent="0.2">
      <c r="B22" s="1" t="s">
        <v>35</v>
      </c>
    </row>
    <row r="24" spans="2:2" x14ac:dyDescent="0.2">
      <c r="B24" s="2" t="s">
        <v>21</v>
      </c>
    </row>
    <row r="25" spans="2:2" ht="136" x14ac:dyDescent="0.2">
      <c r="B25" s="1"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N40"/>
  <sheetViews>
    <sheetView zoomScaleNormal="100" workbookViewId="0">
      <selection activeCell="D4" sqref="D4"/>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3" max="13" width="42" customWidth="1"/>
    <col min="14" max="14" width="28.5" customWidth="1"/>
  </cols>
  <sheetData>
    <row r="1" spans="1:14" ht="34" x14ac:dyDescent="0.2">
      <c r="A1" s="9" t="s">
        <v>39</v>
      </c>
      <c r="B1" s="15" t="s">
        <v>36</v>
      </c>
      <c r="C1" s="15" t="s">
        <v>37</v>
      </c>
      <c r="D1" s="15" t="s">
        <v>38</v>
      </c>
      <c r="E1" s="1" t="s">
        <v>40</v>
      </c>
      <c r="F1" s="1" t="s">
        <v>41</v>
      </c>
      <c r="G1" s="1" t="s">
        <v>42</v>
      </c>
      <c r="H1" s="1" t="s">
        <v>43</v>
      </c>
      <c r="I1" s="1" t="s">
        <v>44</v>
      </c>
      <c r="J1" s="1" t="s">
        <v>303</v>
      </c>
      <c r="K1" s="1" t="s">
        <v>304</v>
      </c>
      <c r="L1" s="1" t="s">
        <v>314</v>
      </c>
      <c r="M1" s="1" t="s">
        <v>45</v>
      </c>
      <c r="N1" s="1" t="s">
        <v>46</v>
      </c>
    </row>
    <row r="2" spans="1:14" x14ac:dyDescent="0.2">
      <c r="A2" s="14">
        <v>44124</v>
      </c>
      <c r="B2" s="9" t="s">
        <v>235</v>
      </c>
      <c r="C2" s="9" t="s">
        <v>235</v>
      </c>
      <c r="D2" s="9" t="s">
        <v>236</v>
      </c>
      <c r="E2" t="s">
        <v>273</v>
      </c>
      <c r="F2" t="s">
        <v>273</v>
      </c>
      <c r="G2" t="s">
        <v>273</v>
      </c>
      <c r="H2" t="s">
        <v>273</v>
      </c>
      <c r="I2" t="s">
        <v>273</v>
      </c>
      <c r="J2" t="s">
        <v>273</v>
      </c>
      <c r="K2" t="s">
        <v>273</v>
      </c>
      <c r="M2" t="s">
        <v>273</v>
      </c>
      <c r="N2" t="s">
        <v>283</v>
      </c>
    </row>
    <row r="3" spans="1:14" x14ac:dyDescent="0.2">
      <c r="A3" s="14">
        <v>44125</v>
      </c>
      <c r="B3" s="9" t="s">
        <v>271</v>
      </c>
      <c r="C3" s="9" t="s">
        <v>235</v>
      </c>
      <c r="D3" s="9" t="s">
        <v>275</v>
      </c>
      <c r="E3" t="s">
        <v>273</v>
      </c>
      <c r="F3" t="s">
        <v>273</v>
      </c>
      <c r="G3" t="s">
        <v>273</v>
      </c>
      <c r="H3" t="s">
        <v>273</v>
      </c>
      <c r="I3" t="s">
        <v>273</v>
      </c>
      <c r="J3" t="s">
        <v>273</v>
      </c>
      <c r="K3" t="s">
        <v>273</v>
      </c>
      <c r="M3" t="s">
        <v>274</v>
      </c>
      <c r="N3" t="s">
        <v>272</v>
      </c>
    </row>
    <row r="4" spans="1:14" x14ac:dyDescent="0.2">
      <c r="A4" s="14">
        <v>44126</v>
      </c>
      <c r="B4" s="9" t="s">
        <v>271</v>
      </c>
      <c r="C4" s="9" t="s">
        <v>235</v>
      </c>
      <c r="D4" s="9" t="s">
        <v>315</v>
      </c>
      <c r="E4" t="s">
        <v>273</v>
      </c>
      <c r="F4" t="s">
        <v>273</v>
      </c>
      <c r="G4" t="s">
        <v>273</v>
      </c>
      <c r="H4" t="s">
        <v>273</v>
      </c>
      <c r="I4" t="s">
        <v>273</v>
      </c>
      <c r="J4" t="s">
        <v>273</v>
      </c>
      <c r="K4" t="s">
        <v>273</v>
      </c>
      <c r="M4" t="s">
        <v>273</v>
      </c>
      <c r="N4" t="s">
        <v>273</v>
      </c>
    </row>
    <row r="5" spans="1:14" x14ac:dyDescent="0.2">
      <c r="A5" s="14">
        <v>44127</v>
      </c>
    </row>
    <row r="6" spans="1:14" x14ac:dyDescent="0.2">
      <c r="A6" s="14">
        <v>44128</v>
      </c>
    </row>
    <row r="7" spans="1:14" x14ac:dyDescent="0.2">
      <c r="A7" s="14">
        <v>44129</v>
      </c>
    </row>
    <row r="8" spans="1:14" x14ac:dyDescent="0.2">
      <c r="A8" s="14">
        <v>44130</v>
      </c>
    </row>
    <row r="9" spans="1:14" x14ac:dyDescent="0.2">
      <c r="A9" s="14">
        <v>44131</v>
      </c>
    </row>
    <row r="10" spans="1:14" x14ac:dyDescent="0.2">
      <c r="A10" s="14">
        <v>44132</v>
      </c>
    </row>
    <row r="11" spans="1:14" x14ac:dyDescent="0.2">
      <c r="A11" s="14">
        <v>44133</v>
      </c>
    </row>
    <row r="12" spans="1:14" x14ac:dyDescent="0.2">
      <c r="A12" s="14">
        <v>44134</v>
      </c>
    </row>
    <row r="13" spans="1:14" x14ac:dyDescent="0.2">
      <c r="A13" s="14">
        <v>44135</v>
      </c>
    </row>
    <row r="14" spans="1:14" x14ac:dyDescent="0.2">
      <c r="A14" s="14">
        <v>44136</v>
      </c>
    </row>
    <row r="15" spans="1:14" x14ac:dyDescent="0.2">
      <c r="A15" s="14">
        <v>44137</v>
      </c>
    </row>
    <row r="16" spans="1:14" x14ac:dyDescent="0.2">
      <c r="A16" s="14">
        <v>44138</v>
      </c>
    </row>
    <row r="17" spans="1:1" x14ac:dyDescent="0.2">
      <c r="A17" s="14">
        <v>44139</v>
      </c>
    </row>
    <row r="18" spans="1:1" x14ac:dyDescent="0.2">
      <c r="A18" s="14">
        <v>44140</v>
      </c>
    </row>
    <row r="19" spans="1:1" x14ac:dyDescent="0.2">
      <c r="A19" s="14">
        <v>44141</v>
      </c>
    </row>
    <row r="20" spans="1:1" x14ac:dyDescent="0.2">
      <c r="A20" s="14">
        <v>44142</v>
      </c>
    </row>
    <row r="21" spans="1:1" x14ac:dyDescent="0.2">
      <c r="A21" s="14">
        <v>44143</v>
      </c>
    </row>
    <row r="22" spans="1:1" x14ac:dyDescent="0.2">
      <c r="A22" s="14">
        <v>44144</v>
      </c>
    </row>
    <row r="23" spans="1:1" x14ac:dyDescent="0.2">
      <c r="A23" s="14">
        <v>44145</v>
      </c>
    </row>
    <row r="24" spans="1:1" x14ac:dyDescent="0.2">
      <c r="A24" s="14">
        <v>44146</v>
      </c>
    </row>
    <row r="25" spans="1:1" x14ac:dyDescent="0.2">
      <c r="A25" s="14">
        <v>44147</v>
      </c>
    </row>
    <row r="26" spans="1:1" x14ac:dyDescent="0.2">
      <c r="A26" s="14">
        <v>44148</v>
      </c>
    </row>
    <row r="27" spans="1:1" x14ac:dyDescent="0.2">
      <c r="A27" s="14">
        <v>44149</v>
      </c>
    </row>
    <row r="28" spans="1:1" x14ac:dyDescent="0.2">
      <c r="A28" s="14">
        <v>44150</v>
      </c>
    </row>
    <row r="29" spans="1:1" x14ac:dyDescent="0.2">
      <c r="A29" s="14">
        <v>44151</v>
      </c>
    </row>
    <row r="30" spans="1:1" x14ac:dyDescent="0.2">
      <c r="A30" s="14">
        <v>44152</v>
      </c>
    </row>
    <row r="31" spans="1:1" x14ac:dyDescent="0.2">
      <c r="A31" s="14">
        <v>44153</v>
      </c>
    </row>
    <row r="32" spans="1:1" x14ac:dyDescent="0.2">
      <c r="A32" s="14">
        <v>44154</v>
      </c>
    </row>
    <row r="33" spans="1:1" x14ac:dyDescent="0.2">
      <c r="A33" s="14">
        <v>44155</v>
      </c>
    </row>
    <row r="34" spans="1:1" x14ac:dyDescent="0.2">
      <c r="A34" s="14">
        <v>44156</v>
      </c>
    </row>
    <row r="35" spans="1:1" x14ac:dyDescent="0.2">
      <c r="A35" s="14">
        <v>44157</v>
      </c>
    </row>
    <row r="36" spans="1:1" x14ac:dyDescent="0.2">
      <c r="A36" s="14">
        <v>44158</v>
      </c>
    </row>
    <row r="37" spans="1:1" x14ac:dyDescent="0.2">
      <c r="A37" s="14">
        <v>44159</v>
      </c>
    </row>
    <row r="38" spans="1:1" x14ac:dyDescent="0.2">
      <c r="A38" s="14">
        <v>44160</v>
      </c>
    </row>
    <row r="39" spans="1:1" x14ac:dyDescent="0.2">
      <c r="A39" s="14">
        <v>44161</v>
      </c>
    </row>
    <row r="40" spans="1:1" x14ac:dyDescent="0.2">
      <c r="A40" s="14">
        <v>44162</v>
      </c>
    </row>
  </sheetData>
  <conditionalFormatting sqref="B2:C40">
    <cfRule type="cellIs" dxfId="2" priority="14" operator="equal">
      <formula>"Ja"</formula>
    </cfRule>
    <cfRule type="cellIs" dxfId="1" priority="15" operator="equal">
      <formula>"Nein"</formula>
    </cfRule>
  </conditionalFormatting>
  <conditionalFormatting sqref="B2:C40">
    <cfRule type="cellIs" dxfId="0" priority="4" operator="equal">
      <formula>"Ja"</formula>
    </cfRule>
  </conditionalFormatting>
  <dataValidations count="1">
    <dataValidation type="list" allowBlank="1" showInputMessage="1" showErrorMessage="1" sqref="B2:C40" xr:uid="{7FDD2772-70A7-4C43-8D43-0112E4DB6845}">
      <formula1>"Ja,Nein"</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E58"/>
  <sheetViews>
    <sheetView zoomScale="117" workbookViewId="0">
      <selection activeCell="A59" sqref="A59"/>
    </sheetView>
  </sheetViews>
  <sheetFormatPr baseColWidth="10" defaultColWidth="10.6640625" defaultRowHeight="16" x14ac:dyDescent="0.2"/>
  <sheetData>
    <row r="1" spans="1:4" ht="26" x14ac:dyDescent="0.3">
      <c r="B1" s="7" t="s">
        <v>24</v>
      </c>
    </row>
    <row r="2" spans="1:4" x14ac:dyDescent="0.2">
      <c r="B2" s="20" t="s">
        <v>234</v>
      </c>
    </row>
    <row r="4" spans="1:4" x14ac:dyDescent="0.2">
      <c r="B4" s="2" t="s">
        <v>7</v>
      </c>
      <c r="C4" s="2" t="s">
        <v>280</v>
      </c>
      <c r="D4" s="2" t="s">
        <v>281</v>
      </c>
    </row>
    <row r="5" spans="1:4" x14ac:dyDescent="0.2">
      <c r="A5" s="8">
        <v>0.35416666666666702</v>
      </c>
      <c r="B5" s="28" t="s">
        <v>179</v>
      </c>
      <c r="D5" s="31" t="s">
        <v>305</v>
      </c>
    </row>
    <row r="6" spans="1:4" x14ac:dyDescent="0.2">
      <c r="A6" s="8" t="s">
        <v>183</v>
      </c>
      <c r="B6" s="28" t="s">
        <v>180</v>
      </c>
      <c r="D6" t="s">
        <v>282</v>
      </c>
    </row>
    <row r="7" spans="1:4" x14ac:dyDescent="0.2">
      <c r="A7" s="8">
        <v>0.375</v>
      </c>
      <c r="B7" t="s">
        <v>181</v>
      </c>
      <c r="D7" s="32" t="s">
        <v>305</v>
      </c>
    </row>
    <row r="8" spans="1:4" x14ac:dyDescent="0.2">
      <c r="A8" s="8" t="s">
        <v>184</v>
      </c>
      <c r="B8" s="29" t="s">
        <v>203</v>
      </c>
      <c r="D8" s="32" t="s">
        <v>305</v>
      </c>
    </row>
    <row r="9" spans="1:4" x14ac:dyDescent="0.2">
      <c r="A9" s="8" t="s">
        <v>204</v>
      </c>
      <c r="B9" s="29" t="s">
        <v>201</v>
      </c>
      <c r="D9" s="32" t="s">
        <v>305</v>
      </c>
    </row>
    <row r="10" spans="1:4" x14ac:dyDescent="0.2">
      <c r="A10" s="8" t="s">
        <v>205</v>
      </c>
      <c r="B10" s="29" t="s">
        <v>202</v>
      </c>
      <c r="D10" s="32" t="s">
        <v>305</v>
      </c>
    </row>
    <row r="11" spans="1:4" x14ac:dyDescent="0.2">
      <c r="A11" s="8" t="s">
        <v>212</v>
      </c>
      <c r="B11" s="28" t="s">
        <v>208</v>
      </c>
      <c r="D11" s="32" t="s">
        <v>305</v>
      </c>
    </row>
    <row r="12" spans="1:4" x14ac:dyDescent="0.2">
      <c r="A12" s="8" t="s">
        <v>213</v>
      </c>
      <c r="B12" s="28" t="s">
        <v>206</v>
      </c>
      <c r="D12" s="20" t="s">
        <v>284</v>
      </c>
    </row>
    <row r="13" spans="1:4" x14ac:dyDescent="0.2">
      <c r="A13" s="8" t="s">
        <v>207</v>
      </c>
      <c r="B13" s="28" t="s">
        <v>233</v>
      </c>
      <c r="D13" s="32" t="s">
        <v>305</v>
      </c>
    </row>
    <row r="14" spans="1:4" x14ac:dyDescent="0.2">
      <c r="A14" s="8">
        <v>0.58333333333333404</v>
      </c>
      <c r="B14" s="28" t="s">
        <v>182</v>
      </c>
      <c r="D14" s="32" t="s">
        <v>305</v>
      </c>
    </row>
    <row r="15" spans="1:4" x14ac:dyDescent="0.2">
      <c r="A15" s="8" t="s">
        <v>230</v>
      </c>
      <c r="B15" s="28" t="s">
        <v>231</v>
      </c>
      <c r="D15" s="32" t="s">
        <v>305</v>
      </c>
    </row>
    <row r="16" spans="1:4" x14ac:dyDescent="0.2">
      <c r="A16" s="8" t="s">
        <v>185</v>
      </c>
      <c r="B16" t="s">
        <v>187</v>
      </c>
      <c r="D16" s="32" t="s">
        <v>305</v>
      </c>
    </row>
    <row r="17" spans="1:5" x14ac:dyDescent="0.2">
      <c r="A17" s="8" t="s">
        <v>189</v>
      </c>
      <c r="B17" s="29" t="s">
        <v>188</v>
      </c>
      <c r="D17" s="32" t="s">
        <v>305</v>
      </c>
    </row>
    <row r="18" spans="1:5" x14ac:dyDescent="0.2">
      <c r="A18" s="8" t="s">
        <v>190</v>
      </c>
      <c r="B18" s="29" t="s">
        <v>186</v>
      </c>
      <c r="D18" s="32" t="s">
        <v>305</v>
      </c>
    </row>
    <row r="19" spans="1:5" x14ac:dyDescent="0.2">
      <c r="A19" s="8" t="s">
        <v>192</v>
      </c>
      <c r="B19" s="29" t="s">
        <v>191</v>
      </c>
      <c r="D19" s="32" t="s">
        <v>305</v>
      </c>
    </row>
    <row r="20" spans="1:5" x14ac:dyDescent="0.2">
      <c r="A20" s="8" t="s">
        <v>193</v>
      </c>
      <c r="B20" s="29" t="s">
        <v>186</v>
      </c>
      <c r="D20" s="32" t="s">
        <v>305</v>
      </c>
    </row>
    <row r="21" spans="1:5" x14ac:dyDescent="0.2">
      <c r="A21" s="8" t="s">
        <v>194</v>
      </c>
      <c r="B21" s="29" t="s">
        <v>195</v>
      </c>
      <c r="D21" s="32" t="s">
        <v>305</v>
      </c>
    </row>
    <row r="22" spans="1:5" x14ac:dyDescent="0.2">
      <c r="A22" s="8" t="s">
        <v>196</v>
      </c>
      <c r="B22" s="29" t="s">
        <v>197</v>
      </c>
      <c r="D22" t="s">
        <v>285</v>
      </c>
    </row>
    <row r="23" spans="1:5" x14ac:dyDescent="0.2">
      <c r="A23" s="8">
        <v>0.77083333333333337</v>
      </c>
      <c r="B23" s="28" t="s">
        <v>198</v>
      </c>
      <c r="D23" t="s">
        <v>286</v>
      </c>
    </row>
    <row r="24" spans="1:5" x14ac:dyDescent="0.2">
      <c r="A24" s="8" t="s">
        <v>199</v>
      </c>
      <c r="B24" s="28" t="s">
        <v>200</v>
      </c>
      <c r="D24" t="s">
        <v>287</v>
      </c>
    </row>
    <row r="25" spans="1:5" x14ac:dyDescent="0.2">
      <c r="A25" s="8" t="s">
        <v>245</v>
      </c>
      <c r="B25" s="28" t="s">
        <v>238</v>
      </c>
      <c r="D25" s="32" t="s">
        <v>305</v>
      </c>
      <c r="E25" s="28"/>
    </row>
    <row r="26" spans="1:5" x14ac:dyDescent="0.2">
      <c r="A26" s="8">
        <v>1.0208333333333299</v>
      </c>
      <c r="B26" s="28" t="s">
        <v>246</v>
      </c>
      <c r="D26" s="32" t="s">
        <v>305</v>
      </c>
      <c r="E26" s="28"/>
    </row>
    <row r="27" spans="1:5" x14ac:dyDescent="0.2">
      <c r="A27" s="8"/>
      <c r="B27" s="28"/>
      <c r="E27" s="28"/>
    </row>
    <row r="29" spans="1:5" x14ac:dyDescent="0.2">
      <c r="B29" s="2" t="s">
        <v>240</v>
      </c>
      <c r="D29" s="2" t="s">
        <v>267</v>
      </c>
    </row>
    <row r="30" spans="1:5" x14ac:dyDescent="0.2">
      <c r="A30" s="8">
        <v>0.27083333333333331</v>
      </c>
      <c r="B30" s="19" t="s">
        <v>237</v>
      </c>
      <c r="D30" t="s">
        <v>269</v>
      </c>
    </row>
    <row r="31" spans="1:5" x14ac:dyDescent="0.2">
      <c r="A31" s="8">
        <v>0.28125</v>
      </c>
      <c r="B31" t="s">
        <v>239</v>
      </c>
      <c r="D31" t="s">
        <v>270</v>
      </c>
    </row>
    <row r="32" spans="1:5" x14ac:dyDescent="0.2">
      <c r="A32" s="8" t="s">
        <v>268</v>
      </c>
      <c r="B32" t="s">
        <v>248</v>
      </c>
      <c r="D32" s="32" t="s">
        <v>305</v>
      </c>
    </row>
    <row r="33" spans="1:4" x14ac:dyDescent="0.2">
      <c r="A33" t="s">
        <v>247</v>
      </c>
      <c r="B33" t="s">
        <v>241</v>
      </c>
      <c r="D33" s="20" t="s">
        <v>277</v>
      </c>
    </row>
    <row r="34" spans="1:4" x14ac:dyDescent="0.2">
      <c r="A34" t="s">
        <v>242</v>
      </c>
      <c r="B34" t="s">
        <v>243</v>
      </c>
      <c r="D34" s="32" t="s">
        <v>305</v>
      </c>
    </row>
    <row r="35" spans="1:4" x14ac:dyDescent="0.2">
      <c r="A35" s="8" t="s">
        <v>257</v>
      </c>
      <c r="B35" t="s">
        <v>258</v>
      </c>
      <c r="D35" s="32" t="s">
        <v>305</v>
      </c>
    </row>
    <row r="36" spans="1:4" x14ac:dyDescent="0.2">
      <c r="A36" s="8">
        <v>0.375</v>
      </c>
      <c r="B36" t="s">
        <v>259</v>
      </c>
      <c r="D36" s="32" t="s">
        <v>305</v>
      </c>
    </row>
    <row r="37" spans="1:4" x14ac:dyDescent="0.2">
      <c r="A37" s="8">
        <v>0.3923611111111111</v>
      </c>
      <c r="B37" t="s">
        <v>249</v>
      </c>
      <c r="D37" s="32" t="s">
        <v>305</v>
      </c>
    </row>
    <row r="38" spans="1:4" x14ac:dyDescent="0.2">
      <c r="A38" s="8" t="s">
        <v>250</v>
      </c>
      <c r="B38" t="s">
        <v>260</v>
      </c>
      <c r="D38" s="32" t="s">
        <v>305</v>
      </c>
    </row>
    <row r="39" spans="1:4" x14ac:dyDescent="0.2">
      <c r="A39" s="8" t="s">
        <v>252</v>
      </c>
      <c r="B39" t="s">
        <v>255</v>
      </c>
      <c r="D39" s="32" t="s">
        <v>305</v>
      </c>
    </row>
    <row r="40" spans="1:4" x14ac:dyDescent="0.2">
      <c r="A40" s="8" t="s">
        <v>261</v>
      </c>
      <c r="B40" t="s">
        <v>262</v>
      </c>
      <c r="D40" s="32" t="s">
        <v>305</v>
      </c>
    </row>
    <row r="41" spans="1:4" x14ac:dyDescent="0.2">
      <c r="A41" s="8" t="s">
        <v>263</v>
      </c>
      <c r="B41" t="s">
        <v>251</v>
      </c>
      <c r="D41" t="s">
        <v>278</v>
      </c>
    </row>
    <row r="42" spans="1:4" x14ac:dyDescent="0.2">
      <c r="A42" s="8" t="s">
        <v>253</v>
      </c>
      <c r="B42" t="s">
        <v>256</v>
      </c>
      <c r="D42" s="32" t="s">
        <v>305</v>
      </c>
    </row>
    <row r="43" spans="1:4" x14ac:dyDescent="0.2">
      <c r="A43" s="8" t="s">
        <v>254</v>
      </c>
      <c r="B43" t="s">
        <v>251</v>
      </c>
      <c r="D43" s="20" t="s">
        <v>276</v>
      </c>
    </row>
    <row r="45" spans="1:4" x14ac:dyDescent="0.2">
      <c r="A45" s="8"/>
      <c r="B45" s="28"/>
    </row>
    <row r="46" spans="1:4" x14ac:dyDescent="0.2">
      <c r="B46" s="2" t="s">
        <v>308</v>
      </c>
      <c r="D46" s="2" t="s">
        <v>267</v>
      </c>
    </row>
    <row r="47" spans="1:4" x14ac:dyDescent="0.2">
      <c r="A47" s="8">
        <v>0.41666666666666669</v>
      </c>
      <c r="B47" t="s">
        <v>279</v>
      </c>
      <c r="D47" s="32" t="s">
        <v>305</v>
      </c>
    </row>
    <row r="48" spans="1:4" x14ac:dyDescent="0.2">
      <c r="A48" t="s">
        <v>291</v>
      </c>
      <c r="B48" t="s">
        <v>290</v>
      </c>
      <c r="D48" s="32" t="s">
        <v>305</v>
      </c>
    </row>
    <row r="49" spans="1:4" x14ac:dyDescent="0.2">
      <c r="A49" t="s">
        <v>292</v>
      </c>
      <c r="B49" t="s">
        <v>295</v>
      </c>
      <c r="D49" s="32" t="s">
        <v>305</v>
      </c>
    </row>
    <row r="50" spans="1:4" x14ac:dyDescent="0.2">
      <c r="A50" t="s">
        <v>293</v>
      </c>
      <c r="B50" t="s">
        <v>251</v>
      </c>
      <c r="D50" s="30" t="s">
        <v>306</v>
      </c>
    </row>
    <row r="51" spans="1:4" x14ac:dyDescent="0.2">
      <c r="A51" t="s">
        <v>294</v>
      </c>
      <c r="B51" t="s">
        <v>312</v>
      </c>
      <c r="D51" s="20" t="s">
        <v>307</v>
      </c>
    </row>
    <row r="52" spans="1:4" x14ac:dyDescent="0.2">
      <c r="A52" t="s">
        <v>289</v>
      </c>
      <c r="B52" t="s">
        <v>288</v>
      </c>
      <c r="D52" s="32" t="s">
        <v>305</v>
      </c>
    </row>
    <row r="54" spans="1:4" x14ac:dyDescent="0.2">
      <c r="B54" s="2" t="s">
        <v>309</v>
      </c>
      <c r="D54" s="2" t="s">
        <v>12</v>
      </c>
    </row>
    <row r="55" spans="1:4" x14ac:dyDescent="0.2">
      <c r="A55" s="8">
        <v>0.41666666666666669</v>
      </c>
      <c r="B55" t="s">
        <v>237</v>
      </c>
    </row>
    <row r="56" spans="1:4" x14ac:dyDescent="0.2">
      <c r="A56" t="s">
        <v>310</v>
      </c>
      <c r="B56" t="s">
        <v>251</v>
      </c>
    </row>
    <row r="57" spans="1:4" x14ac:dyDescent="0.2">
      <c r="A57" s="8" t="s">
        <v>311</v>
      </c>
      <c r="B57" t="s">
        <v>312</v>
      </c>
    </row>
    <row r="58" spans="1:4" x14ac:dyDescent="0.2">
      <c r="A58" t="s">
        <v>313</v>
      </c>
    </row>
  </sheetData>
  <phoneticPr fontId="9" type="noConversion"/>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2" zoomScale="117" workbookViewId="0">
      <selection activeCell="C9" sqref="C9:C16"/>
    </sheetView>
  </sheetViews>
  <sheetFormatPr baseColWidth="10" defaultColWidth="10.6640625" defaultRowHeight="16" x14ac:dyDescent="0.2"/>
  <sheetData>
    <row r="1" spans="1:8" ht="26" x14ac:dyDescent="0.3">
      <c r="B1" s="7" t="s">
        <v>24</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Tabelle1</vt:lpstr>
      <vt:lpstr>Best-Practices</vt:lpstr>
      <vt:lpstr>COMMITTMENT</vt:lpstr>
      <vt:lpstr>Wochenplan KW 42</vt:lpstr>
      <vt:lpstr>Wochenplan KW 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Justus Gerlach</cp:lastModifiedBy>
  <dcterms:created xsi:type="dcterms:W3CDTF">2020-04-19T13:33:28Z</dcterms:created>
  <dcterms:modified xsi:type="dcterms:W3CDTF">2022-10-23T01:59:36Z</dcterms:modified>
</cp:coreProperties>
</file>