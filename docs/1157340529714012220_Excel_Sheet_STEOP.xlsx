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enkn\OneDrive\Dokumente\WU WiSo\Planung\"/>
    </mc:Choice>
  </mc:AlternateContent>
  <xr:revisionPtr revIDLastSave="0" documentId="8_{7581BDF9-9A99-43C4-89E4-D4877843ADA8}" xr6:coauthVersionLast="47" xr6:coauthVersionMax="47" xr10:uidLastSave="{00000000-0000-0000-0000-000000000000}"/>
  <bookViews>
    <workbookView xWindow="-98" yWindow="-98" windowWidth="21795" windowHeight="13875"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0" l="1"/>
  <c r="C11" i="10"/>
  <c r="C7" i="10"/>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7" i="7" a="1"/>
  <c r="K27" i="7" s="1"/>
  <c r="J27" i="7" a="1"/>
  <c r="J27" i="7" s="1"/>
  <c r="I27" i="7"/>
  <c r="K28" i="7" a="1"/>
  <c r="K28" i="7" s="1"/>
  <c r="J28" i="7" a="1"/>
  <c r="J28" i="7" s="1"/>
  <c r="I28" i="7"/>
  <c r="K26" i="7" a="1"/>
  <c r="K26" i="7" s="1"/>
  <c r="J26" i="7" a="1"/>
  <c r="J26" i="7" s="1"/>
  <c r="I26" i="7"/>
  <c r="J13" i="7" a="1"/>
  <c r="J13" i="7" s="1"/>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I12" i="7"/>
  <c r="J12" i="7" a="1"/>
  <c r="J12" i="7" s="1"/>
  <c r="K12" i="7" a="1"/>
  <c r="K12" i="7" s="1"/>
  <c r="I13" i="7"/>
  <c r="K13" i="7" a="1"/>
  <c r="K13" i="7" s="1"/>
  <c r="I14" i="7"/>
  <c r="J14" i="7" a="1"/>
  <c r="J14" i="7" s="1"/>
  <c r="K14" i="7" a="1"/>
  <c r="K14" i="7" s="1"/>
  <c r="I15" i="7"/>
  <c r="J15" i="7" a="1"/>
  <c r="J15" i="7" s="1"/>
  <c r="K15" i="7" a="1"/>
  <c r="K15" i="7" s="1"/>
  <c r="I16" i="7"/>
  <c r="J16" i="7" a="1"/>
  <c r="J16" i="7" s="1"/>
  <c r="K16" i="7" a="1"/>
  <c r="K16" i="7" s="1"/>
  <c r="I17" i="7"/>
  <c r="J17" i="7" a="1"/>
  <c r="J17" i="7" s="1"/>
  <c r="K17" i="7" a="1"/>
  <c r="K17" i="7" s="1"/>
  <c r="I11" i="7"/>
  <c r="J11" i="7" a="1"/>
  <c r="J11" i="7" s="1"/>
  <c r="K11" i="7" a="1"/>
  <c r="K11" i="7" s="1"/>
  <c r="DV4" i="7"/>
  <c r="DO4" i="7"/>
  <c r="DH4" i="7"/>
  <c r="DA4" i="7"/>
  <c r="CT4" i="7"/>
  <c r="CM4" i="7"/>
  <c r="CF4" i="7"/>
  <c r="BY4" i="7"/>
  <c r="BR4" i="7"/>
  <c r="BK4" i="7"/>
  <c r="K25" i="7" a="1"/>
  <c r="K25" i="7" s="1"/>
  <c r="J25" i="7" a="1"/>
  <c r="J25" i="7" s="1"/>
  <c r="K24" i="7" a="1"/>
  <c r="K24" i="7" s="1"/>
  <c r="J24" i="7" a="1"/>
  <c r="J24" i="7" s="1"/>
  <c r="K55" i="7" a="1"/>
  <c r="K55" i="7" s="1"/>
  <c r="J55" i="7" a="1"/>
  <c r="J55" i="7" s="1"/>
  <c r="K54" i="7" a="1"/>
  <c r="K54" i="7" s="1"/>
  <c r="J54" i="7" a="1"/>
  <c r="J54" i="7" s="1"/>
  <c r="K53" i="7" a="1"/>
  <c r="K53" i="7" s="1"/>
  <c r="J53" i="7" a="1"/>
  <c r="J53" i="7" s="1"/>
  <c r="K52" i="7" a="1"/>
  <c r="K52" i="7" s="1"/>
  <c r="J52" i="7" a="1"/>
  <c r="J52" i="7" s="1"/>
  <c r="K51" i="7" a="1"/>
  <c r="K51" i="7" s="1"/>
  <c r="J51" i="7" a="1"/>
  <c r="J51" i="7" s="1"/>
  <c r="K50" i="7" a="1"/>
  <c r="K50" i="7" s="1"/>
  <c r="J50" i="7" a="1"/>
  <c r="J50" i="7" s="1"/>
  <c r="K49" i="7" a="1"/>
  <c r="K49" i="7" s="1"/>
  <c r="J49" i="7" a="1"/>
  <c r="J49" i="7" s="1"/>
  <c r="K48" i="7" a="1"/>
  <c r="K48" i="7" s="1"/>
  <c r="J48" i="7" a="1"/>
  <c r="J48" i="7" s="1"/>
  <c r="K47" i="7" a="1"/>
  <c r="K47" i="7" s="1"/>
  <c r="J47" i="7" a="1"/>
  <c r="J47" i="7" s="1"/>
  <c r="K46" i="7" a="1"/>
  <c r="K46" i="7" s="1"/>
  <c r="J46" i="7" a="1"/>
  <c r="J46" i="7" s="1"/>
  <c r="K45" i="7" a="1"/>
  <c r="K45" i="7" s="1"/>
  <c r="J45" i="7" a="1"/>
  <c r="J45"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N4" i="7"/>
  <c r="G4" i="7"/>
  <c r="AP44" i="7"/>
  <c r="AI44" i="7"/>
  <c r="AB44" i="7"/>
  <c r="U44" i="7"/>
  <c r="I55" i="7"/>
  <c r="I54" i="7"/>
  <c r="I53" i="7"/>
  <c r="I52" i="7"/>
  <c r="I51" i="7"/>
  <c r="I50" i="7"/>
  <c r="I49" i="7"/>
  <c r="I48" i="7"/>
  <c r="I47" i="7"/>
  <c r="I46" i="7"/>
  <c r="I45" i="7"/>
  <c r="I25" i="7"/>
  <c r="I24" i="7"/>
  <c r="I6" i="7"/>
  <c r="I7" i="7"/>
  <c r="I8" i="7"/>
  <c r="I9" i="7"/>
  <c r="I10" i="7"/>
  <c r="I5" i="7"/>
  <c r="N44" i="7"/>
  <c r="G44" i="7"/>
  <c r="I44" i="7" l="1"/>
  <c r="J44" i="7"/>
  <c r="K4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<sst xmlns="http://schemas.openxmlformats.org/spreadsheetml/2006/main" count="365" uniqueCount="160">
  <si>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</si>
  <si>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</si>
  <si>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</si>
  <si>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</si>
  <si>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</si>
  <si>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</si>
  <si>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</si>
  <si>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</si>
  <si>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</si>
  <si>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</si>
  <si>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</si>
  <si>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</si>
  <si>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</si>
  <si>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</si>
  <si>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</si>
  <si>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</si>
  <si>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</si>
  <si>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</si>
  <si>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</si>
  <si>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</si>
  <si>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</si>
  <si>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</si>
  <si>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</si>
  <si>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</si>
  <si>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</si>
  <si>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</si>
  <si>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</si>
  <si>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</si>
  <si>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</si>
  <si>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</si>
  <si>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</si>
  <si>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</si>
  <si>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</si>
  <si>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</si>
  <si>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</si>
  <si>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</si>
  <si>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</si>
  <si>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</si>
  <si>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</si>
  <si>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</si>
  <si>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</si>
  <si>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</si>
  <si>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</si>
  <si>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</si>
  <si>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</si>
  <si>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</si>
  <si>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</si>
  <si>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</si>
  <si>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</si>
  <si>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</si>
  <si>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</si>
  <si>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</si>
  <si>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</si>
  <si>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</si>
  <si>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</si>
  <si>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</si>
  <si>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</si>
  <si>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</si>
  <si>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</si>
  <si>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</si>
  <si>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</si>
  <si>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</si>
  <si>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</si>
  <si>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</si>
  <si>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</si>
  <si>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</si>
  <si>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</si>
  <si>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</si>
  <si>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</si>
  <si>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</si>
  <si>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</si>
  <si>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</si>
  <si>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</si>
  <si>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</si>
  <si>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</si>
  <si>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</si>
  <si>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</si>
  <si>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</si>
  <si>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</si>
  <si>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</si>
  <si>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</si>
  <si>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</si>
  <si>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</si>
  <si>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</si>
  <si>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</si>
  <si>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</si>
  <si>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</si>
  <si>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</si>
  <si>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</si>
  <si>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</si>
  <si>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</si>
  <si>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</si>
  <si>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</si>
  <si>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</si>
  <si>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</si>
  <si>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</si>
  <si>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</si>
  <si>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BWL</t>
  </si>
  <si>
    <t>VWL</t>
  </si>
  <si>
    <t>EÖR</t>
  </si>
  <si>
    <t xml:space="preserve">27.11 - 02.12 </t>
  </si>
  <si>
    <t>27.01 - 02.02</t>
  </si>
  <si>
    <t>Semesterplan STEOP</t>
  </si>
  <si>
    <t>02.10.23 - 08.10.23</t>
  </si>
  <si>
    <t>09.10.23 - 15.10.23</t>
  </si>
  <si>
    <t>16.10.23 - 22.10.23</t>
  </si>
  <si>
    <t xml:space="preserve">23.10.23 - 29.10.23 </t>
  </si>
  <si>
    <t>30.10.23 - 05.11.23</t>
  </si>
  <si>
    <t>06.11.23 - 12-11.23</t>
  </si>
  <si>
    <t>13.11.23 - 19.11.23</t>
  </si>
  <si>
    <t>20.11.23 - 26.11.23 (letzte Woche vor Prüfungswoche)</t>
  </si>
  <si>
    <t xml:space="preserve">27.11.23 - 02.12.23 (Prüfungswoche) </t>
  </si>
  <si>
    <t>04.12.23 - 10.12.23</t>
  </si>
  <si>
    <t>11.12.23 - 17.12.23</t>
  </si>
  <si>
    <t xml:space="preserve">18.12.23 - 24.12.23  </t>
  </si>
  <si>
    <t xml:space="preserve">25.12.23 - 31.12.23 </t>
  </si>
  <si>
    <t xml:space="preserve">01.01.24 - 07.01.24 </t>
  </si>
  <si>
    <t>08.01.24 - 14.01.24</t>
  </si>
  <si>
    <t>22.01.24 - 28.01.24 (Prüfungswoche)</t>
  </si>
  <si>
    <t xml:space="preserve">15.01.24 - 21.01.24 (letzte Woche vor Prüfungswoche) </t>
  </si>
  <si>
    <t>DI</t>
  </si>
  <si>
    <t>BWL &amp; DI</t>
  </si>
  <si>
    <t>1) Was ist Betriebswirtschaft?</t>
  </si>
  <si>
    <t xml:space="preserve">2) Unternehmerische Perspektive Teil 1 </t>
  </si>
  <si>
    <t xml:space="preserve">3) Unternehmerische Perpsektive Teil 2 </t>
  </si>
  <si>
    <t xml:space="preserve">4) Strategische Perspektive Teil 1 </t>
  </si>
  <si>
    <t xml:space="preserve">6) Finanzwirtschaftliche Perspektive Teil 1 </t>
  </si>
  <si>
    <t>5) Strategische Perspektive Teil 2</t>
  </si>
  <si>
    <t>7) Finanzwirtschaftliche Perspektive Teil 2</t>
  </si>
  <si>
    <t xml:space="preserve">8) Kundenperspektive </t>
  </si>
  <si>
    <t xml:space="preserve">9) Produktperspektive </t>
  </si>
  <si>
    <t xml:space="preserve">BWL  </t>
  </si>
  <si>
    <t xml:space="preserve">10) Einführung in WINFO (Modul 1) </t>
  </si>
  <si>
    <t>11) Digitale Güter in der digitalen Ökonomie (Modul 1)</t>
  </si>
  <si>
    <t>12) Daten - Informationen - Wissen (Modul 1)</t>
  </si>
  <si>
    <t>13) Digitale Transformation (Modul 2)</t>
  </si>
  <si>
    <t>17) Daten (Modul 4)</t>
  </si>
  <si>
    <t>16) Geschäftsprozesse (Modul 3)</t>
  </si>
  <si>
    <t>15) Informationssysteme (Modul 3)</t>
  </si>
  <si>
    <t>14) Perspektive digitale Güter (Modul 2)</t>
  </si>
  <si>
    <t>18) Betriebliche Informatiosnsysteme (Modul 4)</t>
  </si>
  <si>
    <t xml:space="preserve">1) De Staatsgewalt &amp; Grundprinzipien (Modul 1 Innerstatliches Organisationsrecht) </t>
  </si>
  <si>
    <t>2) Gesetzgebung &amp; Vollziehung (Modul 1 Inerstaatliches Organisationsrecht)</t>
  </si>
  <si>
    <t>3) Was ist die EU &amp; Wie ist die Eu aufgebaut? (Modul 2 Organisationsrecht der EU)</t>
  </si>
  <si>
    <t>4) EU Rechtsquellen &amp; Flora Christioph... &amp; Kennzeichnende Eigenschaften des EU Rechts  (Modul 2 Organisationsrecht der EU)</t>
  </si>
  <si>
    <t>5) Grundrechte anhand der Erwerbsfreiheit &amp; Erhebung der Grundrechte (Modul 3 Grundrechte der Wirtschaft)</t>
  </si>
  <si>
    <t>6) Grundrechtsprüfung Erwerbsfreiheit &amp; VFGH  (Modul 3 Grundrechte der Wirtschaft)</t>
  </si>
  <si>
    <t>7) Grundrechte des Binnenmarktes &amp; Warenverkaufsfreiheit  (Modul 4 Binnenmarkt)</t>
  </si>
  <si>
    <t>8) Arbeitnehmerfreizügigkeit &amp; Niederlassungsfreiheit (Modul 4 Binnenmarkt)</t>
  </si>
  <si>
    <t>9) Dienstleistungsfreiheit &amp; Kapital und Zahlungsverkehrsfreiheit (Modul 4 Binnenmarkt)</t>
  </si>
  <si>
    <t>10) Einführung Hafner Gewerbe &amp; Näheres zum Hafner Gewerbe (Modul 5 Gewerbliches Berufsrecht)</t>
  </si>
  <si>
    <t>11) Flora &amp; Wozu und wen ermächtigen Gewerbeberechtigungen (Modul 5 Gewerbliches Berufsrecht)</t>
  </si>
  <si>
    <t>12) Betriebsanlagerecht &amp; Das Genehmigungsverfahren (Modul 6 Betriebsanlagerecht, Baurecht &amp; Verwaltungsverfahren)</t>
  </si>
  <si>
    <t>13) Der Bescheid (Modul 6 Betriebsanlagerecht, Baurecht &amp; Verwaltungsverfahren)</t>
  </si>
  <si>
    <t>14) Baurecht (Modul 6 Betriebsanlagerecht, Baurecht &amp; Verwaltungsverfahren)</t>
  </si>
  <si>
    <t>15) Betrieb der Anlage während anhängiger Beschwerdeverfahren (Modul 6 Betriebsanlagerecht, Baurecht &amp; Verwaltungsverfahren)</t>
  </si>
  <si>
    <t>16) 1. Verfahrensrecht &amp; materielles Recht (Modul 7 Verwaltungsverfahren &amp; Rationaler Rechtsschutz)</t>
  </si>
  <si>
    <t>17) 2. Verfahren von der Verwaltungsbehörde (Modul 7 Verwaltungsverfahren &amp; Rationaler Rechtsschutz)</t>
  </si>
  <si>
    <t>18) 3. Rechtsschutz (Modul 7 Verwaltungsverfahren &amp; Rationaler Rechtsschutz)</t>
  </si>
  <si>
    <t>19) 4. Rechtsmittelverfahren Verfahren vor den Gerichtshöfen öffentlichen Rechts (Modul 7 Verwaltungsverfahren &amp; Rationaler Rechtsschutz)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</si>
</sst>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14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2">
  <autoFilter ref="A1:K46" xr:uid="{6E266E34-2786-2747-BCE7-51B74867A564}"/>
  <tableColumns count="11">
    <tableColumn id="1" xr3:uid="{95FD92F7-3DC8-704D-A103-A7EDDAB255AB}" name="Datum" dataDxfId="141"/>
    <tableColumn id="2" xr3:uid="{F464D510-8166-E740-A343-FB84BDEF877F}" name="Lerneinheiten durchgezogen" dataDxfId="140"/>
    <tableColumn id="3" xr3:uid="{75F52B08-1A00-0848-BBE6-1EDF7B31B1AD}" name="Tagesplan erstellt" dataDxfId="139"/>
    <tableColumn id="4" xr3:uid="{E6B18D89-E799-AD48-9DAA-37AEE1D29011}" name="Konzentrationslevel" dataDxfId="1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zoomScale="68" workbookViewId="0">
      <selection activeCell="C12" sqref="C12"/>
    </sheetView>
  </sheetViews>
  <sheetFormatPr baseColWidth="10" defaultRowHeight="15.75"/>
  <cols>
    <col min="1" max="1" width="11.8125" customWidth="1"/>
    <col min="2" max="2" width="62.6875" customWidth="1"/>
  </cols>
  <sheetData>
    <row r="2" spans="1:4">
      <c r="C2" s="18" t="s">
        <v>81</v>
      </c>
    </row>
    <row r="3" spans="1:4">
      <c r="C3" s="17" t="s">
        <v>66</v>
      </c>
    </row>
    <row r="4" spans="1:4">
      <c r="C4" s="16" t="s">
        <v>80</v>
      </c>
    </row>
    <row r="5" spans="1:4">
      <c r="A5" s="2" t="s">
        <v>63</v>
      </c>
      <c r="B5" s="2" t="s">
        <v>64</v>
      </c>
      <c r="C5" s="2" t="s">
        <v>65</v>
      </c>
      <c r="D5" s="2" t="s">
        <v>67</v>
      </c>
    </row>
    <row r="6" spans="1:4">
      <c r="A6" t="s">
        <v>59</v>
      </c>
      <c r="B6" s="18" t="s">
        <v>62</v>
      </c>
      <c r="D6" t="s">
        <v>96</v>
      </c>
    </row>
    <row r="7" spans="1:4">
      <c r="A7" t="s">
        <v>70</v>
      </c>
      <c r="B7" t="s">
        <v>71</v>
      </c>
      <c r="C7" s="16">
        <f xml:space="preserve"> 18 + 19</f>
        <v>37</v>
      </c>
    </row>
    <row r="8" spans="1:4">
      <c r="A8" t="s">
        <v>61</v>
      </c>
      <c r="B8" s="18" t="s">
        <v>60</v>
      </c>
      <c r="D8" t="s">
        <v>84</v>
      </c>
    </row>
    <row r="9" spans="1:4">
      <c r="A9" t="s">
        <v>69</v>
      </c>
      <c r="B9" s="18" t="s">
        <v>82</v>
      </c>
      <c r="D9" t="s">
        <v>85</v>
      </c>
    </row>
    <row r="10" spans="1:4">
      <c r="A10" t="s">
        <v>73</v>
      </c>
      <c r="B10" t="s">
        <v>72</v>
      </c>
      <c r="C10" s="16">
        <v>6</v>
      </c>
      <c r="D10" t="s">
        <v>68</v>
      </c>
    </row>
    <row r="11" spans="1:4">
      <c r="A11" t="s">
        <v>74</v>
      </c>
      <c r="B11" t="s">
        <v>76</v>
      </c>
      <c r="C11" s="16">
        <f xml:space="preserve"> 37 * 3</f>
        <v>111</v>
      </c>
      <c r="D11" t="s">
        <v>75</v>
      </c>
    </row>
    <row r="12" spans="1:4">
      <c r="A12" t="s">
        <v>78</v>
      </c>
      <c r="B12" t="s">
        <v>77</v>
      </c>
      <c r="C12" s="17">
        <f>C11/C10</f>
        <v>18.5</v>
      </c>
    </row>
    <row r="13" spans="1:4">
      <c r="A13" t="s">
        <v>83</v>
      </c>
      <c r="B13" t="s">
        <v>79</v>
      </c>
      <c r="D13" t="s">
        <v>86</v>
      </c>
    </row>
    <row r="14" spans="1:4">
      <c r="A14" t="s">
        <v>87</v>
      </c>
      <c r="B14" t="s">
        <v>88</v>
      </c>
      <c r="D14" t="s">
        <v>89</v>
      </c>
    </row>
    <row r="15" spans="1:4">
      <c r="A15" t="s">
        <v>90</v>
      </c>
      <c r="B15" s="18" t="s">
        <v>91</v>
      </c>
    </row>
    <row r="16" spans="1:4">
      <c r="A16" t="s">
        <v>94</v>
      </c>
      <c r="B16" s="18" t="s">
        <v>92</v>
      </c>
    </row>
    <row r="17" spans="1:2">
      <c r="A17" t="s">
        <v>95</v>
      </c>
      <c r="B17" t="s">
        <v>93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A55"/>
  <sheetViews>
    <sheetView showGridLines="0" topLeftCell="A20" zoomScale="84" zoomScaleNormal="84" workbookViewId="0">
      <pane xSplit="12" topLeftCell="M1" activePane="topRight" state="frozen"/>
      <selection pane="topRight" activeCell="K5" sqref="K5"/>
    </sheetView>
  </sheetViews>
  <sheetFormatPr baseColWidth="10" defaultColWidth="8.8125" defaultRowHeight="15.75" outlineLevelRow="1"/>
  <cols>
    <col min="3" max="3" width="9.5" bestFit="1" customWidth="1"/>
    <col min="4" max="4" width="13" bestFit="1" customWidth="1"/>
    <col min="5" max="5" width="4.8125" bestFit="1" customWidth="1"/>
    <col min="6" max="6" width="41.1875" bestFit="1" customWidth="1"/>
    <col min="7" max="7" width="15.5" bestFit="1" customWidth="1"/>
    <col min="8" max="8" width="2.5" customWidth="1"/>
    <col min="10" max="10" width="12.5" bestFit="1" customWidth="1"/>
    <col min="11" max="11" width="14.8125" bestFit="1" customWidth="1"/>
    <col min="12" max="12" width="12.6875" bestFit="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7" max="57" width="12.5" bestFit="1" customWidth="1"/>
    <col min="58" max="58" width="6.3125" customWidth="1"/>
    <col min="59" max="59" width="14.8125" bestFit="1" customWidth="1"/>
    <col min="60" max="60" width="6" customWidth="1"/>
    <col min="61" max="61" width="12.6875" bestFit="1" customWidth="1"/>
    <col min="62" max="62" width="2.5" customWidth="1"/>
    <col min="64" max="64" width="12.5" bestFit="1" customWidth="1"/>
    <col min="65" max="65" width="6.3125" customWidth="1"/>
    <col min="66" max="66" width="14.8125" bestFit="1" customWidth="1"/>
    <col min="67" max="67" width="6" customWidth="1"/>
    <col min="68" max="68" width="12.6875" bestFit="1" customWidth="1"/>
    <col min="69" max="69" width="2.5" customWidth="1"/>
    <col min="71" max="71" width="12.5" bestFit="1" customWidth="1"/>
    <col min="72" max="72" width="6.3125" customWidth="1"/>
    <col min="73" max="73" width="14.8125" bestFit="1" customWidth="1"/>
    <col min="74" max="74" width="6" customWidth="1"/>
    <col min="75" max="75" width="12.6875" bestFit="1" customWidth="1"/>
    <col min="76" max="76" width="2.5" customWidth="1"/>
    <col min="78" max="78" width="12.5" bestFit="1" customWidth="1"/>
    <col min="79" max="79" width="6.3125" customWidth="1"/>
    <col min="80" max="80" width="14.8125" bestFit="1" customWidth="1"/>
    <col min="81" max="81" width="6" customWidth="1"/>
    <col min="82" max="82" width="12.6875" bestFit="1" customWidth="1"/>
    <col min="83" max="83" width="2.5" customWidth="1"/>
    <col min="85" max="85" width="12.5" bestFit="1" customWidth="1"/>
    <col min="86" max="86" width="6.3125" customWidth="1"/>
    <col min="87" max="87" width="14.8125" bestFit="1" customWidth="1"/>
    <col min="88" max="88" width="6" customWidth="1"/>
    <col min="89" max="89" width="12.6875" bestFit="1" customWidth="1"/>
    <col min="90" max="90" width="2.5" customWidth="1"/>
    <col min="92" max="92" width="12.5" bestFit="1" customWidth="1"/>
    <col min="93" max="93" width="6.3125" customWidth="1"/>
    <col min="94" max="94" width="14.8125" bestFit="1" customWidth="1"/>
    <col min="95" max="95" width="6" customWidth="1"/>
    <col min="96" max="96" width="12.6875" bestFit="1" customWidth="1"/>
    <col min="97" max="97" width="2.5" customWidth="1"/>
    <col min="99" max="99" width="12.5" bestFit="1" customWidth="1"/>
    <col min="100" max="100" width="6.3125" customWidth="1"/>
    <col min="101" max="101" width="14.8125" bestFit="1" customWidth="1"/>
    <col min="102" max="102" width="6" customWidth="1"/>
    <col min="103" max="103" width="12.6875" bestFit="1" customWidth="1"/>
    <col min="104" max="104" width="2.5" customWidth="1"/>
    <col min="106" max="106" width="12.5" bestFit="1" customWidth="1"/>
    <col min="107" max="107" width="6.3125" customWidth="1"/>
    <col min="108" max="108" width="14.8125" bestFit="1" customWidth="1"/>
    <col min="109" max="109" width="6" customWidth="1"/>
    <col min="110" max="110" width="12.6875" bestFit="1" customWidth="1"/>
    <col min="113" max="113" width="12.5" bestFit="1" customWidth="1"/>
    <col min="114" max="114" width="6.3125" customWidth="1"/>
    <col min="115" max="115" width="14.8125" bestFit="1" customWidth="1"/>
    <col min="116" max="116" width="6" customWidth="1"/>
    <col min="117" max="117" width="12.6875" bestFit="1" customWidth="1"/>
    <col min="120" max="120" width="12.5" bestFit="1" customWidth="1"/>
    <col min="121" max="121" width="6.3125" customWidth="1"/>
    <col min="122" max="122" width="14.8125" bestFit="1" customWidth="1"/>
    <col min="123" max="123" width="6" customWidth="1"/>
    <col min="124" max="124" width="12.6875" bestFit="1" customWidth="1"/>
    <col min="127" max="127" width="12.5" bestFit="1" customWidth="1"/>
    <col min="128" max="128" width="6.3125" customWidth="1"/>
    <col min="129" max="129" width="14.8125" bestFit="1" customWidth="1"/>
    <col min="130" max="130" width="6" customWidth="1"/>
    <col min="131" max="131" width="12.6875" bestFit="1" customWidth="1"/>
  </cols>
  <sheetData>
    <row r="1" spans="2:131" ht="33.4">
      <c r="B1" s="4" t="s">
        <v>102</v>
      </c>
      <c r="D1" s="4"/>
      <c r="G1" s="13" t="s">
        <v>43</v>
      </c>
      <c r="I1" s="13" t="s">
        <v>43</v>
      </c>
      <c r="J1" s="13" t="s">
        <v>43</v>
      </c>
      <c r="K1" s="13" t="s">
        <v>43</v>
      </c>
    </row>
    <row r="2" spans="2:131">
      <c r="I2" s="20" t="s">
        <v>26</v>
      </c>
      <c r="J2" s="20"/>
      <c r="K2" s="20"/>
      <c r="L2" s="20"/>
      <c r="N2" s="20" t="s">
        <v>103</v>
      </c>
      <c r="O2" s="20"/>
      <c r="P2" s="20"/>
      <c r="Q2" s="20"/>
      <c r="R2" s="20"/>
      <c r="S2" s="20"/>
      <c r="U2" s="20" t="s">
        <v>104</v>
      </c>
      <c r="V2" s="20"/>
      <c r="W2" s="20"/>
      <c r="X2" s="20"/>
      <c r="Y2" s="20"/>
      <c r="Z2" s="20"/>
      <c r="AB2" s="20" t="s">
        <v>105</v>
      </c>
      <c r="AC2" s="20"/>
      <c r="AD2" s="20"/>
      <c r="AE2" s="20"/>
      <c r="AF2" s="20"/>
      <c r="AG2" s="20"/>
      <c r="AI2" s="20" t="s">
        <v>106</v>
      </c>
      <c r="AJ2" s="20"/>
      <c r="AK2" s="20"/>
      <c r="AL2" s="20"/>
      <c r="AM2" s="20"/>
      <c r="AN2" s="20"/>
      <c r="AP2" s="20" t="s">
        <v>107</v>
      </c>
      <c r="AQ2" s="20"/>
      <c r="AR2" s="20"/>
      <c r="AS2" s="20"/>
      <c r="AT2" s="20"/>
      <c r="AU2" s="20"/>
      <c r="AW2" s="20" t="s">
        <v>108</v>
      </c>
      <c r="AX2" s="20"/>
      <c r="AY2" s="20"/>
      <c r="AZ2" s="20"/>
      <c r="BA2" s="20"/>
      <c r="BB2" s="20"/>
      <c r="BD2" s="20" t="s">
        <v>109</v>
      </c>
      <c r="BE2" s="20"/>
      <c r="BF2" s="20"/>
      <c r="BG2" s="20"/>
      <c r="BH2" s="20"/>
      <c r="BI2" s="20"/>
      <c r="BK2" s="20" t="s">
        <v>110</v>
      </c>
      <c r="BL2" s="20"/>
      <c r="BM2" s="20"/>
      <c r="BN2" s="20"/>
      <c r="BO2" s="20"/>
      <c r="BP2" s="20"/>
      <c r="BR2" s="20" t="s">
        <v>111</v>
      </c>
      <c r="BS2" s="20"/>
      <c r="BT2" s="20"/>
      <c r="BU2" s="20"/>
      <c r="BV2" s="20"/>
      <c r="BW2" s="20"/>
      <c r="BY2" s="20" t="s">
        <v>112</v>
      </c>
      <c r="BZ2" s="20"/>
      <c r="CA2" s="20"/>
      <c r="CB2" s="20"/>
      <c r="CC2" s="20"/>
      <c r="CD2" s="20"/>
      <c r="CF2" s="20" t="s">
        <v>113</v>
      </c>
      <c r="CG2" s="20"/>
      <c r="CH2" s="20"/>
      <c r="CI2" s="20"/>
      <c r="CJ2" s="20"/>
      <c r="CK2" s="20"/>
      <c r="CM2" s="20" t="s">
        <v>114</v>
      </c>
      <c r="CN2" s="20"/>
      <c r="CO2" s="20"/>
      <c r="CP2" s="20"/>
      <c r="CQ2" s="20"/>
      <c r="CR2" s="20"/>
      <c r="CT2" s="20" t="s">
        <v>115</v>
      </c>
      <c r="CU2" s="20"/>
      <c r="CV2" s="20"/>
      <c r="CW2" s="20"/>
      <c r="CX2" s="20"/>
      <c r="CY2" s="20"/>
      <c r="DA2" s="20" t="s">
        <v>116</v>
      </c>
      <c r="DB2" s="20"/>
      <c r="DC2" s="20"/>
      <c r="DD2" s="20"/>
      <c r="DE2" s="20"/>
      <c r="DF2" s="20"/>
      <c r="DH2" s="20" t="s">
        <v>117</v>
      </c>
      <c r="DI2" s="20"/>
      <c r="DJ2" s="20"/>
      <c r="DK2" s="20"/>
      <c r="DL2" s="20"/>
      <c r="DM2" s="20"/>
      <c r="DO2" s="20" t="s">
        <v>119</v>
      </c>
      <c r="DP2" s="20"/>
      <c r="DQ2" s="20"/>
      <c r="DR2" s="20"/>
      <c r="DS2" s="20"/>
      <c r="DT2" s="20"/>
      <c r="DV2" s="20" t="s">
        <v>118</v>
      </c>
      <c r="DW2" s="20"/>
      <c r="DX2" s="20"/>
      <c r="DY2" s="20"/>
      <c r="DZ2" s="20"/>
      <c r="EA2" s="20"/>
    </row>
    <row r="3" spans="2:131">
      <c r="B3" s="5" t="s">
        <v>25</v>
      </c>
      <c r="C3" s="5" t="s">
        <v>0</v>
      </c>
      <c r="D3" s="5" t="s">
        <v>23</v>
      </c>
      <c r="E3" s="6" t="s">
        <v>40</v>
      </c>
      <c r="F3" s="5" t="s">
        <v>28</v>
      </c>
      <c r="G3" s="5" t="s">
        <v>41</v>
      </c>
      <c r="I3" s="6" t="s">
        <v>10</v>
      </c>
      <c r="J3" s="6" t="s">
        <v>1</v>
      </c>
      <c r="K3" s="6" t="s">
        <v>2</v>
      </c>
      <c r="L3" s="6" t="s">
        <v>11</v>
      </c>
      <c r="N3" s="5" t="s">
        <v>10</v>
      </c>
      <c r="O3" s="5" t="s">
        <v>1</v>
      </c>
      <c r="P3" s="5" t="s">
        <v>42</v>
      </c>
      <c r="Q3" s="5" t="s">
        <v>2</v>
      </c>
      <c r="R3" s="5" t="s">
        <v>42</v>
      </c>
      <c r="S3" s="5" t="s">
        <v>11</v>
      </c>
      <c r="U3" s="5" t="s">
        <v>10</v>
      </c>
      <c r="V3" s="5" t="s">
        <v>1</v>
      </c>
      <c r="W3" s="5" t="s">
        <v>42</v>
      </c>
      <c r="X3" s="5" t="s">
        <v>2</v>
      </c>
      <c r="Y3" s="5" t="s">
        <v>42</v>
      </c>
      <c r="Z3" s="5" t="s">
        <v>11</v>
      </c>
      <c r="AB3" s="5" t="s">
        <v>10</v>
      </c>
      <c r="AC3" s="5" t="s">
        <v>1</v>
      </c>
      <c r="AD3" s="5" t="s">
        <v>42</v>
      </c>
      <c r="AE3" s="5" t="s">
        <v>2</v>
      </c>
      <c r="AF3" s="5" t="s">
        <v>42</v>
      </c>
      <c r="AG3" s="5" t="s">
        <v>11</v>
      </c>
      <c r="AI3" s="5" t="s">
        <v>10</v>
      </c>
      <c r="AJ3" s="5" t="s">
        <v>1</v>
      </c>
      <c r="AK3" s="5" t="s">
        <v>42</v>
      </c>
      <c r="AL3" s="5" t="s">
        <v>2</v>
      </c>
      <c r="AM3" s="5" t="s">
        <v>42</v>
      </c>
      <c r="AN3" s="5" t="s">
        <v>11</v>
      </c>
      <c r="AP3" s="5" t="s">
        <v>10</v>
      </c>
      <c r="AQ3" s="5" t="s">
        <v>1</v>
      </c>
      <c r="AR3" s="5" t="s">
        <v>42</v>
      </c>
      <c r="AS3" s="5" t="s">
        <v>2</v>
      </c>
      <c r="AT3" s="5" t="s">
        <v>42</v>
      </c>
      <c r="AU3" s="5" t="s">
        <v>11</v>
      </c>
      <c r="AW3" s="5" t="s">
        <v>10</v>
      </c>
      <c r="AX3" s="5" t="s">
        <v>1</v>
      </c>
      <c r="AY3" s="5" t="s">
        <v>42</v>
      </c>
      <c r="AZ3" s="5" t="s">
        <v>2</v>
      </c>
      <c r="BA3" s="5" t="s">
        <v>42</v>
      </c>
      <c r="BB3" s="5" t="s">
        <v>11</v>
      </c>
      <c r="BD3" s="5" t="s">
        <v>10</v>
      </c>
      <c r="BE3" s="5" t="s">
        <v>1</v>
      </c>
      <c r="BF3" s="5" t="s">
        <v>42</v>
      </c>
      <c r="BG3" s="5" t="s">
        <v>2</v>
      </c>
      <c r="BH3" s="5" t="s">
        <v>42</v>
      </c>
      <c r="BI3" s="5" t="s">
        <v>11</v>
      </c>
      <c r="BK3" s="5" t="s">
        <v>10</v>
      </c>
      <c r="BL3" s="5" t="s">
        <v>1</v>
      </c>
      <c r="BM3" s="5" t="s">
        <v>42</v>
      </c>
      <c r="BN3" s="5" t="s">
        <v>2</v>
      </c>
      <c r="BO3" s="5" t="s">
        <v>42</v>
      </c>
      <c r="BP3" s="5" t="s">
        <v>11</v>
      </c>
      <c r="BR3" s="5" t="s">
        <v>10</v>
      </c>
      <c r="BS3" s="5" t="s">
        <v>1</v>
      </c>
      <c r="BT3" s="5" t="s">
        <v>42</v>
      </c>
      <c r="BU3" s="5" t="s">
        <v>2</v>
      </c>
      <c r="BV3" s="5" t="s">
        <v>42</v>
      </c>
      <c r="BW3" s="5" t="s">
        <v>11</v>
      </c>
      <c r="BY3" s="5" t="s">
        <v>10</v>
      </c>
      <c r="BZ3" s="5" t="s">
        <v>1</v>
      </c>
      <c r="CA3" s="5" t="s">
        <v>42</v>
      </c>
      <c r="CB3" s="5" t="s">
        <v>2</v>
      </c>
      <c r="CC3" s="5" t="s">
        <v>42</v>
      </c>
      <c r="CD3" s="5" t="s">
        <v>11</v>
      </c>
      <c r="CF3" s="5" t="s">
        <v>10</v>
      </c>
      <c r="CG3" s="5" t="s">
        <v>1</v>
      </c>
      <c r="CH3" s="5" t="s">
        <v>42</v>
      </c>
      <c r="CI3" s="5" t="s">
        <v>2</v>
      </c>
      <c r="CJ3" s="5" t="s">
        <v>42</v>
      </c>
      <c r="CK3" s="5" t="s">
        <v>11</v>
      </c>
      <c r="CM3" s="5" t="s">
        <v>10</v>
      </c>
      <c r="CN3" s="5" t="s">
        <v>1</v>
      </c>
      <c r="CO3" s="5" t="s">
        <v>42</v>
      </c>
      <c r="CP3" s="5" t="s">
        <v>2</v>
      </c>
      <c r="CQ3" s="5" t="s">
        <v>42</v>
      </c>
      <c r="CR3" s="5" t="s">
        <v>11</v>
      </c>
      <c r="CT3" s="5" t="s">
        <v>10</v>
      </c>
      <c r="CU3" s="5" t="s">
        <v>1</v>
      </c>
      <c r="CV3" s="5" t="s">
        <v>42</v>
      </c>
      <c r="CW3" s="5" t="s">
        <v>2</v>
      </c>
      <c r="CX3" s="5" t="s">
        <v>42</v>
      </c>
      <c r="CY3" s="5" t="s">
        <v>11</v>
      </c>
      <c r="DA3" s="5" t="s">
        <v>10</v>
      </c>
      <c r="DB3" s="5" t="s">
        <v>1</v>
      </c>
      <c r="DC3" s="5" t="s">
        <v>42</v>
      </c>
      <c r="DD3" s="5" t="s">
        <v>2</v>
      </c>
      <c r="DE3" s="5" t="s">
        <v>42</v>
      </c>
      <c r="DF3" s="5" t="s">
        <v>11</v>
      </c>
      <c r="DH3" s="5" t="s">
        <v>10</v>
      </c>
      <c r="DI3" s="5" t="s">
        <v>1</v>
      </c>
      <c r="DJ3" s="5" t="s">
        <v>42</v>
      </c>
      <c r="DK3" s="5" t="s">
        <v>2</v>
      </c>
      <c r="DL3" s="5" t="s">
        <v>42</v>
      </c>
      <c r="DM3" s="5" t="s">
        <v>11</v>
      </c>
      <c r="DO3" s="5" t="s">
        <v>10</v>
      </c>
      <c r="DP3" s="5" t="s">
        <v>1</v>
      </c>
      <c r="DQ3" s="5" t="s">
        <v>42</v>
      </c>
      <c r="DR3" s="5" t="s">
        <v>2</v>
      </c>
      <c r="DS3" s="5" t="s">
        <v>42</v>
      </c>
      <c r="DT3" s="5" t="s">
        <v>11</v>
      </c>
      <c r="DV3" s="5" t="s">
        <v>10</v>
      </c>
      <c r="DW3" s="5" t="s">
        <v>1</v>
      </c>
      <c r="DX3" s="5" t="s">
        <v>42</v>
      </c>
      <c r="DY3" s="5" t="s">
        <v>2</v>
      </c>
      <c r="DZ3" s="5" t="s">
        <v>42</v>
      </c>
      <c r="EA3" s="5" t="s">
        <v>11</v>
      </c>
    </row>
    <row r="4" spans="2:131">
      <c r="B4" t="s">
        <v>26</v>
      </c>
      <c r="C4" t="s">
        <v>121</v>
      </c>
      <c r="D4" s="19" t="s">
        <v>100</v>
      </c>
      <c r="E4" s="9">
        <v>6</v>
      </c>
      <c r="G4" s="10">
        <f>+SUM(G5:G10)</f>
        <v>0.4</v>
      </c>
      <c r="I4" s="12">
        <f>+SUM(I5:I10)</f>
        <v>0</v>
      </c>
      <c r="J4" s="11">
        <f>+SUMPRODUCT(G5:G10,J5:J10)</f>
        <v>0</v>
      </c>
      <c r="K4" s="11">
        <f>+SUMPRODUCT(G5:G10,K5:K10)</f>
        <v>0</v>
      </c>
      <c r="L4" s="9"/>
      <c r="N4" s="12">
        <f>+SUM(N5:N10)</f>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c r="DV4" s="12">
        <f>+SUM(DV5:DV10)</f>
        <v>0</v>
      </c>
    </row>
    <row r="5" spans="2:131" outlineLevel="1">
      <c r="B5" t="s">
        <v>27</v>
      </c>
      <c r="C5" t="s">
        <v>97</v>
      </c>
      <c r="E5" s="9"/>
      <c r="F5" t="s">
        <v>122</v>
      </c>
      <c r="G5" s="10">
        <v>0.1</v>
      </c>
      <c r="I5" s="9">
        <f>+SUMIF($N$3:$AAF$3,I$3,$N5:$AAF5)</f>
        <v>0</v>
      </c>
      <c r="J5" s="11" cm="1">
        <f t="array" ref="J5">MAX(IF($N$3:$EN$3=$J$3,N5:EN5))</f>
        <v>0</v>
      </c>
      <c r="K5" s="11" cm="1">
        <f t="array" ref="K5">MAX(IF($N$3:$EN$3=$J$3,N5:EN5))</f>
        <v>0</v>
      </c>
      <c r="L5" s="9"/>
      <c r="O5" s="10"/>
      <c r="P5" s="10"/>
      <c r="Q5" s="10"/>
      <c r="R5" s="10"/>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c r="DI5" s="10"/>
      <c r="DJ5" s="10"/>
      <c r="DK5" s="10"/>
      <c r="DL5" s="10"/>
      <c r="DP5" s="10"/>
      <c r="DQ5" s="10"/>
      <c r="DR5" s="10"/>
      <c r="DS5" s="10"/>
      <c r="DW5" s="10"/>
      <c r="DX5" s="10"/>
      <c r="DY5" s="10"/>
      <c r="DZ5" s="10"/>
    </row>
    <row r="6" spans="2:131" outlineLevel="1">
      <c r="B6" t="s">
        <v>27</v>
      </c>
      <c r="C6" t="s">
        <v>97</v>
      </c>
      <c r="E6" s="9"/>
      <c r="F6" t="s">
        <v>123</v>
      </c>
      <c r="G6" s="10">
        <v>0.05</v>
      </c>
      <c r="I6" s="9">
        <f t="shared" ref="I6:I12" si="0">+SUMIF($N$3:$AAF$3,I$3,$N6:$AAF6)</f>
        <v>0</v>
      </c>
      <c r="J6" s="11" cm="1">
        <f t="array" ref="J6">MAX(IF($N$3:$EN$3=$J$3,N6:EN6))</f>
        <v>0</v>
      </c>
      <c r="K6" s="11" cm="1">
        <f t="array" ref="K6">MAX(IF($N$3:$EN$3=$J$3,N6:EN6))</f>
        <v>0</v>
      </c>
      <c r="L6" s="9"/>
      <c r="O6" s="10"/>
      <c r="P6" s="10"/>
      <c r="Q6" s="10"/>
      <c r="R6" s="10"/>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c r="DI6" s="10"/>
      <c r="DJ6" s="10"/>
      <c r="DK6" s="10"/>
      <c r="DL6" s="10"/>
      <c r="DP6" s="10"/>
      <c r="DQ6" s="10"/>
      <c r="DR6" s="10"/>
      <c r="DS6" s="10"/>
      <c r="DW6" s="10"/>
      <c r="DX6" s="10"/>
      <c r="DY6" s="10"/>
      <c r="DZ6" s="10"/>
    </row>
    <row r="7" spans="2:131" outlineLevel="1">
      <c r="B7" t="s">
        <v>27</v>
      </c>
      <c r="C7" t="s">
        <v>97</v>
      </c>
      <c r="E7" s="9"/>
      <c r="F7" t="s">
        <v>124</v>
      </c>
      <c r="G7" s="10">
        <v>0.05</v>
      </c>
      <c r="I7" s="9">
        <f t="shared" si="0"/>
        <v>0</v>
      </c>
      <c r="J7" s="11" cm="1">
        <f t="array" ref="J7">MAX(IF($N$3:$EN$3=$J$3,N7:EN7))</f>
        <v>0</v>
      </c>
      <c r="K7" s="11" cm="1">
        <f t="array" ref="K7">MAX(IF($N$3:$EN$3=$J$3,N7:EN7))</f>
        <v>0</v>
      </c>
      <c r="L7" s="9"/>
      <c r="O7" s="10"/>
      <c r="P7" s="10"/>
      <c r="Q7" s="10"/>
      <c r="R7" s="10"/>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c r="DI7" s="10"/>
      <c r="DJ7" s="10"/>
      <c r="DK7" s="10"/>
      <c r="DL7" s="10"/>
      <c r="DP7" s="10"/>
      <c r="DQ7" s="10"/>
      <c r="DR7" s="10"/>
      <c r="DS7" s="10"/>
      <c r="DW7" s="10"/>
      <c r="DX7" s="10"/>
      <c r="DY7" s="10"/>
      <c r="DZ7" s="10"/>
    </row>
    <row r="8" spans="2:131" outlineLevel="1">
      <c r="B8" t="s">
        <v>27</v>
      </c>
      <c r="C8" t="s">
        <v>97</v>
      </c>
      <c r="E8" s="9"/>
      <c r="F8" t="s">
        <v>125</v>
      </c>
      <c r="G8" s="10">
        <v>0.05</v>
      </c>
      <c r="I8" s="9">
        <f t="shared" si="0"/>
        <v>0</v>
      </c>
      <c r="J8" s="11" cm="1">
        <f t="array" ref="J8">MAX(IF($N$3:$EN$3=$J$3,N8:EN8))</f>
        <v>0</v>
      </c>
      <c r="K8" s="11" cm="1">
        <f t="array" ref="K8">MAX(IF($N$3:$EN$3=$J$3,N8:EN8))</f>
        <v>0</v>
      </c>
      <c r="L8" s="9"/>
      <c r="O8" s="10"/>
      <c r="P8" s="10"/>
      <c r="Q8" s="10"/>
      <c r="R8" s="10"/>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c r="DI8" s="10"/>
      <c r="DJ8" s="10"/>
      <c r="DK8" s="10"/>
      <c r="DL8" s="10"/>
      <c r="DP8" s="10"/>
      <c r="DQ8" s="10"/>
      <c r="DR8" s="10"/>
      <c r="DS8" s="10"/>
      <c r="DW8" s="10"/>
      <c r="DX8" s="10"/>
      <c r="DY8" s="10"/>
      <c r="DZ8" s="10"/>
    </row>
    <row r="9" spans="2:131" outlineLevel="1">
      <c r="B9" t="s">
        <v>27</v>
      </c>
      <c r="C9" t="s">
        <v>97</v>
      </c>
      <c r="E9" s="9"/>
      <c r="F9" t="s">
        <v>127</v>
      </c>
      <c r="G9" s="10">
        <v>0.05</v>
      </c>
      <c r="I9" s="9">
        <f t="shared" si="0"/>
        <v>0</v>
      </c>
      <c r="J9" s="11" cm="1">
        <f t="array" ref="J9">MAX(IF($N$3:$EN$3=$J$3,N9:EN9))</f>
        <v>0</v>
      </c>
      <c r="K9" s="11" cm="1">
        <f t="array" ref="K9">MAX(IF($N$3:$EN$3=$J$3,N9:EN9))</f>
        <v>0</v>
      </c>
      <c r="L9" s="9"/>
      <c r="O9" s="10"/>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c r="DI9" s="10"/>
      <c r="DJ9" s="10"/>
      <c r="DK9" s="10"/>
      <c r="DL9" s="10"/>
      <c r="DP9" s="10"/>
      <c r="DQ9" s="10"/>
      <c r="DR9" s="10"/>
      <c r="DS9" s="10"/>
      <c r="DW9" s="10"/>
      <c r="DX9" s="10"/>
      <c r="DY9" s="10"/>
      <c r="DZ9" s="10"/>
    </row>
    <row r="10" spans="2:131" outlineLevel="1">
      <c r="B10" t="s">
        <v>27</v>
      </c>
      <c r="C10" t="s">
        <v>97</v>
      </c>
      <c r="E10" s="9"/>
      <c r="F10" t="s">
        <v>126</v>
      </c>
      <c r="G10" s="10">
        <v>0.1</v>
      </c>
      <c r="I10" s="9">
        <f t="shared" si="0"/>
        <v>0</v>
      </c>
      <c r="J10" s="11" cm="1">
        <f t="array" ref="J10">MAX(IF($N$3:$EN$3=$J$3,N10:EN10))</f>
        <v>0</v>
      </c>
      <c r="K10" s="11" cm="1">
        <f t="array" ref="K10">MAX(IF($N$3:$EN$3=$J$3,N10:EN10))</f>
        <v>0</v>
      </c>
      <c r="L10" s="9"/>
      <c r="O10" s="10"/>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c r="DI10" s="10"/>
      <c r="DJ10" s="10"/>
      <c r="DK10" s="10"/>
      <c r="DL10" s="10"/>
      <c r="DP10" s="10"/>
      <c r="DQ10" s="10"/>
      <c r="DR10" s="10"/>
      <c r="DS10" s="10"/>
      <c r="DW10" s="10"/>
      <c r="DX10" s="10"/>
      <c r="DY10" s="10"/>
      <c r="DZ10" s="10"/>
    </row>
    <row r="11" spans="2:131" outlineLevel="1">
      <c r="B11" t="s">
        <v>27</v>
      </c>
      <c r="C11" t="s">
        <v>131</v>
      </c>
      <c r="E11" s="9"/>
      <c r="F11" t="s">
        <v>128</v>
      </c>
      <c r="G11" s="10">
        <v>0.1</v>
      </c>
      <c r="I11" s="9">
        <f t="shared" si="0"/>
        <v>0</v>
      </c>
      <c r="J11" s="11" cm="1">
        <f t="array" ref="J11">MAX(IF($N$3:$EN$3=$J$3,N11:EN11))</f>
        <v>0</v>
      </c>
      <c r="K11" s="11" cm="1">
        <f t="array" ref="K11">MAX(IF($N$3:$EN$3=$J$3,N11:EN11))</f>
        <v>0</v>
      </c>
      <c r="L11" s="9"/>
      <c r="O11" s="10"/>
      <c r="P11" s="10"/>
      <c r="Q11" s="10"/>
      <c r="R11" s="10"/>
      <c r="V11" s="10"/>
      <c r="W11" s="10"/>
      <c r="X11" s="10"/>
      <c r="Y11" s="10"/>
      <c r="AC11" s="10"/>
      <c r="AD11" s="10"/>
      <c r="AE11" s="10"/>
      <c r="AF11" s="10"/>
      <c r="AJ11" s="10"/>
      <c r="AK11" s="10"/>
      <c r="AL11" s="10"/>
      <c r="AM11" s="10"/>
      <c r="AQ11" s="10"/>
      <c r="AR11" s="10">
        <v>1</v>
      </c>
      <c r="AS11" s="10"/>
      <c r="AT11" s="10">
        <v>1</v>
      </c>
      <c r="AX11" s="10"/>
      <c r="AY11" s="10"/>
      <c r="AZ11" s="10"/>
      <c r="BA11" s="10"/>
      <c r="BE11" s="10"/>
      <c r="BF11" s="10"/>
      <c r="BG11" s="10"/>
      <c r="BH11" s="10"/>
      <c r="BL11" s="10"/>
      <c r="BM11" s="10"/>
      <c r="BN11" s="10"/>
      <c r="BO11" s="10"/>
      <c r="BS11" s="10"/>
      <c r="BT11" s="10">
        <v>0.8</v>
      </c>
      <c r="BU11" s="10"/>
      <c r="BV11" s="10">
        <v>0.8</v>
      </c>
      <c r="BZ11" s="10"/>
      <c r="CA11" s="10">
        <v>0.8</v>
      </c>
      <c r="CB11" s="10"/>
      <c r="CC11" s="10">
        <v>0.8</v>
      </c>
      <c r="CG11" s="10"/>
      <c r="CH11" s="10">
        <v>1</v>
      </c>
      <c r="CI11" s="10"/>
      <c r="CJ11" s="10">
        <v>1</v>
      </c>
      <c r="CN11" s="10"/>
      <c r="CO11" s="10"/>
      <c r="CP11" s="10"/>
      <c r="CQ11" s="10"/>
      <c r="CU11" s="10"/>
      <c r="CV11" s="10"/>
      <c r="CW11" s="10"/>
      <c r="CX11" s="10"/>
      <c r="DB11" s="10"/>
      <c r="DC11" s="10"/>
      <c r="DD11" s="10"/>
      <c r="DE11" s="10"/>
      <c r="DI11" s="10"/>
      <c r="DJ11" s="10"/>
      <c r="DK11" s="10"/>
      <c r="DL11" s="10"/>
      <c r="DP11" s="10"/>
      <c r="DQ11" s="10"/>
      <c r="DR11" s="10"/>
      <c r="DS11" s="10"/>
      <c r="DW11" s="10"/>
      <c r="DX11" s="10"/>
      <c r="DY11" s="10"/>
      <c r="DZ11" s="10"/>
    </row>
    <row r="12" spans="2:131" outlineLevel="1">
      <c r="B12" t="s">
        <v>27</v>
      </c>
      <c r="C12" t="s">
        <v>131</v>
      </c>
      <c r="E12" s="9"/>
      <c r="F12" t="s">
        <v>129</v>
      </c>
      <c r="G12" s="10">
        <v>0.05</v>
      </c>
      <c r="I12" s="9">
        <f t="shared" si="0"/>
        <v>0</v>
      </c>
      <c r="J12" s="11" cm="1">
        <f t="array" ref="J12">MAX(IF($N$3:$EN$3=$J$3,N12:EN12))</f>
        <v>0</v>
      </c>
      <c r="K12" s="11" cm="1">
        <f t="array" ref="K12">MAX(IF($N$3:$EN$3=$J$3,N12:EN12))</f>
        <v>0</v>
      </c>
      <c r="L12" s="9"/>
      <c r="O12" s="10"/>
      <c r="P12" s="10"/>
      <c r="Q12" s="10"/>
      <c r="R12" s="10"/>
      <c r="V12" s="10"/>
      <c r="W12" s="10"/>
      <c r="X12" s="10"/>
      <c r="Y12" s="10"/>
      <c r="AC12" s="10"/>
      <c r="AD12" s="10"/>
      <c r="AE12" s="10"/>
      <c r="AF12" s="10"/>
      <c r="AJ12" s="10"/>
      <c r="AK12" s="10"/>
      <c r="AL12" s="10"/>
      <c r="AM12" s="10"/>
      <c r="AQ12" s="10"/>
      <c r="AR12" s="10">
        <v>1</v>
      </c>
      <c r="AS12" s="10"/>
      <c r="AT12" s="10">
        <v>1</v>
      </c>
      <c r="AX12" s="10"/>
      <c r="AY12" s="10"/>
      <c r="AZ12" s="10"/>
      <c r="BA12" s="10"/>
      <c r="BE12" s="10"/>
      <c r="BF12" s="10"/>
      <c r="BG12" s="10"/>
      <c r="BH12" s="10"/>
      <c r="BL12" s="10"/>
      <c r="BM12" s="10"/>
      <c r="BN12" s="10"/>
      <c r="BO12" s="10"/>
      <c r="BS12" s="10"/>
      <c r="BT12" s="10">
        <v>0.8</v>
      </c>
      <c r="BU12" s="10"/>
      <c r="BV12" s="10">
        <v>0.8</v>
      </c>
      <c r="BZ12" s="10"/>
      <c r="CA12" s="10">
        <v>1</v>
      </c>
      <c r="CB12" s="10"/>
      <c r="CC12" s="10">
        <v>1</v>
      </c>
      <c r="CG12" s="10"/>
      <c r="CH12" s="10">
        <v>1</v>
      </c>
      <c r="CI12" s="10"/>
      <c r="CJ12" s="10">
        <v>1</v>
      </c>
      <c r="CN12" s="10"/>
      <c r="CO12" s="10"/>
      <c r="CP12" s="10"/>
      <c r="CQ12" s="10"/>
      <c r="CU12" s="10"/>
      <c r="CV12" s="10"/>
      <c r="CW12" s="10"/>
      <c r="CX12" s="10"/>
      <c r="DB12" s="10"/>
      <c r="DC12" s="10"/>
      <c r="DD12" s="10"/>
      <c r="DE12" s="10"/>
      <c r="DI12" s="10"/>
      <c r="DJ12" s="10"/>
      <c r="DK12" s="10"/>
      <c r="DL12" s="10"/>
      <c r="DP12" s="10"/>
      <c r="DQ12" s="10"/>
      <c r="DR12" s="10"/>
      <c r="DS12" s="10"/>
      <c r="DW12" s="10"/>
      <c r="DX12" s="10"/>
      <c r="DY12" s="10"/>
      <c r="DZ12" s="10"/>
    </row>
    <row r="13" spans="2:131" outlineLevel="1">
      <c r="B13" t="s">
        <v>27</v>
      </c>
      <c r="C13" t="s">
        <v>131</v>
      </c>
      <c r="E13" s="9"/>
      <c r="F13" t="s">
        <v>130</v>
      </c>
      <c r="G13" s="10">
        <v>0.05</v>
      </c>
      <c r="I13" s="9">
        <f>+SUMIF($N$3:$AAF$3,I$3,$N13:$AAF13)</f>
        <v>0</v>
      </c>
      <c r="J13" s="11" cm="1">
        <f t="array" ref="J13">MAX(IF($N$3:$EN$3=$J$3,N13:EN13))</f>
        <v>0</v>
      </c>
      <c r="K13" s="11" cm="1">
        <f t="array" ref="K13">MAX(IF($N$3:$EN$3=$J$3,N13:EN13))</f>
        <v>0</v>
      </c>
      <c r="L13" s="9"/>
      <c r="O13" s="10"/>
      <c r="P13" s="10"/>
      <c r="Q13" s="10"/>
      <c r="R13" s="10"/>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c r="BL13" s="10"/>
      <c r="BM13" s="10"/>
      <c r="BN13" s="10"/>
      <c r="BO13" s="10"/>
      <c r="BS13" s="10"/>
      <c r="BT13" s="10">
        <v>0.8</v>
      </c>
      <c r="BU13" s="10"/>
      <c r="BV13" s="10">
        <v>0.8</v>
      </c>
      <c r="BZ13" s="10"/>
      <c r="CA13" s="10">
        <v>1</v>
      </c>
      <c r="CB13" s="10"/>
      <c r="CC13" s="10">
        <v>1</v>
      </c>
      <c r="CG13" s="10"/>
      <c r="CH13" s="10">
        <v>1</v>
      </c>
      <c r="CI13" s="10"/>
      <c r="CJ13" s="10">
        <v>1</v>
      </c>
      <c r="CN13" s="10"/>
      <c r="CO13" s="10"/>
      <c r="CP13" s="10"/>
      <c r="CQ13" s="10"/>
      <c r="CU13" s="10"/>
      <c r="CV13" s="10"/>
      <c r="CW13" s="10"/>
      <c r="CX13" s="10"/>
      <c r="DB13" s="10"/>
      <c r="DC13" s="10"/>
      <c r="DD13" s="10"/>
      <c r="DE13" s="10"/>
      <c r="DI13" s="10"/>
      <c r="DJ13" s="10"/>
      <c r="DK13" s="10"/>
      <c r="DL13" s="10"/>
      <c r="DP13" s="10"/>
      <c r="DQ13" s="10"/>
      <c r="DR13" s="10"/>
      <c r="DS13" s="10"/>
      <c r="DW13" s="10"/>
      <c r="DX13" s="10"/>
      <c r="DY13" s="10"/>
      <c r="DZ13" s="10"/>
    </row>
    <row r="14" spans="2:131" outlineLevel="1">
      <c r="B14" t="s">
        <v>27</v>
      </c>
      <c r="C14" t="s">
        <v>120</v>
      </c>
      <c r="E14" s="9"/>
      <c r="F14" t="s">
        <v>132</v>
      </c>
      <c r="G14" s="10">
        <v>0.05</v>
      </c>
      <c r="I14" s="9">
        <f t="shared" ref="I14:I22" si="1">+SUMIF($N$3:$AAF$3,I$3,$N14:$AAF14)</f>
        <v>0</v>
      </c>
      <c r="J14" s="11" cm="1">
        <f t="array" ref="J14">MAX(IF($N$3:$EN$3=$J$3,N14:EN14))</f>
        <v>0</v>
      </c>
      <c r="K14" s="11" cm="1">
        <f t="array" ref="K14">MAX(IF($N$3:$EN$3=$J$3,N14:EN14))</f>
        <v>0</v>
      </c>
      <c r="L14" s="9"/>
      <c r="O14" s="10"/>
      <c r="P14" s="10"/>
      <c r="Q14" s="10"/>
      <c r="R14" s="10"/>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c r="BL14" s="10"/>
      <c r="BM14" s="10"/>
      <c r="BN14" s="10"/>
      <c r="BO14" s="10"/>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c r="DI14" s="10"/>
      <c r="DJ14" s="10"/>
      <c r="DK14" s="10"/>
      <c r="DL14" s="10"/>
      <c r="DP14" s="10"/>
      <c r="DQ14" s="10"/>
      <c r="DR14" s="10"/>
      <c r="DS14" s="10"/>
      <c r="DW14" s="10"/>
      <c r="DX14" s="10"/>
      <c r="DY14" s="10"/>
      <c r="DZ14" s="10"/>
    </row>
    <row r="15" spans="2:131" outlineLevel="1">
      <c r="B15" t="s">
        <v>27</v>
      </c>
      <c r="C15" t="s">
        <v>120</v>
      </c>
      <c r="E15" s="9"/>
      <c r="F15" t="s">
        <v>133</v>
      </c>
      <c r="G15" s="10">
        <v>0.05</v>
      </c>
      <c r="I15" s="9">
        <f t="shared" si="1"/>
        <v>0</v>
      </c>
      <c r="J15" s="11" cm="1">
        <f t="array" ref="J15">MAX(IF($N$3:$EN$3=$J$3,N15:EN15))</f>
        <v>0</v>
      </c>
      <c r="K15" s="11" cm="1">
        <f t="array" ref="K15">MAX(IF($N$3:$EN$3=$J$3,N15:EN15))</f>
        <v>0</v>
      </c>
      <c r="L15" s="9"/>
      <c r="O15" s="10"/>
      <c r="P15" s="10"/>
      <c r="Q15" s="10"/>
      <c r="R15" s="10"/>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0.8</v>
      </c>
      <c r="BU15" s="10"/>
      <c r="BV15" s="10">
        <v>0.8</v>
      </c>
      <c r="BZ15" s="10"/>
      <c r="CA15" s="10">
        <v>0.8</v>
      </c>
      <c r="CB15" s="10"/>
      <c r="CC15" s="10">
        <v>0.8</v>
      </c>
      <c r="CG15" s="10"/>
      <c r="CH15" s="10">
        <v>1</v>
      </c>
      <c r="CI15" s="10"/>
      <c r="CJ15" s="10">
        <v>1</v>
      </c>
      <c r="CN15" s="10"/>
      <c r="CO15" s="10"/>
      <c r="CP15" s="10"/>
      <c r="CQ15" s="10"/>
      <c r="CU15" s="10"/>
      <c r="CV15" s="10"/>
      <c r="CW15" s="10"/>
      <c r="CX15" s="10"/>
      <c r="DB15" s="10"/>
      <c r="DC15" s="10"/>
      <c r="DD15" s="10"/>
      <c r="DE15" s="10"/>
      <c r="DI15" s="10"/>
      <c r="DJ15" s="10"/>
      <c r="DK15" s="10"/>
      <c r="DL15" s="10"/>
      <c r="DP15" s="10"/>
      <c r="DQ15" s="10"/>
      <c r="DR15" s="10"/>
      <c r="DS15" s="10"/>
      <c r="DW15" s="10"/>
      <c r="DX15" s="10"/>
      <c r="DY15" s="10"/>
      <c r="DZ15" s="10"/>
    </row>
    <row r="16" spans="2:131" outlineLevel="1">
      <c r="B16" t="s">
        <v>27</v>
      </c>
      <c r="C16" t="s">
        <v>120</v>
      </c>
      <c r="E16" s="9"/>
      <c r="F16" t="s">
        <v>134</v>
      </c>
      <c r="G16" s="10">
        <v>0.1</v>
      </c>
      <c r="I16" s="9">
        <f t="shared" si="1"/>
        <v>0</v>
      </c>
      <c r="J16" s="11" cm="1">
        <f t="array" ref="J16">MAX(IF($N$3:$EN$3=$J$3,N16:EN16))</f>
        <v>0</v>
      </c>
      <c r="K16" s="11" cm="1">
        <f t="array" ref="K16">MAX(IF($N$3:$EN$3=$J$3,N16:EN16))</f>
        <v>0</v>
      </c>
      <c r="L16" s="9"/>
      <c r="O16" s="10"/>
      <c r="P16" s="10"/>
      <c r="Q16" s="10"/>
      <c r="R16" s="10"/>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0.8</v>
      </c>
      <c r="CB16" s="10"/>
      <c r="CC16" s="10">
        <v>0.8</v>
      </c>
      <c r="CG16" s="10"/>
      <c r="CH16" s="10">
        <v>1</v>
      </c>
      <c r="CI16" s="10"/>
      <c r="CJ16" s="10">
        <v>1</v>
      </c>
      <c r="CN16" s="10"/>
      <c r="CO16" s="10"/>
      <c r="CP16" s="10"/>
      <c r="CQ16" s="10"/>
      <c r="CU16" s="10"/>
      <c r="CV16" s="10"/>
      <c r="CW16" s="10"/>
      <c r="CX16" s="10"/>
      <c r="DB16" s="10"/>
      <c r="DC16" s="10"/>
      <c r="DD16" s="10"/>
      <c r="DE16" s="10"/>
      <c r="DI16" s="10"/>
      <c r="DJ16" s="10"/>
      <c r="DK16" s="10"/>
      <c r="DL16" s="10"/>
      <c r="DP16" s="10"/>
      <c r="DQ16" s="10"/>
      <c r="DR16" s="10"/>
      <c r="DS16" s="10"/>
      <c r="DW16" s="10"/>
      <c r="DX16" s="10"/>
      <c r="DY16" s="10"/>
      <c r="DZ16" s="10"/>
    </row>
    <row r="17" spans="2:130" outlineLevel="1">
      <c r="B17" t="s">
        <v>27</v>
      </c>
      <c r="C17" t="s">
        <v>120</v>
      </c>
      <c r="E17" s="9"/>
      <c r="F17" t="s">
        <v>135</v>
      </c>
      <c r="G17" s="10">
        <v>0.1</v>
      </c>
      <c r="I17" s="9">
        <f t="shared" si="1"/>
        <v>0</v>
      </c>
      <c r="J17" s="11" cm="1">
        <f t="array" ref="J17">MAX(IF($N$3:$EN$3=$J$3,N17:EN17))</f>
        <v>0</v>
      </c>
      <c r="K17" s="11" cm="1">
        <f t="array" ref="K17">MAX(IF($N$3:$EN$3=$J$3,N17:EN17))</f>
        <v>0</v>
      </c>
      <c r="L17" s="9"/>
      <c r="O17" s="10"/>
      <c r="P17" s="10"/>
      <c r="Q17" s="10"/>
      <c r="R17" s="10"/>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0.8</v>
      </c>
      <c r="CB17" s="10"/>
      <c r="CC17" s="10">
        <v>0.8</v>
      </c>
      <c r="CG17" s="10"/>
      <c r="CH17" s="10">
        <v>1</v>
      </c>
      <c r="CI17" s="10"/>
      <c r="CJ17" s="10">
        <v>1</v>
      </c>
      <c r="CN17" s="10"/>
      <c r="CO17" s="10"/>
      <c r="CP17" s="10"/>
      <c r="CQ17" s="10"/>
      <c r="CU17" s="10"/>
      <c r="CV17" s="10"/>
      <c r="CW17" s="10"/>
      <c r="CX17" s="10"/>
      <c r="DB17" s="10"/>
      <c r="DC17" s="10"/>
      <c r="DD17" s="10"/>
      <c r="DE17" s="10"/>
      <c r="DI17" s="10"/>
      <c r="DJ17" s="10"/>
      <c r="DK17" s="10"/>
      <c r="DL17" s="10"/>
      <c r="DP17" s="10"/>
      <c r="DQ17" s="10"/>
      <c r="DR17" s="10"/>
      <c r="DS17" s="10"/>
      <c r="DW17" s="10"/>
      <c r="DX17" s="10"/>
      <c r="DY17" s="10"/>
      <c r="DZ17" s="10"/>
    </row>
    <row r="18" spans="2:130" outlineLevel="1">
      <c r="B18" t="s">
        <v>27</v>
      </c>
      <c r="C18" t="s">
        <v>120</v>
      </c>
      <c r="E18" s="9"/>
      <c r="F18" t="s">
        <v>139</v>
      </c>
      <c r="G18" s="10">
        <v>0.1</v>
      </c>
      <c r="I18" s="9">
        <f t="shared" si="1"/>
        <v>0</v>
      </c>
      <c r="J18" s="11" cm="1">
        <f t="array" ref="J18">MAX(IF($N$3:$EN$3=$J$3,N18:EN18))</f>
        <v>0</v>
      </c>
      <c r="K18" s="11" cm="1">
        <f t="array" ref="K18">MAX(IF($N$3:$EN$3=$J$3,N18:EN18))</f>
        <v>0</v>
      </c>
      <c r="L18" s="9"/>
      <c r="O18" s="10"/>
      <c r="P18" s="10"/>
      <c r="Q18" s="10"/>
      <c r="R18" s="10"/>
      <c r="V18" s="10"/>
      <c r="W18" s="10"/>
      <c r="X18" s="10"/>
      <c r="Y18" s="10"/>
      <c r="AC18" s="10"/>
      <c r="AD18" s="10"/>
      <c r="AE18" s="10"/>
      <c r="AF18" s="10"/>
      <c r="AJ18" s="10"/>
      <c r="AK18" s="10"/>
      <c r="AL18" s="10"/>
      <c r="AM18" s="10"/>
      <c r="AQ18" s="10"/>
      <c r="AR18" s="10">
        <v>1</v>
      </c>
      <c r="AS18" s="10"/>
      <c r="AT18" s="10">
        <v>1</v>
      </c>
      <c r="AX18" s="10"/>
      <c r="AY18" s="10"/>
      <c r="AZ18" s="10"/>
      <c r="BA18" s="10"/>
      <c r="BE18" s="10"/>
      <c r="BF18" s="10"/>
      <c r="BG18" s="10"/>
      <c r="BH18" s="10"/>
      <c r="BL18" s="10"/>
      <c r="BM18" s="10"/>
      <c r="BN18" s="10"/>
      <c r="BO18" s="10"/>
      <c r="BS18" s="10"/>
      <c r="BT18" s="10">
        <v>0.8</v>
      </c>
      <c r="BU18" s="10"/>
      <c r="BV18" s="10">
        <v>0.8</v>
      </c>
      <c r="BZ18" s="10"/>
      <c r="CA18" s="10">
        <v>0.8</v>
      </c>
      <c r="CB18" s="10"/>
      <c r="CC18" s="10">
        <v>0.8</v>
      </c>
      <c r="CG18" s="10"/>
      <c r="CH18" s="10">
        <v>1</v>
      </c>
      <c r="CI18" s="10"/>
      <c r="CJ18" s="10">
        <v>1</v>
      </c>
      <c r="CN18" s="10"/>
      <c r="CO18" s="10"/>
      <c r="CP18" s="10"/>
      <c r="CQ18" s="10"/>
      <c r="CU18" s="10"/>
      <c r="CV18" s="10"/>
      <c r="CW18" s="10"/>
      <c r="CX18" s="10"/>
      <c r="DB18" s="10"/>
      <c r="DC18" s="10"/>
      <c r="DD18" s="10"/>
      <c r="DE18" s="10"/>
      <c r="DI18" s="10"/>
      <c r="DJ18" s="10"/>
      <c r="DK18" s="10"/>
      <c r="DL18" s="10"/>
      <c r="DP18" s="10"/>
      <c r="DQ18" s="10"/>
      <c r="DR18" s="10"/>
      <c r="DS18" s="10"/>
      <c r="DW18" s="10"/>
      <c r="DX18" s="10"/>
      <c r="DY18" s="10"/>
      <c r="DZ18" s="10"/>
    </row>
    <row r="19" spans="2:130" outlineLevel="1">
      <c r="B19" t="s">
        <v>27</v>
      </c>
      <c r="C19" t="s">
        <v>120</v>
      </c>
      <c r="E19" s="9"/>
      <c r="F19" t="s">
        <v>138</v>
      </c>
      <c r="G19" s="10">
        <v>0.1</v>
      </c>
      <c r="I19" s="9">
        <f t="shared" si="1"/>
        <v>0</v>
      </c>
      <c r="J19" s="11" cm="1">
        <f t="array" ref="J19">MAX(IF($N$3:$EN$3=$J$3,N19:EN19))</f>
        <v>0</v>
      </c>
      <c r="K19" s="11" cm="1">
        <f t="array" ref="K19">MAX(IF($N$3:$EN$3=$J$3,N19:EN19))</f>
        <v>0</v>
      </c>
      <c r="L19" s="9"/>
      <c r="O19" s="10"/>
      <c r="P19" s="10"/>
      <c r="Q19" s="10"/>
      <c r="R19" s="10"/>
      <c r="V19" s="10"/>
      <c r="W19" s="10"/>
      <c r="X19" s="10"/>
      <c r="Y19" s="10"/>
      <c r="AC19" s="10"/>
      <c r="AD19" s="10"/>
      <c r="AE19" s="10"/>
      <c r="AF19" s="10"/>
      <c r="AJ19" s="10"/>
      <c r="AK19" s="10"/>
      <c r="AL19" s="10"/>
      <c r="AM19" s="10"/>
      <c r="AQ19" s="10"/>
      <c r="AR19" s="10">
        <v>1</v>
      </c>
      <c r="AS19" s="10"/>
      <c r="AT19" s="10">
        <v>1</v>
      </c>
      <c r="AX19" s="10"/>
      <c r="AY19" s="10"/>
      <c r="AZ19" s="10"/>
      <c r="BA19" s="10"/>
      <c r="BE19" s="10"/>
      <c r="BF19" s="10"/>
      <c r="BG19" s="10"/>
      <c r="BH19" s="10"/>
      <c r="BL19" s="10"/>
      <c r="BM19" s="10"/>
      <c r="BN19" s="10"/>
      <c r="BO19" s="10"/>
      <c r="BS19" s="10"/>
      <c r="BT19" s="10">
        <v>0.8</v>
      </c>
      <c r="BU19" s="10"/>
      <c r="BV19" s="10">
        <v>0.8</v>
      </c>
      <c r="BZ19" s="10"/>
      <c r="CA19" s="10">
        <v>0.8</v>
      </c>
      <c r="CB19" s="10"/>
      <c r="CC19" s="10">
        <v>0.8</v>
      </c>
      <c r="CG19" s="10"/>
      <c r="CH19" s="10">
        <v>1</v>
      </c>
      <c r="CI19" s="10"/>
      <c r="CJ19" s="10">
        <v>1</v>
      </c>
      <c r="CN19" s="10"/>
      <c r="CO19" s="10"/>
      <c r="CP19" s="10"/>
      <c r="CQ19" s="10"/>
      <c r="CU19" s="10"/>
      <c r="CV19" s="10"/>
      <c r="CW19" s="10"/>
      <c r="CX19" s="10"/>
      <c r="DB19" s="10"/>
      <c r="DC19" s="10"/>
      <c r="DD19" s="10"/>
      <c r="DE19" s="10"/>
      <c r="DI19" s="10"/>
      <c r="DJ19" s="10"/>
      <c r="DK19" s="10"/>
      <c r="DL19" s="10"/>
      <c r="DP19" s="10"/>
      <c r="DQ19" s="10"/>
      <c r="DR19" s="10"/>
      <c r="DS19" s="10"/>
      <c r="DW19" s="10"/>
      <c r="DX19" s="10"/>
      <c r="DY19" s="10"/>
      <c r="DZ19" s="10"/>
    </row>
    <row r="20" spans="2:130" outlineLevel="1">
      <c r="B20" t="s">
        <v>27</v>
      </c>
      <c r="C20" t="s">
        <v>120</v>
      </c>
      <c r="E20" s="9"/>
      <c r="F20" t="s">
        <v>137</v>
      </c>
      <c r="G20" s="10">
        <v>0.1</v>
      </c>
      <c r="I20" s="9">
        <f t="shared" si="1"/>
        <v>0</v>
      </c>
      <c r="J20" s="11" cm="1">
        <f t="array" ref="J20">MAX(IF($N$3:$EN$3=$J$3,N20:EN20))</f>
        <v>0</v>
      </c>
      <c r="K20" s="11" cm="1">
        <f t="array" ref="K20">MAX(IF($N$3:$EN$3=$J$3,N20:EN20))</f>
        <v>0</v>
      </c>
      <c r="L20" s="9"/>
      <c r="O20" s="10"/>
      <c r="P20" s="10"/>
      <c r="Q20" s="10"/>
      <c r="R20" s="10"/>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c r="BL20" s="10"/>
      <c r="BM20" s="10"/>
      <c r="BN20" s="10"/>
      <c r="BO20" s="10"/>
      <c r="BS20" s="10"/>
      <c r="BT20" s="10">
        <v>0.8</v>
      </c>
      <c r="BU20" s="10"/>
      <c r="BV20" s="10">
        <v>0.8</v>
      </c>
      <c r="BZ20" s="10"/>
      <c r="CA20" s="10">
        <v>0.8</v>
      </c>
      <c r="CB20" s="10"/>
      <c r="CC20" s="10">
        <v>0.8</v>
      </c>
      <c r="CG20" s="10"/>
      <c r="CH20" s="10">
        <v>1</v>
      </c>
      <c r="CI20" s="10"/>
      <c r="CJ20" s="10">
        <v>1</v>
      </c>
      <c r="CN20" s="10"/>
      <c r="CO20" s="10"/>
      <c r="CP20" s="10"/>
      <c r="CQ20" s="10"/>
      <c r="CU20" s="10"/>
      <c r="CV20" s="10"/>
      <c r="CW20" s="10"/>
      <c r="CX20" s="10"/>
      <c r="DB20" s="10"/>
      <c r="DC20" s="10"/>
      <c r="DD20" s="10"/>
      <c r="DE20" s="10"/>
      <c r="DI20" s="10"/>
      <c r="DJ20" s="10"/>
      <c r="DK20" s="10"/>
      <c r="DL20" s="10"/>
      <c r="DP20" s="10"/>
      <c r="DQ20" s="10"/>
      <c r="DR20" s="10"/>
      <c r="DS20" s="10"/>
      <c r="DW20" s="10"/>
      <c r="DX20" s="10"/>
      <c r="DY20" s="10"/>
      <c r="DZ20" s="10"/>
    </row>
    <row r="21" spans="2:130" outlineLevel="1">
      <c r="B21" t="s">
        <v>27</v>
      </c>
      <c r="C21" t="s">
        <v>120</v>
      </c>
      <c r="E21" s="9"/>
      <c r="F21" t="s">
        <v>136</v>
      </c>
      <c r="G21" s="10">
        <v>0.1</v>
      </c>
      <c r="I21" s="9">
        <f t="shared" si="1"/>
        <v>0</v>
      </c>
      <c r="J21" s="11" cm="1">
        <f t="array" ref="J21">MAX(IF($N$3:$EN$3=$J$3,N21:EN21))</f>
        <v>0</v>
      </c>
      <c r="K21" s="11" cm="1">
        <f t="array" ref="K21">MAX(IF($N$3:$EN$3=$J$3,N21:EN21))</f>
        <v>0</v>
      </c>
      <c r="L21" s="9"/>
      <c r="O21" s="10"/>
      <c r="P21" s="10"/>
      <c r="Q21" s="10"/>
      <c r="R21" s="10"/>
      <c r="V21" s="10"/>
      <c r="W21" s="10"/>
      <c r="X21" s="10"/>
      <c r="Y21" s="10"/>
      <c r="AC21" s="10"/>
      <c r="AD21" s="10"/>
      <c r="AE21" s="10"/>
      <c r="AF21" s="10"/>
      <c r="AJ21" s="10"/>
      <c r="AK21" s="10"/>
      <c r="AL21" s="10"/>
      <c r="AM21" s="10"/>
      <c r="AQ21" s="10"/>
      <c r="AR21" s="10">
        <v>1</v>
      </c>
      <c r="AS21" s="10"/>
      <c r="AT21" s="10">
        <v>1</v>
      </c>
      <c r="AX21" s="10"/>
      <c r="AY21" s="10"/>
      <c r="AZ21" s="10"/>
      <c r="BA21" s="10"/>
      <c r="BE21" s="10"/>
      <c r="BF21" s="10"/>
      <c r="BG21" s="10"/>
      <c r="BH21" s="10"/>
      <c r="BL21" s="10"/>
      <c r="BM21" s="10"/>
      <c r="BN21" s="10"/>
      <c r="BO21" s="10"/>
      <c r="BS21" s="10"/>
      <c r="BT21" s="10">
        <v>0.8</v>
      </c>
      <c r="BU21" s="10"/>
      <c r="BV21" s="10">
        <v>0.8</v>
      </c>
      <c r="BZ21" s="10"/>
      <c r="CA21" s="10">
        <v>0.8</v>
      </c>
      <c r="CB21" s="10"/>
      <c r="CC21" s="10">
        <v>0.8</v>
      </c>
      <c r="CG21" s="10"/>
      <c r="CH21" s="10">
        <v>1</v>
      </c>
      <c r="CI21" s="10"/>
      <c r="CJ21" s="10">
        <v>1</v>
      </c>
      <c r="CN21" s="10"/>
      <c r="CO21" s="10"/>
      <c r="CP21" s="10"/>
      <c r="CQ21" s="10"/>
      <c r="CU21" s="10"/>
      <c r="CV21" s="10"/>
      <c r="CW21" s="10"/>
      <c r="CX21" s="10"/>
      <c r="DB21" s="10"/>
      <c r="DC21" s="10"/>
      <c r="DD21" s="10"/>
      <c r="DE21" s="10"/>
      <c r="DI21" s="10"/>
      <c r="DJ21" s="10"/>
      <c r="DK21" s="10"/>
      <c r="DL21" s="10"/>
      <c r="DP21" s="10"/>
      <c r="DQ21" s="10"/>
      <c r="DR21" s="10"/>
      <c r="DS21" s="10"/>
      <c r="DW21" s="10"/>
      <c r="DX21" s="10"/>
      <c r="DY21" s="10"/>
      <c r="DZ21" s="10"/>
    </row>
    <row r="22" spans="2:130" outlineLevel="1">
      <c r="B22" t="s">
        <v>27</v>
      </c>
      <c r="C22" t="s">
        <v>120</v>
      </c>
      <c r="E22" s="9"/>
      <c r="F22" t="s">
        <v>140</v>
      </c>
      <c r="G22" s="10">
        <v>0.1</v>
      </c>
      <c r="I22" s="9">
        <f t="shared" si="1"/>
        <v>0</v>
      </c>
      <c r="J22" s="11" cm="1">
        <f t="array" ref="J22">MAX(IF($N$3:$EN$3=$J$3,N22:EN22))</f>
        <v>0</v>
      </c>
      <c r="K22" s="11" cm="1">
        <f t="array" ref="K22">MAX(IF($N$3:$EN$3=$J$3,N22:EN22))</f>
        <v>0</v>
      </c>
      <c r="L22" s="9"/>
      <c r="O22" s="10"/>
      <c r="P22" s="10"/>
      <c r="Q22" s="10"/>
      <c r="R22" s="10"/>
      <c r="V22" s="10"/>
      <c r="W22" s="10"/>
      <c r="X22" s="10"/>
      <c r="Y22" s="10"/>
      <c r="AC22" s="10"/>
      <c r="AD22" s="10"/>
      <c r="AE22" s="10"/>
      <c r="AF22" s="10"/>
      <c r="AJ22" s="10"/>
      <c r="AK22" s="10"/>
      <c r="AL22" s="10"/>
      <c r="AM22" s="10"/>
      <c r="AQ22" s="10"/>
      <c r="AR22" s="10">
        <v>1</v>
      </c>
      <c r="AS22" s="10"/>
      <c r="AT22" s="10">
        <v>1</v>
      </c>
      <c r="AX22" s="10"/>
      <c r="AY22" s="10"/>
      <c r="AZ22" s="10"/>
      <c r="BA22" s="10"/>
      <c r="BE22" s="10"/>
      <c r="BF22" s="10"/>
      <c r="BG22" s="10"/>
      <c r="BH22" s="10"/>
      <c r="BL22" s="10"/>
      <c r="BM22" s="10"/>
      <c r="BN22" s="10"/>
      <c r="BO22" s="10"/>
      <c r="BS22" s="10"/>
      <c r="BT22" s="10">
        <v>0.8</v>
      </c>
      <c r="BU22" s="10"/>
      <c r="BV22" s="10">
        <v>0.8</v>
      </c>
      <c r="BZ22" s="10"/>
      <c r="CA22" s="10">
        <v>0.8</v>
      </c>
      <c r="CB22" s="10"/>
      <c r="CC22" s="10">
        <v>0.8</v>
      </c>
      <c r="CG22" s="10"/>
      <c r="CH22" s="10">
        <v>1</v>
      </c>
      <c r="CI22" s="10"/>
      <c r="CJ22" s="10">
        <v>1</v>
      </c>
      <c r="CN22" s="10"/>
      <c r="CO22" s="10"/>
      <c r="CP22" s="10"/>
      <c r="CQ22" s="10"/>
      <c r="CU22" s="10"/>
      <c r="CV22" s="10"/>
      <c r="CW22" s="10"/>
      <c r="CX22" s="10"/>
      <c r="DB22" s="10"/>
      <c r="DC22" s="10"/>
      <c r="DD22" s="10"/>
      <c r="DE22" s="10"/>
      <c r="DI22" s="10"/>
      <c r="DJ22" s="10"/>
      <c r="DK22" s="10"/>
      <c r="DL22" s="10"/>
      <c r="DP22" s="10"/>
      <c r="DQ22" s="10"/>
      <c r="DR22" s="10"/>
      <c r="DS22" s="10"/>
      <c r="DW22" s="10"/>
      <c r="DX22" s="10"/>
      <c r="DY22" s="10"/>
      <c r="DZ22" s="10"/>
    </row>
    <row r="24" spans="2:130" outlineLevel="1">
      <c r="B24" t="s">
        <v>27</v>
      </c>
      <c r="C24" t="s">
        <v>99</v>
      </c>
      <c r="E24" s="9"/>
      <c r="F24" t="s">
        <v>141</v>
      </c>
      <c r="G24" s="10">
        <v>0.2</v>
      </c>
      <c r="I24" s="9">
        <f t="shared" ref="I24:I42" si="2">+SUMIF($N$3:$AAF$3,I$3,$N24:$AAF24)</f>
        <v>0</v>
      </c>
      <c r="J24" s="11" cm="1">
        <f t="array" ref="J24">MAX(IF($N$3:$EN$3=$J$3,N24:EN24))</f>
        <v>0</v>
      </c>
      <c r="K24" s="11" cm="1">
        <f t="array" ref="K24">MAX(IF($N$3:$EN$3=$J$3,N24:EN24))</f>
        <v>0</v>
      </c>
      <c r="L24" s="9"/>
      <c r="O24" s="10"/>
      <c r="P24" s="10"/>
      <c r="Q24" s="10"/>
      <c r="R24" s="10"/>
      <c r="V24" s="10"/>
      <c r="W24" s="10"/>
      <c r="X24" s="10"/>
      <c r="Y24" s="10"/>
      <c r="AC24" s="10"/>
      <c r="AD24" s="10"/>
      <c r="AE24" s="10"/>
      <c r="AF24" s="10"/>
      <c r="AJ24" s="10"/>
      <c r="AK24" s="10"/>
      <c r="AL24" s="10"/>
      <c r="AM24" s="10"/>
      <c r="AQ24" s="10"/>
      <c r="AR24" s="10">
        <v>1</v>
      </c>
      <c r="AS24" s="10"/>
      <c r="AT24" s="10">
        <v>1</v>
      </c>
      <c r="AX24" s="10"/>
      <c r="AY24" s="10"/>
      <c r="AZ24" s="10"/>
      <c r="BA24" s="10"/>
      <c r="BE24" s="10"/>
      <c r="BF24" s="10"/>
      <c r="BG24" s="10"/>
      <c r="BH24" s="10"/>
      <c r="BL24" s="10"/>
      <c r="BM24" s="10"/>
      <c r="BN24" s="10"/>
      <c r="BO24" s="10"/>
      <c r="BS24" s="10"/>
      <c r="BT24" s="10">
        <v>0.8</v>
      </c>
      <c r="BU24" s="10"/>
      <c r="BV24" s="10">
        <v>0.8</v>
      </c>
      <c r="BZ24" s="10"/>
      <c r="CA24" s="10">
        <v>0.8</v>
      </c>
      <c r="CB24" s="10"/>
      <c r="CC24" s="10">
        <v>0.8</v>
      </c>
      <c r="CG24" s="10"/>
      <c r="CH24" s="10">
        <v>1</v>
      </c>
      <c r="CI24" s="10"/>
      <c r="CJ24" s="10">
        <v>1</v>
      </c>
      <c r="CN24" s="10"/>
      <c r="CO24" s="10"/>
      <c r="CP24" s="10"/>
      <c r="CQ24" s="10"/>
      <c r="CU24" s="10"/>
      <c r="CV24" s="10"/>
      <c r="CW24" s="10"/>
      <c r="CX24" s="10"/>
      <c r="DB24" s="10"/>
      <c r="DC24" s="10"/>
      <c r="DD24" s="10"/>
      <c r="DE24" s="10"/>
      <c r="DI24" s="10"/>
      <c r="DJ24" s="10"/>
      <c r="DK24" s="10"/>
      <c r="DL24" s="10"/>
      <c r="DP24" s="10"/>
      <c r="DQ24" s="10"/>
      <c r="DR24" s="10"/>
      <c r="DS24" s="10"/>
      <c r="DW24" s="10"/>
      <c r="DX24" s="10"/>
      <c r="DY24" s="10"/>
      <c r="DZ24" s="10"/>
    </row>
    <row r="25" spans="2:130" outlineLevel="1">
      <c r="B25" t="s">
        <v>27</v>
      </c>
      <c r="C25" t="s">
        <v>99</v>
      </c>
      <c r="E25" s="9"/>
      <c r="F25" t="s">
        <v>142</v>
      </c>
      <c r="G25" s="10">
        <v>0.2</v>
      </c>
      <c r="I25" s="9">
        <f t="shared" si="2"/>
        <v>0</v>
      </c>
      <c r="J25" s="11" cm="1">
        <f t="array" ref="J25">MAX(IF($N$3:$EN$3=$J$3,N25:EN25))</f>
        <v>0</v>
      </c>
      <c r="K25" s="11" cm="1">
        <f t="array" ref="K25">MAX(IF($N$3:$EN$3=$J$3,N25:EN25))</f>
        <v>0</v>
      </c>
      <c r="L25" s="9"/>
      <c r="O25" s="10"/>
      <c r="P25" s="10"/>
      <c r="Q25" s="10"/>
      <c r="R25" s="10"/>
      <c r="V25" s="10"/>
      <c r="W25" s="10"/>
      <c r="X25" s="10"/>
      <c r="Y25" s="10"/>
      <c r="AC25" s="10"/>
      <c r="AD25" s="10"/>
      <c r="AE25" s="10"/>
      <c r="AF25" s="10"/>
      <c r="AJ25" s="10"/>
      <c r="AK25" s="10"/>
      <c r="AL25" s="10"/>
      <c r="AM25" s="10"/>
      <c r="AQ25" s="10"/>
      <c r="AR25" s="10">
        <v>1</v>
      </c>
      <c r="AS25" s="10"/>
      <c r="AT25" s="10">
        <v>1</v>
      </c>
      <c r="AX25" s="10"/>
      <c r="AY25" s="10"/>
      <c r="AZ25" s="10"/>
      <c r="BA25" s="10"/>
      <c r="BE25" s="10"/>
      <c r="BF25" s="10"/>
      <c r="BG25" s="10"/>
      <c r="BH25" s="10"/>
      <c r="BL25" s="10"/>
      <c r="BM25" s="10"/>
      <c r="BN25" s="10"/>
      <c r="BO25" s="10"/>
      <c r="BS25" s="10"/>
      <c r="BT25" s="10">
        <v>0.8</v>
      </c>
      <c r="BU25" s="10"/>
      <c r="BV25" s="10">
        <v>0.8</v>
      </c>
      <c r="BZ25" s="10"/>
      <c r="CA25" s="10">
        <v>0.8</v>
      </c>
      <c r="CB25" s="10"/>
      <c r="CC25" s="10">
        <v>0.8</v>
      </c>
      <c r="CG25" s="10"/>
      <c r="CH25" s="10">
        <v>1</v>
      </c>
      <c r="CI25" s="10"/>
      <c r="CJ25" s="10">
        <v>1</v>
      </c>
      <c r="CN25" s="10"/>
      <c r="CO25" s="10"/>
      <c r="CP25" s="10"/>
      <c r="CQ25" s="10"/>
      <c r="CU25" s="10"/>
      <c r="CV25" s="10"/>
      <c r="CW25" s="10"/>
      <c r="CX25" s="10"/>
      <c r="DB25" s="10"/>
      <c r="DC25" s="10"/>
      <c r="DD25" s="10"/>
      <c r="DE25" s="10"/>
      <c r="DI25" s="10"/>
      <c r="DJ25" s="10"/>
      <c r="DK25" s="10"/>
      <c r="DL25" s="10"/>
      <c r="DP25" s="10"/>
      <c r="DQ25" s="10"/>
      <c r="DR25" s="10"/>
      <c r="DS25" s="10"/>
      <c r="DW25" s="10"/>
      <c r="DX25" s="10"/>
      <c r="DY25" s="10"/>
      <c r="DZ25" s="10"/>
    </row>
    <row r="26" spans="2:130" outlineLevel="1">
      <c r="B26" t="s">
        <v>27</v>
      </c>
      <c r="C26" t="s">
        <v>99</v>
      </c>
      <c r="E26" s="9"/>
      <c r="F26" t="s">
        <v>143</v>
      </c>
      <c r="G26" s="10">
        <v>0.2</v>
      </c>
      <c r="I26" s="9">
        <f t="shared" si="2"/>
        <v>0</v>
      </c>
      <c r="J26" s="11" cm="1">
        <f t="array" ref="J26">MAX(IF($N$3:$EN$3=$J$3,N26:EN26))</f>
        <v>0</v>
      </c>
      <c r="K26" s="11" cm="1">
        <f t="array" ref="K26">MAX(IF($N$3:$EN$3=$J$3,N26:EN26))</f>
        <v>0</v>
      </c>
      <c r="L26" s="9"/>
      <c r="O26" s="10"/>
      <c r="P26" s="10"/>
      <c r="Q26" s="10"/>
      <c r="R26" s="10"/>
      <c r="V26" s="10"/>
      <c r="W26" s="10"/>
      <c r="X26" s="10"/>
      <c r="Y26" s="10"/>
      <c r="AC26" s="10"/>
      <c r="AD26" s="10"/>
      <c r="AE26" s="10"/>
      <c r="AF26" s="10"/>
      <c r="AJ26" s="10"/>
      <c r="AK26" s="10"/>
      <c r="AL26" s="10"/>
      <c r="AM26" s="10"/>
      <c r="AQ26" s="10"/>
      <c r="AR26" s="10">
        <v>1</v>
      </c>
      <c r="AS26" s="10"/>
      <c r="AT26" s="10">
        <v>1</v>
      </c>
      <c r="AX26" s="10"/>
      <c r="AY26" s="10"/>
      <c r="AZ26" s="10"/>
      <c r="BA26" s="10"/>
      <c r="BE26" s="10"/>
      <c r="BF26" s="10"/>
      <c r="BG26" s="10"/>
      <c r="BH26" s="10"/>
      <c r="BL26" s="10"/>
      <c r="BM26" s="10"/>
      <c r="BN26" s="10"/>
      <c r="BO26" s="10"/>
      <c r="BS26" s="10"/>
      <c r="BT26" s="10">
        <v>0.8</v>
      </c>
      <c r="BU26" s="10"/>
      <c r="BV26" s="10">
        <v>0.8</v>
      </c>
      <c r="BZ26" s="10"/>
      <c r="CA26" s="10">
        <v>0.8</v>
      </c>
      <c r="CB26" s="10"/>
      <c r="CC26" s="10">
        <v>0.8</v>
      </c>
      <c r="CG26" s="10"/>
      <c r="CH26" s="10">
        <v>1</v>
      </c>
      <c r="CI26" s="10"/>
      <c r="CJ26" s="10">
        <v>1</v>
      </c>
      <c r="CN26" s="10"/>
      <c r="CO26" s="10"/>
      <c r="CP26" s="10"/>
      <c r="CQ26" s="10"/>
      <c r="CU26" s="10"/>
      <c r="CV26" s="10"/>
      <c r="CW26" s="10"/>
      <c r="CX26" s="10"/>
      <c r="DB26" s="10"/>
      <c r="DC26" s="10"/>
      <c r="DD26" s="10"/>
      <c r="DE26" s="10"/>
      <c r="DI26" s="10"/>
      <c r="DJ26" s="10"/>
      <c r="DK26" s="10"/>
      <c r="DL26" s="10"/>
      <c r="DP26" s="10"/>
      <c r="DQ26" s="10"/>
      <c r="DR26" s="10"/>
      <c r="DS26" s="10"/>
      <c r="DW26" s="10"/>
      <c r="DX26" s="10"/>
      <c r="DY26" s="10"/>
      <c r="DZ26" s="10"/>
    </row>
    <row r="27" spans="2:130" outlineLevel="1">
      <c r="B27" t="s">
        <v>27</v>
      </c>
      <c r="C27" t="s">
        <v>99</v>
      </c>
      <c r="E27" s="9"/>
      <c r="F27" t="s">
        <v>144</v>
      </c>
      <c r="G27" s="10">
        <v>0.2</v>
      </c>
      <c r="I27" s="9">
        <f t="shared" si="2"/>
        <v>0</v>
      </c>
      <c r="J27" s="11" cm="1">
        <f t="array" ref="J27">MAX(IF($N$3:$EN$3=$J$3,N27:EN27))</f>
        <v>0</v>
      </c>
      <c r="K27" s="11" cm="1">
        <f t="array" ref="K27">MAX(IF($N$3:$EN$3=$J$3,N27:EN27))</f>
        <v>0</v>
      </c>
      <c r="L27" s="9"/>
      <c r="O27" s="10"/>
      <c r="P27" s="10"/>
      <c r="Q27" s="10"/>
      <c r="R27" s="10"/>
      <c r="V27" s="10"/>
      <c r="W27" s="10"/>
      <c r="X27" s="10"/>
      <c r="Y27" s="10"/>
      <c r="AC27" s="10"/>
      <c r="AD27" s="10"/>
      <c r="AE27" s="10"/>
      <c r="AF27" s="10"/>
      <c r="AJ27" s="10"/>
      <c r="AK27" s="10"/>
      <c r="AL27" s="10"/>
      <c r="AM27" s="10"/>
      <c r="AQ27" s="10"/>
      <c r="AR27" s="10">
        <v>1</v>
      </c>
      <c r="AS27" s="10"/>
      <c r="AT27" s="10">
        <v>1</v>
      </c>
      <c r="AX27" s="10"/>
      <c r="AY27" s="10"/>
      <c r="AZ27" s="10"/>
      <c r="BA27" s="10"/>
      <c r="BE27" s="10"/>
      <c r="BF27" s="10"/>
      <c r="BG27" s="10"/>
      <c r="BH27" s="10"/>
      <c r="BL27" s="10"/>
      <c r="BM27" s="10"/>
      <c r="BN27" s="10"/>
      <c r="BO27" s="10"/>
      <c r="BS27" s="10"/>
      <c r="BT27" s="10">
        <v>0.8</v>
      </c>
      <c r="BU27" s="10"/>
      <c r="BV27" s="10">
        <v>0.8</v>
      </c>
      <c r="BZ27" s="10"/>
      <c r="CA27" s="10">
        <v>0.8</v>
      </c>
      <c r="CB27" s="10"/>
      <c r="CC27" s="10">
        <v>0.8</v>
      </c>
      <c r="CG27" s="10"/>
      <c r="CH27" s="10">
        <v>1</v>
      </c>
      <c r="CI27" s="10"/>
      <c r="CJ27" s="10">
        <v>1</v>
      </c>
      <c r="CN27" s="10"/>
      <c r="CO27" s="10"/>
      <c r="CP27" s="10"/>
      <c r="CQ27" s="10"/>
      <c r="CU27" s="10"/>
      <c r="CV27" s="10"/>
      <c r="CW27" s="10"/>
      <c r="CX27" s="10"/>
      <c r="DB27" s="10"/>
      <c r="DC27" s="10"/>
      <c r="DD27" s="10"/>
      <c r="DE27" s="10"/>
      <c r="DI27" s="10"/>
      <c r="DJ27" s="10"/>
      <c r="DK27" s="10"/>
      <c r="DL27" s="10"/>
      <c r="DP27" s="10"/>
      <c r="DQ27" s="10"/>
      <c r="DR27" s="10"/>
      <c r="DS27" s="10"/>
      <c r="DW27" s="10"/>
      <c r="DX27" s="10"/>
      <c r="DY27" s="10"/>
      <c r="DZ27" s="10"/>
    </row>
    <row r="28" spans="2:130" outlineLevel="1">
      <c r="B28" t="s">
        <v>27</v>
      </c>
      <c r="C28" t="s">
        <v>99</v>
      </c>
      <c r="E28" s="9"/>
      <c r="F28" t="s">
        <v>145</v>
      </c>
      <c r="G28" s="10">
        <v>0.2</v>
      </c>
      <c r="I28" s="9">
        <f t="shared" si="2"/>
        <v>0</v>
      </c>
      <c r="J28" s="11" cm="1">
        <f t="array" ref="J28">MAX(IF($N$3:$EN$3=$J$3,N28:EN28))</f>
        <v>0</v>
      </c>
      <c r="K28" s="11" cm="1">
        <f t="array" ref="K28">MAX(IF($N$3:$EN$3=$J$3,N28:EN28))</f>
        <v>0</v>
      </c>
      <c r="L28" s="9"/>
      <c r="O28" s="10"/>
      <c r="P28" s="10"/>
      <c r="Q28" s="10"/>
      <c r="R28" s="10"/>
      <c r="V28" s="10"/>
      <c r="W28" s="10"/>
      <c r="X28" s="10"/>
      <c r="Y28" s="10"/>
      <c r="AC28" s="10"/>
      <c r="AD28" s="10"/>
      <c r="AE28" s="10"/>
      <c r="AF28" s="10"/>
      <c r="AJ28" s="10"/>
      <c r="AK28" s="10"/>
      <c r="AL28" s="10"/>
      <c r="AM28" s="10"/>
      <c r="AQ28" s="10"/>
      <c r="AR28" s="10">
        <v>1</v>
      </c>
      <c r="AS28" s="10"/>
      <c r="AT28" s="10">
        <v>1</v>
      </c>
      <c r="AX28" s="10"/>
      <c r="AY28" s="10"/>
      <c r="AZ28" s="10"/>
      <c r="BA28" s="10"/>
      <c r="BE28" s="10"/>
      <c r="BF28" s="10"/>
      <c r="BG28" s="10"/>
      <c r="BH28" s="10"/>
      <c r="BL28" s="10"/>
      <c r="BM28" s="10"/>
      <c r="BN28" s="10"/>
      <c r="BO28" s="10"/>
      <c r="BS28" s="10"/>
      <c r="BT28" s="10">
        <v>0.8</v>
      </c>
      <c r="BU28" s="10"/>
      <c r="BV28" s="10">
        <v>0.8</v>
      </c>
      <c r="BZ28" s="10"/>
      <c r="CA28" s="10">
        <v>0.8</v>
      </c>
      <c r="CB28" s="10"/>
      <c r="CC28" s="10">
        <v>0.8</v>
      </c>
      <c r="CG28" s="10"/>
      <c r="CH28" s="10">
        <v>1</v>
      </c>
      <c r="CI28" s="10"/>
      <c r="CJ28" s="10">
        <v>1</v>
      </c>
      <c r="CN28" s="10"/>
      <c r="CO28" s="10"/>
      <c r="CP28" s="10"/>
      <c r="CQ28" s="10"/>
      <c r="CU28" s="10"/>
      <c r="CV28" s="10"/>
      <c r="CW28" s="10"/>
      <c r="CX28" s="10"/>
      <c r="DB28" s="10"/>
      <c r="DC28" s="10"/>
      <c r="DD28" s="10"/>
      <c r="DE28" s="10"/>
      <c r="DI28" s="10"/>
      <c r="DJ28" s="10"/>
      <c r="DK28" s="10"/>
      <c r="DL28" s="10"/>
      <c r="DP28" s="10"/>
      <c r="DQ28" s="10"/>
      <c r="DR28" s="10"/>
      <c r="DS28" s="10"/>
      <c r="DW28" s="10"/>
      <c r="DX28" s="10"/>
      <c r="DY28" s="10"/>
      <c r="DZ28" s="10"/>
    </row>
    <row r="29" spans="2:130" outlineLevel="1">
      <c r="B29" t="s">
        <v>27</v>
      </c>
      <c r="C29" t="s">
        <v>99</v>
      </c>
      <c r="E29" s="9"/>
      <c r="F29" t="s">
        <v>146</v>
      </c>
      <c r="G29" s="10">
        <v>0.2</v>
      </c>
      <c r="I29" s="9">
        <f t="shared" si="2"/>
        <v>0</v>
      </c>
      <c r="J29" s="11" cm="1">
        <f t="array" ref="J29">MAX(IF($N$3:$EN$3=$J$3,N29:EN29))</f>
        <v>0</v>
      </c>
      <c r="K29" s="11" cm="1">
        <f t="array" ref="K29">MAX(IF($N$3:$EN$3=$J$3,N29:EN29))</f>
        <v>0</v>
      </c>
      <c r="L29" s="9"/>
      <c r="O29" s="10"/>
      <c r="P29" s="10"/>
      <c r="Q29" s="10"/>
      <c r="R29" s="10"/>
      <c r="V29" s="10"/>
      <c r="W29" s="10"/>
      <c r="X29" s="10"/>
      <c r="Y29" s="10"/>
      <c r="AC29" s="10"/>
      <c r="AD29" s="10"/>
      <c r="AE29" s="10"/>
      <c r="AF29" s="10"/>
      <c r="AJ29" s="10"/>
      <c r="AK29" s="10"/>
      <c r="AL29" s="10"/>
      <c r="AM29" s="10"/>
      <c r="AQ29" s="10"/>
      <c r="AR29" s="10">
        <v>1</v>
      </c>
      <c r="AS29" s="10"/>
      <c r="AT29" s="10">
        <v>1</v>
      </c>
      <c r="AX29" s="10"/>
      <c r="AY29" s="10"/>
      <c r="AZ29" s="10"/>
      <c r="BA29" s="10"/>
      <c r="BE29" s="10"/>
      <c r="BF29" s="10"/>
      <c r="BG29" s="10"/>
      <c r="BH29" s="10"/>
      <c r="BL29" s="10"/>
      <c r="BM29" s="10"/>
      <c r="BN29" s="10"/>
      <c r="BO29" s="10"/>
      <c r="BS29" s="10"/>
      <c r="BT29" s="10">
        <v>0.8</v>
      </c>
      <c r="BU29" s="10"/>
      <c r="BV29" s="10">
        <v>0.8</v>
      </c>
      <c r="BZ29" s="10"/>
      <c r="CA29" s="10">
        <v>0.8</v>
      </c>
      <c r="CB29" s="10"/>
      <c r="CC29" s="10">
        <v>0.8</v>
      </c>
      <c r="CG29" s="10"/>
      <c r="CH29" s="10">
        <v>1</v>
      </c>
      <c r="CI29" s="10"/>
      <c r="CJ29" s="10">
        <v>1</v>
      </c>
      <c r="CN29" s="10"/>
      <c r="CO29" s="10"/>
      <c r="CP29" s="10"/>
      <c r="CQ29" s="10"/>
      <c r="CU29" s="10"/>
      <c r="CV29" s="10"/>
      <c r="CW29" s="10"/>
      <c r="CX29" s="10"/>
      <c r="DB29" s="10"/>
      <c r="DC29" s="10"/>
      <c r="DD29" s="10"/>
      <c r="DE29" s="10"/>
      <c r="DI29" s="10"/>
      <c r="DJ29" s="10"/>
      <c r="DK29" s="10"/>
      <c r="DL29" s="10"/>
      <c r="DP29" s="10"/>
      <c r="DQ29" s="10"/>
      <c r="DR29" s="10"/>
      <c r="DS29" s="10"/>
      <c r="DW29" s="10"/>
      <c r="DX29" s="10"/>
      <c r="DY29" s="10"/>
      <c r="DZ29" s="10"/>
    </row>
    <row r="30" spans="2:130" outlineLevel="1">
      <c r="B30" t="s">
        <v>27</v>
      </c>
      <c r="C30" t="s">
        <v>99</v>
      </c>
      <c r="E30" s="9"/>
      <c r="F30" t="s">
        <v>147</v>
      </c>
      <c r="G30" s="10">
        <v>0.2</v>
      </c>
      <c r="I30" s="9">
        <f t="shared" si="2"/>
        <v>0</v>
      </c>
      <c r="J30" s="11" cm="1">
        <f t="array" ref="J30">MAX(IF($N$3:$EN$3=$J$3,N30:EN30))</f>
        <v>0</v>
      </c>
      <c r="K30" s="11" cm="1">
        <f t="array" ref="K30">MAX(IF($N$3:$EN$3=$J$3,N30:EN30))</f>
        <v>0</v>
      </c>
      <c r="L30" s="9"/>
      <c r="O30" s="10"/>
      <c r="P30" s="10"/>
      <c r="Q30" s="10"/>
      <c r="R30" s="10"/>
      <c r="V30" s="10"/>
      <c r="W30" s="10"/>
      <c r="X30" s="10"/>
      <c r="Y30" s="10"/>
      <c r="AC30" s="10"/>
      <c r="AD30" s="10"/>
      <c r="AE30" s="10"/>
      <c r="AF30" s="10"/>
      <c r="AJ30" s="10"/>
      <c r="AK30" s="10"/>
      <c r="AL30" s="10"/>
      <c r="AM30" s="10"/>
      <c r="AQ30" s="10"/>
      <c r="AR30" s="10">
        <v>1</v>
      </c>
      <c r="AS30" s="10"/>
      <c r="AT30" s="10">
        <v>1</v>
      </c>
      <c r="AX30" s="10"/>
      <c r="AY30" s="10"/>
      <c r="AZ30" s="10"/>
      <c r="BA30" s="10"/>
      <c r="BE30" s="10"/>
      <c r="BF30" s="10"/>
      <c r="BG30" s="10"/>
      <c r="BH30" s="10"/>
      <c r="BL30" s="10"/>
      <c r="BM30" s="10"/>
      <c r="BN30" s="10"/>
      <c r="BO30" s="10"/>
      <c r="BS30" s="10"/>
      <c r="BT30" s="10">
        <v>0.8</v>
      </c>
      <c r="BU30" s="10"/>
      <c r="BV30" s="10">
        <v>0.8</v>
      </c>
      <c r="BZ30" s="10"/>
      <c r="CA30" s="10">
        <v>0.8</v>
      </c>
      <c r="CB30" s="10"/>
      <c r="CC30" s="10">
        <v>0.8</v>
      </c>
      <c r="CG30" s="10"/>
      <c r="CH30" s="10">
        <v>1</v>
      </c>
      <c r="CI30" s="10"/>
      <c r="CJ30" s="10">
        <v>1</v>
      </c>
      <c r="CN30" s="10"/>
      <c r="CO30" s="10"/>
      <c r="CP30" s="10"/>
      <c r="CQ30" s="10"/>
      <c r="CU30" s="10"/>
      <c r="CV30" s="10"/>
      <c r="CW30" s="10"/>
      <c r="CX30" s="10"/>
      <c r="DB30" s="10"/>
      <c r="DC30" s="10"/>
      <c r="DD30" s="10"/>
      <c r="DE30" s="10"/>
      <c r="DI30" s="10"/>
      <c r="DJ30" s="10"/>
      <c r="DK30" s="10"/>
      <c r="DL30" s="10"/>
      <c r="DP30" s="10"/>
      <c r="DQ30" s="10"/>
      <c r="DR30" s="10"/>
      <c r="DS30" s="10"/>
      <c r="DW30" s="10"/>
      <c r="DX30" s="10"/>
      <c r="DY30" s="10"/>
      <c r="DZ30" s="10"/>
    </row>
    <row r="31" spans="2:130" outlineLevel="1">
      <c r="B31" t="s">
        <v>27</v>
      </c>
      <c r="C31" t="s">
        <v>99</v>
      </c>
      <c r="E31" s="9"/>
      <c r="F31" t="s">
        <v>148</v>
      </c>
      <c r="G31" s="10">
        <v>0.2</v>
      </c>
      <c r="I31" s="9">
        <f t="shared" si="2"/>
        <v>0</v>
      </c>
      <c r="J31" s="11" cm="1">
        <f t="array" ref="J31">MAX(IF($N$3:$EN$3=$J$3,N31:EN31))</f>
        <v>0</v>
      </c>
      <c r="K31" s="11" cm="1">
        <f t="array" ref="K31">MAX(IF($N$3:$EN$3=$J$3,N31:EN31))</f>
        <v>0</v>
      </c>
      <c r="L31" s="9"/>
      <c r="O31" s="10"/>
      <c r="P31" s="10"/>
      <c r="Q31" s="10"/>
      <c r="R31" s="10"/>
      <c r="V31" s="10"/>
      <c r="W31" s="10"/>
      <c r="X31" s="10"/>
      <c r="Y31" s="10"/>
      <c r="AC31" s="10"/>
      <c r="AD31" s="10"/>
      <c r="AE31" s="10"/>
      <c r="AF31" s="10"/>
      <c r="AJ31" s="10"/>
      <c r="AK31" s="10"/>
      <c r="AL31" s="10"/>
      <c r="AM31" s="10"/>
      <c r="AQ31" s="10"/>
      <c r="AR31" s="10">
        <v>1</v>
      </c>
      <c r="AS31" s="10"/>
      <c r="AT31" s="10">
        <v>1</v>
      </c>
      <c r="AX31" s="10"/>
      <c r="AY31" s="10"/>
      <c r="AZ31" s="10"/>
      <c r="BA31" s="10"/>
      <c r="BE31" s="10"/>
      <c r="BF31" s="10"/>
      <c r="BG31" s="10"/>
      <c r="BH31" s="10"/>
      <c r="BL31" s="10"/>
      <c r="BM31" s="10"/>
      <c r="BN31" s="10"/>
      <c r="BO31" s="10"/>
      <c r="BS31" s="10"/>
      <c r="BT31" s="10">
        <v>0.8</v>
      </c>
      <c r="BU31" s="10"/>
      <c r="BV31" s="10">
        <v>0.8</v>
      </c>
      <c r="BZ31" s="10"/>
      <c r="CA31" s="10">
        <v>0.8</v>
      </c>
      <c r="CB31" s="10"/>
      <c r="CC31" s="10">
        <v>0.8</v>
      </c>
      <c r="CG31" s="10"/>
      <c r="CH31" s="10">
        <v>1</v>
      </c>
      <c r="CI31" s="10"/>
      <c r="CJ31" s="10">
        <v>1</v>
      </c>
      <c r="CN31" s="10"/>
      <c r="CO31" s="10"/>
      <c r="CP31" s="10"/>
      <c r="CQ31" s="10"/>
      <c r="CU31" s="10"/>
      <c r="CV31" s="10"/>
      <c r="CW31" s="10"/>
      <c r="CX31" s="10"/>
      <c r="DB31" s="10"/>
      <c r="DC31" s="10"/>
      <c r="DD31" s="10"/>
      <c r="DE31" s="10"/>
      <c r="DI31" s="10"/>
      <c r="DJ31" s="10"/>
      <c r="DK31" s="10"/>
      <c r="DL31" s="10"/>
      <c r="DP31" s="10"/>
      <c r="DQ31" s="10"/>
      <c r="DR31" s="10"/>
      <c r="DS31" s="10"/>
      <c r="DW31" s="10"/>
      <c r="DX31" s="10"/>
      <c r="DY31" s="10"/>
      <c r="DZ31" s="10"/>
    </row>
    <row r="32" spans="2:130" outlineLevel="1">
      <c r="B32" t="s">
        <v>27</v>
      </c>
      <c r="C32" t="s">
        <v>99</v>
      </c>
      <c r="E32" s="9"/>
      <c r="F32" t="s">
        <v>149</v>
      </c>
      <c r="G32" s="10">
        <v>0.2</v>
      </c>
      <c r="I32" s="9">
        <f t="shared" si="2"/>
        <v>0</v>
      </c>
      <c r="J32" s="11" cm="1">
        <f t="array" ref="J32">MAX(IF($N$3:$EN$3=$J$3,N32:EN32))</f>
        <v>0</v>
      </c>
      <c r="K32" s="11" cm="1">
        <f t="array" ref="K32">MAX(IF($N$3:$EN$3=$J$3,N32:EN32))</f>
        <v>0</v>
      </c>
      <c r="L32" s="9"/>
      <c r="O32" s="10"/>
      <c r="P32" s="10"/>
      <c r="Q32" s="10"/>
      <c r="R32" s="10"/>
      <c r="V32" s="10"/>
      <c r="W32" s="10"/>
      <c r="X32" s="10"/>
      <c r="Y32" s="10"/>
      <c r="AC32" s="10"/>
      <c r="AD32" s="10"/>
      <c r="AE32" s="10"/>
      <c r="AF32" s="10"/>
      <c r="AJ32" s="10"/>
      <c r="AK32" s="10"/>
      <c r="AL32" s="10"/>
      <c r="AM32" s="10"/>
      <c r="AQ32" s="10"/>
      <c r="AR32" s="10">
        <v>1</v>
      </c>
      <c r="AS32" s="10"/>
      <c r="AT32" s="10">
        <v>1</v>
      </c>
      <c r="AX32" s="10"/>
      <c r="AY32" s="10"/>
      <c r="AZ32" s="10"/>
      <c r="BA32" s="10"/>
      <c r="BE32" s="10"/>
      <c r="BF32" s="10"/>
      <c r="BG32" s="10"/>
      <c r="BH32" s="10"/>
      <c r="BL32" s="10"/>
      <c r="BM32" s="10"/>
      <c r="BN32" s="10"/>
      <c r="BO32" s="10"/>
      <c r="BS32" s="10"/>
      <c r="BT32" s="10">
        <v>0.8</v>
      </c>
      <c r="BU32" s="10"/>
      <c r="BV32" s="10">
        <v>0.8</v>
      </c>
      <c r="BZ32" s="10"/>
      <c r="CA32" s="10">
        <v>0.8</v>
      </c>
      <c r="CB32" s="10"/>
      <c r="CC32" s="10">
        <v>0.8</v>
      </c>
      <c r="CG32" s="10"/>
      <c r="CH32" s="10">
        <v>1</v>
      </c>
      <c r="CI32" s="10"/>
      <c r="CJ32" s="10">
        <v>1</v>
      </c>
      <c r="CN32" s="10"/>
      <c r="CO32" s="10"/>
      <c r="CP32" s="10"/>
      <c r="CQ32" s="10"/>
      <c r="CU32" s="10"/>
      <c r="CV32" s="10"/>
      <c r="CW32" s="10"/>
      <c r="CX32" s="10"/>
      <c r="DB32" s="10"/>
      <c r="DC32" s="10"/>
      <c r="DD32" s="10"/>
      <c r="DE32" s="10"/>
      <c r="DI32" s="10"/>
      <c r="DJ32" s="10"/>
      <c r="DK32" s="10"/>
      <c r="DL32" s="10"/>
      <c r="DP32" s="10"/>
      <c r="DQ32" s="10"/>
      <c r="DR32" s="10"/>
      <c r="DS32" s="10"/>
      <c r="DW32" s="10"/>
      <c r="DX32" s="10"/>
      <c r="DY32" s="10"/>
      <c r="DZ32" s="10"/>
    </row>
    <row r="33" spans="2:130" outlineLevel="1">
      <c r="B33" t="s">
        <v>27</v>
      </c>
      <c r="C33" t="s">
        <v>99</v>
      </c>
      <c r="E33" s="9"/>
      <c r="F33" t="s">
        <v>150</v>
      </c>
      <c r="G33" s="10">
        <v>0.2</v>
      </c>
      <c r="I33" s="9">
        <f t="shared" si="2"/>
        <v>0</v>
      </c>
      <c r="J33" s="11" cm="1">
        <f t="array" ref="J33">MAX(IF($N$3:$EN$3=$J$3,N33:EN33))</f>
        <v>0</v>
      </c>
      <c r="K33" s="11" cm="1">
        <f t="array" ref="K33">MAX(IF($N$3:$EN$3=$J$3,N33:EN33))</f>
        <v>0</v>
      </c>
      <c r="L33" s="9"/>
      <c r="O33" s="10"/>
      <c r="P33" s="10"/>
      <c r="Q33" s="10"/>
      <c r="R33" s="10"/>
      <c r="V33" s="10"/>
      <c r="W33" s="10"/>
      <c r="X33" s="10"/>
      <c r="Y33" s="10"/>
      <c r="AC33" s="10"/>
      <c r="AD33" s="10"/>
      <c r="AE33" s="10"/>
      <c r="AF33" s="10"/>
      <c r="AJ33" s="10"/>
      <c r="AK33" s="10"/>
      <c r="AL33" s="10"/>
      <c r="AM33" s="10"/>
      <c r="AQ33" s="10"/>
      <c r="AR33" s="10">
        <v>1</v>
      </c>
      <c r="AS33" s="10"/>
      <c r="AT33" s="10">
        <v>1</v>
      </c>
      <c r="AX33" s="10"/>
      <c r="AY33" s="10"/>
      <c r="AZ33" s="10"/>
      <c r="BA33" s="10"/>
      <c r="BE33" s="10"/>
      <c r="BF33" s="10"/>
      <c r="BG33" s="10"/>
      <c r="BH33" s="10"/>
      <c r="BL33" s="10"/>
      <c r="BM33" s="10"/>
      <c r="BN33" s="10"/>
      <c r="BO33" s="10"/>
      <c r="BS33" s="10"/>
      <c r="BT33" s="10">
        <v>0.8</v>
      </c>
      <c r="BU33" s="10"/>
      <c r="BV33" s="10">
        <v>0.8</v>
      </c>
      <c r="BZ33" s="10"/>
      <c r="CA33" s="10">
        <v>0.8</v>
      </c>
      <c r="CB33" s="10"/>
      <c r="CC33" s="10">
        <v>0.8</v>
      </c>
      <c r="CG33" s="10"/>
      <c r="CH33" s="10">
        <v>1</v>
      </c>
      <c r="CI33" s="10"/>
      <c r="CJ33" s="10">
        <v>1</v>
      </c>
      <c r="CN33" s="10"/>
      <c r="CO33" s="10"/>
      <c r="CP33" s="10"/>
      <c r="CQ33" s="10"/>
      <c r="CU33" s="10"/>
      <c r="CV33" s="10"/>
      <c r="CW33" s="10"/>
      <c r="CX33" s="10"/>
      <c r="DB33" s="10"/>
      <c r="DC33" s="10"/>
      <c r="DD33" s="10"/>
      <c r="DE33" s="10"/>
      <c r="DI33" s="10"/>
      <c r="DJ33" s="10"/>
      <c r="DK33" s="10"/>
      <c r="DL33" s="10"/>
      <c r="DP33" s="10"/>
      <c r="DQ33" s="10"/>
      <c r="DR33" s="10"/>
      <c r="DS33" s="10"/>
      <c r="DW33" s="10"/>
      <c r="DX33" s="10"/>
      <c r="DY33" s="10"/>
      <c r="DZ33" s="10"/>
    </row>
    <row r="34" spans="2:130" outlineLevel="1">
      <c r="B34" t="s">
        <v>27</v>
      </c>
      <c r="C34" t="s">
        <v>99</v>
      </c>
      <c r="E34" s="9"/>
      <c r="F34" t="s">
        <v>151</v>
      </c>
      <c r="G34" s="10">
        <v>0.2</v>
      </c>
      <c r="I34" s="9">
        <f t="shared" si="2"/>
        <v>0</v>
      </c>
      <c r="J34" s="11" cm="1">
        <f t="array" ref="J34">MAX(IF($N$3:$EN$3=$J$3,N34:EN34))</f>
        <v>0</v>
      </c>
      <c r="K34" s="11" cm="1">
        <f t="array" ref="K34">MAX(IF($N$3:$EN$3=$J$3,N34:EN34))</f>
        <v>0</v>
      </c>
      <c r="L34" s="9"/>
      <c r="O34" s="10"/>
      <c r="P34" s="10"/>
      <c r="Q34" s="10"/>
      <c r="R34" s="10"/>
      <c r="V34" s="10"/>
      <c r="W34" s="10"/>
      <c r="X34" s="10"/>
      <c r="Y34" s="10"/>
      <c r="AC34" s="10"/>
      <c r="AD34" s="10"/>
      <c r="AE34" s="10"/>
      <c r="AF34" s="10"/>
      <c r="AJ34" s="10"/>
      <c r="AK34" s="10"/>
      <c r="AL34" s="10"/>
      <c r="AM34" s="10"/>
      <c r="AQ34" s="10"/>
      <c r="AR34" s="10">
        <v>1</v>
      </c>
      <c r="AS34" s="10"/>
      <c r="AT34" s="10">
        <v>1</v>
      </c>
      <c r="AX34" s="10"/>
      <c r="AY34" s="10"/>
      <c r="AZ34" s="10"/>
      <c r="BA34" s="10"/>
      <c r="BE34" s="10"/>
      <c r="BF34" s="10"/>
      <c r="BG34" s="10"/>
      <c r="BH34" s="10"/>
      <c r="BL34" s="10"/>
      <c r="BM34" s="10"/>
      <c r="BN34" s="10"/>
      <c r="BO34" s="10"/>
      <c r="BS34" s="10"/>
      <c r="BT34" s="10">
        <v>0.8</v>
      </c>
      <c r="BU34" s="10"/>
      <c r="BV34" s="10">
        <v>0.8</v>
      </c>
      <c r="BZ34" s="10"/>
      <c r="CA34" s="10">
        <v>0.8</v>
      </c>
      <c r="CB34" s="10"/>
      <c r="CC34" s="10">
        <v>0.8</v>
      </c>
      <c r="CG34" s="10"/>
      <c r="CH34" s="10">
        <v>1</v>
      </c>
      <c r="CI34" s="10"/>
      <c r="CJ34" s="10">
        <v>1</v>
      </c>
      <c r="CN34" s="10"/>
      <c r="CO34" s="10"/>
      <c r="CP34" s="10"/>
      <c r="CQ34" s="10"/>
      <c r="CU34" s="10"/>
      <c r="CV34" s="10"/>
      <c r="CW34" s="10"/>
      <c r="CX34" s="10"/>
      <c r="DB34" s="10"/>
      <c r="DC34" s="10"/>
      <c r="DD34" s="10"/>
      <c r="DE34" s="10"/>
      <c r="DI34" s="10"/>
      <c r="DJ34" s="10"/>
      <c r="DK34" s="10"/>
      <c r="DL34" s="10"/>
      <c r="DP34" s="10"/>
      <c r="DQ34" s="10"/>
      <c r="DR34" s="10"/>
      <c r="DS34" s="10"/>
      <c r="DW34" s="10"/>
      <c r="DX34" s="10"/>
      <c r="DY34" s="10"/>
      <c r="DZ34" s="10"/>
    </row>
    <row r="35" spans="2:130" outlineLevel="1">
      <c r="B35" t="s">
        <v>27</v>
      </c>
      <c r="C35" t="s">
        <v>99</v>
      </c>
      <c r="E35" s="9"/>
      <c r="F35" t="s">
        <v>152</v>
      </c>
      <c r="G35" s="10">
        <v>0.2</v>
      </c>
      <c r="I35" s="9">
        <f t="shared" si="2"/>
        <v>0</v>
      </c>
      <c r="J35" s="11" cm="1">
        <f t="array" ref="J35">MAX(IF($N$3:$EN$3=$J$3,N35:EN35))</f>
        <v>0</v>
      </c>
      <c r="K35" s="11" cm="1">
        <f t="array" ref="K35">MAX(IF($N$3:$EN$3=$J$3,N35:EN35))</f>
        <v>0</v>
      </c>
      <c r="L35" s="9"/>
      <c r="O35" s="10"/>
      <c r="P35" s="10"/>
      <c r="Q35" s="10"/>
      <c r="R35" s="10"/>
      <c r="V35" s="10"/>
      <c r="W35" s="10"/>
      <c r="X35" s="10"/>
      <c r="Y35" s="10"/>
      <c r="AC35" s="10"/>
      <c r="AD35" s="10"/>
      <c r="AE35" s="10"/>
      <c r="AF35" s="10"/>
      <c r="AJ35" s="10"/>
      <c r="AK35" s="10"/>
      <c r="AL35" s="10"/>
      <c r="AM35" s="10"/>
      <c r="AQ35" s="10"/>
      <c r="AR35" s="10">
        <v>1</v>
      </c>
      <c r="AS35" s="10"/>
      <c r="AT35" s="10">
        <v>1</v>
      </c>
      <c r="AX35" s="10"/>
      <c r="AY35" s="10"/>
      <c r="AZ35" s="10"/>
      <c r="BA35" s="10"/>
      <c r="BE35" s="10"/>
      <c r="BF35" s="10"/>
      <c r="BG35" s="10"/>
      <c r="BH35" s="10"/>
      <c r="BL35" s="10"/>
      <c r="BM35" s="10"/>
      <c r="BN35" s="10"/>
      <c r="BO35" s="10"/>
      <c r="BS35" s="10"/>
      <c r="BT35" s="10">
        <v>0.8</v>
      </c>
      <c r="BU35" s="10"/>
      <c r="BV35" s="10">
        <v>0.8</v>
      </c>
      <c r="BZ35" s="10"/>
      <c r="CA35" s="10">
        <v>0.8</v>
      </c>
      <c r="CB35" s="10"/>
      <c r="CC35" s="10">
        <v>0.8</v>
      </c>
      <c r="CG35" s="10"/>
      <c r="CH35" s="10">
        <v>1</v>
      </c>
      <c r="CI35" s="10"/>
      <c r="CJ35" s="10">
        <v>1</v>
      </c>
      <c r="CN35" s="10"/>
      <c r="CO35" s="10"/>
      <c r="CP35" s="10"/>
      <c r="CQ35" s="10"/>
      <c r="CU35" s="10"/>
      <c r="CV35" s="10"/>
      <c r="CW35" s="10"/>
      <c r="CX35" s="10"/>
      <c r="DB35" s="10"/>
      <c r="DC35" s="10"/>
      <c r="DD35" s="10"/>
      <c r="DE35" s="10"/>
      <c r="DI35" s="10"/>
      <c r="DJ35" s="10"/>
      <c r="DK35" s="10"/>
      <c r="DL35" s="10"/>
      <c r="DP35" s="10"/>
      <c r="DQ35" s="10"/>
      <c r="DR35" s="10"/>
      <c r="DS35" s="10"/>
      <c r="DW35" s="10"/>
      <c r="DX35" s="10"/>
      <c r="DY35" s="10"/>
      <c r="DZ35" s="10"/>
    </row>
    <row r="36" spans="2:130" outlineLevel="1">
      <c r="B36" t="s">
        <v>27</v>
      </c>
      <c r="C36" t="s">
        <v>99</v>
      </c>
      <c r="E36" s="9"/>
      <c r="F36" t="s">
        <v>153</v>
      </c>
      <c r="G36" s="10">
        <v>0.2</v>
      </c>
      <c r="I36" s="9">
        <f t="shared" si="2"/>
        <v>0</v>
      </c>
      <c r="J36" s="11" cm="1">
        <f t="array" ref="J36">MAX(IF($N$3:$EN$3=$J$3,N36:EN36))</f>
        <v>0</v>
      </c>
      <c r="K36" s="11" cm="1">
        <f t="array" ref="K36">MAX(IF($N$3:$EN$3=$J$3,N36:EN36))</f>
        <v>0</v>
      </c>
      <c r="L36" s="9"/>
      <c r="O36" s="10"/>
      <c r="P36" s="10"/>
      <c r="Q36" s="10"/>
      <c r="R36" s="10"/>
      <c r="V36" s="10"/>
      <c r="W36" s="10"/>
      <c r="X36" s="10"/>
      <c r="Y36" s="10"/>
      <c r="AC36" s="10"/>
      <c r="AD36" s="10"/>
      <c r="AE36" s="10"/>
      <c r="AF36" s="10"/>
      <c r="AJ36" s="10"/>
      <c r="AK36" s="10"/>
      <c r="AL36" s="10"/>
      <c r="AM36" s="10"/>
      <c r="AQ36" s="10"/>
      <c r="AR36" s="10">
        <v>1</v>
      </c>
      <c r="AS36" s="10"/>
      <c r="AT36" s="10">
        <v>1</v>
      </c>
      <c r="AX36" s="10"/>
      <c r="AY36" s="10"/>
      <c r="AZ36" s="10"/>
      <c r="BA36" s="10"/>
      <c r="BE36" s="10"/>
      <c r="BF36" s="10"/>
      <c r="BG36" s="10"/>
      <c r="BH36" s="10"/>
      <c r="BL36" s="10"/>
      <c r="BM36" s="10"/>
      <c r="BN36" s="10"/>
      <c r="BO36" s="10"/>
      <c r="BS36" s="10"/>
      <c r="BT36" s="10">
        <v>0.8</v>
      </c>
      <c r="BU36" s="10"/>
      <c r="BV36" s="10">
        <v>0.8</v>
      </c>
      <c r="BZ36" s="10"/>
      <c r="CA36" s="10">
        <v>0.8</v>
      </c>
      <c r="CB36" s="10"/>
      <c r="CC36" s="10">
        <v>0.8</v>
      </c>
      <c r="CG36" s="10"/>
      <c r="CH36" s="10">
        <v>1</v>
      </c>
      <c r="CI36" s="10"/>
      <c r="CJ36" s="10">
        <v>1</v>
      </c>
      <c r="CN36" s="10"/>
      <c r="CO36" s="10"/>
      <c r="CP36" s="10"/>
      <c r="CQ36" s="10"/>
      <c r="CU36" s="10"/>
      <c r="CV36" s="10"/>
      <c r="CW36" s="10"/>
      <c r="CX36" s="10"/>
      <c r="DB36" s="10"/>
      <c r="DC36" s="10"/>
      <c r="DD36" s="10"/>
      <c r="DE36" s="10"/>
      <c r="DI36" s="10"/>
      <c r="DJ36" s="10"/>
      <c r="DK36" s="10"/>
      <c r="DL36" s="10"/>
      <c r="DP36" s="10"/>
      <c r="DQ36" s="10"/>
      <c r="DR36" s="10"/>
      <c r="DS36" s="10"/>
      <c r="DW36" s="10"/>
      <c r="DX36" s="10"/>
      <c r="DY36" s="10"/>
      <c r="DZ36" s="10"/>
    </row>
    <row r="37" spans="2:130" outlineLevel="1">
      <c r="B37" t="s">
        <v>27</v>
      </c>
      <c r="C37" t="s">
        <v>99</v>
      </c>
      <c r="E37" s="9"/>
      <c r="F37" t="s">
        <v>154</v>
      </c>
      <c r="G37" s="10">
        <v>0.2</v>
      </c>
      <c r="I37" s="9">
        <f t="shared" si="2"/>
        <v>0</v>
      </c>
      <c r="J37" s="11" cm="1">
        <f t="array" ref="J37">MAX(IF($N$3:$EN$3=$J$3,N37:EN37))</f>
        <v>0</v>
      </c>
      <c r="K37" s="11" cm="1">
        <f t="array" ref="K37">MAX(IF($N$3:$EN$3=$J$3,N37:EN37))</f>
        <v>0</v>
      </c>
      <c r="L37" s="9"/>
      <c r="O37" s="10"/>
      <c r="P37" s="10"/>
      <c r="Q37" s="10"/>
      <c r="R37" s="10"/>
      <c r="V37" s="10"/>
      <c r="W37" s="10"/>
      <c r="X37" s="10"/>
      <c r="Y37" s="10"/>
      <c r="AC37" s="10"/>
      <c r="AD37" s="10"/>
      <c r="AE37" s="10"/>
      <c r="AF37" s="10"/>
      <c r="AJ37" s="10"/>
      <c r="AK37" s="10"/>
      <c r="AL37" s="10"/>
      <c r="AM37" s="10"/>
      <c r="AQ37" s="10"/>
      <c r="AR37" s="10">
        <v>1</v>
      </c>
      <c r="AS37" s="10"/>
      <c r="AT37" s="10">
        <v>1</v>
      </c>
      <c r="AX37" s="10"/>
      <c r="AY37" s="10"/>
      <c r="AZ37" s="10"/>
      <c r="BA37" s="10"/>
      <c r="BE37" s="10"/>
      <c r="BF37" s="10"/>
      <c r="BG37" s="10"/>
      <c r="BH37" s="10"/>
      <c r="BL37" s="10"/>
      <c r="BM37" s="10"/>
      <c r="BN37" s="10"/>
      <c r="BO37" s="10"/>
      <c r="BS37" s="10"/>
      <c r="BT37" s="10">
        <v>0.8</v>
      </c>
      <c r="BU37" s="10"/>
      <c r="BV37" s="10">
        <v>0.8</v>
      </c>
      <c r="BZ37" s="10"/>
      <c r="CA37" s="10">
        <v>0.8</v>
      </c>
      <c r="CB37" s="10"/>
      <c r="CC37" s="10">
        <v>0.8</v>
      </c>
      <c r="CG37" s="10"/>
      <c r="CH37" s="10">
        <v>1</v>
      </c>
      <c r="CI37" s="10"/>
      <c r="CJ37" s="10">
        <v>1</v>
      </c>
      <c r="CN37" s="10"/>
      <c r="CO37" s="10"/>
      <c r="CP37" s="10"/>
      <c r="CQ37" s="10"/>
      <c r="CU37" s="10"/>
      <c r="CV37" s="10"/>
      <c r="CW37" s="10"/>
      <c r="CX37" s="10"/>
      <c r="DB37" s="10"/>
      <c r="DC37" s="10"/>
      <c r="DD37" s="10"/>
      <c r="DE37" s="10"/>
      <c r="DI37" s="10"/>
      <c r="DJ37" s="10"/>
      <c r="DK37" s="10"/>
      <c r="DL37" s="10"/>
      <c r="DP37" s="10"/>
      <c r="DQ37" s="10"/>
      <c r="DR37" s="10"/>
      <c r="DS37" s="10"/>
      <c r="DW37" s="10"/>
      <c r="DX37" s="10"/>
      <c r="DY37" s="10"/>
      <c r="DZ37" s="10"/>
    </row>
    <row r="38" spans="2:130" outlineLevel="1">
      <c r="B38" t="s">
        <v>27</v>
      </c>
      <c r="C38" t="s">
        <v>99</v>
      </c>
      <c r="E38" s="9"/>
      <c r="F38" t="s">
        <v>155</v>
      </c>
      <c r="G38" s="10">
        <v>0.2</v>
      </c>
      <c r="I38" s="9">
        <f t="shared" si="2"/>
        <v>0</v>
      </c>
      <c r="J38" s="11" cm="1">
        <f t="array" ref="J38">MAX(IF($N$3:$EN$3=$J$3,N38:EN38))</f>
        <v>0</v>
      </c>
      <c r="K38" s="11" cm="1">
        <f t="array" ref="K38">MAX(IF($N$3:$EN$3=$J$3,N38:EN38))</f>
        <v>0</v>
      </c>
      <c r="L38" s="9"/>
      <c r="O38" s="10"/>
      <c r="P38" s="10"/>
      <c r="Q38" s="10"/>
      <c r="R38" s="10"/>
      <c r="V38" s="10"/>
      <c r="W38" s="10"/>
      <c r="X38" s="10"/>
      <c r="Y38" s="10"/>
      <c r="AC38" s="10"/>
      <c r="AD38" s="10"/>
      <c r="AE38" s="10"/>
      <c r="AF38" s="10"/>
      <c r="AJ38" s="10"/>
      <c r="AK38" s="10"/>
      <c r="AL38" s="10"/>
      <c r="AM38" s="10"/>
      <c r="AQ38" s="10"/>
      <c r="AR38" s="10">
        <v>1</v>
      </c>
      <c r="AS38" s="10"/>
      <c r="AT38" s="10">
        <v>1</v>
      </c>
      <c r="AX38" s="10"/>
      <c r="AY38" s="10"/>
      <c r="AZ38" s="10"/>
      <c r="BA38" s="10"/>
      <c r="BE38" s="10"/>
      <c r="BF38" s="10"/>
      <c r="BG38" s="10"/>
      <c r="BH38" s="10"/>
      <c r="BL38" s="10"/>
      <c r="BM38" s="10"/>
      <c r="BN38" s="10"/>
      <c r="BO38" s="10"/>
      <c r="BS38" s="10"/>
      <c r="BT38" s="10">
        <v>0.8</v>
      </c>
      <c r="BU38" s="10"/>
      <c r="BV38" s="10">
        <v>0.8</v>
      </c>
      <c r="BZ38" s="10"/>
      <c r="CA38" s="10">
        <v>0.8</v>
      </c>
      <c r="CB38" s="10"/>
      <c r="CC38" s="10">
        <v>0.8</v>
      </c>
      <c r="CG38" s="10"/>
      <c r="CH38" s="10">
        <v>1</v>
      </c>
      <c r="CI38" s="10"/>
      <c r="CJ38" s="10">
        <v>1</v>
      </c>
      <c r="CN38" s="10"/>
      <c r="CO38" s="10"/>
      <c r="CP38" s="10"/>
      <c r="CQ38" s="10"/>
      <c r="CU38" s="10"/>
      <c r="CV38" s="10"/>
      <c r="CW38" s="10"/>
      <c r="CX38" s="10"/>
      <c r="DB38" s="10"/>
      <c r="DC38" s="10"/>
      <c r="DD38" s="10"/>
      <c r="DE38" s="10"/>
      <c r="DI38" s="10"/>
      <c r="DJ38" s="10"/>
      <c r="DK38" s="10"/>
      <c r="DL38" s="10"/>
      <c r="DP38" s="10"/>
      <c r="DQ38" s="10"/>
      <c r="DR38" s="10"/>
      <c r="DS38" s="10"/>
      <c r="DW38" s="10"/>
      <c r="DX38" s="10"/>
      <c r="DY38" s="10"/>
      <c r="DZ38" s="10"/>
    </row>
    <row r="39" spans="2:130" outlineLevel="1">
      <c r="B39" t="s">
        <v>27</v>
      </c>
      <c r="C39" t="s">
        <v>99</v>
      </c>
      <c r="E39" s="9"/>
      <c r="F39" t="s">
        <v>156</v>
      </c>
      <c r="G39" s="10">
        <v>0.2</v>
      </c>
      <c r="I39" s="9">
        <f t="shared" si="2"/>
        <v>0</v>
      </c>
      <c r="J39" s="11" cm="1">
        <f t="array" ref="J39">MAX(IF($N$3:$EN$3=$J$3,N39:EN39))</f>
        <v>0</v>
      </c>
      <c r="K39" s="11" cm="1">
        <f t="array" ref="K39">MAX(IF($N$3:$EN$3=$J$3,N39:EN39))</f>
        <v>0</v>
      </c>
      <c r="L39" s="9"/>
      <c r="O39" s="10"/>
      <c r="P39" s="10"/>
      <c r="Q39" s="10"/>
      <c r="R39" s="10"/>
      <c r="V39" s="10"/>
      <c r="W39" s="10"/>
      <c r="X39" s="10"/>
      <c r="Y39" s="10"/>
      <c r="AC39" s="10"/>
      <c r="AD39" s="10"/>
      <c r="AE39" s="10"/>
      <c r="AF39" s="10"/>
      <c r="AJ39" s="10"/>
      <c r="AK39" s="10"/>
      <c r="AL39" s="10"/>
      <c r="AM39" s="10"/>
      <c r="AQ39" s="10"/>
      <c r="AR39" s="10">
        <v>1</v>
      </c>
      <c r="AS39" s="10"/>
      <c r="AT39" s="10">
        <v>1</v>
      </c>
      <c r="AX39" s="10"/>
      <c r="AY39" s="10"/>
      <c r="AZ39" s="10"/>
      <c r="BA39" s="10"/>
      <c r="BE39" s="10"/>
      <c r="BF39" s="10"/>
      <c r="BG39" s="10"/>
      <c r="BH39" s="10"/>
      <c r="BL39" s="10"/>
      <c r="BM39" s="10"/>
      <c r="BN39" s="10"/>
      <c r="BO39" s="10"/>
      <c r="BS39" s="10"/>
      <c r="BT39" s="10">
        <v>0.8</v>
      </c>
      <c r="BU39" s="10"/>
      <c r="BV39" s="10">
        <v>0.8</v>
      </c>
      <c r="BZ39" s="10"/>
      <c r="CA39" s="10">
        <v>0.8</v>
      </c>
      <c r="CB39" s="10"/>
      <c r="CC39" s="10">
        <v>0.8</v>
      </c>
      <c r="CG39" s="10"/>
      <c r="CH39" s="10">
        <v>1</v>
      </c>
      <c r="CI39" s="10"/>
      <c r="CJ39" s="10">
        <v>1</v>
      </c>
      <c r="CN39" s="10"/>
      <c r="CO39" s="10"/>
      <c r="CP39" s="10"/>
      <c r="CQ39" s="10"/>
      <c r="CU39" s="10"/>
      <c r="CV39" s="10"/>
      <c r="CW39" s="10"/>
      <c r="CX39" s="10"/>
      <c r="DB39" s="10"/>
      <c r="DC39" s="10"/>
      <c r="DD39" s="10"/>
      <c r="DE39" s="10"/>
      <c r="DI39" s="10"/>
      <c r="DJ39" s="10"/>
      <c r="DK39" s="10"/>
      <c r="DL39" s="10"/>
      <c r="DP39" s="10"/>
      <c r="DQ39" s="10"/>
      <c r="DR39" s="10"/>
      <c r="DS39" s="10"/>
      <c r="DW39" s="10"/>
      <c r="DX39" s="10"/>
      <c r="DY39" s="10"/>
      <c r="DZ39" s="10"/>
    </row>
    <row r="40" spans="2:130" outlineLevel="1">
      <c r="B40" t="s">
        <v>27</v>
      </c>
      <c r="C40" t="s">
        <v>99</v>
      </c>
      <c r="E40" s="9"/>
      <c r="F40" t="s">
        <v>157</v>
      </c>
      <c r="G40" s="10">
        <v>0.2</v>
      </c>
      <c r="I40" s="9">
        <f t="shared" si="2"/>
        <v>0</v>
      </c>
      <c r="J40" s="11" cm="1">
        <f t="array" ref="J40">MAX(IF($N$3:$EN$3=$J$3,N40:EN40))</f>
        <v>0</v>
      </c>
      <c r="K40" s="11" cm="1">
        <f t="array" ref="K40">MAX(IF($N$3:$EN$3=$J$3,N40:EN40))</f>
        <v>0</v>
      </c>
      <c r="L40" s="9"/>
      <c r="O40" s="10"/>
      <c r="P40" s="10"/>
      <c r="Q40" s="10"/>
      <c r="R40" s="10"/>
      <c r="V40" s="10"/>
      <c r="W40" s="10"/>
      <c r="X40" s="10"/>
      <c r="Y40" s="10"/>
      <c r="AC40" s="10"/>
      <c r="AD40" s="10"/>
      <c r="AE40" s="10"/>
      <c r="AF40" s="10"/>
      <c r="AJ40" s="10"/>
      <c r="AK40" s="10"/>
      <c r="AL40" s="10"/>
      <c r="AM40" s="10"/>
      <c r="AQ40" s="10"/>
      <c r="AR40" s="10">
        <v>1</v>
      </c>
      <c r="AS40" s="10"/>
      <c r="AT40" s="10">
        <v>1</v>
      </c>
      <c r="AX40" s="10"/>
      <c r="AY40" s="10"/>
      <c r="AZ40" s="10"/>
      <c r="BA40" s="10"/>
      <c r="BE40" s="10"/>
      <c r="BF40" s="10"/>
      <c r="BG40" s="10"/>
      <c r="BH40" s="10"/>
      <c r="BL40" s="10"/>
      <c r="BM40" s="10"/>
      <c r="BN40" s="10"/>
      <c r="BO40" s="10"/>
      <c r="BS40" s="10"/>
      <c r="BT40" s="10">
        <v>0.8</v>
      </c>
      <c r="BU40" s="10"/>
      <c r="BV40" s="10">
        <v>0.8</v>
      </c>
      <c r="BZ40" s="10"/>
      <c r="CA40" s="10">
        <v>0.8</v>
      </c>
      <c r="CB40" s="10"/>
      <c r="CC40" s="10">
        <v>0.8</v>
      </c>
      <c r="CG40" s="10"/>
      <c r="CH40" s="10">
        <v>1</v>
      </c>
      <c r="CI40" s="10"/>
      <c r="CJ40" s="10">
        <v>1</v>
      </c>
      <c r="CN40" s="10"/>
      <c r="CO40" s="10"/>
      <c r="CP40" s="10"/>
      <c r="CQ40" s="10"/>
      <c r="CU40" s="10"/>
      <c r="CV40" s="10"/>
      <c r="CW40" s="10"/>
      <c r="CX40" s="10"/>
      <c r="DB40" s="10"/>
      <c r="DC40" s="10"/>
      <c r="DD40" s="10"/>
      <c r="DE40" s="10"/>
      <c r="DI40" s="10"/>
      <c r="DJ40" s="10"/>
      <c r="DK40" s="10"/>
      <c r="DL40" s="10"/>
      <c r="DP40" s="10"/>
      <c r="DQ40" s="10"/>
      <c r="DR40" s="10"/>
      <c r="DS40" s="10"/>
      <c r="DW40" s="10"/>
      <c r="DX40" s="10"/>
      <c r="DY40" s="10"/>
      <c r="DZ40" s="10"/>
    </row>
    <row r="41" spans="2:130" outlineLevel="1">
      <c r="B41" t="s">
        <v>27</v>
      </c>
      <c r="C41" t="s">
        <v>99</v>
      </c>
      <c r="E41" s="9"/>
      <c r="F41" t="s">
        <v>158</v>
      </c>
      <c r="G41" s="10">
        <v>0.2</v>
      </c>
      <c r="I41" s="9">
        <f t="shared" si="2"/>
        <v>0</v>
      </c>
      <c r="J41" s="11" cm="1">
        <f t="array" ref="J41">MAX(IF($N$3:$EN$3=$J$3,N41:EN41))</f>
        <v>0</v>
      </c>
      <c r="K41" s="11" cm="1">
        <f t="array" ref="K41">MAX(IF($N$3:$EN$3=$J$3,N41:EN41))</f>
        <v>0</v>
      </c>
      <c r="L41" s="9"/>
      <c r="O41" s="10"/>
      <c r="P41" s="10"/>
      <c r="Q41" s="10"/>
      <c r="R41" s="10"/>
      <c r="V41" s="10"/>
      <c r="W41" s="10"/>
      <c r="X41" s="10"/>
      <c r="Y41" s="10"/>
      <c r="AC41" s="10"/>
      <c r="AD41" s="10"/>
      <c r="AE41" s="10"/>
      <c r="AF41" s="10"/>
      <c r="AJ41" s="10"/>
      <c r="AK41" s="10"/>
      <c r="AL41" s="10"/>
      <c r="AM41" s="10"/>
      <c r="AQ41" s="10"/>
      <c r="AR41" s="10">
        <v>1</v>
      </c>
      <c r="AS41" s="10"/>
      <c r="AT41" s="10">
        <v>1</v>
      </c>
      <c r="AX41" s="10"/>
      <c r="AY41" s="10"/>
      <c r="AZ41" s="10"/>
      <c r="BA41" s="10"/>
      <c r="BE41" s="10"/>
      <c r="BF41" s="10"/>
      <c r="BG41" s="10"/>
      <c r="BH41" s="10"/>
      <c r="BL41" s="10"/>
      <c r="BM41" s="10"/>
      <c r="BN41" s="10"/>
      <c r="BO41" s="10"/>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c r="DI41" s="10"/>
      <c r="DJ41" s="10"/>
      <c r="DK41" s="10"/>
      <c r="DL41" s="10"/>
      <c r="DP41" s="10"/>
      <c r="DQ41" s="10"/>
      <c r="DR41" s="10"/>
      <c r="DS41" s="10"/>
      <c r="DW41" s="10"/>
      <c r="DX41" s="10"/>
      <c r="DY41" s="10"/>
      <c r="DZ41" s="10"/>
    </row>
    <row r="42" spans="2:130" outlineLevel="1">
      <c r="B42" t="s">
        <v>27</v>
      </c>
      <c r="C42" t="s">
        <v>99</v>
      </c>
      <c r="E42" s="9"/>
      <c r="F42" t="s">
        <v>159</v>
      </c>
      <c r="G42" s="10">
        <v>0.2</v>
      </c>
      <c r="I42" s="9">
        <f t="shared" si="2"/>
        <v>0</v>
      </c>
      <c r="J42" s="11" cm="1">
        <f t="array" ref="J42">MAX(IF($N$3:$EN$3=$J$3,N42:EN42))</f>
        <v>0</v>
      </c>
      <c r="K42" s="11" cm="1">
        <f t="array" ref="K42">MAX(IF($N$3:$EN$3=$J$3,N42:EN42))</f>
        <v>0</v>
      </c>
      <c r="L42" s="9"/>
      <c r="O42" s="10"/>
      <c r="P42" s="10"/>
      <c r="Q42" s="10"/>
      <c r="R42" s="10"/>
      <c r="V42" s="10"/>
      <c r="W42" s="10"/>
      <c r="X42" s="10"/>
      <c r="Y42" s="10"/>
      <c r="AC42" s="10"/>
      <c r="AD42" s="10"/>
      <c r="AE42" s="10"/>
      <c r="AF42" s="10"/>
      <c r="AJ42" s="10"/>
      <c r="AK42" s="10"/>
      <c r="AL42" s="10"/>
      <c r="AM42" s="10"/>
      <c r="AQ42" s="10"/>
      <c r="AR42" s="10">
        <v>1</v>
      </c>
      <c r="AS42" s="10"/>
      <c r="AT42" s="10">
        <v>1</v>
      </c>
      <c r="AX42" s="10"/>
      <c r="AY42" s="10"/>
      <c r="AZ42" s="10"/>
      <c r="BA42" s="10"/>
      <c r="BE42" s="10"/>
      <c r="BF42" s="10"/>
      <c r="BG42" s="10"/>
      <c r="BH42" s="10"/>
      <c r="BL42" s="10"/>
      <c r="BM42" s="10"/>
      <c r="BN42" s="10"/>
      <c r="BO42" s="10"/>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row>
    <row r="44" spans="2:130">
      <c r="B44" t="s">
        <v>26</v>
      </c>
      <c r="C44" t="s">
        <v>98</v>
      </c>
      <c r="D44" s="19" t="s">
        <v>101</v>
      </c>
      <c r="E44" s="9">
        <v>12</v>
      </c>
      <c r="G44" s="10">
        <f>+SUM(G45:G55)</f>
        <v>0.94999999999999984</v>
      </c>
      <c r="I44" s="12">
        <f>+SUM(I45:I55)</f>
        <v>0</v>
      </c>
      <c r="J44" s="11">
        <f>+SUMPRODUCT(G45:G55,J45:J55)</f>
        <v>0</v>
      </c>
      <c r="K44" s="11">
        <f>+SUMPRODUCT(G45:G55,K45:K55)</f>
        <v>0</v>
      </c>
      <c r="L44" s="9"/>
      <c r="N44" s="12">
        <f>+SUM(N45:N55)</f>
        <v>0</v>
      </c>
      <c r="U44" s="12">
        <f>+SUM(U45:U55)</f>
        <v>0</v>
      </c>
      <c r="AB44" s="12">
        <f>+SUM(AB45:AB55)</f>
        <v>0</v>
      </c>
      <c r="AI44" s="12">
        <f>+SUM(AI45:AI55)</f>
        <v>0</v>
      </c>
      <c r="AP44" s="12">
        <f>+SUM(AP45:AP55)</f>
        <v>0</v>
      </c>
    </row>
    <row r="45" spans="2:130" outlineLevel="1">
      <c r="B45" t="s">
        <v>27</v>
      </c>
      <c r="C45" t="s">
        <v>98</v>
      </c>
      <c r="E45" s="9"/>
      <c r="F45" t="s">
        <v>29</v>
      </c>
      <c r="G45" s="10">
        <v>0.1</v>
      </c>
      <c r="I45" s="9">
        <f t="shared" ref="I45:I55" si="3">+SUMIF($N$3:$AAF$3,I$3,$N45:$AAF45)</f>
        <v>0</v>
      </c>
      <c r="J45" s="11" cm="1">
        <f t="array" ref="J45">MAX(IF($N$3:$EN$3=$J$3,N45:EN45))</f>
        <v>0</v>
      </c>
      <c r="K45" s="11" cm="1">
        <f t="array" ref="K45">MAX(IF($N$3:$EN$3=$J$3,N45:EN45))</f>
        <v>0</v>
      </c>
      <c r="L45" s="9"/>
      <c r="O45" s="10"/>
      <c r="P45" s="10"/>
      <c r="Q45" s="10"/>
      <c r="R45" s="10"/>
      <c r="V45" s="10"/>
      <c r="W45" s="10">
        <v>0.8</v>
      </c>
      <c r="X45" s="10"/>
      <c r="Y45" s="10">
        <v>0.8</v>
      </c>
      <c r="AC45" s="10"/>
      <c r="AD45" s="10">
        <v>1</v>
      </c>
      <c r="AE45" s="10"/>
      <c r="AF45" s="10">
        <v>1</v>
      </c>
      <c r="AJ45" s="10"/>
      <c r="AK45" s="10">
        <v>1</v>
      </c>
      <c r="AL45" s="10"/>
      <c r="AM45" s="10">
        <v>1</v>
      </c>
      <c r="AQ45" s="10"/>
      <c r="AR45" s="10">
        <v>1</v>
      </c>
      <c r="AS45" s="10"/>
      <c r="AT45" s="10">
        <v>1</v>
      </c>
      <c r="AX45" s="10"/>
      <c r="AY45" s="10"/>
      <c r="AZ45" s="10"/>
      <c r="BA45" s="10"/>
      <c r="BE45" s="10"/>
      <c r="BF45" s="10">
        <v>1</v>
      </c>
      <c r="BG45" s="10"/>
      <c r="BH45" s="10">
        <v>1</v>
      </c>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c r="DI45" s="10"/>
      <c r="DJ45" s="10"/>
      <c r="DK45" s="10"/>
      <c r="DL45" s="10"/>
      <c r="DP45" s="10"/>
      <c r="DQ45" s="10"/>
      <c r="DR45" s="10"/>
      <c r="DS45" s="10"/>
      <c r="DW45" s="10"/>
      <c r="DX45" s="10"/>
      <c r="DY45" s="10"/>
      <c r="DZ45" s="10"/>
    </row>
    <row r="46" spans="2:130" outlineLevel="1">
      <c r="B46" t="s">
        <v>27</v>
      </c>
      <c r="C46" t="s">
        <v>98</v>
      </c>
      <c r="E46" s="9"/>
      <c r="F46" t="s">
        <v>30</v>
      </c>
      <c r="G46" s="10">
        <v>0.05</v>
      </c>
      <c r="I46" s="9">
        <f t="shared" si="3"/>
        <v>0</v>
      </c>
      <c r="J46" s="11" cm="1">
        <f t="array" ref="J46">MAX(IF($N$3:$EN$3=$J$3,N46:EN46))</f>
        <v>0</v>
      </c>
      <c r="K46" s="11" cm="1">
        <f t="array" ref="K46">MAX(IF($N$3:$EN$3=$J$3,N46:EN46))</f>
        <v>0</v>
      </c>
      <c r="L46" s="9"/>
      <c r="O46" s="10"/>
      <c r="P46" s="10"/>
      <c r="Q46" s="10"/>
      <c r="R46" s="10"/>
      <c r="V46" s="10"/>
      <c r="W46" s="10">
        <v>0.8</v>
      </c>
      <c r="X46" s="10"/>
      <c r="Y46" s="10">
        <v>0.8</v>
      </c>
      <c r="AC46" s="10"/>
      <c r="AD46" s="10">
        <v>1</v>
      </c>
      <c r="AE46" s="10"/>
      <c r="AF46" s="10">
        <v>1</v>
      </c>
      <c r="AJ46" s="10"/>
      <c r="AK46" s="10">
        <v>1</v>
      </c>
      <c r="AL46" s="10"/>
      <c r="AM46" s="10">
        <v>1</v>
      </c>
      <c r="AQ46" s="10"/>
      <c r="AR46" s="10">
        <v>1</v>
      </c>
      <c r="AS46" s="10"/>
      <c r="AT46" s="10">
        <v>1</v>
      </c>
      <c r="AX46" s="10"/>
      <c r="AY46" s="10"/>
      <c r="AZ46" s="10"/>
      <c r="BA46" s="10"/>
      <c r="BE46" s="10"/>
      <c r="BF46" s="10">
        <v>1</v>
      </c>
      <c r="BG46" s="10"/>
      <c r="BH46" s="10">
        <v>1</v>
      </c>
      <c r="BL46" s="10"/>
      <c r="BM46" s="10"/>
      <c r="BN46" s="10"/>
      <c r="BO46" s="10"/>
      <c r="BS46" s="10"/>
      <c r="BT46" s="10"/>
      <c r="BU46" s="10"/>
      <c r="BV46" s="10"/>
      <c r="BZ46" s="10"/>
      <c r="CA46" s="10"/>
      <c r="CB46" s="10"/>
      <c r="CC46" s="10"/>
      <c r="CG46" s="10"/>
      <c r="CH46" s="10"/>
      <c r="CI46" s="10"/>
      <c r="CJ46" s="10"/>
      <c r="CN46" s="10"/>
      <c r="CO46" s="10"/>
      <c r="CP46" s="10"/>
      <c r="CQ46" s="10"/>
      <c r="CU46" s="10"/>
      <c r="CV46" s="10"/>
      <c r="CW46" s="10"/>
      <c r="CX46" s="10"/>
      <c r="DB46" s="10"/>
      <c r="DC46" s="10"/>
      <c r="DD46" s="10"/>
      <c r="DE46" s="10"/>
      <c r="DI46" s="10"/>
      <c r="DJ46" s="10"/>
      <c r="DK46" s="10"/>
      <c r="DL46" s="10"/>
      <c r="DP46" s="10"/>
      <c r="DQ46" s="10"/>
      <c r="DR46" s="10"/>
      <c r="DS46" s="10"/>
      <c r="DW46" s="10"/>
      <c r="DX46" s="10"/>
      <c r="DY46" s="10"/>
      <c r="DZ46" s="10"/>
    </row>
    <row r="47" spans="2:130" outlineLevel="1">
      <c r="B47" t="s">
        <v>27</v>
      </c>
      <c r="C47" t="s">
        <v>98</v>
      </c>
      <c r="E47" s="9"/>
      <c r="F47" t="s">
        <v>31</v>
      </c>
      <c r="G47" s="10">
        <v>0.05</v>
      </c>
      <c r="I47" s="9">
        <f t="shared" si="3"/>
        <v>0</v>
      </c>
      <c r="J47" s="11" cm="1">
        <f t="array" ref="J47">MAX(IF($N$3:$EN$3=$J$3,N47:EN47))</f>
        <v>0</v>
      </c>
      <c r="K47" s="11" cm="1">
        <f t="array" ref="K47">MAX(IF($N$3:$EN$3=$J$3,N47:EN47))</f>
        <v>0</v>
      </c>
      <c r="L47" s="9"/>
      <c r="O47" s="10"/>
      <c r="P47" s="10"/>
      <c r="Q47" s="10"/>
      <c r="R47" s="10"/>
      <c r="V47" s="10"/>
      <c r="W47" s="10">
        <v>0.5</v>
      </c>
      <c r="X47" s="10"/>
      <c r="Y47" s="10">
        <v>0.5</v>
      </c>
      <c r="AC47" s="10"/>
      <c r="AD47" s="10">
        <v>0.8</v>
      </c>
      <c r="AE47" s="10"/>
      <c r="AF47" s="10">
        <v>0.8</v>
      </c>
      <c r="AJ47" s="10"/>
      <c r="AK47" s="10">
        <v>1</v>
      </c>
      <c r="AL47" s="10"/>
      <c r="AM47" s="10">
        <v>1</v>
      </c>
      <c r="AQ47" s="10"/>
      <c r="AR47" s="10">
        <v>1</v>
      </c>
      <c r="AS47" s="10"/>
      <c r="AT47" s="10">
        <v>1</v>
      </c>
      <c r="AX47" s="10"/>
      <c r="AY47" s="10"/>
      <c r="AZ47" s="10"/>
      <c r="BA47" s="10"/>
      <c r="BE47" s="10"/>
      <c r="BF47" s="10">
        <v>1</v>
      </c>
      <c r="BG47" s="10"/>
      <c r="BH47" s="10">
        <v>1</v>
      </c>
      <c r="BL47" s="10"/>
      <c r="BM47" s="10"/>
      <c r="BN47" s="10"/>
      <c r="BO47" s="10"/>
      <c r="BS47" s="10"/>
      <c r="BT47" s="10"/>
      <c r="BU47" s="10"/>
      <c r="BV47" s="10"/>
      <c r="BZ47" s="10"/>
      <c r="CA47" s="10"/>
      <c r="CB47" s="10"/>
      <c r="CC47" s="10"/>
      <c r="CG47" s="10"/>
      <c r="CH47" s="10"/>
      <c r="CI47" s="10"/>
      <c r="CJ47" s="10"/>
      <c r="CN47" s="10"/>
      <c r="CO47" s="10"/>
      <c r="CP47" s="10"/>
      <c r="CQ47" s="10"/>
      <c r="CU47" s="10"/>
      <c r="CV47" s="10"/>
      <c r="CW47" s="10"/>
      <c r="CX47" s="10"/>
      <c r="DB47" s="10"/>
      <c r="DC47" s="10"/>
      <c r="DD47" s="10"/>
      <c r="DE47" s="10"/>
      <c r="DI47" s="10"/>
      <c r="DJ47" s="10"/>
      <c r="DK47" s="10"/>
      <c r="DL47" s="10"/>
      <c r="DP47" s="10"/>
      <c r="DQ47" s="10"/>
      <c r="DR47" s="10"/>
      <c r="DS47" s="10"/>
      <c r="DW47" s="10"/>
      <c r="DX47" s="10"/>
      <c r="DY47" s="10"/>
      <c r="DZ47" s="10"/>
    </row>
    <row r="48" spans="2:130" outlineLevel="1">
      <c r="B48" t="s">
        <v>27</v>
      </c>
      <c r="C48" t="s">
        <v>98</v>
      </c>
      <c r="E48" s="9"/>
      <c r="F48" t="s">
        <v>32</v>
      </c>
      <c r="G48" s="10">
        <v>0.05</v>
      </c>
      <c r="I48" s="9">
        <f t="shared" si="3"/>
        <v>0</v>
      </c>
      <c r="J48" s="11" cm="1">
        <f t="array" ref="J48">MAX(IF($N$3:$EN$3=$J$3,N48:EN48))</f>
        <v>0</v>
      </c>
      <c r="K48" s="11" cm="1">
        <f t="array" ref="K48">MAX(IF($N$3:$EN$3=$J$3,N48:EN48))</f>
        <v>0</v>
      </c>
      <c r="L48" s="9"/>
      <c r="O48" s="10"/>
      <c r="P48" s="10"/>
      <c r="Q48" s="10"/>
      <c r="R48" s="10"/>
      <c r="V48" s="10"/>
      <c r="W48" s="10">
        <v>0.5</v>
      </c>
      <c r="X48" s="10"/>
      <c r="Y48" s="10">
        <v>0.5</v>
      </c>
      <c r="AC48" s="10"/>
      <c r="AD48" s="10">
        <v>0.8</v>
      </c>
      <c r="AE48" s="10"/>
      <c r="AF48" s="10">
        <v>0.8</v>
      </c>
      <c r="AJ48" s="10"/>
      <c r="AK48" s="10">
        <v>1</v>
      </c>
      <c r="AL48" s="10"/>
      <c r="AM48" s="10">
        <v>1</v>
      </c>
      <c r="AQ48" s="10"/>
      <c r="AR48" s="10">
        <v>1</v>
      </c>
      <c r="AS48" s="10"/>
      <c r="AT48" s="10">
        <v>1</v>
      </c>
      <c r="AX48" s="10"/>
      <c r="AY48" s="10"/>
      <c r="AZ48" s="10"/>
      <c r="BA48" s="10"/>
      <c r="BE48" s="10"/>
      <c r="BF48" s="10">
        <v>1</v>
      </c>
      <c r="BG48" s="10"/>
      <c r="BH48" s="10">
        <v>1</v>
      </c>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c r="DK48" s="10"/>
      <c r="DL48" s="10"/>
      <c r="DP48" s="10"/>
      <c r="DQ48" s="10"/>
      <c r="DR48" s="10"/>
      <c r="DS48" s="10"/>
      <c r="DW48" s="10"/>
      <c r="DX48" s="10"/>
      <c r="DY48" s="10"/>
      <c r="DZ48" s="10"/>
    </row>
    <row r="49" spans="2:130" outlineLevel="1">
      <c r="B49" t="s">
        <v>27</v>
      </c>
      <c r="C49" t="s">
        <v>98</v>
      </c>
      <c r="E49" s="9"/>
      <c r="F49" t="s">
        <v>33</v>
      </c>
      <c r="G49" s="10">
        <v>0.1</v>
      </c>
      <c r="I49" s="9">
        <f t="shared" si="3"/>
        <v>0</v>
      </c>
      <c r="J49" s="11" cm="1">
        <f t="array" ref="J49">MAX(IF($N$3:$EN$3=$J$3,N49:EN49))</f>
        <v>0</v>
      </c>
      <c r="K49" s="11" cm="1">
        <f t="array" ref="K49">MAX(IF($N$3:$EN$3=$J$3,N49:EN49))</f>
        <v>0</v>
      </c>
      <c r="L49" s="9"/>
      <c r="O49" s="10"/>
      <c r="P49" s="10"/>
      <c r="Q49" s="10"/>
      <c r="R49" s="10"/>
      <c r="V49" s="10"/>
      <c r="W49" s="10">
        <v>0.3</v>
      </c>
      <c r="X49" s="10"/>
      <c r="Y49" s="10">
        <v>0.3</v>
      </c>
      <c r="AC49" s="10"/>
      <c r="AD49" s="10">
        <v>0.5</v>
      </c>
      <c r="AE49" s="10"/>
      <c r="AF49" s="10">
        <v>0.5</v>
      </c>
      <c r="AJ49" s="10"/>
      <c r="AK49" s="10">
        <v>0.8</v>
      </c>
      <c r="AL49" s="10"/>
      <c r="AM49" s="10">
        <v>0.8</v>
      </c>
      <c r="AQ49" s="10"/>
      <c r="AR49" s="10">
        <v>1</v>
      </c>
      <c r="AS49" s="10"/>
      <c r="AT49" s="10">
        <v>1</v>
      </c>
      <c r="AX49" s="10"/>
      <c r="AY49" s="10"/>
      <c r="AZ49" s="10"/>
      <c r="BA49" s="10"/>
      <c r="BE49" s="10"/>
      <c r="BF49" s="10">
        <v>1</v>
      </c>
      <c r="BG49" s="10"/>
      <c r="BH49" s="10">
        <v>1</v>
      </c>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c r="DD49" s="10"/>
      <c r="DE49" s="10"/>
      <c r="DI49" s="10"/>
      <c r="DJ49" s="10"/>
      <c r="DK49" s="10"/>
      <c r="DL49" s="10"/>
      <c r="DP49" s="10"/>
      <c r="DQ49" s="10"/>
      <c r="DR49" s="10"/>
      <c r="DS49" s="10"/>
      <c r="DW49" s="10"/>
      <c r="DX49" s="10"/>
      <c r="DY49" s="10"/>
      <c r="DZ49" s="10"/>
    </row>
    <row r="50" spans="2:130" outlineLevel="1">
      <c r="B50" t="s">
        <v>27</v>
      </c>
      <c r="C50" t="s">
        <v>98</v>
      </c>
      <c r="E50" s="9"/>
      <c r="F50" t="s">
        <v>34</v>
      </c>
      <c r="G50" s="10">
        <v>0.1</v>
      </c>
      <c r="I50" s="9">
        <f t="shared" si="3"/>
        <v>0</v>
      </c>
      <c r="J50" s="11" cm="1">
        <f t="array" ref="J50">MAX(IF($N$3:$EN$3=$J$3,N50:EN50))</f>
        <v>0</v>
      </c>
      <c r="K50" s="11" cm="1">
        <f t="array" ref="K50">MAX(IF($N$3:$EN$3=$J$3,N50:EN50))</f>
        <v>0</v>
      </c>
      <c r="L50" s="9"/>
      <c r="O50" s="10"/>
      <c r="P50" s="10"/>
      <c r="Q50" s="10"/>
      <c r="R50" s="10"/>
      <c r="V50" s="10"/>
      <c r="W50" s="10">
        <v>0.3</v>
      </c>
      <c r="X50" s="10"/>
      <c r="Y50" s="10">
        <v>0.3</v>
      </c>
      <c r="AC50" s="10"/>
      <c r="AD50" s="10">
        <v>0.5</v>
      </c>
      <c r="AE50" s="10"/>
      <c r="AF50" s="10">
        <v>0.5</v>
      </c>
      <c r="AJ50" s="10"/>
      <c r="AK50" s="10">
        <v>0.8</v>
      </c>
      <c r="AL50" s="10"/>
      <c r="AM50" s="10">
        <v>0.8</v>
      </c>
      <c r="AQ50" s="10"/>
      <c r="AR50" s="10">
        <v>1</v>
      </c>
      <c r="AS50" s="10"/>
      <c r="AT50" s="10">
        <v>1</v>
      </c>
      <c r="AX50" s="10"/>
      <c r="AY50" s="10"/>
      <c r="AZ50" s="10"/>
      <c r="BA50" s="10"/>
      <c r="BE50" s="10"/>
      <c r="BF50" s="10">
        <v>1</v>
      </c>
      <c r="BG50" s="10"/>
      <c r="BH50" s="10">
        <v>1</v>
      </c>
      <c r="BL50" s="10"/>
      <c r="BM50" s="10"/>
      <c r="BN50" s="10"/>
      <c r="BO50" s="10"/>
      <c r="BS50" s="10"/>
      <c r="BT50" s="10"/>
      <c r="BU50" s="10"/>
      <c r="BV50" s="10"/>
      <c r="BZ50" s="10"/>
      <c r="CA50" s="10"/>
      <c r="CB50" s="10"/>
      <c r="CC50" s="10"/>
      <c r="CG50" s="10"/>
      <c r="CH50" s="10"/>
      <c r="CI50" s="10"/>
      <c r="CJ50" s="10"/>
      <c r="CN50" s="10"/>
      <c r="CO50" s="10"/>
      <c r="CP50" s="10"/>
      <c r="CQ50" s="10"/>
      <c r="CU50" s="10"/>
      <c r="CV50" s="10"/>
      <c r="CW50" s="10"/>
      <c r="CX50" s="10"/>
      <c r="DB50" s="10"/>
      <c r="DC50" s="10"/>
      <c r="DD50" s="10"/>
      <c r="DE50" s="10"/>
      <c r="DI50" s="10"/>
      <c r="DJ50" s="10"/>
      <c r="DK50" s="10"/>
      <c r="DL50" s="10"/>
      <c r="DP50" s="10"/>
      <c r="DQ50" s="10"/>
      <c r="DR50" s="10"/>
      <c r="DS50" s="10"/>
      <c r="DW50" s="10"/>
      <c r="DX50" s="10"/>
      <c r="DY50" s="10"/>
      <c r="DZ50" s="10"/>
    </row>
    <row r="51" spans="2:130" outlineLevel="1">
      <c r="B51" t="s">
        <v>27</v>
      </c>
      <c r="C51" t="s">
        <v>98</v>
      </c>
      <c r="E51" s="9"/>
      <c r="F51" t="s">
        <v>35</v>
      </c>
      <c r="G51" s="10">
        <v>0.1</v>
      </c>
      <c r="I51" s="9">
        <f t="shared" si="3"/>
        <v>0</v>
      </c>
      <c r="J51" s="11" cm="1">
        <f t="array" ref="J51">MAX(IF($N$3:$EN$3=$J$3,N51:EN51))</f>
        <v>0</v>
      </c>
      <c r="K51" s="11" cm="1">
        <f t="array" ref="K51">MAX(IF($N$3:$EN$3=$J$3,N51:EN51))</f>
        <v>0</v>
      </c>
      <c r="L51" s="9"/>
      <c r="O51" s="10"/>
      <c r="P51" s="10"/>
      <c r="Q51" s="10"/>
      <c r="R51" s="10"/>
      <c r="V51" s="10"/>
      <c r="W51" s="10"/>
      <c r="X51" s="10"/>
      <c r="Y51" s="10"/>
      <c r="AC51" s="10"/>
      <c r="AD51" s="10">
        <v>0.5</v>
      </c>
      <c r="AE51" s="10"/>
      <c r="AF51" s="10">
        <v>0.5</v>
      </c>
      <c r="AJ51" s="10"/>
      <c r="AK51" s="10">
        <v>0.8</v>
      </c>
      <c r="AL51" s="10"/>
      <c r="AM51" s="10">
        <v>0.8</v>
      </c>
      <c r="AQ51" s="10"/>
      <c r="AR51" s="10">
        <v>1</v>
      </c>
      <c r="AS51" s="10"/>
      <c r="AT51" s="10">
        <v>1</v>
      </c>
      <c r="AX51" s="10"/>
      <c r="AY51" s="10"/>
      <c r="AZ51" s="10"/>
      <c r="BA51" s="10"/>
      <c r="BE51" s="10"/>
      <c r="BF51" s="10">
        <v>1</v>
      </c>
      <c r="BG51" s="10"/>
      <c r="BH51" s="10">
        <v>1</v>
      </c>
      <c r="BL51" s="10"/>
      <c r="BM51" s="10"/>
      <c r="BN51" s="10"/>
      <c r="BO51" s="10"/>
      <c r="BS51" s="10"/>
      <c r="BT51" s="10"/>
      <c r="BU51" s="10"/>
      <c r="BV51" s="10"/>
      <c r="BZ51" s="10"/>
      <c r="CA51" s="10"/>
      <c r="CB51" s="10"/>
      <c r="CC51" s="10"/>
      <c r="CG51" s="10"/>
      <c r="CH51" s="10"/>
      <c r="CI51" s="10"/>
      <c r="CJ51" s="10"/>
      <c r="CN51" s="10"/>
      <c r="CO51" s="10"/>
      <c r="CP51" s="10"/>
      <c r="CQ51" s="10"/>
      <c r="CU51" s="10"/>
      <c r="CV51" s="10"/>
      <c r="CW51" s="10"/>
      <c r="CX51" s="10"/>
      <c r="DB51" s="10"/>
      <c r="DC51" s="10"/>
      <c r="DD51" s="10"/>
      <c r="DE51" s="10"/>
      <c r="DI51" s="10"/>
      <c r="DJ51" s="10"/>
      <c r="DK51" s="10"/>
      <c r="DL51" s="10"/>
      <c r="DP51" s="10"/>
      <c r="DQ51" s="10"/>
      <c r="DR51" s="10"/>
      <c r="DS51" s="10"/>
      <c r="DW51" s="10"/>
      <c r="DX51" s="10"/>
      <c r="DY51" s="10"/>
      <c r="DZ51" s="10"/>
    </row>
    <row r="52" spans="2:130" outlineLevel="1">
      <c r="B52" t="s">
        <v>27</v>
      </c>
      <c r="C52" t="s">
        <v>98</v>
      </c>
      <c r="E52" s="9"/>
      <c r="F52" t="s">
        <v>36</v>
      </c>
      <c r="G52" s="10">
        <v>0.1</v>
      </c>
      <c r="I52" s="9">
        <f t="shared" si="3"/>
        <v>0</v>
      </c>
      <c r="J52" s="11" cm="1">
        <f t="array" ref="J52">MAX(IF($N$3:$EN$3=$J$3,N52:EN52))</f>
        <v>0</v>
      </c>
      <c r="K52" s="11" cm="1">
        <f t="array" ref="K52">MAX(IF($N$3:$EN$3=$J$3,N52:EN52))</f>
        <v>0</v>
      </c>
      <c r="L52" s="9"/>
      <c r="O52" s="10"/>
      <c r="P52" s="10"/>
      <c r="Q52" s="10"/>
      <c r="R52" s="10"/>
      <c r="V52" s="10"/>
      <c r="W52" s="10"/>
      <c r="X52" s="10"/>
      <c r="Y52" s="10"/>
      <c r="AC52" s="10"/>
      <c r="AD52" s="10">
        <v>0.5</v>
      </c>
      <c r="AE52" s="10"/>
      <c r="AF52" s="10">
        <v>0.5</v>
      </c>
      <c r="AJ52" s="10"/>
      <c r="AK52" s="10">
        <v>0.8</v>
      </c>
      <c r="AL52" s="10"/>
      <c r="AM52" s="10">
        <v>0.8</v>
      </c>
      <c r="AQ52" s="10"/>
      <c r="AR52" s="10">
        <v>1</v>
      </c>
      <c r="AS52" s="10"/>
      <c r="AT52" s="10">
        <v>1</v>
      </c>
      <c r="AX52" s="10"/>
      <c r="AY52" s="10"/>
      <c r="AZ52" s="10"/>
      <c r="BA52" s="10"/>
      <c r="BE52" s="10"/>
      <c r="BF52" s="10">
        <v>1</v>
      </c>
      <c r="BG52" s="10"/>
      <c r="BH52" s="10">
        <v>1</v>
      </c>
      <c r="BL52" s="10"/>
      <c r="BM52" s="10"/>
      <c r="BN52" s="10"/>
      <c r="BO52" s="10"/>
      <c r="BS52" s="10"/>
      <c r="BT52" s="10"/>
      <c r="BU52" s="10"/>
      <c r="BV52" s="10"/>
      <c r="BZ52" s="10"/>
      <c r="CA52" s="10"/>
      <c r="CB52" s="10"/>
      <c r="CC52" s="10"/>
      <c r="CG52" s="10"/>
      <c r="CH52" s="10"/>
      <c r="CI52" s="10"/>
      <c r="CJ52" s="10"/>
      <c r="CN52" s="10"/>
      <c r="CO52" s="10"/>
      <c r="CP52" s="10"/>
      <c r="CQ52" s="10"/>
      <c r="CU52" s="10"/>
      <c r="CV52" s="10"/>
      <c r="CW52" s="10"/>
      <c r="CX52" s="10"/>
      <c r="DB52" s="10"/>
      <c r="DC52" s="10"/>
      <c r="DD52" s="10"/>
      <c r="DE52" s="10"/>
      <c r="DI52" s="10"/>
      <c r="DJ52" s="10"/>
      <c r="DK52" s="10"/>
      <c r="DL52" s="10"/>
      <c r="DP52" s="10"/>
      <c r="DQ52" s="10"/>
      <c r="DR52" s="10"/>
      <c r="DS52" s="10"/>
      <c r="DW52" s="10"/>
      <c r="DX52" s="10"/>
      <c r="DY52" s="10"/>
      <c r="DZ52" s="10"/>
    </row>
    <row r="53" spans="2:130" outlineLevel="1">
      <c r="B53" t="s">
        <v>27</v>
      </c>
      <c r="C53" t="s">
        <v>98</v>
      </c>
      <c r="E53" s="9"/>
      <c r="F53" t="s">
        <v>37</v>
      </c>
      <c r="G53" s="10">
        <v>0.1</v>
      </c>
      <c r="I53" s="9">
        <f t="shared" si="3"/>
        <v>0</v>
      </c>
      <c r="J53" s="11" cm="1">
        <f t="array" ref="J53">MAX(IF($N$3:$EN$3=$J$3,N53:EN53))</f>
        <v>0</v>
      </c>
      <c r="K53" s="11" cm="1">
        <f t="array" ref="K53">MAX(IF($N$3:$EN$3=$J$3,N53:EN53))</f>
        <v>0</v>
      </c>
      <c r="L53" s="9"/>
      <c r="O53" s="10"/>
      <c r="P53" s="10"/>
      <c r="Q53" s="10"/>
      <c r="R53" s="10"/>
      <c r="V53" s="10"/>
      <c r="W53" s="10"/>
      <c r="X53" s="10"/>
      <c r="Y53" s="10"/>
      <c r="AC53" s="10"/>
      <c r="AD53" s="10">
        <v>0.3</v>
      </c>
      <c r="AE53" s="10"/>
      <c r="AF53" s="10">
        <v>0.3</v>
      </c>
      <c r="AJ53" s="10"/>
      <c r="AK53" s="10">
        <v>0.5</v>
      </c>
      <c r="AL53" s="10"/>
      <c r="AM53" s="10">
        <v>0.5</v>
      </c>
      <c r="AQ53" s="10"/>
      <c r="AR53" s="10">
        <v>1</v>
      </c>
      <c r="AS53" s="10"/>
      <c r="AT53" s="10">
        <v>1</v>
      </c>
      <c r="AX53" s="10"/>
      <c r="AY53" s="10"/>
      <c r="AZ53" s="10"/>
      <c r="BA53" s="10"/>
      <c r="BE53" s="10"/>
      <c r="BF53" s="10">
        <v>1</v>
      </c>
      <c r="BG53" s="10"/>
      <c r="BH53" s="10">
        <v>1</v>
      </c>
      <c r="BL53" s="10"/>
      <c r="BM53" s="10"/>
      <c r="BN53" s="10"/>
      <c r="BO53" s="10"/>
      <c r="BS53" s="10"/>
      <c r="BT53" s="10"/>
      <c r="BU53" s="10"/>
      <c r="BV53" s="10"/>
      <c r="BZ53" s="10"/>
      <c r="CA53" s="10"/>
      <c r="CB53" s="10"/>
      <c r="CC53" s="10"/>
      <c r="CG53" s="10"/>
      <c r="CH53" s="10"/>
      <c r="CI53" s="10"/>
      <c r="CJ53" s="10"/>
      <c r="CN53" s="10"/>
      <c r="CO53" s="10"/>
      <c r="CP53" s="10"/>
      <c r="CQ53" s="10"/>
      <c r="CU53" s="10"/>
      <c r="CV53" s="10"/>
      <c r="CW53" s="10"/>
      <c r="CX53" s="10"/>
      <c r="DB53" s="10"/>
      <c r="DC53" s="10"/>
      <c r="DD53" s="10"/>
      <c r="DE53" s="10"/>
      <c r="DI53" s="10"/>
      <c r="DJ53" s="10"/>
      <c r="DK53" s="10"/>
      <c r="DL53" s="10"/>
      <c r="DP53" s="10"/>
      <c r="DQ53" s="10"/>
      <c r="DR53" s="10"/>
      <c r="DS53" s="10"/>
      <c r="DW53" s="10"/>
      <c r="DX53" s="10"/>
      <c r="DY53" s="10"/>
      <c r="DZ53" s="10"/>
    </row>
    <row r="54" spans="2:130" outlineLevel="1">
      <c r="B54" t="s">
        <v>27</v>
      </c>
      <c r="C54" t="s">
        <v>98</v>
      </c>
      <c r="E54" s="9"/>
      <c r="F54" t="s">
        <v>38</v>
      </c>
      <c r="G54" s="10">
        <v>0.1</v>
      </c>
      <c r="I54" s="9">
        <f t="shared" si="3"/>
        <v>0</v>
      </c>
      <c r="J54" s="11" cm="1">
        <f t="array" ref="J54">MAX(IF($N$3:$EN$3=$J$3,N54:EN54))</f>
        <v>0</v>
      </c>
      <c r="K54" s="11" cm="1">
        <f t="array" ref="K54">MAX(IF($N$3:$EN$3=$J$3,N54:EN54))</f>
        <v>0</v>
      </c>
      <c r="L54" s="9"/>
      <c r="O54" s="10"/>
      <c r="P54" s="10"/>
      <c r="Q54" s="10"/>
      <c r="R54" s="10"/>
      <c r="V54" s="10"/>
      <c r="W54" s="10"/>
      <c r="X54" s="10"/>
      <c r="Y54" s="10"/>
      <c r="AC54" s="10"/>
      <c r="AD54" s="10"/>
      <c r="AE54" s="10"/>
      <c r="AF54" s="10"/>
      <c r="AJ54" s="10"/>
      <c r="AK54" s="10">
        <v>0.5</v>
      </c>
      <c r="AL54" s="10"/>
      <c r="AM54" s="10">
        <v>0.5</v>
      </c>
      <c r="AQ54" s="10"/>
      <c r="AR54" s="10">
        <v>1</v>
      </c>
      <c r="AS54" s="10"/>
      <c r="AT54" s="10">
        <v>1</v>
      </c>
      <c r="AX54" s="10"/>
      <c r="AY54" s="10"/>
      <c r="AZ54" s="10"/>
      <c r="BA54" s="10"/>
      <c r="BE54" s="10"/>
      <c r="BF54" s="10">
        <v>1</v>
      </c>
      <c r="BG54" s="10"/>
      <c r="BH54" s="10">
        <v>1</v>
      </c>
      <c r="BL54" s="10"/>
      <c r="BM54" s="10"/>
      <c r="BN54" s="10"/>
      <c r="BO54" s="10"/>
      <c r="BS54" s="10"/>
      <c r="BT54" s="10"/>
      <c r="BU54" s="10"/>
      <c r="BV54" s="10"/>
      <c r="BZ54" s="10"/>
      <c r="CA54" s="10"/>
      <c r="CB54" s="10"/>
      <c r="CC54" s="10"/>
      <c r="CG54" s="10"/>
      <c r="CH54" s="10"/>
      <c r="CI54" s="10"/>
      <c r="CJ54" s="10"/>
      <c r="CN54" s="10"/>
      <c r="CO54" s="10"/>
      <c r="CP54" s="10"/>
      <c r="CQ54" s="10"/>
      <c r="CU54" s="10"/>
      <c r="CV54" s="10"/>
      <c r="CW54" s="10"/>
      <c r="CX54" s="10"/>
      <c r="DB54" s="10"/>
      <c r="DC54" s="10"/>
      <c r="DD54" s="10"/>
      <c r="DE54" s="10"/>
      <c r="DI54" s="10"/>
      <c r="DJ54" s="10"/>
      <c r="DK54" s="10"/>
      <c r="DL54" s="10"/>
      <c r="DP54" s="10"/>
      <c r="DQ54" s="10"/>
      <c r="DR54" s="10"/>
      <c r="DS54" s="10"/>
      <c r="DW54" s="10"/>
      <c r="DX54" s="10"/>
      <c r="DY54" s="10"/>
      <c r="DZ54" s="10"/>
    </row>
    <row r="55" spans="2:130" outlineLevel="1">
      <c r="B55" t="s">
        <v>27</v>
      </c>
      <c r="C55" t="s">
        <v>98</v>
      </c>
      <c r="E55" s="9"/>
      <c r="F55" t="s">
        <v>39</v>
      </c>
      <c r="G55" s="10">
        <v>0.1</v>
      </c>
      <c r="I55" s="9">
        <f t="shared" si="3"/>
        <v>0</v>
      </c>
      <c r="J55" s="11" cm="1">
        <f t="array" ref="J55">MAX(IF($N$3:$EN$3=$J$3,N55:EN55))</f>
        <v>0</v>
      </c>
      <c r="K55" s="11" cm="1">
        <f t="array" ref="K55">MAX(IF($N$3:$EN$3=$J$3,N55:EN55))</f>
        <v>0</v>
      </c>
      <c r="L55" s="9"/>
      <c r="O55" s="10"/>
      <c r="P55" s="10"/>
      <c r="Q55" s="10"/>
      <c r="R55" s="10"/>
      <c r="V55" s="10"/>
      <c r="W55" s="10"/>
      <c r="X55" s="10"/>
      <c r="Y55" s="10"/>
      <c r="AC55" s="10"/>
      <c r="AD55" s="10"/>
      <c r="AE55" s="10"/>
      <c r="AF55" s="10"/>
      <c r="AJ55" s="10"/>
      <c r="AK55" s="10">
        <v>0.5</v>
      </c>
      <c r="AL55" s="10"/>
      <c r="AM55" s="10">
        <v>0.5</v>
      </c>
      <c r="AQ55" s="10"/>
      <c r="AR55" s="10">
        <v>1</v>
      </c>
      <c r="AS55" s="10"/>
      <c r="AT55" s="10">
        <v>1</v>
      </c>
      <c r="AX55" s="10"/>
      <c r="AY55" s="10"/>
      <c r="AZ55" s="10"/>
      <c r="BA55" s="10"/>
      <c r="BE55" s="10"/>
      <c r="BF55" s="10">
        <v>1</v>
      </c>
      <c r="BG55" s="10"/>
      <c r="BH55" s="10">
        <v>1</v>
      </c>
      <c r="BL55" s="10"/>
      <c r="BM55" s="10"/>
      <c r="BN55" s="10"/>
      <c r="BO55" s="10"/>
      <c r="BS55" s="10"/>
      <c r="BT55" s="10"/>
      <c r="BU55" s="10"/>
      <c r="BV55" s="10"/>
      <c r="BZ55" s="10"/>
      <c r="CA55" s="10"/>
      <c r="CB55" s="10"/>
      <c r="CC55" s="10"/>
      <c r="CG55" s="10"/>
      <c r="CH55" s="10"/>
      <c r="CI55" s="10"/>
      <c r="CJ55" s="10"/>
      <c r="CN55" s="10"/>
      <c r="CO55" s="10"/>
      <c r="CP55" s="10"/>
      <c r="CQ55" s="10"/>
      <c r="CU55" s="10"/>
      <c r="CV55" s="10"/>
      <c r="CW55" s="10"/>
      <c r="CX55" s="10"/>
      <c r="DB55" s="10"/>
      <c r="DC55" s="10"/>
      <c r="DD55" s="10"/>
      <c r="DE55" s="10"/>
      <c r="DI55" s="10"/>
      <c r="DJ55" s="10"/>
      <c r="DK55" s="10"/>
      <c r="DL55" s="10"/>
      <c r="DP55" s="10"/>
      <c r="DQ55" s="10"/>
      <c r="DR55" s="10"/>
      <c r="DS55" s="10"/>
      <c r="DW55" s="10"/>
      <c r="DX55" s="10"/>
      <c r="DY55" s="10"/>
      <c r="DZ55" s="10"/>
    </row>
  </sheetData>
  <mergeCells count="18">
    <mergeCell ref="CF2:CK2"/>
    <mergeCell ref="CM2:CR2"/>
    <mergeCell ref="DH2:DM2"/>
    <mergeCell ref="DO2:DT2"/>
    <mergeCell ref="DV2:EA2"/>
    <mergeCell ref="I2:L2"/>
    <mergeCell ref="N2:S2"/>
    <mergeCell ref="BD2:BI2"/>
    <mergeCell ref="U2:Z2"/>
    <mergeCell ref="AB2:AG2"/>
    <mergeCell ref="AI2:AN2"/>
    <mergeCell ref="AP2:AU2"/>
    <mergeCell ref="AW2:BB2"/>
    <mergeCell ref="CT2:CY2"/>
    <mergeCell ref="DA2:DF2"/>
    <mergeCell ref="BK2:BP2"/>
    <mergeCell ref="BR2:BW2"/>
    <mergeCell ref="BY2:CD2"/>
  </mergeCells>
  <phoneticPr fontId="5" type="noConversion"/>
  <conditionalFormatting sqref="J5:J22">
    <cfRule type="colorScale" priority="638">
      <colorScale>
        <cfvo type="percent" val="0"/>
        <cfvo type="percent" val="100"/>
        <color rgb="FFFF231B"/>
        <color rgb="FF10FF07"/>
      </colorScale>
    </cfRule>
  </conditionalFormatting>
  <conditionalFormatting sqref="J14">
    <cfRule type="colorScale" priority="186">
      <colorScale>
        <cfvo type="percent" val="0"/>
        <cfvo type="percent" val="100"/>
        <color rgb="FFFF231B"/>
        <color rgb="FF10FF07"/>
      </colorScale>
    </cfRule>
  </conditionalFormatting>
  <conditionalFormatting sqref="J15">
    <cfRule type="colorScale" priority="167">
      <colorScale>
        <cfvo type="percent" val="0"/>
        <cfvo type="percent" val="100"/>
        <color rgb="FFFF231B"/>
        <color rgb="FF10FF07"/>
      </colorScale>
    </cfRule>
  </conditionalFormatting>
  <conditionalFormatting sqref="J16:J42 J13">
    <cfRule type="colorScale" priority="420">
      <colorScale>
        <cfvo type="percent" val="0"/>
        <cfvo type="percent" val="100"/>
        <color rgb="FFFF231B"/>
        <color rgb="FF10FF07"/>
      </colorScale>
    </cfRule>
  </conditionalFormatting>
  <conditionalFormatting sqref="J45:J55">
    <cfRule type="colorScale" priority="698">
      <colorScale>
        <cfvo type="percent" val="0"/>
        <cfvo type="percent" val="100"/>
        <color rgb="FFFF231B"/>
        <color rgb="FF10FF07"/>
      </colorScale>
    </cfRule>
  </conditionalFormatting>
  <conditionalFormatting sqref="J6:K10">
    <cfRule type="colorScale" priority="609">
      <colorScale>
        <cfvo type="percent" val="0"/>
        <cfvo type="percent" val="100"/>
        <color rgb="FFFF231B"/>
        <color rgb="FF10FF07"/>
      </colorScale>
    </cfRule>
  </conditionalFormatting>
  <conditionalFormatting sqref="J11:K11">
    <cfRule type="colorScale" priority="17">
      <colorScale>
        <cfvo type="percent" val="0"/>
        <cfvo type="percent" val="100"/>
        <color rgb="FFFF231B"/>
        <color rgb="FF10FF07"/>
      </colorScale>
    </cfRule>
  </conditionalFormatting>
  <conditionalFormatting sqref="J12:K16">
    <cfRule type="colorScale" priority="16">
      <colorScale>
        <cfvo type="percent" val="0"/>
        <cfvo type="percent" val="100"/>
        <color rgb="FFFF231B"/>
        <color rgb="FF10FF07"/>
      </colorScale>
    </cfRule>
  </conditionalFormatting>
  <conditionalFormatting sqref="J14:K14">
    <cfRule type="colorScale" priority="187">
      <colorScale>
        <cfvo type="percent" val="0"/>
        <cfvo type="percent" val="100"/>
        <color rgb="FFFF231B"/>
        <color rgb="FF10FF07"/>
      </colorScale>
    </cfRule>
  </conditionalFormatting>
  <conditionalFormatting sqref="J15:K15">
    <cfRule type="colorScale" priority="168">
      <colorScale>
        <cfvo type="percent" val="0"/>
        <cfvo type="percent" val="100"/>
        <color rgb="FFFF231B"/>
        <color rgb="FF10FF07"/>
      </colorScale>
    </cfRule>
  </conditionalFormatting>
  <conditionalFormatting sqref="J16:K42">
    <cfRule type="colorScale" priority="421">
      <colorScale>
        <cfvo type="percent" val="0"/>
        <cfvo type="percent" val="100"/>
        <color rgb="FFFF231B"/>
        <color rgb="FF10FF07"/>
      </colorScale>
    </cfRule>
  </conditionalFormatting>
  <conditionalFormatting sqref="J17:K22">
    <cfRule type="colorScale" priority="15">
      <colorScale>
        <cfvo type="percent" val="0"/>
        <cfvo type="percent" val="100"/>
        <color rgb="FFFF231B"/>
        <color rgb="FF10FF07"/>
      </colorScale>
    </cfRule>
  </conditionalFormatting>
  <conditionalFormatting sqref="J46:K55">
    <cfRule type="colorScale" priority="696">
      <colorScale>
        <cfvo type="percent" val="0"/>
        <cfvo type="percent" val="100"/>
        <color rgb="FFFF231B"/>
        <color rgb="FF10FF07"/>
      </colorScale>
    </cfRule>
  </conditionalFormatting>
  <conditionalFormatting sqref="K5:K22">
    <cfRule type="colorScale" priority="639">
      <colorScale>
        <cfvo type="percent" val="0"/>
        <cfvo type="percent" val="100"/>
        <color rgb="FFFF231B"/>
        <color rgb="FF10FF07"/>
      </colorScale>
    </cfRule>
  </conditionalFormatting>
  <conditionalFormatting sqref="K14">
    <cfRule type="colorScale" priority="185">
      <colorScale>
        <cfvo type="percent" val="0"/>
        <cfvo type="percent" val="100"/>
        <color rgb="FFFF231B"/>
        <color rgb="FF10FF07"/>
      </colorScale>
    </cfRule>
  </conditionalFormatting>
  <conditionalFormatting sqref="K15">
    <cfRule type="colorScale" priority="166">
      <colorScale>
        <cfvo type="percent" val="0"/>
        <cfvo type="percent" val="100"/>
        <color rgb="FFFF231B"/>
        <color rgb="FF10FF07"/>
      </colorScale>
    </cfRule>
  </conditionalFormatting>
  <conditionalFormatting sqref="K16:K42 K13">
    <cfRule type="colorScale" priority="419">
      <colorScale>
        <cfvo type="percent" val="0"/>
        <cfvo type="percent" val="100"/>
        <color rgb="FFFF231B"/>
        <color rgb="FF10FF07"/>
      </colorScale>
    </cfRule>
  </conditionalFormatting>
  <conditionalFormatting sqref="K45:K55">
    <cfRule type="colorScale" priority="700">
      <colorScale>
        <cfvo type="percent" val="0"/>
        <cfvo type="percent" val="100"/>
        <color rgb="FFFF231B"/>
        <color rgb="FF10FF07"/>
      </colorScale>
    </cfRule>
  </conditionalFormatting>
  <conditionalFormatting sqref="O5:O42">
    <cfRule type="expression" dxfId="137" priority="1">
      <formula>OR(IF(O5&lt;P5,TRUE),IF(AND(P5="",O5&lt;&gt;""),TRUE))</formula>
    </cfRule>
    <cfRule type="expression" dxfId="136" priority="2">
      <formula>IF(O5&gt;=P5,IF(O5="",FALSE,TRUE))</formula>
    </cfRule>
  </conditionalFormatting>
  <conditionalFormatting sqref="O45:O55">
    <cfRule type="expression" dxfId="135" priority="547">
      <formula>OR(IF(O45&lt;P45,TRUE),IF(AND(P45="",O45&lt;&gt;""),TRUE))</formula>
    </cfRule>
    <cfRule type="expression" dxfId="134" priority="548">
      <formula>IF(O45&gt;=P45,IF(O45="",FALSE,TRUE))</formula>
    </cfRule>
  </conditionalFormatting>
  <conditionalFormatting sqref="Q5:Q22 V5:V22 X5:X22 AC5:AC22 AE5:AE22 AJ5:AJ22 AL5:AL22 AQ5:AQ22 AS5:AS22 AX5:AX22 AZ5:AZ22 BE5:BE22 BG5:BG22 BL5:BL22 BN5:BN22 O15:O22">
    <cfRule type="expression" dxfId="133" priority="606">
      <formula>OR(IF(O5&lt;P5,TRUE),IF(AND(P5="",O5&lt;&gt;""),TRUE))</formula>
    </cfRule>
    <cfRule type="expression" dxfId="132" priority="607">
      <formula>IF(O5&gt;=P5,IF(O5="",FALSE,TRUE))</formula>
    </cfRule>
  </conditionalFormatting>
  <conditionalFormatting sqref="Q13:Q42">
    <cfRule type="expression" dxfId="131" priority="181">
      <formula>OR(IF(Q13&lt;R13,TRUE),IF(AND(R13="",Q13&lt;&gt;""),TRUE))</formula>
    </cfRule>
    <cfRule type="expression" dxfId="130" priority="182">
      <formula>IF(Q13&gt;=R13,IF(Q13="",FALSE,TRUE))</formula>
    </cfRule>
  </conditionalFormatting>
  <conditionalFormatting sqref="Q45:Q55">
    <cfRule type="expression" dxfId="129" priority="545">
      <formula>OR(IF(Q45&lt;R45,TRUE),IF(AND(R45="",Q45&lt;&gt;""),TRUE))</formula>
    </cfRule>
    <cfRule type="expression" dxfId="128" priority="546">
      <formula>IF(Q45&gt;=R45,IF(Q45="",FALSE,TRUE))</formula>
    </cfRule>
  </conditionalFormatting>
  <conditionalFormatting sqref="V13:V42 X13:X42">
    <cfRule type="expression" dxfId="127" priority="179">
      <formula>OR(IF(V13&lt;W13,TRUE),IF(AND(W13="",V13&lt;&gt;""),TRUE))</formula>
    </cfRule>
    <cfRule type="expression" dxfId="126" priority="180">
      <formula>IF(V13&gt;=W13,IF(V13="",FALSE,TRUE))</formula>
    </cfRule>
  </conditionalFormatting>
  <conditionalFormatting sqref="V45:V55">
    <cfRule type="expression" dxfId="125" priority="517">
      <formula>OR(IF(V45&lt;W45,TRUE),IF(AND(W45="",V45&lt;&gt;""),TRUE))</formula>
    </cfRule>
    <cfRule type="expression" dxfId="124" priority="518">
      <formula>IF(V45&gt;=W45,IF(V45="",FALSE,TRUE))</formula>
    </cfRule>
  </conditionalFormatting>
  <conditionalFormatting sqref="X45:X55">
    <cfRule type="expression" dxfId="123" priority="515">
      <formula>OR(IF(X45&lt;Y45,TRUE),IF(AND(Y45="",X45&lt;&gt;""),TRUE))</formula>
    </cfRule>
    <cfRule type="expression" dxfId="122" priority="516">
      <formula>IF(X45&gt;=Y45,IF(X45="",FALSE,TRUE))</formula>
    </cfRule>
  </conditionalFormatting>
  <conditionalFormatting sqref="AC13:AC42 AE13:AE42">
    <cfRule type="expression" dxfId="121" priority="177">
      <formula>OR(IF(AC13&lt;AD13,TRUE),IF(AND(AD13="",AC13&lt;&gt;""),TRUE))</formula>
    </cfRule>
    <cfRule type="expression" dxfId="120" priority="178">
      <formula>IF(AC13&gt;=AD13,IF(AC13="",FALSE,TRUE))</formula>
    </cfRule>
  </conditionalFormatting>
  <conditionalFormatting sqref="AC45:AC55">
    <cfRule type="expression" dxfId="119" priority="501">
      <formula>OR(IF(AC45&lt;AD45,TRUE),IF(AND(AD45="",AC45&lt;&gt;""),TRUE))</formula>
    </cfRule>
    <cfRule type="expression" dxfId="118" priority="502">
      <formula>IF(AC45&gt;=AD45,IF(AC45="",FALSE,TRUE))</formula>
    </cfRule>
  </conditionalFormatting>
  <conditionalFormatting sqref="AE45:AE55">
    <cfRule type="expression" dxfId="117" priority="499">
      <formula>OR(IF(AE45&lt;AF45,TRUE),IF(AND(AF45="",AE45&lt;&gt;""),TRUE))</formula>
    </cfRule>
    <cfRule type="expression" dxfId="116" priority="500">
      <formula>IF(AE45&gt;=AF45,IF(AE45="",FALSE,TRUE))</formula>
    </cfRule>
  </conditionalFormatting>
  <conditionalFormatting sqref="AJ13:AJ42 AL13:AL42">
    <cfRule type="expression" dxfId="115" priority="175">
      <formula>OR(IF(AJ13&lt;AK13,TRUE),IF(AND(AK13="",AJ13&lt;&gt;""),TRUE))</formula>
    </cfRule>
    <cfRule type="expression" dxfId="114" priority="176">
      <formula>IF(AJ13&gt;=AK13,IF(AJ13="",FALSE,TRUE))</formula>
    </cfRule>
  </conditionalFormatting>
  <conditionalFormatting sqref="AJ45:AJ55">
    <cfRule type="expression" dxfId="113" priority="485">
      <formula>OR(IF(AJ45&lt;AK45,TRUE),IF(AND(AK45="",AJ45&lt;&gt;""),TRUE))</formula>
    </cfRule>
    <cfRule type="expression" dxfId="112" priority="486">
      <formula>IF(AJ45&gt;=AK45,IF(AJ45="",FALSE,TRUE))</formula>
    </cfRule>
  </conditionalFormatting>
  <conditionalFormatting sqref="AL45:AL55">
    <cfRule type="expression" dxfId="111" priority="483">
      <formula>OR(IF(AL45&lt;AM45,TRUE),IF(AND(AM45="",AL45&lt;&gt;""),TRUE))</formula>
    </cfRule>
    <cfRule type="expression" dxfId="110" priority="484">
      <formula>IF(AL45&gt;=AM45,IF(AL45="",FALSE,TRUE))</formula>
    </cfRule>
  </conditionalFormatting>
  <conditionalFormatting sqref="AQ13:AQ42 AS13:AS42">
    <cfRule type="expression" dxfId="109" priority="173">
      <formula>OR(IF(AQ13&lt;AR13,TRUE),IF(AND(AR13="",AQ13&lt;&gt;""),TRUE))</formula>
    </cfRule>
    <cfRule type="expression" dxfId="108" priority="174">
      <formula>IF(AQ13&gt;=AR13,IF(AQ13="",FALSE,TRUE))</formula>
    </cfRule>
  </conditionalFormatting>
  <conditionalFormatting sqref="AQ45:AQ55">
    <cfRule type="expression" dxfId="107" priority="469">
      <formula>OR(IF(AQ45&lt;AR45,TRUE),IF(AND(AR45="",AQ45&lt;&gt;""),TRUE))</formula>
    </cfRule>
    <cfRule type="expression" dxfId="106" priority="470">
      <formula>IF(AQ45&gt;=AR45,IF(AQ45="",FALSE,TRUE))</formula>
    </cfRule>
  </conditionalFormatting>
  <conditionalFormatting sqref="AS45:AS55">
    <cfRule type="expression" dxfId="105" priority="467">
      <formula>OR(IF(AS45&lt;AT45,TRUE),IF(AND(AT45="",AS45&lt;&gt;""),TRUE))</formula>
    </cfRule>
    <cfRule type="expression" dxfId="104" priority="468">
      <formula>IF(AS45&gt;=AT45,IF(AS45="",FALSE,TRUE))</formula>
    </cfRule>
  </conditionalFormatting>
  <conditionalFormatting sqref="AX13:AX42 AZ13:AZ42">
    <cfRule type="expression" dxfId="103" priority="171">
      <formula>OR(IF(AX13&lt;AY13,TRUE),IF(AND(AY13="",AX13&lt;&gt;""),TRUE))</formula>
    </cfRule>
    <cfRule type="expression" dxfId="102" priority="172">
      <formula>IF(AX13&gt;=AY13,IF(AX13="",FALSE,TRUE))</formula>
    </cfRule>
  </conditionalFormatting>
  <conditionalFormatting sqref="AX45:AX55">
    <cfRule type="expression" dxfId="101" priority="453">
      <formula>OR(IF(AX45&lt;AY45,TRUE),IF(AND(AY45="",AX45&lt;&gt;""),TRUE))</formula>
    </cfRule>
    <cfRule type="expression" dxfId="100" priority="454">
      <formula>IF(AX45&gt;=AY45,IF(AX45="",FALSE,TRUE))</formula>
    </cfRule>
  </conditionalFormatting>
  <conditionalFormatting sqref="AZ45:AZ55">
    <cfRule type="expression" dxfId="99" priority="451">
      <formula>OR(IF(AZ45&lt;BA45,TRUE),IF(AND(BA45="",AZ45&lt;&gt;""),TRUE))</formula>
    </cfRule>
    <cfRule type="expression" dxfId="98" priority="452">
      <formula>IF(AZ45&gt;=BA45,IF(AZ45="",FALSE,TRUE))</formula>
    </cfRule>
  </conditionalFormatting>
  <conditionalFormatting sqref="BE13:BE42 BG13:BG42">
    <cfRule type="expression" dxfId="97" priority="169">
      <formula>OR(IF(BE13&lt;BF13,TRUE),IF(AND(BF13="",BE13&lt;&gt;""),TRUE))</formula>
    </cfRule>
    <cfRule type="expression" dxfId="96" priority="170">
      <formula>IF(BE13&gt;=BF13,IF(BE13="",FALSE,TRUE))</formula>
    </cfRule>
  </conditionalFormatting>
  <conditionalFormatting sqref="BE45:BE55">
    <cfRule type="expression" dxfId="95" priority="437">
      <formula>OR(IF(BE45&lt;BF45,TRUE),IF(AND(BF45="",BE45&lt;&gt;""),TRUE))</formula>
    </cfRule>
    <cfRule type="expression" dxfId="94" priority="438">
      <formula>IF(BE45&gt;=BF45,IF(BE45="",FALSE,TRUE))</formula>
    </cfRule>
  </conditionalFormatting>
  <conditionalFormatting sqref="BG45:BG55">
    <cfRule type="expression" dxfId="93" priority="435">
      <formula>OR(IF(BG45&lt;BH45,TRUE),IF(AND(BH45="",BG45&lt;&gt;""),TRUE))</formula>
    </cfRule>
    <cfRule type="expression" dxfId="92" priority="436">
      <formula>IF(BG45&gt;=BH45,IF(BG45="",FALSE,TRUE))</formula>
    </cfRule>
  </conditionalFormatting>
  <conditionalFormatting sqref="BL13:BL42 BN13:BN42">
    <cfRule type="expression" dxfId="91" priority="164">
      <formula>OR(IF(BL13&lt;BM13,TRUE),IF(AND(BM13="",BL13&lt;&gt;""),TRUE))</formula>
    </cfRule>
    <cfRule type="expression" dxfId="90" priority="165">
      <formula>IF(BL13&gt;=BM13,IF(BL13="",FALSE,TRUE))</formula>
    </cfRule>
  </conditionalFormatting>
  <conditionalFormatting sqref="BL45:BL55">
    <cfRule type="expression" dxfId="89" priority="413">
      <formula>OR(IF(BL45&lt;BM45,TRUE),IF(AND(BM45="",BL45&lt;&gt;""),TRUE))</formula>
    </cfRule>
    <cfRule type="expression" dxfId="88" priority="414">
      <formula>IF(BL45&gt;=BM45,IF(BL45="",FALSE,TRUE))</formula>
    </cfRule>
  </conditionalFormatting>
  <conditionalFormatting sqref="BN45:BN55">
    <cfRule type="expression" dxfId="87" priority="411">
      <formula>OR(IF(BN45&lt;BO45,TRUE),IF(AND(BO45="",BN45&lt;&gt;""),TRUE))</formula>
    </cfRule>
    <cfRule type="expression" dxfId="86" priority="412">
      <formula>IF(BN45&gt;=BO45,IF(BN45="",FALSE,TRUE))</formula>
    </cfRule>
  </conditionalFormatting>
  <conditionalFormatting sqref="BS5:BS22 BU5:BU22">
    <cfRule type="expression" dxfId="85" priority="162">
      <formula>OR(IF(BS5&lt;BT5,TRUE),IF(AND(BT5="",BS5&lt;&gt;""),TRUE))</formula>
    </cfRule>
    <cfRule type="expression" dxfId="84" priority="163">
      <formula>IF(BS5&gt;=BT5,IF(BS5="",FALSE,TRUE))</formula>
    </cfRule>
  </conditionalFormatting>
  <conditionalFormatting sqref="BS13:BS42 BU13:BU42">
    <cfRule type="expression" dxfId="83" priority="144">
      <formula>OR(IF(BS13&lt;BT13,TRUE),IF(AND(BT13="",BS13&lt;&gt;""),TRUE))</formula>
    </cfRule>
    <cfRule type="expression" dxfId="82" priority="145">
      <formula>IF(BS13&gt;=BT13,IF(BS13="",FALSE,TRUE))</formula>
    </cfRule>
  </conditionalFormatting>
  <conditionalFormatting sqref="BS45:BS55">
    <cfRule type="expression" dxfId="81" priority="158">
      <formula>OR(IF(BS45&lt;BT45,TRUE),IF(AND(BT45="",BS45&lt;&gt;""),TRUE))</formula>
    </cfRule>
    <cfRule type="expression" dxfId="80" priority="159">
      <formula>IF(BS45&gt;=BT45,IF(BS45="",FALSE,TRUE))</formula>
    </cfRule>
  </conditionalFormatting>
  <conditionalFormatting sqref="BU45:BU55">
    <cfRule type="expression" dxfId="79" priority="156">
      <formula>OR(IF(BU45&lt;BV45,TRUE),IF(AND(BV45="",BU45&lt;&gt;""),TRUE))</formula>
    </cfRule>
    <cfRule type="expression" dxfId="78" priority="157">
      <formula>IF(BU45&gt;=BV45,IF(BU45="",FALSE,TRUE))</formula>
    </cfRule>
  </conditionalFormatting>
  <conditionalFormatting sqref="BZ5:BZ22">
    <cfRule type="expression" dxfId="77" priority="142">
      <formula>OR(IF(BZ5&lt;CA5,TRUE),IF(AND(CA5="",BZ5&lt;&gt;""),TRUE))</formula>
    </cfRule>
    <cfRule type="expression" dxfId="76" priority="143">
      <formula>IF(BZ5&gt;=CA5,IF(BZ5="",FALSE,TRUE))</formula>
    </cfRule>
  </conditionalFormatting>
  <conditionalFormatting sqref="BZ13:BZ42 CB13:CB42">
    <cfRule type="expression" dxfId="75" priority="125">
      <formula>IF(BZ13&gt;=CA13,IF(BZ13="",FALSE,TRUE))</formula>
    </cfRule>
  </conditionalFormatting>
  <conditionalFormatting sqref="BZ45:BZ55">
    <cfRule type="expression" dxfId="74" priority="138">
      <formula>OR(IF(BZ45&lt;CA45,TRUE),IF(AND(CA45="",BZ45&lt;&gt;""),TRUE))</formula>
    </cfRule>
    <cfRule type="expression" dxfId="73" priority="139">
      <formula>IF(BZ45&gt;=CA45,IF(BZ45="",FALSE,TRUE))</formula>
    </cfRule>
  </conditionalFormatting>
  <conditionalFormatting sqref="CB5:CB22">
    <cfRule type="expression" dxfId="72" priority="42">
      <formula>OR(IF(CB5&lt;CC5,TRUE),IF(AND(CC5="",CB5&lt;&gt;""),TRUE))</formula>
    </cfRule>
    <cfRule type="expression" dxfId="71" priority="43">
      <formula>IF(CB5&gt;=CC5,IF(CB5="",FALSE,TRUE))</formula>
    </cfRule>
  </conditionalFormatting>
  <conditionalFormatting sqref="CB13:CB42 BZ13:BZ42">
    <cfRule type="expression" dxfId="70" priority="124">
      <formula>OR(IF(BZ13&lt;CA13,TRUE),IF(AND(CA13="",BZ13&lt;&gt;""),TRUE))</formula>
    </cfRule>
  </conditionalFormatting>
  <conditionalFormatting sqref="CB45:CB55">
    <cfRule type="expression" dxfId="69" priority="136">
      <formula>OR(IF(CB45&lt;CC45,TRUE),IF(AND(CC45="",CB45&lt;&gt;""),TRUE))</formula>
    </cfRule>
    <cfRule type="expression" dxfId="68" priority="137">
      <formula>IF(CB45&gt;=CC45,IF(CB45="",FALSE,TRUE))</formula>
    </cfRule>
  </conditionalFormatting>
  <conditionalFormatting sqref="CG5:CG22 CI5:CI22">
    <cfRule type="expression" dxfId="67" priority="122">
      <formula>OR(IF(CG5&lt;CH5,TRUE),IF(AND(CH5="",CG5&lt;&gt;""),TRUE))</formula>
    </cfRule>
    <cfRule type="expression" dxfId="66" priority="123">
      <formula>IF(CG5&gt;=CH5,IF(CG5="",FALSE,TRUE))</formula>
    </cfRule>
  </conditionalFormatting>
  <conditionalFormatting sqref="CG13:CG42 CI13:CI42">
    <cfRule type="expression" dxfId="65" priority="104">
      <formula>OR(IF(CG13&lt;CH13,TRUE),IF(AND(CH13="",CG13&lt;&gt;""),TRUE))</formula>
    </cfRule>
    <cfRule type="expression" dxfId="64" priority="105">
      <formula>IF(CG13&gt;=CH13,IF(CG13="",FALSE,TRUE))</formula>
    </cfRule>
  </conditionalFormatting>
  <conditionalFormatting sqref="CG45:CG55">
    <cfRule type="expression" dxfId="63" priority="118">
      <formula>OR(IF(CG45&lt;CH45,TRUE),IF(AND(CH45="",CG45&lt;&gt;""),TRUE))</formula>
    </cfRule>
    <cfRule type="expression" dxfId="62" priority="119">
      <formula>IF(CG45&gt;=CH45,IF(CG45="",FALSE,TRUE))</formula>
    </cfRule>
  </conditionalFormatting>
  <conditionalFormatting sqref="CI45:CI55">
    <cfRule type="expression" dxfId="61" priority="116">
      <formula>OR(IF(CI45&lt;CJ45,TRUE),IF(AND(CJ45="",CI45&lt;&gt;""),TRUE))</formula>
    </cfRule>
    <cfRule type="expression" dxfId="60" priority="117">
      <formula>IF(CI45&gt;=CJ45,IF(CI45="",FALSE,TRUE))</formula>
    </cfRule>
  </conditionalFormatting>
  <conditionalFormatting sqref="CN5:CN22 CP5:CP22">
    <cfRule type="expression" dxfId="59" priority="102">
      <formula>OR(IF(CN5&lt;CO5,TRUE),IF(AND(CO5="",CN5&lt;&gt;""),TRUE))</formula>
    </cfRule>
    <cfRule type="expression" dxfId="58" priority="103">
      <formula>IF(CN5&gt;=CO5,IF(CN5="",FALSE,TRUE))</formula>
    </cfRule>
  </conditionalFormatting>
  <conditionalFormatting sqref="CN13:CN42 CP13:CP42">
    <cfRule type="expression" dxfId="57" priority="84">
      <formula>OR(IF(CN13&lt;CO13,TRUE),IF(AND(CO13="",CN13&lt;&gt;""),TRUE))</formula>
    </cfRule>
    <cfRule type="expression" dxfId="56" priority="85">
      <formula>IF(CN13&gt;=CO13,IF(CN13="",FALSE,TRUE))</formula>
    </cfRule>
  </conditionalFormatting>
  <conditionalFormatting sqref="CN45:CN55">
    <cfRule type="expression" dxfId="55" priority="98">
      <formula>OR(IF(CN45&lt;CO45,TRUE),IF(AND(CO45="",CN45&lt;&gt;""),TRUE))</formula>
    </cfRule>
    <cfRule type="expression" dxfId="54" priority="99">
      <formula>IF(CN45&gt;=CO45,IF(CN45="",FALSE,TRUE))</formula>
    </cfRule>
  </conditionalFormatting>
  <conditionalFormatting sqref="CP45:CP55">
    <cfRule type="expression" dxfId="53" priority="96">
      <formula>OR(IF(CP45&lt;CQ45,TRUE),IF(AND(CQ45="",CP45&lt;&gt;""),TRUE))</formula>
    </cfRule>
    <cfRule type="expression" dxfId="52" priority="97">
      <formula>IF(CP45&gt;=CQ45,IF(CP45="",FALSE,TRUE))</formula>
    </cfRule>
  </conditionalFormatting>
  <conditionalFormatting sqref="CU5:CU22 CW5:CW22">
    <cfRule type="expression" dxfId="51" priority="82">
      <formula>OR(IF(CU5&lt;CV5,TRUE),IF(AND(CV5="",CU5&lt;&gt;""),TRUE))</formula>
    </cfRule>
    <cfRule type="expression" dxfId="50" priority="83">
      <formula>IF(CU5&gt;=CV5,IF(CU5="",FALSE,TRUE))</formula>
    </cfRule>
  </conditionalFormatting>
  <conditionalFormatting sqref="CU13:CU42 CW13:CW42">
    <cfRule type="expression" dxfId="49" priority="64">
      <formula>OR(IF(CU13&lt;CV13,TRUE),IF(AND(CV13="",CU13&lt;&gt;""),TRUE))</formula>
    </cfRule>
    <cfRule type="expression" dxfId="48" priority="65">
      <formula>IF(CU13&gt;=CV13,IF(CU13="",FALSE,TRUE))</formula>
    </cfRule>
  </conditionalFormatting>
  <conditionalFormatting sqref="CU45:CU55">
    <cfRule type="expression" dxfId="47" priority="78">
      <formula>OR(IF(CU45&lt;CV45,TRUE),IF(AND(CV45="",CU45&lt;&gt;""),TRUE))</formula>
    </cfRule>
    <cfRule type="expression" dxfId="46" priority="79">
      <formula>IF(CU45&gt;=CV45,IF(CU45="",FALSE,TRUE))</formula>
    </cfRule>
  </conditionalFormatting>
  <conditionalFormatting sqref="CW45:CW55">
    <cfRule type="expression" dxfId="45" priority="76">
      <formula>OR(IF(CW45&lt;CX45,TRUE),IF(AND(CX45="",CW45&lt;&gt;""),TRUE))</formula>
    </cfRule>
    <cfRule type="expression" dxfId="44" priority="77">
      <formula>IF(CW45&gt;=CX45,IF(CW45="",FALSE,TRUE))</formula>
    </cfRule>
  </conditionalFormatting>
  <conditionalFormatting sqref="DB5:DB22 DD5:DD22">
    <cfRule type="expression" dxfId="43" priority="62">
      <formula>OR(IF(DB5&lt;DC5,TRUE),IF(AND(DC5="",DB5&lt;&gt;""),TRUE))</formula>
    </cfRule>
    <cfRule type="expression" dxfId="42" priority="63">
      <formula>IF(DB5&gt;=DC5,IF(DB5="",FALSE,TRUE))</formula>
    </cfRule>
  </conditionalFormatting>
  <conditionalFormatting sqref="DB13:DB42 DD13:DD42">
    <cfRule type="expression" dxfId="41" priority="44">
      <formula>OR(IF(DB13&lt;DC13,TRUE),IF(AND(DC13="",DB13&lt;&gt;""),TRUE))</formula>
    </cfRule>
    <cfRule type="expression" dxfId="40" priority="45">
      <formula>IF(DB13&gt;=DC13,IF(DB13="",FALSE,TRUE))</formula>
    </cfRule>
  </conditionalFormatting>
  <conditionalFormatting sqref="DB45:DB55">
    <cfRule type="expression" dxfId="39" priority="58">
      <formula>OR(IF(DB45&lt;DC45,TRUE),IF(AND(DC45="",DB45&lt;&gt;""),TRUE))</formula>
    </cfRule>
    <cfRule type="expression" dxfId="38" priority="59">
      <formula>IF(DB45&gt;=DC45,IF(DB45="",FALSE,TRUE))</formula>
    </cfRule>
  </conditionalFormatting>
  <conditionalFormatting sqref="DD45:DD55">
    <cfRule type="expression" dxfId="37" priority="56">
      <formula>OR(IF(DD45&lt;DE45,TRUE),IF(AND(DE45="",DD45&lt;&gt;""),TRUE))</formula>
    </cfRule>
    <cfRule type="expression" dxfId="36" priority="57">
      <formula>IF(DD45&gt;=DE45,IF(DD45="",FALSE,TRUE))</formula>
    </cfRule>
  </conditionalFormatting>
  <conditionalFormatting sqref="DI5:DI22 DK5:DK22">
    <cfRule type="expression" dxfId="35" priority="40">
      <formula>OR(IF(DI5&lt;DJ5,TRUE),IF(AND(DJ5="",DI5&lt;&gt;""),TRUE))</formula>
    </cfRule>
    <cfRule type="expression" dxfId="34" priority="41">
      <formula>IF(DI5&gt;=DJ5,IF(DI5="",FALSE,TRUE))</formula>
    </cfRule>
  </conditionalFormatting>
  <conditionalFormatting sqref="DI13:DI42 DK13:DK42">
    <cfRule type="expression" dxfId="33" priority="34">
      <formula>OR(IF(DI13&lt;DJ13,TRUE),IF(AND(DJ13="",DI13&lt;&gt;""),TRUE))</formula>
    </cfRule>
    <cfRule type="expression" dxfId="32" priority="35">
      <formula>IF(DI13&gt;=DJ13,IF(DI13="",FALSE,TRUE))</formula>
    </cfRule>
  </conditionalFormatting>
  <conditionalFormatting sqref="DI45:DI55">
    <cfRule type="expression" dxfId="31" priority="38">
      <formula>OR(IF(DI45&lt;DJ45,TRUE),IF(AND(DJ45="",DI45&lt;&gt;""),TRUE))</formula>
    </cfRule>
    <cfRule type="expression" dxfId="30" priority="39">
      <formula>IF(DI45&gt;=DJ45,IF(DI45="",FALSE,TRUE))</formula>
    </cfRule>
  </conditionalFormatting>
  <conditionalFormatting sqref="DK45:DK55">
    <cfRule type="expression" dxfId="29" priority="36">
      <formula>OR(IF(DK45&lt;DL45,TRUE),IF(AND(DL45="",DK45&lt;&gt;""),TRUE))</formula>
    </cfRule>
    <cfRule type="expression" dxfId="28" priority="37">
      <formula>IF(DK45&gt;=DL45,IF(DK45="",FALSE,TRUE))</formula>
    </cfRule>
  </conditionalFormatting>
  <conditionalFormatting sqref="DP5:DP22 DR5:DR22">
    <cfRule type="expression" dxfId="27" priority="32">
      <formula>OR(IF(DP5&lt;DQ5,TRUE),IF(AND(DQ5="",DP5&lt;&gt;""),TRUE))</formula>
    </cfRule>
    <cfRule type="expression" dxfId="26" priority="33">
      <formula>IF(DP5&gt;=DQ5,IF(DP5="",FALSE,TRUE))</formula>
    </cfRule>
  </conditionalFormatting>
  <conditionalFormatting sqref="DP13:DP42 DR13:DR42">
    <cfRule type="expression" dxfId="25" priority="26">
      <formula>OR(IF(DP13&lt;DQ13,TRUE),IF(AND(DQ13="",DP13&lt;&gt;""),TRUE))</formula>
    </cfRule>
    <cfRule type="expression" dxfId="24" priority="27">
      <formula>IF(DP13&gt;=DQ13,IF(DP13="",FALSE,TRUE))</formula>
    </cfRule>
  </conditionalFormatting>
  <conditionalFormatting sqref="DP45:DP55">
    <cfRule type="expression" dxfId="23" priority="30">
      <formula>OR(IF(DP45&lt;DQ45,TRUE),IF(AND(DQ45="",DP45&lt;&gt;""),TRUE))</formula>
    </cfRule>
    <cfRule type="expression" dxfId="22" priority="31">
      <formula>IF(DP45&gt;=DQ45,IF(DP45="",FALSE,TRUE))</formula>
    </cfRule>
  </conditionalFormatting>
  <conditionalFormatting sqref="DR45:DR55">
    <cfRule type="expression" dxfId="21" priority="28">
      <formula>OR(IF(DR45&lt;DS45,TRUE),IF(AND(DS45="",DR45&lt;&gt;""),TRUE))</formula>
    </cfRule>
    <cfRule type="expression" dxfId="20" priority="29">
      <formula>IF(DR45&gt;=DS45,IF(DR45="",FALSE,TRUE))</formula>
    </cfRule>
  </conditionalFormatting>
  <conditionalFormatting sqref="DW5:DW22 DY5:DY22">
    <cfRule type="expression" dxfId="19" priority="24">
      <formula>OR(IF(DW5&lt;DX5,TRUE),IF(AND(DX5="",DW5&lt;&gt;""),TRUE))</formula>
    </cfRule>
    <cfRule type="expression" dxfId="18" priority="25">
      <formula>IF(DW5&gt;=DX5,IF(DW5="",FALSE,TRUE))</formula>
    </cfRule>
  </conditionalFormatting>
  <conditionalFormatting sqref="DW13:DW42 DY13:DY42">
    <cfRule type="expression" dxfId="17" priority="18">
      <formula>OR(IF(DW13&lt;DX13,TRUE),IF(AND(DX13="",DW13&lt;&gt;""),TRUE))</formula>
    </cfRule>
    <cfRule type="expression" dxfId="16" priority="19">
      <formula>IF(DW13&gt;=DX13,IF(DW13="",FALSE,TRUE))</formula>
    </cfRule>
  </conditionalFormatting>
  <conditionalFormatting sqref="DW45:DW55">
    <cfRule type="expression" dxfId="15" priority="22">
      <formula>OR(IF(DW45&lt;DX45,TRUE),IF(AND(DX45="",DW45&lt;&gt;""),TRUE))</formula>
    </cfRule>
    <cfRule type="expression" dxfId="14" priority="23">
      <formula>IF(DW45&gt;=DX45,IF(DW45="",FALSE,TRUE))</formula>
    </cfRule>
  </conditionalFormatting>
  <conditionalFormatting sqref="DY45:DY55">
    <cfRule type="expression" dxfId="13" priority="20">
      <formula>OR(IF(DY45&lt;DZ45,TRUE),IF(AND(DZ45="",DY45&lt;&gt;""),TRUE))</formula>
    </cfRule>
    <cfRule type="expression" dxfId="12" priority="21">
      <formula>IF(DY45&gt;=DZ45,IF(DY45="",FALSE,TRUE))</formula>
    </cfRule>
  </conditionalFormatting>
  <dataValidations count="1">
    <dataValidation type="list" allowBlank="1" showInputMessage="1" showErrorMessage="1" sqref="BE5:BH22 BL5:BO22 AX5:BA22 BZ5:CC22 BS5:BV22 CG5:CJ22 CN5:CQ22 CU5:CX22 BL45:BO55 O45:R55 AX45:BA55 AQ45:AT55 AJ45:AM55 AC45:AF55 V45:Y55 DB5:DE22 DI5:DL22 BS45:BV55 BZ45:CC55 BE45:BH55 DP5:DS22 CG45:CJ55 DW5:DZ22 CN45:CQ55 V5:Y22 CU45:CX55 AC5:AF22 DB45:DE55 AJ5:AM22 DI45:DL55 AQ5:AT22 DP45:DS55 O5:R22 DW45:DZ55 BE24:BH42 AX24:BA42 AQ24:AT42 AJ24:AM42 AC24:AF42 V24:Y42 DW24:DZ42 DP24:DS42 DI24:DL42 O24:R42 BZ24:CC42 DB24:DE42 CU24:CX42 CN24:CQ42 CG24:CJ42 BS24:BV42 BL24:BO4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16" sqref="B16"/>
    </sheetView>
  </sheetViews>
  <sheetFormatPr baseColWidth="10" defaultColWidth="10.6875" defaultRowHeight="15.75"/>
  <cols>
    <col min="2" max="2" width="161" customWidth="1"/>
    <col min="3" max="3" width="10.8125"/>
  </cols>
  <sheetData>
    <row r="4" spans="2:2" ht="21">
      <c r="B4" s="3" t="s">
        <v>15</v>
      </c>
    </row>
    <row r="6" spans="2:2">
      <c r="B6" s="2" t="s">
        <v>12</v>
      </c>
    </row>
    <row r="7" spans="2:2" ht="47.25">
      <c r="B7" s="1" t="s">
        <v>13</v>
      </c>
    </row>
    <row r="9" spans="2:2">
      <c r="B9" s="2" t="s">
        <v>14</v>
      </c>
    </row>
    <row r="10" spans="2:2" ht="63">
      <c r="B10" s="1" t="s">
        <v>45</v>
      </c>
    </row>
    <row r="12" spans="2:2">
      <c r="B12" s="2" t="s">
        <v>16</v>
      </c>
    </row>
    <row r="13" spans="2:2" ht="126">
      <c r="B13" s="1" t="s">
        <v>17</v>
      </c>
    </row>
    <row r="15" spans="2:2">
      <c r="B15" s="2" t="s">
        <v>18</v>
      </c>
    </row>
    <row r="16" spans="2:2" ht="110.25">
      <c r="B16" s="1" t="s">
        <v>19</v>
      </c>
    </row>
    <row r="17" spans="2:2">
      <c r="B17" s="1"/>
    </row>
    <row r="18" spans="2:2">
      <c r="B18" s="2" t="s">
        <v>44</v>
      </c>
    </row>
    <row r="19" spans="2:2" ht="141.75">
      <c r="B19" s="1" t="s">
        <v>46</v>
      </c>
    </row>
    <row r="21" spans="2:2">
      <c r="B21" s="2" t="s">
        <v>20</v>
      </c>
    </row>
    <row r="22" spans="2:2" ht="110.25">
      <c r="B22" s="1" t="s">
        <v>47</v>
      </c>
    </row>
    <row r="24" spans="2:2">
      <c r="B24" s="2" t="s">
        <v>21</v>
      </c>
    </row>
    <row r="25" spans="2:2" ht="126">
      <c r="B25" s="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875" defaultRowHeight="15.75"/>
  <cols>
    <col min="1" max="1" width="16.8125" style="9" customWidth="1"/>
    <col min="2" max="2" width="19.1875" style="9" customWidth="1"/>
    <col min="3" max="3" width="18.1875" style="9" customWidth="1"/>
    <col min="4" max="4" width="19.5" style="9" customWidth="1"/>
    <col min="8" max="8" width="15.1875" customWidth="1"/>
    <col min="10" max="10" width="42" customWidth="1"/>
    <col min="11" max="11" width="28.5" customWidth="1"/>
  </cols>
  <sheetData>
    <row r="1" spans="1:11" ht="31.5">
      <c r="A1" s="9" t="s">
        <v>51</v>
      </c>
      <c r="B1" s="15" t="s">
        <v>48</v>
      </c>
      <c r="C1" s="15" t="s">
        <v>49</v>
      </c>
      <c r="D1" s="15" t="s">
        <v>50</v>
      </c>
      <c r="E1" s="1" t="s">
        <v>52</v>
      </c>
      <c r="F1" s="1" t="s">
        <v>53</v>
      </c>
      <c r="G1" s="1" t="s">
        <v>54</v>
      </c>
      <c r="H1" s="1" t="s">
        <v>55</v>
      </c>
      <c r="I1" s="1" t="s">
        <v>56</v>
      </c>
      <c r="J1" s="1" t="s">
        <v>57</v>
      </c>
      <c r="K1" s="1" t="s">
        <v>58</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875" defaultRowHeight="15.75"/>
  <sheetData>
    <row r="1" spans="1:8" ht="25.1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875" defaultRowHeight="15.75"/>
  <sheetData>
    <row r="1" spans="1:8" ht="25.1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Ben Jenkner</cp:lastModifiedBy>
  <dcterms:created xsi:type="dcterms:W3CDTF">2020-04-19T13:33:28Z</dcterms:created>
  <dcterms:modified xsi:type="dcterms:W3CDTF">2023-09-29T15:33:37Z</dcterms:modified>
</cp:coreProperties>
</file>