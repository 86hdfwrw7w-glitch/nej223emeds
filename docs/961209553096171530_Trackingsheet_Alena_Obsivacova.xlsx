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hawhamburgde-my.sharepoint.com/personal/alena_obsivacova_haw-hamburg_de/Documents/Desktop/UNI/"/>
    </mc:Choice>
  </mc:AlternateContent>
  <xr:revisionPtr revIDLastSave="642" documentId="13_ncr:1_{7DB83A70-AAD7-4F59-9ABF-870240464185}" xr6:coauthVersionLast="47" xr6:coauthVersionMax="47" xr10:uidLastSave="{0DE32EE9-215E-460F-8699-D537CC606BAC}"/>
  <bookViews>
    <workbookView xWindow="-110" yWindow="-110" windowWidth="19420" windowHeight="10300" activeTab="3" xr2:uid="{50F29292-BE80-0C47-A0D2-DD086CB3D310}"/>
  </bookViews>
  <sheets>
    <sheet name="Anleitung" sheetId="2" r:id="rId1"/>
    <sheet name="Semesterplan" sheetId="7" r:id="rId2"/>
    <sheet name="COMMITTMENT" sheetId="9" r:id="rId3"/>
    <sheet name="Wochenplan KW 14" sheetId="3" r:id="rId4"/>
    <sheet name="Wochenplan KW 15"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97" i="7" l="1"/>
  <c r="F17" i="7"/>
  <c r="F5" i="7"/>
  <c r="E2" i="7"/>
  <c r="F44" i="7"/>
  <c r="F33" i="7"/>
  <c r="F54" i="7"/>
  <c r="F64" i="7"/>
  <c r="F76" i="7"/>
  <c r="F4" i="7"/>
  <c r="I4" i="7"/>
  <c r="I86" i="7"/>
  <c r="I76" i="7"/>
  <c r="I64" i="7"/>
  <c r="I54" i="7"/>
  <c r="I44" i="7"/>
  <c r="I33" i="7"/>
  <c r="I17" i="7"/>
  <c r="J4" i="7"/>
  <c r="DR86" i="7"/>
  <c r="DR76" i="7"/>
  <c r="DR64" i="7"/>
  <c r="DR54" i="7"/>
  <c r="DR44" i="7"/>
  <c r="DR33" i="7"/>
  <c r="DR17" i="7"/>
  <c r="DR4" i="7"/>
  <c r="DK86" i="7"/>
  <c r="DK76" i="7"/>
  <c r="DK64" i="7"/>
  <c r="DK54" i="7"/>
  <c r="DK44" i="7"/>
  <c r="DK33" i="7"/>
  <c r="DK17" i="7"/>
  <c r="DK4" i="7"/>
  <c r="N95" i="7" a="1"/>
  <c r="N95" i="7" s="1"/>
  <c r="M95" i="7" a="1"/>
  <c r="M95" i="7" s="1"/>
  <c r="L95" i="7"/>
  <c r="N90" i="7" a="1"/>
  <c r="N90" i="7" s="1"/>
  <c r="M90" i="7" a="1"/>
  <c r="M90" i="7" s="1"/>
  <c r="L90" i="7"/>
  <c r="N40" i="7" a="1"/>
  <c r="N40" i="7" s="1"/>
  <c r="M40" i="7" a="1"/>
  <c r="M40" i="7" s="1"/>
  <c r="L40" i="7"/>
  <c r="N38" i="7" a="1"/>
  <c r="N38" i="7" s="1"/>
  <c r="M38" i="7" a="1"/>
  <c r="M38" i="7" s="1"/>
  <c r="L38" i="7"/>
  <c r="N30" i="7" a="1"/>
  <c r="N30" i="7" s="1"/>
  <c r="M30" i="7" a="1"/>
  <c r="M30" i="7" s="1"/>
  <c r="L30" i="7"/>
  <c r="N23" i="7" a="1"/>
  <c r="N23" i="7" s="1"/>
  <c r="M23" i="7" a="1"/>
  <c r="M23" i="7" s="1"/>
  <c r="L23" i="7"/>
  <c r="N20" i="7" a="1"/>
  <c r="N20" i="7" s="1"/>
  <c r="M20" i="7" a="1"/>
  <c r="M20" i="7" s="1"/>
  <c r="L20" i="7"/>
  <c r="N21" i="7" a="1"/>
  <c r="N21" i="7" s="1"/>
  <c r="M21" i="7" a="1"/>
  <c r="M21" i="7" s="1"/>
  <c r="L21" i="7"/>
  <c r="N31" i="7" a="1"/>
  <c r="N31" i="7" s="1"/>
  <c r="M31" i="7" a="1"/>
  <c r="M31" i="7" s="1"/>
  <c r="L31" i="7"/>
  <c r="DD86" i="7"/>
  <c r="DD76" i="7"/>
  <c r="DD64" i="7"/>
  <c r="DD54" i="7"/>
  <c r="DD44" i="7"/>
  <c r="DD33" i="7"/>
  <c r="DD17" i="7"/>
  <c r="DD4" i="7"/>
  <c r="CW86" i="7"/>
  <c r="CW76" i="7"/>
  <c r="CW64" i="7"/>
  <c r="CW54" i="7"/>
  <c r="CW44" i="7"/>
  <c r="CW33" i="7"/>
  <c r="CW17" i="7"/>
  <c r="CW4" i="7"/>
  <c r="CP86" i="7"/>
  <c r="CP76" i="7"/>
  <c r="CP64" i="7"/>
  <c r="CP54" i="7"/>
  <c r="CP44" i="7"/>
  <c r="CP33" i="7"/>
  <c r="CP17" i="7"/>
  <c r="CP4" i="7"/>
  <c r="CI86" i="7"/>
  <c r="CI76" i="7"/>
  <c r="CI64" i="7"/>
  <c r="CI54" i="7"/>
  <c r="CI44" i="7"/>
  <c r="CI33" i="7"/>
  <c r="CI17" i="7"/>
  <c r="CI4" i="7"/>
  <c r="CB86" i="7"/>
  <c r="CB76" i="7"/>
  <c r="CB64" i="7"/>
  <c r="CB54" i="7"/>
  <c r="CB44" i="7"/>
  <c r="CB33" i="7"/>
  <c r="CB17" i="7"/>
  <c r="CB4" i="7"/>
  <c r="BU86" i="7"/>
  <c r="BU76" i="7"/>
  <c r="BU64" i="7"/>
  <c r="BU54" i="7"/>
  <c r="BU44" i="7"/>
  <c r="BU33" i="7"/>
  <c r="BU17" i="7"/>
  <c r="BU4" i="7"/>
  <c r="BN86" i="7"/>
  <c r="BN76" i="7"/>
  <c r="BN64" i="7"/>
  <c r="BN54" i="7"/>
  <c r="BN44" i="7"/>
  <c r="BN33" i="7"/>
  <c r="BN17" i="7"/>
  <c r="BN4" i="7"/>
  <c r="BG4" i="7"/>
  <c r="BG17" i="7"/>
  <c r="BG33" i="7"/>
  <c r="BG44" i="7"/>
  <c r="BG54" i="7"/>
  <c r="BG64" i="7"/>
  <c r="BG76" i="7"/>
  <c r="BG86" i="7"/>
  <c r="N96" i="7" a="1"/>
  <c r="N96" i="7" s="1"/>
  <c r="M96" i="7" a="1"/>
  <c r="M96" i="7" s="1"/>
  <c r="L96" i="7"/>
  <c r="N94" i="7" a="1"/>
  <c r="N94" i="7" s="1"/>
  <c r="M94" i="7" a="1"/>
  <c r="M94" i="7" s="1"/>
  <c r="L94" i="7"/>
  <c r="N93" i="7" a="1"/>
  <c r="N93" i="7" s="1"/>
  <c r="M93" i="7" a="1"/>
  <c r="M93" i="7" s="1"/>
  <c r="L93" i="7"/>
  <c r="N92" i="7" a="1"/>
  <c r="N92" i="7" s="1"/>
  <c r="M92" i="7" a="1"/>
  <c r="M92" i="7" s="1"/>
  <c r="L92" i="7"/>
  <c r="N91" i="7" a="1"/>
  <c r="N91" i="7" s="1"/>
  <c r="M91" i="7" a="1"/>
  <c r="M91" i="7" s="1"/>
  <c r="L91" i="7"/>
  <c r="N89" i="7" a="1"/>
  <c r="N89" i="7" s="1"/>
  <c r="M89" i="7" a="1"/>
  <c r="M89" i="7" s="1"/>
  <c r="L89" i="7"/>
  <c r="N88" i="7" a="1"/>
  <c r="N88" i="7" s="1"/>
  <c r="M88" i="7" a="1"/>
  <c r="M88" i="7" s="1"/>
  <c r="L88" i="7"/>
  <c r="N87" i="7" a="1"/>
  <c r="N87" i="7" s="1"/>
  <c r="M87" i="7" a="1"/>
  <c r="M87" i="7" s="1"/>
  <c r="L87" i="7"/>
  <c r="AZ86" i="7"/>
  <c r="AS86" i="7"/>
  <c r="AL86" i="7"/>
  <c r="AE86" i="7"/>
  <c r="X86" i="7"/>
  <c r="Q86" i="7"/>
  <c r="N84" i="7" a="1"/>
  <c r="N84" i="7" s="1"/>
  <c r="M84" i="7" a="1"/>
  <c r="M84" i="7" s="1"/>
  <c r="L84" i="7"/>
  <c r="N83" i="7" a="1"/>
  <c r="N83" i="7" s="1"/>
  <c r="M83" i="7" a="1"/>
  <c r="M83" i="7" s="1"/>
  <c r="L83" i="7"/>
  <c r="N82" i="7" a="1"/>
  <c r="N82" i="7" s="1"/>
  <c r="M82" i="7" a="1"/>
  <c r="M82" i="7" s="1"/>
  <c r="L82" i="7"/>
  <c r="N81" i="7" a="1"/>
  <c r="N81" i="7" s="1"/>
  <c r="M81" i="7" a="1"/>
  <c r="M81" i="7" s="1"/>
  <c r="L81" i="7"/>
  <c r="N80" i="7" a="1"/>
  <c r="N80" i="7" s="1"/>
  <c r="M80" i="7" a="1"/>
  <c r="M80" i="7" s="1"/>
  <c r="L80" i="7"/>
  <c r="N79" i="7" a="1"/>
  <c r="N79" i="7" s="1"/>
  <c r="M79" i="7" a="1"/>
  <c r="M79" i="7" s="1"/>
  <c r="L79" i="7"/>
  <c r="N78" i="7" a="1"/>
  <c r="N78" i="7" s="1"/>
  <c r="M78" i="7" a="1"/>
  <c r="M78" i="7" s="1"/>
  <c r="L78" i="7"/>
  <c r="N77" i="7" a="1"/>
  <c r="N77" i="7" s="1"/>
  <c r="M77" i="7" a="1"/>
  <c r="M77" i="7" s="1"/>
  <c r="L77" i="7"/>
  <c r="AZ76" i="7"/>
  <c r="AS76" i="7"/>
  <c r="AL76" i="7"/>
  <c r="AE76" i="7"/>
  <c r="X76" i="7"/>
  <c r="Q76" i="7"/>
  <c r="N74" i="7" a="1"/>
  <c r="N74" i="7" s="1"/>
  <c r="M74" i="7" a="1"/>
  <c r="M74" i="7" s="1"/>
  <c r="L74" i="7"/>
  <c r="N73" i="7" a="1"/>
  <c r="N73" i="7" s="1"/>
  <c r="M73" i="7" a="1"/>
  <c r="M73" i="7" s="1"/>
  <c r="L73" i="7"/>
  <c r="N72" i="7" a="1"/>
  <c r="N72" i="7" s="1"/>
  <c r="M72" i="7" a="1"/>
  <c r="M72" i="7" s="1"/>
  <c r="L72" i="7"/>
  <c r="N71" i="7" a="1"/>
  <c r="N71" i="7" s="1"/>
  <c r="M71" i="7" a="1"/>
  <c r="M71" i="7" s="1"/>
  <c r="L71" i="7"/>
  <c r="N70" i="7" a="1"/>
  <c r="N70" i="7" s="1"/>
  <c r="M70" i="7" a="1"/>
  <c r="M70" i="7" s="1"/>
  <c r="L70" i="7"/>
  <c r="N69" i="7" a="1"/>
  <c r="N69" i="7" s="1"/>
  <c r="M69" i="7" a="1"/>
  <c r="M69" i="7" s="1"/>
  <c r="L69" i="7"/>
  <c r="N68" i="7" a="1"/>
  <c r="N68" i="7" s="1"/>
  <c r="M68" i="7" a="1"/>
  <c r="M68" i="7" s="1"/>
  <c r="L68" i="7"/>
  <c r="N67" i="7" a="1"/>
  <c r="N67" i="7" s="1"/>
  <c r="M67" i="7" a="1"/>
  <c r="M67" i="7" s="1"/>
  <c r="L67" i="7"/>
  <c r="N66" i="7" a="1"/>
  <c r="N66" i="7" s="1"/>
  <c r="M66" i="7" a="1"/>
  <c r="M66" i="7" s="1"/>
  <c r="L66" i="7"/>
  <c r="N65" i="7" a="1"/>
  <c r="N65" i="7" s="1"/>
  <c r="M65" i="7" a="1"/>
  <c r="M65" i="7" s="1"/>
  <c r="L65" i="7"/>
  <c r="AZ64" i="7"/>
  <c r="AS64" i="7"/>
  <c r="AL64" i="7"/>
  <c r="AE64" i="7"/>
  <c r="X64" i="7"/>
  <c r="Q64" i="7"/>
  <c r="N62" i="7" a="1"/>
  <c r="N62" i="7" s="1"/>
  <c r="M62" i="7" a="1"/>
  <c r="M62" i="7" s="1"/>
  <c r="L62" i="7"/>
  <c r="N61" i="7" a="1"/>
  <c r="N61" i="7" s="1"/>
  <c r="M61" i="7" a="1"/>
  <c r="M61" i="7" s="1"/>
  <c r="L61" i="7"/>
  <c r="N60" i="7" a="1"/>
  <c r="N60" i="7" s="1"/>
  <c r="M60" i="7" a="1"/>
  <c r="M60" i="7" s="1"/>
  <c r="L60" i="7"/>
  <c r="N59" i="7" a="1"/>
  <c r="N59" i="7" s="1"/>
  <c r="M59" i="7" a="1"/>
  <c r="M59" i="7" s="1"/>
  <c r="L59" i="7"/>
  <c r="N58" i="7" a="1"/>
  <c r="N58" i="7" s="1"/>
  <c r="M58" i="7" a="1"/>
  <c r="M58" i="7" s="1"/>
  <c r="L58" i="7"/>
  <c r="N57" i="7" a="1"/>
  <c r="N57" i="7" s="1"/>
  <c r="M57" i="7" a="1"/>
  <c r="M57" i="7" s="1"/>
  <c r="L57" i="7"/>
  <c r="N56" i="7" a="1"/>
  <c r="N56" i="7" s="1"/>
  <c r="M56" i="7" a="1"/>
  <c r="M56" i="7" s="1"/>
  <c r="L56" i="7"/>
  <c r="N55" i="7" a="1"/>
  <c r="N55" i="7" s="1"/>
  <c r="M55" i="7" a="1"/>
  <c r="M55" i="7" s="1"/>
  <c r="L55" i="7"/>
  <c r="AZ54" i="7"/>
  <c r="AS54" i="7"/>
  <c r="AL54" i="7"/>
  <c r="AE54" i="7"/>
  <c r="X54" i="7"/>
  <c r="Q54" i="7"/>
  <c r="N52" i="7" a="1"/>
  <c r="N52" i="7" s="1"/>
  <c r="M52" i="7" a="1"/>
  <c r="M52" i="7" s="1"/>
  <c r="L52" i="7"/>
  <c r="N51" i="7" a="1"/>
  <c r="N51" i="7" s="1"/>
  <c r="M51" i="7" a="1"/>
  <c r="M51" i="7" s="1"/>
  <c r="L51" i="7"/>
  <c r="N50" i="7" a="1"/>
  <c r="N50" i="7" s="1"/>
  <c r="M50" i="7" a="1"/>
  <c r="M50" i="7" s="1"/>
  <c r="L50" i="7"/>
  <c r="N49" i="7" a="1"/>
  <c r="N49" i="7" s="1"/>
  <c r="M49" i="7" a="1"/>
  <c r="M49" i="7" s="1"/>
  <c r="L49" i="7"/>
  <c r="N48" i="7" a="1"/>
  <c r="N48" i="7" s="1"/>
  <c r="M48" i="7" a="1"/>
  <c r="M48" i="7" s="1"/>
  <c r="L48" i="7"/>
  <c r="N47" i="7" a="1"/>
  <c r="N47" i="7" s="1"/>
  <c r="M47" i="7" a="1"/>
  <c r="M47" i="7" s="1"/>
  <c r="L47" i="7"/>
  <c r="N46" i="7" a="1"/>
  <c r="N46" i="7" s="1"/>
  <c r="M46" i="7" a="1"/>
  <c r="M46" i="7" s="1"/>
  <c r="L46" i="7"/>
  <c r="N45" i="7" a="1"/>
  <c r="N45" i="7" s="1"/>
  <c r="M45" i="7" a="1"/>
  <c r="M45" i="7" s="1"/>
  <c r="L45" i="7"/>
  <c r="AZ44" i="7"/>
  <c r="AS44" i="7"/>
  <c r="AL44" i="7"/>
  <c r="AE44" i="7"/>
  <c r="X44" i="7"/>
  <c r="Q44" i="7"/>
  <c r="N42" i="7" a="1"/>
  <c r="N42" i="7" s="1"/>
  <c r="M42" i="7" a="1"/>
  <c r="M42" i="7" s="1"/>
  <c r="L42" i="7"/>
  <c r="N41" i="7" a="1"/>
  <c r="N41" i="7" s="1"/>
  <c r="M41" i="7" a="1"/>
  <c r="M41" i="7" s="1"/>
  <c r="L41" i="7"/>
  <c r="N39" i="7" a="1"/>
  <c r="N39" i="7" s="1"/>
  <c r="M39" i="7" a="1"/>
  <c r="M39" i="7" s="1"/>
  <c r="L39" i="7"/>
  <c r="N37" i="7" a="1"/>
  <c r="N37" i="7" s="1"/>
  <c r="M37" i="7" a="1"/>
  <c r="M37" i="7" s="1"/>
  <c r="L37" i="7"/>
  <c r="N36" i="7" a="1"/>
  <c r="N36" i="7" s="1"/>
  <c r="M36" i="7" a="1"/>
  <c r="M36" i="7" s="1"/>
  <c r="L36" i="7"/>
  <c r="N35" i="7" a="1"/>
  <c r="N35" i="7" s="1"/>
  <c r="M35" i="7" a="1"/>
  <c r="M35" i="7" s="1"/>
  <c r="L35" i="7"/>
  <c r="N34" i="7" a="1"/>
  <c r="N34" i="7" s="1"/>
  <c r="M34" i="7" a="1"/>
  <c r="M34" i="7" s="1"/>
  <c r="L34" i="7"/>
  <c r="AZ33" i="7"/>
  <c r="AS33" i="7"/>
  <c r="AL33" i="7"/>
  <c r="AE33" i="7"/>
  <c r="X33" i="7"/>
  <c r="Q33" i="7"/>
  <c r="N29" i="7" a="1"/>
  <c r="N29" i="7" s="1"/>
  <c r="M29" i="7" a="1"/>
  <c r="M29" i="7" s="1"/>
  <c r="L29" i="7"/>
  <c r="N28" i="7" a="1"/>
  <c r="N28" i="7" s="1"/>
  <c r="M28" i="7" a="1"/>
  <c r="M28" i="7" s="1"/>
  <c r="L28" i="7"/>
  <c r="N27" i="7" a="1"/>
  <c r="N27" i="7" s="1"/>
  <c r="M27" i="7" a="1"/>
  <c r="M27" i="7" s="1"/>
  <c r="L27" i="7"/>
  <c r="N26" i="7" a="1"/>
  <c r="N26" i="7" s="1"/>
  <c r="M26" i="7" a="1"/>
  <c r="M26" i="7" s="1"/>
  <c r="L26" i="7"/>
  <c r="N25" i="7" a="1"/>
  <c r="N25" i="7" s="1"/>
  <c r="M25" i="7" a="1"/>
  <c r="M25" i="7" s="1"/>
  <c r="L25" i="7"/>
  <c r="N24" i="7" a="1"/>
  <c r="N24" i="7" s="1"/>
  <c r="M24" i="7" a="1"/>
  <c r="M24" i="7" s="1"/>
  <c r="L24" i="7"/>
  <c r="N22" i="7" a="1"/>
  <c r="N22" i="7" s="1"/>
  <c r="M22" i="7" a="1"/>
  <c r="M22" i="7" s="1"/>
  <c r="L22" i="7"/>
  <c r="N19" i="7" a="1"/>
  <c r="N19" i="7" s="1"/>
  <c r="M19" i="7" a="1"/>
  <c r="M19" i="7" s="1"/>
  <c r="L19" i="7"/>
  <c r="N18" i="7" a="1"/>
  <c r="N18" i="7" s="1"/>
  <c r="M18" i="7" a="1"/>
  <c r="M18" i="7" s="1"/>
  <c r="L18" i="7"/>
  <c r="AZ17" i="7"/>
  <c r="AS17" i="7"/>
  <c r="AL17" i="7"/>
  <c r="AE17" i="7"/>
  <c r="X17" i="7"/>
  <c r="Q17" i="7"/>
  <c r="N15" i="7" a="1"/>
  <c r="N15" i="7" s="1"/>
  <c r="M15" i="7" a="1"/>
  <c r="M15" i="7" s="1"/>
  <c r="N14" i="7" a="1"/>
  <c r="N14" i="7" s="1"/>
  <c r="M14" i="7" a="1"/>
  <c r="M14" i="7" s="1"/>
  <c r="N13" i="7" a="1"/>
  <c r="N13" i="7" s="1"/>
  <c r="M13" i="7" a="1"/>
  <c r="M13" i="7" s="1"/>
  <c r="N12" i="7" a="1"/>
  <c r="N12" i="7" s="1"/>
  <c r="M12" i="7" a="1"/>
  <c r="M12" i="7" s="1"/>
  <c r="N11" i="7" a="1"/>
  <c r="N11" i="7" s="1"/>
  <c r="M11" i="7" a="1"/>
  <c r="M11" i="7" s="1"/>
  <c r="N10" i="7" a="1"/>
  <c r="N10" i="7" s="1"/>
  <c r="M10" i="7" a="1"/>
  <c r="M10" i="7" s="1"/>
  <c r="N9" i="7" a="1"/>
  <c r="N9" i="7" s="1"/>
  <c r="M9" i="7" a="1"/>
  <c r="M9" i="7" s="1"/>
  <c r="N8" i="7" a="1"/>
  <c r="N8" i="7" s="1"/>
  <c r="M8" i="7" a="1"/>
  <c r="M8" i="7" s="1"/>
  <c r="N7" i="7" a="1"/>
  <c r="N7" i="7" s="1"/>
  <c r="M7" i="7" a="1"/>
  <c r="M7" i="7" s="1"/>
  <c r="N6" i="7" a="1"/>
  <c r="N6" i="7" s="1"/>
  <c r="M6" i="7" a="1"/>
  <c r="M6" i="7" s="1"/>
  <c r="N5" i="7" a="1"/>
  <c r="N5" i="7" s="1"/>
  <c r="M5" i="7" a="1"/>
  <c r="M5" i="7" s="1"/>
  <c r="AZ4" i="7"/>
  <c r="AS4" i="7"/>
  <c r="AL4" i="7"/>
  <c r="AE4" i="7"/>
  <c r="X4" i="7"/>
  <c r="Q4" i="7"/>
  <c r="L6" i="7"/>
  <c r="L7" i="7"/>
  <c r="L8" i="7"/>
  <c r="L9" i="7"/>
  <c r="L10" i="7"/>
  <c r="L11" i="7"/>
  <c r="L12" i="7"/>
  <c r="L13" i="7"/>
  <c r="L14" i="7"/>
  <c r="L15" i="7"/>
  <c r="L5" i="7"/>
  <c r="L76" i="7" l="1"/>
  <c r="L64" i="7"/>
  <c r="N64" i="7"/>
  <c r="M64" i="7"/>
  <c r="L54" i="7"/>
  <c r="L33" i="7"/>
  <c r="N33" i="7"/>
  <c r="N17" i="7"/>
  <c r="L17" i="7"/>
  <c r="M17" i="7"/>
  <c r="M44" i="7"/>
  <c r="L44" i="7"/>
  <c r="M76" i="7"/>
  <c r="N54" i="7"/>
  <c r="M54" i="7"/>
  <c r="N76" i="7"/>
  <c r="M33" i="7"/>
  <c r="N44" i="7"/>
  <c r="M4" i="7"/>
  <c r="L86" i="7"/>
  <c r="L4" i="7"/>
  <c r="M86" i="7"/>
  <c r="N4" i="7"/>
  <c r="N86"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tc={7FEB47D6-24A0-4E66-B873-4AF6974714A3}</author>
    <author>tc={EFA35FD8-A07A-4EDD-86FF-DAA115D719C5}</author>
    <author>tc={EE04F0FE-8C6F-45EA-B29E-804EB4B536CD}</author>
    <author>tc={CE301BC6-E825-4AC2-A175-E39084C4983F}</author>
    <author>tc={E8820D83-3DB2-4F93-9AB2-5682440CF5E5}</author>
    <author>tc={E7FE9138-CDE2-4B08-8B9B-B3A674EC70FA}</author>
    <author>tc={1DFD579F-F736-4ADB-8524-72BC7BAD2537}</author>
    <author>tc={6A93AAE4-904C-4DEE-BAC7-E508EB568E1E}</author>
    <author>tc={7F101BC1-B66A-45B1-AB16-D68C0425F6C5}</author>
    <author>tc={018BB965-29B6-42CE-96B5-C47656615797}</author>
    <author>tc={DA45F422-9CB0-4DE5-A2D5-BF6906833646}</author>
    <author>tc={DE566B39-03AB-4C8C-96EC-1F5170AF7435}</author>
    <author>tc={8CAE31AA-124B-4320-A634-849B4B3A7F81}</author>
    <author>tc={CD274AC6-2AD8-482B-8E68-EFFF337D0369}</author>
    <author>tc={7555F32B-DF73-450F-A268-03C1D6B4C378}</author>
    <author>tc={293F796F-173B-4807-B18F-246A8C9CE418}</author>
    <author>tc={74CD51D6-6349-4597-B1AC-8535861B843F}</author>
    <author>tc={990361A5-003F-4E32-82A3-665F5775EA94}</author>
    <author>tc={2495E7AA-E79C-43B8-BAA6-B6D922968BC5}</author>
    <author>tc={D7560089-471B-4D2F-899F-7283E0D00FFE}</author>
    <author>tc={1F7897FB-BF3A-4A72-8D62-E67F79B487F7}</author>
    <author>tc={8F492286-2D97-4870-BA40-B413D0F2BE54}</author>
    <author>tc={8CDA9771-DE93-4E8E-BA74-D4EF3E39750F}</author>
    <author>tc={3F006224-DF5A-4EFD-BAF1-7E63C070D525}</author>
    <author>tc={AF9EFC8D-1FE9-40D9-88D7-2302E3BFC63D}</author>
    <author>tc={3B1665EB-13EE-4033-9738-879B39192B8F}</author>
    <author>tc={290837DD-2107-406D-9D53-653EF332C30C}</author>
    <author>tc={D84F78DA-85CB-4208-9429-D6BDAAC07B4B}</author>
    <author>tc={CFA4B580-6A84-44AE-8BB6-F439B4A10252}</author>
    <author>tc={BD344A87-6AAF-489F-986F-DC19A55D45AC}</author>
    <author>tc={B787A4C7-2EBB-4E39-9885-CCC9A272C8CA}</author>
    <author>tc={F39E0A12-2444-42E0-8AFA-6B7CFC330DDF}</author>
    <author>tc={CE06575E-E90B-46BE-A875-B6F015313EA0}</author>
    <author>tc={936583E4-1272-4EC7-AFEC-02B8625E4601}</author>
    <author>tc={26397CD8-3C9A-482F-90A1-1BD8142DD60E}</author>
    <author>tc={CD7BBB03-9034-4B8B-A94B-B7F487716707}</author>
    <author>tc={1A396CC2-BF0D-42D0-9013-C5198828EF1A}</author>
    <author>tc={618D3591-2349-4D7D-AF57-926E1B645D76}</author>
    <author>tc={CD9F50B4-2AF9-43E8-B9B0-F319C0A4F27C}</author>
    <author>tc={1B403450-AEF5-4C2A-A373-6CBD7951B3D6}</author>
    <author>tc={2863C8C6-5DCF-48EB-8142-72B5E8DC60D7}</author>
  </authors>
  <commentList>
    <comment ref="B1" authorId="0" shapeId="0" xr:uid="{7FEB47D6-24A0-4E66-B873-4AF6974714A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wie widerholungen im Wochenplan einabuen?</t>
      </text>
    </comment>
    <comment ref="E2" authorId="1" shapeId="0" xr:uid="{EFA35FD8-A07A-4EDD-86FF-DAA115D719C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durchschnittlich: 224LU/15WE = 15 LU/WE
70 Std Woche --&gt; 3 Std/LU</t>
      </text>
    </comment>
    <comment ref="Q2" authorId="2" shapeId="0" xr:uid="{EE04F0FE-8C6F-45EA-B29E-804EB4B536C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23 LU/WE</t>
      </text>
    </comment>
    <comment ref="X2" authorId="3" shapeId="0" xr:uid="{CE301BC6-E825-4AC2-A175-E39084C4983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24 LU/WE</t>
      </text>
    </comment>
    <comment ref="AE2" authorId="4" shapeId="0" xr:uid="{E8820D83-3DB2-4F93-9AB2-5682440CF5E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24 LU/WE</t>
      </text>
    </comment>
    <comment ref="AL2" authorId="5" shapeId="0" xr:uid="{E7FE9138-CDE2-4B08-8B9B-B3A674EC70F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24LU/WE</t>
      </text>
    </comment>
    <comment ref="AS2" authorId="6" shapeId="0" xr:uid="{1DFD579F-F736-4ADB-8524-72BC7BAD253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24 LU/WE</t>
      </text>
    </comment>
    <comment ref="AZ2" authorId="7" shapeId="0" xr:uid="{6A93AAE4-904C-4DEE-BAC7-E508EB568E1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23LU/WE</t>
      </text>
    </comment>
    <comment ref="BG2" authorId="8" shapeId="0" xr:uid="{7F101BC1-B66A-45B1-AB16-D68C0425F6C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23U/WE</t>
      </text>
    </comment>
    <comment ref="BN2" authorId="9" shapeId="0" xr:uid="{018BB965-29B6-42CE-96B5-C4765661579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16 LU/WE
(ggf. nur 50% bei AcRW--&gt; 14 LU/WE)</t>
      </text>
    </comment>
    <comment ref="BU2" authorId="10" shapeId="0" xr:uid="{DA45F422-9CB0-4DE5-A2D5-BF690683364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17LU/WE</t>
      </text>
    </comment>
    <comment ref="CB2" authorId="11" shapeId="0" xr:uid="{DE566B39-03AB-4C8C-96EC-1F5170AF743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15LU/WE</t>
      </text>
    </comment>
    <comment ref="CI2" authorId="12" shapeId="0" xr:uid="{8CAE31AA-124B-4320-A634-849B4B3A7F8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10LU/WE</t>
      </text>
    </comment>
    <comment ref="CP2" authorId="13" shapeId="0" xr:uid="{CD274AC6-2AD8-482B-8E68-EFFF337D036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2LU/WE</t>
      </text>
    </comment>
    <comment ref="E4" authorId="14" shapeId="0" xr:uid="{7555F32B-DF73-450F-A268-03C1D6B4C37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Klausur 1 - Woederholung ab KW21
bis Klausur 2 -  12 WE --&gt; Wiederholung ab KW 25
Volernen !!!</t>
      </text>
    </comment>
    <comment ref="F4" authorId="15" shapeId="0" xr:uid="{293F796F-173B-4807-B18F-246A8C9CE41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für Klausur 1
3,4=17LU/5WE --&gt;2x4LU/WE, 3x3 LW</t>
      </text>
    </comment>
    <comment ref="L4" authorId="16" shapeId="0" xr:uid="{74CD51D6-6349-4597-B1AC-8535861B843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9 Std/Wochen</t>
      </text>
    </comment>
    <comment ref="F5" authorId="17" shapeId="0" xr:uid="{990361A5-003F-4E32-82A3-665F5775EA9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9LU/4WE --&gt; 2x3LU/WE;1x2LU/WE; 1x1LU/WE</t>
      </text>
    </comment>
    <comment ref="H11" authorId="18" shapeId="0" xr:uid="{2495E7AA-E79C-43B8-BAA6-B6D922968BC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Referat</t>
      </text>
    </comment>
    <comment ref="E17" authorId="19" shapeId="0" xr:uid="{D7560089-471B-4D2F-899F-7283E0D00FF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Wiederholung ab KW25</t>
      </text>
    </comment>
    <comment ref="F17" authorId="20" shapeId="0" xr:uid="{1F7897FB-BF3A-4A72-8D62-E67F79B487F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3,8=19LU/5WE --&gt; 4x4 LU/WE, 1x3LU/WE</t>
      </text>
    </comment>
    <comment ref="L17" authorId="21" shapeId="0" xr:uid="{8F492286-2D97-4870-BA40-B413D0F2BE5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9 Std/Wochen</t>
      </text>
    </comment>
    <comment ref="E33" authorId="22" shapeId="0" xr:uid="{8CDA9771-DE93-4E8E-BA74-D4EF3E39750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Wiederholung ab KW 25</t>
      </text>
    </comment>
    <comment ref="F33" authorId="23" shapeId="0" xr:uid="{3F006224-DF5A-4EFD-BAF1-7E63C070D52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2,4 = 12 LU/5 WE --&gt; 3 WE 3 LU, 1WE 2 LU, 1 WE 1 LU</t>
      </text>
    </comment>
    <comment ref="L33" authorId="24" shapeId="0" xr:uid="{AF9EFC8D-1FE9-40D9-88D7-2302E3BFC63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9 Std/Wochen</t>
      </text>
    </comment>
    <comment ref="D44" authorId="25" shapeId="0" xr:uid="{3B1665EB-13EE-4033-9738-879B39192B8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Fragen, ob der Finale Test alle Themen beinhaltet
- Auf 100% lernen, wenn die die Tests nach jeder Kapitel drnak kommen?</t>
      </text>
    </comment>
    <comment ref="L44" authorId="26" shapeId="0" xr:uid="{290837DD-2107-406D-9D53-653EF332C30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9 Std/Wochen
--&gt; werde sehr wahrscheinlich weniger brauchen</t>
      </text>
    </comment>
    <comment ref="R45" authorId="27" shapeId="0" xr:uid="{D84F78DA-85CB-4208-9429-D6BDAAC07B4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100% = LU</t>
      </text>
    </comment>
    <comment ref="E54" authorId="28" shapeId="0" xr:uid="{CFA4B580-6A84-44AE-8BB6-F439B4A1025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Wiederholung ab KW24</t>
      </text>
    </comment>
    <comment ref="F54" authorId="29" shapeId="0" xr:uid="{BD344A87-6AAF-489F-986F-DC19A55D45A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12LU/5 WE --&gt;3 WE 3 LU, 1WE 2 LU, 1 WE 1 LU</t>
      </text>
    </comment>
    <comment ref="L54" authorId="30" shapeId="0" xr:uid="{B787A4C7-2EBB-4E39-9885-CCC9A272C8C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4 Std/Woche</t>
      </text>
    </comment>
    <comment ref="D64" authorId="31" shapeId="0" xr:uid="{F39E0A12-2444-42E0-8AFA-6B7CFC330DD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 KW25 Wiederholung</t>
      </text>
    </comment>
    <comment ref="F64" authorId="32" shapeId="0" xr:uid="{CE06575E-E90B-46BE-A875-B6F015313EA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5/2 --&gt; 5 LU pro 2 Wochen --&gt;1. Woche 3 LU , 2. Woche 2 LU</t>
      </text>
    </comment>
    <comment ref="L64" authorId="33" shapeId="0" xr:uid="{936583E4-1272-4EC7-AFEC-02B8625E460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4 Std/Woche</t>
      </text>
    </comment>
    <comment ref="E76" authorId="34" shapeId="0" xr:uid="{26397CD8-3C9A-482F-90A1-1BD8142DD60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Wiederholen ab KW23</t>
      </text>
    </comment>
    <comment ref="F76" authorId="35" shapeId="0" xr:uid="{CD7BBB03-9034-4B8B-A94B-B7F48771670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2,6=13LU/5WE--&gt;3x3LU/WE, 2x2LU/WE</t>
      </text>
    </comment>
    <comment ref="L76" authorId="36" shapeId="0" xr:uid="{1A396CC2-BF0D-42D0-9013-C5198828EF1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9Std/Woche</t>
      </text>
    </comment>
    <comment ref="E86" authorId="37" shapeId="0" xr:uid="{618D3591-2349-4D7D-AF57-926E1B645D7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wie soll ich Levelups verteilen, wenn man eine HH schreiben muss?
1-4 --&gt;1 LU = 50% 
5 --&gt; 2 LU = 75%
6 --&gt; 2 LU = 75%
7-10 --&gt; 3 LU = 100%
in Äbhängigkeit von ECTS? Gleichmäßig verteilen?</t>
      </text>
    </comment>
    <comment ref="L86" authorId="38" shapeId="0" xr:uid="{CD9F50B4-2AF9-43E8-B9B0-F319C0A4F27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9 Std/Woche --&gt; brauche nicht so viel</t>
      </text>
    </comment>
    <comment ref="H94" authorId="39" shapeId="0" xr:uid="{1B403450-AEF5-4C2A-A373-6CBD7951B3D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Klausur GVWL lernen</t>
      </text>
    </comment>
    <comment ref="BO95" authorId="40" shapeId="0" xr:uid="{2863C8C6-5DCF-48EB-8142-72B5E8DC60D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ggf. nur 50% --&gt; 14 LU/WE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tc={20BC3B5A-FE62-4DB0-B258-781C8DB35352}</author>
    <author>tc={1823EA6F-876C-4051-945A-29B3692BEDF2}</author>
  </authors>
  <commentList>
    <comment ref="C18" authorId="0" shapeId="0" xr:uid="{20BC3B5A-FE62-4DB0-B258-781C8DB3535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war bis 11:30</t>
      </text>
    </comment>
    <comment ref="B25" authorId="1" shapeId="0" xr:uid="{1823EA6F-876C-4051-945A-29B3692BEDF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Call mi Herrn Meyer zw. 15 und 16</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<sst xmlns="http://schemas.openxmlformats.org/spreadsheetml/2006/main" count="472" uniqueCount="197">
  <si>
    <t>Fach</t>
  </si>
  <si>
    <t>Skript Niveau</t>
  </si>
  <si>
    <t>Rechnen Niveau</t>
  </si>
  <si>
    <t>Montag</t>
  </si>
  <si>
    <t>Dienstag</t>
  </si>
  <si>
    <t>Mittwoch</t>
  </si>
  <si>
    <t>Donnerstag</t>
  </si>
  <si>
    <t>Samstag</t>
  </si>
  <si>
    <t>Sonntag</t>
  </si>
  <si>
    <t>Freitag</t>
  </si>
  <si>
    <t>Stunden</t>
  </si>
  <si>
    <t>Bemerkungen</t>
  </si>
  <si>
    <t>Enge Deadlines</t>
  </si>
  <si>
    <t>Lernen mit der Klausur im Blick</t>
  </si>
  <si>
    <t>Best Practices für die optimale Semesterplanung</t>
  </si>
  <si>
    <t>Aufteilung des Lernstoffs für passende Wochenziele</t>
  </si>
  <si>
    <t>Unnötigen Perfektionismus ablegen</t>
  </si>
  <si>
    <t>Wiederholungen einbauen</t>
  </si>
  <si>
    <t>Wochen- und Tagesplanung perfektionieren</t>
  </si>
  <si>
    <t>Klausurdatum</t>
  </si>
  <si>
    <t>Wochenplan</t>
  </si>
  <si>
    <t>Typ</t>
  </si>
  <si>
    <t>Übersicht</t>
  </si>
  <si>
    <t>Thema</t>
  </si>
  <si>
    <t>Fachgebiet</t>
  </si>
  <si>
    <t>ECTS</t>
  </si>
  <si>
    <t>Anteil an Klausur</t>
  </si>
  <si>
    <t>Ziel</t>
  </si>
  <si>
    <t>(Übersicht-Zelle muss angepasst werden)</t>
  </si>
  <si>
    <t>Ziele setzen und Zeiten abschätzen</t>
  </si>
  <si>
    <t>Lerneinheiten durchgezogen</t>
  </si>
  <si>
    <t>Tagesplan erstellt</t>
  </si>
  <si>
    <t>Konzentrationslevel</t>
  </si>
  <si>
    <t>Datum</t>
  </si>
  <si>
    <t>Kcal</t>
  </si>
  <si>
    <t>Fette</t>
  </si>
  <si>
    <t>Eiweiss</t>
  </si>
  <si>
    <t>Kohlenhydrate</t>
  </si>
  <si>
    <t>Gewicht</t>
  </si>
  <si>
    <t>Sonstiges Gefühl</t>
  </si>
  <si>
    <t>Optimierungen</t>
  </si>
  <si>
    <r>
      <t xml:space="preserve">Wir setzen uns für jede Woche </t>
    </r>
    <r>
      <rPr>
        <sz val="12"/>
        <color rgb="FFFF0000"/>
        <rFont val="Calibri"/>
        <family val="2"/>
        <charset val="238"/>
        <scheme val="minor"/>
      </rPr>
      <t xml:space="preserve">klare Deadlines </t>
    </r>
    <r>
      <rPr>
        <sz val="12"/>
        <color theme="1"/>
        <rFont val="Calibri"/>
        <family val="2"/>
        <scheme val="minor"/>
      </rPr>
      <t xml:space="preserve">für die einzelnen Inhalte des Semesters, sodass wir </t>
    </r>
    <r>
      <rPr>
        <sz val="12"/>
        <color rgb="FFFF0000"/>
        <rFont val="Calibri"/>
        <family val="2"/>
        <charset val="238"/>
        <scheme val="minor"/>
      </rPr>
      <t>nach 70% der Semesterdauer</t>
    </r>
    <r>
      <rPr>
        <sz val="12"/>
        <color theme="1"/>
        <rFont val="Calibri"/>
        <family val="2"/>
        <scheme val="minor"/>
      </rPr>
      <t xml:space="preserve"> den kompletten </t>
    </r>
    <r>
      <rPr>
        <sz val="12"/>
        <color rgb="FFFF0000"/>
        <rFont val="Calibri"/>
        <family val="2"/>
        <charset val="238"/>
        <scheme val="minor"/>
      </rPr>
      <t>Stoff bereits perfekt</t>
    </r>
    <r>
      <rPr>
        <sz val="12"/>
        <color theme="1"/>
        <rFont val="Calibri"/>
        <family val="2"/>
        <scheme val="minor"/>
      </rPr>
      <t xml:space="preserve"> beherrschen.
Dafür ist es notwendig, dass wir definieren, </t>
    </r>
    <r>
      <rPr>
        <sz val="12"/>
        <color rgb="FFFF0000"/>
        <rFont val="Calibri"/>
        <family val="2"/>
        <charset val="238"/>
        <scheme val="minor"/>
      </rPr>
      <t>welchen Stoff wir am Ende (also nach 70% des Semesters</t>
    </r>
    <r>
      <rPr>
        <sz val="12"/>
        <color theme="1"/>
        <rFont val="Calibri"/>
        <family val="2"/>
        <scheme val="minor"/>
      </rPr>
      <t xml:space="preserve">) beherrschen müssen. Diesen Stoff teilen wir dann in </t>
    </r>
    <r>
      <rPr>
        <sz val="12"/>
        <color rgb="FFFF0000"/>
        <rFont val="Calibri"/>
        <family val="2"/>
        <charset val="238"/>
        <scheme val="minor"/>
      </rPr>
      <t xml:space="preserve">Wochenziele ein.
</t>
    </r>
    <r>
      <rPr>
        <sz val="12"/>
        <rFont val="Calibri"/>
        <family val="2"/>
        <charset val="238"/>
        <scheme val="minor"/>
      </rPr>
      <t>So können wir jede Woche auf ein klares Ziel hinarbeiten (d</t>
    </r>
    <r>
      <rPr>
        <sz val="12"/>
        <color rgb="FFFF0000"/>
        <rFont val="Calibri"/>
        <family val="2"/>
        <charset val="238"/>
        <scheme val="minor"/>
      </rPr>
      <t>en "Wochenstoff" am Ende der Woche perfekt zu beherrschen</t>
    </r>
    <r>
      <rPr>
        <sz val="12"/>
        <rFont val="Calibri"/>
        <family val="2"/>
        <charset val="238"/>
        <scheme val="minor"/>
      </rPr>
      <t>), wodurch wir vermeiden, planlos umherzulernen.</t>
    </r>
  </si>
  <si>
    <r>
      <t>Um den Stoff für das Semester gut verteilen zu können, müssen wir uns am Start des Semesters für</t>
    </r>
    <r>
      <rPr>
        <sz val="12"/>
        <color rgb="FFFF0000"/>
        <rFont val="Calibri"/>
        <family val="2"/>
        <charset val="238"/>
        <scheme val="minor"/>
      </rPr>
      <t xml:space="preserve"> jedes Fach einen klaren Überblick</t>
    </r>
    <r>
      <rPr>
        <sz val="12"/>
        <color theme="1"/>
        <rFont val="Calibri"/>
        <family val="2"/>
        <scheme val="minor"/>
      </rPr>
      <t xml:space="preserve"> darüber verschaffen, was am Ende </t>
    </r>
    <r>
      <rPr>
        <sz val="12"/>
        <color rgb="FFFF0000"/>
        <rFont val="Calibri"/>
        <family val="2"/>
        <charset val="238"/>
        <scheme val="minor"/>
      </rPr>
      <t>in der Klausur verlangt wird.</t>
    </r>
    <r>
      <rPr>
        <sz val="12"/>
        <color theme="1"/>
        <rFont val="Calibri"/>
        <family val="2"/>
        <scheme val="minor"/>
      </rPr>
      <t xml:space="preserve"> Liegt der Fokus beispielsweise v.a. auf </t>
    </r>
    <r>
      <rPr>
        <sz val="12"/>
        <color rgb="FFFF0000"/>
        <rFont val="Calibri"/>
        <family val="2"/>
        <charset val="238"/>
        <scheme val="minor"/>
      </rPr>
      <t>Rechenaufgaben oder eher auf Auswendiglernen</t>
    </r>
    <r>
      <rPr>
        <sz val="12"/>
        <color theme="1"/>
        <rFont val="Calibri"/>
        <family val="2"/>
        <scheme val="minor"/>
      </rPr>
      <t xml:space="preserve">? Wieviele </t>
    </r>
    <r>
      <rPr>
        <sz val="12"/>
        <color rgb="FFFF0000"/>
        <rFont val="Calibri"/>
        <family val="2"/>
        <charset val="238"/>
        <scheme val="minor"/>
      </rPr>
      <t>Kapitel / Slides umfasst das komplette Skript</t>
    </r>
    <r>
      <rPr>
        <sz val="12"/>
        <color theme="1"/>
        <rFont val="Calibri"/>
        <family val="2"/>
        <scheme val="minor"/>
      </rPr>
      <t>? Hat ein Themenbereich d</t>
    </r>
    <r>
      <rPr>
        <sz val="12"/>
        <color rgb="FFFF0000"/>
        <rFont val="Calibri"/>
        <family val="2"/>
        <charset val="238"/>
        <scheme val="minor"/>
      </rPr>
      <t>eutlich mehr Anteil als andere Bereiche</t>
    </r>
    <r>
      <rPr>
        <sz val="12"/>
        <color theme="1"/>
        <rFont val="Calibri"/>
        <family val="2"/>
        <scheme val="minor"/>
      </rPr>
      <t xml:space="preserve">? Versuche, bereits am Anfang für jeden Themenblock eine möglichst </t>
    </r>
    <r>
      <rPr>
        <sz val="12"/>
        <color rgb="FFFF0000"/>
        <rFont val="Calibri"/>
        <family val="2"/>
        <charset val="238"/>
        <scheme val="minor"/>
      </rPr>
      <t>gute Abschätzung über den Anteil</t>
    </r>
    <r>
      <rPr>
        <sz val="12"/>
        <color theme="1"/>
        <rFont val="Calibri"/>
        <family val="2"/>
        <scheme val="minor"/>
      </rPr>
      <t xml:space="preserve"> an der </t>
    </r>
    <r>
      <rPr>
        <sz val="12"/>
        <color rgb="FFFF0000"/>
        <rFont val="Calibri"/>
        <family val="2"/>
        <charset val="238"/>
        <scheme val="minor"/>
      </rPr>
      <t>finalen Klausur</t>
    </r>
    <r>
      <rPr>
        <sz val="12"/>
        <color theme="1"/>
        <rFont val="Calibri"/>
        <family val="2"/>
        <scheme val="minor"/>
      </rPr>
      <t xml:space="preserve"> abzugeben, sodass du dann im weiteren Verlauf mehr Zeit für die Bereiche einplanen kannst, die ein höheres Gewicht haben.</t>
    </r>
  </si>
  <si>
    <r>
      <t xml:space="preserve">Es ist sehr wichtig, dass wir die </t>
    </r>
    <r>
      <rPr>
        <sz val="12"/>
        <color rgb="FFFF0000"/>
        <rFont val="Calibri"/>
        <family val="2"/>
        <charset val="238"/>
        <scheme val="minor"/>
      </rPr>
      <t>Wochenziele möglichst gleichmäßig über die ersten 70% des Semesters verteilen</t>
    </r>
    <r>
      <rPr>
        <sz val="12"/>
        <color theme="1"/>
        <rFont val="Calibri"/>
        <family val="2"/>
        <scheme val="minor"/>
      </rPr>
      <t xml:space="preserve">. So kannst du für jedes </t>
    </r>
    <r>
      <rPr>
        <sz val="12"/>
        <color rgb="FFFF0000"/>
        <rFont val="Calibri"/>
        <family val="2"/>
        <charset val="238"/>
        <scheme val="minor"/>
      </rPr>
      <t>Themengebiet initial gleich viel Zeit aufwenden</t>
    </r>
    <r>
      <rPr>
        <sz val="12"/>
        <color theme="1"/>
        <rFont val="Calibri"/>
        <family val="2"/>
        <scheme val="minor"/>
      </rPr>
      <t xml:space="preserve"> und dann in der heißen </t>
    </r>
    <r>
      <rPr>
        <sz val="12"/>
        <color rgb="FFFF0000"/>
        <rFont val="Calibri"/>
        <family val="2"/>
        <charset val="238"/>
        <scheme val="minor"/>
      </rPr>
      <t>Klausurenphase nochmals verstärkten Fokus auf die Fächer legen</t>
    </r>
    <r>
      <rPr>
        <sz val="12"/>
        <color theme="1"/>
        <rFont val="Calibri"/>
        <family val="2"/>
        <scheme val="minor"/>
      </rPr>
      <t xml:space="preserve">, wo bei dir noch Verbesserungspotential besteht. Tendenziell können wir für die Wocheneinteilung relativ simpel vorgehen. Wenn dein Skript z.B. </t>
    </r>
    <r>
      <rPr>
        <sz val="12"/>
        <color rgb="FF00B050"/>
        <rFont val="Calibri"/>
        <family val="2"/>
        <charset val="238"/>
        <scheme val="minor"/>
      </rPr>
      <t xml:space="preserve">100 Slides hat und 70% des Semesters in 10 Wochen ist, kannst du dir für Woche 1 Slides 1-10, für Woche 2 Slides 11-20, ... als Ziel setzen. </t>
    </r>
    <r>
      <rPr>
        <sz val="12"/>
        <color theme="1"/>
        <rFont val="Calibri"/>
        <family val="2"/>
        <scheme val="minor"/>
      </rPr>
      <t xml:space="preserve">
</t>
    </r>
    <r>
      <rPr>
        <b/>
        <sz val="12"/>
        <color theme="1"/>
        <rFont val="Calibri"/>
        <family val="2"/>
        <charset val="238"/>
        <scheme val="minor"/>
      </rPr>
      <t xml:space="preserve">WICHTIG: </t>
    </r>
    <r>
      <rPr>
        <sz val="12"/>
        <color theme="1"/>
        <rFont val="Calibri"/>
        <family val="2"/>
        <scheme val="minor"/>
      </rPr>
      <t xml:space="preserve">Das </t>
    </r>
    <r>
      <rPr>
        <sz val="12"/>
        <color rgb="FFFF0000"/>
        <rFont val="Calibri"/>
        <family val="2"/>
        <charset val="238"/>
        <scheme val="minor"/>
      </rPr>
      <t xml:space="preserve">Wochenziel </t>
    </r>
    <r>
      <rPr>
        <sz val="12"/>
        <color theme="1"/>
        <rFont val="Calibri"/>
        <family val="2"/>
        <scheme val="minor"/>
      </rPr>
      <t xml:space="preserve">bezieht sich NICHT ausschließlich auf das </t>
    </r>
    <r>
      <rPr>
        <sz val="12"/>
        <color rgb="FFFF0000"/>
        <rFont val="Calibri"/>
        <family val="2"/>
        <charset val="238"/>
        <scheme val="minor"/>
      </rPr>
      <t>Skript,</t>
    </r>
    <r>
      <rPr>
        <sz val="12"/>
        <color theme="1"/>
        <rFont val="Calibri"/>
        <family val="2"/>
        <scheme val="minor"/>
      </rPr>
      <t xml:space="preserve"> sondern ebenfalls auf die dazugehörigen</t>
    </r>
    <r>
      <rPr>
        <sz val="12"/>
        <color rgb="FFFF0000"/>
        <rFont val="Calibri"/>
        <family val="2"/>
        <charset val="238"/>
        <scheme val="minor"/>
      </rPr>
      <t xml:space="preserve"> Aufgaben/Übungen/Tutorien etc. </t>
    </r>
    <r>
      <rPr>
        <sz val="12"/>
        <color theme="1"/>
        <rFont val="Calibri"/>
        <family val="2"/>
        <scheme val="minor"/>
      </rPr>
      <t xml:space="preserve">
Außerdem solltest du die Ziele auch nicht "</t>
    </r>
    <r>
      <rPr>
        <sz val="12"/>
        <color rgb="FF00B050"/>
        <rFont val="Calibri"/>
        <family val="2"/>
        <charset val="238"/>
        <scheme val="minor"/>
      </rPr>
      <t>stumpf" nach der Slide-Anzahl aufteilen</t>
    </r>
    <r>
      <rPr>
        <sz val="12"/>
        <color theme="1"/>
        <rFont val="Calibri"/>
        <family val="2"/>
        <scheme val="minor"/>
      </rPr>
      <t xml:space="preserve">, sondern am besten auch </t>
    </r>
    <r>
      <rPr>
        <sz val="12"/>
        <color rgb="FFFF0000"/>
        <rFont val="Calibri"/>
        <family val="2"/>
        <charset val="238"/>
        <scheme val="minor"/>
      </rPr>
      <t>grob nach Themen.</t>
    </r>
    <r>
      <rPr>
        <sz val="12"/>
        <color theme="1"/>
        <rFont val="Calibri"/>
        <family val="2"/>
        <scheme val="minor"/>
      </rPr>
      <t xml:space="preserve"> So kann es sein, dass du für ein </t>
    </r>
    <r>
      <rPr>
        <sz val="12"/>
        <color rgb="FFFF0000"/>
        <rFont val="Calibri"/>
        <family val="2"/>
        <charset val="238"/>
        <scheme val="minor"/>
      </rPr>
      <t xml:space="preserve">bestimmtes Fach </t>
    </r>
    <r>
      <rPr>
        <sz val="12"/>
        <color theme="1"/>
        <rFont val="Calibri"/>
        <family val="2"/>
        <scheme val="minor"/>
      </rPr>
      <t xml:space="preserve">in der einen Woche etwas </t>
    </r>
    <r>
      <rPr>
        <sz val="12"/>
        <color rgb="FFFF0000"/>
        <rFont val="Calibri"/>
        <family val="2"/>
        <charset val="238"/>
        <scheme val="minor"/>
      </rPr>
      <t xml:space="preserve">mehr lernen musst </t>
    </r>
    <r>
      <rPr>
        <sz val="12"/>
        <color theme="1"/>
        <rFont val="Calibri"/>
        <family val="2"/>
        <scheme val="minor"/>
      </rPr>
      <t xml:space="preserve">als in der folgenden Woche - langfristig wird sich das jedoch relativieren. 
</t>
    </r>
    <r>
      <rPr>
        <b/>
        <sz val="12"/>
        <color theme="1"/>
        <rFont val="Calibri"/>
        <family val="2"/>
        <charset val="238"/>
        <scheme val="minor"/>
      </rPr>
      <t xml:space="preserve">WICHTIG 2.0: </t>
    </r>
    <r>
      <rPr>
        <sz val="12"/>
        <color theme="1"/>
        <rFont val="Calibri"/>
        <family val="2"/>
        <scheme val="minor"/>
      </rPr>
      <t xml:space="preserve">Versuche dir tendenziell </t>
    </r>
    <r>
      <rPr>
        <sz val="12"/>
        <color rgb="FFFF0000"/>
        <rFont val="Calibri"/>
        <family val="2"/>
        <charset val="238"/>
        <scheme val="minor"/>
      </rPr>
      <t>i</t>
    </r>
    <r>
      <rPr>
        <b/>
        <sz val="12"/>
        <color rgb="FFFF0000"/>
        <rFont val="Calibri"/>
        <family val="2"/>
        <charset val="238"/>
        <scheme val="minor"/>
      </rPr>
      <t>n den ersten Wochen minimalst zu viel Inhalte reinzupacken</t>
    </r>
    <r>
      <rPr>
        <b/>
        <sz val="12"/>
        <color theme="1"/>
        <rFont val="Calibri"/>
        <family val="2"/>
        <charset val="238"/>
        <scheme val="minor"/>
      </rPr>
      <t>,</t>
    </r>
    <r>
      <rPr>
        <sz val="12"/>
        <color theme="1"/>
        <rFont val="Calibri"/>
        <family val="2"/>
        <scheme val="minor"/>
      </rPr>
      <t xml:space="preserve"> da der Lernstoff am Ende des Semesters meistens am komplexesten wird und man dafür tendenziell länger benötigt als für die Inhalte am Anfang. Bei unserem Beispiel wäre eine etwas bessere Verteilung z.B. </t>
    </r>
    <r>
      <rPr>
        <sz val="12"/>
        <color rgb="FF00B050"/>
        <rFont val="Calibri"/>
        <family val="2"/>
        <charset val="238"/>
        <scheme val="minor"/>
      </rPr>
      <t>Woche 1 Slides 1-15, Woche 2 Slides 16-28, ... Woche 10 Slides 95-100</t>
    </r>
  </si>
  <si>
    <r>
      <t xml:space="preserve">Ein weiterer Vorteil unserer Lerntechnik ist, dass wir ziemlich schnell den kompletten Stoff auf einem guten Niveau beherrschen und uns dann am Ende des Semesters den Problemthemen widmen können. Viele Studierende machen den </t>
    </r>
    <r>
      <rPr>
        <b/>
        <sz val="12"/>
        <color rgb="FFFF0000"/>
        <rFont val="Calibri"/>
        <family val="2"/>
        <charset val="238"/>
        <scheme val="minor"/>
      </rPr>
      <t>Fehler,</t>
    </r>
    <r>
      <rPr>
        <sz val="12"/>
        <color theme="1"/>
        <rFont val="Calibri"/>
        <family val="2"/>
        <scheme val="minor"/>
      </rPr>
      <t xml:space="preserve"> sich viel zu </t>
    </r>
    <r>
      <rPr>
        <sz val="12"/>
        <color rgb="FFFF0000"/>
        <rFont val="Calibri"/>
        <family val="2"/>
        <charset val="238"/>
        <scheme val="minor"/>
      </rPr>
      <t>lange an einzelnen Themen aufzuhängen</t>
    </r>
    <r>
      <rPr>
        <sz val="12"/>
        <color theme="1"/>
        <rFont val="Calibri"/>
        <family val="2"/>
        <scheme val="minor"/>
      </rPr>
      <t xml:space="preserve"> und </t>
    </r>
    <r>
      <rPr>
        <sz val="12"/>
        <color rgb="FFFF0000"/>
        <rFont val="Calibri"/>
        <family val="2"/>
        <charset val="238"/>
        <scheme val="minor"/>
      </rPr>
      <t>gar nicht mit anderen Themen weitermachen</t>
    </r>
    <r>
      <rPr>
        <sz val="12"/>
        <color theme="1"/>
        <rFont val="Calibri"/>
        <family val="2"/>
        <scheme val="minor"/>
      </rPr>
      <t xml:space="preserve">,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t>
    </r>
    <r>
      <rPr>
        <sz val="12"/>
        <color rgb="FFFF0000"/>
        <rFont val="Calibri"/>
        <family val="2"/>
        <charset val="238"/>
        <scheme val="minor"/>
      </rPr>
      <t>vorarbeiten</t>
    </r>
    <r>
      <rPr>
        <sz val="12"/>
        <color theme="1"/>
        <rFont val="Calibri"/>
        <family val="2"/>
        <scheme val="minor"/>
      </rPr>
      <t xml:space="preserve"> (also</t>
    </r>
    <r>
      <rPr>
        <u/>
        <sz val="12"/>
        <color theme="1"/>
        <rFont val="Calibri"/>
        <family val="2"/>
        <charset val="238"/>
        <scheme val="minor"/>
      </rPr>
      <t xml:space="preserve"> bereits den Stoff von der folgenden Woche beginnen</t>
    </r>
    <r>
      <rPr>
        <sz val="12"/>
        <color theme="1"/>
        <rFont val="Calibri"/>
        <family val="2"/>
        <scheme val="minor"/>
      </rPr>
      <t>), aber du</t>
    </r>
    <r>
      <rPr>
        <sz val="12"/>
        <color rgb="FFFF0000"/>
        <rFont val="Calibri"/>
        <family val="2"/>
        <charset val="238"/>
        <scheme val="minor"/>
      </rPr>
      <t xml:space="preserve"> MUSST unbedingt mindestens bis zu deinem geplanten Lernziel kommen</t>
    </r>
    <r>
      <rPr>
        <sz val="12"/>
        <color theme="1"/>
        <rFont val="Calibri"/>
        <family val="2"/>
        <scheme val="minor"/>
      </rPr>
      <t xml:space="preserve"> - ansonsten musst du später zu viel aufholen. Wenn der Stoff aus W</t>
    </r>
    <r>
      <rPr>
        <sz val="12"/>
        <color rgb="FF00B050"/>
        <rFont val="Calibri"/>
        <family val="2"/>
        <charset val="238"/>
        <scheme val="minor"/>
      </rPr>
      <t>oche 1 am Ende der Woche 1 also noch nicht perfekt sitzt, markierst du dir das in der entsprechenden Zelle und schreibst eine eventuelle Bemerkung,</t>
    </r>
    <r>
      <rPr>
        <sz val="12"/>
        <color theme="1"/>
        <rFont val="Calibri"/>
        <family val="2"/>
        <scheme val="minor"/>
      </rPr>
      <t xml:space="preserve"> sodass du es zu einem </t>
    </r>
    <r>
      <rPr>
        <sz val="12"/>
        <color rgb="FFFF0000"/>
        <rFont val="Calibri"/>
        <family val="2"/>
        <charset val="238"/>
        <scheme val="minor"/>
      </rPr>
      <t>späteren Zeitpunkt wiederholen kannst</t>
    </r>
    <r>
      <rPr>
        <sz val="12"/>
        <color theme="1"/>
        <rFont val="Calibri"/>
        <family val="2"/>
        <scheme val="minor"/>
      </rPr>
      <t xml:space="preserve"> - </t>
    </r>
    <r>
      <rPr>
        <b/>
        <sz val="12"/>
        <color rgb="FFFF0000"/>
        <rFont val="Calibri"/>
        <family val="2"/>
        <charset val="238"/>
        <scheme val="minor"/>
      </rPr>
      <t>aber dann machst du mit der nächsten Woche weiter.</t>
    </r>
  </si>
  <si>
    <r>
      <t xml:space="preserve">Unser Endziel ist es, </t>
    </r>
    <r>
      <rPr>
        <sz val="12"/>
        <color rgb="FFFF0000"/>
        <rFont val="Calibri"/>
        <family val="2"/>
        <charset val="238"/>
        <scheme val="minor"/>
      </rPr>
      <t>nach 70% des Semesters das Skript sowie die Übungsaufgaben zu 100% zu beherrschen,</t>
    </r>
    <r>
      <rPr>
        <sz val="12"/>
        <color theme="1"/>
        <rFont val="Calibri"/>
        <family val="2"/>
        <scheme val="minor"/>
      </rPr>
      <t xml:space="preserve"> sodass wir uns dann </t>
    </r>
    <r>
      <rPr>
        <sz val="12"/>
        <color rgb="FF00B050"/>
        <rFont val="Calibri"/>
        <family val="2"/>
        <charset val="238"/>
        <scheme val="minor"/>
      </rPr>
      <t xml:space="preserve">einzig und alleine den Altklausuren, weiteren Übungsaufgaben sowie der Wiederholung des bereits bekannten Stoffes widmen können. </t>
    </r>
    <r>
      <rPr>
        <sz val="12"/>
        <color theme="1"/>
        <rFont val="Calibri"/>
        <family val="2"/>
        <scheme val="minor"/>
      </rPr>
      <t>Dieses Endziel ist extrem ambitioniert, aber realisierbar. Der Weg zu 100% führt uns über</t>
    </r>
    <r>
      <rPr>
        <b/>
        <sz val="12"/>
        <color rgb="FFFF0000"/>
        <rFont val="Calibri"/>
        <family val="2"/>
        <charset val="238"/>
        <scheme val="minor"/>
      </rPr>
      <t xml:space="preserve"> 3 grobe Etappen -</t>
    </r>
    <r>
      <rPr>
        <sz val="12"/>
        <color theme="1"/>
        <rFont val="Calibri"/>
        <family val="2"/>
        <scheme val="minor"/>
      </rPr>
      <t xml:space="preserve"> für jede von ihnen benötigst du in </t>
    </r>
    <r>
      <rPr>
        <sz val="12"/>
        <color rgb="FFFF0000"/>
        <rFont val="Calibri"/>
        <family val="2"/>
        <charset val="238"/>
        <scheme val="minor"/>
      </rPr>
      <t>etwa gleich viel Zeit</t>
    </r>
    <r>
      <rPr>
        <sz val="12"/>
        <color theme="1"/>
        <rFont val="Calibri"/>
        <family val="2"/>
        <scheme val="minor"/>
      </rPr>
      <t xml:space="preserve">. Auf einem Level von ca. </t>
    </r>
    <r>
      <rPr>
        <sz val="12"/>
        <color rgb="FFFF0000"/>
        <rFont val="Calibri"/>
        <family val="2"/>
        <charset val="238"/>
        <scheme val="minor"/>
      </rPr>
      <t xml:space="preserve">50% </t>
    </r>
    <r>
      <rPr>
        <sz val="12"/>
        <color theme="1"/>
        <rFont val="Calibri"/>
        <family val="2"/>
        <scheme val="minor"/>
      </rPr>
      <t xml:space="preserve">bist du meistens relativ </t>
    </r>
    <r>
      <rPr>
        <sz val="12"/>
        <color rgb="FFFF0000"/>
        <rFont val="Calibri"/>
        <family val="2"/>
        <charset val="238"/>
        <scheme val="minor"/>
      </rPr>
      <t>schnell.</t>
    </r>
    <r>
      <rPr>
        <sz val="12"/>
        <color theme="1"/>
        <rFont val="Calibri"/>
        <family val="2"/>
        <scheme val="minor"/>
      </rPr>
      <t xml:space="preserve"> Für die nächsten </t>
    </r>
    <r>
      <rPr>
        <sz val="12"/>
        <color rgb="FFFF0000"/>
        <rFont val="Calibri"/>
        <family val="2"/>
        <charset val="238"/>
        <scheme val="minor"/>
      </rPr>
      <t xml:space="preserve">30% </t>
    </r>
    <r>
      <rPr>
        <sz val="12"/>
        <color theme="1"/>
        <rFont val="Calibri"/>
        <family val="2"/>
        <scheme val="minor"/>
      </rPr>
      <t xml:space="preserve">benötigst dann </t>
    </r>
    <r>
      <rPr>
        <sz val="12"/>
        <color rgb="FFFF0000"/>
        <rFont val="Calibri"/>
        <family val="2"/>
        <charset val="238"/>
        <scheme val="minor"/>
      </rPr>
      <t>nochmals so lange</t>
    </r>
    <r>
      <rPr>
        <sz val="12"/>
        <color theme="1"/>
        <rFont val="Calibri"/>
        <family val="2"/>
        <scheme val="minor"/>
      </rPr>
      <t xml:space="preserve">. Ganz am Ende holst du noch die letzten </t>
    </r>
    <r>
      <rPr>
        <sz val="12"/>
        <color rgb="FFFF0000"/>
        <rFont val="Calibri"/>
        <family val="2"/>
        <charset val="238"/>
        <scheme val="minor"/>
      </rPr>
      <t xml:space="preserve">15-20% </t>
    </r>
    <r>
      <rPr>
        <sz val="12"/>
        <color theme="1"/>
        <rFont val="Calibri"/>
        <family val="2"/>
        <scheme val="minor"/>
      </rPr>
      <t xml:space="preserve">heraus - auch dafür benötigst du in etwa </t>
    </r>
    <r>
      <rPr>
        <sz val="12"/>
        <color rgb="FFFF0000"/>
        <rFont val="Calibri"/>
        <family val="2"/>
        <charset val="238"/>
        <scheme val="minor"/>
      </rPr>
      <t>gleich viel Zeit</t>
    </r>
    <r>
      <rPr>
        <sz val="12"/>
        <color theme="1"/>
        <rFont val="Calibri"/>
        <family val="2"/>
        <scheme val="minor"/>
      </rPr>
      <t xml:space="preserve">. Für deine Planung solltest du dir deine Zielsetzung also so setzen, dass du von der insgesamten Zeit, die du </t>
    </r>
    <r>
      <rPr>
        <sz val="12"/>
        <color rgb="FFFF0000"/>
        <rFont val="Calibri"/>
        <family val="2"/>
        <charset val="238"/>
        <scheme val="minor"/>
      </rPr>
      <t>f</t>
    </r>
    <r>
      <rPr>
        <b/>
        <sz val="12"/>
        <color rgb="FFFF0000"/>
        <rFont val="Calibri"/>
        <family val="2"/>
        <charset val="238"/>
        <scheme val="minor"/>
      </rPr>
      <t>ür jedes Fach zur Verfügung hast, die 1/3 dafür verwendest</t>
    </r>
    <r>
      <rPr>
        <sz val="12"/>
        <color rgb="FFFF0000"/>
        <rFont val="Calibri"/>
        <family val="2"/>
        <charset val="238"/>
        <scheme val="minor"/>
      </rPr>
      <t xml:space="preserve">, </t>
    </r>
    <r>
      <rPr>
        <sz val="12"/>
        <color rgb="FF00B050"/>
        <rFont val="Calibri"/>
        <family val="2"/>
        <charset val="238"/>
        <scheme val="minor"/>
      </rPr>
      <t>den Stoff auf 50% zu beherrschen, 1/3, um den Stoff auf 80% zu pushen, und dann noch 1/3 der Zeit für den Rest benutzen kannst.</t>
    </r>
    <r>
      <rPr>
        <sz val="12"/>
        <color rgb="FFFF0000"/>
        <rFont val="Calibri"/>
        <family val="2"/>
        <charset val="238"/>
        <scheme val="minor"/>
      </rPr>
      <t xml:space="preserve"> </t>
    </r>
    <r>
      <rPr>
        <sz val="12"/>
        <color theme="1"/>
        <rFont val="Calibri"/>
        <family val="2"/>
        <scheme val="minor"/>
      </rPr>
      <t>Ganz genau lässt sich das natürlich nicht immer mit genau dieser Einteilung festlegen, aber grundsätzlich kannst du es dir so vorstellen: Für Themenblock 1 aus Fach A legst du dir für die erste Woche 10 Stunden Lernzeit fest, mit dem Ziel, diesen Themenblock am Ende der</t>
    </r>
    <r>
      <rPr>
        <sz val="12"/>
        <color rgb="FFFF0000"/>
        <rFont val="Calibri"/>
        <family val="2"/>
        <charset val="238"/>
        <scheme val="minor"/>
      </rPr>
      <t xml:space="preserve"> Woche zu 50% zu beherrschen. Nun könntest du dir in den vier Folgewochen jeweils 2,5 Stunden (also insgesamt nochmals 10 Stunden) für ebenfalls dieses Thema blocken (Wiederholung), und wirst es dann vermutlich zu 80% drauf haben</t>
    </r>
    <r>
      <rPr>
        <sz val="12"/>
        <color theme="1"/>
        <rFont val="Calibri"/>
        <family val="2"/>
        <scheme val="minor"/>
      </rPr>
      <t>. Wenn du dann nochmals</t>
    </r>
    <r>
      <rPr>
        <sz val="12"/>
        <color rgb="FFFF0000"/>
        <rFont val="Calibri"/>
        <family val="2"/>
        <charset val="238"/>
        <scheme val="minor"/>
      </rPr>
      <t xml:space="preserve"> 2 Wochen mit je 5 Stunden für diesen Themenblock lernst, wirst du es vermutlich nahezu perfekt beherrschen.</t>
    </r>
  </si>
  <si>
    <r>
      <t xml:space="preserve">Am </t>
    </r>
    <r>
      <rPr>
        <sz val="12"/>
        <color rgb="FF00B050"/>
        <rFont val="Calibri"/>
        <family val="2"/>
        <charset val="238"/>
        <scheme val="minor"/>
      </rPr>
      <t xml:space="preserve">Ende jeder Woche resümierst du für jedes Fach, wie sicher du den Stoff beherrscht. </t>
    </r>
    <r>
      <rPr>
        <sz val="12"/>
        <color rgb="FFFF0000"/>
        <rFont val="Calibri"/>
        <family val="2"/>
        <charset val="238"/>
        <scheme val="minor"/>
      </rPr>
      <t>100% bedeutet</t>
    </r>
    <r>
      <rPr>
        <sz val="12"/>
        <color theme="1"/>
        <rFont val="Calibri"/>
        <family val="2"/>
        <scheme val="minor"/>
      </rPr>
      <t xml:space="preserve">, dass du jede Aufgabenvariation perfekt rechnen kannst und jedes einzelne Wort im Skript perfekt beherrscht - </t>
    </r>
    <r>
      <rPr>
        <sz val="12"/>
        <color rgb="FFFF0000"/>
        <rFont val="Calibri"/>
        <family val="2"/>
        <charset val="238"/>
        <scheme val="minor"/>
      </rPr>
      <t xml:space="preserve">20% bedeutet </t>
    </r>
    <r>
      <rPr>
        <sz val="12"/>
        <color theme="1"/>
        <rFont val="Calibri"/>
        <family val="2"/>
        <scheme val="minor"/>
      </rPr>
      <t xml:space="preserve">z.B., dass dies nur bei </t>
    </r>
    <r>
      <rPr>
        <sz val="12"/>
        <color rgb="FFFF0000"/>
        <rFont val="Calibri"/>
        <family val="2"/>
        <charset val="238"/>
        <scheme val="minor"/>
      </rPr>
      <t>1/5 der Inhalte der Fall ist</t>
    </r>
    <r>
      <rPr>
        <sz val="12"/>
        <color theme="1"/>
        <rFont val="Calibri"/>
        <family val="2"/>
        <scheme val="minor"/>
      </rPr>
      <t xml:space="preserve">. Je </t>
    </r>
    <r>
      <rPr>
        <sz val="12"/>
        <color rgb="FF00B050"/>
        <rFont val="Calibri"/>
        <family val="2"/>
        <charset val="238"/>
        <scheme val="minor"/>
      </rPr>
      <t>weiter das Semester voranschreitet, desto eher kannst du deinen Fokus auf die Fächer setzen, die du tendenziell schlechter beherrscht</t>
    </r>
    <r>
      <rPr>
        <sz val="12"/>
        <color theme="1"/>
        <rFont val="Calibri"/>
        <family val="2"/>
        <scheme val="minor"/>
      </rPr>
      <t xml:space="preserve">. Baue also z.B. in </t>
    </r>
    <r>
      <rPr>
        <sz val="12"/>
        <color rgb="FF00B050"/>
        <rFont val="Calibri"/>
        <family val="2"/>
        <charset val="238"/>
        <scheme val="minor"/>
      </rPr>
      <t>Woche 3 einen dreistündigen Block für die Wiederholung der Woche1-Inhalte von Fach A e</t>
    </r>
    <r>
      <rPr>
        <sz val="12"/>
        <color theme="1"/>
        <rFont val="Calibri"/>
        <family val="2"/>
        <scheme val="minor"/>
      </rPr>
      <t>in (angenommen, du hast den Woche1-Stoff von Fach A noch nicht perfekt beherrscht)</t>
    </r>
    <r>
      <rPr>
        <b/>
        <sz val="12"/>
        <color rgb="FF00B050"/>
        <rFont val="Calibri"/>
        <family val="2"/>
        <charset val="238"/>
        <scheme val="minor"/>
      </rPr>
      <t xml:space="preserve"> anstelle </t>
    </r>
    <r>
      <rPr>
        <sz val="12"/>
        <color theme="1"/>
        <rFont val="Calibri"/>
        <family val="2"/>
        <scheme val="minor"/>
      </rPr>
      <t xml:space="preserve">von einem </t>
    </r>
    <r>
      <rPr>
        <sz val="12"/>
        <color rgb="FF00B050"/>
        <rFont val="Calibri"/>
        <family val="2"/>
        <charset val="238"/>
        <scheme val="minor"/>
      </rPr>
      <t>Lernblock für Fach B</t>
    </r>
    <r>
      <rPr>
        <sz val="12"/>
        <color theme="1"/>
        <rFont val="Calibri"/>
        <family val="2"/>
        <scheme val="minor"/>
      </rPr>
      <t xml:space="preserve"> (angenommen, dass du Fach B sowieso ziemlich gut beherrscht. S</t>
    </r>
    <r>
      <rPr>
        <sz val="12"/>
        <color rgb="FFFF0000"/>
        <rFont val="Calibri"/>
        <family val="2"/>
        <charset val="238"/>
        <scheme val="minor"/>
      </rPr>
      <t>pätestens nach 2-3 Wochen im Semester solltest du ein Gefühl dafür bekommen haben,</t>
    </r>
    <r>
      <rPr>
        <sz val="12"/>
        <color theme="1"/>
        <rFont val="Calibri"/>
        <family val="2"/>
        <scheme val="minor"/>
      </rPr>
      <t xml:space="preserve"> welche Fächer von dir mehr Wiederholungen/Zeit benötigen und welche weniger. Achte dann darauf, dass alle </t>
    </r>
    <r>
      <rPr>
        <sz val="12"/>
        <color rgb="FF00B050"/>
        <rFont val="Calibri"/>
        <family val="2"/>
        <charset val="238"/>
        <scheme val="minor"/>
      </rPr>
      <t xml:space="preserve">Inhalte immer besser sitzen </t>
    </r>
    <r>
      <rPr>
        <sz val="12"/>
        <color theme="1"/>
        <rFont val="Calibri"/>
        <family val="2"/>
        <scheme val="minor"/>
      </rPr>
      <t xml:space="preserve">und verwende </t>
    </r>
    <r>
      <rPr>
        <sz val="12"/>
        <color rgb="FF00B050"/>
        <rFont val="Calibri"/>
        <family val="2"/>
        <charset val="238"/>
        <scheme val="minor"/>
      </rPr>
      <t xml:space="preserve">etwas mehr Zeit mit den Fächern, für die du eben mehr lernen musst. </t>
    </r>
    <r>
      <rPr>
        <sz val="12"/>
        <color theme="1"/>
        <rFont val="Calibri"/>
        <family val="2"/>
        <scheme val="minor"/>
      </rPr>
      <t xml:space="preserve">Deinen Fortschritt kannst du dann ganz genau tracken, indem du für die nächste Woche wieder einbaust, wie gut du dort vorangekommen bist. </t>
    </r>
    <r>
      <rPr>
        <b/>
        <sz val="12"/>
        <color rgb="FFFF0000"/>
        <rFont val="Calibri"/>
        <family val="2"/>
        <charset val="238"/>
        <scheme val="minor"/>
      </rPr>
      <t>Du solltest pro Fach ab Woche 3 des Semesters mindestens eine Lernsession (also 60-90 Minuten) pro Woche für Wiederholungen einplanen, tendenziell sogar mehr.</t>
    </r>
  </si>
  <si>
    <r>
      <t>Du solltest dir p</t>
    </r>
    <r>
      <rPr>
        <b/>
        <sz val="12"/>
        <color rgb="FFFF0000"/>
        <rFont val="Calibri"/>
        <family val="2"/>
        <charset val="238"/>
        <scheme val="minor"/>
      </rPr>
      <t>ro Woche mindestens 40 Stunden zum Lernen</t>
    </r>
    <r>
      <rPr>
        <sz val="12"/>
        <color theme="1"/>
        <rFont val="Calibri"/>
        <family val="2"/>
        <scheme val="minor"/>
      </rPr>
      <t xml:space="preserve"> </t>
    </r>
    <r>
      <rPr>
        <sz val="12"/>
        <color rgb="FFFF0000"/>
        <rFont val="Calibri"/>
        <family val="2"/>
        <charset val="238"/>
        <scheme val="minor"/>
      </rPr>
      <t xml:space="preserve">(inkl. Uni-Besuche, wenn es sein muss) </t>
    </r>
    <r>
      <rPr>
        <sz val="12"/>
        <color theme="1"/>
        <rFont val="Calibri"/>
        <family val="2"/>
        <scheme val="minor"/>
      </rPr>
      <t>einplanen. Das ist die minimale Zeit, die du auch später im Beruf arbeiten wirst, und diese 40 Stunden sollte jeder einbringen können. Gerne kann es a</t>
    </r>
    <r>
      <rPr>
        <sz val="12"/>
        <color rgb="FFFF0000"/>
        <rFont val="Calibri"/>
        <family val="2"/>
        <charset val="238"/>
        <scheme val="minor"/>
      </rPr>
      <t>uf bis zu 60 Stunden erhöht</t>
    </r>
    <r>
      <rPr>
        <sz val="12"/>
        <color theme="1"/>
        <rFont val="Calibri"/>
        <family val="2"/>
        <scheme val="minor"/>
      </rPr>
      <t xml:space="preserve"> werden, s</t>
    </r>
    <r>
      <rPr>
        <sz val="12"/>
        <color rgb="FFFF0000"/>
        <rFont val="Calibri"/>
        <family val="2"/>
        <charset val="238"/>
        <scheme val="minor"/>
      </rPr>
      <t>olange Schlaf und Privatleben nicht zu sehr darunter leiden,</t>
    </r>
    <r>
      <rPr>
        <sz val="12"/>
        <color theme="1"/>
        <rFont val="Calibri"/>
        <family val="2"/>
        <scheme val="minor"/>
      </rPr>
      <t xml:space="preserve"> um langfristig durchzuziehen. Ich würde dir empfehlen, </t>
    </r>
    <r>
      <rPr>
        <b/>
        <sz val="12"/>
        <color rgb="FFFF0000"/>
        <rFont val="Calibri"/>
        <family val="2"/>
        <charset val="238"/>
        <scheme val="minor"/>
      </rPr>
      <t>pro Woche 6 Tage zum Lernen einzuplanen</t>
    </r>
    <r>
      <rPr>
        <b/>
        <sz val="12"/>
        <color theme="1"/>
        <rFont val="Calibri"/>
        <family val="2"/>
        <charset val="238"/>
        <scheme val="minor"/>
      </rPr>
      <t xml:space="preserve"> </t>
    </r>
    <r>
      <rPr>
        <sz val="12"/>
        <color theme="1"/>
        <rFont val="Calibri"/>
        <family val="2"/>
        <scheme val="minor"/>
      </rPr>
      <t xml:space="preserve">und pro </t>
    </r>
    <r>
      <rPr>
        <sz val="12"/>
        <color rgb="FF00B050"/>
        <rFont val="Calibri"/>
        <family val="2"/>
        <charset val="238"/>
        <scheme val="minor"/>
      </rPr>
      <t xml:space="preserve">Tag möglichst zu den gleichen Zeiten zu lernen. </t>
    </r>
    <r>
      <rPr>
        <sz val="12"/>
        <color theme="1"/>
        <rFont val="Calibri"/>
        <family val="2"/>
        <scheme val="minor"/>
      </rPr>
      <t xml:space="preserve">Mit </t>
    </r>
    <r>
      <rPr>
        <u/>
        <sz val="12"/>
        <color theme="1"/>
        <rFont val="Calibri"/>
        <family val="2"/>
        <charset val="238"/>
        <scheme val="minor"/>
      </rPr>
      <t>7 Stunden Lernen pro Tag kommst du damit auf 42 Stunden pro Woche.</t>
    </r>
    <r>
      <rPr>
        <sz val="12"/>
        <color theme="1"/>
        <rFont val="Calibri"/>
        <family val="2"/>
        <scheme val="minor"/>
      </rPr>
      <t xml:space="preserve"> Nun gilt es daran, diese </t>
    </r>
    <r>
      <rPr>
        <u/>
        <sz val="12"/>
        <color theme="1"/>
        <rFont val="Calibri"/>
        <family val="2"/>
        <charset val="238"/>
        <scheme val="minor"/>
      </rPr>
      <t xml:space="preserve">42 Stunden so effektiv wie möglich aufzuteilen. </t>
    </r>
    <r>
      <rPr>
        <sz val="12"/>
        <color theme="1"/>
        <rFont val="Calibri"/>
        <family val="2"/>
        <scheme val="minor"/>
      </rPr>
      <t xml:space="preserve">Insbesondere in </t>
    </r>
    <r>
      <rPr>
        <sz val="12"/>
        <color rgb="FF00B050"/>
        <rFont val="Calibri"/>
        <family val="2"/>
        <charset val="238"/>
        <scheme val="minor"/>
      </rPr>
      <t xml:space="preserve">den ersten Wochen des Semesters würde ich dir empfehlen, deine Stundenaufteilung ganz klar nach der Anzahl der ECTS zu gewichten </t>
    </r>
    <r>
      <rPr>
        <sz val="12"/>
        <color theme="1"/>
        <rFont val="Calibri"/>
        <family val="2"/>
        <scheme val="minor"/>
      </rPr>
      <t xml:space="preserve">(im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t>
    </r>
    <r>
      <rPr>
        <sz val="12"/>
        <color rgb="FF00B050"/>
        <rFont val="Calibri"/>
        <family val="2"/>
        <charset val="238"/>
        <scheme val="minor"/>
      </rPr>
      <t xml:space="preserve">Aufteilung also pro ECTS-Punkt 42/30 = 1,4h pro ECTS-Punkt. Für Fach 1-4 also jeweils 7 Stunden pro Woche (z.B. Montag 3h und Donnerstag 4h) und für Fach 5 14 Stunden pro Woche. </t>
    </r>
  </si>
  <si>
    <t>Grundlagen der VWL</t>
  </si>
  <si>
    <t>Wi.-Informatik 1</t>
  </si>
  <si>
    <t>Investition</t>
  </si>
  <si>
    <t>Int. Management</t>
  </si>
  <si>
    <t>Ac. Research &amp; Writing</t>
  </si>
  <si>
    <t>B-Recht</t>
  </si>
  <si>
    <t xml:space="preserve">Finanzeirung </t>
  </si>
  <si>
    <t xml:space="preserve">ReWe2 </t>
  </si>
  <si>
    <t>1) Zehn Regeln und Grundbegriffe</t>
  </si>
  <si>
    <t>2) Produktionsentscheidungen privater Unternehmen I</t>
  </si>
  <si>
    <t>3) Produktionsentscheidungen privater Unternehmen II</t>
  </si>
  <si>
    <t>4) Entscheidungen privater Haushalte I</t>
  </si>
  <si>
    <t>5) Entscheidungen privater Haushalte II / Verhaltensökonomik</t>
  </si>
  <si>
    <t>6) Marktgleichgewicht</t>
  </si>
  <si>
    <t>7) Wirtschaftspolitische Maßnahmen</t>
  </si>
  <si>
    <t>8) Volkswirtschaftliche Wohlfahrtsmaße</t>
  </si>
  <si>
    <t>9) Handel und offene Volkswirtschaften</t>
  </si>
  <si>
    <t>10) Unvollständiger Wettbewerb</t>
  </si>
  <si>
    <t>11) Externe Effekte</t>
  </si>
  <si>
    <t>08.07.</t>
  </si>
  <si>
    <t>05.07.</t>
  </si>
  <si>
    <t>30.06.</t>
  </si>
  <si>
    <t>23.06.</t>
  </si>
  <si>
    <r>
      <t xml:space="preserve">1) Der Algorithmus-Begriff, </t>
    </r>
    <r>
      <rPr>
        <b/>
        <sz val="12"/>
        <color theme="1"/>
        <rFont val="Calibri"/>
        <family val="2"/>
        <charset val="238"/>
        <scheme val="minor"/>
      </rPr>
      <t>Tabellenkalkulation (TK)</t>
    </r>
  </si>
  <si>
    <t>2) TK-Grundlagen I</t>
  </si>
  <si>
    <t>3) TK-Grundlagen II</t>
  </si>
  <si>
    <t>4) TK-Anwendungen I</t>
  </si>
  <si>
    <t>5) TK-Anwendungen II, What-if-Analysen</t>
  </si>
  <si>
    <t>6) Solver, Nachschlagefunktionen</t>
  </si>
  <si>
    <t>7) Verweisfunktionen Nachschlagefunktionen</t>
  </si>
  <si>
    <r>
      <t xml:space="preserve">8) </t>
    </r>
    <r>
      <rPr>
        <b/>
        <sz val="12"/>
        <color theme="1"/>
        <rFont val="Calibri"/>
        <family val="2"/>
        <charset val="238"/>
        <scheme val="minor"/>
      </rPr>
      <t>Python-</t>
    </r>
    <r>
      <rPr>
        <sz val="12"/>
        <color theme="1"/>
        <rFont val="Calibri"/>
        <family val="2"/>
        <scheme val="minor"/>
      </rPr>
      <t>Regeln, Datentypen, Datenstrukturen, Variablen</t>
    </r>
  </si>
  <si>
    <t>9) Auswahlanweisungen</t>
  </si>
  <si>
    <t>11) Schleifen II</t>
  </si>
  <si>
    <t>10) Schleifen I</t>
  </si>
  <si>
    <t>12) Funktionen</t>
  </si>
  <si>
    <t>13) Ausnahmebehandlungen</t>
  </si>
  <si>
    <t>14) Dateien</t>
  </si>
  <si>
    <t xml:space="preserve"> </t>
  </si>
  <si>
    <t>1) Grundlagen der Kostenrechnung</t>
  </si>
  <si>
    <t>2) Kostenartenrechnung</t>
  </si>
  <si>
    <t>3) Kostenstellenrechnung</t>
  </si>
  <si>
    <t xml:space="preserve">4) Kostenträgerrechnung </t>
  </si>
  <si>
    <t xml:space="preserve">5) Deckungsbeitragsrechnung u. Preiskalkualtion </t>
  </si>
  <si>
    <t>8) Plankostenrechnung</t>
  </si>
  <si>
    <t>9) Prozesskostenrechnung</t>
  </si>
  <si>
    <t>1) Globalisation &amp; international business environment</t>
  </si>
  <si>
    <t>2) Firms &amp; international business</t>
  </si>
  <si>
    <t>3) Governments, institutions &amp; international business</t>
  </si>
  <si>
    <t>4) International expansion and market entry modes</t>
  </si>
  <si>
    <t>5) Industry &amp; competition</t>
  </si>
  <si>
    <t>7) International business operations: HR management</t>
  </si>
  <si>
    <t>8) Ethics in international business</t>
  </si>
  <si>
    <t>6) Alliances and acquisitions</t>
  </si>
  <si>
    <t>1) Finanzwirtschaftliche Grundlagen</t>
  </si>
  <si>
    <t>2) Finanzwirtschaftliches Zielsystem und finanzwirtschaftliche Führung</t>
  </si>
  <si>
    <t>3) Kapital und Vermögen</t>
  </si>
  <si>
    <t>4) Finanzierungsarten und Finanzkreislauf</t>
  </si>
  <si>
    <t>6) Finanzplanung</t>
  </si>
  <si>
    <t>7) Cashflow</t>
  </si>
  <si>
    <t>8) Finanzierungsregeln und Finanzkennzahlen</t>
  </si>
  <si>
    <t>9) Beteiligungsfinanzierung</t>
  </si>
  <si>
    <t>10) Kreditfinanzierung</t>
  </si>
  <si>
    <t>5) Fi.-wi. Deskriptionsebenen und Liquiditätsbegriffe</t>
  </si>
  <si>
    <t>2) Kaufvertarg II</t>
  </si>
  <si>
    <t>3) Vertragsschluss</t>
  </si>
  <si>
    <t>4) Stellvertretung</t>
  </si>
  <si>
    <t>5) Schuldenrecht</t>
  </si>
  <si>
    <t>6) Leistungszeit, Einreden, Unmöglichekit, …</t>
  </si>
  <si>
    <t>7) Schadenersatz</t>
  </si>
  <si>
    <t>8) Schadenersatz u. Unmöglichkeit</t>
  </si>
  <si>
    <t>Online writing lab (Mo/Tue)</t>
  </si>
  <si>
    <t>Klausur am 31.05.</t>
  </si>
  <si>
    <t>Klausur am 28.06.</t>
  </si>
  <si>
    <t>Klausur am 08.07.</t>
  </si>
  <si>
    <t>Klausur am 05.07.</t>
  </si>
  <si>
    <t>Klausur am 30.06.</t>
  </si>
  <si>
    <t>Klausur am 23.06.</t>
  </si>
  <si>
    <t>Referat am 17.05.</t>
  </si>
  <si>
    <t>2) Investitionspolitik</t>
  </si>
  <si>
    <r>
      <t xml:space="preserve">1) </t>
    </r>
    <r>
      <rPr>
        <b/>
        <sz val="12"/>
        <color theme="1"/>
        <rFont val="Calibri"/>
        <family val="2"/>
        <charset val="238"/>
        <scheme val="minor"/>
      </rPr>
      <t xml:space="preserve">Investitiontheorie: </t>
    </r>
    <r>
      <rPr>
        <sz val="12"/>
        <color theme="1"/>
        <rFont val="Calibri"/>
        <family val="2"/>
        <scheme val="minor"/>
      </rPr>
      <t>Investitionsgrundlagen</t>
    </r>
  </si>
  <si>
    <r>
      <t xml:space="preserve">3) </t>
    </r>
    <r>
      <rPr>
        <b/>
        <sz val="12"/>
        <color theme="1"/>
        <rFont val="Calibri"/>
        <family val="2"/>
        <charset val="238"/>
        <scheme val="minor"/>
      </rPr>
      <t>MIR:</t>
    </r>
    <r>
      <rPr>
        <sz val="12"/>
        <color theme="1"/>
        <rFont val="Calibri"/>
        <family val="2"/>
        <scheme val="minor"/>
      </rPr>
      <t xml:space="preserve"> Statische Verfahren der Investitionsrechnung</t>
    </r>
  </si>
  <si>
    <t>4) Dynamische Verfahren der Investitionsrechnung I (Eingrenzung und Definition bis einschl. Kapitalwertmethode)</t>
  </si>
  <si>
    <t>5) Dynamische Verfahren der Investitionsrechnung II (Interne Zinsfußmethode bis einschl. Annuitätenmethode)</t>
  </si>
  <si>
    <t>6) Dynamische Verfahren der Investitionsrechnung III ( 2.2.6. bis einschl. 2.2.9.)</t>
  </si>
  <si>
    <t xml:space="preserve">8) Ergänzende Aspekte im Rahmen der Investitionsrechnung </t>
  </si>
  <si>
    <t>7) Investitionsrechnung bei unsicheren Erwartungen inkl. Charts</t>
  </si>
  <si>
    <t>7) Kostencontrolling II (ab f. 36)</t>
  </si>
  <si>
    <t>6) Kostencontrolling I (bis f. 35)</t>
  </si>
  <si>
    <t>1) Kaufvertrag I</t>
  </si>
  <si>
    <t>Semesterplan SoSe 22</t>
  </si>
  <si>
    <t>DTP, LSP due 13.05.</t>
  </si>
  <si>
    <r>
      <rPr>
        <b/>
        <sz val="12"/>
        <color theme="1"/>
        <rFont val="Calibri"/>
        <family val="2"/>
        <charset val="238"/>
        <scheme val="minor"/>
      </rPr>
      <t>13.05.</t>
    </r>
    <r>
      <rPr>
        <sz val="12"/>
        <color theme="1"/>
        <rFont val="Calibri"/>
        <family val="2"/>
        <scheme val="minor"/>
      </rPr>
      <t>,</t>
    </r>
    <r>
      <rPr>
        <b/>
        <sz val="12"/>
        <color theme="1"/>
        <rFont val="Calibri"/>
        <family val="2"/>
        <charset val="238"/>
        <scheme val="minor"/>
      </rPr>
      <t xml:space="preserve"> 08. + 12.06.</t>
    </r>
    <r>
      <rPr>
        <sz val="12"/>
        <color theme="1"/>
        <rFont val="Calibri"/>
        <family val="2"/>
        <scheme val="minor"/>
      </rPr>
      <t xml:space="preserve"> (15.05., 19. + 26.06.)</t>
    </r>
  </si>
  <si>
    <t>Klausur am X???</t>
  </si>
  <si>
    <t>15.07. ???</t>
  </si>
  <si>
    <t>Klausur 2</t>
  </si>
  <si>
    <t>Level-Ups</t>
  </si>
  <si>
    <r>
      <rPr>
        <b/>
        <sz val="12"/>
        <color theme="1"/>
        <rFont val="Calibri"/>
        <family val="2"/>
        <charset val="238"/>
        <scheme val="minor"/>
      </rPr>
      <t>Topic on 29.04</t>
    </r>
    <r>
      <rPr>
        <sz val="12"/>
        <color theme="1"/>
        <rFont val="Calibri"/>
        <family val="2"/>
        <scheme val="minor"/>
      </rPr>
      <t>. --&gt; starting to work on DTP</t>
    </r>
  </si>
  <si>
    <t>FTP, AP due 12.06.</t>
  </si>
  <si>
    <r>
      <t xml:space="preserve">1) (KW 14) </t>
    </r>
    <r>
      <rPr>
        <b/>
        <sz val="12"/>
        <color theme="1"/>
        <rFont val="Calibri"/>
        <family val="2"/>
        <charset val="238"/>
        <scheme val="minor"/>
      </rPr>
      <t>Ch.: 1, 2, 3;</t>
    </r>
    <r>
      <rPr>
        <sz val="12"/>
        <color theme="1"/>
        <rFont val="Calibri"/>
        <family val="2"/>
        <scheme val="minor"/>
      </rPr>
      <t xml:space="preserve"> "2-1 Academic principles"; "3-1 Logic"</t>
    </r>
  </si>
  <si>
    <r>
      <t xml:space="preserve">2) (KW 15) </t>
    </r>
    <r>
      <rPr>
        <b/>
        <sz val="12"/>
        <color theme="1"/>
        <rFont val="Calibri"/>
        <family val="2"/>
        <charset val="238"/>
        <scheme val="minor"/>
      </rPr>
      <t>Ch.: 4, 5, 6;</t>
    </r>
    <r>
      <rPr>
        <sz val="12"/>
        <color theme="1"/>
        <rFont val="Calibri"/>
        <family val="2"/>
        <scheme val="minor"/>
      </rPr>
      <t xml:space="preserve"> "4-1 Lipstick index" </t>
    </r>
  </si>
  <si>
    <r>
      <t xml:space="preserve">3) (KW 16) </t>
    </r>
    <r>
      <rPr>
        <b/>
        <sz val="12"/>
        <color theme="1"/>
        <rFont val="Calibri"/>
        <family val="2"/>
        <charset val="238"/>
        <scheme val="minor"/>
      </rPr>
      <t xml:space="preserve">Ch.: 7; </t>
    </r>
    <r>
      <rPr>
        <sz val="12"/>
        <color theme="1"/>
        <rFont val="Calibri"/>
        <family val="2"/>
        <scheme val="minor"/>
      </rPr>
      <t>"7-1 Elements of a research paper"</t>
    </r>
  </si>
  <si>
    <r>
      <t xml:space="preserve">4) (KW 17) </t>
    </r>
    <r>
      <rPr>
        <b/>
        <sz val="12"/>
        <color theme="1"/>
        <rFont val="Calibri"/>
        <family val="2"/>
        <charset val="238"/>
        <scheme val="minor"/>
      </rPr>
      <t xml:space="preserve">Topic of DTP Ch.: 8,9; </t>
    </r>
    <r>
      <rPr>
        <sz val="12"/>
        <color theme="1"/>
        <rFont val="Calibri"/>
        <family val="2"/>
        <scheme val="minor"/>
      </rPr>
      <t>"8-1 Interpretation of a topic – IC in GSC", "8-2 Interpretation of a topic – Case compilation", "8-2 Interpretation of a topic – Case compilation"</t>
    </r>
  </si>
  <si>
    <r>
      <t xml:space="preserve">5) KW 18) </t>
    </r>
    <r>
      <rPr>
        <b/>
        <sz val="12"/>
        <color theme="1"/>
        <rFont val="Calibri"/>
        <family val="2"/>
        <charset val="238"/>
        <scheme val="minor"/>
      </rPr>
      <t>Ch.: 10, 11, 12</t>
    </r>
    <r>
      <rPr>
        <sz val="12"/>
        <color theme="1"/>
        <rFont val="Calibri"/>
        <family val="2"/>
        <charset val="238"/>
        <scheme val="minor"/>
      </rPr>
      <t xml:space="preserve"> (not covered), work on DTP &amp; LSP</t>
    </r>
  </si>
  <si>
    <r>
      <t xml:space="preserve">6) (KW 19) </t>
    </r>
    <r>
      <rPr>
        <b/>
        <sz val="12"/>
        <color theme="1"/>
        <rFont val="Calibri"/>
        <family val="2"/>
        <charset val="238"/>
        <scheme val="minor"/>
      </rPr>
      <t xml:space="preserve">Finalisation of DTP &amp; LSP + Hand in </t>
    </r>
    <r>
      <rPr>
        <sz val="12"/>
        <color theme="1"/>
        <rFont val="Calibri"/>
        <family val="2"/>
        <charset val="238"/>
        <scheme val="minor"/>
      </rPr>
      <t>till 13.05.</t>
    </r>
  </si>
  <si>
    <r>
      <t xml:space="preserve">7) (KW 20) work on the FTP; </t>
    </r>
    <r>
      <rPr>
        <b/>
        <sz val="12"/>
        <color theme="1"/>
        <rFont val="Calibri"/>
        <family val="2"/>
        <charset val="238"/>
        <scheme val="minor"/>
      </rPr>
      <t xml:space="preserve">clearance &amp; grading </t>
    </r>
    <r>
      <rPr>
        <sz val="12"/>
        <color theme="1"/>
        <rFont val="Calibri"/>
        <family val="2"/>
        <charset val="238"/>
        <scheme val="minor"/>
      </rPr>
      <t>of of DTP &amp; LSP</t>
    </r>
  </si>
  <si>
    <r>
      <t xml:space="preserve">8) (KW 21) work on the FTP + </t>
    </r>
    <r>
      <rPr>
        <b/>
        <sz val="12"/>
        <color theme="1"/>
        <rFont val="Calibri"/>
        <family val="2"/>
        <charset val="238"/>
        <scheme val="minor"/>
      </rPr>
      <t>writing lab</t>
    </r>
  </si>
  <si>
    <t>9) (KW 22) Finalisation of FTP, finish till 05.06.</t>
  </si>
  <si>
    <r>
      <t xml:space="preserve">10) (KW 23) work on the AP, </t>
    </r>
    <r>
      <rPr>
        <b/>
        <sz val="12"/>
        <color theme="1"/>
        <rFont val="Calibri"/>
        <family val="2"/>
        <charset val="238"/>
        <scheme val="minor"/>
      </rPr>
      <t>FTP &amp; AP Hand in till 12.06.</t>
    </r>
  </si>
  <si>
    <t>LU/Woche</t>
  </si>
  <si>
    <t>Abgabe am 29.05.</t>
  </si>
  <si>
    <r>
      <t xml:space="preserve">alle Tests bis </t>
    </r>
    <r>
      <rPr>
        <b/>
        <sz val="12"/>
        <color theme="1"/>
        <rFont val="Calibri"/>
        <family val="2"/>
        <charset val="238"/>
        <scheme val="minor"/>
      </rPr>
      <t>29.05.</t>
    </r>
    <r>
      <rPr>
        <sz val="12"/>
        <color theme="1"/>
        <rFont val="Calibri"/>
        <family val="2"/>
        <scheme val="minor"/>
      </rPr>
      <t xml:space="preserve"> (30.06.)</t>
    </r>
  </si>
  <si>
    <r>
      <t xml:space="preserve">KW 14 </t>
    </r>
    <r>
      <rPr>
        <sz val="12"/>
        <color theme="1"/>
        <rFont val="Calibri"/>
        <family val="2"/>
        <charset val="238"/>
        <scheme val="minor"/>
      </rPr>
      <t>(04.-10.04.)</t>
    </r>
  </si>
  <si>
    <r>
      <t xml:space="preserve">KW 15 </t>
    </r>
    <r>
      <rPr>
        <sz val="12"/>
        <color theme="1"/>
        <rFont val="Calibri"/>
        <family val="2"/>
        <charset val="238"/>
        <scheme val="minor"/>
      </rPr>
      <t>(11.-17.04.)</t>
    </r>
  </si>
  <si>
    <r>
      <t xml:space="preserve">KW 16 </t>
    </r>
    <r>
      <rPr>
        <sz val="12"/>
        <color theme="1"/>
        <rFont val="Calibri"/>
        <family val="2"/>
        <charset val="238"/>
        <scheme val="minor"/>
      </rPr>
      <t>(18.-24.04.)</t>
    </r>
  </si>
  <si>
    <r>
      <t xml:space="preserve">KW 17 </t>
    </r>
    <r>
      <rPr>
        <sz val="12"/>
        <color theme="1"/>
        <rFont val="Calibri"/>
        <family val="2"/>
        <charset val="238"/>
        <scheme val="minor"/>
      </rPr>
      <t>(25.04.-01.05.)</t>
    </r>
  </si>
  <si>
    <r>
      <t xml:space="preserve">KW 18 </t>
    </r>
    <r>
      <rPr>
        <sz val="12"/>
        <color theme="1"/>
        <rFont val="Calibri"/>
        <family val="2"/>
        <charset val="238"/>
        <scheme val="minor"/>
      </rPr>
      <t>(02.-08.05.)</t>
    </r>
  </si>
  <si>
    <r>
      <t xml:space="preserve">KW 19 </t>
    </r>
    <r>
      <rPr>
        <sz val="12"/>
        <color theme="1"/>
        <rFont val="Calibri"/>
        <family val="2"/>
        <charset val="238"/>
        <scheme val="minor"/>
      </rPr>
      <t>(09.-15.05.)</t>
    </r>
  </si>
  <si>
    <r>
      <t xml:space="preserve">KW 20 </t>
    </r>
    <r>
      <rPr>
        <sz val="12"/>
        <color theme="1"/>
        <rFont val="Calibri"/>
        <family val="2"/>
        <charset val="238"/>
        <scheme val="minor"/>
      </rPr>
      <t>(16.-22.05.)</t>
    </r>
  </si>
  <si>
    <r>
      <t xml:space="preserve">KW 21 </t>
    </r>
    <r>
      <rPr>
        <sz val="12"/>
        <color theme="1"/>
        <rFont val="Calibri"/>
        <family val="2"/>
        <charset val="238"/>
        <scheme val="minor"/>
      </rPr>
      <t>(23.-29.05.)</t>
    </r>
  </si>
  <si>
    <r>
      <t xml:space="preserve">KW 22 </t>
    </r>
    <r>
      <rPr>
        <sz val="12"/>
        <color theme="1"/>
        <rFont val="Calibri"/>
        <family val="2"/>
        <charset val="238"/>
        <scheme val="minor"/>
      </rPr>
      <t>(30.05.-05.06.)</t>
    </r>
  </si>
  <si>
    <r>
      <t xml:space="preserve">KW 23 </t>
    </r>
    <r>
      <rPr>
        <sz val="12"/>
        <color theme="1"/>
        <rFont val="Calibri"/>
        <family val="2"/>
        <charset val="238"/>
        <scheme val="minor"/>
      </rPr>
      <t>(06.-12.06.)</t>
    </r>
  </si>
  <si>
    <r>
      <t xml:space="preserve">KW 24 </t>
    </r>
    <r>
      <rPr>
        <sz val="12"/>
        <color theme="1"/>
        <rFont val="Calibri"/>
        <family val="2"/>
        <charset val="238"/>
        <scheme val="minor"/>
      </rPr>
      <t>(13.-19.06.)</t>
    </r>
  </si>
  <si>
    <r>
      <t xml:space="preserve">KW 25 </t>
    </r>
    <r>
      <rPr>
        <sz val="12"/>
        <color theme="1"/>
        <rFont val="Calibri"/>
        <family val="2"/>
        <charset val="238"/>
        <scheme val="minor"/>
      </rPr>
      <t>(20.-26.06.)</t>
    </r>
  </si>
  <si>
    <r>
      <t xml:space="preserve">KW 26 </t>
    </r>
    <r>
      <rPr>
        <sz val="12"/>
        <color theme="1"/>
        <rFont val="Calibri"/>
        <family val="2"/>
        <charset val="238"/>
        <scheme val="minor"/>
      </rPr>
      <t>(27.-03.07.)</t>
    </r>
  </si>
  <si>
    <r>
      <t xml:space="preserve">KW 27 </t>
    </r>
    <r>
      <rPr>
        <sz val="12"/>
        <color theme="1"/>
        <rFont val="Calibri"/>
        <family val="2"/>
        <charset val="238"/>
        <scheme val="minor"/>
      </rPr>
      <t>(04.-10.07.)</t>
    </r>
  </si>
  <si>
    <r>
      <t xml:space="preserve">KW 28 </t>
    </r>
    <r>
      <rPr>
        <sz val="12"/>
        <color theme="1"/>
        <rFont val="Calibri"/>
        <family val="2"/>
        <charset val="238"/>
        <scheme val="minor"/>
      </rPr>
      <t>(11.-17.07.)</t>
    </r>
  </si>
  <si>
    <r>
      <t xml:space="preserve">KW 29 </t>
    </r>
    <r>
      <rPr>
        <sz val="12"/>
        <color theme="1"/>
        <rFont val="Calibri"/>
        <family val="2"/>
        <charset val="238"/>
        <scheme val="minor"/>
      </rPr>
      <t>(18.-24.07.)</t>
    </r>
  </si>
  <si>
    <r>
      <t xml:space="preserve">Wochenplan </t>
    </r>
    <r>
      <rPr>
        <sz val="16"/>
        <color theme="1"/>
        <rFont val="Calibri (Body)"/>
      </rPr>
      <t>(04.-10.04.)</t>
    </r>
  </si>
  <si>
    <t xml:space="preserve">1) 31.05. (K1-8); </t>
  </si>
  <si>
    <t>2) 28.06. (K1-11)</t>
  </si>
  <si>
    <t xml:space="preserve">Referat: 17.05. </t>
  </si>
  <si>
    <r>
      <t xml:space="preserve">Vortrag: </t>
    </r>
    <r>
      <rPr>
        <sz val="12"/>
        <color rgb="FFFF0000"/>
        <rFont val="Calibri"/>
        <family val="2"/>
        <charset val="238"/>
        <scheme val="minor"/>
      </rPr>
      <t>X</t>
    </r>
  </si>
  <si>
    <t>Aufstehen</t>
  </si>
  <si>
    <t>Weg zur Uni</t>
  </si>
  <si>
    <t>Call mit Mädels (WI)</t>
  </si>
  <si>
    <t>WI - Aufgabe 5 u 6 lösen</t>
  </si>
  <si>
    <t>Mittag</t>
  </si>
  <si>
    <t>VWL-Zusammenfassung</t>
  </si>
  <si>
    <t>AIESEC - Movie night</t>
  </si>
  <si>
    <t>VWL - Karteikarten</t>
  </si>
  <si>
    <t>Stunden insgesamt:</t>
  </si>
  <si>
    <t>VWL Zusammenfassung</t>
  </si>
  <si>
    <t>GVWL</t>
  </si>
  <si>
    <t>Wirtschaftsinformatik K2 - Praktikum</t>
  </si>
  <si>
    <t>Wirtschaftsinformatik K2 (durchlesen)</t>
  </si>
  <si>
    <t>Treffen mit Hanna</t>
  </si>
  <si>
    <t>Call mit Yaren</t>
  </si>
  <si>
    <t>Lernsessionswiederholen</t>
  </si>
  <si>
    <t>Schlaffen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</si>
</sst>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FF0000"/>
      <name val="Calibri"/>
      <family val="2"/>
      <charset val="238"/>
      <scheme val="minor"/>
    </font>
    <font>
      <sz val="12"/>
      <name val="Calibri"/>
      <family val="2"/>
      <charset val="238"/>
      <scheme val="minor"/>
    </font>
    <font>
      <sz val="12"/>
      <color rgb="FF00B050"/>
      <name val="Calibri"/>
      <family val="2"/>
      <charset val="238"/>
      <scheme val="minor"/>
    </font>
    <font>
      <b/>
      <sz val="12"/>
      <color rgb="FFFF0000"/>
      <name val="Calibri"/>
      <family val="2"/>
      <charset val="238"/>
      <scheme val="minor"/>
    </font>
    <font>
      <b/>
      <sz val="12"/>
      <color theme="1"/>
      <name val="Calibri"/>
      <family val="2"/>
      <charset val="238"/>
      <scheme val="minor"/>
    </font>
    <font>
      <b/>
      <sz val="12"/>
      <color rgb="FF00B050"/>
      <name val="Calibri"/>
      <family val="2"/>
      <charset val="238"/>
      <scheme val="minor"/>
    </font>
    <font>
      <u/>
      <sz val="12"/>
      <color theme="1"/>
      <name val="Calibri"/>
      <family val="2"/>
      <charset val="238"/>
      <scheme val="minor"/>
    </font>
    <font>
      <sz val="8"/>
      <name val="Calibri"/>
      <family val="2"/>
      <scheme val="minor"/>
    </font>
    <font>
      <sz val="12"/>
      <color theme="1"/>
      <name val="Calibri"/>
      <family val="2"/>
      <charset val="238"/>
      <scheme val="minor"/>
    </font>
    <font>
      <b/>
      <sz val="12"/>
      <color rgb="FFFF0000"/>
      <name val="Calibri"/>
      <family val="2"/>
      <scheme val="minor"/>
    </font>
    <font>
      <sz val="16"/>
      <color theme="1"/>
      <name val="Calibri (Body)"/>
    </font>
    <font>
      <sz val="9"/>
      <color indexed="81"/>
      <name val="Segoe UI"/>
      <charset val="1"/>
    </font>
  </fonts>
  <fills count="24">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C00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CCCC"/>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rgb="FFECDED8"/>
        <bgColor indexed="64"/>
      </patternFill>
    </fill>
    <fill>
      <patternFill patternType="solid">
        <fgColor rgb="FFF2E5FF"/>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8"/>
        <bgColor indexed="64"/>
      </patternFill>
    </fill>
    <fill>
      <patternFill patternType="solid">
        <fgColor rgb="FF7030A0"/>
        <bgColor indexed="64"/>
      </patternFill>
    </fill>
    <fill>
      <patternFill patternType="solid">
        <fgColor theme="6" tint="0.59999389629810485"/>
        <bgColor indexed="64"/>
      </patternFill>
    </fill>
    <fill>
      <patternFill patternType="solid">
        <fgColor theme="4"/>
        <bgColor indexed="64"/>
      </patternFill>
    </fill>
    <fill>
      <patternFill patternType="solid">
        <fgColor rgb="FFC4FF87"/>
        <bgColor indexed="64"/>
      </patternFill>
    </fill>
  </fills>
  <borders count="27">
    <border>
      <left/>
      <right/>
      <top/>
      <bottom/>
      <diagonal/>
    </border>
    <border>
      <left style="medium">
        <color theme="9" tint="0.39997558519241921"/>
      </left>
      <right/>
      <top style="medium">
        <color theme="9" tint="0.39997558519241921"/>
      </top>
      <bottom/>
      <diagonal/>
    </border>
    <border>
      <left/>
      <right style="medium">
        <color theme="9" tint="0.39997558519241921"/>
      </right>
      <top style="medium">
        <color theme="9" tint="0.39997558519241921"/>
      </top>
      <bottom/>
      <diagonal/>
    </border>
    <border>
      <left style="medium">
        <color theme="9" tint="0.39997558519241921"/>
      </left>
      <right/>
      <top/>
      <bottom/>
      <diagonal/>
    </border>
    <border>
      <left/>
      <right style="medium">
        <color theme="9" tint="0.39997558519241921"/>
      </right>
      <top/>
      <bottom/>
      <diagonal/>
    </border>
    <border>
      <left style="medium">
        <color theme="9" tint="0.39997558519241921"/>
      </left>
      <right/>
      <top/>
      <bottom style="medium">
        <color theme="9" tint="0.39997558519241921"/>
      </bottom>
      <diagonal/>
    </border>
    <border>
      <left/>
      <right style="medium">
        <color theme="9" tint="0.39997558519241921"/>
      </right>
      <top/>
      <bottom style="medium">
        <color theme="9" tint="0.39997558519241921"/>
      </bottom>
      <diagonal/>
    </border>
    <border>
      <left/>
      <right/>
      <top style="medium">
        <color theme="9" tint="0.39997558519241921"/>
      </top>
      <bottom/>
      <diagonal/>
    </border>
    <border>
      <left style="medium">
        <color theme="9" tint="-0.249977111117893"/>
      </left>
      <right/>
      <top style="medium">
        <color theme="9" tint="-0.249977111117893"/>
      </top>
      <bottom/>
      <diagonal/>
    </border>
    <border>
      <left/>
      <right/>
      <top style="medium">
        <color theme="9" tint="-0.249977111117893"/>
      </top>
      <bottom/>
      <diagonal/>
    </border>
    <border>
      <left/>
      <right style="medium">
        <color theme="9" tint="-0.249977111117893"/>
      </right>
      <top style="medium">
        <color theme="9" tint="-0.249977111117893"/>
      </top>
      <bottom/>
      <diagonal/>
    </border>
    <border>
      <left style="medium">
        <color theme="9" tint="-0.249977111117893"/>
      </left>
      <right/>
      <top/>
      <bottom/>
      <diagonal/>
    </border>
    <border>
      <left/>
      <right style="medium">
        <color theme="9" tint="-0.249977111117893"/>
      </right>
      <top/>
      <bottom/>
      <diagonal/>
    </border>
    <border>
      <left style="medium">
        <color theme="9" tint="-0.249977111117893"/>
      </left>
      <right/>
      <top/>
      <bottom style="medium">
        <color theme="9" tint="-0.249977111117893"/>
      </bottom>
      <diagonal/>
    </border>
    <border>
      <left/>
      <right/>
      <top/>
      <bottom style="medium">
        <color theme="9" tint="-0.249977111117893"/>
      </bottom>
      <diagonal/>
    </border>
    <border>
      <left/>
      <right style="medium">
        <color theme="9" tint="-0.249977111117893"/>
      </right>
      <top/>
      <bottom style="medium">
        <color theme="9" tint="-0.24997711111789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49">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5" borderId="0" xfId="0" applyFont="1" applyFill="1"/>
    <xf numFmtId="0" fontId="0" fillId="6" borderId="0" xfId="0" applyFill="1"/>
    <xf numFmtId="0" fontId="0" fillId="6" borderId="0" xfId="0" applyFill="1" applyAlignment="1">
      <alignment horizontal="center"/>
    </xf>
    <xf numFmtId="0" fontId="0" fillId="7" borderId="0" xfId="0" applyFill="1"/>
    <xf numFmtId="0" fontId="0" fillId="7" borderId="0" xfId="0" applyFill="1" applyAlignment="1">
      <alignment horizontal="center"/>
    </xf>
    <xf numFmtId="9" fontId="0" fillId="7" borderId="0" xfId="0" applyNumberFormat="1" applyFill="1"/>
    <xf numFmtId="0" fontId="0" fillId="8" borderId="0" xfId="0" applyFill="1"/>
    <xf numFmtId="0" fontId="0" fillId="8" borderId="0" xfId="0" applyFill="1" applyAlignment="1">
      <alignment horizontal="center"/>
    </xf>
    <xf numFmtId="9" fontId="0" fillId="8" borderId="0" xfId="0" applyNumberFormat="1" applyFill="1"/>
    <xf numFmtId="0" fontId="0" fillId="9" borderId="0" xfId="0" applyFill="1"/>
    <xf numFmtId="0" fontId="0" fillId="9" borderId="0" xfId="0" applyFill="1" applyAlignment="1">
      <alignment horizontal="center"/>
    </xf>
    <xf numFmtId="9" fontId="0" fillId="9" borderId="0" xfId="0" applyNumberFormat="1" applyFill="1"/>
    <xf numFmtId="0" fontId="0" fillId="10" borderId="0" xfId="0" applyFill="1"/>
    <xf numFmtId="0" fontId="0" fillId="10" borderId="0" xfId="0" applyFill="1" applyAlignment="1">
      <alignment horizontal="center"/>
    </xf>
    <xf numFmtId="9" fontId="0" fillId="10" borderId="0" xfId="0" applyNumberFormat="1" applyFill="1"/>
    <xf numFmtId="0" fontId="0" fillId="10" borderId="0" xfId="0" applyFill="1" applyAlignment="1">
      <alignment wrapText="1"/>
    </xf>
    <xf numFmtId="0" fontId="5" fillId="10" borderId="0" xfId="0" applyFont="1" applyFill="1"/>
    <xf numFmtId="0" fontId="0" fillId="11" borderId="0" xfId="0" applyFill="1"/>
    <xf numFmtId="9" fontId="0" fillId="11" borderId="0" xfId="0" applyNumberFormat="1" applyFill="1"/>
    <xf numFmtId="0" fontId="0" fillId="11" borderId="0" xfId="0" applyFill="1" applyAlignment="1">
      <alignment wrapText="1"/>
    </xf>
    <xf numFmtId="0" fontId="0" fillId="11" borderId="0" xfId="0" applyFill="1" applyAlignment="1"/>
    <xf numFmtId="0" fontId="0" fillId="12" borderId="0" xfId="0" applyFill="1"/>
    <xf numFmtId="0" fontId="13" fillId="12" borderId="0" xfId="0" applyFont="1" applyFill="1" applyAlignment="1"/>
    <xf numFmtId="0" fontId="0" fillId="12" borderId="0" xfId="0" applyFill="1" applyAlignment="1">
      <alignment horizontal="center"/>
    </xf>
    <xf numFmtId="9" fontId="0" fillId="12" borderId="0" xfId="0" applyNumberFormat="1" applyFill="1"/>
    <xf numFmtId="0" fontId="0" fillId="13" borderId="0" xfId="0" applyFill="1"/>
    <xf numFmtId="0" fontId="0" fillId="13" borderId="0" xfId="0" applyFill="1" applyAlignment="1">
      <alignment horizontal="center"/>
    </xf>
    <xf numFmtId="9" fontId="0" fillId="13" borderId="0" xfId="0" applyNumberFormat="1" applyFill="1"/>
    <xf numFmtId="0" fontId="0" fillId="14" borderId="0" xfId="0" applyFill="1"/>
    <xf numFmtId="0" fontId="0" fillId="14" borderId="0" xfId="0" applyFill="1" applyAlignment="1">
      <alignment horizontal="center"/>
    </xf>
    <xf numFmtId="9" fontId="0" fillId="14" borderId="0" xfId="0" applyNumberFormat="1" applyFill="1"/>
    <xf numFmtId="0" fontId="13" fillId="12" borderId="0" xfId="0" applyFont="1" applyFill="1"/>
    <xf numFmtId="0" fontId="0" fillId="12" borderId="0" xfId="0" applyFill="1" applyAlignment="1">
      <alignment wrapText="1"/>
    </xf>
    <xf numFmtId="0" fontId="0" fillId="6" borderId="1" xfId="0" applyFill="1" applyBorder="1"/>
    <xf numFmtId="9" fontId="0" fillId="6" borderId="2" xfId="0" applyNumberFormat="1" applyFill="1" applyBorder="1"/>
    <xf numFmtId="0" fontId="0" fillId="6" borderId="3" xfId="0" applyFill="1" applyBorder="1"/>
    <xf numFmtId="9" fontId="0" fillId="6" borderId="4" xfId="0" applyNumberFormat="1" applyFill="1" applyBorder="1"/>
    <xf numFmtId="0" fontId="0" fillId="6" borderId="3" xfId="0" applyFill="1" applyBorder="1" applyAlignment="1">
      <alignment wrapText="1"/>
    </xf>
    <xf numFmtId="0" fontId="0" fillId="6" borderId="3" xfId="0" applyFill="1" applyBorder="1" applyAlignment="1"/>
    <xf numFmtId="0" fontId="0" fillId="15" borderId="3" xfId="0" applyFill="1" applyBorder="1"/>
    <xf numFmtId="9" fontId="0" fillId="15" borderId="4" xfId="0" applyNumberFormat="1" applyFill="1" applyBorder="1"/>
    <xf numFmtId="0" fontId="0" fillId="15" borderId="5" xfId="0" applyFill="1" applyBorder="1"/>
    <xf numFmtId="9" fontId="0" fillId="15" borderId="6" xfId="0" applyNumberFormat="1" applyFill="1" applyBorder="1"/>
    <xf numFmtId="9" fontId="0" fillId="6" borderId="0" xfId="0" applyNumberFormat="1" applyFill="1" applyBorder="1"/>
    <xf numFmtId="9" fontId="0" fillId="6" borderId="7" xfId="0" applyNumberFormat="1" applyFill="1" applyBorder="1"/>
    <xf numFmtId="9" fontId="0" fillId="0" borderId="0" xfId="0" applyNumberFormat="1" applyFill="1"/>
    <xf numFmtId="1" fontId="0" fillId="13" borderId="0" xfId="0" applyNumberFormat="1" applyFill="1" applyAlignment="1">
      <alignment horizontal="center"/>
    </xf>
    <xf numFmtId="9" fontId="0" fillId="13" borderId="0" xfId="0" applyNumberFormat="1" applyFill="1" applyAlignment="1">
      <alignment horizontal="center"/>
    </xf>
    <xf numFmtId="1" fontId="0" fillId="10" borderId="0" xfId="0" applyNumberFormat="1" applyFill="1" applyAlignment="1">
      <alignment horizontal="center"/>
    </xf>
    <xf numFmtId="9" fontId="0" fillId="10" borderId="0" xfId="0" applyNumberFormat="1" applyFill="1" applyAlignment="1">
      <alignment horizontal="center"/>
    </xf>
    <xf numFmtId="1" fontId="0" fillId="9" borderId="0" xfId="0" applyNumberFormat="1" applyFill="1" applyAlignment="1">
      <alignment horizontal="center"/>
    </xf>
    <xf numFmtId="9" fontId="0" fillId="9" borderId="0" xfId="0" applyNumberFormat="1" applyFill="1" applyAlignment="1">
      <alignment horizontal="center"/>
    </xf>
    <xf numFmtId="1" fontId="0" fillId="8" borderId="0" xfId="0" applyNumberFormat="1" applyFill="1" applyAlignment="1">
      <alignment horizontal="center"/>
    </xf>
    <xf numFmtId="9" fontId="0" fillId="8" borderId="0" xfId="0" applyNumberFormat="1" applyFill="1" applyAlignment="1">
      <alignment horizontal="center"/>
    </xf>
    <xf numFmtId="1" fontId="0" fillId="14" borderId="0" xfId="0" applyNumberFormat="1" applyFill="1" applyAlignment="1">
      <alignment horizontal="center"/>
    </xf>
    <xf numFmtId="9" fontId="0" fillId="14" borderId="0" xfId="0" applyNumberFormat="1" applyFill="1" applyAlignment="1">
      <alignment horizontal="center"/>
    </xf>
    <xf numFmtId="1" fontId="0" fillId="12" borderId="0" xfId="0" applyNumberFormat="1" applyFill="1" applyAlignment="1">
      <alignment horizontal="center"/>
    </xf>
    <xf numFmtId="9" fontId="0" fillId="12" borderId="0" xfId="0" applyNumberFormat="1" applyFill="1" applyAlignment="1">
      <alignment horizontal="center"/>
    </xf>
    <xf numFmtId="0" fontId="8" fillId="8" borderId="0" xfId="0" applyFont="1" applyFill="1"/>
    <xf numFmtId="1" fontId="0" fillId="7" borderId="0" xfId="0" applyNumberFormat="1" applyFill="1" applyAlignment="1">
      <alignment horizontal="center"/>
    </xf>
    <xf numFmtId="9" fontId="0" fillId="7" borderId="0" xfId="0" applyNumberFormat="1" applyFill="1" applyAlignment="1">
      <alignment horizontal="center"/>
    </xf>
    <xf numFmtId="0" fontId="14" fillId="8" borderId="0" xfId="0" applyFont="1" applyFill="1"/>
    <xf numFmtId="9" fontId="0" fillId="6" borderId="0" xfId="0" applyNumberFormat="1" applyFill="1"/>
    <xf numFmtId="1" fontId="0" fillId="6" borderId="0" xfId="0" applyNumberFormat="1" applyFill="1" applyAlignment="1">
      <alignment horizontal="center"/>
    </xf>
    <xf numFmtId="9" fontId="0" fillId="6" borderId="0" xfId="0" applyNumberFormat="1" applyFill="1" applyAlignment="1">
      <alignment horizontal="center"/>
    </xf>
    <xf numFmtId="0" fontId="9" fillId="6" borderId="0" xfId="0" applyFont="1" applyFill="1"/>
    <xf numFmtId="0" fontId="8" fillId="6" borderId="0" xfId="0" applyFont="1" applyFill="1"/>
    <xf numFmtId="1" fontId="0" fillId="15" borderId="0" xfId="0" applyNumberFormat="1" applyFill="1" applyAlignment="1">
      <alignment horizontal="center"/>
    </xf>
    <xf numFmtId="0" fontId="0" fillId="15" borderId="0" xfId="0" applyFill="1"/>
    <xf numFmtId="0" fontId="8" fillId="15" borderId="0" xfId="0" applyFont="1" applyFill="1"/>
    <xf numFmtId="1" fontId="0" fillId="17" borderId="0" xfId="0" applyNumberFormat="1" applyFill="1" applyAlignment="1">
      <alignment horizontal="center"/>
    </xf>
    <xf numFmtId="0" fontId="0" fillId="17" borderId="0" xfId="0" applyFill="1"/>
    <xf numFmtId="0" fontId="8" fillId="17" borderId="0" xfId="0" applyFont="1" applyFill="1"/>
    <xf numFmtId="1" fontId="0" fillId="18" borderId="0" xfId="0" applyNumberFormat="1" applyFill="1" applyAlignment="1">
      <alignment horizontal="center"/>
    </xf>
    <xf numFmtId="0" fontId="0" fillId="18" borderId="0" xfId="0" applyFill="1"/>
    <xf numFmtId="0" fontId="8" fillId="18" borderId="0" xfId="0" applyFont="1" applyFill="1"/>
    <xf numFmtId="1" fontId="0" fillId="11" borderId="0" xfId="0" applyNumberFormat="1" applyFill="1" applyAlignment="1">
      <alignment horizontal="center"/>
    </xf>
    <xf numFmtId="0" fontId="8" fillId="11" borderId="0" xfId="0" applyFont="1" applyFill="1"/>
    <xf numFmtId="1" fontId="0" fillId="19" borderId="0" xfId="0" applyNumberFormat="1" applyFill="1" applyAlignment="1">
      <alignment horizontal="center"/>
    </xf>
    <xf numFmtId="0" fontId="0" fillId="19" borderId="0" xfId="0" applyFill="1"/>
    <xf numFmtId="0" fontId="8" fillId="19" borderId="0" xfId="0" applyFont="1" applyFill="1"/>
    <xf numFmtId="1" fontId="0" fillId="20" borderId="0" xfId="0" applyNumberFormat="1" applyFill="1" applyAlignment="1">
      <alignment horizontal="center"/>
    </xf>
    <xf numFmtId="0" fontId="0" fillId="20" borderId="0" xfId="0" applyFill="1"/>
    <xf numFmtId="0" fontId="8" fillId="20" borderId="0" xfId="0" applyFont="1" applyFill="1"/>
    <xf numFmtId="0" fontId="1" fillId="21" borderId="0" xfId="0" applyFont="1" applyFill="1" applyAlignment="1">
      <alignment horizontal="center"/>
    </xf>
    <xf numFmtId="0" fontId="8" fillId="0" borderId="0" xfId="0" applyFont="1" applyFill="1"/>
    <xf numFmtId="0" fontId="4" fillId="0" borderId="0" xfId="0" applyFont="1" applyAlignment="1"/>
    <xf numFmtId="9" fontId="0" fillId="0" borderId="0" xfId="0" applyNumberFormat="1" applyBorder="1"/>
    <xf numFmtId="2" fontId="0" fillId="6" borderId="0" xfId="0" applyNumberFormat="1" applyFill="1" applyAlignment="1">
      <alignment horizontal="center"/>
    </xf>
    <xf numFmtId="20" fontId="9" fillId="0" borderId="0" xfId="0" applyNumberFormat="1" applyFont="1"/>
    <xf numFmtId="9" fontId="0" fillId="0" borderId="8" xfId="0" applyNumberFormat="1" applyBorder="1"/>
    <xf numFmtId="9" fontId="0" fillId="0" borderId="9" xfId="0" applyNumberFormat="1" applyBorder="1"/>
    <xf numFmtId="9" fontId="0" fillId="0" borderId="10" xfId="0" applyNumberFormat="1" applyBorder="1"/>
    <xf numFmtId="9" fontId="0" fillId="0" borderId="11" xfId="0" applyNumberFormat="1" applyBorder="1"/>
    <xf numFmtId="9" fontId="0" fillId="0" borderId="12" xfId="0" applyNumberFormat="1" applyBorder="1"/>
    <xf numFmtId="9" fontId="0" fillId="0" borderId="13" xfId="0" applyNumberFormat="1" applyBorder="1"/>
    <xf numFmtId="9" fontId="0" fillId="0" borderId="14" xfId="0" applyNumberFormat="1" applyBorder="1"/>
    <xf numFmtId="9" fontId="0" fillId="0" borderId="15" xfId="0" applyNumberFormat="1" applyBorder="1"/>
    <xf numFmtId="9" fontId="0" fillId="0" borderId="16" xfId="0" applyNumberFormat="1" applyBorder="1"/>
    <xf numFmtId="9" fontId="0" fillId="0" borderId="17" xfId="0" applyNumberFormat="1" applyBorder="1"/>
    <xf numFmtId="9" fontId="0" fillId="0" borderId="18" xfId="0" applyNumberFormat="1" applyBorder="1"/>
    <xf numFmtId="9" fontId="0" fillId="0" borderId="19" xfId="0" applyNumberFormat="1" applyBorder="1"/>
    <xf numFmtId="9" fontId="0" fillId="0" borderId="20" xfId="0" applyNumberFormat="1" applyBorder="1"/>
    <xf numFmtId="9" fontId="0" fillId="0" borderId="21" xfId="0" applyNumberFormat="1" applyBorder="1"/>
    <xf numFmtId="9" fontId="0" fillId="0" borderId="22" xfId="0" applyNumberFormat="1" applyBorder="1"/>
    <xf numFmtId="9" fontId="0" fillId="0" borderId="23" xfId="0" applyNumberFormat="1" applyBorder="1"/>
    <xf numFmtId="9" fontId="0" fillId="0" borderId="24" xfId="0" applyNumberFormat="1" applyBorder="1"/>
    <xf numFmtId="9" fontId="0" fillId="0" borderId="25" xfId="0" applyNumberFormat="1" applyBorder="1"/>
    <xf numFmtId="9" fontId="0" fillId="0" borderId="26" xfId="0" applyNumberFormat="1" applyBorder="1"/>
    <xf numFmtId="1" fontId="0" fillId="0" borderId="0" xfId="0" applyNumberFormat="1" applyFill="1" applyBorder="1" applyAlignment="1">
      <alignment horizontal="center"/>
    </xf>
    <xf numFmtId="0" fontId="0" fillId="0" borderId="0" xfId="0" applyFill="1" applyBorder="1"/>
    <xf numFmtId="1" fontId="0" fillId="0" borderId="0" xfId="0" applyNumberFormat="1" applyFill="1" applyAlignment="1">
      <alignment horizontal="center"/>
    </xf>
    <xf numFmtId="0" fontId="9" fillId="18" borderId="0" xfId="0" applyFont="1" applyFill="1"/>
    <xf numFmtId="0" fontId="0" fillId="0" borderId="0" xfId="0" applyAlignment="1">
      <alignment horizontal="center" vertical="center"/>
    </xf>
    <xf numFmtId="0" fontId="0" fillId="0" borderId="0" xfId="0" applyBorder="1"/>
    <xf numFmtId="1" fontId="9" fillId="8" borderId="0" xfId="0" applyNumberFormat="1" applyFont="1" applyFill="1" applyAlignment="1">
      <alignment horizontal="center"/>
    </xf>
    <xf numFmtId="1" fontId="9" fillId="12" borderId="0" xfId="0" applyNumberFormat="1" applyFont="1" applyFill="1" applyAlignment="1">
      <alignment horizontal="center"/>
    </xf>
    <xf numFmtId="1" fontId="9" fillId="9" borderId="0" xfId="0" applyNumberFormat="1" applyFont="1" applyFill="1"/>
    <xf numFmtId="1" fontId="8" fillId="10" borderId="0" xfId="0" applyNumberFormat="1" applyFont="1" applyFill="1" applyAlignment="1">
      <alignment horizontal="center"/>
    </xf>
    <xf numFmtId="1" fontId="8" fillId="9" borderId="0" xfId="0" applyNumberFormat="1" applyFont="1" applyFill="1" applyAlignment="1">
      <alignment horizontal="center"/>
    </xf>
    <xf numFmtId="0" fontId="0" fillId="22" borderId="0" xfId="0" applyFill="1"/>
    <xf numFmtId="0" fontId="9" fillId="9" borderId="0" xfId="0" applyFont="1" applyFill="1" applyAlignment="1">
      <alignment horizontal="center"/>
    </xf>
    <xf numFmtId="0" fontId="1" fillId="4" borderId="0" xfId="0" applyFont="1" applyFill="1" applyAlignment="1">
      <alignment horizontal="center"/>
    </xf>
    <xf numFmtId="0" fontId="1" fillId="2" borderId="0" xfId="0" applyFont="1" applyFill="1" applyAlignment="1">
      <alignment horizontal="center"/>
    </xf>
    <xf numFmtId="0" fontId="1" fillId="16" borderId="0" xfId="0" applyFont="1" applyFill="1" applyAlignment="1">
      <alignment horizontal="center"/>
    </xf>
    <xf numFmtId="0" fontId="0" fillId="7" borderId="0" xfId="0" applyFill="1" applyAlignment="1">
      <alignment horizontal="center" vertical="center" wrapText="1"/>
    </xf>
    <xf numFmtId="0" fontId="0" fillId="0" borderId="0" xfId="0" applyAlignment="1">
      <alignment horizontal="center" vertical="center"/>
    </xf>
    <xf numFmtId="0" fontId="0" fillId="23" borderId="0" xfId="0" applyFill="1" applyAlignment="1">
      <alignment horizontal="center" wrapText="1"/>
    </xf>
    <xf numFmtId="0" fontId="0" fillId="6" borderId="0" xfId="0" applyFill="1" applyAlignment="1">
      <alignment horizontal="center" vertical="center" wrapText="1"/>
    </xf>
    <xf numFmtId="0" fontId="0" fillId="6" borderId="0" xfId="0" applyFill="1" applyAlignment="1">
      <alignment horizontal="center" vertical="center"/>
    </xf>
    <xf numFmtId="0" fontId="0" fillId="0" borderId="0" xfId="0" applyAlignment="1">
      <alignment horizontal="center" vertical="center" wrapText="1"/>
    </xf>
  </cellXfs>
  <cellStyles count="1">
    <cellStyle name="Standard" xfId="0" builtinId="0"/>
  </cellStyles>
  <dxfs count="771">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C4FF87"/>
      <color rgb="FFFFCCCC"/>
      <color rgb="FFF2E5FF"/>
      <color rgb="FFECDED8"/>
      <color rgb="FFFFFFCC"/>
      <color rgb="FFF9DFF6"/>
      <color rgb="FFFDDBFD"/>
      <color rgb="FFCCCCFF"/>
      <color rgb="FF00FF29"/>
      <color rgb="FF56FF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person displayName="Obsivacova, Alena" id="{54D0CE6D-01D3-442C-8A0A-77CAFB6F8CF1}" userId="Obsivacova, Alena"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2-04-03T10:01:48.30" personId="{54D0CE6D-01D3-442C-8A0A-77CAFB6F8CF1}" id="{7FEB47D6-24A0-4E66-B873-4AF6974714A3}">
    <text>wie widerholungen im Wochenplan einabuen?</text>
  </threadedComment>
  <threadedComment ref="E2" dT="2022-04-04T14:47:59.42" personId="{54D0CE6D-01D3-442C-8A0A-77CAFB6F8CF1}" id="{EFA35FD8-A07A-4EDD-86FF-DAA115D719C5}">
    <text>durchschnittlich: 224LU/15WE = 15 LU/WE
70 Std Woche --&gt; 3 Std/LU</text>
  </threadedComment>
  <threadedComment ref="Q2" dT="2022-04-04T21:39:41.86" personId="{54D0CE6D-01D3-442C-8A0A-77CAFB6F8CF1}" id="{EE04F0FE-8C6F-45EA-B29E-804EB4B536CD}">
    <text>23 LU/WE</text>
  </threadedComment>
  <threadedComment ref="X2" dT="2022-04-04T21:41:54.17" personId="{54D0CE6D-01D3-442C-8A0A-77CAFB6F8CF1}" id="{CE301BC6-E825-4AC2-A175-E39084C4983F}">
    <text>24 LU/WE</text>
  </threadedComment>
  <threadedComment ref="AE2" dT="2022-04-04T21:42:49.98" personId="{54D0CE6D-01D3-442C-8A0A-77CAFB6F8CF1}" id="{E8820D83-3DB2-4F93-9AB2-5682440CF5E5}">
    <text>24 LU/WE</text>
  </threadedComment>
  <threadedComment ref="AL2" dT="2022-04-04T21:44:14.13" personId="{54D0CE6D-01D3-442C-8A0A-77CAFB6F8CF1}" id="{E7FE9138-CDE2-4B08-8B9B-B3A674EC70FA}">
    <text>24LU/WE</text>
  </threadedComment>
  <threadedComment ref="AS2" dT="2022-04-04T21:49:56.11" personId="{54D0CE6D-01D3-442C-8A0A-77CAFB6F8CF1}" id="{1DFD579F-F736-4ADB-8524-72BC7BAD2537}">
    <text>24 LU/WE</text>
  </threadedComment>
  <threadedComment ref="AZ2" dT="2022-04-04T21:50:49.16" personId="{54D0CE6D-01D3-442C-8A0A-77CAFB6F8CF1}" id="{6A93AAE4-904C-4DEE-BAC7-E508EB568E1E}">
    <text>23LU/WE</text>
  </threadedComment>
  <threadedComment ref="BG2" dT="2022-04-04T21:51:41.42" personId="{54D0CE6D-01D3-442C-8A0A-77CAFB6F8CF1}" id="{7F101BC1-B66A-45B1-AB16-D68C0425F6C5}">
    <text>23U/WE</text>
  </threadedComment>
  <threadedComment ref="BN2" dT="2022-04-04T21:56:14.57" personId="{54D0CE6D-01D3-442C-8A0A-77CAFB6F8CF1}" id="{018BB965-29B6-42CE-96B5-C47656615797}">
    <text>16 LU/WE
(ggf. nur 50% bei AcRW--&gt; 14 LU/WE)</text>
  </threadedComment>
  <threadedComment ref="BU2" dT="2022-04-04T21:58:15.98" personId="{54D0CE6D-01D3-442C-8A0A-77CAFB6F8CF1}" id="{DA45F422-9CB0-4DE5-A2D5-BF6906833646}">
    <text>17LU/WE</text>
  </threadedComment>
  <threadedComment ref="CB2" dT="2022-04-04T21:58:54.58" personId="{54D0CE6D-01D3-442C-8A0A-77CAFB6F8CF1}" id="{DE566B39-03AB-4C8C-96EC-1F5170AF7435}">
    <text>15LU/WE</text>
  </threadedComment>
  <threadedComment ref="CI2" dT="2022-04-04T21:59:32.27" personId="{54D0CE6D-01D3-442C-8A0A-77CAFB6F8CF1}" id="{8CAE31AA-124B-4320-A634-849B4B3A7F81}">
    <text>10LU/WE</text>
  </threadedComment>
  <threadedComment ref="CP2" dT="2022-04-04T21:59:55.84" personId="{54D0CE6D-01D3-442C-8A0A-77CAFB6F8CF1}" id="{CD274AC6-2AD8-482B-8E68-EFFF337D0369}">
    <text>2LU/WE</text>
  </threadedComment>
  <threadedComment ref="E4" dT="2022-04-01T13:24:21.72" personId="{54D0CE6D-01D3-442C-8A0A-77CAFB6F8CF1}" id="{7555F32B-DF73-450F-A268-03C1D6B4C378}">
    <text>Klausur 1 - Woederholung ab KW21
bis Klausur 2 -  12 WE --&gt; Wiederholung ab KW 25
Volernen !!!</text>
  </threadedComment>
  <threadedComment ref="F4" dT="2022-04-02T09:40:55.56" personId="{54D0CE6D-01D3-442C-8A0A-77CAFB6F8CF1}" id="{293F796F-173B-4807-B18F-246A8C9CE418}">
    <text>für Klausur 1
3,4=17LU/5WE --&gt;2x4LU/WE, 3x3 LW</text>
  </threadedComment>
  <threadedComment ref="L4" dT="2022-04-04T22:34:22.06" personId="{54D0CE6D-01D3-442C-8A0A-77CAFB6F8CF1}" id="{74CD51D6-6349-4597-B1AC-8535861B843F}">
    <text>9 Std/Wochen</text>
  </threadedComment>
  <threadedComment ref="F5" dT="2022-04-03T22:04:27.75" personId="{54D0CE6D-01D3-442C-8A0A-77CAFB6F8CF1}" id="{990361A5-003F-4E32-82A3-665F5775EA94}">
    <text>9LU/4WE --&gt; 2x3LU/WE;1x2LU/WE; 1x1LU/WE</text>
  </threadedComment>
  <threadedComment ref="H11" dT="2022-04-04T08:14:51.49" personId="{54D0CE6D-01D3-442C-8A0A-77CAFB6F8CF1}" id="{2495E7AA-E79C-43B8-BAA6-B6D922968BC5}">
    <text>Referat</text>
  </threadedComment>
  <threadedComment ref="E17" dT="2022-04-01T13:39:28.65" personId="{54D0CE6D-01D3-442C-8A0A-77CAFB6F8CF1}" id="{D7560089-471B-4D2F-899F-7283E0D00FFE}">
    <text>Wiederholung ab KW25</text>
  </threadedComment>
  <threadedComment ref="F17" dT="2022-04-03T21:15:37.81" personId="{54D0CE6D-01D3-442C-8A0A-77CAFB6F8CF1}" id="{1F7897FB-BF3A-4A72-8D62-E67F79B487F7}">
    <text>3,8=19LU/5WE --&gt; 4x4 LU/WE, 1x3LU/WE</text>
  </threadedComment>
  <threadedComment ref="L17" dT="2022-04-04T22:34:37.60" personId="{54D0CE6D-01D3-442C-8A0A-77CAFB6F8CF1}" id="{8F492286-2D97-4870-BA40-B413D0F2BE54}">
    <text>9 Std/Wochen</text>
  </threadedComment>
  <threadedComment ref="E33" dT="2022-04-01T13:38:07.94" personId="{54D0CE6D-01D3-442C-8A0A-77CAFB6F8CF1}" id="{8CDA9771-DE93-4E8E-BA74-D4EF3E39750F}">
    <text>Wiederholung ab KW 25</text>
  </threadedComment>
  <threadedComment ref="F33" dT="2022-04-03T21:13:50.09" personId="{54D0CE6D-01D3-442C-8A0A-77CAFB6F8CF1}" id="{3F006224-DF5A-4EFD-BAF1-7E63C070D525}">
    <text>2,4 = 12 LU/5 WE --&gt; 3 WE 3 LU, 1WE 2 LU, 1 WE 1 LU</text>
  </threadedComment>
  <threadedComment ref="L33" dT="2022-04-04T22:34:44.72" personId="{54D0CE6D-01D3-442C-8A0A-77CAFB6F8CF1}" id="{AF9EFC8D-1FE9-40D9-88D7-2302E3BFC63D}">
    <text>9 Std/Wochen</text>
  </threadedComment>
  <threadedComment ref="D44" dT="2022-04-02T09:20:16.53" personId="{54D0CE6D-01D3-442C-8A0A-77CAFB6F8CF1}" id="{3B1665EB-13EE-4033-9738-879B39192B8F}">
    <text>Fragen, ob der Finale Test alle Themen beinhaltet
- Auf 100% lernen, wenn die die Tests nach jeder Kapitel drnak kommen?</text>
  </threadedComment>
  <threadedComment ref="L44" dT="2022-04-04T22:34:51.29" personId="{54D0CE6D-01D3-442C-8A0A-77CAFB6F8CF1}" id="{290837DD-2107-406D-9D53-653EF332C30C}">
    <text>9 Std/Wochen
--&gt; werde sehr wahrscheinlich weniger brauchen</text>
  </threadedComment>
  <threadedComment ref="R45" dT="2022-04-04T21:55:35.54" personId="{54D0CE6D-01D3-442C-8A0A-77CAFB6F8CF1}" id="{D84F78DA-85CB-4208-9429-D6BDAAC07B4B}">
    <text>100% = LU</text>
  </threadedComment>
  <threadedComment ref="E54" dT="2022-04-01T13:35:00.04" personId="{54D0CE6D-01D3-442C-8A0A-77CAFB6F8CF1}" id="{CFA4B580-6A84-44AE-8BB6-F439B4A10252}">
    <text>Wiederholung ab KW24</text>
  </threadedComment>
  <threadedComment ref="F54" dT="2022-04-03T19:56:08.27" personId="{54D0CE6D-01D3-442C-8A0A-77CAFB6F8CF1}" id="{BD344A87-6AAF-489F-986F-DC19A55D45AC}">
    <text>12LU/5 WE --&gt;3 WE 3 LU, 1WE 2 LU, 1 WE 1 LU</text>
  </threadedComment>
  <threadedComment ref="L54" dT="2022-04-04T22:35:38.78" personId="{54D0CE6D-01D3-442C-8A0A-77CAFB6F8CF1}" id="{B787A4C7-2EBB-4E39-9885-CCC9A272C8CA}">
    <text>4 Std/Woche</text>
  </threadedComment>
  <threadedComment ref="D64" dT="2022-04-02T12:52:56.26" personId="{54D0CE6D-01D3-442C-8A0A-77CAFB6F8CF1}" id="{F39E0A12-2444-42E0-8AFA-6B7CFC330DDF}">
    <text>ab KW25 Wiederholung</text>
  </threadedComment>
  <threadedComment ref="F64" dT="2022-04-03T19:37:54.44" personId="{54D0CE6D-01D3-442C-8A0A-77CAFB6F8CF1}" id="{CE06575E-E90B-46BE-A875-B6F015313EA0}">
    <text>5/2 --&gt; 5 LU pro 2 Wochen --&gt;1. Woche 3 LU , 2. Woche 2 LU</text>
  </threadedComment>
  <threadedComment ref="L64" dT="2022-04-04T22:35:55.80" personId="{54D0CE6D-01D3-442C-8A0A-77CAFB6F8CF1}" id="{936583E4-1272-4EC7-AFEC-02B8625E4601}">
    <text>4 Std/Woche</text>
  </threadedComment>
  <threadedComment ref="E76" dT="2022-04-01T13:25:21.25" personId="{54D0CE6D-01D3-442C-8A0A-77CAFB6F8CF1}" id="{26397CD8-3C9A-482F-90A1-1BD8142DD60E}">
    <text>Wiederholen ab KW23</text>
  </threadedComment>
  <threadedComment ref="F76" dT="2022-04-03T21:20:00.65" personId="{54D0CE6D-01D3-442C-8A0A-77CAFB6F8CF1}" id="{CD7BBB03-9034-4B8B-A94B-B7F487716707}">
    <text>2,6=13LU/5WE--&gt;3x3LU/WE, 2x2LU/WE</text>
  </threadedComment>
  <threadedComment ref="L76" dT="2022-04-04T22:36:08.17" personId="{54D0CE6D-01D3-442C-8A0A-77CAFB6F8CF1}" id="{1A396CC2-BF0D-42D0-9013-C5198828EF1A}">
    <text>9Std/Woche</text>
  </threadedComment>
  <threadedComment ref="E86" dT="2022-04-02T07:49:39.44" personId="{54D0CE6D-01D3-442C-8A0A-77CAFB6F8CF1}" id="{618D3591-2349-4D7D-AF57-926E1B645D76}">
    <text>wie soll ich Levelups verteilen, wenn man eine HH schreiben muss?
1-4 --&gt;1 LU = 50% 
5 --&gt; 2 LU = 75%
6 --&gt; 2 LU = 75%
7-10 --&gt; 3 LU = 100%
in Äbhängigkeit von ECTS? Gleichmäßig verteilen?</text>
  </threadedComment>
  <threadedComment ref="L86" dT="2022-04-04T22:36:31.23" personId="{54D0CE6D-01D3-442C-8A0A-77CAFB6F8CF1}" id="{CD9F50B4-2AF9-43E8-B9B0-F319C0A4F27C}">
    <text>9 Std/Woche --&gt; brauche nicht so viel</text>
  </threadedComment>
  <threadedComment ref="H94" dT="2022-04-01T11:19:35.00" personId="{54D0CE6D-01D3-442C-8A0A-77CAFB6F8CF1}" id="{1B403450-AEF5-4C2A-A373-6CBD7951B3D6}">
    <text>Klausur GVWL lernen</text>
  </threadedComment>
  <threadedComment ref="BO95" dT="2022-04-04T22:07:00.79" personId="{54D0CE6D-01D3-442C-8A0A-77CAFB6F8CF1}" id="{2863C8C6-5DCF-48EB-8142-72B5E8DC60D7}">
    <text>ggf. nur 50% --&gt; 14 LU/WE</text>
  </threadedComment>
</ThreadedComments>
</file>

<file path=xl/threadedComments/threadedComment2.xml><?xml version="1.0" encoding="utf-8"?>
<ThreadedComments xmlns="http://schemas.microsoft.com/office/spreadsheetml/2018/threadedcomments" xmlns:x="http://schemas.openxmlformats.org/spreadsheetml/2006/main">
  <threadedComment ref="C18" dT="2022-04-05T10:38:38.33" personId="{54D0CE6D-01D3-442C-8A0A-77CAFB6F8CF1}" id="{20BC3B5A-FE62-4DB0-B258-781C8DB35352}">
    <text>war bis 11:30</text>
  </threadedComment>
  <threadedComment ref="B25" dT="2022-04-03T22:30:36.76" personId="{54D0CE6D-01D3-442C-8A0A-77CAFB6F8CF1}" id="{1823EA6F-876C-4051-945A-29B3692BEDF2}">
    <text>Call mi Herrn Meyer zw. 15 und 16</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10" zoomScale="85" zoomScaleNormal="85" workbookViewId="0">
      <selection activeCell="B25" sqref="B25"/>
    </sheetView>
  </sheetViews>
  <sheetFormatPr baseColWidth="10" defaultColWidth="10.58203125" defaultRowHeight="15.5"/>
  <cols>
    <col min="2" max="2" width="161.08203125" customWidth="1"/>
    <col min="3" max="3" width="10.83203125" style="2"/>
  </cols>
  <sheetData>
    <row r="4" spans="2:2" ht="21">
      <c r="B4" s="4" t="s">
        <v>14</v>
      </c>
    </row>
    <row r="5" spans="2:2">
      <c r="B5" s="1"/>
    </row>
    <row r="6" spans="2:2">
      <c r="B6" s="3" t="s">
        <v>12</v>
      </c>
    </row>
    <row r="7" spans="2:2" ht="46.5">
      <c r="B7" s="1" t="s">
        <v>41</v>
      </c>
    </row>
    <row r="9" spans="2:2">
      <c r="B9" s="3" t="s">
        <v>13</v>
      </c>
    </row>
    <row r="10" spans="2:2" ht="62">
      <c r="B10" s="1" t="s">
        <v>42</v>
      </c>
    </row>
    <row r="12" spans="2:2">
      <c r="B12" s="3" t="s">
        <v>15</v>
      </c>
    </row>
    <row r="13" spans="2:2" ht="124">
      <c r="B13" s="1" t="s">
        <v>43</v>
      </c>
    </row>
    <row r="15" spans="2:2">
      <c r="B15" s="3" t="s">
        <v>16</v>
      </c>
    </row>
    <row r="16" spans="2:2" ht="108.5">
      <c r="B16" s="1" t="s">
        <v>44</v>
      </c>
    </row>
    <row r="17" spans="2:2">
      <c r="B17" s="1"/>
    </row>
    <row r="18" spans="2:2">
      <c r="B18" s="3" t="s">
        <v>29</v>
      </c>
    </row>
    <row r="19" spans="2:2" ht="139.5">
      <c r="B19" s="1" t="s">
        <v>45</v>
      </c>
    </row>
    <row r="21" spans="2:2">
      <c r="B21" s="3" t="s">
        <v>17</v>
      </c>
    </row>
    <row r="22" spans="2:2" ht="108.5">
      <c r="B22" s="1" t="s">
        <v>46</v>
      </c>
    </row>
    <row r="24" spans="2:2">
      <c r="B24" s="3" t="s">
        <v>18</v>
      </c>
    </row>
    <row r="25" spans="2:2" ht="124">
      <c r="B25" s="1" t="s">
        <v>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W97"/>
  <sheetViews>
    <sheetView topLeftCell="A64" zoomScale="55" zoomScaleNormal="55" zoomScaleSheetLayoutView="50" workbookViewId="0">
      <selection activeCell="L54" sqref="L54"/>
    </sheetView>
  </sheetViews>
  <sheetFormatPr baseColWidth="10" defaultColWidth="8.83203125" defaultRowHeight="15.5" outlineLevelRow="1"/>
  <cols>
    <col min="3" max="3" width="19.58203125" customWidth="1"/>
    <col min="4" max="4" width="18.33203125" customWidth="1"/>
    <col min="5" max="5" width="8.75" customWidth="1"/>
    <col min="6" max="6" width="10.25" customWidth="1"/>
    <col min="7" max="7" width="4.83203125" bestFit="1" customWidth="1"/>
    <col min="8" max="8" width="47.58203125" customWidth="1"/>
    <col min="9" max="9" width="15.5" customWidth="1"/>
    <col min="10" max="10" width="8.83203125" customWidth="1"/>
    <col min="11" max="11" width="2.5" customWidth="1"/>
    <col min="13" max="13" width="12.4140625" bestFit="1" customWidth="1"/>
    <col min="14" max="14" width="14.83203125" bestFit="1" customWidth="1"/>
    <col min="15" max="15" width="12.6640625" bestFit="1" customWidth="1"/>
    <col min="16" max="16" width="2.5" customWidth="1"/>
    <col min="18" max="18" width="12.4140625" bestFit="1" customWidth="1"/>
    <col min="19" max="19" width="6.25" customWidth="1"/>
    <col min="20" max="20" width="14.83203125" bestFit="1" customWidth="1"/>
    <col min="21" max="21" width="6" customWidth="1"/>
    <col min="22" max="22" width="12.6640625" bestFit="1" customWidth="1"/>
    <col min="23" max="23" width="2.5" customWidth="1"/>
    <col min="25" max="25" width="12.4140625" bestFit="1" customWidth="1"/>
    <col min="26" max="26" width="6.25" customWidth="1"/>
    <col min="27" max="27" width="14.83203125" bestFit="1" customWidth="1"/>
    <col min="28" max="28" width="6" customWidth="1"/>
    <col min="29" max="29" width="12.6640625" bestFit="1" customWidth="1"/>
    <col min="30" max="30" width="2.5" customWidth="1"/>
    <col min="32" max="32" width="12.4140625" bestFit="1" customWidth="1"/>
    <col min="33" max="33" width="6.25" customWidth="1"/>
    <col min="34" max="34" width="14.83203125" bestFit="1" customWidth="1"/>
    <col min="35" max="35" width="6" customWidth="1"/>
    <col min="36" max="36" width="12.6640625" bestFit="1" customWidth="1"/>
    <col min="37" max="37" width="2.5" customWidth="1"/>
    <col min="39" max="39" width="12.4140625" bestFit="1" customWidth="1"/>
    <col min="40" max="40" width="6.25" customWidth="1"/>
    <col min="41" max="41" width="14.83203125" bestFit="1" customWidth="1"/>
    <col min="42" max="42" width="6" customWidth="1"/>
    <col min="43" max="43" width="12.6640625" bestFit="1" customWidth="1"/>
    <col min="44" max="44" width="2.5" customWidth="1"/>
    <col min="46" max="46" width="12.4140625" bestFit="1" customWidth="1"/>
    <col min="47" max="47" width="6.25" customWidth="1"/>
    <col min="48" max="48" width="14.83203125" bestFit="1" customWidth="1"/>
    <col min="49" max="49" width="6" customWidth="1"/>
    <col min="50" max="50" width="12.6640625" bestFit="1" customWidth="1"/>
    <col min="51" max="51" width="2.5" customWidth="1"/>
    <col min="53" max="53" width="12.4140625" bestFit="1" customWidth="1"/>
    <col min="54" max="54" width="6.25" customWidth="1"/>
    <col min="55" max="55" width="14.83203125" bestFit="1" customWidth="1"/>
    <col min="56" max="56" width="6" customWidth="1"/>
    <col min="57" max="57" width="12.6640625" bestFit="1" customWidth="1"/>
    <col min="58" max="58" width="2.5" customWidth="1"/>
    <col min="60" max="60" width="12.4140625" bestFit="1" customWidth="1"/>
    <col min="61" max="61" width="6.25" customWidth="1"/>
    <col min="62" max="62" width="14.83203125" bestFit="1" customWidth="1"/>
    <col min="63" max="63" width="6" customWidth="1"/>
    <col min="64" max="64" width="12.6640625" bestFit="1" customWidth="1"/>
    <col min="65" max="65" width="2.5" customWidth="1"/>
    <col min="67" max="67" width="12.4140625" bestFit="1" customWidth="1"/>
    <col min="68" max="68" width="6.25" customWidth="1"/>
    <col min="69" max="69" width="14.83203125" bestFit="1" customWidth="1"/>
    <col min="70" max="70" width="6" customWidth="1"/>
    <col min="71" max="71" width="12.6640625" bestFit="1" customWidth="1"/>
    <col min="72" max="72" width="2.5" customWidth="1"/>
    <col min="74" max="74" width="12.4140625" bestFit="1" customWidth="1"/>
    <col min="75" max="75" width="6.25" customWidth="1"/>
    <col min="76" max="76" width="14.83203125" bestFit="1" customWidth="1"/>
    <col min="77" max="77" width="6" customWidth="1"/>
    <col min="78" max="78" width="12.6640625" bestFit="1" customWidth="1"/>
    <col min="79" max="79" width="2.5" customWidth="1"/>
    <col min="81" max="81" width="12.4140625" bestFit="1" customWidth="1"/>
    <col min="82" max="82" width="6.25" customWidth="1"/>
    <col min="83" max="83" width="14.83203125" bestFit="1" customWidth="1"/>
    <col min="84" max="84" width="6" customWidth="1"/>
    <col min="85" max="85" width="12.6640625" bestFit="1" customWidth="1"/>
    <col min="86" max="86" width="2.5" customWidth="1"/>
    <col min="88" max="88" width="12.4140625" bestFit="1" customWidth="1"/>
    <col min="89" max="89" width="6.25" customWidth="1"/>
    <col min="90" max="90" width="14.83203125" bestFit="1" customWidth="1"/>
    <col min="91" max="91" width="6" customWidth="1"/>
    <col min="92" max="92" width="12.6640625" bestFit="1" customWidth="1"/>
    <col min="93" max="93" width="2.5" customWidth="1"/>
    <col min="95" max="95" width="12.4140625" bestFit="1" customWidth="1"/>
    <col min="96" max="96" width="6.25" customWidth="1"/>
    <col min="97" max="97" width="14.83203125" bestFit="1" customWidth="1"/>
    <col min="98" max="98" width="6" customWidth="1"/>
    <col min="99" max="99" width="12.6640625" bestFit="1" customWidth="1"/>
    <col min="100" max="100" width="2.5" customWidth="1"/>
    <col min="102" max="102" width="12.4140625" bestFit="1" customWidth="1"/>
    <col min="103" max="103" width="6.25" customWidth="1"/>
    <col min="104" max="104" width="14.83203125" bestFit="1" customWidth="1"/>
    <col min="105" max="105" width="6" customWidth="1"/>
    <col min="106" max="106" width="12.6640625" bestFit="1" customWidth="1"/>
    <col min="107" max="107" width="2.5" customWidth="1"/>
    <col min="109" max="109" width="12.4140625" bestFit="1" customWidth="1"/>
    <col min="110" max="110" width="6.25" customWidth="1"/>
    <col min="111" max="111" width="14.83203125" bestFit="1" customWidth="1"/>
    <col min="112" max="112" width="6" customWidth="1"/>
    <col min="113" max="113" width="12.6640625" bestFit="1" customWidth="1"/>
    <col min="114" max="114" width="2.5" customWidth="1"/>
    <col min="116" max="116" width="12.4140625" bestFit="1" customWidth="1"/>
    <col min="117" max="117" width="6.25" customWidth="1"/>
    <col min="118" max="118" width="14.83203125" bestFit="1" customWidth="1"/>
    <col min="119" max="119" width="6" customWidth="1"/>
    <col min="120" max="120" width="12.6640625" bestFit="1" customWidth="1"/>
    <col min="121" max="121" width="2.5" customWidth="1"/>
    <col min="123" max="123" width="12.4140625" bestFit="1" customWidth="1"/>
    <col min="124" max="124" width="6.25" customWidth="1"/>
    <col min="125" max="125" width="14.83203125" bestFit="1" customWidth="1"/>
    <col min="126" max="126" width="6" customWidth="1"/>
    <col min="127" max="127" width="12.6640625" bestFit="1" customWidth="1"/>
    <col min="128" max="128" width="2.5" customWidth="1"/>
  </cols>
  <sheetData>
    <row r="1" spans="2:127" ht="33.5">
      <c r="B1" s="5" t="s">
        <v>137</v>
      </c>
      <c r="D1" s="5"/>
      <c r="I1" s="14" t="s">
        <v>28</v>
      </c>
      <c r="J1" s="14" t="s">
        <v>28</v>
      </c>
      <c r="L1" s="14" t="s">
        <v>28</v>
      </c>
      <c r="M1" s="14" t="s">
        <v>28</v>
      </c>
      <c r="N1" s="14" t="s">
        <v>28</v>
      </c>
    </row>
    <row r="2" spans="2:127">
      <c r="E2" s="95">
        <f>SUM(E4,E5,E6,E7,E17,E33,E44,E54,E64,E76,E86)</f>
        <v>224</v>
      </c>
      <c r="F2" s="103"/>
      <c r="L2" s="141" t="s">
        <v>22</v>
      </c>
      <c r="M2" s="141"/>
      <c r="N2" s="141"/>
      <c r="O2" s="141"/>
      <c r="Q2" s="141" t="s">
        <v>159</v>
      </c>
      <c r="R2" s="141"/>
      <c r="S2" s="141"/>
      <c r="T2" s="141"/>
      <c r="U2" s="141"/>
      <c r="V2" s="141"/>
      <c r="X2" s="141" t="s">
        <v>160</v>
      </c>
      <c r="Y2" s="141"/>
      <c r="Z2" s="141"/>
      <c r="AA2" s="141"/>
      <c r="AB2" s="141"/>
      <c r="AC2" s="141"/>
      <c r="AE2" s="141" t="s">
        <v>161</v>
      </c>
      <c r="AF2" s="141"/>
      <c r="AG2" s="141"/>
      <c r="AH2" s="141"/>
      <c r="AI2" s="141"/>
      <c r="AJ2" s="141"/>
      <c r="AL2" s="141" t="s">
        <v>162</v>
      </c>
      <c r="AM2" s="141"/>
      <c r="AN2" s="141"/>
      <c r="AO2" s="141"/>
      <c r="AP2" s="141"/>
      <c r="AQ2" s="141"/>
      <c r="AS2" s="141" t="s">
        <v>163</v>
      </c>
      <c r="AT2" s="141"/>
      <c r="AU2" s="141"/>
      <c r="AV2" s="141"/>
      <c r="AW2" s="141"/>
      <c r="AX2" s="141"/>
      <c r="AZ2" s="141" t="s">
        <v>164</v>
      </c>
      <c r="BA2" s="141"/>
      <c r="BB2" s="141"/>
      <c r="BC2" s="141"/>
      <c r="BD2" s="141"/>
      <c r="BE2" s="141"/>
      <c r="BG2" s="141" t="s">
        <v>165</v>
      </c>
      <c r="BH2" s="141"/>
      <c r="BI2" s="141"/>
      <c r="BJ2" s="141"/>
      <c r="BK2" s="141"/>
      <c r="BL2" s="141"/>
      <c r="BN2" s="141" t="s">
        <v>166</v>
      </c>
      <c r="BO2" s="141"/>
      <c r="BP2" s="141"/>
      <c r="BQ2" s="141"/>
      <c r="BR2" s="141"/>
      <c r="BS2" s="141"/>
      <c r="BU2" s="141" t="s">
        <v>167</v>
      </c>
      <c r="BV2" s="141"/>
      <c r="BW2" s="141"/>
      <c r="BX2" s="141"/>
      <c r="BY2" s="141"/>
      <c r="BZ2" s="141"/>
      <c r="CB2" s="141" t="s">
        <v>168</v>
      </c>
      <c r="CC2" s="141"/>
      <c r="CD2" s="141"/>
      <c r="CE2" s="141"/>
      <c r="CF2" s="141"/>
      <c r="CG2" s="141"/>
      <c r="CI2" s="141" t="s">
        <v>169</v>
      </c>
      <c r="CJ2" s="141"/>
      <c r="CK2" s="141"/>
      <c r="CL2" s="141"/>
      <c r="CM2" s="141"/>
      <c r="CN2" s="141"/>
      <c r="CP2" s="141" t="s">
        <v>170</v>
      </c>
      <c r="CQ2" s="141"/>
      <c r="CR2" s="141"/>
      <c r="CS2" s="141"/>
      <c r="CT2" s="141"/>
      <c r="CU2" s="141"/>
      <c r="CW2" s="142" t="s">
        <v>171</v>
      </c>
      <c r="CX2" s="142"/>
      <c r="CY2" s="142"/>
      <c r="CZ2" s="142"/>
      <c r="DA2" s="142"/>
      <c r="DB2" s="142"/>
      <c r="DD2" s="140" t="s">
        <v>172</v>
      </c>
      <c r="DE2" s="140"/>
      <c r="DF2" s="140"/>
      <c r="DG2" s="140"/>
      <c r="DH2" s="140"/>
      <c r="DI2" s="140"/>
      <c r="DK2" s="140" t="s">
        <v>173</v>
      </c>
      <c r="DL2" s="140"/>
      <c r="DM2" s="140"/>
      <c r="DN2" s="140"/>
      <c r="DO2" s="140"/>
      <c r="DP2" s="140"/>
      <c r="DR2" s="140" t="s">
        <v>174</v>
      </c>
      <c r="DS2" s="140"/>
      <c r="DT2" s="140"/>
      <c r="DU2" s="140"/>
      <c r="DV2" s="140"/>
      <c r="DW2" s="140"/>
    </row>
    <row r="3" spans="2:127">
      <c r="B3" s="6" t="s">
        <v>21</v>
      </c>
      <c r="C3" s="6" t="s">
        <v>0</v>
      </c>
      <c r="D3" s="6" t="s">
        <v>19</v>
      </c>
      <c r="E3" s="102" t="s">
        <v>143</v>
      </c>
      <c r="F3" s="102" t="s">
        <v>156</v>
      </c>
      <c r="G3" s="7" t="s">
        <v>25</v>
      </c>
      <c r="H3" s="6" t="s">
        <v>24</v>
      </c>
      <c r="I3" s="18" t="s">
        <v>26</v>
      </c>
      <c r="J3" s="18" t="s">
        <v>142</v>
      </c>
      <c r="L3" s="7" t="s">
        <v>10</v>
      </c>
      <c r="M3" s="7" t="s">
        <v>1</v>
      </c>
      <c r="N3" s="7" t="s">
        <v>2</v>
      </c>
      <c r="O3" s="7" t="s">
        <v>11</v>
      </c>
      <c r="Q3" s="6" t="s">
        <v>10</v>
      </c>
      <c r="R3" s="6" t="s">
        <v>1</v>
      </c>
      <c r="S3" s="6" t="s">
        <v>27</v>
      </c>
      <c r="T3" s="6" t="s">
        <v>2</v>
      </c>
      <c r="U3" s="6" t="s">
        <v>27</v>
      </c>
      <c r="V3" s="6" t="s">
        <v>11</v>
      </c>
      <c r="X3" s="6" t="s">
        <v>10</v>
      </c>
      <c r="Y3" s="6" t="s">
        <v>1</v>
      </c>
      <c r="Z3" s="6" t="s">
        <v>27</v>
      </c>
      <c r="AA3" s="6" t="s">
        <v>2</v>
      </c>
      <c r="AB3" s="6" t="s">
        <v>27</v>
      </c>
      <c r="AC3" s="6" t="s">
        <v>11</v>
      </c>
      <c r="AE3" s="6" t="s">
        <v>10</v>
      </c>
      <c r="AF3" s="6" t="s">
        <v>1</v>
      </c>
      <c r="AG3" s="6" t="s">
        <v>27</v>
      </c>
      <c r="AH3" s="6" t="s">
        <v>2</v>
      </c>
      <c r="AI3" s="6" t="s">
        <v>27</v>
      </c>
      <c r="AJ3" s="6" t="s">
        <v>11</v>
      </c>
      <c r="AL3" s="6" t="s">
        <v>10</v>
      </c>
      <c r="AM3" s="6" t="s">
        <v>1</v>
      </c>
      <c r="AN3" s="6" t="s">
        <v>27</v>
      </c>
      <c r="AO3" s="6" t="s">
        <v>2</v>
      </c>
      <c r="AP3" s="6" t="s">
        <v>27</v>
      </c>
      <c r="AQ3" s="6" t="s">
        <v>11</v>
      </c>
      <c r="AS3" s="6" t="s">
        <v>10</v>
      </c>
      <c r="AT3" s="6" t="s">
        <v>1</v>
      </c>
      <c r="AU3" s="6" t="s">
        <v>27</v>
      </c>
      <c r="AV3" s="6" t="s">
        <v>2</v>
      </c>
      <c r="AW3" s="6" t="s">
        <v>27</v>
      </c>
      <c r="AX3" s="6" t="s">
        <v>11</v>
      </c>
      <c r="AZ3" s="6" t="s">
        <v>10</v>
      </c>
      <c r="BA3" s="6" t="s">
        <v>1</v>
      </c>
      <c r="BB3" s="6" t="s">
        <v>27</v>
      </c>
      <c r="BC3" s="6" t="s">
        <v>2</v>
      </c>
      <c r="BD3" s="6" t="s">
        <v>27</v>
      </c>
      <c r="BE3" s="6" t="s">
        <v>11</v>
      </c>
      <c r="BG3" s="6" t="s">
        <v>10</v>
      </c>
      <c r="BH3" s="6" t="s">
        <v>1</v>
      </c>
      <c r="BI3" s="6" t="s">
        <v>27</v>
      </c>
      <c r="BJ3" s="6" t="s">
        <v>2</v>
      </c>
      <c r="BK3" s="6" t="s">
        <v>27</v>
      </c>
      <c r="BL3" s="6" t="s">
        <v>11</v>
      </c>
      <c r="BN3" s="6" t="s">
        <v>10</v>
      </c>
      <c r="BO3" s="6" t="s">
        <v>1</v>
      </c>
      <c r="BP3" s="6" t="s">
        <v>27</v>
      </c>
      <c r="BQ3" s="6" t="s">
        <v>2</v>
      </c>
      <c r="BR3" s="6" t="s">
        <v>27</v>
      </c>
      <c r="BS3" s="6" t="s">
        <v>11</v>
      </c>
      <c r="BU3" s="6" t="s">
        <v>10</v>
      </c>
      <c r="BV3" s="6" t="s">
        <v>1</v>
      </c>
      <c r="BW3" s="6" t="s">
        <v>27</v>
      </c>
      <c r="BX3" s="6" t="s">
        <v>2</v>
      </c>
      <c r="BY3" s="6" t="s">
        <v>27</v>
      </c>
      <c r="BZ3" s="6" t="s">
        <v>11</v>
      </c>
      <c r="CB3" s="6" t="s">
        <v>10</v>
      </c>
      <c r="CC3" s="6" t="s">
        <v>1</v>
      </c>
      <c r="CD3" s="6" t="s">
        <v>27</v>
      </c>
      <c r="CE3" s="6" t="s">
        <v>2</v>
      </c>
      <c r="CF3" s="6" t="s">
        <v>27</v>
      </c>
      <c r="CG3" s="6" t="s">
        <v>11</v>
      </c>
      <c r="CI3" s="6" t="s">
        <v>10</v>
      </c>
      <c r="CJ3" s="6" t="s">
        <v>1</v>
      </c>
      <c r="CK3" s="6" t="s">
        <v>27</v>
      </c>
      <c r="CL3" s="6" t="s">
        <v>2</v>
      </c>
      <c r="CM3" s="6" t="s">
        <v>27</v>
      </c>
      <c r="CN3" s="6" t="s">
        <v>11</v>
      </c>
      <c r="CP3" s="6" t="s">
        <v>10</v>
      </c>
      <c r="CQ3" s="6" t="s">
        <v>1</v>
      </c>
      <c r="CR3" s="6" t="s">
        <v>27</v>
      </c>
      <c r="CS3" s="6" t="s">
        <v>2</v>
      </c>
      <c r="CT3" s="6" t="s">
        <v>27</v>
      </c>
      <c r="CU3" s="6" t="s">
        <v>11</v>
      </c>
      <c r="CW3" s="6" t="s">
        <v>10</v>
      </c>
      <c r="CX3" s="6" t="s">
        <v>1</v>
      </c>
      <c r="CY3" s="6" t="s">
        <v>27</v>
      </c>
      <c r="CZ3" s="6" t="s">
        <v>2</v>
      </c>
      <c r="DA3" s="6" t="s">
        <v>27</v>
      </c>
      <c r="DB3" s="6" t="s">
        <v>11</v>
      </c>
      <c r="DD3" s="6" t="s">
        <v>10</v>
      </c>
      <c r="DE3" s="6" t="s">
        <v>1</v>
      </c>
      <c r="DF3" s="6" t="s">
        <v>27</v>
      </c>
      <c r="DG3" s="6" t="s">
        <v>2</v>
      </c>
      <c r="DH3" s="6" t="s">
        <v>27</v>
      </c>
      <c r="DI3" s="6" t="s">
        <v>11</v>
      </c>
      <c r="DK3" s="6" t="s">
        <v>10</v>
      </c>
      <c r="DL3" s="6" t="s">
        <v>1</v>
      </c>
      <c r="DM3" s="6" t="s">
        <v>27</v>
      </c>
      <c r="DN3" s="6" t="s">
        <v>2</v>
      </c>
      <c r="DO3" s="6" t="s">
        <v>27</v>
      </c>
      <c r="DP3" s="6" t="s">
        <v>11</v>
      </c>
      <c r="DR3" s="6" t="s">
        <v>10</v>
      </c>
      <c r="DS3" s="6" t="s">
        <v>1</v>
      </c>
      <c r="DT3" s="6" t="s">
        <v>27</v>
      </c>
      <c r="DU3" s="6" t="s">
        <v>2</v>
      </c>
      <c r="DV3" s="6" t="s">
        <v>27</v>
      </c>
      <c r="DW3" s="6" t="s">
        <v>11</v>
      </c>
    </row>
    <row r="4" spans="2:127" s="19" customFormat="1" ht="16" thickBot="1">
      <c r="B4" s="19" t="s">
        <v>22</v>
      </c>
      <c r="C4" s="19" t="s">
        <v>48</v>
      </c>
      <c r="D4" s="19" t="s">
        <v>176</v>
      </c>
      <c r="E4" s="20">
        <v>24</v>
      </c>
      <c r="F4" s="20">
        <f>24/7</f>
        <v>3.4285714285714284</v>
      </c>
      <c r="G4" s="20">
        <v>5</v>
      </c>
      <c r="I4" s="80">
        <f>+SUM(I5:I12)</f>
        <v>1</v>
      </c>
      <c r="J4" s="80">
        <f>+SUM(J5:J15)</f>
        <v>1.0000000000000002</v>
      </c>
      <c r="L4" s="81">
        <f>+SUM(L5:L15)</f>
        <v>96</v>
      </c>
      <c r="M4" s="82">
        <f>+SUMPRODUCT(J5:J15,M5:M15)</f>
        <v>0</v>
      </c>
      <c r="N4" s="82">
        <f>+SUMPRODUCT(J5:J15,N5:N15)</f>
        <v>0</v>
      </c>
      <c r="O4" s="20"/>
      <c r="Q4" s="81">
        <f>+SUM(Q5:Q15)</f>
        <v>9</v>
      </c>
      <c r="X4" s="81">
        <f>+SUM(X5:X15)</f>
        <v>10</v>
      </c>
      <c r="AE4" s="81">
        <f>+SUM(AE5:AE15)</f>
        <v>10</v>
      </c>
      <c r="AL4" s="81">
        <f>+SUM(AL5:AL15)</f>
        <v>10</v>
      </c>
      <c r="AQ4" s="83"/>
      <c r="AS4" s="81">
        <f>+SUM(AS5:AS15)</f>
        <v>9</v>
      </c>
      <c r="AZ4" s="81">
        <f>+SUM(AZ5:AZ15)</f>
        <v>9</v>
      </c>
      <c r="BG4" s="81">
        <f>+SUM(BG5:BG15)</f>
        <v>9</v>
      </c>
      <c r="BL4" s="84" t="s">
        <v>125</v>
      </c>
      <c r="BN4" s="85">
        <f>+SUM(BN5:BN15)</f>
        <v>3</v>
      </c>
      <c r="BO4" s="86"/>
      <c r="BP4" s="86"/>
      <c r="BQ4" s="86"/>
      <c r="BR4" s="86"/>
      <c r="BS4" s="86"/>
      <c r="BT4" s="86"/>
      <c r="BU4" s="85">
        <f>+SUM(BU5:BU15)</f>
        <v>9</v>
      </c>
      <c r="BV4" s="86"/>
      <c r="BW4" s="86"/>
      <c r="BX4" s="86"/>
      <c r="BY4" s="86"/>
      <c r="BZ4" s="87" t="s">
        <v>119</v>
      </c>
      <c r="CB4" s="81">
        <f>+SUM(CB5:CB15)</f>
        <v>9</v>
      </c>
      <c r="CI4" s="81">
        <f>+SUM(CI5:CI15)</f>
        <v>9</v>
      </c>
      <c r="CP4" s="85">
        <f>+SUM(CP5:CP15)</f>
        <v>0</v>
      </c>
      <c r="CQ4" s="86"/>
      <c r="CR4" s="86"/>
      <c r="CS4" s="86"/>
      <c r="CT4" s="86"/>
      <c r="CU4" s="86"/>
      <c r="CV4" s="86"/>
      <c r="CW4" s="85">
        <f>+SUM(CW5:CW15)</f>
        <v>0</v>
      </c>
      <c r="CX4" s="86"/>
      <c r="CY4" s="86"/>
      <c r="CZ4" s="86"/>
      <c r="DA4" s="86"/>
      <c r="DB4" s="87" t="s">
        <v>120</v>
      </c>
      <c r="DD4" s="127">
        <f>+SUM(DD5:DD15)</f>
        <v>0</v>
      </c>
      <c r="DE4" s="128"/>
      <c r="DF4" s="128"/>
      <c r="DG4" s="128"/>
      <c r="DH4" s="128"/>
      <c r="DI4" s="128"/>
      <c r="DJ4" s="128"/>
      <c r="DK4" s="127">
        <f>+SUM(DK5:DK15)</f>
        <v>0</v>
      </c>
      <c r="DL4" s="128"/>
      <c r="DM4" s="128"/>
      <c r="DN4" s="128"/>
      <c r="DO4" s="128"/>
      <c r="DP4" s="128"/>
      <c r="DQ4" s="128"/>
      <c r="DR4" s="127">
        <f>+SUM(DR5:DR15)</f>
        <v>0</v>
      </c>
      <c r="DS4" s="128"/>
      <c r="DT4" s="128"/>
      <c r="DU4" s="128"/>
      <c r="DV4" s="128"/>
      <c r="DW4" s="128"/>
    </row>
    <row r="5" spans="2:127" outlineLevel="1">
      <c r="B5" s="19" t="s">
        <v>23</v>
      </c>
      <c r="C5" s="19" t="s">
        <v>48</v>
      </c>
      <c r="D5" s="19" t="s">
        <v>177</v>
      </c>
      <c r="E5" s="20">
        <v>9</v>
      </c>
      <c r="F5" s="106">
        <f xml:space="preserve"> 9/4</f>
        <v>2.25</v>
      </c>
      <c r="G5" s="20"/>
      <c r="H5" s="51" t="s">
        <v>56</v>
      </c>
      <c r="I5" s="62">
        <v>0.125</v>
      </c>
      <c r="J5" s="52">
        <v>9.0909090909090912E-2</v>
      </c>
      <c r="L5" s="11">
        <f t="shared" ref="L5:L15" si="0">+SUMIF($Q$3:$ZV$3,L$3,$Q5:$ZV5)</f>
        <v>8.5</v>
      </c>
      <c r="M5" s="13" cm="1">
        <f t="array" ref="M5">MAX(IF($Q$3:$ED$3=$M$3,Q5:ED5))</f>
        <v>0</v>
      </c>
      <c r="N5" s="13" cm="1">
        <f t="array" ref="N5">MAX(IF($Q$3:$ED$3=$M$3,Q5:ED5))</f>
        <v>0</v>
      </c>
      <c r="O5" s="11"/>
      <c r="Q5">
        <v>3</v>
      </c>
      <c r="R5" s="116"/>
      <c r="S5" s="117">
        <v>0.5</v>
      </c>
      <c r="T5" s="117"/>
      <c r="U5" s="118">
        <v>0.5</v>
      </c>
      <c r="Y5" s="105"/>
      <c r="Z5" s="105">
        <v>0.5</v>
      </c>
      <c r="AA5" s="105"/>
      <c r="AB5" s="105">
        <v>0.5</v>
      </c>
      <c r="AE5">
        <v>2.5</v>
      </c>
      <c r="AF5" s="116"/>
      <c r="AG5" s="117">
        <v>0.8</v>
      </c>
      <c r="AH5" s="117"/>
      <c r="AI5" s="118">
        <v>0.8</v>
      </c>
      <c r="AM5" s="12"/>
      <c r="AN5" s="12">
        <v>0.8</v>
      </c>
      <c r="AO5" s="12"/>
      <c r="AP5" s="12">
        <v>0.8</v>
      </c>
      <c r="AS5">
        <v>3</v>
      </c>
      <c r="AT5" s="116"/>
      <c r="AU5" s="117">
        <v>1</v>
      </c>
      <c r="AV5" s="117"/>
      <c r="AW5" s="118">
        <v>1</v>
      </c>
      <c r="BA5" s="12"/>
      <c r="BB5" s="12">
        <v>1</v>
      </c>
      <c r="BC5" s="12"/>
      <c r="BD5" s="12">
        <v>1</v>
      </c>
      <c r="BH5" s="12"/>
      <c r="BI5" s="12">
        <v>1</v>
      </c>
      <c r="BJ5" s="12"/>
      <c r="BK5" s="12">
        <v>1</v>
      </c>
      <c r="BO5" s="108"/>
      <c r="BP5" s="109">
        <v>1</v>
      </c>
      <c r="BQ5" s="109"/>
      <c r="BR5" s="110">
        <v>1</v>
      </c>
      <c r="BV5" s="108"/>
      <c r="BW5" s="109">
        <v>1</v>
      </c>
      <c r="BX5" s="109"/>
      <c r="BY5" s="110">
        <v>1</v>
      </c>
      <c r="CC5" s="108"/>
      <c r="CD5" s="109">
        <v>1</v>
      </c>
      <c r="CE5" s="109"/>
      <c r="CF5" s="110">
        <v>1</v>
      </c>
      <c r="CJ5" s="108"/>
      <c r="CK5" s="109">
        <v>1</v>
      </c>
      <c r="CL5" s="109"/>
      <c r="CM5" s="110">
        <v>1</v>
      </c>
      <c r="CQ5" s="12"/>
      <c r="CR5" s="12"/>
      <c r="CS5" s="12"/>
      <c r="CT5" s="12"/>
      <c r="CX5" s="12"/>
      <c r="CY5" s="12"/>
      <c r="CZ5" s="12"/>
      <c r="DA5" s="12"/>
      <c r="DE5" s="12"/>
      <c r="DF5" s="12"/>
      <c r="DG5" s="12"/>
      <c r="DH5" s="12"/>
      <c r="DL5" s="12"/>
      <c r="DM5" s="12"/>
      <c r="DN5" s="12"/>
      <c r="DO5" s="12"/>
      <c r="DS5" s="12"/>
      <c r="DT5" s="12"/>
      <c r="DU5" s="12"/>
      <c r="DV5" s="12"/>
    </row>
    <row r="6" spans="2:127" ht="16" outlineLevel="1" thickBot="1">
      <c r="B6" s="19" t="s">
        <v>23</v>
      </c>
      <c r="C6" s="19" t="s">
        <v>48</v>
      </c>
      <c r="D6" s="19" t="s">
        <v>178</v>
      </c>
      <c r="E6" s="20"/>
      <c r="F6" s="20"/>
      <c r="G6" s="20"/>
      <c r="H6" s="53" t="s">
        <v>57</v>
      </c>
      <c r="I6" s="61">
        <v>0.125</v>
      </c>
      <c r="J6" s="54">
        <v>9.0909090909090912E-2</v>
      </c>
      <c r="L6" s="11">
        <f t="shared" si="0"/>
        <v>8.5</v>
      </c>
      <c r="M6" s="13" cm="1">
        <f t="array" ref="M6">MAX(IF($Q$3:$ED$3=$M$3,Q6:ED6))</f>
        <v>0</v>
      </c>
      <c r="N6" s="13" cm="1">
        <f t="array" ref="N6">MAX(IF($Q$3:$ED$3=$M$3,Q6:ED6))</f>
        <v>0</v>
      </c>
      <c r="O6" s="11"/>
      <c r="Q6">
        <v>3</v>
      </c>
      <c r="R6" s="119"/>
      <c r="S6" s="105">
        <v>0.5</v>
      </c>
      <c r="T6" s="105"/>
      <c r="U6" s="120">
        <v>0.5</v>
      </c>
      <c r="Y6" s="105"/>
      <c r="Z6" s="105">
        <v>0.5</v>
      </c>
      <c r="AA6" s="105"/>
      <c r="AB6" s="105">
        <v>0.5</v>
      </c>
      <c r="AE6">
        <v>2.5</v>
      </c>
      <c r="AF6" s="119"/>
      <c r="AG6" s="105">
        <v>0.8</v>
      </c>
      <c r="AH6" s="105"/>
      <c r="AI6" s="120">
        <v>0.8</v>
      </c>
      <c r="AM6" s="12"/>
      <c r="AN6" s="12">
        <v>0.8</v>
      </c>
      <c r="AO6" s="12"/>
      <c r="AP6" s="12">
        <v>0.8</v>
      </c>
      <c r="AS6">
        <v>3</v>
      </c>
      <c r="AT6" s="121"/>
      <c r="AU6" s="122">
        <v>1</v>
      </c>
      <c r="AV6" s="122"/>
      <c r="AW6" s="123">
        <v>1</v>
      </c>
      <c r="BA6" s="12"/>
      <c r="BB6" s="12">
        <v>1</v>
      </c>
      <c r="BC6" s="12"/>
      <c r="BD6" s="12">
        <v>1</v>
      </c>
      <c r="BH6" s="12"/>
      <c r="BI6" s="12">
        <v>1</v>
      </c>
      <c r="BJ6" s="12"/>
      <c r="BK6" s="12">
        <v>1</v>
      </c>
      <c r="BO6" s="111"/>
      <c r="BP6" s="105">
        <v>1</v>
      </c>
      <c r="BQ6" s="105"/>
      <c r="BR6" s="112">
        <v>1</v>
      </c>
      <c r="BV6" s="111"/>
      <c r="BW6" s="105">
        <v>1</v>
      </c>
      <c r="BX6" s="105"/>
      <c r="BY6" s="112">
        <v>1</v>
      </c>
      <c r="CC6" s="111"/>
      <c r="CD6" s="105">
        <v>1</v>
      </c>
      <c r="CE6" s="105"/>
      <c r="CF6" s="112">
        <v>1</v>
      </c>
      <c r="CJ6" s="111"/>
      <c r="CK6" s="105">
        <v>1</v>
      </c>
      <c r="CL6" s="105"/>
      <c r="CM6" s="112">
        <v>1</v>
      </c>
      <c r="CQ6" s="12"/>
      <c r="CR6" s="12"/>
      <c r="CS6" s="12"/>
      <c r="CT6" s="12"/>
      <c r="CX6" s="12"/>
      <c r="CY6" s="12"/>
      <c r="CZ6" s="12"/>
      <c r="DA6" s="12"/>
      <c r="DE6" s="12"/>
      <c r="DF6" s="12"/>
      <c r="DG6" s="12"/>
      <c r="DH6" s="12"/>
      <c r="DL6" s="12"/>
      <c r="DM6" s="12"/>
      <c r="DN6" s="12"/>
      <c r="DO6" s="12"/>
      <c r="DS6" s="12"/>
      <c r="DT6" s="12"/>
      <c r="DU6" s="12"/>
      <c r="DV6" s="12"/>
    </row>
    <row r="7" spans="2:127" ht="16" outlineLevel="1" thickBot="1">
      <c r="B7" s="19" t="s">
        <v>23</v>
      </c>
      <c r="C7" s="19" t="s">
        <v>48</v>
      </c>
      <c r="D7" s="19" t="s">
        <v>179</v>
      </c>
      <c r="E7" s="20"/>
      <c r="F7" s="20"/>
      <c r="G7" s="20"/>
      <c r="H7" s="55" t="s">
        <v>58</v>
      </c>
      <c r="I7" s="61">
        <v>0.125</v>
      </c>
      <c r="J7" s="54">
        <v>9.0909090909090912E-2</v>
      </c>
      <c r="L7" s="11">
        <f t="shared" si="0"/>
        <v>8.5</v>
      </c>
      <c r="M7" s="13" cm="1">
        <f t="array" ref="M7">MAX(IF($Q$3:$ED$3=$M$3,Q7:ED7))</f>
        <v>0</v>
      </c>
      <c r="N7" s="13" cm="1">
        <f t="array" ref="N7">MAX(IF($Q$3:$ED$3=$M$3,Q7:ED7))</f>
        <v>0</v>
      </c>
      <c r="O7" s="11"/>
      <c r="Q7">
        <v>3</v>
      </c>
      <c r="R7" s="121"/>
      <c r="S7" s="122">
        <v>0.5</v>
      </c>
      <c r="T7" s="122"/>
      <c r="U7" s="123">
        <v>0.5</v>
      </c>
      <c r="Y7" s="105"/>
      <c r="Z7" s="105">
        <v>0.5</v>
      </c>
      <c r="AA7" s="105"/>
      <c r="AB7" s="105">
        <v>0.5</v>
      </c>
      <c r="AE7">
        <v>2.5</v>
      </c>
      <c r="AF7" s="121"/>
      <c r="AG7" s="122">
        <v>0.8</v>
      </c>
      <c r="AH7" s="122"/>
      <c r="AI7" s="123">
        <v>0.8</v>
      </c>
      <c r="AM7" s="12"/>
      <c r="AN7" s="12">
        <v>0.8</v>
      </c>
      <c r="AO7" s="12"/>
      <c r="AP7" s="12">
        <v>0.8</v>
      </c>
      <c r="AT7" s="12"/>
      <c r="AU7" s="12">
        <v>0.8</v>
      </c>
      <c r="AV7" s="12"/>
      <c r="AW7" s="12">
        <v>0.8</v>
      </c>
      <c r="AZ7">
        <v>3</v>
      </c>
      <c r="BA7" s="116"/>
      <c r="BB7" s="117">
        <v>1</v>
      </c>
      <c r="BC7" s="117"/>
      <c r="BD7" s="118">
        <v>1</v>
      </c>
      <c r="BH7" s="12"/>
      <c r="BI7" s="12">
        <v>1</v>
      </c>
      <c r="BJ7" s="12"/>
      <c r="BK7" s="12">
        <v>1</v>
      </c>
      <c r="BO7" s="111"/>
      <c r="BP7" s="105">
        <v>1</v>
      </c>
      <c r="BQ7" s="105"/>
      <c r="BR7" s="112">
        <v>1</v>
      </c>
      <c r="BV7" s="111"/>
      <c r="BW7" s="105">
        <v>1</v>
      </c>
      <c r="BX7" s="105"/>
      <c r="BY7" s="112">
        <v>1</v>
      </c>
      <c r="CC7" s="111"/>
      <c r="CD7" s="105">
        <v>1</v>
      </c>
      <c r="CE7" s="105"/>
      <c r="CF7" s="112">
        <v>1</v>
      </c>
      <c r="CJ7" s="111"/>
      <c r="CK7" s="105">
        <v>1</v>
      </c>
      <c r="CL7" s="105"/>
      <c r="CM7" s="112">
        <v>1</v>
      </c>
      <c r="CQ7" s="12"/>
      <c r="CR7" s="12"/>
      <c r="CS7" s="12"/>
      <c r="CT7" s="12"/>
      <c r="CX7" s="12"/>
      <c r="CY7" s="12"/>
      <c r="CZ7" s="12"/>
      <c r="DA7" s="12"/>
      <c r="DE7" s="12"/>
      <c r="DF7" s="12"/>
      <c r="DG7" s="12"/>
      <c r="DH7" s="12"/>
      <c r="DL7" s="12"/>
      <c r="DM7" s="12"/>
      <c r="DN7" s="12"/>
      <c r="DO7" s="12"/>
      <c r="DS7" s="12"/>
      <c r="DT7" s="12"/>
      <c r="DU7" s="12"/>
      <c r="DV7" s="12"/>
    </row>
    <row r="8" spans="2:127" outlineLevel="1">
      <c r="B8" s="19" t="s">
        <v>23</v>
      </c>
      <c r="C8" s="19" t="s">
        <v>48</v>
      </c>
      <c r="D8" s="19"/>
      <c r="E8" s="20"/>
      <c r="F8" s="20"/>
      <c r="G8" s="20"/>
      <c r="H8" s="53" t="s">
        <v>59</v>
      </c>
      <c r="I8" s="61">
        <v>0.125</v>
      </c>
      <c r="J8" s="54">
        <v>9.0909090909090912E-2</v>
      </c>
      <c r="L8" s="11">
        <f t="shared" si="0"/>
        <v>8</v>
      </c>
      <c r="M8" s="13" cm="1">
        <f t="array" ref="M8">MAX(IF($Q$3:$ED$3=$M$3,Q8:ED8))</f>
        <v>0</v>
      </c>
      <c r="N8" s="13" cm="1">
        <f t="array" ref="N8">MAX(IF($Q$3:$ED$3=$M$3,Q8:ED8))</f>
        <v>0</v>
      </c>
      <c r="O8" s="11"/>
      <c r="R8" s="12"/>
      <c r="S8" s="12"/>
      <c r="T8" s="12"/>
      <c r="U8" s="12"/>
      <c r="X8">
        <v>2.5</v>
      </c>
      <c r="Y8" s="116"/>
      <c r="Z8" s="117">
        <v>0.5</v>
      </c>
      <c r="AA8" s="117"/>
      <c r="AB8" s="118">
        <v>0.5</v>
      </c>
      <c r="AF8" s="12"/>
      <c r="AG8" s="12">
        <v>0.5</v>
      </c>
      <c r="AH8" s="12"/>
      <c r="AI8" s="12">
        <v>0.5</v>
      </c>
      <c r="AL8">
        <v>2.5</v>
      </c>
      <c r="AM8" s="116"/>
      <c r="AN8" s="117">
        <v>0.8</v>
      </c>
      <c r="AO8" s="117"/>
      <c r="AP8" s="118">
        <v>0.8</v>
      </c>
      <c r="AT8" s="12"/>
      <c r="AU8" s="12">
        <v>0.8</v>
      </c>
      <c r="AV8" s="12"/>
      <c r="AW8" s="12">
        <v>0.8</v>
      </c>
      <c r="AZ8">
        <v>3</v>
      </c>
      <c r="BA8" s="119"/>
      <c r="BB8" s="105">
        <v>1</v>
      </c>
      <c r="BC8" s="105"/>
      <c r="BD8" s="120">
        <v>1</v>
      </c>
      <c r="BH8" s="12"/>
      <c r="BI8" s="12">
        <v>1</v>
      </c>
      <c r="BJ8" s="12"/>
      <c r="BK8" s="12">
        <v>1</v>
      </c>
      <c r="BO8" s="111"/>
      <c r="BP8" s="105">
        <v>1</v>
      </c>
      <c r="BQ8" s="105"/>
      <c r="BR8" s="112">
        <v>1</v>
      </c>
      <c r="BV8" s="111"/>
      <c r="BW8" s="105">
        <v>1</v>
      </c>
      <c r="BX8" s="105"/>
      <c r="BY8" s="112">
        <v>1</v>
      </c>
      <c r="CC8" s="111"/>
      <c r="CD8" s="105">
        <v>1</v>
      </c>
      <c r="CE8" s="105"/>
      <c r="CF8" s="112">
        <v>1</v>
      </c>
      <c r="CJ8" s="111"/>
      <c r="CK8" s="105">
        <v>1</v>
      </c>
      <c r="CL8" s="105"/>
      <c r="CM8" s="112">
        <v>1</v>
      </c>
      <c r="CQ8" s="12"/>
      <c r="CR8" s="12"/>
      <c r="CS8" s="12"/>
      <c r="CT8" s="12"/>
      <c r="CX8" s="12"/>
      <c r="CY8" s="12"/>
      <c r="CZ8" s="12"/>
      <c r="DA8" s="12"/>
      <c r="DE8" s="12"/>
      <c r="DF8" s="12"/>
      <c r="DG8" s="12"/>
      <c r="DH8" s="12"/>
      <c r="DL8" s="12"/>
      <c r="DM8" s="12"/>
      <c r="DN8" s="12"/>
      <c r="DO8" s="12"/>
      <c r="DS8" s="12"/>
      <c r="DT8" s="12"/>
      <c r="DU8" s="12"/>
      <c r="DV8" s="12"/>
    </row>
    <row r="9" spans="2:127" ht="16" outlineLevel="1" thickBot="1">
      <c r="B9" s="19" t="s">
        <v>23</v>
      </c>
      <c r="C9" s="19" t="s">
        <v>48</v>
      </c>
      <c r="D9" s="19"/>
      <c r="E9" s="20"/>
      <c r="F9" s="20"/>
      <c r="G9" s="20"/>
      <c r="H9" s="56" t="s">
        <v>60</v>
      </c>
      <c r="I9" s="61">
        <v>0.125</v>
      </c>
      <c r="J9" s="54">
        <v>9.0909090909090912E-2</v>
      </c>
      <c r="L9" s="11">
        <f t="shared" si="0"/>
        <v>8</v>
      </c>
      <c r="M9" s="13" cm="1">
        <f t="array" ref="M9">MAX(IF($Q$3:$ED$3=$M$3,Q9:ED9))</f>
        <v>0</v>
      </c>
      <c r="N9" s="13" cm="1">
        <f t="array" ref="N9">MAX(IF($Q$3:$ED$3=$M$3,Q9:ED9))</f>
        <v>0</v>
      </c>
      <c r="O9" s="11"/>
      <c r="R9" s="12"/>
      <c r="S9" s="12"/>
      <c r="T9" s="12"/>
      <c r="U9" s="12"/>
      <c r="X9">
        <v>2.5</v>
      </c>
      <c r="Y9" s="119"/>
      <c r="Z9" s="105">
        <v>0.5</v>
      </c>
      <c r="AA9" s="105"/>
      <c r="AB9" s="120">
        <v>0.5</v>
      </c>
      <c r="AF9" s="12"/>
      <c r="AG9" s="12">
        <v>0.5</v>
      </c>
      <c r="AH9" s="12"/>
      <c r="AI9" s="12">
        <v>0.5</v>
      </c>
      <c r="AL9">
        <v>2.5</v>
      </c>
      <c r="AM9" s="119"/>
      <c r="AN9" s="105">
        <v>0.8</v>
      </c>
      <c r="AO9" s="105"/>
      <c r="AP9" s="120">
        <v>0.8</v>
      </c>
      <c r="AT9" s="12"/>
      <c r="AU9" s="12">
        <v>0.8</v>
      </c>
      <c r="AV9" s="12"/>
      <c r="AW9" s="12">
        <v>0.8</v>
      </c>
      <c r="AZ9">
        <v>3</v>
      </c>
      <c r="BA9" s="121"/>
      <c r="BB9" s="122">
        <v>1</v>
      </c>
      <c r="BC9" s="122"/>
      <c r="BD9" s="123">
        <v>1</v>
      </c>
      <c r="BH9" s="12"/>
      <c r="BI9" s="12">
        <v>1</v>
      </c>
      <c r="BJ9" s="12"/>
      <c r="BK9" s="12">
        <v>1</v>
      </c>
      <c r="BO9" s="111"/>
      <c r="BP9" s="105">
        <v>1</v>
      </c>
      <c r="BQ9" s="105"/>
      <c r="BR9" s="112">
        <v>1</v>
      </c>
      <c r="BV9" s="111"/>
      <c r="BW9" s="105">
        <v>1</v>
      </c>
      <c r="BX9" s="105"/>
      <c r="BY9" s="112">
        <v>1</v>
      </c>
      <c r="CC9" s="111"/>
      <c r="CD9" s="105">
        <v>1</v>
      </c>
      <c r="CE9" s="105"/>
      <c r="CF9" s="112">
        <v>1</v>
      </c>
      <c r="CJ9" s="111"/>
      <c r="CK9" s="105">
        <v>1</v>
      </c>
      <c r="CL9" s="105"/>
      <c r="CM9" s="112">
        <v>1</v>
      </c>
      <c r="CQ9" s="12"/>
      <c r="CR9" s="12"/>
      <c r="CS9" s="12"/>
      <c r="CT9" s="12"/>
      <c r="CX9" s="12"/>
      <c r="CY9" s="12"/>
      <c r="CZ9" s="12"/>
      <c r="DA9" s="12"/>
      <c r="DE9" s="12"/>
      <c r="DF9" s="12"/>
      <c r="DG9" s="12"/>
      <c r="DH9" s="12"/>
      <c r="DL9" s="12"/>
      <c r="DM9" s="12"/>
      <c r="DN9" s="12"/>
      <c r="DO9" s="12"/>
      <c r="DS9" s="12"/>
      <c r="DT9" s="12"/>
      <c r="DU9" s="12"/>
      <c r="DV9" s="12"/>
    </row>
    <row r="10" spans="2:127" outlineLevel="1">
      <c r="B10" s="19" t="s">
        <v>23</v>
      </c>
      <c r="C10" s="19" t="s">
        <v>48</v>
      </c>
      <c r="D10" s="19"/>
      <c r="E10" s="20"/>
      <c r="F10" s="20"/>
      <c r="G10" s="20"/>
      <c r="H10" s="53" t="s">
        <v>61</v>
      </c>
      <c r="I10" s="61">
        <v>0.125</v>
      </c>
      <c r="J10" s="54">
        <v>9.0909090909090912E-2</v>
      </c>
      <c r="L10" s="11">
        <f t="shared" si="0"/>
        <v>8</v>
      </c>
      <c r="M10" s="13" cm="1">
        <f t="array" ref="M10">MAX(IF($Q$3:$ED$3=$M$3,Q10:ED10))</f>
        <v>0</v>
      </c>
      <c r="N10" s="13" cm="1">
        <f t="array" ref="N10">MAX(IF($Q$3:$ED$3=$M$3,Q10:ED10))</f>
        <v>0</v>
      </c>
      <c r="O10" s="11"/>
      <c r="R10" s="12"/>
      <c r="S10" s="12"/>
      <c r="T10" s="12"/>
      <c r="U10" s="12"/>
      <c r="X10">
        <v>2.5</v>
      </c>
      <c r="Y10" s="119"/>
      <c r="Z10" s="105">
        <v>0.5</v>
      </c>
      <c r="AA10" s="105"/>
      <c r="AB10" s="120">
        <v>0.5</v>
      </c>
      <c r="AF10" s="12"/>
      <c r="AG10" s="12">
        <v>0.5</v>
      </c>
      <c r="AH10" s="12"/>
      <c r="AI10" s="12">
        <v>0.5</v>
      </c>
      <c r="AL10">
        <v>2.5</v>
      </c>
      <c r="AM10" s="119"/>
      <c r="AN10" s="105">
        <v>0.8</v>
      </c>
      <c r="AO10" s="105"/>
      <c r="AP10" s="120">
        <v>0.8</v>
      </c>
      <c r="AT10" s="12"/>
      <c r="AU10" s="12">
        <v>0.8</v>
      </c>
      <c r="AV10" s="12"/>
      <c r="AW10" s="12">
        <v>0.8</v>
      </c>
      <c r="BA10" s="12"/>
      <c r="BB10" s="12">
        <v>0.8</v>
      </c>
      <c r="BC10" s="12"/>
      <c r="BD10" s="12">
        <v>0.8</v>
      </c>
      <c r="BG10">
        <v>3</v>
      </c>
      <c r="BH10" s="116"/>
      <c r="BI10" s="117">
        <v>1</v>
      </c>
      <c r="BJ10" s="117"/>
      <c r="BK10" s="118">
        <v>1</v>
      </c>
      <c r="BO10" s="111"/>
      <c r="BP10" s="105">
        <v>1</v>
      </c>
      <c r="BQ10" s="105"/>
      <c r="BR10" s="112">
        <v>1</v>
      </c>
      <c r="BV10" s="111"/>
      <c r="BW10" s="105">
        <v>1</v>
      </c>
      <c r="BX10" s="105"/>
      <c r="BY10" s="112">
        <v>1</v>
      </c>
      <c r="CC10" s="111"/>
      <c r="CD10" s="105">
        <v>1</v>
      </c>
      <c r="CE10" s="105"/>
      <c r="CF10" s="112">
        <v>1</v>
      </c>
      <c r="CJ10" s="111"/>
      <c r="CK10" s="105">
        <v>1</v>
      </c>
      <c r="CL10" s="105"/>
      <c r="CM10" s="112">
        <v>1</v>
      </c>
      <c r="CQ10" s="12"/>
      <c r="CR10" s="12"/>
      <c r="CS10" s="12"/>
      <c r="CT10" s="12"/>
      <c r="CX10" s="12"/>
      <c r="CY10" s="12"/>
      <c r="CZ10" s="12"/>
      <c r="DA10" s="12"/>
      <c r="DE10" s="12"/>
      <c r="DF10" s="12"/>
      <c r="DG10" s="12"/>
      <c r="DH10" s="12"/>
      <c r="DL10" s="12"/>
      <c r="DM10" s="12"/>
      <c r="DN10" s="12"/>
      <c r="DO10" s="12"/>
      <c r="DS10" s="12"/>
      <c r="DT10" s="12"/>
      <c r="DU10" s="12"/>
      <c r="DV10" s="12"/>
    </row>
    <row r="11" spans="2:127" ht="16" outlineLevel="1" thickBot="1">
      <c r="B11" s="19" t="s">
        <v>23</v>
      </c>
      <c r="C11" s="19" t="s">
        <v>48</v>
      </c>
      <c r="D11" s="19"/>
      <c r="E11" s="20"/>
      <c r="F11" s="20"/>
      <c r="G11" s="20"/>
      <c r="H11" s="53" t="s">
        <v>62</v>
      </c>
      <c r="I11" s="61">
        <v>0.125</v>
      </c>
      <c r="J11" s="54">
        <v>9.0909090909090912E-2</v>
      </c>
      <c r="L11" s="11">
        <f t="shared" si="0"/>
        <v>8</v>
      </c>
      <c r="M11" s="13" cm="1">
        <f t="array" ref="M11">MAX(IF($Q$3:$ED$3=$M$3,Q11:ED11))</f>
        <v>0</v>
      </c>
      <c r="N11" s="13" cm="1">
        <f t="array" ref="N11">MAX(IF($Q$3:$ED$3=$M$3,Q11:ED11))</f>
        <v>0</v>
      </c>
      <c r="O11" s="11"/>
      <c r="R11" s="12"/>
      <c r="S11" s="12"/>
      <c r="T11" s="12"/>
      <c r="U11" s="12"/>
      <c r="X11">
        <v>2.5</v>
      </c>
      <c r="Y11" s="121"/>
      <c r="Z11" s="122">
        <v>0.5</v>
      </c>
      <c r="AA11" s="122"/>
      <c r="AB11" s="123">
        <v>0.5</v>
      </c>
      <c r="AF11" s="12"/>
      <c r="AG11" s="12">
        <v>0.5</v>
      </c>
      <c r="AH11" s="12"/>
      <c r="AI11" s="12">
        <v>0.5</v>
      </c>
      <c r="AL11">
        <v>2.5</v>
      </c>
      <c r="AM11" s="121"/>
      <c r="AN11" s="122">
        <v>0.8</v>
      </c>
      <c r="AO11" s="122"/>
      <c r="AP11" s="123">
        <v>0.8</v>
      </c>
      <c r="AT11" s="12"/>
      <c r="AU11" s="12">
        <v>0.8</v>
      </c>
      <c r="AV11" s="12"/>
      <c r="AW11" s="12">
        <v>0.8</v>
      </c>
      <c r="BA11" s="12"/>
      <c r="BB11" s="12">
        <v>0.8</v>
      </c>
      <c r="BC11" s="12"/>
      <c r="BD11" s="12">
        <v>0.8</v>
      </c>
      <c r="BG11">
        <v>3</v>
      </c>
      <c r="BH11" s="119"/>
      <c r="BI11" s="105">
        <v>1</v>
      </c>
      <c r="BJ11" s="105"/>
      <c r="BK11" s="120">
        <v>1</v>
      </c>
      <c r="BO11" s="111"/>
      <c r="BP11" s="105">
        <v>1</v>
      </c>
      <c r="BQ11" s="105"/>
      <c r="BR11" s="112">
        <v>1</v>
      </c>
      <c r="BV11" s="111"/>
      <c r="BW11" s="105">
        <v>1</v>
      </c>
      <c r="BX11" s="105"/>
      <c r="BY11" s="112">
        <v>1</v>
      </c>
      <c r="CC11" s="111"/>
      <c r="CD11" s="105">
        <v>1</v>
      </c>
      <c r="CE11" s="105"/>
      <c r="CF11" s="112">
        <v>1</v>
      </c>
      <c r="CJ11" s="111"/>
      <c r="CK11" s="105">
        <v>1</v>
      </c>
      <c r="CL11" s="105"/>
      <c r="CM11" s="112">
        <v>1</v>
      </c>
      <c r="CQ11" s="12"/>
      <c r="CR11" s="12"/>
      <c r="CS11" s="12"/>
      <c r="CT11" s="12"/>
      <c r="CX11" s="12"/>
      <c r="CY11" s="12"/>
      <c r="CZ11" s="12"/>
      <c r="DA11" s="12"/>
      <c r="DE11" s="12"/>
      <c r="DF11" s="12"/>
      <c r="DG11" s="12"/>
      <c r="DH11" s="12"/>
      <c r="DL11" s="12"/>
      <c r="DM11" s="12"/>
      <c r="DN11" s="12"/>
      <c r="DO11" s="12"/>
      <c r="DS11" s="12"/>
      <c r="DT11" s="12"/>
      <c r="DU11" s="12"/>
      <c r="DV11" s="12"/>
    </row>
    <row r="12" spans="2:127" ht="16" outlineLevel="1" thickBot="1">
      <c r="B12" s="19" t="s">
        <v>23</v>
      </c>
      <c r="C12" s="19" t="s">
        <v>48</v>
      </c>
      <c r="D12" s="19"/>
      <c r="E12" s="20"/>
      <c r="F12" s="20"/>
      <c r="G12" s="20"/>
      <c r="H12" s="55" t="s">
        <v>63</v>
      </c>
      <c r="I12" s="61">
        <v>0.125</v>
      </c>
      <c r="J12" s="54">
        <v>9.0909090909090912E-2</v>
      </c>
      <c r="L12" s="11">
        <f t="shared" si="0"/>
        <v>8.5</v>
      </c>
      <c r="M12" s="13" cm="1">
        <f t="array" ref="M12">MAX(IF($Q$3:$ED$3=$M$3,Q12:ED12))</f>
        <v>0</v>
      </c>
      <c r="N12" s="13" cm="1">
        <f t="array" ref="N12">MAX(IF($Q$3:$ED$3=$M$3,Q12:ED12))</f>
        <v>0</v>
      </c>
      <c r="O12" s="11"/>
      <c r="R12" s="12"/>
      <c r="S12" s="12"/>
      <c r="T12" s="12"/>
      <c r="U12" s="12"/>
      <c r="Y12" s="105"/>
      <c r="Z12" s="105"/>
      <c r="AA12" s="105"/>
      <c r="AB12" s="105"/>
      <c r="AE12">
        <v>2.5</v>
      </c>
      <c r="AF12" s="124"/>
      <c r="AG12" s="125">
        <v>0.5</v>
      </c>
      <c r="AH12" s="125"/>
      <c r="AI12" s="126">
        <v>0.5</v>
      </c>
      <c r="AM12" s="12"/>
      <c r="AN12" s="12">
        <v>0.5</v>
      </c>
      <c r="AO12" s="12"/>
      <c r="AP12" s="12">
        <v>0.5</v>
      </c>
      <c r="AS12">
        <v>3</v>
      </c>
      <c r="AT12" s="124"/>
      <c r="AU12" s="125">
        <v>0.8</v>
      </c>
      <c r="AV12" s="125"/>
      <c r="AW12" s="126">
        <v>0.8</v>
      </c>
      <c r="BA12" s="12"/>
      <c r="BB12" s="12">
        <v>0.8</v>
      </c>
      <c r="BC12" s="12"/>
      <c r="BD12" s="12">
        <v>0.8</v>
      </c>
      <c r="BG12">
        <v>3</v>
      </c>
      <c r="BH12" s="121"/>
      <c r="BI12" s="122">
        <v>1</v>
      </c>
      <c r="BJ12" s="122"/>
      <c r="BK12" s="123">
        <v>1</v>
      </c>
      <c r="BO12" s="113"/>
      <c r="BP12" s="114">
        <v>1</v>
      </c>
      <c r="BQ12" s="114"/>
      <c r="BR12" s="115">
        <v>1</v>
      </c>
      <c r="BV12" s="111"/>
      <c r="BW12" s="105">
        <v>1</v>
      </c>
      <c r="BX12" s="105"/>
      <c r="BY12" s="112">
        <v>1</v>
      </c>
      <c r="CC12" s="111"/>
      <c r="CD12" s="105">
        <v>1</v>
      </c>
      <c r="CE12" s="105"/>
      <c r="CF12" s="112">
        <v>1</v>
      </c>
      <c r="CJ12" s="111"/>
      <c r="CK12" s="105">
        <v>1</v>
      </c>
      <c r="CL12" s="105"/>
      <c r="CM12" s="112">
        <v>1</v>
      </c>
      <c r="CQ12" s="12"/>
      <c r="CR12" s="12"/>
      <c r="CS12" s="12"/>
      <c r="CT12" s="12"/>
      <c r="CX12" s="12"/>
      <c r="CY12" s="12"/>
      <c r="CZ12" s="12"/>
      <c r="DA12" s="12"/>
      <c r="DE12" s="12"/>
      <c r="DF12" s="12"/>
      <c r="DG12" s="12"/>
      <c r="DH12" s="12"/>
      <c r="DL12" s="12"/>
      <c r="DM12" s="12"/>
      <c r="DN12" s="12"/>
      <c r="DO12" s="12"/>
      <c r="DS12" s="12"/>
      <c r="DT12" s="12"/>
      <c r="DU12" s="12"/>
      <c r="DV12" s="12"/>
    </row>
    <row r="13" spans="2:127" ht="16" outlineLevel="1" thickBot="1">
      <c r="B13" s="19" t="s">
        <v>23</v>
      </c>
      <c r="C13" s="19" t="s">
        <v>48</v>
      </c>
      <c r="D13" s="19"/>
      <c r="E13" s="20"/>
      <c r="F13" s="20"/>
      <c r="G13" s="20"/>
      <c r="H13" s="57" t="s">
        <v>64</v>
      </c>
      <c r="I13" s="58"/>
      <c r="J13" s="58">
        <v>9.0909090909090912E-2</v>
      </c>
      <c r="L13" s="11">
        <f t="shared" si="0"/>
        <v>12</v>
      </c>
      <c r="M13" s="13" cm="1">
        <f t="array" ref="M13">MAX(IF($Q$3:$ED$3=$M$3,Q13:ED13))</f>
        <v>0</v>
      </c>
      <c r="N13" s="13" cm="1">
        <f t="array" ref="N13">MAX(IF($Q$3:$ED$3=$M$3,Q13:ED13))</f>
        <v>0</v>
      </c>
      <c r="O13" s="11"/>
      <c r="R13" s="12"/>
      <c r="S13" s="12"/>
      <c r="T13" s="12"/>
      <c r="U13" s="12"/>
      <c r="Y13" s="12"/>
      <c r="Z13" s="12"/>
      <c r="AA13" s="12"/>
      <c r="AB13" s="12"/>
      <c r="AF13" s="12"/>
      <c r="AG13" s="12"/>
      <c r="AH13" s="12"/>
      <c r="AI13" s="12"/>
      <c r="AM13" s="12"/>
      <c r="AN13" s="12"/>
      <c r="AO13" s="12"/>
      <c r="AP13" s="12"/>
      <c r="AT13" s="12"/>
      <c r="AU13" s="12"/>
      <c r="AV13" s="12"/>
      <c r="AW13" s="12"/>
      <c r="BA13" s="12"/>
      <c r="BB13" s="12"/>
      <c r="BC13" s="12"/>
      <c r="BD13" s="12"/>
      <c r="BH13" s="12"/>
      <c r="BI13" s="12"/>
      <c r="BJ13" s="12"/>
      <c r="BK13" s="12"/>
      <c r="BN13">
        <v>3</v>
      </c>
      <c r="BO13" s="124"/>
      <c r="BP13" s="125">
        <v>0.5</v>
      </c>
      <c r="BQ13" s="125"/>
      <c r="BR13" s="126">
        <v>0.5</v>
      </c>
      <c r="BU13">
        <v>3</v>
      </c>
      <c r="BV13" s="116"/>
      <c r="BW13" s="117">
        <v>0.5</v>
      </c>
      <c r="BX13" s="117"/>
      <c r="BY13" s="118">
        <v>0.5</v>
      </c>
      <c r="CB13">
        <v>3</v>
      </c>
      <c r="CC13" s="116"/>
      <c r="CD13" s="117">
        <v>0.8</v>
      </c>
      <c r="CE13" s="117"/>
      <c r="CF13" s="118">
        <v>0.8</v>
      </c>
      <c r="CI13">
        <v>3</v>
      </c>
      <c r="CJ13" s="116"/>
      <c r="CK13" s="117">
        <v>1</v>
      </c>
      <c r="CL13" s="117"/>
      <c r="CM13" s="118">
        <v>1</v>
      </c>
      <c r="CQ13" s="12"/>
      <c r="CR13" s="12"/>
      <c r="CS13" s="12"/>
      <c r="CT13" s="12"/>
      <c r="CX13" s="12"/>
      <c r="CY13" s="12"/>
      <c r="CZ13" s="12"/>
      <c r="DA13" s="12"/>
      <c r="DE13" s="12"/>
      <c r="DF13" s="12"/>
      <c r="DG13" s="12"/>
      <c r="DH13" s="12"/>
      <c r="DL13" s="12"/>
      <c r="DM13" s="12"/>
      <c r="DN13" s="12"/>
      <c r="DO13" s="12"/>
      <c r="DS13" s="12"/>
      <c r="DT13" s="12"/>
      <c r="DU13" s="12"/>
      <c r="DV13" s="12"/>
    </row>
    <row r="14" spans="2:127" outlineLevel="1">
      <c r="B14" s="19" t="s">
        <v>23</v>
      </c>
      <c r="C14" s="19" t="s">
        <v>48</v>
      </c>
      <c r="D14" s="19"/>
      <c r="E14" s="20"/>
      <c r="F14" s="20"/>
      <c r="G14" s="20"/>
      <c r="H14" s="57" t="s">
        <v>65</v>
      </c>
      <c r="I14" s="58"/>
      <c r="J14" s="58">
        <v>9.0909090909090912E-2</v>
      </c>
      <c r="L14" s="11">
        <f t="shared" si="0"/>
        <v>9</v>
      </c>
      <c r="M14" s="13" cm="1">
        <f t="array" ref="M14">MAX(IF($Q$3:$ED$3=$M$3,Q14:ED14))</f>
        <v>0</v>
      </c>
      <c r="N14" s="13" cm="1">
        <f t="array" ref="N14">MAX(IF($Q$3:$ED$3=$M$3,Q14:ED14))</f>
        <v>0</v>
      </c>
      <c r="O14" s="11"/>
      <c r="R14" s="12"/>
      <c r="S14" s="12"/>
      <c r="T14" s="12"/>
      <c r="U14" s="12"/>
      <c r="Y14" s="12"/>
      <c r="Z14" s="12"/>
      <c r="AA14" s="12"/>
      <c r="AB14" s="12"/>
      <c r="AF14" s="12"/>
      <c r="AG14" s="12"/>
      <c r="AH14" s="12"/>
      <c r="AI14" s="12"/>
      <c r="AM14" s="12"/>
      <c r="AN14" s="12"/>
      <c r="AO14" s="12"/>
      <c r="AP14" s="12"/>
      <c r="AT14" s="12"/>
      <c r="AU14" s="12"/>
      <c r="AV14" s="12"/>
      <c r="AW14" s="12"/>
      <c r="BA14" s="12"/>
      <c r="BB14" s="12"/>
      <c r="BC14" s="12"/>
      <c r="BD14" s="12"/>
      <c r="BH14" s="12"/>
      <c r="BI14" s="12"/>
      <c r="BJ14" s="12"/>
      <c r="BK14" s="12"/>
      <c r="BO14" s="12"/>
      <c r="BP14" s="12"/>
      <c r="BQ14" s="12"/>
      <c r="BR14" s="12"/>
      <c r="BU14">
        <v>3</v>
      </c>
      <c r="BV14" s="119"/>
      <c r="BW14" s="105">
        <v>0.5</v>
      </c>
      <c r="BX14" s="105"/>
      <c r="BY14" s="120">
        <v>0.5</v>
      </c>
      <c r="CB14">
        <v>3</v>
      </c>
      <c r="CC14" s="119"/>
      <c r="CD14" s="105">
        <v>0.8</v>
      </c>
      <c r="CE14" s="105"/>
      <c r="CF14" s="120">
        <v>0.8</v>
      </c>
      <c r="CI14">
        <v>3</v>
      </c>
      <c r="CJ14" s="119"/>
      <c r="CK14" s="105">
        <v>1</v>
      </c>
      <c r="CL14" s="105"/>
      <c r="CM14" s="120">
        <v>1</v>
      </c>
      <c r="CQ14" s="12"/>
      <c r="CR14" s="12"/>
      <c r="CS14" s="12"/>
      <c r="CT14" s="12"/>
      <c r="CX14" s="12"/>
      <c r="CY14" s="12"/>
      <c r="CZ14" s="12"/>
      <c r="DA14" s="12"/>
      <c r="DE14" s="12"/>
      <c r="DF14" s="12"/>
      <c r="DG14" s="12"/>
      <c r="DH14" s="12"/>
      <c r="DL14" s="12"/>
      <c r="DM14" s="12"/>
      <c r="DN14" s="12"/>
      <c r="DO14" s="12"/>
      <c r="DS14" s="12"/>
      <c r="DT14" s="12"/>
      <c r="DU14" s="12"/>
      <c r="DV14" s="12"/>
    </row>
    <row r="15" spans="2:127" ht="16" outlineLevel="1" thickBot="1">
      <c r="B15" s="19" t="s">
        <v>23</v>
      </c>
      <c r="C15" s="19" t="s">
        <v>48</v>
      </c>
      <c r="D15" s="19"/>
      <c r="E15" s="20"/>
      <c r="F15" s="20"/>
      <c r="G15" s="20"/>
      <c r="H15" s="59" t="s">
        <v>66</v>
      </c>
      <c r="I15" s="60"/>
      <c r="J15" s="60">
        <v>9.0909090909090912E-2</v>
      </c>
      <c r="L15" s="11">
        <f t="shared" si="0"/>
        <v>9</v>
      </c>
      <c r="M15" s="13" cm="1">
        <f t="array" ref="M15">MAX(IF($Q$3:$ED$3=$M$3,Q15:ED15))</f>
        <v>0</v>
      </c>
      <c r="N15" s="13" cm="1">
        <f t="array" ref="N15">MAX(IF($Q$3:$ED$3=$M$3,Q15:ED15))</f>
        <v>0</v>
      </c>
      <c r="O15" s="11"/>
      <c r="R15" s="12"/>
      <c r="S15" s="12"/>
      <c r="T15" s="12"/>
      <c r="U15" s="12"/>
      <c r="Y15" s="12"/>
      <c r="Z15" s="12"/>
      <c r="AA15" s="12"/>
      <c r="AB15" s="12"/>
      <c r="AF15" s="12"/>
      <c r="AG15" s="12"/>
      <c r="AH15" s="12"/>
      <c r="AI15" s="12"/>
      <c r="AM15" s="12"/>
      <c r="AN15" s="12"/>
      <c r="AO15" s="12"/>
      <c r="AP15" s="12"/>
      <c r="AT15" s="12"/>
      <c r="AU15" s="12"/>
      <c r="AV15" s="12"/>
      <c r="AW15" s="12"/>
      <c r="BA15" s="12"/>
      <c r="BB15" s="12"/>
      <c r="BC15" s="12"/>
      <c r="BD15" s="12"/>
      <c r="BH15" s="12"/>
      <c r="BI15" s="12"/>
      <c r="BJ15" s="12"/>
      <c r="BK15" s="12"/>
      <c r="BO15" s="12"/>
      <c r="BP15" s="12"/>
      <c r="BQ15" s="12"/>
      <c r="BR15" s="12"/>
      <c r="BU15">
        <v>3</v>
      </c>
      <c r="BV15" s="121"/>
      <c r="BW15" s="122">
        <v>0.5</v>
      </c>
      <c r="BX15" s="122"/>
      <c r="BY15" s="123">
        <v>0.5</v>
      </c>
      <c r="CB15">
        <v>3</v>
      </c>
      <c r="CC15" s="121"/>
      <c r="CD15" s="122">
        <v>0.8</v>
      </c>
      <c r="CE15" s="122"/>
      <c r="CF15" s="123">
        <v>0.8</v>
      </c>
      <c r="CI15">
        <v>3</v>
      </c>
      <c r="CJ15" s="121"/>
      <c r="CK15" s="122">
        <v>1</v>
      </c>
      <c r="CL15" s="122"/>
      <c r="CM15" s="123">
        <v>1</v>
      </c>
      <c r="CQ15" s="12"/>
      <c r="CR15" s="12"/>
      <c r="CS15" s="12"/>
      <c r="CT15" s="12"/>
      <c r="CX15" s="12"/>
      <c r="CY15" s="12"/>
      <c r="CZ15" s="12"/>
      <c r="DA15" s="12"/>
      <c r="DE15" s="12"/>
      <c r="DF15" s="12"/>
      <c r="DG15" s="12"/>
      <c r="DH15" s="12"/>
      <c r="DL15" s="12"/>
      <c r="DM15" s="12"/>
      <c r="DN15" s="12"/>
      <c r="DO15" s="12"/>
      <c r="DS15" s="12"/>
      <c r="DT15" s="12"/>
      <c r="DU15" s="12"/>
      <c r="DV15" s="12"/>
    </row>
    <row r="16" spans="2:127">
      <c r="R16" s="9"/>
      <c r="Y16" s="9"/>
      <c r="AF16" s="9"/>
      <c r="AM16" s="9"/>
      <c r="AT16" s="9"/>
      <c r="BA16" s="9"/>
      <c r="BH16" s="9"/>
      <c r="BO16" s="9"/>
      <c r="BV16" s="9"/>
      <c r="CC16" s="9"/>
      <c r="CJ16" s="9"/>
      <c r="CQ16" s="9"/>
      <c r="CX16" s="9"/>
      <c r="DE16" s="9"/>
      <c r="DL16" s="9"/>
      <c r="DS16" s="9"/>
    </row>
    <row r="17" spans="2:127" s="21" customFormat="1" ht="16" thickBot="1">
      <c r="B17" s="21" t="s">
        <v>22</v>
      </c>
      <c r="C17" s="21" t="s">
        <v>49</v>
      </c>
      <c r="D17" s="21" t="s">
        <v>67</v>
      </c>
      <c r="E17" s="22">
        <v>42</v>
      </c>
      <c r="F17" s="22">
        <f>E17/11</f>
        <v>3.8181818181818183</v>
      </c>
      <c r="G17" s="22">
        <v>5</v>
      </c>
      <c r="I17" s="23">
        <f>+SUM(I18:I31)</f>
        <v>0.99999999999999989</v>
      </c>
      <c r="J17" s="23"/>
      <c r="L17" s="77">
        <f>+SUM(L18:L31)</f>
        <v>108</v>
      </c>
      <c r="M17" s="78">
        <f>+SUMPRODUCT(J18:J31,M18:M31)</f>
        <v>0</v>
      </c>
      <c r="N17" s="78">
        <f>+SUMPRODUCT(J18:J31,N18:N31)</f>
        <v>0</v>
      </c>
      <c r="O17" s="22"/>
      <c r="Q17" s="77">
        <f>+SUM(Q18:Q31)</f>
        <v>10</v>
      </c>
      <c r="X17" s="77">
        <f>+SUM(X18:X31)</f>
        <v>10</v>
      </c>
      <c r="AE17" s="77">
        <f>+SUM(AE18:AE31)</f>
        <v>10</v>
      </c>
      <c r="AL17" s="77">
        <f>+SUM(AL18:AL31)</f>
        <v>10</v>
      </c>
      <c r="AS17" s="77">
        <f>+SUM(AS18:AS31)</f>
        <v>10</v>
      </c>
      <c r="AZ17" s="77">
        <f>+SUM(AZ18:AZ31)</f>
        <v>10</v>
      </c>
      <c r="BG17" s="77">
        <f>+SUM(BG18:BG31)</f>
        <v>10</v>
      </c>
      <c r="BN17" s="77">
        <f>+SUM(BN18:BN31)</f>
        <v>9</v>
      </c>
      <c r="BU17" s="77">
        <f>+SUM(BU18:BU31)</f>
        <v>10</v>
      </c>
      <c r="CB17" s="77">
        <f>+SUM(CB18:CB31)</f>
        <v>10</v>
      </c>
      <c r="CI17" s="77">
        <f>+SUM(CI18:CI31)</f>
        <v>9</v>
      </c>
      <c r="CJ17" s="23"/>
      <c r="CK17" s="23"/>
      <c r="CL17" s="23"/>
      <c r="CM17" s="23"/>
      <c r="CP17" s="88">
        <f>+SUM(CP18:CP31)</f>
        <v>0</v>
      </c>
      <c r="CQ17" s="89"/>
      <c r="CR17" s="89"/>
      <c r="CS17" s="89"/>
      <c r="CT17" s="89"/>
      <c r="CU17" s="89"/>
      <c r="CV17" s="89"/>
      <c r="CW17" s="88">
        <f>+SUM(CW18:CW31)</f>
        <v>0</v>
      </c>
      <c r="CX17" s="89"/>
      <c r="CY17" s="89"/>
      <c r="CZ17" s="89"/>
      <c r="DA17" s="89"/>
      <c r="DB17" s="89"/>
      <c r="DC17" s="89"/>
      <c r="DD17" s="88">
        <f>+SUM(DD18:DD31)</f>
        <v>0</v>
      </c>
      <c r="DE17" s="89"/>
      <c r="DF17" s="89"/>
      <c r="DG17" s="89"/>
      <c r="DH17" s="89"/>
      <c r="DI17" s="90" t="s">
        <v>121</v>
      </c>
      <c r="DK17" s="129">
        <f>+SUM(DK18:DK31)</f>
        <v>0</v>
      </c>
      <c r="DL17" s="9"/>
      <c r="DM17" s="9"/>
      <c r="DN17" s="9"/>
      <c r="DO17" s="9"/>
      <c r="DP17" s="9"/>
      <c r="DQ17" s="9"/>
      <c r="DR17" s="129">
        <f>+SUM(DR18:DR31)</f>
        <v>0</v>
      </c>
      <c r="DS17" s="9"/>
      <c r="DT17" s="9"/>
      <c r="DU17" s="9"/>
      <c r="DV17" s="9"/>
      <c r="DW17" s="9"/>
    </row>
    <row r="18" spans="2:127" ht="15.65" customHeight="1" outlineLevel="1">
      <c r="B18" s="21" t="s">
        <v>23</v>
      </c>
      <c r="C18" s="21" t="s">
        <v>49</v>
      </c>
      <c r="D18" s="21"/>
      <c r="E18" s="22"/>
      <c r="F18" s="22"/>
      <c r="G18" s="22"/>
      <c r="H18" s="21" t="s">
        <v>71</v>
      </c>
      <c r="I18" s="23">
        <v>7.1428571428571438E-2</v>
      </c>
      <c r="J18" s="63"/>
      <c r="L18" s="11">
        <f t="shared" ref="L18:L31" si="1">+SUMIF($Q$3:$ZV$3,L$3,$Q18:$ZV18)</f>
        <v>8</v>
      </c>
      <c r="M18" s="13" cm="1">
        <f t="array" ref="M18">MAX(IF($Q$3:$ED$3=$M$3,Q18:ED18))</f>
        <v>0</v>
      </c>
      <c r="N18" s="13" cm="1">
        <f t="array" ref="N18">MAX(IF($Q$3:$ED$3=$M$3,Q18:ED18))</f>
        <v>0</v>
      </c>
      <c r="O18" s="11"/>
      <c r="Q18">
        <v>2.5</v>
      </c>
      <c r="R18" s="116"/>
      <c r="S18" s="117">
        <v>0.5</v>
      </c>
      <c r="T18" s="117"/>
      <c r="U18" s="118">
        <v>0.5</v>
      </c>
      <c r="Y18" s="12"/>
      <c r="Z18" s="12">
        <v>0.5</v>
      </c>
      <c r="AA18" s="12"/>
      <c r="AB18" s="12">
        <v>0.5</v>
      </c>
      <c r="AF18" s="12"/>
      <c r="AG18" s="12">
        <v>0.5</v>
      </c>
      <c r="AH18" s="12"/>
      <c r="AI18" s="12">
        <v>0.5</v>
      </c>
      <c r="AL18">
        <v>2.5</v>
      </c>
      <c r="AM18" s="116"/>
      <c r="AN18" s="117">
        <v>0.8</v>
      </c>
      <c r="AO18" s="117"/>
      <c r="AP18" s="118">
        <v>0.8</v>
      </c>
      <c r="AT18" s="12"/>
      <c r="AU18" s="12">
        <v>0.8</v>
      </c>
      <c r="AV18" s="12"/>
      <c r="AW18" s="12">
        <v>0.8</v>
      </c>
      <c r="BA18" s="105"/>
      <c r="BB18" s="105">
        <v>0.8</v>
      </c>
      <c r="BC18" s="105"/>
      <c r="BD18" s="105">
        <v>0.8</v>
      </c>
      <c r="BH18" s="12"/>
      <c r="BI18" s="12">
        <v>0.8</v>
      </c>
      <c r="BJ18" s="12"/>
      <c r="BK18" s="12">
        <v>0.8</v>
      </c>
      <c r="BN18">
        <v>3</v>
      </c>
      <c r="BO18" s="116"/>
      <c r="BP18" s="117">
        <v>1</v>
      </c>
      <c r="BQ18" s="117"/>
      <c r="BR18" s="118">
        <v>1</v>
      </c>
      <c r="BV18" s="12"/>
      <c r="BW18" s="12">
        <v>1</v>
      </c>
      <c r="BX18" s="12"/>
      <c r="BY18" s="12">
        <v>1</v>
      </c>
      <c r="CC18" s="12"/>
      <c r="CD18" s="12">
        <v>1</v>
      </c>
      <c r="CE18" s="12"/>
      <c r="CF18" s="12">
        <v>1</v>
      </c>
      <c r="CJ18" s="12"/>
      <c r="CK18" s="12">
        <v>1</v>
      </c>
      <c r="CL18" s="12"/>
      <c r="CM18" s="12">
        <v>1</v>
      </c>
      <c r="CQ18" s="12"/>
      <c r="CR18" s="12"/>
      <c r="CS18" s="12"/>
      <c r="CT18" s="12"/>
      <c r="CX18" s="12"/>
      <c r="CY18" s="12"/>
      <c r="CZ18" s="12"/>
      <c r="DA18" s="12"/>
      <c r="DE18" s="12"/>
      <c r="DF18" s="12"/>
      <c r="DG18" s="12"/>
      <c r="DH18" s="12"/>
      <c r="DL18" s="12"/>
      <c r="DM18" s="12"/>
      <c r="DN18" s="12"/>
      <c r="DO18" s="12"/>
      <c r="DS18" s="12"/>
      <c r="DT18" s="12"/>
      <c r="DU18" s="12"/>
      <c r="DV18" s="12"/>
    </row>
    <row r="19" spans="2:127" ht="15.65" customHeight="1" outlineLevel="1" thickBot="1">
      <c r="B19" s="21" t="s">
        <v>23</v>
      </c>
      <c r="C19" s="21" t="s">
        <v>49</v>
      </c>
      <c r="D19" s="21"/>
      <c r="E19" s="22"/>
      <c r="F19" s="22"/>
      <c r="G19" s="22"/>
      <c r="H19" s="21" t="s">
        <v>72</v>
      </c>
      <c r="I19" s="23">
        <v>7.1428571428571438E-2</v>
      </c>
      <c r="J19" s="63"/>
      <c r="L19" s="11">
        <f t="shared" si="1"/>
        <v>8</v>
      </c>
      <c r="M19" s="13" cm="1">
        <f t="array" ref="M19">MAX(IF($Q$3:$ED$3=$M$3,Q19:ED19))</f>
        <v>0</v>
      </c>
      <c r="N19" s="13" cm="1">
        <f t="array" ref="N19">MAX(IF($Q$3:$ED$3=$M$3,Q19:ED19))</f>
        <v>0</v>
      </c>
      <c r="O19" s="11"/>
      <c r="Q19">
        <v>2.5</v>
      </c>
      <c r="R19" s="119"/>
      <c r="S19" s="105">
        <v>0.5</v>
      </c>
      <c r="T19" s="105"/>
      <c r="U19" s="120">
        <v>0.5</v>
      </c>
      <c r="Y19" s="12"/>
      <c r="Z19" s="12">
        <v>0.5</v>
      </c>
      <c r="AA19" s="12"/>
      <c r="AB19" s="12">
        <v>0.5</v>
      </c>
      <c r="AF19" s="12"/>
      <c r="AG19" s="12">
        <v>0.5</v>
      </c>
      <c r="AH19" s="12"/>
      <c r="AI19" s="12">
        <v>0.5</v>
      </c>
      <c r="AL19">
        <v>2.5</v>
      </c>
      <c r="AM19" s="121"/>
      <c r="AN19" s="122">
        <v>0.8</v>
      </c>
      <c r="AO19" s="122"/>
      <c r="AP19" s="123">
        <v>0.8</v>
      </c>
      <c r="AT19" s="12"/>
      <c r="AU19" s="12">
        <v>0.8</v>
      </c>
      <c r="AV19" s="12"/>
      <c r="AW19" s="12">
        <v>0.8</v>
      </c>
      <c r="BA19" s="105"/>
      <c r="BB19" s="105">
        <v>0.8</v>
      </c>
      <c r="BC19" s="105"/>
      <c r="BD19" s="105">
        <v>0.8</v>
      </c>
      <c r="BH19" s="12"/>
      <c r="BI19" s="12">
        <v>0.8</v>
      </c>
      <c r="BJ19" s="12"/>
      <c r="BK19" s="12">
        <v>0.8</v>
      </c>
      <c r="BN19">
        <v>3</v>
      </c>
      <c r="BO19" s="119"/>
      <c r="BP19" s="105">
        <v>1</v>
      </c>
      <c r="BQ19" s="105"/>
      <c r="BR19" s="120">
        <v>1</v>
      </c>
      <c r="BV19" s="12"/>
      <c r="BW19" s="12">
        <v>1</v>
      </c>
      <c r="BX19" s="12"/>
      <c r="BY19" s="12">
        <v>1</v>
      </c>
      <c r="CC19" s="12"/>
      <c r="CD19" s="12">
        <v>1</v>
      </c>
      <c r="CE19" s="12"/>
      <c r="CF19" s="12">
        <v>1</v>
      </c>
      <c r="CJ19" s="12"/>
      <c r="CK19" s="12">
        <v>1</v>
      </c>
      <c r="CL19" s="12"/>
      <c r="CM19" s="12">
        <v>1</v>
      </c>
      <c r="CQ19" s="12"/>
      <c r="CR19" s="12"/>
      <c r="CS19" s="12"/>
      <c r="CT19" s="12"/>
      <c r="CX19" s="12"/>
      <c r="CY19" s="12"/>
      <c r="CZ19" s="12"/>
      <c r="DA19" s="12"/>
      <c r="DE19" s="12"/>
      <c r="DF19" s="12"/>
      <c r="DG19" s="12"/>
      <c r="DH19" s="12"/>
      <c r="DL19" s="12"/>
      <c r="DM19" s="12"/>
      <c r="DN19" s="12"/>
      <c r="DO19" s="12"/>
      <c r="DS19" s="12"/>
      <c r="DT19" s="12"/>
      <c r="DU19" s="12"/>
      <c r="DV19" s="12"/>
    </row>
    <row r="20" spans="2:127" ht="15.65" customHeight="1" outlineLevel="1" thickBot="1">
      <c r="B20" s="21" t="s">
        <v>23</v>
      </c>
      <c r="C20" s="21" t="s">
        <v>49</v>
      </c>
      <c r="D20" s="21"/>
      <c r="E20" s="22"/>
      <c r="F20" s="22"/>
      <c r="G20" s="22"/>
      <c r="H20" s="21" t="s">
        <v>73</v>
      </c>
      <c r="I20" s="23">
        <v>7.1428571428571438E-2</v>
      </c>
      <c r="J20" s="63"/>
      <c r="L20" s="11">
        <f t="shared" si="1"/>
        <v>8</v>
      </c>
      <c r="M20" s="13" cm="1">
        <f t="array" ref="M20">MAX(IF($Q$3:$ED$3=$M$3,Q20:ED20))</f>
        <v>0</v>
      </c>
      <c r="N20" s="13" cm="1">
        <f t="array" ref="N20">MAX(IF($Q$3:$ED$3=$M$3,Q20:ED20))</f>
        <v>0</v>
      </c>
      <c r="O20" s="11"/>
      <c r="Q20">
        <v>2.5</v>
      </c>
      <c r="R20" s="119"/>
      <c r="S20" s="105">
        <v>0.5</v>
      </c>
      <c r="T20" s="105"/>
      <c r="U20" s="120">
        <v>0.5</v>
      </c>
      <c r="Y20" s="12"/>
      <c r="Z20" s="12">
        <v>0.5</v>
      </c>
      <c r="AA20" s="12"/>
      <c r="AB20" s="12">
        <v>0.5</v>
      </c>
      <c r="AF20" s="12"/>
      <c r="AG20" s="12">
        <v>0.5</v>
      </c>
      <c r="AH20" s="12"/>
      <c r="AI20" s="12">
        <v>0.5</v>
      </c>
      <c r="AM20" s="12"/>
      <c r="AN20" s="12">
        <v>0.5</v>
      </c>
      <c r="AO20" s="12"/>
      <c r="AP20" s="12">
        <v>0.5</v>
      </c>
      <c r="AS20">
        <v>2.5</v>
      </c>
      <c r="AT20" s="116"/>
      <c r="AU20" s="117">
        <v>0.8</v>
      </c>
      <c r="AV20" s="117"/>
      <c r="AW20" s="118">
        <v>0.8</v>
      </c>
      <c r="BA20" s="105"/>
      <c r="BB20" s="105">
        <v>0.8</v>
      </c>
      <c r="BC20" s="105"/>
      <c r="BD20" s="105">
        <v>0.8</v>
      </c>
      <c r="BH20" s="12"/>
      <c r="BI20" s="12">
        <v>0.8</v>
      </c>
      <c r="BJ20" s="12"/>
      <c r="BK20" s="12">
        <v>0.8</v>
      </c>
      <c r="BN20">
        <v>3</v>
      </c>
      <c r="BO20" s="121"/>
      <c r="BP20" s="122">
        <v>1</v>
      </c>
      <c r="BQ20" s="122"/>
      <c r="BR20" s="123">
        <v>1</v>
      </c>
      <c r="BV20" s="12"/>
      <c r="BW20" s="12">
        <v>1</v>
      </c>
      <c r="BX20" s="12"/>
      <c r="BY20" s="12">
        <v>1</v>
      </c>
      <c r="CC20" s="12"/>
      <c r="CD20" s="12">
        <v>1</v>
      </c>
      <c r="CE20" s="12"/>
      <c r="CF20" s="12">
        <v>1</v>
      </c>
      <c r="CJ20" s="12"/>
      <c r="CK20" s="12">
        <v>1</v>
      </c>
      <c r="CL20" s="12"/>
      <c r="CM20" s="12">
        <v>1</v>
      </c>
      <c r="CQ20" s="12"/>
      <c r="CR20" s="12"/>
      <c r="CS20" s="12"/>
      <c r="CT20" s="12"/>
      <c r="CX20" s="12"/>
      <c r="CY20" s="12"/>
      <c r="CZ20" s="12"/>
      <c r="DA20" s="12"/>
      <c r="DE20" s="12"/>
      <c r="DF20" s="12"/>
      <c r="DG20" s="12"/>
      <c r="DH20" s="12"/>
      <c r="DL20" s="12"/>
      <c r="DM20" s="12"/>
      <c r="DN20" s="12"/>
      <c r="DO20" s="12"/>
      <c r="DS20" s="12"/>
      <c r="DT20" s="12"/>
      <c r="DU20" s="12"/>
      <c r="DV20" s="12"/>
    </row>
    <row r="21" spans="2:127" ht="15.65" customHeight="1" outlineLevel="1" thickBot="1">
      <c r="B21" s="21" t="s">
        <v>23</v>
      </c>
      <c r="C21" s="21" t="s">
        <v>49</v>
      </c>
      <c r="D21" s="21"/>
      <c r="E21" s="22"/>
      <c r="F21" s="22"/>
      <c r="G21" s="22"/>
      <c r="H21" s="21" t="s">
        <v>74</v>
      </c>
      <c r="I21" s="23">
        <v>7.1428571428571438E-2</v>
      </c>
      <c r="J21" s="63"/>
      <c r="L21" s="11">
        <f t="shared" si="1"/>
        <v>7.5</v>
      </c>
      <c r="M21" s="13" cm="1">
        <f t="array" ref="M21">MAX(IF($Q$3:$ED$3=$M$3,Q21:ED21))</f>
        <v>0</v>
      </c>
      <c r="N21" s="13" cm="1">
        <f t="array" ref="N21">MAX(IF($Q$3:$ED$3=$M$3,Q21:ED21))</f>
        <v>0</v>
      </c>
      <c r="O21" s="11"/>
      <c r="Q21">
        <v>2.5</v>
      </c>
      <c r="R21" s="121"/>
      <c r="S21" s="122">
        <v>0.5</v>
      </c>
      <c r="T21" s="122"/>
      <c r="U21" s="123">
        <v>0.5</v>
      </c>
      <c r="Y21" s="12"/>
      <c r="Z21" s="12">
        <v>0.5</v>
      </c>
      <c r="AA21" s="12"/>
      <c r="AB21" s="12">
        <v>0.5</v>
      </c>
      <c r="AF21" s="12"/>
      <c r="AG21" s="12">
        <v>0.5</v>
      </c>
      <c r="AH21" s="12"/>
      <c r="AI21" s="12">
        <v>0.5</v>
      </c>
      <c r="AM21" s="12"/>
      <c r="AN21" s="12">
        <v>0.5</v>
      </c>
      <c r="AO21" s="12"/>
      <c r="AP21" s="12">
        <v>0.5</v>
      </c>
      <c r="AS21">
        <v>2.5</v>
      </c>
      <c r="AT21" s="119"/>
      <c r="AU21" s="105">
        <v>0.8</v>
      </c>
      <c r="AV21" s="105"/>
      <c r="AW21" s="120">
        <v>0.8</v>
      </c>
      <c r="BA21" s="105"/>
      <c r="BB21" s="105">
        <v>0.8</v>
      </c>
      <c r="BC21" s="105"/>
      <c r="BD21" s="105">
        <v>0.8</v>
      </c>
      <c r="BH21" s="12"/>
      <c r="BI21" s="12">
        <v>0.8</v>
      </c>
      <c r="BJ21" s="12"/>
      <c r="BK21" s="12">
        <v>0.8</v>
      </c>
      <c r="BO21" s="12"/>
      <c r="BP21" s="12">
        <v>0.8</v>
      </c>
      <c r="BQ21" s="12"/>
      <c r="BR21" s="12">
        <v>0.8</v>
      </c>
      <c r="BU21">
        <v>2.5</v>
      </c>
      <c r="BV21" s="116"/>
      <c r="BW21" s="117">
        <v>1</v>
      </c>
      <c r="BX21" s="117"/>
      <c r="BY21" s="118">
        <v>1</v>
      </c>
      <c r="CC21" s="12"/>
      <c r="CD21" s="12">
        <v>1</v>
      </c>
      <c r="CE21" s="12"/>
      <c r="CF21" s="12">
        <v>1</v>
      </c>
      <c r="CJ21" s="12"/>
      <c r="CK21" s="12">
        <v>1</v>
      </c>
      <c r="CL21" s="12"/>
      <c r="CM21" s="12">
        <v>1</v>
      </c>
      <c r="CQ21" s="12"/>
      <c r="CR21" s="12"/>
      <c r="CS21" s="12"/>
      <c r="CT21" s="12"/>
      <c r="CX21" s="12"/>
      <c r="CY21" s="12"/>
      <c r="CZ21" s="12"/>
      <c r="DA21" s="12"/>
      <c r="DE21" s="12"/>
      <c r="DF21" s="12"/>
      <c r="DG21" s="12"/>
      <c r="DH21" s="12"/>
      <c r="DL21" s="12"/>
      <c r="DM21" s="12"/>
      <c r="DN21" s="12"/>
      <c r="DO21" s="12"/>
      <c r="DS21" s="12"/>
      <c r="DT21" s="12"/>
      <c r="DU21" s="12"/>
      <c r="DV21" s="12"/>
    </row>
    <row r="22" spans="2:127" ht="15.65" customHeight="1" outlineLevel="1">
      <c r="B22" s="21" t="s">
        <v>23</v>
      </c>
      <c r="C22" s="21" t="s">
        <v>49</v>
      </c>
      <c r="D22" s="21"/>
      <c r="E22" s="22"/>
      <c r="F22" s="22"/>
      <c r="G22" s="22"/>
      <c r="H22" s="21" t="s">
        <v>75</v>
      </c>
      <c r="I22" s="23">
        <v>7.1428571428571438E-2</v>
      </c>
      <c r="J22" s="63"/>
      <c r="L22" s="11">
        <f t="shared" si="1"/>
        <v>7.5</v>
      </c>
      <c r="M22" s="13" cm="1">
        <f t="array" ref="M22">MAX(IF($Q$3:$ED$3=$M$3,Q22:ED22))</f>
        <v>0</v>
      </c>
      <c r="N22" s="13" cm="1">
        <f t="array" ref="N22">MAX(IF($Q$3:$ED$3=$M$3,Q22:ED22))</f>
        <v>0</v>
      </c>
      <c r="O22" s="11"/>
      <c r="R22" s="12"/>
      <c r="S22" s="12"/>
      <c r="T22" s="12"/>
      <c r="U22" s="12"/>
      <c r="X22">
        <v>2.5</v>
      </c>
      <c r="Y22" s="116"/>
      <c r="Z22" s="117">
        <v>0.5</v>
      </c>
      <c r="AA22" s="117"/>
      <c r="AB22" s="118">
        <v>0.5</v>
      </c>
      <c r="AF22" s="12"/>
      <c r="AG22" s="12">
        <v>0.5</v>
      </c>
      <c r="AH22" s="12"/>
      <c r="AI22" s="12">
        <v>0.5</v>
      </c>
      <c r="AM22" s="12"/>
      <c r="AN22" s="12">
        <v>0.5</v>
      </c>
      <c r="AO22" s="12"/>
      <c r="AP22" s="12">
        <v>0.5</v>
      </c>
      <c r="AS22">
        <v>2.5</v>
      </c>
      <c r="AT22" s="119"/>
      <c r="AU22" s="105">
        <v>0.8</v>
      </c>
      <c r="AV22" s="105"/>
      <c r="AW22" s="120">
        <v>0.8</v>
      </c>
      <c r="BA22" s="105"/>
      <c r="BB22" s="105">
        <v>0.8</v>
      </c>
      <c r="BC22" s="105"/>
      <c r="BD22" s="105">
        <v>0.8</v>
      </c>
      <c r="BH22" s="12"/>
      <c r="BI22" s="12">
        <v>0.8</v>
      </c>
      <c r="BJ22" s="12"/>
      <c r="BK22" s="12">
        <v>0.8</v>
      </c>
      <c r="BO22" s="12"/>
      <c r="BP22" s="12">
        <v>0.8</v>
      </c>
      <c r="BQ22" s="12"/>
      <c r="BR22" s="12">
        <v>0.8</v>
      </c>
      <c r="BU22">
        <v>2.5</v>
      </c>
      <c r="BV22" s="119"/>
      <c r="BW22" s="105">
        <v>1</v>
      </c>
      <c r="BX22" s="105"/>
      <c r="BY22" s="120">
        <v>1</v>
      </c>
      <c r="CC22" s="12"/>
      <c r="CD22" s="12">
        <v>1</v>
      </c>
      <c r="CE22" s="12"/>
      <c r="CF22" s="12">
        <v>1</v>
      </c>
      <c r="CJ22" s="12"/>
      <c r="CK22" s="12">
        <v>1</v>
      </c>
      <c r="CL22" s="12"/>
      <c r="CM22" s="12">
        <v>1</v>
      </c>
      <c r="CQ22" s="12"/>
      <c r="CR22" s="12"/>
      <c r="CS22" s="12"/>
      <c r="CT22" s="12"/>
      <c r="CX22" s="12"/>
      <c r="CY22" s="12"/>
      <c r="CZ22" s="12"/>
      <c r="DA22" s="12"/>
      <c r="DE22" s="12"/>
      <c r="DF22" s="12"/>
      <c r="DG22" s="12"/>
      <c r="DH22" s="12"/>
      <c r="DL22" s="12"/>
      <c r="DM22" s="12"/>
      <c r="DN22" s="12"/>
      <c r="DO22" s="12"/>
      <c r="DS22" s="12"/>
      <c r="DT22" s="12"/>
      <c r="DU22" s="12"/>
      <c r="DV22" s="12"/>
    </row>
    <row r="23" spans="2:127" ht="15.65" customHeight="1" outlineLevel="1" thickBot="1">
      <c r="B23" s="21" t="s">
        <v>23</v>
      </c>
      <c r="C23" s="21" t="s">
        <v>49</v>
      </c>
      <c r="D23" s="21"/>
      <c r="E23" s="22"/>
      <c r="F23" s="22"/>
      <c r="G23" s="22"/>
      <c r="H23" s="21" t="s">
        <v>76</v>
      </c>
      <c r="I23" s="23">
        <v>7.1428571428571438E-2</v>
      </c>
      <c r="J23" s="63"/>
      <c r="L23" s="11">
        <f t="shared" si="1"/>
        <v>7.5</v>
      </c>
      <c r="M23" s="13" cm="1">
        <f t="array" ref="M23">MAX(IF($Q$3:$ED$3=$M$3,Q23:ED23))</f>
        <v>0</v>
      </c>
      <c r="N23" s="13" cm="1">
        <f t="array" ref="N23">MAX(IF($Q$3:$ED$3=$M$3,Q23:ED23))</f>
        <v>0</v>
      </c>
      <c r="O23" s="11"/>
      <c r="R23" s="12"/>
      <c r="S23" s="12"/>
      <c r="T23" s="12"/>
      <c r="U23" s="12"/>
      <c r="X23">
        <v>2.5</v>
      </c>
      <c r="Y23" s="119"/>
      <c r="Z23" s="105">
        <v>0.5</v>
      </c>
      <c r="AA23" s="105"/>
      <c r="AB23" s="120">
        <v>0.5</v>
      </c>
      <c r="AF23" s="12"/>
      <c r="AG23" s="12">
        <v>0.5</v>
      </c>
      <c r="AH23" s="12"/>
      <c r="AI23" s="12">
        <v>0.5</v>
      </c>
      <c r="AM23" s="12"/>
      <c r="AN23" s="12">
        <v>0.5</v>
      </c>
      <c r="AO23" s="12"/>
      <c r="AP23" s="12">
        <v>0.5</v>
      </c>
      <c r="AS23">
        <v>2.5</v>
      </c>
      <c r="AT23" s="121"/>
      <c r="AU23" s="122">
        <v>0.8</v>
      </c>
      <c r="AV23" s="122"/>
      <c r="AW23" s="123">
        <v>0.8</v>
      </c>
      <c r="BA23" s="105"/>
      <c r="BB23" s="105">
        <v>0.8</v>
      </c>
      <c r="BC23" s="105"/>
      <c r="BD23" s="105">
        <v>0.8</v>
      </c>
      <c r="BH23" s="12"/>
      <c r="BI23" s="12">
        <v>0.8</v>
      </c>
      <c r="BJ23" s="12"/>
      <c r="BK23" s="12">
        <v>0.8</v>
      </c>
      <c r="BO23" s="12"/>
      <c r="BP23" s="12">
        <v>0.8</v>
      </c>
      <c r="BQ23" s="12"/>
      <c r="BR23" s="12">
        <v>0.8</v>
      </c>
      <c r="BU23">
        <v>2.5</v>
      </c>
      <c r="BV23" s="119"/>
      <c r="BW23" s="105">
        <v>1</v>
      </c>
      <c r="BX23" s="105"/>
      <c r="BY23" s="120">
        <v>1</v>
      </c>
      <c r="CC23" s="12"/>
      <c r="CD23" s="12">
        <v>1</v>
      </c>
      <c r="CE23" s="12"/>
      <c r="CF23" s="12">
        <v>1</v>
      </c>
      <c r="CJ23" s="12"/>
      <c r="CK23" s="12">
        <v>1</v>
      </c>
      <c r="CL23" s="12"/>
      <c r="CM23" s="12">
        <v>1</v>
      </c>
      <c r="CQ23" s="12"/>
      <c r="CR23" s="12"/>
      <c r="CS23" s="12"/>
      <c r="CT23" s="12"/>
      <c r="CX23" s="12"/>
      <c r="CY23" s="12"/>
      <c r="CZ23" s="12"/>
      <c r="DA23" s="12"/>
      <c r="DE23" s="12"/>
      <c r="DF23" s="12"/>
      <c r="DG23" s="12"/>
      <c r="DH23" s="12"/>
      <c r="DL23" s="12"/>
      <c r="DM23" s="12"/>
      <c r="DN23" s="12"/>
      <c r="DO23" s="12"/>
      <c r="DS23" s="12"/>
      <c r="DT23" s="12"/>
      <c r="DU23" s="12"/>
      <c r="DV23" s="12"/>
    </row>
    <row r="24" spans="2:127" ht="15.65" customHeight="1" outlineLevel="1" thickBot="1">
      <c r="B24" s="21" t="s">
        <v>23</v>
      </c>
      <c r="C24" s="21" t="s">
        <v>49</v>
      </c>
      <c r="D24" s="21"/>
      <c r="E24" s="22"/>
      <c r="F24" s="22"/>
      <c r="G24" s="22"/>
      <c r="H24" s="21" t="s">
        <v>77</v>
      </c>
      <c r="I24" s="23">
        <v>7.1428571428571438E-2</v>
      </c>
      <c r="J24" s="63"/>
      <c r="L24" s="11">
        <f t="shared" si="1"/>
        <v>7.5</v>
      </c>
      <c r="M24" s="13" cm="1">
        <f t="array" ref="M24">MAX(IF($Q$3:$ED$3=$M$3,Q24:ED24))</f>
        <v>0</v>
      </c>
      <c r="N24" s="13" cm="1">
        <f t="array" ref="N24">MAX(IF($Q$3:$ED$3=$M$3,Q24:ED24))</f>
        <v>0</v>
      </c>
      <c r="O24" s="11"/>
      <c r="R24" s="12"/>
      <c r="S24" s="12"/>
      <c r="T24" s="12"/>
      <c r="U24" s="12"/>
      <c r="X24">
        <v>2.5</v>
      </c>
      <c r="Y24" s="119"/>
      <c r="Z24" s="105">
        <v>0.5</v>
      </c>
      <c r="AA24" s="105"/>
      <c r="AB24" s="120">
        <v>0.5</v>
      </c>
      <c r="AF24" s="12"/>
      <c r="AG24" s="12">
        <v>0.5</v>
      </c>
      <c r="AH24" s="12"/>
      <c r="AI24" s="12">
        <v>0.5</v>
      </c>
      <c r="AM24" s="12"/>
      <c r="AN24" s="12">
        <v>0.5</v>
      </c>
      <c r="AO24" s="12"/>
      <c r="AP24" s="12">
        <v>0.5</v>
      </c>
      <c r="AT24" s="12"/>
      <c r="AU24" s="12">
        <v>0.5</v>
      </c>
      <c r="AV24" s="12"/>
      <c r="AW24" s="12">
        <v>0.5</v>
      </c>
      <c r="AZ24">
        <v>2.5</v>
      </c>
      <c r="BA24" s="116"/>
      <c r="BB24" s="117">
        <v>0.8</v>
      </c>
      <c r="BC24" s="117"/>
      <c r="BD24" s="118">
        <v>0.8</v>
      </c>
      <c r="BH24" s="12"/>
      <c r="BI24" s="12">
        <v>0.8</v>
      </c>
      <c r="BJ24" s="12"/>
      <c r="BK24" s="12">
        <v>0.8</v>
      </c>
      <c r="BO24" s="12"/>
      <c r="BP24" s="12">
        <v>0.8</v>
      </c>
      <c r="BQ24" s="12"/>
      <c r="BR24" s="12">
        <v>0.8</v>
      </c>
      <c r="BU24">
        <v>2.5</v>
      </c>
      <c r="BV24" s="121"/>
      <c r="BW24" s="122">
        <v>1</v>
      </c>
      <c r="BX24" s="122"/>
      <c r="BY24" s="123">
        <v>1</v>
      </c>
      <c r="CC24" s="12"/>
      <c r="CD24" s="12">
        <v>1</v>
      </c>
      <c r="CE24" s="12"/>
      <c r="CF24" s="12">
        <v>1</v>
      </c>
      <c r="CJ24" s="12"/>
      <c r="CK24" s="12">
        <v>1</v>
      </c>
      <c r="CL24" s="12"/>
      <c r="CM24" s="12">
        <v>1</v>
      </c>
      <c r="CQ24" s="12"/>
      <c r="CR24" s="12"/>
      <c r="CS24" s="12"/>
      <c r="CT24" s="12"/>
      <c r="CX24" s="12"/>
      <c r="CY24" s="12"/>
      <c r="CZ24" s="12"/>
      <c r="DA24" s="12"/>
      <c r="DE24" s="12"/>
      <c r="DF24" s="12"/>
      <c r="DG24" s="12"/>
      <c r="DH24" s="12"/>
      <c r="DL24" s="12"/>
      <c r="DM24" s="12"/>
      <c r="DN24" s="12"/>
      <c r="DO24" s="12"/>
      <c r="DS24" s="12"/>
      <c r="DT24" s="12"/>
      <c r="DU24" s="12"/>
      <c r="DV24" s="12"/>
    </row>
    <row r="25" spans="2:127" ht="15.65" customHeight="1" outlineLevel="1" thickBot="1">
      <c r="B25" s="21" t="s">
        <v>23</v>
      </c>
      <c r="C25" s="21" t="s">
        <v>49</v>
      </c>
      <c r="D25" s="21"/>
      <c r="E25" s="22"/>
      <c r="F25" s="22"/>
      <c r="G25" s="22"/>
      <c r="H25" s="21" t="s">
        <v>78</v>
      </c>
      <c r="I25" s="23">
        <v>7.1428571428571438E-2</v>
      </c>
      <c r="J25" s="63"/>
      <c r="L25" s="11">
        <f t="shared" si="1"/>
        <v>7.5</v>
      </c>
      <c r="M25" s="13" cm="1">
        <f t="array" ref="M25">MAX(IF($Q$3:$ED$3=$M$3,Q25:ED25))</f>
        <v>0</v>
      </c>
      <c r="N25" s="13" cm="1">
        <f t="array" ref="N25">MAX(IF($Q$3:$ED$3=$M$3,Q25:ED25))</f>
        <v>0</v>
      </c>
      <c r="O25" s="11"/>
      <c r="R25" s="12"/>
      <c r="S25" s="12"/>
      <c r="T25" s="12"/>
      <c r="U25" s="12"/>
      <c r="X25">
        <v>2.5</v>
      </c>
      <c r="Y25" s="121"/>
      <c r="Z25" s="122">
        <v>0.5</v>
      </c>
      <c r="AA25" s="122"/>
      <c r="AB25" s="123">
        <v>0.5</v>
      </c>
      <c r="AF25" s="12"/>
      <c r="AG25" s="12">
        <v>0.5</v>
      </c>
      <c r="AH25" s="12"/>
      <c r="AI25" s="12">
        <v>0.5</v>
      </c>
      <c r="AM25" s="12"/>
      <c r="AN25" s="12">
        <v>0.5</v>
      </c>
      <c r="AO25" s="12"/>
      <c r="AP25" s="12">
        <v>0.5</v>
      </c>
      <c r="AT25" s="12"/>
      <c r="AU25" s="12">
        <v>0.5</v>
      </c>
      <c r="AV25" s="12"/>
      <c r="AW25" s="12">
        <v>0.5</v>
      </c>
      <c r="AZ25">
        <v>2.5</v>
      </c>
      <c r="BA25" s="119"/>
      <c r="BB25" s="105">
        <v>0.8</v>
      </c>
      <c r="BC25" s="105"/>
      <c r="BD25" s="120">
        <v>0.8</v>
      </c>
      <c r="BH25" s="12"/>
      <c r="BI25" s="12">
        <v>0.8</v>
      </c>
      <c r="BJ25" s="12"/>
      <c r="BK25" s="12">
        <v>0.8</v>
      </c>
      <c r="BO25" s="12"/>
      <c r="BP25" s="12">
        <v>0.8</v>
      </c>
      <c r="BQ25" s="12"/>
      <c r="BR25" s="12">
        <v>0.8</v>
      </c>
      <c r="BV25" s="12"/>
      <c r="BW25" s="12">
        <v>0.8</v>
      </c>
      <c r="BX25" s="12"/>
      <c r="BY25" s="12">
        <v>0.8</v>
      </c>
      <c r="CB25">
        <v>2.5</v>
      </c>
      <c r="CC25" s="116"/>
      <c r="CD25" s="117">
        <v>1</v>
      </c>
      <c r="CE25" s="117"/>
      <c r="CF25" s="118">
        <v>1</v>
      </c>
      <c r="CJ25" s="12"/>
      <c r="CK25" s="12">
        <v>1</v>
      </c>
      <c r="CL25" s="12"/>
      <c r="CM25" s="12">
        <v>1</v>
      </c>
      <c r="CQ25" s="12"/>
      <c r="CR25" s="12"/>
      <c r="CS25" s="12"/>
      <c r="CT25" s="12"/>
      <c r="CX25" s="12"/>
      <c r="CY25" s="12"/>
      <c r="CZ25" s="12"/>
      <c r="DA25" s="12"/>
      <c r="DE25" s="12"/>
      <c r="DF25" s="12"/>
      <c r="DG25" s="12"/>
      <c r="DH25" s="12"/>
      <c r="DL25" s="12"/>
      <c r="DM25" s="12"/>
      <c r="DN25" s="12"/>
      <c r="DO25" s="12"/>
      <c r="DS25" s="12"/>
      <c r="DT25" s="12"/>
      <c r="DU25" s="12"/>
      <c r="DV25" s="12"/>
    </row>
    <row r="26" spans="2:127" ht="15.65" customHeight="1" outlineLevel="1">
      <c r="B26" s="21" t="s">
        <v>23</v>
      </c>
      <c r="C26" s="21" t="s">
        <v>49</v>
      </c>
      <c r="D26" s="21"/>
      <c r="E26" s="22"/>
      <c r="F26" s="22"/>
      <c r="G26" s="22"/>
      <c r="H26" s="21" t="s">
        <v>79</v>
      </c>
      <c r="I26" s="23">
        <v>7.1428571428571438E-2</v>
      </c>
      <c r="J26" s="63"/>
      <c r="L26" s="11">
        <f t="shared" si="1"/>
        <v>7.5</v>
      </c>
      <c r="M26" s="13" cm="1">
        <f t="array" ref="M26">MAX(IF($Q$3:$ED$3=$M$3,Q26:ED26))</f>
        <v>0</v>
      </c>
      <c r="N26" s="13" cm="1">
        <f t="array" ref="N26">MAX(IF($Q$3:$ED$3=$M$3,Q26:ED26))</f>
        <v>0</v>
      </c>
      <c r="O26" s="11"/>
      <c r="R26" s="12"/>
      <c r="S26" s="12"/>
      <c r="T26" s="12"/>
      <c r="U26" s="12"/>
      <c r="Y26" s="12"/>
      <c r="Z26" s="12"/>
      <c r="AA26" s="12"/>
      <c r="AB26" s="12"/>
      <c r="AE26">
        <v>2.5</v>
      </c>
      <c r="AF26" s="116"/>
      <c r="AG26" s="117">
        <v>0.5</v>
      </c>
      <c r="AH26" s="117"/>
      <c r="AI26" s="118">
        <v>0.5</v>
      </c>
      <c r="AM26" s="12"/>
      <c r="AN26" s="12">
        <v>0.5</v>
      </c>
      <c r="AO26" s="12"/>
      <c r="AP26" s="12">
        <v>0.5</v>
      </c>
      <c r="AT26" s="12"/>
      <c r="AU26" s="12">
        <v>0.5</v>
      </c>
      <c r="AV26" s="12"/>
      <c r="AW26" s="12">
        <v>0.5</v>
      </c>
      <c r="AZ26">
        <v>2.5</v>
      </c>
      <c r="BA26" s="119"/>
      <c r="BB26" s="105">
        <v>0.8</v>
      </c>
      <c r="BC26" s="105"/>
      <c r="BD26" s="120">
        <v>0.8</v>
      </c>
      <c r="BH26" s="12"/>
      <c r="BI26" s="12">
        <v>0.8</v>
      </c>
      <c r="BJ26" s="12"/>
      <c r="BK26" s="12">
        <v>0.8</v>
      </c>
      <c r="BO26" s="12"/>
      <c r="BP26" s="12">
        <v>0.8</v>
      </c>
      <c r="BQ26" s="12"/>
      <c r="BR26" s="12">
        <v>0.8</v>
      </c>
      <c r="BV26" s="12"/>
      <c r="BW26" s="12">
        <v>0.8</v>
      </c>
      <c r="BX26" s="12"/>
      <c r="BY26" s="12">
        <v>0.8</v>
      </c>
      <c r="CB26">
        <v>2.5</v>
      </c>
      <c r="CC26" s="119"/>
      <c r="CD26" s="105">
        <v>1</v>
      </c>
      <c r="CE26" s="105"/>
      <c r="CF26" s="120">
        <v>1</v>
      </c>
      <c r="CJ26" s="12"/>
      <c r="CK26" s="12">
        <v>1</v>
      </c>
      <c r="CL26" s="12"/>
      <c r="CM26" s="12">
        <v>1</v>
      </c>
      <c r="CQ26" s="12"/>
      <c r="CR26" s="12"/>
      <c r="CS26" s="12"/>
      <c r="CT26" s="12"/>
      <c r="CX26" s="12"/>
      <c r="CY26" s="12"/>
      <c r="CZ26" s="12"/>
      <c r="DA26" s="12"/>
      <c r="DE26" s="12"/>
      <c r="DF26" s="12"/>
      <c r="DG26" s="12"/>
      <c r="DH26" s="12"/>
      <c r="DL26" s="12"/>
      <c r="DM26" s="12"/>
      <c r="DN26" s="12"/>
      <c r="DO26" s="12"/>
      <c r="DS26" s="12"/>
      <c r="DT26" s="12"/>
      <c r="DU26" s="12"/>
      <c r="DV26" s="12"/>
    </row>
    <row r="27" spans="2:127" ht="15.65" customHeight="1" outlineLevel="1" thickBot="1">
      <c r="B27" s="21" t="s">
        <v>23</v>
      </c>
      <c r="C27" s="21" t="s">
        <v>49</v>
      </c>
      <c r="D27" s="21"/>
      <c r="E27" s="22"/>
      <c r="F27" s="22"/>
      <c r="G27" s="22"/>
      <c r="H27" s="21" t="s">
        <v>81</v>
      </c>
      <c r="I27" s="23">
        <v>7.1428571428571438E-2</v>
      </c>
      <c r="J27" s="63"/>
      <c r="L27" s="11">
        <f t="shared" si="1"/>
        <v>7.5</v>
      </c>
      <c r="M27" s="13" cm="1">
        <f t="array" ref="M27">MAX(IF($Q$3:$ED$3=$M$3,Q27:ED27))</f>
        <v>0</v>
      </c>
      <c r="N27" s="13" cm="1">
        <f t="array" ref="N27">MAX(IF($Q$3:$ED$3=$M$3,Q27:ED27))</f>
        <v>0</v>
      </c>
      <c r="O27" s="11"/>
      <c r="R27" s="12"/>
      <c r="S27" s="12"/>
      <c r="T27" s="12"/>
      <c r="U27" s="12"/>
      <c r="Y27" s="12"/>
      <c r="Z27" s="12"/>
      <c r="AA27" s="12"/>
      <c r="AB27" s="12"/>
      <c r="AE27">
        <v>2.5</v>
      </c>
      <c r="AF27" s="119"/>
      <c r="AG27" s="105">
        <v>0.5</v>
      </c>
      <c r="AH27" s="105"/>
      <c r="AI27" s="120">
        <v>0.5</v>
      </c>
      <c r="AM27" s="12"/>
      <c r="AN27" s="12">
        <v>0.5</v>
      </c>
      <c r="AO27" s="12"/>
      <c r="AP27" s="12">
        <v>0.5</v>
      </c>
      <c r="AT27" s="12"/>
      <c r="AU27" s="12">
        <v>0.5</v>
      </c>
      <c r="AV27" s="12"/>
      <c r="AW27" s="12">
        <v>0.5</v>
      </c>
      <c r="AZ27">
        <v>2.5</v>
      </c>
      <c r="BA27" s="121"/>
      <c r="BB27" s="122">
        <v>0.8</v>
      </c>
      <c r="BC27" s="122"/>
      <c r="BD27" s="123">
        <v>0.8</v>
      </c>
      <c r="BH27" s="105"/>
      <c r="BI27" s="105">
        <v>0.8</v>
      </c>
      <c r="BJ27" s="105"/>
      <c r="BK27" s="105">
        <v>0.8</v>
      </c>
      <c r="BO27" s="12"/>
      <c r="BP27" s="12">
        <v>0.8</v>
      </c>
      <c r="BQ27" s="12"/>
      <c r="BR27" s="12">
        <v>0.8</v>
      </c>
      <c r="BV27" s="12"/>
      <c r="BW27" s="12">
        <v>0.8</v>
      </c>
      <c r="BX27" s="12"/>
      <c r="BY27" s="12">
        <v>0.8</v>
      </c>
      <c r="CB27">
        <v>2.5</v>
      </c>
      <c r="CC27" s="119"/>
      <c r="CD27" s="105">
        <v>1</v>
      </c>
      <c r="CE27" s="105"/>
      <c r="CF27" s="120">
        <v>1</v>
      </c>
      <c r="CJ27" s="12"/>
      <c r="CK27" s="12">
        <v>1</v>
      </c>
      <c r="CL27" s="12"/>
      <c r="CM27" s="12">
        <v>1</v>
      </c>
      <c r="CQ27" s="12"/>
      <c r="CR27" s="12"/>
      <c r="CS27" s="12"/>
      <c r="CT27" s="12"/>
      <c r="CX27" s="12"/>
      <c r="CY27" s="12"/>
      <c r="CZ27" s="12"/>
      <c r="DA27" s="12"/>
      <c r="DE27" s="12"/>
      <c r="DF27" s="12"/>
      <c r="DG27" s="12"/>
      <c r="DH27" s="12"/>
      <c r="DL27" s="12"/>
      <c r="DM27" s="12"/>
      <c r="DN27" s="12"/>
      <c r="DO27" s="12"/>
      <c r="DS27" s="12"/>
      <c r="DT27" s="12"/>
      <c r="DU27" s="12"/>
      <c r="DV27" s="12"/>
    </row>
    <row r="28" spans="2:127" ht="15.65" customHeight="1" outlineLevel="1" thickBot="1">
      <c r="B28" s="21" t="s">
        <v>23</v>
      </c>
      <c r="C28" s="21" t="s">
        <v>49</v>
      </c>
      <c r="D28" s="21"/>
      <c r="E28" s="22"/>
      <c r="F28" s="22"/>
      <c r="G28" s="22"/>
      <c r="H28" s="21" t="s">
        <v>80</v>
      </c>
      <c r="I28" s="23">
        <v>7.1428571428571438E-2</v>
      </c>
      <c r="J28" s="63"/>
      <c r="L28" s="11">
        <f t="shared" si="1"/>
        <v>7.5</v>
      </c>
      <c r="M28" s="13" cm="1">
        <f t="array" ref="M28">MAX(IF($Q$3:$ED$3=$M$3,Q28:ED28))</f>
        <v>0</v>
      </c>
      <c r="N28" s="13" cm="1">
        <f t="array" ref="N28">MAX(IF($Q$3:$ED$3=$M$3,Q28:ED28))</f>
        <v>0</v>
      </c>
      <c r="O28" s="11"/>
      <c r="R28" s="12"/>
      <c r="S28" s="12"/>
      <c r="T28" s="12"/>
      <c r="U28" s="12"/>
      <c r="Y28" s="12"/>
      <c r="Z28" s="12"/>
      <c r="AA28" s="12"/>
      <c r="AB28" s="12"/>
      <c r="AE28">
        <v>2.5</v>
      </c>
      <c r="AF28" s="119"/>
      <c r="AG28" s="105">
        <v>0.5</v>
      </c>
      <c r="AH28" s="105"/>
      <c r="AI28" s="120">
        <v>0.5</v>
      </c>
      <c r="AM28" s="12"/>
      <c r="AN28" s="12">
        <v>0.5</v>
      </c>
      <c r="AO28" s="12"/>
      <c r="AP28" s="12">
        <v>0.5</v>
      </c>
      <c r="AT28" s="12"/>
      <c r="AU28" s="12">
        <v>0.5</v>
      </c>
      <c r="AV28" s="12"/>
      <c r="AW28" s="12">
        <v>0.5</v>
      </c>
      <c r="BA28" s="12"/>
      <c r="BB28" s="12">
        <v>0.5</v>
      </c>
      <c r="BC28" s="12"/>
      <c r="BD28" s="12">
        <v>0.5</v>
      </c>
      <c r="BG28">
        <v>2.5</v>
      </c>
      <c r="BH28" s="116"/>
      <c r="BI28" s="117">
        <v>0.8</v>
      </c>
      <c r="BJ28" s="117"/>
      <c r="BK28" s="118">
        <v>0.8</v>
      </c>
      <c r="BO28" s="12"/>
      <c r="BP28" s="12">
        <v>0.8</v>
      </c>
      <c r="BQ28" s="12"/>
      <c r="BR28" s="12">
        <v>0.8</v>
      </c>
      <c r="BV28" s="12"/>
      <c r="BW28" s="12">
        <v>0.8</v>
      </c>
      <c r="BX28" s="12"/>
      <c r="BY28" s="12">
        <v>0.8</v>
      </c>
      <c r="CB28">
        <v>2.5</v>
      </c>
      <c r="CC28" s="121"/>
      <c r="CD28" s="122">
        <v>1</v>
      </c>
      <c r="CE28" s="122"/>
      <c r="CF28" s="123">
        <v>1</v>
      </c>
      <c r="CJ28" s="12"/>
      <c r="CK28" s="12">
        <v>1</v>
      </c>
      <c r="CL28" s="12"/>
      <c r="CM28" s="12">
        <v>1</v>
      </c>
      <c r="CQ28" s="12"/>
      <c r="CR28" s="12"/>
      <c r="CS28" s="12"/>
      <c r="CT28" s="12"/>
      <c r="CX28" s="12"/>
      <c r="CY28" s="12"/>
      <c r="CZ28" s="12"/>
      <c r="DA28" s="12"/>
      <c r="DE28" s="12"/>
      <c r="DF28" s="12"/>
      <c r="DG28" s="12"/>
      <c r="DH28" s="12"/>
      <c r="DL28" s="12"/>
      <c r="DM28" s="12"/>
      <c r="DN28" s="12"/>
      <c r="DO28" s="12"/>
      <c r="DS28" s="12"/>
      <c r="DT28" s="12"/>
      <c r="DU28" s="12"/>
      <c r="DV28" s="12"/>
    </row>
    <row r="29" spans="2:127" ht="15.65" customHeight="1" outlineLevel="1" thickBot="1">
      <c r="B29" s="21" t="s">
        <v>23</v>
      </c>
      <c r="C29" s="21" t="s">
        <v>49</v>
      </c>
      <c r="D29" s="21"/>
      <c r="E29" s="22"/>
      <c r="F29" s="22"/>
      <c r="G29" s="22"/>
      <c r="H29" s="21" t="s">
        <v>82</v>
      </c>
      <c r="I29" s="23">
        <v>7.1428571428571438E-2</v>
      </c>
      <c r="J29" s="63"/>
      <c r="L29" s="11">
        <f t="shared" si="1"/>
        <v>8</v>
      </c>
      <c r="M29" s="13" cm="1">
        <f t="array" ref="M29">MAX(IF($Q$3:$ED$3=$M$3,Q29:ED29))</f>
        <v>0</v>
      </c>
      <c r="N29" s="13" cm="1">
        <f t="array" ref="N29">MAX(IF($Q$3:$ED$3=$M$3,Q29:ED29))</f>
        <v>0</v>
      </c>
      <c r="O29" s="11"/>
      <c r="R29" s="12"/>
      <c r="S29" s="12"/>
      <c r="T29" s="12"/>
      <c r="U29" s="12"/>
      <c r="Y29" s="12"/>
      <c r="Z29" s="12"/>
      <c r="AA29" s="12"/>
      <c r="AB29" s="12"/>
      <c r="AE29">
        <v>2.5</v>
      </c>
      <c r="AF29" s="121"/>
      <c r="AG29" s="122">
        <v>0.5</v>
      </c>
      <c r="AH29" s="122"/>
      <c r="AI29" s="123">
        <v>0.5</v>
      </c>
      <c r="AM29" s="12"/>
      <c r="AN29" s="12">
        <v>0.5</v>
      </c>
      <c r="AO29" s="12"/>
      <c r="AP29" s="12">
        <v>0.5</v>
      </c>
      <c r="AT29" s="12"/>
      <c r="AU29" s="12">
        <v>0.5</v>
      </c>
      <c r="AV29" s="12"/>
      <c r="AW29" s="12">
        <v>0.5</v>
      </c>
      <c r="BA29" s="12"/>
      <c r="BB29" s="12">
        <v>0.5</v>
      </c>
      <c r="BC29" s="12"/>
      <c r="BD29" s="12">
        <v>0.5</v>
      </c>
      <c r="BG29">
        <v>2.5</v>
      </c>
      <c r="BH29" s="119"/>
      <c r="BI29" s="105">
        <v>0.8</v>
      </c>
      <c r="BJ29" s="105"/>
      <c r="BK29" s="120">
        <v>0.8</v>
      </c>
      <c r="BO29" s="12"/>
      <c r="BP29" s="12">
        <v>0.8</v>
      </c>
      <c r="BQ29" s="12"/>
      <c r="BR29" s="12">
        <v>0.8</v>
      </c>
      <c r="BV29" s="12"/>
      <c r="BW29" s="12">
        <v>0.8</v>
      </c>
      <c r="BX29" s="12"/>
      <c r="BY29" s="12">
        <v>0.8</v>
      </c>
      <c r="CC29" s="12"/>
      <c r="CD29" s="12">
        <v>0.8</v>
      </c>
      <c r="CE29" s="12"/>
      <c r="CF29" s="12">
        <v>0.8</v>
      </c>
      <c r="CI29">
        <v>3</v>
      </c>
      <c r="CJ29" s="116"/>
      <c r="CK29" s="117">
        <v>1</v>
      </c>
      <c r="CL29" s="117"/>
      <c r="CM29" s="118">
        <v>1</v>
      </c>
      <c r="CQ29" s="12"/>
      <c r="CR29" s="12"/>
      <c r="CS29" s="12"/>
      <c r="CT29" s="12"/>
      <c r="CX29" s="12"/>
      <c r="CY29" s="12"/>
      <c r="CZ29" s="12"/>
      <c r="DA29" s="12"/>
      <c r="DE29" s="12"/>
      <c r="DF29" s="12"/>
      <c r="DG29" s="12"/>
      <c r="DH29" s="12"/>
      <c r="DL29" s="12"/>
      <c r="DM29" s="12"/>
      <c r="DN29" s="12"/>
      <c r="DO29" s="12"/>
      <c r="DS29" s="12"/>
      <c r="DT29" s="12"/>
      <c r="DU29" s="12"/>
      <c r="DV29" s="12"/>
    </row>
    <row r="30" spans="2:127" ht="15.65" customHeight="1" outlineLevel="1">
      <c r="B30" s="21" t="s">
        <v>23</v>
      </c>
      <c r="C30" s="21" t="s">
        <v>49</v>
      </c>
      <c r="D30" s="21"/>
      <c r="E30" s="22"/>
      <c r="F30" s="22"/>
      <c r="G30" s="22"/>
      <c r="H30" s="21" t="s">
        <v>83</v>
      </c>
      <c r="I30" s="23">
        <v>7.1428571428571438E-2</v>
      </c>
      <c r="J30" s="63"/>
      <c r="L30" s="11">
        <f t="shared" si="1"/>
        <v>8</v>
      </c>
      <c r="M30" s="13" cm="1">
        <f t="array" ref="M30">MAX(IF($Q$3:$ED$3=$M$3,Q30:ED30))</f>
        <v>0</v>
      </c>
      <c r="N30" s="13" cm="1">
        <f t="array" ref="N30">MAX(IF($Q$3:$ED$3=$M$3,Q30:ED30))</f>
        <v>0</v>
      </c>
      <c r="O30" s="11"/>
      <c r="R30" s="12"/>
      <c r="S30" s="12"/>
      <c r="T30" s="12"/>
      <c r="U30" s="12"/>
      <c r="Y30" s="12"/>
      <c r="Z30" s="12"/>
      <c r="AA30" s="12"/>
      <c r="AB30" s="12"/>
      <c r="AF30" s="12"/>
      <c r="AG30" s="12"/>
      <c r="AH30" s="12"/>
      <c r="AI30" s="12"/>
      <c r="AL30">
        <v>2.5</v>
      </c>
      <c r="AM30" s="116"/>
      <c r="AN30" s="117">
        <v>0.5</v>
      </c>
      <c r="AO30" s="117"/>
      <c r="AP30" s="118">
        <v>0.5</v>
      </c>
      <c r="AT30" s="12"/>
      <c r="AU30" s="12">
        <v>0.5</v>
      </c>
      <c r="AV30" s="12"/>
      <c r="AW30" s="12">
        <v>0.5</v>
      </c>
      <c r="BA30" s="12"/>
      <c r="BB30" s="12">
        <v>0.5</v>
      </c>
      <c r="BC30" s="12"/>
      <c r="BD30" s="12">
        <v>0.5</v>
      </c>
      <c r="BG30">
        <v>2.5</v>
      </c>
      <c r="BH30" s="119"/>
      <c r="BI30" s="105">
        <v>0.8</v>
      </c>
      <c r="BJ30" s="105"/>
      <c r="BK30" s="120">
        <v>0.8</v>
      </c>
      <c r="BO30" s="12"/>
      <c r="BP30" s="12">
        <v>0.8</v>
      </c>
      <c r="BQ30" s="12"/>
      <c r="BR30" s="12">
        <v>0.8</v>
      </c>
      <c r="BV30" s="12"/>
      <c r="BW30" s="12">
        <v>0.8</v>
      </c>
      <c r="BX30" s="12"/>
      <c r="BY30" s="12">
        <v>0.8</v>
      </c>
      <c r="CC30" s="12"/>
      <c r="CD30" s="12">
        <v>0.8</v>
      </c>
      <c r="CE30" s="12"/>
      <c r="CF30" s="12">
        <v>0.8</v>
      </c>
      <c r="CI30">
        <v>3</v>
      </c>
      <c r="CJ30" s="119"/>
      <c r="CK30" s="105">
        <v>1</v>
      </c>
      <c r="CL30" s="105"/>
      <c r="CM30" s="120">
        <v>1</v>
      </c>
      <c r="CQ30" s="12"/>
      <c r="CR30" s="12"/>
      <c r="CS30" s="12"/>
      <c r="CT30" s="12"/>
      <c r="CX30" s="12"/>
      <c r="CY30" s="12"/>
      <c r="CZ30" s="12"/>
      <c r="DA30" s="12"/>
      <c r="DE30" s="12"/>
      <c r="DF30" s="12"/>
      <c r="DG30" s="12"/>
      <c r="DH30" s="12"/>
      <c r="DL30" s="12"/>
      <c r="DM30" s="12"/>
      <c r="DN30" s="12"/>
      <c r="DO30" s="12"/>
      <c r="DS30" s="12"/>
      <c r="DT30" s="12"/>
      <c r="DU30" s="12"/>
      <c r="DV30" s="12"/>
    </row>
    <row r="31" spans="2:127" ht="15.65" customHeight="1" outlineLevel="1" thickBot="1">
      <c r="B31" s="21" t="s">
        <v>23</v>
      </c>
      <c r="C31" s="21" t="s">
        <v>49</v>
      </c>
      <c r="D31" s="21"/>
      <c r="E31" s="22"/>
      <c r="F31" s="22"/>
      <c r="G31" s="22"/>
      <c r="H31" s="21" t="s">
        <v>84</v>
      </c>
      <c r="I31" s="23">
        <v>7.1428571428571438E-2</v>
      </c>
      <c r="J31" s="63"/>
      <c r="L31" s="11">
        <f t="shared" si="1"/>
        <v>8</v>
      </c>
      <c r="M31" s="13" cm="1">
        <f t="array" ref="M31">MAX(IF($Q$3:$ED$3=$M$3,Q31:ED31))</f>
        <v>0</v>
      </c>
      <c r="N31" s="13" cm="1">
        <f t="array" ref="N31">MAX(IF($Q$3:$ED$3=$M$3,Q31:ED31))</f>
        <v>0</v>
      </c>
      <c r="O31" s="11"/>
      <c r="R31" s="12"/>
      <c r="S31" s="12"/>
      <c r="T31" s="12"/>
      <c r="U31" s="12"/>
      <c r="Y31" s="12"/>
      <c r="Z31" s="12"/>
      <c r="AA31" s="12"/>
      <c r="AB31" s="12"/>
      <c r="AF31" s="12"/>
      <c r="AG31" s="12"/>
      <c r="AH31" s="12"/>
      <c r="AI31" s="12"/>
      <c r="AL31">
        <v>2.5</v>
      </c>
      <c r="AM31" s="121"/>
      <c r="AN31" s="122">
        <v>0.5</v>
      </c>
      <c r="AO31" s="122"/>
      <c r="AP31" s="123">
        <v>0.5</v>
      </c>
      <c r="AT31" s="12"/>
      <c r="AU31" s="12">
        <v>0.5</v>
      </c>
      <c r="AV31" s="12"/>
      <c r="AW31" s="12">
        <v>0.5</v>
      </c>
      <c r="BA31" s="12"/>
      <c r="BB31" s="12">
        <v>0.5</v>
      </c>
      <c r="BC31" s="12"/>
      <c r="BD31" s="12">
        <v>0.5</v>
      </c>
      <c r="BG31">
        <v>2.5</v>
      </c>
      <c r="BH31" s="121"/>
      <c r="BI31" s="122">
        <v>0.8</v>
      </c>
      <c r="BJ31" s="122"/>
      <c r="BK31" s="123">
        <v>0.8</v>
      </c>
      <c r="BO31" s="105"/>
      <c r="BP31" s="105">
        <v>0.8</v>
      </c>
      <c r="BQ31" s="105"/>
      <c r="BR31" s="105">
        <v>0.8</v>
      </c>
      <c r="BV31" s="12"/>
      <c r="BW31" s="12">
        <v>0.8</v>
      </c>
      <c r="BX31" s="12"/>
      <c r="BY31" s="12">
        <v>0.8</v>
      </c>
      <c r="CC31" s="12"/>
      <c r="CD31" s="12">
        <v>0.8</v>
      </c>
      <c r="CE31" s="12"/>
      <c r="CF31" s="12">
        <v>0.8</v>
      </c>
      <c r="CI31">
        <v>3</v>
      </c>
      <c r="CJ31" s="121"/>
      <c r="CK31" s="122">
        <v>1</v>
      </c>
      <c r="CL31" s="122"/>
      <c r="CM31" s="123">
        <v>1</v>
      </c>
      <c r="CQ31" s="12"/>
      <c r="CR31" s="12"/>
      <c r="CS31" s="12"/>
      <c r="CT31" s="12"/>
      <c r="CX31" s="12"/>
      <c r="CY31" s="12"/>
      <c r="CZ31" s="12"/>
      <c r="DA31" s="12"/>
      <c r="DE31" s="12"/>
      <c r="DF31" s="12"/>
      <c r="DG31" s="12"/>
      <c r="DH31" s="12"/>
      <c r="DL31" s="12"/>
      <c r="DM31" s="12"/>
      <c r="DN31" s="12"/>
      <c r="DO31" s="12"/>
      <c r="DS31" s="12"/>
      <c r="DT31" s="12"/>
      <c r="DU31" s="12"/>
      <c r="DV31" s="12"/>
    </row>
    <row r="32" spans="2:127">
      <c r="H32" t="s">
        <v>85</v>
      </c>
      <c r="J32" s="9"/>
      <c r="R32" s="9"/>
      <c r="Y32" s="9"/>
      <c r="AF32" s="9"/>
      <c r="AM32" s="9"/>
      <c r="AT32" s="9"/>
      <c r="BA32" s="9"/>
      <c r="BH32" s="9"/>
      <c r="BO32" s="9"/>
      <c r="BV32" s="9"/>
      <c r="CC32" s="9"/>
      <c r="CJ32" s="9"/>
      <c r="CQ32" s="9"/>
      <c r="CX32" s="9"/>
      <c r="DE32" s="9"/>
      <c r="DL32" s="9"/>
      <c r="DS32" s="9"/>
    </row>
    <row r="33" spans="2:127" s="46" customFormat="1" ht="16" thickBot="1">
      <c r="B33" s="46" t="s">
        <v>22</v>
      </c>
      <c r="C33" s="46" t="s">
        <v>55</v>
      </c>
      <c r="D33" s="46" t="s">
        <v>68</v>
      </c>
      <c r="E33" s="47">
        <v>27</v>
      </c>
      <c r="F33" s="47">
        <f>E33/11</f>
        <v>2.4545454545454546</v>
      </c>
      <c r="G33" s="47">
        <v>5</v>
      </c>
      <c r="I33" s="48">
        <f>+SUM(I34:I42)</f>
        <v>1.0000000000000002</v>
      </c>
      <c r="J33" s="48"/>
      <c r="L33" s="72">
        <f>+SUM(L34:L42)</f>
        <v>81</v>
      </c>
      <c r="M33" s="73">
        <f>+SUMPRODUCT(J34:J42,M34:M42)</f>
        <v>0</v>
      </c>
      <c r="N33" s="73">
        <f>+SUMPRODUCT(J34:J42,N34:N42)</f>
        <v>0</v>
      </c>
      <c r="O33" s="47"/>
      <c r="Q33" s="72">
        <f>+SUM(Q34:Q42)</f>
        <v>9</v>
      </c>
      <c r="X33" s="72">
        <f>+SUM(X34:X42)</f>
        <v>9</v>
      </c>
      <c r="AE33" s="72">
        <f>+SUM(AE34:AE42)</f>
        <v>9</v>
      </c>
      <c r="AL33" s="72">
        <f>+SUM(AL34:AL42)</f>
        <v>9</v>
      </c>
      <c r="AS33" s="72">
        <f>+SUM(AS34:AS42)</f>
        <v>9</v>
      </c>
      <c r="AZ33" s="72">
        <f>+SUM(AZ34:AZ42)</f>
        <v>9</v>
      </c>
      <c r="BG33" s="72">
        <f>+SUM(BG34:BG42)</f>
        <v>9</v>
      </c>
      <c r="BN33" s="72">
        <f>+SUM(BN34:BN42)</f>
        <v>3</v>
      </c>
      <c r="BU33" s="72">
        <f>+SUM(BU34:BU42)</f>
        <v>3</v>
      </c>
      <c r="CB33" s="72">
        <f>+SUM(CB34:CB42)</f>
        <v>6</v>
      </c>
      <c r="CI33" s="72">
        <f>+SUM(CI34:CI42)</f>
        <v>6</v>
      </c>
      <c r="CP33" s="91">
        <f>+SUM(CP34:CP42)</f>
        <v>0</v>
      </c>
      <c r="CQ33" s="92"/>
      <c r="CR33" s="92"/>
      <c r="CS33" s="92"/>
      <c r="CT33" s="92"/>
      <c r="CU33" s="92"/>
      <c r="CV33" s="92"/>
      <c r="CW33" s="91">
        <f>+SUM(CW34:CW42)</f>
        <v>0</v>
      </c>
      <c r="CX33" s="92"/>
      <c r="CY33" s="92"/>
      <c r="CZ33" s="92"/>
      <c r="DA33" s="92"/>
      <c r="DB33" s="92"/>
      <c r="DC33" s="92"/>
      <c r="DD33" s="91">
        <f>+SUM(DD34:DD42)</f>
        <v>0</v>
      </c>
      <c r="DE33" s="92"/>
      <c r="DF33" s="92"/>
      <c r="DG33" s="92"/>
      <c r="DH33" s="92"/>
      <c r="DI33" s="93" t="s">
        <v>122</v>
      </c>
      <c r="DK33" s="129">
        <f>+SUM(DK34:DK42)</f>
        <v>0</v>
      </c>
      <c r="DL33" s="9"/>
      <c r="DM33" s="9"/>
      <c r="DN33" s="9"/>
      <c r="DO33" s="9"/>
      <c r="DP33" s="9"/>
      <c r="DQ33" s="9"/>
      <c r="DR33" s="129">
        <f>+SUM(DR34:DR42)</f>
        <v>0</v>
      </c>
      <c r="DS33" s="9"/>
      <c r="DT33" s="9"/>
      <c r="DU33" s="9"/>
      <c r="DV33" s="9"/>
      <c r="DW33" s="9"/>
    </row>
    <row r="34" spans="2:127" ht="15.65" customHeight="1" outlineLevel="1">
      <c r="B34" s="46" t="s">
        <v>23</v>
      </c>
      <c r="C34" s="46" t="s">
        <v>55</v>
      </c>
      <c r="D34" s="46"/>
      <c r="E34" s="47"/>
      <c r="F34" s="47"/>
      <c r="G34" s="47"/>
      <c r="H34" s="46" t="s">
        <v>86</v>
      </c>
      <c r="I34" s="48">
        <v>0.1111111111111111</v>
      </c>
      <c r="J34" s="63"/>
      <c r="L34" s="11">
        <f t="shared" ref="L34:L42" si="2">+SUMIF($Q$3:$ZV$3,L$3,$Q34:$ZV34)</f>
        <v>9</v>
      </c>
      <c r="M34" s="13" cm="1">
        <f t="array" ref="M34">MAX(IF($Q$3:$ED$3=$M$3,Q34:ED34))</f>
        <v>0</v>
      </c>
      <c r="N34" s="13" cm="1">
        <f t="array" ref="N34">MAX(IF($Q$3:$ED$3=$M$3,Q34:ED34))</f>
        <v>0</v>
      </c>
      <c r="O34" s="11"/>
      <c r="Q34">
        <v>3</v>
      </c>
      <c r="R34" s="116"/>
      <c r="S34" s="117">
        <v>0.5</v>
      </c>
      <c r="T34" s="117"/>
      <c r="U34" s="118">
        <v>0.5</v>
      </c>
      <c r="Y34" s="12"/>
      <c r="Z34" s="12">
        <v>0.5</v>
      </c>
      <c r="AA34" s="12"/>
      <c r="AB34" s="12">
        <v>0.5</v>
      </c>
      <c r="AF34" s="12"/>
      <c r="AG34" s="12">
        <v>0.5</v>
      </c>
      <c r="AH34" s="12"/>
      <c r="AI34" s="12">
        <v>0.5</v>
      </c>
      <c r="AL34">
        <v>3</v>
      </c>
      <c r="AM34" s="116"/>
      <c r="AN34" s="117">
        <v>0.8</v>
      </c>
      <c r="AO34" s="117"/>
      <c r="AP34" s="118">
        <v>0.8</v>
      </c>
      <c r="AT34" s="12"/>
      <c r="AU34" s="12">
        <v>0.8</v>
      </c>
      <c r="AV34" s="12"/>
      <c r="AW34" s="12">
        <v>0.8</v>
      </c>
      <c r="BA34" s="12"/>
      <c r="BB34" s="12">
        <v>0.8</v>
      </c>
      <c r="BC34" s="12"/>
      <c r="BD34" s="12">
        <v>0.8</v>
      </c>
      <c r="BG34">
        <v>3</v>
      </c>
      <c r="BH34" s="116"/>
      <c r="BI34" s="117">
        <v>1</v>
      </c>
      <c r="BJ34" s="117"/>
      <c r="BK34" s="118">
        <v>1</v>
      </c>
      <c r="BO34" s="12"/>
      <c r="BP34" s="12">
        <v>1</v>
      </c>
      <c r="BQ34" s="12"/>
      <c r="BR34" s="12">
        <v>1</v>
      </c>
      <c r="BV34" s="12"/>
      <c r="BW34" s="12">
        <v>1</v>
      </c>
      <c r="BX34" s="12"/>
      <c r="BY34" s="12">
        <v>1</v>
      </c>
      <c r="CC34" s="12"/>
      <c r="CD34" s="12">
        <v>1</v>
      </c>
      <c r="CE34" s="12"/>
      <c r="CF34" s="12">
        <v>1</v>
      </c>
      <c r="CJ34" s="12"/>
      <c r="CK34" s="12">
        <v>1</v>
      </c>
      <c r="CL34" s="12"/>
      <c r="CM34" s="12">
        <v>1</v>
      </c>
      <c r="CQ34" s="12"/>
      <c r="CR34" s="12"/>
      <c r="CS34" s="12"/>
      <c r="CT34" s="12"/>
      <c r="CX34" s="12"/>
      <c r="CY34" s="12"/>
      <c r="CZ34" s="12"/>
      <c r="DA34" s="12"/>
      <c r="DE34" s="12"/>
      <c r="DF34" s="12"/>
      <c r="DG34" s="12"/>
      <c r="DH34" s="12"/>
      <c r="DL34" s="12"/>
      <c r="DM34" s="12"/>
      <c r="DN34" s="12"/>
      <c r="DO34" s="12"/>
      <c r="DS34" s="12"/>
      <c r="DT34" s="12"/>
      <c r="DU34" s="12"/>
      <c r="DV34" s="12"/>
    </row>
    <row r="35" spans="2:127" ht="15.65" customHeight="1" outlineLevel="1">
      <c r="B35" s="46" t="s">
        <v>23</v>
      </c>
      <c r="C35" s="46" t="s">
        <v>55</v>
      </c>
      <c r="D35" s="46"/>
      <c r="E35" s="47"/>
      <c r="F35" s="47"/>
      <c r="G35" s="47"/>
      <c r="H35" s="46" t="s">
        <v>87</v>
      </c>
      <c r="I35" s="48">
        <v>0.1111111111111111</v>
      </c>
      <c r="J35" s="63"/>
      <c r="L35" s="11">
        <f t="shared" si="2"/>
        <v>9</v>
      </c>
      <c r="M35" s="13" cm="1">
        <f t="array" ref="M35">MAX(IF($Q$3:$ED$3=$M$3,Q35:ED35))</f>
        <v>0</v>
      </c>
      <c r="N35" s="13" cm="1">
        <f t="array" ref="N35">MAX(IF($Q$3:$ED$3=$M$3,Q35:ED35))</f>
        <v>0</v>
      </c>
      <c r="O35" s="11"/>
      <c r="Q35">
        <v>3</v>
      </c>
      <c r="R35" s="119"/>
      <c r="S35" s="105">
        <v>0.5</v>
      </c>
      <c r="T35" s="105"/>
      <c r="U35" s="120">
        <v>0.5</v>
      </c>
      <c r="Y35" s="12"/>
      <c r="Z35" s="12">
        <v>0.5</v>
      </c>
      <c r="AA35" s="12"/>
      <c r="AB35" s="12">
        <v>0.5</v>
      </c>
      <c r="AF35" s="12"/>
      <c r="AG35" s="12">
        <v>0.5</v>
      </c>
      <c r="AH35" s="12"/>
      <c r="AI35" s="12">
        <v>0.5</v>
      </c>
      <c r="AL35">
        <v>3</v>
      </c>
      <c r="AM35" s="119"/>
      <c r="AN35" s="105">
        <v>0.8</v>
      </c>
      <c r="AO35" s="105"/>
      <c r="AP35" s="120">
        <v>0.8</v>
      </c>
      <c r="AT35" s="12"/>
      <c r="AU35" s="12">
        <v>0.8</v>
      </c>
      <c r="AV35" s="12"/>
      <c r="AW35" s="12">
        <v>0.8</v>
      </c>
      <c r="BA35" s="12"/>
      <c r="BB35" s="12">
        <v>0.8</v>
      </c>
      <c r="BC35" s="12"/>
      <c r="BD35" s="12">
        <v>0.8</v>
      </c>
      <c r="BG35">
        <v>3</v>
      </c>
      <c r="BH35" s="119"/>
      <c r="BI35" s="105">
        <v>1</v>
      </c>
      <c r="BJ35" s="105"/>
      <c r="BK35" s="120">
        <v>1</v>
      </c>
      <c r="BO35" s="12"/>
      <c r="BP35" s="12">
        <v>1</v>
      </c>
      <c r="BQ35" s="12"/>
      <c r="BR35" s="12">
        <v>1</v>
      </c>
      <c r="BV35" s="12"/>
      <c r="BW35" s="12">
        <v>1</v>
      </c>
      <c r="BX35" s="12"/>
      <c r="BY35" s="12">
        <v>1</v>
      </c>
      <c r="CC35" s="12"/>
      <c r="CD35" s="12">
        <v>1</v>
      </c>
      <c r="CE35" s="12"/>
      <c r="CF35" s="12">
        <v>1</v>
      </c>
      <c r="CJ35" s="12"/>
      <c r="CK35" s="12">
        <v>1</v>
      </c>
      <c r="CL35" s="12"/>
      <c r="CM35" s="12">
        <v>1</v>
      </c>
      <c r="CQ35" s="12"/>
      <c r="CR35" s="12"/>
      <c r="CS35" s="12"/>
      <c r="CT35" s="12"/>
      <c r="CX35" s="12"/>
      <c r="CY35" s="12"/>
      <c r="CZ35" s="12"/>
      <c r="DA35" s="12"/>
      <c r="DE35" s="12"/>
      <c r="DF35" s="12"/>
      <c r="DG35" s="12"/>
      <c r="DH35" s="12"/>
      <c r="DL35" s="12"/>
      <c r="DM35" s="12"/>
      <c r="DN35" s="12"/>
      <c r="DO35" s="12"/>
      <c r="DS35" s="12"/>
      <c r="DT35" s="12"/>
      <c r="DU35" s="12"/>
      <c r="DV35" s="12"/>
    </row>
    <row r="36" spans="2:127" ht="15.65" customHeight="1" outlineLevel="1" thickBot="1">
      <c r="B36" s="46" t="s">
        <v>23</v>
      </c>
      <c r="C36" s="46" t="s">
        <v>55</v>
      </c>
      <c r="D36" s="46"/>
      <c r="E36" s="47"/>
      <c r="F36" s="47"/>
      <c r="G36" s="47"/>
      <c r="H36" s="46" t="s">
        <v>88</v>
      </c>
      <c r="I36" s="48">
        <v>0.1111111111111111</v>
      </c>
      <c r="J36" s="63"/>
      <c r="L36" s="11">
        <f t="shared" si="2"/>
        <v>9</v>
      </c>
      <c r="M36" s="13" cm="1">
        <f t="array" ref="M36">MAX(IF($Q$3:$ED$3=$M$3,Q36:ED36))</f>
        <v>0</v>
      </c>
      <c r="N36" s="13" cm="1">
        <f t="array" ref="N36">MAX(IF($Q$3:$ED$3=$M$3,Q36:ED36))</f>
        <v>0</v>
      </c>
      <c r="O36" s="11"/>
      <c r="Q36">
        <v>3</v>
      </c>
      <c r="R36" s="121"/>
      <c r="S36" s="122">
        <v>0.5</v>
      </c>
      <c r="T36" s="122"/>
      <c r="U36" s="123">
        <v>0.5</v>
      </c>
      <c r="Y36" s="12"/>
      <c r="Z36" s="12">
        <v>0.5</v>
      </c>
      <c r="AA36" s="12"/>
      <c r="AB36" s="12">
        <v>0.5</v>
      </c>
      <c r="AF36" s="12"/>
      <c r="AG36" s="12">
        <v>0.5</v>
      </c>
      <c r="AH36" s="12"/>
      <c r="AI36" s="12">
        <v>0.5</v>
      </c>
      <c r="AL36">
        <v>3</v>
      </c>
      <c r="AM36" s="121"/>
      <c r="AN36" s="122">
        <v>0.8</v>
      </c>
      <c r="AO36" s="122"/>
      <c r="AP36" s="123">
        <v>0.8</v>
      </c>
      <c r="AT36" s="12"/>
      <c r="AU36" s="12">
        <v>0.8</v>
      </c>
      <c r="AV36" s="12"/>
      <c r="AW36" s="12">
        <v>0.8</v>
      </c>
      <c r="BA36" s="12"/>
      <c r="BB36" s="12">
        <v>0.8</v>
      </c>
      <c r="BC36" s="12"/>
      <c r="BD36" s="12">
        <v>0.8</v>
      </c>
      <c r="BG36">
        <v>3</v>
      </c>
      <c r="BH36" s="121"/>
      <c r="BI36" s="122">
        <v>1</v>
      </c>
      <c r="BJ36" s="122"/>
      <c r="BK36" s="123">
        <v>1</v>
      </c>
      <c r="BO36" s="12"/>
      <c r="BP36" s="12">
        <v>1</v>
      </c>
      <c r="BQ36" s="12"/>
      <c r="BR36" s="12">
        <v>1</v>
      </c>
      <c r="BV36" s="12"/>
      <c r="BW36" s="12">
        <v>1</v>
      </c>
      <c r="BX36" s="12"/>
      <c r="BY36" s="12">
        <v>1</v>
      </c>
      <c r="CC36" s="12"/>
      <c r="CD36" s="12">
        <v>1</v>
      </c>
      <c r="CE36" s="12"/>
      <c r="CF36" s="12">
        <v>1</v>
      </c>
      <c r="CJ36" s="12"/>
      <c r="CK36" s="12">
        <v>1</v>
      </c>
      <c r="CL36" s="12"/>
      <c r="CM36" s="12">
        <v>1</v>
      </c>
      <c r="CQ36" s="12"/>
      <c r="CR36" s="12"/>
      <c r="CS36" s="12"/>
      <c r="CT36" s="12"/>
      <c r="CX36" s="12"/>
      <c r="CY36" s="12"/>
      <c r="CZ36" s="12"/>
      <c r="DA36" s="12"/>
      <c r="DE36" s="12"/>
      <c r="DF36" s="12"/>
      <c r="DG36" s="12"/>
      <c r="DH36" s="12"/>
      <c r="DL36" s="12"/>
      <c r="DM36" s="12"/>
      <c r="DN36" s="12"/>
      <c r="DO36" s="12"/>
      <c r="DS36" s="12"/>
      <c r="DT36" s="12"/>
      <c r="DU36" s="12"/>
      <c r="DV36" s="12"/>
    </row>
    <row r="37" spans="2:127" ht="15.65" customHeight="1" outlineLevel="1" thickBot="1">
      <c r="B37" s="46" t="s">
        <v>23</v>
      </c>
      <c r="C37" s="46" t="s">
        <v>55</v>
      </c>
      <c r="D37" s="46"/>
      <c r="E37" s="47"/>
      <c r="F37" s="47"/>
      <c r="G37" s="47"/>
      <c r="H37" s="46" t="s">
        <v>89</v>
      </c>
      <c r="I37" s="48">
        <v>0.1111111111111111</v>
      </c>
      <c r="J37" s="63"/>
      <c r="L37" s="11">
        <f t="shared" si="2"/>
        <v>9</v>
      </c>
      <c r="M37" s="13" cm="1">
        <f t="array" ref="M37">MAX(IF($Q$3:$ED$3=$M$3,Q37:ED37))</f>
        <v>0</v>
      </c>
      <c r="N37" s="13" cm="1">
        <f t="array" ref="N37">MAX(IF($Q$3:$ED$3=$M$3,Q37:ED37))</f>
        <v>0</v>
      </c>
      <c r="O37" s="11"/>
      <c r="R37" s="12"/>
      <c r="S37" s="12"/>
      <c r="T37" s="12"/>
      <c r="U37" s="12"/>
      <c r="X37">
        <v>3</v>
      </c>
      <c r="Y37" s="116"/>
      <c r="Z37" s="117">
        <v>0.5</v>
      </c>
      <c r="AA37" s="117"/>
      <c r="AB37" s="118">
        <v>0.5</v>
      </c>
      <c r="AF37" s="12"/>
      <c r="AG37" s="12">
        <v>0.5</v>
      </c>
      <c r="AH37" s="12"/>
      <c r="AI37" s="12">
        <v>0.5</v>
      </c>
      <c r="AM37" s="12"/>
      <c r="AN37" s="12">
        <v>0.5</v>
      </c>
      <c r="AO37" s="12"/>
      <c r="AP37" s="12">
        <v>0.5</v>
      </c>
      <c r="AS37">
        <v>3</v>
      </c>
      <c r="AT37" s="116"/>
      <c r="AU37" s="117">
        <v>0.8</v>
      </c>
      <c r="AV37" s="117"/>
      <c r="AW37" s="118">
        <v>0.8</v>
      </c>
      <c r="BA37" s="12"/>
      <c r="BB37" s="12">
        <v>0.8</v>
      </c>
      <c r="BC37" s="12"/>
      <c r="BD37" s="12">
        <v>0.8</v>
      </c>
      <c r="BH37" s="12"/>
      <c r="BI37" s="12">
        <v>0.8</v>
      </c>
      <c r="BJ37" s="12"/>
      <c r="BK37" s="12">
        <v>0.8</v>
      </c>
      <c r="BN37">
        <v>3</v>
      </c>
      <c r="BO37" s="124"/>
      <c r="BP37" s="125">
        <v>1</v>
      </c>
      <c r="BQ37" s="125"/>
      <c r="BR37" s="126">
        <v>1</v>
      </c>
      <c r="BV37" s="12"/>
      <c r="BW37" s="12">
        <v>1</v>
      </c>
      <c r="BX37" s="12"/>
      <c r="BY37" s="12">
        <v>1</v>
      </c>
      <c r="CC37" s="12"/>
      <c r="CD37" s="12">
        <v>1</v>
      </c>
      <c r="CE37" s="12"/>
      <c r="CF37" s="12">
        <v>1</v>
      </c>
      <c r="CJ37" s="12"/>
      <c r="CK37" s="12">
        <v>1</v>
      </c>
      <c r="CL37" s="12"/>
      <c r="CM37" s="12">
        <v>1</v>
      </c>
      <c r="CQ37" s="12"/>
      <c r="CR37" s="12"/>
      <c r="CS37" s="12"/>
      <c r="CT37" s="12"/>
      <c r="CX37" s="12"/>
      <c r="CY37" s="12"/>
      <c r="CZ37" s="12"/>
      <c r="DA37" s="12"/>
      <c r="DE37" s="12"/>
      <c r="DF37" s="12"/>
      <c r="DG37" s="12"/>
      <c r="DH37" s="12"/>
      <c r="DL37" s="12"/>
      <c r="DM37" s="12"/>
      <c r="DN37" s="12"/>
      <c r="DO37" s="12"/>
      <c r="DS37" s="12"/>
      <c r="DT37" s="12"/>
      <c r="DU37" s="12"/>
      <c r="DV37" s="12"/>
    </row>
    <row r="38" spans="2:127" ht="15.65" customHeight="1" outlineLevel="1" thickBot="1">
      <c r="B38" s="46" t="s">
        <v>23</v>
      </c>
      <c r="C38" s="46" t="s">
        <v>55</v>
      </c>
      <c r="D38" s="46"/>
      <c r="E38" s="47"/>
      <c r="F38" s="47"/>
      <c r="G38" s="47"/>
      <c r="H38" s="46" t="s">
        <v>90</v>
      </c>
      <c r="I38" s="48">
        <v>0.1111111111111111</v>
      </c>
      <c r="J38" s="63"/>
      <c r="L38" s="11">
        <f t="shared" si="2"/>
        <v>9</v>
      </c>
      <c r="M38" s="13" cm="1">
        <f t="array" ref="M38">MAX(IF($Q$3:$ED$3=$M$3,Q38:ED38))</f>
        <v>0</v>
      </c>
      <c r="N38" s="13" cm="1">
        <f t="array" ref="N38">MAX(IF($Q$3:$ED$3=$M$3,Q38:ED38))</f>
        <v>0</v>
      </c>
      <c r="O38" s="11"/>
      <c r="R38" s="12"/>
      <c r="S38" s="12"/>
      <c r="T38" s="12"/>
      <c r="U38" s="12"/>
      <c r="X38">
        <v>3</v>
      </c>
      <c r="Y38" s="119"/>
      <c r="Z38" s="105">
        <v>0.5</v>
      </c>
      <c r="AA38" s="105"/>
      <c r="AB38" s="120">
        <v>0.5</v>
      </c>
      <c r="AF38" s="12"/>
      <c r="AG38" s="12">
        <v>0.5</v>
      </c>
      <c r="AH38" s="12"/>
      <c r="AI38" s="12">
        <v>0.5</v>
      </c>
      <c r="AM38" s="12"/>
      <c r="AN38" s="12">
        <v>0.5</v>
      </c>
      <c r="AO38" s="12"/>
      <c r="AP38" s="12">
        <v>0.5</v>
      </c>
      <c r="AS38">
        <v>3</v>
      </c>
      <c r="AT38" s="119"/>
      <c r="AU38" s="105">
        <v>0.8</v>
      </c>
      <c r="AV38" s="105"/>
      <c r="AW38" s="120">
        <v>0.8</v>
      </c>
      <c r="BA38" s="12"/>
      <c r="BB38" s="12">
        <v>0.8</v>
      </c>
      <c r="BC38" s="12"/>
      <c r="BD38" s="12">
        <v>0.8</v>
      </c>
      <c r="BH38" s="12"/>
      <c r="BI38" s="12">
        <v>0.8</v>
      </c>
      <c r="BJ38" s="12"/>
      <c r="BK38" s="12">
        <v>0.8</v>
      </c>
      <c r="BO38" s="12"/>
      <c r="BP38" s="12">
        <v>0.8</v>
      </c>
      <c r="BQ38" s="12"/>
      <c r="BR38" s="12">
        <v>0.8</v>
      </c>
      <c r="BU38">
        <v>3</v>
      </c>
      <c r="BV38" s="124"/>
      <c r="BW38" s="125">
        <v>1</v>
      </c>
      <c r="BX38" s="125"/>
      <c r="BY38" s="126">
        <v>1</v>
      </c>
      <c r="CC38" s="12"/>
      <c r="CD38" s="12">
        <v>1</v>
      </c>
      <c r="CE38" s="12"/>
      <c r="CF38" s="12">
        <v>1</v>
      </c>
      <c r="CJ38" s="12"/>
      <c r="CK38" s="12">
        <v>1</v>
      </c>
      <c r="CL38" s="12"/>
      <c r="CM38" s="12">
        <v>1</v>
      </c>
      <c r="CQ38" s="12"/>
      <c r="CR38" s="12"/>
      <c r="CS38" s="12"/>
      <c r="CT38" s="12"/>
      <c r="CX38" s="12"/>
      <c r="CY38" s="12"/>
      <c r="CZ38" s="12"/>
      <c r="DA38" s="12"/>
      <c r="DE38" s="12"/>
      <c r="DF38" s="12"/>
      <c r="DG38" s="12"/>
      <c r="DH38" s="12"/>
      <c r="DL38" s="12"/>
      <c r="DM38" s="12"/>
      <c r="DN38" s="12"/>
      <c r="DO38" s="12"/>
      <c r="DS38" s="12"/>
      <c r="DT38" s="12"/>
      <c r="DU38" s="12"/>
      <c r="DV38" s="12"/>
    </row>
    <row r="39" spans="2:127" ht="15.65" customHeight="1" outlineLevel="1" thickBot="1">
      <c r="B39" s="46" t="s">
        <v>23</v>
      </c>
      <c r="C39" s="46" t="s">
        <v>55</v>
      </c>
      <c r="D39" s="46"/>
      <c r="E39" s="47"/>
      <c r="F39" s="47"/>
      <c r="G39" s="47"/>
      <c r="H39" s="46" t="s">
        <v>135</v>
      </c>
      <c r="I39" s="48">
        <v>0.1111111111111111</v>
      </c>
      <c r="J39" s="63"/>
      <c r="L39" s="11">
        <f t="shared" si="2"/>
        <v>9</v>
      </c>
      <c r="M39" s="13" cm="1">
        <f t="array" ref="M39">MAX(IF($Q$3:$ED$3=$M$3,Q39:ED39))</f>
        <v>0</v>
      </c>
      <c r="N39" s="13" cm="1">
        <f t="array" ref="N39">MAX(IF($Q$3:$ED$3=$M$3,Q39:ED39))</f>
        <v>0</v>
      </c>
      <c r="O39" s="11"/>
      <c r="R39" s="12"/>
      <c r="S39" s="12"/>
      <c r="T39" s="12"/>
      <c r="U39" s="12"/>
      <c r="X39">
        <v>3</v>
      </c>
      <c r="Y39" s="121"/>
      <c r="Z39" s="122">
        <v>0.5</v>
      </c>
      <c r="AA39" s="122"/>
      <c r="AB39" s="123">
        <v>0.5</v>
      </c>
      <c r="AF39" s="12"/>
      <c r="AG39" s="12">
        <v>0.5</v>
      </c>
      <c r="AH39" s="12"/>
      <c r="AI39" s="12">
        <v>0.5</v>
      </c>
      <c r="AM39" s="12"/>
      <c r="AN39" s="12">
        <v>0.5</v>
      </c>
      <c r="AO39" s="12"/>
      <c r="AP39" s="12">
        <v>0.5</v>
      </c>
      <c r="AS39">
        <v>3</v>
      </c>
      <c r="AT39" s="121"/>
      <c r="AU39" s="122">
        <v>0.8</v>
      </c>
      <c r="AV39" s="122"/>
      <c r="AW39" s="123">
        <v>0.8</v>
      </c>
      <c r="BA39" s="12"/>
      <c r="BB39" s="12">
        <v>0.8</v>
      </c>
      <c r="BC39" s="12"/>
      <c r="BD39" s="12">
        <v>0.8</v>
      </c>
      <c r="BH39" s="12"/>
      <c r="BI39" s="12">
        <v>0.8</v>
      </c>
      <c r="BJ39" s="12"/>
      <c r="BK39" s="12">
        <v>0.8</v>
      </c>
      <c r="BO39" s="12"/>
      <c r="BP39" s="12">
        <v>0.8</v>
      </c>
      <c r="BQ39" s="12"/>
      <c r="BR39" s="12">
        <v>0.8</v>
      </c>
      <c r="BV39" s="12"/>
      <c r="BW39" s="12">
        <v>0.8</v>
      </c>
      <c r="BX39" s="12"/>
      <c r="BY39" s="12">
        <v>0.8</v>
      </c>
      <c r="CB39">
        <v>3</v>
      </c>
      <c r="CC39" s="116"/>
      <c r="CD39" s="117">
        <v>1</v>
      </c>
      <c r="CE39" s="117"/>
      <c r="CF39" s="118">
        <v>1</v>
      </c>
      <c r="CJ39" s="12"/>
      <c r="CK39" s="12">
        <v>1</v>
      </c>
      <c r="CL39" s="12"/>
      <c r="CM39" s="12">
        <v>1</v>
      </c>
      <c r="CQ39" s="12"/>
      <c r="CR39" s="12"/>
      <c r="CS39" s="12"/>
      <c r="CT39" s="12"/>
      <c r="CX39" s="12"/>
      <c r="CY39" s="12"/>
      <c r="CZ39" s="12"/>
      <c r="DA39" s="12"/>
      <c r="DE39" s="12"/>
      <c r="DF39" s="12"/>
      <c r="DG39" s="12"/>
      <c r="DH39" s="12"/>
      <c r="DL39" s="12"/>
      <c r="DM39" s="12"/>
      <c r="DN39" s="12"/>
      <c r="DO39" s="12"/>
      <c r="DS39" s="12"/>
      <c r="DT39" s="12"/>
      <c r="DU39" s="12"/>
      <c r="DV39" s="12"/>
    </row>
    <row r="40" spans="2:127" ht="15.65" customHeight="1" outlineLevel="1" thickBot="1">
      <c r="B40" s="46" t="s">
        <v>23</v>
      </c>
      <c r="C40" s="46" t="s">
        <v>55</v>
      </c>
      <c r="D40" s="46"/>
      <c r="E40" s="47"/>
      <c r="F40" s="47"/>
      <c r="G40" s="47"/>
      <c r="H40" s="46" t="s">
        <v>134</v>
      </c>
      <c r="I40" s="48">
        <v>0.1111111111111111</v>
      </c>
      <c r="J40" s="63"/>
      <c r="L40" s="11">
        <f t="shared" si="2"/>
        <v>9</v>
      </c>
      <c r="M40" s="13" cm="1">
        <f t="array" ref="M40">MAX(IF($Q$3:$ED$3=$M$3,Q40:ED40))</f>
        <v>0</v>
      </c>
      <c r="N40" s="13" cm="1">
        <f t="array" ref="N40">MAX(IF($Q$3:$ED$3=$M$3,Q40:ED40))</f>
        <v>0</v>
      </c>
      <c r="O40" s="11"/>
      <c r="R40" s="12"/>
      <c r="S40" s="12"/>
      <c r="T40" s="12"/>
      <c r="U40" s="12"/>
      <c r="Y40" s="12"/>
      <c r="Z40" s="12"/>
      <c r="AA40" s="12"/>
      <c r="AB40" s="12"/>
      <c r="AE40">
        <v>3</v>
      </c>
      <c r="AF40" s="116"/>
      <c r="AG40" s="117">
        <v>0.5</v>
      </c>
      <c r="AH40" s="117"/>
      <c r="AI40" s="118">
        <v>0.5</v>
      </c>
      <c r="AM40" s="12"/>
      <c r="AN40" s="12">
        <v>0.5</v>
      </c>
      <c r="AO40" s="12"/>
      <c r="AP40" s="12">
        <v>0.5</v>
      </c>
      <c r="AT40" s="12"/>
      <c r="AU40" s="12">
        <v>0.5</v>
      </c>
      <c r="AV40" s="12"/>
      <c r="AW40" s="12">
        <v>0.5</v>
      </c>
      <c r="AZ40">
        <v>3</v>
      </c>
      <c r="BA40" s="116"/>
      <c r="BB40" s="117">
        <v>0.8</v>
      </c>
      <c r="BC40" s="117"/>
      <c r="BD40" s="118">
        <v>0.8</v>
      </c>
      <c r="BH40" s="12"/>
      <c r="BI40" s="12">
        <v>0.8</v>
      </c>
      <c r="BJ40" s="12"/>
      <c r="BK40" s="12">
        <v>0.8</v>
      </c>
      <c r="BO40" s="12"/>
      <c r="BP40" s="12">
        <v>0.8</v>
      </c>
      <c r="BQ40" s="12"/>
      <c r="BR40" s="12">
        <v>0.8</v>
      </c>
      <c r="BV40" s="12"/>
      <c r="BW40" s="12">
        <v>0.8</v>
      </c>
      <c r="BX40" s="12"/>
      <c r="BY40" s="12">
        <v>0.8</v>
      </c>
      <c r="CB40">
        <v>3</v>
      </c>
      <c r="CC40" s="121"/>
      <c r="CD40" s="122">
        <v>1</v>
      </c>
      <c r="CE40" s="122"/>
      <c r="CF40" s="123">
        <v>1</v>
      </c>
      <c r="CJ40" s="12"/>
      <c r="CK40" s="12">
        <v>1</v>
      </c>
      <c r="CL40" s="12"/>
      <c r="CM40" s="12">
        <v>1</v>
      </c>
      <c r="CQ40" s="12"/>
      <c r="CR40" s="12"/>
      <c r="CS40" s="12"/>
      <c r="CT40" s="12"/>
      <c r="CX40" s="12"/>
      <c r="CY40" s="12"/>
      <c r="CZ40" s="12"/>
      <c r="DA40" s="12"/>
      <c r="DE40" s="12"/>
      <c r="DF40" s="12"/>
      <c r="DG40" s="12"/>
      <c r="DH40" s="12"/>
      <c r="DL40" s="12"/>
      <c r="DM40" s="12"/>
      <c r="DN40" s="12"/>
      <c r="DO40" s="12"/>
      <c r="DS40" s="12"/>
      <c r="DT40" s="12"/>
      <c r="DU40" s="12"/>
      <c r="DV40" s="12"/>
    </row>
    <row r="41" spans="2:127" ht="15.65" customHeight="1" outlineLevel="1">
      <c r="B41" s="46" t="s">
        <v>23</v>
      </c>
      <c r="C41" s="46" t="s">
        <v>55</v>
      </c>
      <c r="D41" s="46"/>
      <c r="E41" s="47"/>
      <c r="F41" s="47"/>
      <c r="G41" s="47"/>
      <c r="H41" s="46" t="s">
        <v>91</v>
      </c>
      <c r="I41" s="48">
        <v>0.1111111111111111</v>
      </c>
      <c r="J41" s="63"/>
      <c r="L41" s="11">
        <f t="shared" si="2"/>
        <v>9</v>
      </c>
      <c r="M41" s="13" cm="1">
        <f t="array" ref="M41">MAX(IF($Q$3:$ED$3=$M$3,Q41:ED41))</f>
        <v>0</v>
      </c>
      <c r="N41" s="13" cm="1">
        <f t="array" ref="N41">MAX(IF($Q$3:$ED$3=$M$3,Q41:ED41))</f>
        <v>0</v>
      </c>
      <c r="O41" s="11"/>
      <c r="R41" s="12"/>
      <c r="S41" s="12"/>
      <c r="T41" s="12"/>
      <c r="U41" s="12"/>
      <c r="Y41" s="12"/>
      <c r="Z41" s="12"/>
      <c r="AA41" s="12"/>
      <c r="AB41" s="12"/>
      <c r="AE41">
        <v>3</v>
      </c>
      <c r="AF41" s="119"/>
      <c r="AG41" s="105">
        <v>0.5</v>
      </c>
      <c r="AH41" s="105"/>
      <c r="AI41" s="120">
        <v>0.5</v>
      </c>
      <c r="AM41" s="12"/>
      <c r="AN41" s="12">
        <v>0.5</v>
      </c>
      <c r="AO41" s="12"/>
      <c r="AP41" s="12">
        <v>0.5</v>
      </c>
      <c r="AT41" s="12"/>
      <c r="AU41" s="12">
        <v>0.5</v>
      </c>
      <c r="AV41" s="12"/>
      <c r="AW41" s="12">
        <v>0.5</v>
      </c>
      <c r="AZ41">
        <v>3</v>
      </c>
      <c r="BA41" s="119"/>
      <c r="BB41" s="105">
        <v>0.8</v>
      </c>
      <c r="BC41" s="105"/>
      <c r="BD41" s="120">
        <v>0.8</v>
      </c>
      <c r="BH41" s="12"/>
      <c r="BI41" s="12">
        <v>0.8</v>
      </c>
      <c r="BJ41" s="12"/>
      <c r="BK41" s="12">
        <v>0.8</v>
      </c>
      <c r="BO41" s="12"/>
      <c r="BP41" s="12">
        <v>0.8</v>
      </c>
      <c r="BQ41" s="12"/>
      <c r="BR41" s="12">
        <v>0.8</v>
      </c>
      <c r="BV41" s="12"/>
      <c r="BW41" s="12">
        <v>0.8</v>
      </c>
      <c r="BX41" s="12"/>
      <c r="BY41" s="12">
        <v>0.8</v>
      </c>
      <c r="CC41" s="12"/>
      <c r="CD41" s="12">
        <v>0.8</v>
      </c>
      <c r="CE41" s="12"/>
      <c r="CF41" s="12">
        <v>0.8</v>
      </c>
      <c r="CI41">
        <v>3</v>
      </c>
      <c r="CJ41" s="116"/>
      <c r="CK41" s="117">
        <v>1</v>
      </c>
      <c r="CL41" s="117"/>
      <c r="CM41" s="118">
        <v>1</v>
      </c>
      <c r="CQ41" s="12"/>
      <c r="CR41" s="12"/>
      <c r="CS41" s="12"/>
      <c r="CT41" s="12"/>
      <c r="CX41" s="12"/>
      <c r="CY41" s="12"/>
      <c r="CZ41" s="12"/>
      <c r="DA41" s="12"/>
      <c r="DE41" s="12"/>
      <c r="DF41" s="12"/>
      <c r="DG41" s="12"/>
      <c r="DH41" s="12"/>
      <c r="DL41" s="12"/>
      <c r="DM41" s="12"/>
      <c r="DN41" s="12"/>
      <c r="DO41" s="12"/>
      <c r="DS41" s="12"/>
      <c r="DT41" s="12"/>
      <c r="DU41" s="12"/>
      <c r="DV41" s="12"/>
    </row>
    <row r="42" spans="2:127" ht="15.65" customHeight="1" outlineLevel="1" thickBot="1">
      <c r="B42" s="46" t="s">
        <v>23</v>
      </c>
      <c r="C42" s="46" t="s">
        <v>55</v>
      </c>
      <c r="D42" s="46"/>
      <c r="E42" s="47"/>
      <c r="F42" s="47"/>
      <c r="G42" s="47"/>
      <c r="H42" s="46" t="s">
        <v>92</v>
      </c>
      <c r="I42" s="48">
        <v>0.1111111111111111</v>
      </c>
      <c r="J42" s="63"/>
      <c r="L42" s="11">
        <f t="shared" si="2"/>
        <v>9</v>
      </c>
      <c r="M42" s="13" cm="1">
        <f t="array" ref="M42">MAX(IF($Q$3:$ED$3=$M$3,Q42:ED42))</f>
        <v>0</v>
      </c>
      <c r="N42" s="13" cm="1">
        <f t="array" ref="N42">MAX(IF($Q$3:$ED$3=$M$3,Q42:ED42))</f>
        <v>0</v>
      </c>
      <c r="O42" s="11"/>
      <c r="R42" s="12"/>
      <c r="S42" s="12"/>
      <c r="T42" s="12"/>
      <c r="U42" s="12"/>
      <c r="Y42" s="12"/>
      <c r="Z42" s="12"/>
      <c r="AA42" s="12"/>
      <c r="AB42" s="12"/>
      <c r="AE42">
        <v>3</v>
      </c>
      <c r="AF42" s="121"/>
      <c r="AG42" s="122">
        <v>0.5</v>
      </c>
      <c r="AH42" s="122"/>
      <c r="AI42" s="123">
        <v>0.5</v>
      </c>
      <c r="AM42" s="12"/>
      <c r="AN42" s="12">
        <v>0.5</v>
      </c>
      <c r="AO42" s="12"/>
      <c r="AP42" s="12">
        <v>0.5</v>
      </c>
      <c r="AT42" s="12"/>
      <c r="AU42" s="12">
        <v>0.5</v>
      </c>
      <c r="AV42" s="12"/>
      <c r="AW42" s="12">
        <v>0.5</v>
      </c>
      <c r="AZ42">
        <v>3</v>
      </c>
      <c r="BA42" s="121"/>
      <c r="BB42" s="122">
        <v>0.8</v>
      </c>
      <c r="BC42" s="122"/>
      <c r="BD42" s="123">
        <v>0.8</v>
      </c>
      <c r="BH42" s="12"/>
      <c r="BI42" s="12">
        <v>0.8</v>
      </c>
      <c r="BJ42" s="12"/>
      <c r="BK42" s="12">
        <v>0.8</v>
      </c>
      <c r="BO42" s="12"/>
      <c r="BP42" s="12">
        <v>0.8</v>
      </c>
      <c r="BQ42" s="12"/>
      <c r="BR42" s="12">
        <v>0.8</v>
      </c>
      <c r="BV42" s="12"/>
      <c r="BW42" s="12">
        <v>0.8</v>
      </c>
      <c r="BX42" s="12"/>
      <c r="BY42" s="12">
        <v>0.8</v>
      </c>
      <c r="CC42" s="12"/>
      <c r="CD42" s="12">
        <v>0.8</v>
      </c>
      <c r="CE42" s="12"/>
      <c r="CF42" s="12">
        <v>0.8</v>
      </c>
      <c r="CI42">
        <v>3</v>
      </c>
      <c r="CJ42" s="121"/>
      <c r="CK42" s="122">
        <v>1</v>
      </c>
      <c r="CL42" s="122"/>
      <c r="CM42" s="123">
        <v>1</v>
      </c>
      <c r="CQ42" s="12"/>
      <c r="CR42" s="12"/>
      <c r="CS42" s="12"/>
      <c r="CT42" s="12"/>
      <c r="CX42" s="12"/>
      <c r="CY42" s="12"/>
      <c r="CZ42" s="12"/>
      <c r="DA42" s="12"/>
      <c r="DE42" s="12"/>
      <c r="DF42" s="12"/>
      <c r="DG42" s="12"/>
      <c r="DH42" s="12"/>
      <c r="DL42" s="12"/>
      <c r="DM42" s="12"/>
      <c r="DN42" s="12"/>
      <c r="DO42" s="12"/>
      <c r="DS42" s="12"/>
      <c r="DT42" s="12"/>
      <c r="DU42" s="12"/>
      <c r="DV42" s="12"/>
    </row>
    <row r="43" spans="2:127">
      <c r="J43" s="9"/>
      <c r="R43" s="9"/>
      <c r="Y43" s="9"/>
      <c r="AF43" s="9"/>
      <c r="AM43" s="9"/>
      <c r="AT43" s="9"/>
      <c r="BA43" s="9"/>
      <c r="BH43" s="9"/>
      <c r="BO43" s="9"/>
      <c r="BV43" s="9"/>
      <c r="CC43" s="9"/>
      <c r="CJ43" s="12"/>
      <c r="CK43" s="12"/>
      <c r="CL43" s="12"/>
      <c r="CM43" s="12"/>
      <c r="CQ43" s="9"/>
      <c r="CX43" s="9"/>
      <c r="DE43" s="9"/>
      <c r="DL43" s="9"/>
      <c r="DS43" s="9"/>
    </row>
    <row r="44" spans="2:127" s="24" customFormat="1" ht="16" thickBot="1">
      <c r="B44" s="24" t="s">
        <v>22</v>
      </c>
      <c r="C44" s="24" t="s">
        <v>51</v>
      </c>
      <c r="D44" s="24" t="s">
        <v>158</v>
      </c>
      <c r="E44" s="25">
        <v>24</v>
      </c>
      <c r="F44" s="25">
        <f>E44/8</f>
        <v>3</v>
      </c>
      <c r="G44" s="25">
        <v>5</v>
      </c>
      <c r="I44" s="26">
        <f>+SUM(I45:I52)</f>
        <v>1</v>
      </c>
      <c r="J44" s="26"/>
      <c r="L44" s="133">
        <f>+SUM(L45:L52)</f>
        <v>72</v>
      </c>
      <c r="M44" s="71">
        <f>+SUMPRODUCT(J45:J52,M45:M52)</f>
        <v>0</v>
      </c>
      <c r="N44" s="71">
        <f>+SUMPRODUCT(J45:J52,N45:N52)</f>
        <v>0</v>
      </c>
      <c r="O44" s="25"/>
      <c r="Q44" s="70">
        <f>+SUM(Q45:Q52)</f>
        <v>9</v>
      </c>
      <c r="X44" s="70">
        <f>+SUM(X45:X52)</f>
        <v>9</v>
      </c>
      <c r="AE44" s="70">
        <f>+SUM(AE45:AE52)</f>
        <v>9</v>
      </c>
      <c r="AL44" s="70">
        <f>+SUM(AL45:AL52)</f>
        <v>9</v>
      </c>
      <c r="AS44" s="70">
        <f>+SUM(AS45:AS52)</f>
        <v>9</v>
      </c>
      <c r="AZ44" s="70">
        <f>+SUM(AZ45:AZ52)</f>
        <v>9</v>
      </c>
      <c r="BG44" s="70">
        <f>+SUM(BG45:BG52)</f>
        <v>9</v>
      </c>
      <c r="BL44" s="76"/>
      <c r="BN44" s="70">
        <f>+SUM(BN45:BN52)</f>
        <v>9</v>
      </c>
      <c r="BS44" s="79" t="s">
        <v>157</v>
      </c>
      <c r="BU44" s="129">
        <f>+SUM(BU45:BU52)</f>
        <v>0</v>
      </c>
      <c r="BV44" s="9"/>
      <c r="BW44" s="9"/>
      <c r="BX44" s="9"/>
      <c r="BY44" s="9"/>
      <c r="BZ44" s="9"/>
      <c r="CA44" s="9"/>
      <c r="CB44" s="129">
        <f>+SUM(CB45:CB52)</f>
        <v>0</v>
      </c>
      <c r="CC44" s="9"/>
      <c r="CD44" s="9"/>
      <c r="CE44" s="9"/>
      <c r="CF44" s="9"/>
      <c r="CG44" s="9"/>
      <c r="CH44" s="9"/>
      <c r="CI44" s="129">
        <f>+SUM(CI45:CI52)</f>
        <v>0</v>
      </c>
      <c r="CJ44" s="63"/>
      <c r="CK44" s="63"/>
      <c r="CL44" s="63"/>
      <c r="CM44" s="63"/>
      <c r="CN44" s="9"/>
      <c r="CO44" s="9"/>
      <c r="CP44" s="129">
        <f>+SUM(CP45:CP52)</f>
        <v>0</v>
      </c>
      <c r="CQ44" s="9"/>
      <c r="CR44" s="9"/>
      <c r="CS44" s="9"/>
      <c r="CT44" s="9"/>
      <c r="CU44" s="9"/>
      <c r="CV44" s="9"/>
      <c r="CW44" s="129">
        <f>+SUM(CW45:CW52)</f>
        <v>0</v>
      </c>
      <c r="CX44" s="9"/>
      <c r="CY44" s="9"/>
      <c r="CZ44" s="9"/>
      <c r="DA44" s="9"/>
      <c r="DB44" s="9"/>
      <c r="DC44" s="9"/>
      <c r="DD44" s="129">
        <f>+SUM(DD45:DD52)</f>
        <v>0</v>
      </c>
      <c r="DE44" s="9"/>
      <c r="DF44" s="9"/>
      <c r="DG44" s="9"/>
      <c r="DH44" s="9"/>
      <c r="DI44" s="9"/>
      <c r="DJ44" s="9"/>
      <c r="DK44" s="129">
        <f>+SUM(DK45:DK52)</f>
        <v>0</v>
      </c>
      <c r="DL44" s="9"/>
      <c r="DM44" s="9"/>
      <c r="DN44" s="9"/>
      <c r="DO44" s="9"/>
      <c r="DP44" s="9"/>
      <c r="DQ44" s="9"/>
      <c r="DR44" s="129">
        <f>+SUM(DR45:DR52)</f>
        <v>0</v>
      </c>
      <c r="DS44" s="9"/>
      <c r="DT44" s="9"/>
      <c r="DU44" s="9"/>
      <c r="DV44" s="9"/>
      <c r="DW44" s="9"/>
    </row>
    <row r="45" spans="2:127" ht="15.65" customHeight="1" outlineLevel="1" thickBot="1">
      <c r="B45" s="24" t="s">
        <v>23</v>
      </c>
      <c r="C45" s="24" t="s">
        <v>51</v>
      </c>
      <c r="D45" s="24"/>
      <c r="E45" s="25"/>
      <c r="F45" s="25"/>
      <c r="G45" s="25"/>
      <c r="H45" s="24" t="s">
        <v>93</v>
      </c>
      <c r="I45" s="26">
        <v>0.125</v>
      </c>
      <c r="J45" s="63"/>
      <c r="L45" s="11">
        <f t="shared" ref="L45:L52" si="3">+SUMIF($Q$3:$ZV$3,L$3,$Q45:$ZV45)</f>
        <v>9</v>
      </c>
      <c r="M45" s="13" cm="1">
        <f t="array" ref="M45">MAX(IF($Q$3:$ED$3=$M$3,Q45:ED45))</f>
        <v>0</v>
      </c>
      <c r="N45" s="13" cm="1">
        <f t="array" ref="N45">MAX(IF($Q$3:$ED$3=$M$3,Q45:ED45))</f>
        <v>0</v>
      </c>
      <c r="O45" s="11"/>
      <c r="Q45">
        <v>9</v>
      </c>
      <c r="R45" s="124"/>
      <c r="S45" s="125">
        <v>1</v>
      </c>
      <c r="T45" s="125"/>
      <c r="U45" s="126">
        <v>1</v>
      </c>
      <c r="Y45" s="105"/>
      <c r="Z45" s="105">
        <v>1</v>
      </c>
      <c r="AA45" s="105"/>
      <c r="AB45" s="105">
        <v>1</v>
      </c>
      <c r="AC45" s="132"/>
      <c r="AD45" s="132"/>
      <c r="AE45" s="132"/>
      <c r="AF45" s="105"/>
      <c r="AG45" s="105">
        <v>1</v>
      </c>
      <c r="AH45" s="105"/>
      <c r="AI45" s="105">
        <v>1</v>
      </c>
      <c r="AJ45" s="132"/>
      <c r="AK45" s="132"/>
      <c r="AL45" s="132"/>
      <c r="AM45" s="105"/>
      <c r="AN45" s="105">
        <v>1</v>
      </c>
      <c r="AO45" s="105"/>
      <c r="AP45" s="105">
        <v>1</v>
      </c>
      <c r="AQ45" s="132"/>
      <c r="AR45" s="132"/>
      <c r="AS45" s="132"/>
      <c r="AT45" s="105"/>
      <c r="AU45" s="105">
        <v>1</v>
      </c>
      <c r="AV45" s="105"/>
      <c r="AW45" s="105">
        <v>1</v>
      </c>
      <c r="AX45" s="132"/>
      <c r="AY45" s="132"/>
      <c r="AZ45" s="132"/>
      <c r="BA45" s="105"/>
      <c r="BB45" s="105">
        <v>1</v>
      </c>
      <c r="BC45" s="105"/>
      <c r="BD45" s="105">
        <v>1</v>
      </c>
      <c r="BE45" s="132"/>
      <c r="BF45" s="132"/>
      <c r="BG45" s="132"/>
      <c r="BH45" s="105"/>
      <c r="BI45" s="105">
        <v>1</v>
      </c>
      <c r="BJ45" s="105"/>
      <c r="BK45" s="105">
        <v>1</v>
      </c>
      <c r="BL45" s="132"/>
      <c r="BM45" s="132"/>
      <c r="BN45" s="132"/>
      <c r="BO45" s="105"/>
      <c r="BP45" s="105">
        <v>1</v>
      </c>
      <c r="BQ45" s="105"/>
      <c r="BR45" s="105">
        <v>1</v>
      </c>
      <c r="BV45" s="12"/>
      <c r="BW45" s="12"/>
      <c r="BX45" s="12"/>
      <c r="BY45" s="12"/>
      <c r="CC45" s="12"/>
      <c r="CD45" s="12"/>
      <c r="CE45" s="12"/>
      <c r="CF45" s="12"/>
      <c r="CJ45" s="12"/>
      <c r="CK45" s="12"/>
      <c r="CL45" s="12"/>
      <c r="CM45" s="12"/>
      <c r="CQ45" s="12"/>
      <c r="CR45" s="12"/>
      <c r="CS45" s="12"/>
      <c r="CT45" s="12"/>
      <c r="CX45" s="12"/>
      <c r="CY45" s="12"/>
      <c r="CZ45" s="12"/>
      <c r="DA45" s="12"/>
      <c r="DE45" s="12"/>
      <c r="DF45" s="12"/>
      <c r="DG45" s="12"/>
      <c r="DH45" s="12"/>
      <c r="DL45" s="12"/>
      <c r="DM45" s="12"/>
      <c r="DN45" s="12"/>
      <c r="DO45" s="12"/>
      <c r="DS45" s="12"/>
      <c r="DT45" s="12"/>
      <c r="DU45" s="12"/>
      <c r="DV45" s="12"/>
    </row>
    <row r="46" spans="2:127" ht="15.65" customHeight="1" outlineLevel="1" thickBot="1">
      <c r="B46" s="24" t="s">
        <v>23</v>
      </c>
      <c r="C46" s="24" t="s">
        <v>51</v>
      </c>
      <c r="D46" s="24"/>
      <c r="E46" s="25"/>
      <c r="F46" s="25"/>
      <c r="G46" s="25"/>
      <c r="H46" s="24" t="s">
        <v>94</v>
      </c>
      <c r="I46" s="26">
        <v>0.125</v>
      </c>
      <c r="J46" s="63"/>
      <c r="L46" s="11">
        <f t="shared" si="3"/>
        <v>9</v>
      </c>
      <c r="M46" s="13" cm="1">
        <f t="array" ref="M46">MAX(IF($Q$3:$ED$3=$M$3,Q46:ED46))</f>
        <v>0</v>
      </c>
      <c r="N46" s="13" cm="1">
        <f t="array" ref="N46">MAX(IF($Q$3:$ED$3=$M$3,Q46:ED46))</f>
        <v>0</v>
      </c>
      <c r="O46" s="11"/>
      <c r="R46" s="12"/>
      <c r="S46" s="12"/>
      <c r="T46" s="12"/>
      <c r="U46" s="12"/>
      <c r="X46">
        <v>9</v>
      </c>
      <c r="Y46" s="124"/>
      <c r="Z46" s="125">
        <v>1</v>
      </c>
      <c r="AA46" s="125"/>
      <c r="AB46" s="126">
        <v>1</v>
      </c>
      <c r="AC46" s="132"/>
      <c r="AD46" s="132"/>
      <c r="AE46" s="132"/>
      <c r="AF46" s="105"/>
      <c r="AG46" s="105">
        <v>1</v>
      </c>
      <c r="AH46" s="105"/>
      <c r="AI46" s="105">
        <v>1</v>
      </c>
      <c r="AJ46" s="132"/>
      <c r="AK46" s="132"/>
      <c r="AL46" s="132"/>
      <c r="AM46" s="105"/>
      <c r="AN46" s="105">
        <v>1</v>
      </c>
      <c r="AO46" s="105"/>
      <c r="AP46" s="105">
        <v>1</v>
      </c>
      <c r="AQ46" s="132"/>
      <c r="AR46" s="132"/>
      <c r="AS46" s="132"/>
      <c r="AT46" s="105"/>
      <c r="AU46" s="105">
        <v>1</v>
      </c>
      <c r="AV46" s="105"/>
      <c r="AW46" s="105">
        <v>1</v>
      </c>
      <c r="AX46" s="132"/>
      <c r="AY46" s="132"/>
      <c r="AZ46" s="132"/>
      <c r="BA46" s="105"/>
      <c r="BB46" s="105">
        <v>1</v>
      </c>
      <c r="BC46" s="105"/>
      <c r="BD46" s="105">
        <v>1</v>
      </c>
      <c r="BE46" s="132"/>
      <c r="BF46" s="132"/>
      <c r="BG46" s="132"/>
      <c r="BH46" s="105"/>
      <c r="BI46" s="105">
        <v>1</v>
      </c>
      <c r="BJ46" s="105"/>
      <c r="BK46" s="105">
        <v>1</v>
      </c>
      <c r="BL46" s="132"/>
      <c r="BM46" s="132"/>
      <c r="BN46" s="132"/>
      <c r="BO46" s="105"/>
      <c r="BP46" s="105">
        <v>1</v>
      </c>
      <c r="BQ46" s="105"/>
      <c r="BR46" s="105">
        <v>1</v>
      </c>
      <c r="BV46" s="12"/>
      <c r="BW46" s="12"/>
      <c r="BX46" s="12"/>
      <c r="BY46" s="12"/>
      <c r="CC46" s="12"/>
      <c r="CD46" s="12"/>
      <c r="CE46" s="12"/>
      <c r="CF46" s="12"/>
      <c r="CJ46" s="12"/>
      <c r="CK46" s="12"/>
      <c r="CL46" s="12"/>
      <c r="CM46" s="12"/>
      <c r="CQ46" s="12"/>
      <c r="CR46" s="12"/>
      <c r="CS46" s="12"/>
      <c r="CT46" s="12"/>
      <c r="CX46" s="12"/>
      <c r="CY46" s="12"/>
      <c r="CZ46" s="12"/>
      <c r="DA46" s="12"/>
      <c r="DE46" s="12"/>
      <c r="DF46" s="12"/>
      <c r="DG46" s="12"/>
      <c r="DH46" s="12"/>
      <c r="DL46" s="12"/>
      <c r="DM46" s="12"/>
      <c r="DN46" s="12"/>
      <c r="DO46" s="12"/>
      <c r="DS46" s="12"/>
      <c r="DT46" s="12"/>
      <c r="DU46" s="12"/>
      <c r="DV46" s="12"/>
    </row>
    <row r="47" spans="2:127" ht="15.65" customHeight="1" outlineLevel="1" thickBot="1">
      <c r="B47" s="24" t="s">
        <v>23</v>
      </c>
      <c r="C47" s="24" t="s">
        <v>51</v>
      </c>
      <c r="D47" s="24"/>
      <c r="E47" s="25"/>
      <c r="F47" s="25"/>
      <c r="G47" s="25"/>
      <c r="H47" s="24" t="s">
        <v>95</v>
      </c>
      <c r="I47" s="26">
        <v>0.125</v>
      </c>
      <c r="J47" s="63"/>
      <c r="L47" s="11">
        <f t="shared" si="3"/>
        <v>9</v>
      </c>
      <c r="M47" s="13" cm="1">
        <f t="array" ref="M47">MAX(IF($Q$3:$ED$3=$M$3,Q47:ED47))</f>
        <v>0</v>
      </c>
      <c r="N47" s="13" cm="1">
        <f t="array" ref="N47">MAX(IF($Q$3:$ED$3=$M$3,Q47:ED47))</f>
        <v>0</v>
      </c>
      <c r="O47" s="11"/>
      <c r="R47" s="12"/>
      <c r="S47" s="12"/>
      <c r="T47" s="12"/>
      <c r="U47" s="12"/>
      <c r="Y47" s="105"/>
      <c r="Z47" s="105"/>
      <c r="AA47" s="105"/>
      <c r="AB47" s="105"/>
      <c r="AC47" s="132"/>
      <c r="AD47" s="132"/>
      <c r="AE47">
        <v>9</v>
      </c>
      <c r="AF47" s="124"/>
      <c r="AG47" s="125">
        <v>1</v>
      </c>
      <c r="AH47" s="125"/>
      <c r="AI47" s="126">
        <v>1</v>
      </c>
      <c r="AJ47" s="132"/>
      <c r="AK47" s="132"/>
      <c r="AL47" s="132"/>
      <c r="AM47" s="105"/>
      <c r="AN47" s="105">
        <v>1</v>
      </c>
      <c r="AO47" s="105"/>
      <c r="AP47" s="105">
        <v>1</v>
      </c>
      <c r="AQ47" s="132"/>
      <c r="AR47" s="132"/>
      <c r="AS47" s="132"/>
      <c r="AT47" s="105"/>
      <c r="AU47" s="105">
        <v>1</v>
      </c>
      <c r="AV47" s="105"/>
      <c r="AW47" s="105">
        <v>1</v>
      </c>
      <c r="AX47" s="132"/>
      <c r="AY47" s="132"/>
      <c r="AZ47" s="132"/>
      <c r="BA47" s="105"/>
      <c r="BB47" s="105">
        <v>1</v>
      </c>
      <c r="BC47" s="105"/>
      <c r="BD47" s="105">
        <v>1</v>
      </c>
      <c r="BE47" s="132"/>
      <c r="BF47" s="132"/>
      <c r="BG47" s="132"/>
      <c r="BH47" s="105"/>
      <c r="BI47" s="105">
        <v>1</v>
      </c>
      <c r="BJ47" s="105"/>
      <c r="BK47" s="105">
        <v>1</v>
      </c>
      <c r="BL47" s="132"/>
      <c r="BM47" s="132"/>
      <c r="BN47" s="132"/>
      <c r="BO47" s="105"/>
      <c r="BP47" s="105">
        <v>1</v>
      </c>
      <c r="BQ47" s="105"/>
      <c r="BR47" s="105">
        <v>1</v>
      </c>
      <c r="BV47" s="12"/>
      <c r="BW47" s="12"/>
      <c r="BX47" s="12"/>
      <c r="BY47" s="12"/>
      <c r="CC47" s="12"/>
      <c r="CD47" s="12"/>
      <c r="CE47" s="12"/>
      <c r="CF47" s="12"/>
      <c r="CJ47" s="12"/>
      <c r="CK47" s="12"/>
      <c r="CL47" s="12"/>
      <c r="CM47" s="12"/>
      <c r="CQ47" s="12"/>
      <c r="CR47" s="12"/>
      <c r="CS47" s="12"/>
      <c r="CT47" s="12"/>
      <c r="CX47" s="12"/>
      <c r="CY47" s="12"/>
      <c r="CZ47" s="12"/>
      <c r="DA47" s="12"/>
      <c r="DE47" s="12"/>
      <c r="DF47" s="12"/>
      <c r="DG47" s="12"/>
      <c r="DH47" s="12"/>
      <c r="DL47" s="12"/>
      <c r="DM47" s="12"/>
      <c r="DN47" s="12"/>
      <c r="DO47" s="12"/>
      <c r="DS47" s="12"/>
      <c r="DT47" s="12"/>
      <c r="DU47" s="12"/>
      <c r="DV47" s="12"/>
    </row>
    <row r="48" spans="2:127" ht="15.65" customHeight="1" outlineLevel="1" thickBot="1">
      <c r="B48" s="24" t="s">
        <v>23</v>
      </c>
      <c r="C48" s="24" t="s">
        <v>51</v>
      </c>
      <c r="D48" s="24"/>
      <c r="E48" s="25"/>
      <c r="F48" s="25"/>
      <c r="G48" s="25"/>
      <c r="H48" s="24" t="s">
        <v>96</v>
      </c>
      <c r="I48" s="26">
        <v>0.125</v>
      </c>
      <c r="J48" s="63"/>
      <c r="L48" s="11">
        <f t="shared" si="3"/>
        <v>9</v>
      </c>
      <c r="M48" s="13" cm="1">
        <f t="array" ref="M48">MAX(IF($Q$3:$ED$3=$M$3,Q48:ED48))</f>
        <v>0</v>
      </c>
      <c r="N48" s="13" cm="1">
        <f t="array" ref="N48">MAX(IF($Q$3:$ED$3=$M$3,Q48:ED48))</f>
        <v>0</v>
      </c>
      <c r="O48" s="11"/>
      <c r="R48" s="12"/>
      <c r="S48" s="12"/>
      <c r="T48" s="12"/>
      <c r="U48" s="12"/>
      <c r="Y48" s="105"/>
      <c r="Z48" s="105"/>
      <c r="AA48" s="105"/>
      <c r="AB48" s="105"/>
      <c r="AC48" s="132"/>
      <c r="AD48" s="132"/>
      <c r="AE48" s="132"/>
      <c r="AF48" s="105"/>
      <c r="AG48" s="105"/>
      <c r="AH48" s="105"/>
      <c r="AI48" s="105"/>
      <c r="AJ48" s="132"/>
      <c r="AK48" s="132"/>
      <c r="AL48">
        <v>9</v>
      </c>
      <c r="AM48" s="124"/>
      <c r="AN48" s="125">
        <v>1</v>
      </c>
      <c r="AO48" s="125"/>
      <c r="AP48" s="126">
        <v>1</v>
      </c>
      <c r="AQ48" s="132"/>
      <c r="AR48" s="132"/>
      <c r="AS48" s="132"/>
      <c r="AT48" s="105"/>
      <c r="AU48" s="105">
        <v>1</v>
      </c>
      <c r="AV48" s="105"/>
      <c r="AW48" s="105">
        <v>1</v>
      </c>
      <c r="AX48" s="132"/>
      <c r="AY48" s="132"/>
      <c r="AZ48" s="132"/>
      <c r="BA48" s="105"/>
      <c r="BB48" s="105">
        <v>1</v>
      </c>
      <c r="BC48" s="105"/>
      <c r="BD48" s="105">
        <v>1</v>
      </c>
      <c r="BE48" s="132"/>
      <c r="BF48" s="132"/>
      <c r="BG48" s="132"/>
      <c r="BH48" s="105"/>
      <c r="BI48" s="105">
        <v>1</v>
      </c>
      <c r="BJ48" s="105"/>
      <c r="BK48" s="105">
        <v>1</v>
      </c>
      <c r="BL48" s="132"/>
      <c r="BM48" s="132"/>
      <c r="BN48" s="132"/>
      <c r="BO48" s="105"/>
      <c r="BP48" s="105">
        <v>1</v>
      </c>
      <c r="BQ48" s="105"/>
      <c r="BR48" s="105">
        <v>1</v>
      </c>
      <c r="BV48" s="12"/>
      <c r="BW48" s="12"/>
      <c r="BX48" s="12"/>
      <c r="BY48" s="12"/>
      <c r="CC48" s="12"/>
      <c r="CD48" s="12"/>
      <c r="CE48" s="12"/>
      <c r="CF48" s="12"/>
      <c r="CJ48" s="12"/>
      <c r="CK48" s="12"/>
      <c r="CL48" s="12"/>
      <c r="CM48" s="12"/>
      <c r="CQ48" s="12"/>
      <c r="CR48" s="12"/>
      <c r="CS48" s="12"/>
      <c r="CT48" s="12"/>
      <c r="CX48" s="12"/>
      <c r="CY48" s="12"/>
      <c r="CZ48" s="12"/>
      <c r="DA48" s="12"/>
      <c r="DE48" s="12"/>
      <c r="DF48" s="12"/>
      <c r="DG48" s="12"/>
      <c r="DH48" s="12"/>
      <c r="DL48" s="12"/>
      <c r="DM48" s="12"/>
      <c r="DN48" s="12"/>
      <c r="DO48" s="12"/>
      <c r="DS48" s="12"/>
      <c r="DT48" s="12"/>
      <c r="DU48" s="12"/>
      <c r="DV48" s="12"/>
    </row>
    <row r="49" spans="2:127" ht="15.65" customHeight="1" outlineLevel="1" thickBot="1">
      <c r="B49" s="24" t="s">
        <v>23</v>
      </c>
      <c r="C49" s="24" t="s">
        <v>51</v>
      </c>
      <c r="D49" s="24"/>
      <c r="E49" s="25"/>
      <c r="F49" s="25"/>
      <c r="G49" s="25"/>
      <c r="H49" s="24" t="s">
        <v>97</v>
      </c>
      <c r="I49" s="26">
        <v>0.125</v>
      </c>
      <c r="J49" s="63"/>
      <c r="L49" s="11">
        <f t="shared" si="3"/>
        <v>9</v>
      </c>
      <c r="M49" s="13" cm="1">
        <f t="array" ref="M49">MAX(IF($Q$3:$ED$3=$M$3,Q49:ED49))</f>
        <v>0</v>
      </c>
      <c r="N49" s="13" cm="1">
        <f t="array" ref="N49">MAX(IF($Q$3:$ED$3=$M$3,Q49:ED49))</f>
        <v>0</v>
      </c>
      <c r="O49" s="11"/>
      <c r="R49" s="12"/>
      <c r="S49" s="12"/>
      <c r="T49" s="12"/>
      <c r="U49" s="12"/>
      <c r="Y49" s="105"/>
      <c r="Z49" s="105"/>
      <c r="AA49" s="105"/>
      <c r="AB49" s="105"/>
      <c r="AC49" s="132"/>
      <c r="AD49" s="132"/>
      <c r="AE49" s="132"/>
      <c r="AF49" s="105"/>
      <c r="AG49" s="105"/>
      <c r="AH49" s="105"/>
      <c r="AI49" s="105"/>
      <c r="AJ49" s="132"/>
      <c r="AK49" s="132"/>
      <c r="AL49" s="132"/>
      <c r="AM49" s="105"/>
      <c r="AN49" s="105"/>
      <c r="AO49" s="105"/>
      <c r="AP49" s="105"/>
      <c r="AQ49" s="132"/>
      <c r="AR49" s="132"/>
      <c r="AS49">
        <v>9</v>
      </c>
      <c r="AT49" s="124"/>
      <c r="AU49" s="125">
        <v>1</v>
      </c>
      <c r="AV49" s="125"/>
      <c r="AW49" s="126">
        <v>1</v>
      </c>
      <c r="AX49" s="132"/>
      <c r="AY49" s="132"/>
      <c r="AZ49" s="132"/>
      <c r="BA49" s="105"/>
      <c r="BB49" s="105">
        <v>1</v>
      </c>
      <c r="BC49" s="105"/>
      <c r="BD49" s="105">
        <v>1</v>
      </c>
      <c r="BE49" s="132"/>
      <c r="BF49" s="132"/>
      <c r="BG49" s="132"/>
      <c r="BH49" s="105"/>
      <c r="BI49" s="105">
        <v>1</v>
      </c>
      <c r="BJ49" s="105"/>
      <c r="BK49" s="105">
        <v>1</v>
      </c>
      <c r="BL49" s="132"/>
      <c r="BM49" s="132"/>
      <c r="BN49" s="132"/>
      <c r="BO49" s="105"/>
      <c r="BP49" s="105">
        <v>1</v>
      </c>
      <c r="BQ49" s="105"/>
      <c r="BR49" s="105">
        <v>1</v>
      </c>
      <c r="BV49" s="12"/>
      <c r="BW49" s="12"/>
      <c r="BX49" s="12"/>
      <c r="BY49" s="12"/>
      <c r="CC49" s="12"/>
      <c r="CD49" s="12"/>
      <c r="CE49" s="12"/>
      <c r="CF49" s="12"/>
      <c r="CJ49" s="12"/>
      <c r="CK49" s="12"/>
      <c r="CL49" s="12"/>
      <c r="CM49" s="12"/>
      <c r="CQ49" s="12"/>
      <c r="CR49" s="12"/>
      <c r="CS49" s="12"/>
      <c r="CT49" s="12"/>
      <c r="CX49" s="12"/>
      <c r="CY49" s="12"/>
      <c r="CZ49" s="12"/>
      <c r="DA49" s="12"/>
      <c r="DE49" s="12"/>
      <c r="DF49" s="12"/>
      <c r="DG49" s="12"/>
      <c r="DH49" s="12"/>
      <c r="DL49" s="12"/>
      <c r="DM49" s="12"/>
      <c r="DN49" s="12"/>
      <c r="DO49" s="12"/>
      <c r="DS49" s="12"/>
      <c r="DT49" s="12"/>
      <c r="DU49" s="12"/>
      <c r="DV49" s="12"/>
    </row>
    <row r="50" spans="2:127" ht="15.65" customHeight="1" outlineLevel="1" thickBot="1">
      <c r="B50" s="24" t="s">
        <v>23</v>
      </c>
      <c r="C50" s="24" t="s">
        <v>51</v>
      </c>
      <c r="D50" s="24"/>
      <c r="E50" s="25"/>
      <c r="F50" s="25"/>
      <c r="G50" s="25"/>
      <c r="H50" s="24" t="s">
        <v>100</v>
      </c>
      <c r="I50" s="26">
        <v>0.125</v>
      </c>
      <c r="J50" s="63"/>
      <c r="L50" s="11">
        <f t="shared" si="3"/>
        <v>9</v>
      </c>
      <c r="M50" s="13" cm="1">
        <f t="array" ref="M50">MAX(IF($Q$3:$ED$3=$M$3,Q50:ED50))</f>
        <v>0</v>
      </c>
      <c r="N50" s="13" cm="1">
        <f t="array" ref="N50">MAX(IF($Q$3:$ED$3=$M$3,Q50:ED50))</f>
        <v>0</v>
      </c>
      <c r="O50" s="11"/>
      <c r="R50" s="12"/>
      <c r="S50" s="12"/>
      <c r="T50" s="12"/>
      <c r="U50" s="12"/>
      <c r="Y50" s="105"/>
      <c r="Z50" s="105"/>
      <c r="AA50" s="105"/>
      <c r="AB50" s="105"/>
      <c r="AC50" s="132"/>
      <c r="AD50" s="132"/>
      <c r="AE50" s="132"/>
      <c r="AF50" s="105"/>
      <c r="AG50" s="105"/>
      <c r="AH50" s="105"/>
      <c r="AI50" s="105"/>
      <c r="AJ50" s="132"/>
      <c r="AK50" s="132"/>
      <c r="AL50" s="132"/>
      <c r="AM50" s="105"/>
      <c r="AN50" s="105"/>
      <c r="AO50" s="105"/>
      <c r="AP50" s="105"/>
      <c r="AQ50" s="132"/>
      <c r="AR50" s="132"/>
      <c r="AS50" s="132"/>
      <c r="AT50" s="105"/>
      <c r="AU50" s="105"/>
      <c r="AV50" s="105"/>
      <c r="AW50" s="105"/>
      <c r="AX50" s="132"/>
      <c r="AY50" s="132"/>
      <c r="AZ50">
        <v>9</v>
      </c>
      <c r="BA50" s="124"/>
      <c r="BB50" s="125">
        <v>1</v>
      </c>
      <c r="BC50" s="125"/>
      <c r="BD50" s="126">
        <v>1</v>
      </c>
      <c r="BE50" s="132"/>
      <c r="BF50" s="132"/>
      <c r="BG50" s="132"/>
      <c r="BH50" s="105"/>
      <c r="BI50" s="105">
        <v>1</v>
      </c>
      <c r="BJ50" s="105"/>
      <c r="BK50" s="105">
        <v>1</v>
      </c>
      <c r="BL50" s="132"/>
      <c r="BM50" s="132"/>
      <c r="BN50" s="132"/>
      <c r="BO50" s="105"/>
      <c r="BP50" s="105">
        <v>1</v>
      </c>
      <c r="BQ50" s="105"/>
      <c r="BR50" s="105">
        <v>1</v>
      </c>
      <c r="BV50" s="12"/>
      <c r="BW50" s="12"/>
      <c r="BX50" s="12"/>
      <c r="BY50" s="12"/>
      <c r="CC50" s="12"/>
      <c r="CD50" s="12"/>
      <c r="CE50" s="12"/>
      <c r="CF50" s="12"/>
      <c r="CJ50" s="12"/>
      <c r="CK50" s="12"/>
      <c r="CL50" s="12"/>
      <c r="CM50" s="12"/>
      <c r="CQ50" s="12"/>
      <c r="CR50" s="12"/>
      <c r="CS50" s="12"/>
      <c r="CT50" s="12"/>
      <c r="CX50" s="12"/>
      <c r="CY50" s="12"/>
      <c r="CZ50" s="12"/>
      <c r="DA50" s="12"/>
      <c r="DE50" s="12"/>
      <c r="DF50" s="12"/>
      <c r="DG50" s="12"/>
      <c r="DH50" s="12"/>
      <c r="DL50" s="12"/>
      <c r="DM50" s="12"/>
      <c r="DN50" s="12"/>
      <c r="DO50" s="12"/>
      <c r="DS50" s="12"/>
      <c r="DT50" s="12"/>
      <c r="DU50" s="12"/>
      <c r="DV50" s="12"/>
    </row>
    <row r="51" spans="2:127" ht="15.65" customHeight="1" outlineLevel="1" thickBot="1">
      <c r="B51" s="24" t="s">
        <v>23</v>
      </c>
      <c r="C51" s="24" t="s">
        <v>51</v>
      </c>
      <c r="D51" s="24"/>
      <c r="E51" s="25"/>
      <c r="F51" s="25"/>
      <c r="G51" s="25"/>
      <c r="H51" s="24" t="s">
        <v>98</v>
      </c>
      <c r="I51" s="26">
        <v>0.125</v>
      </c>
      <c r="J51" s="63"/>
      <c r="L51" s="11">
        <f t="shared" si="3"/>
        <v>9</v>
      </c>
      <c r="M51" s="13" cm="1">
        <f t="array" ref="M51">MAX(IF($Q$3:$ED$3=$M$3,Q51:ED51))</f>
        <v>0</v>
      </c>
      <c r="N51" s="13" cm="1">
        <f t="array" ref="N51">MAX(IF($Q$3:$ED$3=$M$3,Q51:ED51))</f>
        <v>0</v>
      </c>
      <c r="O51" s="11"/>
      <c r="R51" s="12"/>
      <c r="S51" s="12"/>
      <c r="T51" s="12"/>
      <c r="U51" s="12"/>
      <c r="Y51" s="105"/>
      <c r="Z51" s="105"/>
      <c r="AA51" s="105"/>
      <c r="AB51" s="105"/>
      <c r="AC51" s="132"/>
      <c r="AD51" s="132"/>
      <c r="AE51" s="132"/>
      <c r="AF51" s="105"/>
      <c r="AG51" s="105"/>
      <c r="AH51" s="105"/>
      <c r="AI51" s="105"/>
      <c r="AJ51" s="132"/>
      <c r="AK51" s="132"/>
      <c r="AL51" s="132"/>
      <c r="AM51" s="105"/>
      <c r="AN51" s="105"/>
      <c r="AO51" s="105"/>
      <c r="AP51" s="105"/>
      <c r="AQ51" s="132"/>
      <c r="AR51" s="132"/>
      <c r="AS51" s="132"/>
      <c r="AT51" s="105"/>
      <c r="AU51" s="105"/>
      <c r="AV51" s="105"/>
      <c r="AW51" s="105"/>
      <c r="AX51" s="132"/>
      <c r="AY51" s="132"/>
      <c r="AZ51" s="132"/>
      <c r="BA51" s="105"/>
      <c r="BB51" s="105"/>
      <c r="BC51" s="105"/>
      <c r="BD51" s="105"/>
      <c r="BE51" s="132"/>
      <c r="BF51" s="132"/>
      <c r="BG51">
        <v>9</v>
      </c>
      <c r="BH51" s="124"/>
      <c r="BI51" s="125">
        <v>1</v>
      </c>
      <c r="BJ51" s="125"/>
      <c r="BK51" s="126">
        <v>1</v>
      </c>
      <c r="BL51" s="132"/>
      <c r="BM51" s="132"/>
      <c r="BN51" s="132"/>
      <c r="BO51" s="105"/>
      <c r="BP51" s="105">
        <v>1</v>
      </c>
      <c r="BQ51" s="105"/>
      <c r="BR51" s="105">
        <v>1</v>
      </c>
      <c r="BV51" s="12"/>
      <c r="BW51" s="12"/>
      <c r="BX51" s="12"/>
      <c r="BY51" s="12"/>
      <c r="CC51" s="12"/>
      <c r="CD51" s="12"/>
      <c r="CE51" s="12"/>
      <c r="CF51" s="12"/>
      <c r="CJ51" s="12"/>
      <c r="CK51" s="12"/>
      <c r="CL51" s="12"/>
      <c r="CM51" s="12"/>
      <c r="CQ51" s="12"/>
      <c r="CR51" s="12"/>
      <c r="CS51" s="12"/>
      <c r="CT51" s="12"/>
      <c r="CX51" s="12"/>
      <c r="CY51" s="12"/>
      <c r="CZ51" s="12"/>
      <c r="DA51" s="12"/>
      <c r="DE51" s="12"/>
      <c r="DF51" s="12"/>
      <c r="DG51" s="12"/>
      <c r="DH51" s="12"/>
      <c r="DL51" s="12"/>
      <c r="DM51" s="12"/>
      <c r="DN51" s="12"/>
      <c r="DO51" s="12"/>
      <c r="DS51" s="12"/>
      <c r="DT51" s="12"/>
      <c r="DU51" s="12"/>
      <c r="DV51" s="12"/>
    </row>
    <row r="52" spans="2:127" ht="15.65" customHeight="1" outlineLevel="1" thickBot="1">
      <c r="B52" s="24" t="s">
        <v>23</v>
      </c>
      <c r="C52" s="24" t="s">
        <v>51</v>
      </c>
      <c r="D52" s="24"/>
      <c r="E52" s="25"/>
      <c r="F52" s="25"/>
      <c r="G52" s="25"/>
      <c r="H52" s="24" t="s">
        <v>99</v>
      </c>
      <c r="I52" s="26">
        <v>0.125</v>
      </c>
      <c r="J52" s="63"/>
      <c r="L52" s="11">
        <f t="shared" si="3"/>
        <v>9</v>
      </c>
      <c r="M52" s="13" cm="1">
        <f t="array" ref="M52">MAX(IF($Q$3:$ED$3=$M$3,Q52:ED52))</f>
        <v>0</v>
      </c>
      <c r="N52" s="13" cm="1">
        <f t="array" ref="N52">MAX(IF($Q$3:$ED$3=$M$3,Q52:ED52))</f>
        <v>0</v>
      </c>
      <c r="O52" s="11"/>
      <c r="R52" s="12"/>
      <c r="S52" s="12"/>
      <c r="T52" s="12"/>
      <c r="U52" s="12"/>
      <c r="Y52" s="105"/>
      <c r="Z52" s="105"/>
      <c r="AA52" s="105"/>
      <c r="AB52" s="105"/>
      <c r="AC52" s="132"/>
      <c r="AD52" s="132"/>
      <c r="AE52" s="132"/>
      <c r="AF52" s="105"/>
      <c r="AG52" s="105"/>
      <c r="AH52" s="105"/>
      <c r="AI52" s="105"/>
      <c r="AJ52" s="132"/>
      <c r="AK52" s="132"/>
      <c r="AL52" s="132"/>
      <c r="AM52" s="105"/>
      <c r="AN52" s="105"/>
      <c r="AO52" s="105"/>
      <c r="AP52" s="105"/>
      <c r="AQ52" s="132"/>
      <c r="AR52" s="132"/>
      <c r="AS52" s="132"/>
      <c r="AT52" s="105"/>
      <c r="AU52" s="105"/>
      <c r="AV52" s="105"/>
      <c r="AW52" s="105"/>
      <c r="AX52" s="132"/>
      <c r="AY52" s="132"/>
      <c r="AZ52" s="132"/>
      <c r="BA52" s="105"/>
      <c r="BB52" s="105"/>
      <c r="BC52" s="105"/>
      <c r="BD52" s="105"/>
      <c r="BE52" s="132"/>
      <c r="BF52" s="132"/>
      <c r="BG52" s="132"/>
      <c r="BH52" s="105"/>
      <c r="BI52" s="105"/>
      <c r="BJ52" s="105"/>
      <c r="BK52" s="105"/>
      <c r="BL52" s="132"/>
      <c r="BM52" s="132"/>
      <c r="BN52">
        <v>9</v>
      </c>
      <c r="BO52" s="124"/>
      <c r="BP52" s="125">
        <v>1</v>
      </c>
      <c r="BQ52" s="125"/>
      <c r="BR52" s="126">
        <v>1</v>
      </c>
      <c r="BV52" s="12"/>
      <c r="BW52" s="12"/>
      <c r="BX52" s="12"/>
      <c r="BY52" s="12"/>
      <c r="CC52" s="12"/>
      <c r="CD52" s="12"/>
      <c r="CE52" s="12"/>
      <c r="CF52" s="12"/>
      <c r="CJ52" s="12"/>
      <c r="CK52" s="12"/>
      <c r="CL52" s="12"/>
      <c r="CM52" s="12"/>
      <c r="CQ52" s="12"/>
      <c r="CR52" s="12"/>
      <c r="CS52" s="12"/>
      <c r="CT52" s="12"/>
      <c r="CX52" s="12"/>
      <c r="CY52" s="12"/>
      <c r="CZ52" s="12"/>
      <c r="DA52" s="12"/>
      <c r="DE52" s="12"/>
      <c r="DF52" s="12"/>
      <c r="DG52" s="12"/>
      <c r="DH52" s="12"/>
      <c r="DL52" s="12"/>
      <c r="DM52" s="12"/>
      <c r="DN52" s="12"/>
      <c r="DO52" s="12"/>
      <c r="DS52" s="12"/>
      <c r="DT52" s="12"/>
      <c r="DU52" s="12"/>
      <c r="DV52" s="12"/>
    </row>
    <row r="53" spans="2:127">
      <c r="J53" s="9"/>
      <c r="R53" s="9"/>
      <c r="Y53" s="9"/>
      <c r="AF53" s="9"/>
      <c r="AM53" s="9"/>
      <c r="AT53" s="9"/>
      <c r="BA53" s="9"/>
      <c r="BH53" s="9"/>
      <c r="BO53" s="9"/>
      <c r="BV53" s="9"/>
      <c r="CC53" s="9"/>
      <c r="CJ53" s="9"/>
      <c r="CQ53" s="9"/>
      <c r="CX53" s="9"/>
      <c r="DE53" s="9"/>
      <c r="DL53" s="9"/>
      <c r="DS53" s="9"/>
    </row>
    <row r="54" spans="2:127" s="27" customFormat="1" ht="16" customHeight="1" thickBot="1">
      <c r="B54" s="27" t="s">
        <v>22</v>
      </c>
      <c r="C54" s="27" t="s">
        <v>50</v>
      </c>
      <c r="D54" s="27" t="s">
        <v>69</v>
      </c>
      <c r="E54" s="28">
        <v>24</v>
      </c>
      <c r="F54" s="28">
        <f>E54/10</f>
        <v>2.4</v>
      </c>
      <c r="G54" s="28">
        <v>2.5</v>
      </c>
      <c r="I54" s="29">
        <f>+SUM(I55:I62)</f>
        <v>0.99999999999999789</v>
      </c>
      <c r="J54" s="29"/>
      <c r="L54" s="137">
        <f>+SUM(L55:L62)</f>
        <v>39</v>
      </c>
      <c r="M54" s="69">
        <f>+SUMPRODUCT(J55:J62,M55:M62)</f>
        <v>0</v>
      </c>
      <c r="N54" s="69">
        <f>+SUMPRODUCT(J55:J62,N55:N62)</f>
        <v>0</v>
      </c>
      <c r="O54" s="28"/>
      <c r="Q54" s="68">
        <f>+SUM(Q55:Q62)</f>
        <v>4.5</v>
      </c>
      <c r="X54" s="68">
        <f>+SUM(X55:X62)</f>
        <v>4.5</v>
      </c>
      <c r="AE54" s="68">
        <f>+SUM(AE55:AE62)</f>
        <v>4.5</v>
      </c>
      <c r="AL54" s="68">
        <f>+SUM(AL55:AL62)</f>
        <v>4.5</v>
      </c>
      <c r="AS54" s="68">
        <f>+SUM(AS55:AS62)</f>
        <v>4.5</v>
      </c>
      <c r="AZ54" s="68">
        <f>+SUM(AZ55:AZ62)</f>
        <v>4.5</v>
      </c>
      <c r="BG54" s="68">
        <f>+SUM(BG55:BG62)</f>
        <v>4</v>
      </c>
      <c r="BN54" s="68">
        <f>+SUM(BN55:BN62)</f>
        <v>2</v>
      </c>
      <c r="BU54" s="68">
        <f>+SUM(BU55:BU62)</f>
        <v>4</v>
      </c>
      <c r="CB54" s="68">
        <f>+SUM(CB55:CB62)</f>
        <v>2</v>
      </c>
      <c r="CI54" s="94">
        <f>+SUM(CI55:CI62)</f>
        <v>0</v>
      </c>
      <c r="CJ54" s="35"/>
      <c r="CK54" s="35"/>
      <c r="CL54" s="35"/>
      <c r="CM54" s="35"/>
      <c r="CN54" s="35"/>
      <c r="CO54" s="35"/>
      <c r="CP54" s="94">
        <f>+SUM(CP55:CP62)</f>
        <v>0</v>
      </c>
      <c r="CQ54" s="35"/>
      <c r="CR54" s="35"/>
      <c r="CS54" s="35"/>
      <c r="CT54" s="35"/>
      <c r="CU54" s="35"/>
      <c r="CV54" s="35"/>
      <c r="CW54" s="94">
        <f>+SUM(CW55:CW62)</f>
        <v>0</v>
      </c>
      <c r="CX54" s="35"/>
      <c r="CY54" s="35"/>
      <c r="CZ54" s="35"/>
      <c r="DA54" s="35"/>
      <c r="DB54" s="95" t="s">
        <v>123</v>
      </c>
      <c r="DD54" s="129">
        <f>+SUM(DD55:DD62)</f>
        <v>0</v>
      </c>
      <c r="DE54" s="9"/>
      <c r="DF54" s="9"/>
      <c r="DG54" s="9"/>
      <c r="DH54" s="9"/>
      <c r="DI54" s="9"/>
      <c r="DJ54" s="9"/>
      <c r="DK54" s="129">
        <f>+SUM(DK55:DK62)</f>
        <v>0</v>
      </c>
      <c r="DL54" s="9"/>
      <c r="DM54" s="9"/>
      <c r="DN54" s="9"/>
      <c r="DO54" s="9"/>
      <c r="DP54" s="9"/>
      <c r="DQ54" s="9"/>
      <c r="DR54" s="129">
        <f>+SUM(DR55:DR62)</f>
        <v>0</v>
      </c>
      <c r="DS54" s="9"/>
      <c r="DT54" s="9"/>
      <c r="DU54" s="9"/>
      <c r="DV54" s="9"/>
      <c r="DW54" s="9"/>
    </row>
    <row r="55" spans="2:127" ht="15.65" customHeight="1" outlineLevel="1" thickBot="1">
      <c r="B55" s="27" t="s">
        <v>23</v>
      </c>
      <c r="C55" s="27" t="s">
        <v>50</v>
      </c>
      <c r="D55" s="27"/>
      <c r="E55" s="28"/>
      <c r="F55" s="28"/>
      <c r="G55" s="28"/>
      <c r="H55" s="35" t="s">
        <v>127</v>
      </c>
      <c r="I55" s="36">
        <v>0.1</v>
      </c>
      <c r="J55" s="63"/>
      <c r="L55" s="11">
        <f t="shared" ref="L55:L62" si="4">+SUMIF($Q$3:$ZV$3,L$3,$Q55:$ZV55)</f>
        <v>4.5</v>
      </c>
      <c r="M55" s="13" cm="1">
        <f t="array" ref="M55">MAX(IF($Q$3:$ED$3=$M$3,Q55:ED55))</f>
        <v>0</v>
      </c>
      <c r="N55" s="13" cm="1">
        <f t="array" ref="N55">MAX(IF($Q$3:$ED$3=$M$3,Q55:ED55))</f>
        <v>0</v>
      </c>
      <c r="O55" s="11"/>
      <c r="Q55">
        <v>1.5</v>
      </c>
      <c r="R55" s="116"/>
      <c r="S55" s="117">
        <v>0.5</v>
      </c>
      <c r="T55" s="117"/>
      <c r="U55" s="118">
        <v>0.5</v>
      </c>
      <c r="Y55" s="12"/>
      <c r="Z55" s="12">
        <v>0.5</v>
      </c>
      <c r="AA55" s="12"/>
      <c r="AB55" s="12">
        <v>0.5</v>
      </c>
      <c r="AE55">
        <v>1.5</v>
      </c>
      <c r="AF55" s="124"/>
      <c r="AG55" s="125">
        <v>0.8</v>
      </c>
      <c r="AH55" s="125"/>
      <c r="AI55" s="126">
        <v>0.8</v>
      </c>
      <c r="AM55" s="12"/>
      <c r="AN55" s="12">
        <v>0.8</v>
      </c>
      <c r="AO55" s="12"/>
      <c r="AP55" s="12">
        <v>0.8</v>
      </c>
      <c r="AT55" s="12"/>
      <c r="AU55" s="12">
        <v>0.8</v>
      </c>
      <c r="AV55" s="12"/>
      <c r="AW55" s="12">
        <v>0.8</v>
      </c>
      <c r="AZ55">
        <v>1.5</v>
      </c>
      <c r="BA55" s="116"/>
      <c r="BB55" s="117">
        <v>1</v>
      </c>
      <c r="BC55" s="117"/>
      <c r="BD55" s="118">
        <v>1</v>
      </c>
      <c r="BH55" s="12"/>
      <c r="BI55" s="12">
        <v>1</v>
      </c>
      <c r="BJ55" s="12"/>
      <c r="BK55" s="12">
        <v>1</v>
      </c>
      <c r="BO55" s="12"/>
      <c r="BP55" s="12">
        <v>1</v>
      </c>
      <c r="BQ55" s="12"/>
      <c r="BR55" s="12">
        <v>1</v>
      </c>
      <c r="BV55" s="12"/>
      <c r="BW55" s="12">
        <v>1</v>
      </c>
      <c r="BX55" s="12"/>
      <c r="BY55" s="12">
        <v>1</v>
      </c>
      <c r="CC55" s="12"/>
      <c r="CD55" s="12">
        <v>1</v>
      </c>
      <c r="CE55" s="12"/>
      <c r="CF55" s="12">
        <v>1</v>
      </c>
      <c r="CJ55" s="12"/>
      <c r="CK55" s="12"/>
      <c r="CL55" s="12"/>
      <c r="CM55" s="12"/>
      <c r="CQ55" s="12"/>
      <c r="CR55" s="12"/>
      <c r="CS55" s="12"/>
      <c r="CT55" s="12"/>
      <c r="CX55" s="12"/>
      <c r="CY55" s="12"/>
      <c r="CZ55" s="12"/>
      <c r="DA55" s="12"/>
      <c r="DE55" s="12"/>
      <c r="DF55" s="12"/>
      <c r="DG55" s="12"/>
      <c r="DH55" s="12"/>
      <c r="DL55" s="12"/>
      <c r="DM55" s="12"/>
      <c r="DN55" s="12"/>
      <c r="DO55" s="12"/>
      <c r="DS55" s="12"/>
      <c r="DT55" s="12"/>
      <c r="DU55" s="12"/>
      <c r="DV55" s="12"/>
    </row>
    <row r="56" spans="2:127" ht="15.65" customHeight="1" outlineLevel="1" thickBot="1">
      <c r="B56" s="27" t="s">
        <v>23</v>
      </c>
      <c r="C56" s="27" t="s">
        <v>50</v>
      </c>
      <c r="D56" s="27"/>
      <c r="E56" s="28"/>
      <c r="F56" s="28"/>
      <c r="G56" s="28"/>
      <c r="H56" s="35" t="s">
        <v>126</v>
      </c>
      <c r="I56" s="36">
        <v>0.1</v>
      </c>
      <c r="J56" s="63"/>
      <c r="L56" s="11">
        <f t="shared" si="4"/>
        <v>4.5</v>
      </c>
      <c r="M56" s="13" cm="1">
        <f t="array" ref="M56">MAX(IF($Q$3:$ED$3=$M$3,Q56:ED56))</f>
        <v>0</v>
      </c>
      <c r="N56" s="13" cm="1">
        <f t="array" ref="N56">MAX(IF($Q$3:$ED$3=$M$3,Q56:ED56))</f>
        <v>0</v>
      </c>
      <c r="O56" s="11"/>
      <c r="Q56">
        <v>1.5</v>
      </c>
      <c r="R56" s="119"/>
      <c r="S56" s="105">
        <v>0.5</v>
      </c>
      <c r="T56" s="105"/>
      <c r="U56" s="120">
        <v>0.5</v>
      </c>
      <c r="Y56" s="12"/>
      <c r="Z56" s="12">
        <v>0.5</v>
      </c>
      <c r="AA56" s="12"/>
      <c r="AB56" s="12">
        <v>0.5</v>
      </c>
      <c r="AF56" s="12"/>
      <c r="AG56" s="12">
        <v>0.5</v>
      </c>
      <c r="AH56" s="12"/>
      <c r="AI56" s="12">
        <v>0.5</v>
      </c>
      <c r="AL56">
        <v>1.5</v>
      </c>
      <c r="AM56" s="116"/>
      <c r="AN56" s="117">
        <v>0.8</v>
      </c>
      <c r="AO56" s="117"/>
      <c r="AP56" s="118">
        <v>0.8</v>
      </c>
      <c r="AT56" s="12"/>
      <c r="AU56" s="12">
        <v>0.8</v>
      </c>
      <c r="AV56" s="12"/>
      <c r="AW56" s="12">
        <v>0.8</v>
      </c>
      <c r="AZ56">
        <v>1.5</v>
      </c>
      <c r="BA56" s="121"/>
      <c r="BB56" s="122">
        <v>1</v>
      </c>
      <c r="BC56" s="122"/>
      <c r="BD56" s="123">
        <v>1</v>
      </c>
      <c r="BH56" s="12"/>
      <c r="BI56" s="12">
        <v>1</v>
      </c>
      <c r="BJ56" s="12"/>
      <c r="BK56" s="12">
        <v>1</v>
      </c>
      <c r="BO56" s="12"/>
      <c r="BP56" s="12">
        <v>1</v>
      </c>
      <c r="BQ56" s="12"/>
      <c r="BR56" s="12">
        <v>1</v>
      </c>
      <c r="BV56" s="12"/>
      <c r="BW56" s="12">
        <v>1</v>
      </c>
      <c r="BX56" s="12"/>
      <c r="BY56" s="12">
        <v>1</v>
      </c>
      <c r="CC56" s="12"/>
      <c r="CD56" s="12">
        <v>1</v>
      </c>
      <c r="CE56" s="12"/>
      <c r="CF56" s="12">
        <v>1</v>
      </c>
      <c r="CJ56" s="12"/>
      <c r="CK56" s="12"/>
      <c r="CL56" s="12"/>
      <c r="CM56" s="12"/>
      <c r="CQ56" s="12"/>
      <c r="CR56" s="12"/>
      <c r="CS56" s="12"/>
      <c r="CT56" s="12"/>
      <c r="CX56" s="12"/>
      <c r="CY56" s="12"/>
      <c r="CZ56" s="12"/>
      <c r="DA56" s="12"/>
      <c r="DE56" s="12"/>
      <c r="DF56" s="12"/>
      <c r="DG56" s="12"/>
      <c r="DH56" s="12"/>
      <c r="DL56" s="12"/>
      <c r="DM56" s="12"/>
      <c r="DN56" s="12"/>
      <c r="DO56" s="12"/>
      <c r="DS56" s="12"/>
      <c r="DT56" s="12"/>
      <c r="DU56" s="12"/>
      <c r="DV56" s="12"/>
    </row>
    <row r="57" spans="2:127" ht="15.65" customHeight="1" outlineLevel="1" thickBot="1">
      <c r="B57" s="27" t="s">
        <v>23</v>
      </c>
      <c r="C57" s="27" t="s">
        <v>50</v>
      </c>
      <c r="D57" s="27"/>
      <c r="E57" s="28"/>
      <c r="F57" s="28"/>
      <c r="G57" s="28"/>
      <c r="H57" s="35" t="s">
        <v>128</v>
      </c>
      <c r="I57" s="36">
        <v>0.133333333333333</v>
      </c>
      <c r="J57" s="63"/>
      <c r="L57" s="11">
        <f t="shared" si="4"/>
        <v>5</v>
      </c>
      <c r="M57" s="13" cm="1">
        <f t="array" ref="M57">MAX(IF($Q$3:$ED$3=$M$3,Q57:ED57))</f>
        <v>0</v>
      </c>
      <c r="N57" s="13" cm="1">
        <f t="array" ref="N57">MAX(IF($Q$3:$ED$3=$M$3,Q57:ED57))</f>
        <v>0</v>
      </c>
      <c r="O57" s="11"/>
      <c r="Q57">
        <v>1.5</v>
      </c>
      <c r="R57" s="121"/>
      <c r="S57" s="122">
        <v>0.5</v>
      </c>
      <c r="T57" s="122"/>
      <c r="U57" s="123">
        <v>0.5</v>
      </c>
      <c r="Y57" s="12"/>
      <c r="Z57" s="12">
        <v>0.5</v>
      </c>
      <c r="AA57" s="12"/>
      <c r="AB57" s="12">
        <v>0.5</v>
      </c>
      <c r="AF57" s="12"/>
      <c r="AG57" s="12">
        <v>0.5</v>
      </c>
      <c r="AH57" s="12"/>
      <c r="AI57" s="12">
        <v>0.5</v>
      </c>
      <c r="AL57">
        <v>1.5</v>
      </c>
      <c r="AM57" s="119"/>
      <c r="AN57" s="105">
        <v>0.8</v>
      </c>
      <c r="AO57" s="105"/>
      <c r="AP57" s="120">
        <v>0.8</v>
      </c>
      <c r="AT57" s="12"/>
      <c r="AU57" s="12">
        <v>0.8</v>
      </c>
      <c r="AV57" s="12"/>
      <c r="AW57" s="12">
        <v>0.8</v>
      </c>
      <c r="BA57" s="12"/>
      <c r="BB57" s="12">
        <v>0.8</v>
      </c>
      <c r="BC57" s="12"/>
      <c r="BD57" s="12">
        <v>0.8</v>
      </c>
      <c r="BG57">
        <v>2</v>
      </c>
      <c r="BH57" s="116"/>
      <c r="BI57" s="117">
        <v>1</v>
      </c>
      <c r="BJ57" s="117"/>
      <c r="BK57" s="118">
        <v>1</v>
      </c>
      <c r="BO57" s="12"/>
      <c r="BP57" s="12">
        <v>1</v>
      </c>
      <c r="BQ57" s="12"/>
      <c r="BR57" s="12">
        <v>1</v>
      </c>
      <c r="BV57" s="12"/>
      <c r="BW57" s="12">
        <v>1</v>
      </c>
      <c r="BX57" s="12"/>
      <c r="BY57" s="12">
        <v>1</v>
      </c>
      <c r="CC57" s="12"/>
      <c r="CD57" s="12">
        <v>1</v>
      </c>
      <c r="CE57" s="12"/>
      <c r="CF57" s="12">
        <v>1</v>
      </c>
      <c r="CJ57" s="12"/>
      <c r="CK57" s="12"/>
      <c r="CL57" s="12"/>
      <c r="CM57" s="12"/>
      <c r="CQ57" s="12"/>
      <c r="CR57" s="12"/>
      <c r="CS57" s="12"/>
      <c r="CT57" s="12"/>
      <c r="CX57" s="12"/>
      <c r="CY57" s="12"/>
      <c r="CZ57" s="12"/>
      <c r="DA57" s="12"/>
      <c r="DE57" s="12"/>
      <c r="DF57" s="12"/>
      <c r="DG57" s="12"/>
      <c r="DH57" s="12"/>
      <c r="DL57" s="12"/>
      <c r="DM57" s="12"/>
      <c r="DN57" s="12"/>
      <c r="DO57" s="12"/>
      <c r="DS57" s="12"/>
      <c r="DT57" s="12"/>
      <c r="DU57" s="12"/>
      <c r="DV57" s="12"/>
    </row>
    <row r="58" spans="2:127" ht="15.65" customHeight="1" outlineLevel="1" thickBot="1">
      <c r="B58" s="27" t="s">
        <v>23</v>
      </c>
      <c r="C58" s="27" t="s">
        <v>50</v>
      </c>
      <c r="D58" s="27"/>
      <c r="E58" s="28"/>
      <c r="F58" s="28"/>
      <c r="G58" s="28"/>
      <c r="H58" s="37" t="s">
        <v>129</v>
      </c>
      <c r="I58" s="36">
        <v>0.133333333333333</v>
      </c>
      <c r="J58" s="63"/>
      <c r="L58" s="11">
        <f t="shared" si="4"/>
        <v>5</v>
      </c>
      <c r="M58" s="13" cm="1">
        <f t="array" ref="M58">MAX(IF($Q$3:$ED$3=$M$3,Q58:ED58))</f>
        <v>0</v>
      </c>
      <c r="N58" s="13" cm="1">
        <f t="array" ref="N58">MAX(IF($Q$3:$ED$3=$M$3,Q58:ED58))</f>
        <v>0</v>
      </c>
      <c r="O58" s="11"/>
      <c r="R58" s="12"/>
      <c r="S58" s="12"/>
      <c r="T58" s="12"/>
      <c r="U58" s="12"/>
      <c r="X58">
        <v>1.5</v>
      </c>
      <c r="Y58" s="116"/>
      <c r="Z58" s="117">
        <v>0.5</v>
      </c>
      <c r="AA58" s="117"/>
      <c r="AB58" s="118">
        <v>0.5</v>
      </c>
      <c r="AF58" s="12"/>
      <c r="AG58" s="12">
        <v>0.5</v>
      </c>
      <c r="AH58" s="12"/>
      <c r="AI58" s="12">
        <v>0.5</v>
      </c>
      <c r="AL58">
        <v>1.5</v>
      </c>
      <c r="AM58" s="121"/>
      <c r="AN58" s="122">
        <v>0.8</v>
      </c>
      <c r="AO58" s="122"/>
      <c r="AP58" s="123">
        <v>0.8</v>
      </c>
      <c r="AT58" s="12"/>
      <c r="AU58" s="12">
        <v>0.8</v>
      </c>
      <c r="AV58" s="12"/>
      <c r="AW58" s="12">
        <v>0.8</v>
      </c>
      <c r="BA58" s="12"/>
      <c r="BB58" s="12">
        <v>0.8</v>
      </c>
      <c r="BC58" s="12"/>
      <c r="BD58" s="12">
        <v>0.8</v>
      </c>
      <c r="BG58">
        <v>2</v>
      </c>
      <c r="BH58" s="121"/>
      <c r="BI58" s="122">
        <v>1</v>
      </c>
      <c r="BJ58" s="122"/>
      <c r="BK58" s="123">
        <v>1</v>
      </c>
      <c r="BO58" s="12"/>
      <c r="BP58" s="12">
        <v>1</v>
      </c>
      <c r="BQ58" s="12"/>
      <c r="BR58" s="12">
        <v>1</v>
      </c>
      <c r="BV58" s="12"/>
      <c r="BW58" s="12">
        <v>1</v>
      </c>
      <c r="BX58" s="12"/>
      <c r="BY58" s="12">
        <v>1</v>
      </c>
      <c r="CC58" s="12"/>
      <c r="CD58" s="12">
        <v>1</v>
      </c>
      <c r="CE58" s="12"/>
      <c r="CF58" s="12">
        <v>1</v>
      </c>
      <c r="CJ58" s="12"/>
      <c r="CK58" s="12"/>
      <c r="CL58" s="12"/>
      <c r="CM58" s="12"/>
      <c r="CQ58" s="12"/>
      <c r="CR58" s="12"/>
      <c r="CS58" s="12"/>
      <c r="CT58" s="12"/>
      <c r="CX58" s="12"/>
      <c r="CY58" s="12"/>
      <c r="CZ58" s="12"/>
      <c r="DA58" s="12"/>
      <c r="DE58" s="12"/>
      <c r="DF58" s="12"/>
      <c r="DG58" s="12"/>
      <c r="DH58" s="12"/>
      <c r="DL58" s="12"/>
      <c r="DM58" s="12"/>
      <c r="DN58" s="12"/>
      <c r="DO58" s="12"/>
      <c r="DS58" s="12"/>
      <c r="DT58" s="12"/>
      <c r="DU58" s="12"/>
      <c r="DV58" s="12"/>
    </row>
    <row r="59" spans="2:127" ht="15.65" customHeight="1" outlineLevel="1" thickBot="1">
      <c r="B59" s="27" t="s">
        <v>23</v>
      </c>
      <c r="C59" s="27" t="s">
        <v>50</v>
      </c>
      <c r="D59" s="27"/>
      <c r="E59" s="28"/>
      <c r="F59" s="28"/>
      <c r="G59" s="28"/>
      <c r="H59" s="37" t="s">
        <v>130</v>
      </c>
      <c r="I59" s="36">
        <v>0.133333333333333</v>
      </c>
      <c r="J59" s="63"/>
      <c r="L59" s="11">
        <f t="shared" si="4"/>
        <v>5</v>
      </c>
      <c r="M59" s="13" cm="1">
        <f t="array" ref="M59">MAX(IF($Q$3:$ED$3=$M$3,Q59:ED59))</f>
        <v>0</v>
      </c>
      <c r="N59" s="13" cm="1">
        <f t="array" ref="N59">MAX(IF($Q$3:$ED$3=$M$3,Q59:ED59))</f>
        <v>0</v>
      </c>
      <c r="O59" s="11"/>
      <c r="R59" s="12"/>
      <c r="S59" s="12"/>
      <c r="T59" s="12"/>
      <c r="U59" s="12"/>
      <c r="X59">
        <v>1.5</v>
      </c>
      <c r="Y59" s="119"/>
      <c r="Z59" s="105">
        <v>0.5</v>
      </c>
      <c r="AA59" s="105"/>
      <c r="AB59" s="120">
        <v>0.5</v>
      </c>
      <c r="AF59" s="12"/>
      <c r="AG59" s="12">
        <v>0.5</v>
      </c>
      <c r="AH59" s="12"/>
      <c r="AI59" s="12">
        <v>0.5</v>
      </c>
      <c r="AM59" s="12"/>
      <c r="AN59" s="12">
        <v>0.5</v>
      </c>
      <c r="AO59" s="12"/>
      <c r="AP59" s="12">
        <v>0.5</v>
      </c>
      <c r="AS59">
        <v>1.5</v>
      </c>
      <c r="AT59" s="116"/>
      <c r="AU59" s="117">
        <v>0.8</v>
      </c>
      <c r="AV59" s="117"/>
      <c r="AW59" s="118">
        <v>0.8</v>
      </c>
      <c r="BA59" s="12"/>
      <c r="BB59" s="12">
        <v>0.8</v>
      </c>
      <c r="BC59" s="12"/>
      <c r="BD59" s="12">
        <v>0.8</v>
      </c>
      <c r="BH59" s="12"/>
      <c r="BI59" s="12">
        <v>0.8</v>
      </c>
      <c r="BJ59" s="12"/>
      <c r="BK59" s="12">
        <v>0.8</v>
      </c>
      <c r="BN59">
        <v>2</v>
      </c>
      <c r="BO59" s="124"/>
      <c r="BP59" s="125">
        <v>1</v>
      </c>
      <c r="BQ59" s="125"/>
      <c r="BR59" s="126">
        <v>1</v>
      </c>
      <c r="BV59" s="105"/>
      <c r="BW59" s="105">
        <v>1</v>
      </c>
      <c r="BX59" s="105"/>
      <c r="BY59" s="105">
        <v>1</v>
      </c>
      <c r="CC59" s="12"/>
      <c r="CD59" s="12">
        <v>1</v>
      </c>
      <c r="CE59" s="12"/>
      <c r="CF59" s="12">
        <v>1</v>
      </c>
      <c r="CJ59" s="12"/>
      <c r="CK59" s="12"/>
      <c r="CL59" s="12"/>
      <c r="CM59" s="12"/>
      <c r="CQ59" s="12"/>
      <c r="CR59" s="12"/>
      <c r="CS59" s="12"/>
      <c r="CT59" s="12"/>
      <c r="CX59" s="12"/>
      <c r="CY59" s="12"/>
      <c r="CZ59" s="12"/>
      <c r="DA59" s="12"/>
      <c r="DE59" s="12"/>
      <c r="DF59" s="12"/>
      <c r="DG59" s="12"/>
      <c r="DH59" s="12"/>
      <c r="DL59" s="12"/>
      <c r="DM59" s="12"/>
      <c r="DN59" s="12"/>
      <c r="DO59" s="12"/>
      <c r="DS59" s="12"/>
      <c r="DT59" s="12"/>
      <c r="DU59" s="12"/>
      <c r="DV59" s="12"/>
    </row>
    <row r="60" spans="2:127" ht="15.65" customHeight="1" outlineLevel="1" thickBot="1">
      <c r="B60" s="27" t="s">
        <v>23</v>
      </c>
      <c r="C60" s="27" t="s">
        <v>50</v>
      </c>
      <c r="D60" s="27"/>
      <c r="E60" s="28"/>
      <c r="F60" s="28"/>
      <c r="G60" s="28"/>
      <c r="H60" s="37" t="s">
        <v>131</v>
      </c>
      <c r="I60" s="36">
        <v>0.133333333333333</v>
      </c>
      <c r="J60" s="63"/>
      <c r="L60" s="11">
        <f t="shared" si="4"/>
        <v>5</v>
      </c>
      <c r="M60" s="13" cm="1">
        <f t="array" ref="M60">MAX(IF($Q$3:$ED$3=$M$3,Q60:ED60))</f>
        <v>0</v>
      </c>
      <c r="N60" s="13" cm="1">
        <f t="array" ref="N60">MAX(IF($Q$3:$ED$3=$M$3,Q60:ED60))</f>
        <v>0</v>
      </c>
      <c r="O60" s="11"/>
      <c r="R60" s="12"/>
      <c r="S60" s="12"/>
      <c r="T60" s="12"/>
      <c r="U60" s="12"/>
      <c r="X60">
        <v>1.5</v>
      </c>
      <c r="Y60" s="121"/>
      <c r="Z60" s="122">
        <v>0.5</v>
      </c>
      <c r="AA60" s="122"/>
      <c r="AB60" s="123">
        <v>0.5</v>
      </c>
      <c r="AF60" s="12"/>
      <c r="AG60" s="12">
        <v>0.5</v>
      </c>
      <c r="AH60" s="12"/>
      <c r="AI60" s="12">
        <v>0.5</v>
      </c>
      <c r="AM60" s="12"/>
      <c r="AN60" s="12">
        <v>0.5</v>
      </c>
      <c r="AO60" s="12"/>
      <c r="AP60" s="12">
        <v>0.5</v>
      </c>
      <c r="AS60">
        <v>1.5</v>
      </c>
      <c r="AT60" s="119"/>
      <c r="AU60" s="105">
        <v>0.8</v>
      </c>
      <c r="AV60" s="105"/>
      <c r="AW60" s="120">
        <v>0.8</v>
      </c>
      <c r="BA60" s="12"/>
      <c r="BB60" s="12">
        <v>0.8</v>
      </c>
      <c r="BC60" s="12"/>
      <c r="BD60" s="12">
        <v>0.8</v>
      </c>
      <c r="BH60" s="12"/>
      <c r="BI60" s="12">
        <v>0.8</v>
      </c>
      <c r="BJ60" s="12"/>
      <c r="BK60" s="12">
        <v>0.8</v>
      </c>
      <c r="BO60" s="12"/>
      <c r="BP60" s="12">
        <v>0.8</v>
      </c>
      <c r="BQ60" s="12"/>
      <c r="BR60" s="12">
        <v>0.8</v>
      </c>
      <c r="BU60">
        <v>2</v>
      </c>
      <c r="BV60" s="116"/>
      <c r="BW60" s="117">
        <v>1</v>
      </c>
      <c r="BX60" s="117"/>
      <c r="BY60" s="118">
        <v>1</v>
      </c>
      <c r="CC60" s="12"/>
      <c r="CD60" s="12">
        <v>1</v>
      </c>
      <c r="CE60" s="12"/>
      <c r="CF60" s="12">
        <v>1</v>
      </c>
      <c r="CJ60" s="12"/>
      <c r="CK60" s="12"/>
      <c r="CL60" s="12"/>
      <c r="CM60" s="12"/>
      <c r="CQ60" s="12"/>
      <c r="CR60" s="12"/>
      <c r="CS60" s="12"/>
      <c r="CT60" s="12"/>
      <c r="CX60" s="12"/>
      <c r="CY60" s="12"/>
      <c r="CZ60" s="12"/>
      <c r="DA60" s="12"/>
      <c r="DE60" s="12"/>
      <c r="DF60" s="12"/>
      <c r="DG60" s="12"/>
      <c r="DH60" s="12"/>
      <c r="DL60" s="12"/>
      <c r="DM60" s="12"/>
      <c r="DN60" s="12"/>
      <c r="DO60" s="12"/>
      <c r="DS60" s="12"/>
      <c r="DT60" s="12"/>
      <c r="DU60" s="12"/>
      <c r="DV60" s="12"/>
    </row>
    <row r="61" spans="2:127" ht="15.65" customHeight="1" outlineLevel="1" thickBot="1">
      <c r="B61" s="27" t="s">
        <v>23</v>
      </c>
      <c r="C61" s="27" t="s">
        <v>50</v>
      </c>
      <c r="D61" s="27"/>
      <c r="E61" s="28"/>
      <c r="F61" s="28"/>
      <c r="G61" s="28"/>
      <c r="H61" s="37" t="s">
        <v>133</v>
      </c>
      <c r="I61" s="36">
        <v>0.133333333333333</v>
      </c>
      <c r="J61" s="63"/>
      <c r="L61" s="11">
        <f t="shared" si="4"/>
        <v>5</v>
      </c>
      <c r="M61" s="13" cm="1">
        <f t="array" ref="M61">MAX(IF($Q$3:$ED$3=$M$3,Q61:ED61))</f>
        <v>0</v>
      </c>
      <c r="N61" s="13" cm="1">
        <f t="array" ref="N61">MAX(IF($Q$3:$ED$3=$M$3,Q61:ED61))</f>
        <v>0</v>
      </c>
      <c r="O61" s="11"/>
      <c r="R61" s="12"/>
      <c r="S61" s="12"/>
      <c r="T61" s="12"/>
      <c r="U61" s="12"/>
      <c r="Y61" s="12"/>
      <c r="Z61" s="12"/>
      <c r="AA61" s="12"/>
      <c r="AB61" s="12"/>
      <c r="AE61">
        <v>1.5</v>
      </c>
      <c r="AF61" s="116"/>
      <c r="AG61" s="117">
        <v>0.5</v>
      </c>
      <c r="AH61" s="117"/>
      <c r="AI61" s="118">
        <v>0.5</v>
      </c>
      <c r="AM61" s="12"/>
      <c r="AN61" s="12">
        <v>0.5</v>
      </c>
      <c r="AO61" s="12"/>
      <c r="AP61" s="12">
        <v>0.5</v>
      </c>
      <c r="AS61">
        <v>1.5</v>
      </c>
      <c r="AT61" s="121"/>
      <c r="AU61" s="122">
        <v>0.8</v>
      </c>
      <c r="AV61" s="122"/>
      <c r="AW61" s="123">
        <v>0.8</v>
      </c>
      <c r="BA61" s="12"/>
      <c r="BB61" s="12">
        <v>0.8</v>
      </c>
      <c r="BC61" s="12"/>
      <c r="BD61" s="12">
        <v>0.8</v>
      </c>
      <c r="BH61" s="12"/>
      <c r="BI61" s="12">
        <v>0.8</v>
      </c>
      <c r="BJ61" s="12"/>
      <c r="BK61" s="12">
        <v>0.8</v>
      </c>
      <c r="BO61" s="12"/>
      <c r="BP61" s="12">
        <v>0.8</v>
      </c>
      <c r="BQ61" s="12"/>
      <c r="BR61" s="12">
        <v>0.8</v>
      </c>
      <c r="BU61">
        <v>2</v>
      </c>
      <c r="BV61" s="121"/>
      <c r="BW61" s="122">
        <v>1</v>
      </c>
      <c r="BX61" s="122"/>
      <c r="BY61" s="123">
        <v>1</v>
      </c>
      <c r="CC61" s="105"/>
      <c r="CD61" s="105">
        <v>1</v>
      </c>
      <c r="CE61" s="105"/>
      <c r="CF61" s="105">
        <v>1</v>
      </c>
      <c r="CJ61" s="12"/>
      <c r="CK61" s="12"/>
      <c r="CL61" s="12"/>
      <c r="CM61" s="12"/>
      <c r="CQ61" s="12"/>
      <c r="CR61" s="12"/>
      <c r="CS61" s="12"/>
      <c r="CT61" s="12"/>
      <c r="CX61" s="12"/>
      <c r="CY61" s="12"/>
      <c r="CZ61" s="12"/>
      <c r="DA61" s="12"/>
      <c r="DE61" s="12"/>
      <c r="DF61" s="12"/>
      <c r="DG61" s="12"/>
      <c r="DH61" s="12"/>
      <c r="DL61" s="12"/>
      <c r="DM61" s="12"/>
      <c r="DN61" s="12"/>
      <c r="DO61" s="12"/>
      <c r="DS61" s="12"/>
      <c r="DT61" s="12"/>
      <c r="DU61" s="12"/>
      <c r="DV61" s="12"/>
    </row>
    <row r="62" spans="2:127" ht="15.65" customHeight="1" outlineLevel="1" thickBot="1">
      <c r="B62" s="27" t="s">
        <v>23</v>
      </c>
      <c r="C62" s="27" t="s">
        <v>50</v>
      </c>
      <c r="D62" s="27"/>
      <c r="E62" s="28"/>
      <c r="F62" s="28"/>
      <c r="G62" s="28"/>
      <c r="H62" s="38" t="s">
        <v>132</v>
      </c>
      <c r="I62" s="36">
        <v>0.133333333333333</v>
      </c>
      <c r="J62" s="63"/>
      <c r="L62" s="11">
        <f t="shared" si="4"/>
        <v>5</v>
      </c>
      <c r="M62" s="13" cm="1">
        <f t="array" ref="M62">MAX(IF($Q$3:$ED$3=$M$3,Q62:ED62))</f>
        <v>0</v>
      </c>
      <c r="N62" s="13" cm="1">
        <f t="array" ref="N62">MAX(IF($Q$3:$ED$3=$M$3,Q62:ED62))</f>
        <v>0</v>
      </c>
      <c r="O62" s="11"/>
      <c r="R62" s="12"/>
      <c r="S62" s="12"/>
      <c r="T62" s="12"/>
      <c r="U62" s="12"/>
      <c r="Y62" s="12"/>
      <c r="Z62" s="12"/>
      <c r="AA62" s="12"/>
      <c r="AB62" s="12"/>
      <c r="AE62">
        <v>1.5</v>
      </c>
      <c r="AF62" s="121"/>
      <c r="AG62" s="122">
        <v>0.5</v>
      </c>
      <c r="AH62" s="122"/>
      <c r="AI62" s="123">
        <v>0.5</v>
      </c>
      <c r="AM62" s="12"/>
      <c r="AN62" s="12">
        <v>0.5</v>
      </c>
      <c r="AO62" s="12"/>
      <c r="AP62" s="12">
        <v>0.5</v>
      </c>
      <c r="AT62" s="12"/>
      <c r="AU62" s="12">
        <v>0.5</v>
      </c>
      <c r="AV62" s="12"/>
      <c r="AW62" s="12">
        <v>0.5</v>
      </c>
      <c r="AZ62">
        <v>1.5</v>
      </c>
      <c r="BA62" s="124"/>
      <c r="BB62" s="125">
        <v>0.8</v>
      </c>
      <c r="BC62" s="125"/>
      <c r="BD62" s="126">
        <v>0.8</v>
      </c>
      <c r="BH62" s="12"/>
      <c r="BI62" s="12">
        <v>0.8</v>
      </c>
      <c r="BJ62" s="12"/>
      <c r="BK62" s="12">
        <v>0.8</v>
      </c>
      <c r="BO62" s="12"/>
      <c r="BP62" s="12">
        <v>0.8</v>
      </c>
      <c r="BQ62" s="12"/>
      <c r="BR62" s="12">
        <v>0.8</v>
      </c>
      <c r="BV62" s="12"/>
      <c r="BW62" s="12">
        <v>0.8</v>
      </c>
      <c r="BX62" s="12"/>
      <c r="BY62" s="12">
        <v>0.8</v>
      </c>
      <c r="CB62">
        <v>2</v>
      </c>
      <c r="CC62" s="124"/>
      <c r="CD62" s="125">
        <v>1</v>
      </c>
      <c r="CE62" s="125"/>
      <c r="CF62" s="126">
        <v>1</v>
      </c>
      <c r="CJ62" s="12"/>
      <c r="CK62" s="12"/>
      <c r="CL62" s="12"/>
      <c r="CM62" s="12"/>
      <c r="CQ62" s="12"/>
      <c r="CR62" s="12"/>
      <c r="CS62" s="12"/>
      <c r="CT62" s="12"/>
      <c r="CX62" s="12"/>
      <c r="CY62" s="12"/>
      <c r="CZ62" s="12"/>
      <c r="DA62" s="12"/>
      <c r="DE62" s="12"/>
      <c r="DF62" s="12"/>
      <c r="DG62" s="12"/>
      <c r="DH62" s="12"/>
      <c r="DL62" s="12"/>
      <c r="DM62" s="12"/>
      <c r="DN62" s="12"/>
      <c r="DO62" s="12"/>
      <c r="DS62" s="12"/>
      <c r="DT62" s="12"/>
      <c r="DU62" s="12"/>
      <c r="DV62" s="12"/>
    </row>
    <row r="63" spans="2:127">
      <c r="J63" s="9"/>
      <c r="R63" s="9"/>
      <c r="Y63" s="9"/>
      <c r="AF63" s="9"/>
      <c r="AM63" s="9"/>
      <c r="AT63" s="9"/>
      <c r="BA63" s="9"/>
      <c r="BH63" s="9"/>
      <c r="BO63" s="9"/>
      <c r="BV63" s="9"/>
      <c r="CC63" s="12"/>
      <c r="CD63" s="12"/>
      <c r="CE63" s="12"/>
      <c r="CF63" s="12"/>
      <c r="CJ63" s="9"/>
      <c r="CQ63" s="9"/>
      <c r="CX63" s="9"/>
      <c r="DE63" s="9"/>
      <c r="DL63" s="9"/>
      <c r="DS63" s="9"/>
    </row>
    <row r="64" spans="2:127" s="30" customFormat="1" ht="16" thickBot="1">
      <c r="B64" s="30" t="s">
        <v>22</v>
      </c>
      <c r="C64" s="30" t="s">
        <v>54</v>
      </c>
      <c r="D64" s="34" t="s">
        <v>141</v>
      </c>
      <c r="E64" s="31">
        <v>30</v>
      </c>
      <c r="F64" s="31">
        <f>E64/12</f>
        <v>2.5</v>
      </c>
      <c r="G64" s="31">
        <v>2.5</v>
      </c>
      <c r="I64" s="32">
        <f>+SUM(I65:I74)</f>
        <v>0.99999999999999989</v>
      </c>
      <c r="J64" s="32"/>
      <c r="L64" s="136">
        <f>+SUM(L65:L74)</f>
        <v>51</v>
      </c>
      <c r="M64" s="67">
        <f>+SUMPRODUCT(J65:J74,M65:M74)</f>
        <v>0</v>
      </c>
      <c r="N64" s="67">
        <f>+SUMPRODUCT(J65:J74,N65:N74)</f>
        <v>0</v>
      </c>
      <c r="O64" s="31"/>
      <c r="Q64" s="66">
        <f>+SUM(Q65:Q74)</f>
        <v>4.5</v>
      </c>
      <c r="X64" s="66">
        <f>+SUM(X65:X74)</f>
        <v>4.5</v>
      </c>
      <c r="AE64" s="66">
        <f>+SUM(AE65:AE74)</f>
        <v>4.5</v>
      </c>
      <c r="AL64" s="66">
        <f>+SUM(AL65:AL74)</f>
        <v>4.5</v>
      </c>
      <c r="AS64" s="66">
        <f>+SUM(AS65:AS74)</f>
        <v>4.5</v>
      </c>
      <c r="AZ64" s="66">
        <f>+SUM(AZ65:AZ74)</f>
        <v>4</v>
      </c>
      <c r="BG64" s="66">
        <f>+SUM(BG65:BG74)</f>
        <v>4.5</v>
      </c>
      <c r="BN64" s="66">
        <f>+SUM(BN65:BN74)</f>
        <v>4</v>
      </c>
      <c r="BU64" s="66">
        <f>+SUM(BU65:BU74)</f>
        <v>4</v>
      </c>
      <c r="CB64" s="66">
        <f>+SUM(CB65:CB74)</f>
        <v>4</v>
      </c>
      <c r="CI64" s="66">
        <f>+SUM(CI65:CI74)</f>
        <v>4</v>
      </c>
      <c r="CP64" s="66">
        <f>+SUM(CP65:CP74)</f>
        <v>4</v>
      </c>
      <c r="CW64" s="96">
        <f>+SUM(CW65:CW74)</f>
        <v>0</v>
      </c>
      <c r="CX64" s="97"/>
      <c r="CY64" s="97"/>
      <c r="CZ64" s="97"/>
      <c r="DA64" s="97"/>
      <c r="DB64" s="97"/>
      <c r="DC64" s="97"/>
      <c r="DD64" s="96">
        <f>+SUM(DD65:DD74)</f>
        <v>0</v>
      </c>
      <c r="DE64" s="97"/>
      <c r="DF64" s="97"/>
      <c r="DG64" s="97"/>
      <c r="DH64" s="97"/>
      <c r="DI64" s="97"/>
      <c r="DJ64" s="97"/>
      <c r="DK64" s="96">
        <f>+SUM(DK65:DK74)</f>
        <v>0</v>
      </c>
      <c r="DL64" s="97"/>
      <c r="DM64" s="97"/>
      <c r="DN64" s="97"/>
      <c r="DO64" s="97"/>
      <c r="DP64" s="98" t="s">
        <v>140</v>
      </c>
      <c r="DR64" s="66">
        <f>+SUM(DR65:DR74)</f>
        <v>0</v>
      </c>
    </row>
    <row r="65" spans="2:127" ht="15.65" customHeight="1" outlineLevel="1">
      <c r="B65" s="30" t="s">
        <v>23</v>
      </c>
      <c r="C65" s="30" t="s">
        <v>54</v>
      </c>
      <c r="D65" s="30"/>
      <c r="E65" s="31"/>
      <c r="F65" s="31"/>
      <c r="G65" s="31"/>
      <c r="H65" s="30" t="s">
        <v>101</v>
      </c>
      <c r="I65" s="32">
        <v>0.1</v>
      </c>
      <c r="J65" s="63"/>
      <c r="L65" s="11">
        <f t="shared" ref="L65:L74" si="5">+SUMIF($Q$3:$ZV$3,L$3,$Q65:$ZV65)</f>
        <v>5</v>
      </c>
      <c r="M65" s="13" cm="1">
        <f t="array" ref="M65">MAX(IF($Q$3:$ED$3=$M$3,Q65:ED65))</f>
        <v>0</v>
      </c>
      <c r="N65" s="13" cm="1">
        <f t="array" ref="N65">MAX(IF($Q$3:$ED$3=$M$3,Q65:ED65))</f>
        <v>0</v>
      </c>
      <c r="O65" s="11"/>
      <c r="Q65">
        <v>1.5</v>
      </c>
      <c r="R65" s="116"/>
      <c r="S65" s="117">
        <v>0.5</v>
      </c>
      <c r="T65" s="117"/>
      <c r="U65" s="118">
        <v>0.5</v>
      </c>
      <c r="Y65" s="12"/>
      <c r="Z65" s="12">
        <v>0.5</v>
      </c>
      <c r="AA65" s="12"/>
      <c r="AB65" s="12">
        <v>0.5</v>
      </c>
      <c r="AF65" s="12"/>
      <c r="AG65" s="12">
        <v>0.5</v>
      </c>
      <c r="AH65" s="12"/>
      <c r="AI65" s="12">
        <v>0.5</v>
      </c>
      <c r="AL65">
        <v>1.5</v>
      </c>
      <c r="AM65" s="116"/>
      <c r="AN65" s="117">
        <v>0.8</v>
      </c>
      <c r="AO65" s="117"/>
      <c r="AP65" s="118">
        <v>0.8</v>
      </c>
      <c r="AT65" s="12"/>
      <c r="AU65" s="12">
        <v>0.8</v>
      </c>
      <c r="AV65" s="12"/>
      <c r="AW65" s="12">
        <v>0.8</v>
      </c>
      <c r="BA65" s="12"/>
      <c r="BB65" s="12">
        <v>0.8</v>
      </c>
      <c r="BC65" s="12"/>
      <c r="BD65" s="12">
        <v>0.8</v>
      </c>
      <c r="BH65" s="12"/>
      <c r="BI65" s="12">
        <v>0.8</v>
      </c>
      <c r="BJ65" s="12"/>
      <c r="BK65" s="12">
        <v>0.8</v>
      </c>
      <c r="BN65">
        <v>2</v>
      </c>
      <c r="BO65" s="116"/>
      <c r="BP65" s="117">
        <v>1</v>
      </c>
      <c r="BQ65" s="117"/>
      <c r="BR65" s="118">
        <v>1</v>
      </c>
      <c r="BV65" s="12"/>
      <c r="BW65" s="12">
        <v>1</v>
      </c>
      <c r="BX65" s="12"/>
      <c r="BY65" s="12">
        <v>1</v>
      </c>
      <c r="CC65" s="12"/>
      <c r="CD65" s="12">
        <v>1</v>
      </c>
      <c r="CE65" s="12"/>
      <c r="CF65" s="12">
        <v>1</v>
      </c>
      <c r="CJ65" s="12"/>
      <c r="CK65" s="12">
        <v>1</v>
      </c>
      <c r="CL65" s="12"/>
      <c r="CM65" s="12">
        <v>1</v>
      </c>
      <c r="CQ65" s="12"/>
      <c r="CR65" s="12">
        <v>1</v>
      </c>
      <c r="CS65" s="12"/>
      <c r="CT65" s="12">
        <v>1</v>
      </c>
      <c r="CX65" s="12"/>
      <c r="CY65" s="12"/>
      <c r="CZ65" s="12"/>
      <c r="DA65" s="12"/>
      <c r="DE65" s="12"/>
      <c r="DF65" s="12"/>
      <c r="DG65" s="12"/>
      <c r="DH65" s="12"/>
      <c r="DL65" s="12"/>
      <c r="DM65" s="12"/>
      <c r="DN65" s="12"/>
      <c r="DO65" s="12"/>
      <c r="DS65" s="12"/>
      <c r="DT65" s="12"/>
      <c r="DU65" s="12"/>
      <c r="DV65" s="12"/>
    </row>
    <row r="66" spans="2:127" ht="15.65" customHeight="1" outlineLevel="1" thickBot="1">
      <c r="B66" s="30" t="s">
        <v>23</v>
      </c>
      <c r="C66" s="30" t="s">
        <v>54</v>
      </c>
      <c r="D66" s="30"/>
      <c r="E66" s="31"/>
      <c r="F66" s="31"/>
      <c r="G66" s="31"/>
      <c r="H66" s="33" t="s">
        <v>102</v>
      </c>
      <c r="I66" s="32">
        <v>0.1</v>
      </c>
      <c r="J66" s="63"/>
      <c r="L66" s="11">
        <f t="shared" si="5"/>
        <v>5</v>
      </c>
      <c r="M66" s="13" cm="1">
        <f t="array" ref="M66">MAX(IF($Q$3:$ED$3=$M$3,Q66:ED66))</f>
        <v>0</v>
      </c>
      <c r="N66" s="13" cm="1">
        <f t="array" ref="N66">MAX(IF($Q$3:$ED$3=$M$3,Q66:ED66))</f>
        <v>0</v>
      </c>
      <c r="O66" s="11"/>
      <c r="Q66">
        <v>1.5</v>
      </c>
      <c r="R66" s="119"/>
      <c r="S66" s="105">
        <v>0.5</v>
      </c>
      <c r="T66" s="105"/>
      <c r="U66" s="120">
        <v>0.5</v>
      </c>
      <c r="Y66" s="12"/>
      <c r="Z66" s="12">
        <v>0.5</v>
      </c>
      <c r="AA66" s="12"/>
      <c r="AB66" s="12">
        <v>0.5</v>
      </c>
      <c r="AF66" s="12"/>
      <c r="AG66" s="12">
        <v>0.5</v>
      </c>
      <c r="AH66" s="12"/>
      <c r="AI66" s="12">
        <v>0.5</v>
      </c>
      <c r="AL66">
        <v>1.5</v>
      </c>
      <c r="AM66" s="121"/>
      <c r="AN66" s="122">
        <v>0.8</v>
      </c>
      <c r="AO66" s="122"/>
      <c r="AP66" s="123">
        <v>0.8</v>
      </c>
      <c r="AT66" s="12"/>
      <c r="AU66" s="12">
        <v>0.8</v>
      </c>
      <c r="AV66" s="12"/>
      <c r="AW66" s="12">
        <v>0.8</v>
      </c>
      <c r="BA66" s="12"/>
      <c r="BB66" s="12">
        <v>0.8</v>
      </c>
      <c r="BC66" s="12"/>
      <c r="BD66" s="12">
        <v>0.8</v>
      </c>
      <c r="BH66" s="12"/>
      <c r="BI66" s="12">
        <v>0.8</v>
      </c>
      <c r="BJ66" s="12"/>
      <c r="BK66" s="12">
        <v>0.8</v>
      </c>
      <c r="BN66">
        <v>2</v>
      </c>
      <c r="BO66" s="121"/>
      <c r="BP66" s="122">
        <v>1</v>
      </c>
      <c r="BQ66" s="122"/>
      <c r="BR66" s="123">
        <v>1</v>
      </c>
      <c r="BV66" s="12"/>
      <c r="BW66" s="12">
        <v>1</v>
      </c>
      <c r="BX66" s="12"/>
      <c r="BY66" s="12">
        <v>1</v>
      </c>
      <c r="CC66" s="12"/>
      <c r="CD66" s="12">
        <v>1</v>
      </c>
      <c r="CE66" s="12"/>
      <c r="CF66" s="12">
        <v>1</v>
      </c>
      <c r="CJ66" s="12"/>
      <c r="CK66" s="12">
        <v>1</v>
      </c>
      <c r="CL66" s="12"/>
      <c r="CM66" s="12">
        <v>1</v>
      </c>
      <c r="CQ66" s="12"/>
      <c r="CR66" s="12">
        <v>1</v>
      </c>
      <c r="CS66" s="12"/>
      <c r="CT66" s="12">
        <v>1</v>
      </c>
      <c r="CX66" s="12"/>
      <c r="CY66" s="12"/>
      <c r="CZ66" s="12"/>
      <c r="DA66" s="12"/>
      <c r="DE66" s="12"/>
      <c r="DF66" s="12"/>
      <c r="DG66" s="12"/>
      <c r="DH66" s="12"/>
      <c r="DL66" s="12"/>
      <c r="DM66" s="12"/>
      <c r="DN66" s="12"/>
      <c r="DO66" s="12"/>
      <c r="DS66" s="12"/>
      <c r="DT66" s="12"/>
      <c r="DU66" s="12"/>
      <c r="DV66" s="12"/>
    </row>
    <row r="67" spans="2:127" ht="15.65" customHeight="1" outlineLevel="1" thickBot="1">
      <c r="B67" s="30" t="s">
        <v>23</v>
      </c>
      <c r="C67" s="30" t="s">
        <v>54</v>
      </c>
      <c r="D67" s="30"/>
      <c r="E67" s="31"/>
      <c r="F67" s="31"/>
      <c r="G67" s="31"/>
      <c r="H67" s="30" t="s">
        <v>103</v>
      </c>
      <c r="I67" s="32">
        <v>0.1</v>
      </c>
      <c r="J67" s="63"/>
      <c r="L67" s="11">
        <f t="shared" si="5"/>
        <v>5</v>
      </c>
      <c r="M67" s="13" cm="1">
        <f t="array" ref="M67">MAX(IF($Q$3:$ED$3=$M$3,Q67:ED67))</f>
        <v>0</v>
      </c>
      <c r="N67" s="13" cm="1">
        <f t="array" ref="N67">MAX(IF($Q$3:$ED$3=$M$3,Q67:ED67))</f>
        <v>0</v>
      </c>
      <c r="O67" s="11"/>
      <c r="Q67">
        <v>1.5</v>
      </c>
      <c r="R67" s="121"/>
      <c r="S67" s="122">
        <v>0.5</v>
      </c>
      <c r="T67" s="122"/>
      <c r="U67" s="123">
        <v>0.5</v>
      </c>
      <c r="Y67" s="12"/>
      <c r="Z67" s="12">
        <v>0.5</v>
      </c>
      <c r="AA67" s="12"/>
      <c r="AB67" s="12">
        <v>0.5</v>
      </c>
      <c r="AF67" s="12"/>
      <c r="AG67" s="12">
        <v>0.5</v>
      </c>
      <c r="AH67" s="12"/>
      <c r="AI67" s="12">
        <v>0.5</v>
      </c>
      <c r="AM67" s="12"/>
      <c r="AN67" s="12">
        <v>0.5</v>
      </c>
      <c r="AO67" s="12"/>
      <c r="AP67" s="12">
        <v>0.5</v>
      </c>
      <c r="AS67">
        <v>1.5</v>
      </c>
      <c r="AT67" s="116"/>
      <c r="AU67" s="117">
        <v>0.8</v>
      </c>
      <c r="AV67" s="117"/>
      <c r="AW67" s="118">
        <v>0.8</v>
      </c>
      <c r="BA67" s="12"/>
      <c r="BB67" s="12">
        <v>0.8</v>
      </c>
      <c r="BC67" s="12"/>
      <c r="BD67" s="12">
        <v>0.8</v>
      </c>
      <c r="BH67" s="12"/>
      <c r="BI67" s="12">
        <v>0.8</v>
      </c>
      <c r="BJ67" s="12"/>
      <c r="BK67" s="12">
        <v>0.8</v>
      </c>
      <c r="BO67" s="12"/>
      <c r="BP67" s="12">
        <v>0.8</v>
      </c>
      <c r="BQ67" s="12"/>
      <c r="BR67" s="12">
        <v>0.8</v>
      </c>
      <c r="BU67">
        <v>2</v>
      </c>
      <c r="BV67" s="116"/>
      <c r="BW67" s="117">
        <v>1</v>
      </c>
      <c r="BX67" s="117"/>
      <c r="BY67" s="118">
        <v>1</v>
      </c>
      <c r="CC67" s="12"/>
      <c r="CD67" s="12">
        <v>1</v>
      </c>
      <c r="CE67" s="12"/>
      <c r="CF67" s="12">
        <v>1</v>
      </c>
      <c r="CJ67" s="12"/>
      <c r="CK67" s="12">
        <v>1</v>
      </c>
      <c r="CL67" s="12"/>
      <c r="CM67" s="12">
        <v>1</v>
      </c>
      <c r="CQ67" s="12"/>
      <c r="CR67" s="12">
        <v>1</v>
      </c>
      <c r="CS67" s="12"/>
      <c r="CT67" s="12">
        <v>1</v>
      </c>
      <c r="CX67" s="12"/>
      <c r="CY67" s="12"/>
      <c r="CZ67" s="12"/>
      <c r="DA67" s="12"/>
      <c r="DE67" s="12"/>
      <c r="DF67" s="12"/>
      <c r="DG67" s="12"/>
      <c r="DH67" s="12"/>
      <c r="DL67" s="12"/>
      <c r="DM67" s="12"/>
      <c r="DN67" s="12"/>
      <c r="DO67" s="12"/>
      <c r="DS67" s="12"/>
      <c r="DT67" s="12"/>
      <c r="DU67" s="12"/>
      <c r="DV67" s="12"/>
    </row>
    <row r="68" spans="2:127" ht="15.65" customHeight="1" outlineLevel="1" thickBot="1">
      <c r="B68" s="30" t="s">
        <v>23</v>
      </c>
      <c r="C68" s="30" t="s">
        <v>54</v>
      </c>
      <c r="D68" s="30"/>
      <c r="E68" s="31"/>
      <c r="F68" s="31"/>
      <c r="G68" s="31"/>
      <c r="H68" s="30" t="s">
        <v>104</v>
      </c>
      <c r="I68" s="32">
        <v>0.1</v>
      </c>
      <c r="J68" s="63"/>
      <c r="L68" s="11">
        <f t="shared" si="5"/>
        <v>5</v>
      </c>
      <c r="M68" s="13" cm="1">
        <f t="array" ref="M68">MAX(IF($Q$3:$ED$3=$M$3,Q68:ED68))</f>
        <v>0</v>
      </c>
      <c r="N68" s="13" cm="1">
        <f t="array" ref="N68">MAX(IF($Q$3:$ED$3=$M$3,Q68:ED68))</f>
        <v>0</v>
      </c>
      <c r="O68" s="11"/>
      <c r="R68" s="12"/>
      <c r="S68" s="12"/>
      <c r="T68" s="12"/>
      <c r="U68" s="12"/>
      <c r="X68">
        <v>1.5</v>
      </c>
      <c r="Y68" s="116"/>
      <c r="Z68" s="117">
        <v>0.5</v>
      </c>
      <c r="AA68" s="117"/>
      <c r="AB68" s="118">
        <v>0.5</v>
      </c>
      <c r="AF68" s="12"/>
      <c r="AG68" s="12">
        <v>0.5</v>
      </c>
      <c r="AH68" s="12"/>
      <c r="AI68" s="12">
        <v>0.5</v>
      </c>
      <c r="AM68" s="12"/>
      <c r="AN68" s="12">
        <v>0.5</v>
      </c>
      <c r="AO68" s="12"/>
      <c r="AP68" s="12">
        <v>0.5</v>
      </c>
      <c r="AS68">
        <v>1.5</v>
      </c>
      <c r="AT68" s="119"/>
      <c r="AU68" s="105">
        <v>0.8</v>
      </c>
      <c r="AV68" s="105"/>
      <c r="AW68" s="120">
        <v>0.8</v>
      </c>
      <c r="BA68" s="12"/>
      <c r="BB68" s="12">
        <v>0.8</v>
      </c>
      <c r="BC68" s="12"/>
      <c r="BD68" s="12">
        <v>0.8</v>
      </c>
      <c r="BH68" s="12"/>
      <c r="BI68" s="12">
        <v>0.8</v>
      </c>
      <c r="BJ68" s="12"/>
      <c r="BK68" s="12">
        <v>0.8</v>
      </c>
      <c r="BO68" s="12"/>
      <c r="BP68" s="12">
        <v>0.8</v>
      </c>
      <c r="BQ68" s="12"/>
      <c r="BR68" s="12">
        <v>0.8</v>
      </c>
      <c r="BU68">
        <v>2</v>
      </c>
      <c r="BV68" s="121"/>
      <c r="BW68" s="122">
        <v>1</v>
      </c>
      <c r="BX68" s="122"/>
      <c r="BY68" s="123">
        <v>1</v>
      </c>
      <c r="CC68" s="12"/>
      <c r="CD68" s="12">
        <v>1</v>
      </c>
      <c r="CE68" s="12"/>
      <c r="CF68" s="12">
        <v>1</v>
      </c>
      <c r="CJ68" s="12"/>
      <c r="CK68" s="12">
        <v>1</v>
      </c>
      <c r="CL68" s="12"/>
      <c r="CM68" s="12">
        <v>1</v>
      </c>
      <c r="CQ68" s="12"/>
      <c r="CR68" s="12">
        <v>1</v>
      </c>
      <c r="CS68" s="12"/>
      <c r="CT68" s="12">
        <v>1</v>
      </c>
      <c r="CX68" s="12"/>
      <c r="CY68" s="12"/>
      <c r="CZ68" s="12"/>
      <c r="DA68" s="12"/>
      <c r="DE68" s="12"/>
      <c r="DF68" s="12"/>
      <c r="DG68" s="12"/>
      <c r="DH68" s="12"/>
      <c r="DL68" s="12"/>
      <c r="DM68" s="12"/>
      <c r="DN68" s="12"/>
      <c r="DO68" s="12"/>
      <c r="DS68" s="12"/>
      <c r="DT68" s="12"/>
      <c r="DU68" s="12"/>
      <c r="DV68" s="12"/>
    </row>
    <row r="69" spans="2:127" ht="15.65" customHeight="1" outlineLevel="1" thickBot="1">
      <c r="B69" s="30" t="s">
        <v>23</v>
      </c>
      <c r="C69" s="30" t="s">
        <v>54</v>
      </c>
      <c r="D69" s="30"/>
      <c r="E69" s="31"/>
      <c r="F69" s="31"/>
      <c r="G69" s="31"/>
      <c r="H69" s="30" t="s">
        <v>110</v>
      </c>
      <c r="I69" s="32">
        <v>0.1</v>
      </c>
      <c r="J69" s="63"/>
      <c r="L69" s="11">
        <f t="shared" si="5"/>
        <v>5</v>
      </c>
      <c r="M69" s="13" cm="1">
        <f t="array" ref="M69">MAX(IF($Q$3:$ED$3=$M$3,Q69:ED69))</f>
        <v>0</v>
      </c>
      <c r="N69" s="13" cm="1">
        <f t="array" ref="N69">MAX(IF($Q$3:$ED$3=$M$3,Q69:ED69))</f>
        <v>0</v>
      </c>
      <c r="O69" s="11"/>
      <c r="R69" s="12"/>
      <c r="S69" s="12"/>
      <c r="T69" s="12"/>
      <c r="U69" s="12"/>
      <c r="X69">
        <v>1.5</v>
      </c>
      <c r="Y69" s="119"/>
      <c r="Z69" s="105">
        <v>0.5</v>
      </c>
      <c r="AA69" s="105"/>
      <c r="AB69" s="120">
        <v>0.5</v>
      </c>
      <c r="AF69" s="12"/>
      <c r="AG69" s="12">
        <v>0.5</v>
      </c>
      <c r="AH69" s="12"/>
      <c r="AI69" s="12">
        <v>0.5</v>
      </c>
      <c r="AM69" s="12"/>
      <c r="AN69" s="12">
        <v>0.5</v>
      </c>
      <c r="AO69" s="12"/>
      <c r="AP69" s="12">
        <v>0.5</v>
      </c>
      <c r="AS69">
        <v>1.5</v>
      </c>
      <c r="AT69" s="121"/>
      <c r="AU69" s="122">
        <v>0.8</v>
      </c>
      <c r="AV69" s="122"/>
      <c r="AW69" s="123">
        <v>0.8</v>
      </c>
      <c r="BA69" s="12"/>
      <c r="BB69" s="12">
        <v>0.8</v>
      </c>
      <c r="BC69" s="12"/>
      <c r="BD69" s="12">
        <v>0.8</v>
      </c>
      <c r="BH69" s="12"/>
      <c r="BI69" s="12">
        <v>0.8</v>
      </c>
      <c r="BJ69" s="12"/>
      <c r="BK69" s="12">
        <v>0.8</v>
      </c>
      <c r="BO69" s="12"/>
      <c r="BP69" s="12">
        <v>0.8</v>
      </c>
      <c r="BQ69" s="12"/>
      <c r="BR69" s="12">
        <v>0.8</v>
      </c>
      <c r="BV69" s="12"/>
      <c r="BW69" s="12">
        <v>0.8</v>
      </c>
      <c r="BX69" s="12"/>
      <c r="BY69" s="12">
        <v>0.8</v>
      </c>
      <c r="CB69">
        <v>2</v>
      </c>
      <c r="CC69" s="116"/>
      <c r="CD69" s="117">
        <v>1</v>
      </c>
      <c r="CE69" s="117"/>
      <c r="CF69" s="118">
        <v>1</v>
      </c>
      <c r="CJ69" s="12"/>
      <c r="CK69" s="12">
        <v>1</v>
      </c>
      <c r="CL69" s="12"/>
      <c r="CM69" s="12">
        <v>1</v>
      </c>
      <c r="CQ69" s="12"/>
      <c r="CR69" s="12">
        <v>1</v>
      </c>
      <c r="CS69" s="12"/>
      <c r="CT69" s="12">
        <v>1</v>
      </c>
      <c r="CX69" s="12"/>
      <c r="CY69" s="12"/>
      <c r="CZ69" s="12"/>
      <c r="DA69" s="12"/>
      <c r="DE69" s="12"/>
      <c r="DF69" s="12"/>
      <c r="DG69" s="12"/>
      <c r="DH69" s="12"/>
      <c r="DL69" s="12"/>
      <c r="DM69" s="12"/>
      <c r="DN69" s="12"/>
      <c r="DO69" s="12"/>
      <c r="DS69" s="12"/>
      <c r="DT69" s="12"/>
      <c r="DU69" s="12"/>
      <c r="DV69" s="12"/>
    </row>
    <row r="70" spans="2:127" ht="15.65" customHeight="1" outlineLevel="1" thickBot="1">
      <c r="B70" s="30" t="s">
        <v>23</v>
      </c>
      <c r="C70" s="30" t="s">
        <v>54</v>
      </c>
      <c r="D70" s="30"/>
      <c r="E70" s="31"/>
      <c r="F70" s="31"/>
      <c r="G70" s="31"/>
      <c r="H70" s="30" t="s">
        <v>105</v>
      </c>
      <c r="I70" s="32">
        <v>0.1</v>
      </c>
      <c r="J70" s="63"/>
      <c r="L70" s="11">
        <f t="shared" si="5"/>
        <v>5.5</v>
      </c>
      <c r="M70" s="13" cm="1">
        <f t="array" ref="M70">MAX(IF($Q$3:$ED$3=$M$3,Q70:ED70))</f>
        <v>0</v>
      </c>
      <c r="N70" s="13" cm="1">
        <f t="array" ref="N70">MAX(IF($Q$3:$ED$3=$M$3,Q70:ED70))</f>
        <v>0</v>
      </c>
      <c r="O70" s="11"/>
      <c r="R70" s="12"/>
      <c r="S70" s="12"/>
      <c r="T70" s="12"/>
      <c r="U70" s="12"/>
      <c r="X70">
        <v>1.5</v>
      </c>
      <c r="Y70" s="121"/>
      <c r="Z70" s="122">
        <v>0.5</v>
      </c>
      <c r="AA70" s="122"/>
      <c r="AB70" s="123">
        <v>0.5</v>
      </c>
      <c r="AF70" s="12"/>
      <c r="AG70" s="12">
        <v>0.5</v>
      </c>
      <c r="AH70" s="12"/>
      <c r="AI70" s="12">
        <v>0.5</v>
      </c>
      <c r="AM70" s="12"/>
      <c r="AN70" s="12">
        <v>0.5</v>
      </c>
      <c r="AO70" s="12"/>
      <c r="AP70" s="12">
        <v>0.5</v>
      </c>
      <c r="AT70" s="12"/>
      <c r="AU70" s="12">
        <v>0.5</v>
      </c>
      <c r="AV70" s="12"/>
      <c r="AW70" s="12">
        <v>0.5</v>
      </c>
      <c r="AZ70">
        <v>2</v>
      </c>
      <c r="BA70" s="116"/>
      <c r="BB70" s="117">
        <v>0.8</v>
      </c>
      <c r="BC70" s="117"/>
      <c r="BD70" s="118">
        <v>0.8</v>
      </c>
      <c r="BH70" s="12"/>
      <c r="BI70" s="12">
        <v>0.8</v>
      </c>
      <c r="BJ70" s="12"/>
      <c r="BK70" s="12">
        <v>0.8</v>
      </c>
      <c r="BO70" s="12"/>
      <c r="BP70" s="12">
        <v>0.8</v>
      </c>
      <c r="BQ70" s="12"/>
      <c r="BR70" s="12">
        <v>0.8</v>
      </c>
      <c r="BV70" s="12"/>
      <c r="BW70" s="12">
        <v>0.8</v>
      </c>
      <c r="BX70" s="12"/>
      <c r="BY70" s="12">
        <v>0.8</v>
      </c>
      <c r="CB70">
        <v>2</v>
      </c>
      <c r="CC70" s="121"/>
      <c r="CD70" s="122">
        <v>1</v>
      </c>
      <c r="CE70" s="122"/>
      <c r="CF70" s="123">
        <v>1</v>
      </c>
      <c r="CJ70" s="12"/>
      <c r="CK70" s="12">
        <v>1</v>
      </c>
      <c r="CL70" s="12"/>
      <c r="CM70" s="12">
        <v>1</v>
      </c>
      <c r="CQ70" s="12"/>
      <c r="CR70" s="12">
        <v>1</v>
      </c>
      <c r="CS70" s="12"/>
      <c r="CT70" s="12">
        <v>1</v>
      </c>
      <c r="CX70" s="12"/>
      <c r="CY70" s="12"/>
      <c r="CZ70" s="12"/>
      <c r="DA70" s="12"/>
      <c r="DE70" s="12"/>
      <c r="DF70" s="12"/>
      <c r="DG70" s="12"/>
      <c r="DH70" s="12"/>
      <c r="DL70" s="12"/>
      <c r="DM70" s="12"/>
      <c r="DN70" s="12"/>
      <c r="DO70" s="12"/>
      <c r="DS70" s="12"/>
      <c r="DT70" s="12"/>
      <c r="DU70" s="12"/>
      <c r="DV70" s="12"/>
    </row>
    <row r="71" spans="2:127" ht="15.65" customHeight="1" outlineLevel="1" thickBot="1">
      <c r="B71" s="30" t="s">
        <v>23</v>
      </c>
      <c r="C71" s="30" t="s">
        <v>54</v>
      </c>
      <c r="D71" s="30"/>
      <c r="E71" s="31"/>
      <c r="F71" s="31"/>
      <c r="G71" s="31"/>
      <c r="H71" s="30" t="s">
        <v>106</v>
      </c>
      <c r="I71" s="32">
        <v>0.1</v>
      </c>
      <c r="J71" s="63"/>
      <c r="L71" s="11">
        <f t="shared" si="5"/>
        <v>5.5</v>
      </c>
      <c r="M71" s="13" cm="1">
        <f t="array" ref="M71">MAX(IF($Q$3:$ED$3=$M$3,Q71:ED71))</f>
        <v>0</v>
      </c>
      <c r="N71" s="13" cm="1">
        <f t="array" ref="N71">MAX(IF($Q$3:$ED$3=$M$3,Q71:ED71))</f>
        <v>0</v>
      </c>
      <c r="O71" s="11"/>
      <c r="R71" s="12"/>
      <c r="S71" s="12"/>
      <c r="T71" s="12"/>
      <c r="U71" s="12"/>
      <c r="Y71" s="12"/>
      <c r="Z71" s="12"/>
      <c r="AA71" s="12"/>
      <c r="AB71" s="12"/>
      <c r="AE71">
        <v>1.5</v>
      </c>
      <c r="AF71" s="116"/>
      <c r="AG71" s="117">
        <v>0.5</v>
      </c>
      <c r="AH71" s="117"/>
      <c r="AI71" s="118">
        <v>0.5</v>
      </c>
      <c r="AM71" s="12"/>
      <c r="AN71" s="12">
        <v>0.5</v>
      </c>
      <c r="AO71" s="12"/>
      <c r="AP71" s="12">
        <v>0.5</v>
      </c>
      <c r="AT71" s="12"/>
      <c r="AU71" s="12">
        <v>0.5</v>
      </c>
      <c r="AV71" s="12"/>
      <c r="AW71" s="12">
        <v>0.5</v>
      </c>
      <c r="AZ71">
        <v>2</v>
      </c>
      <c r="BA71" s="121"/>
      <c r="BB71" s="122">
        <v>0.8</v>
      </c>
      <c r="BC71" s="122"/>
      <c r="BD71" s="123">
        <v>0.8</v>
      </c>
      <c r="BH71" s="12"/>
      <c r="BI71" s="12">
        <v>0.8</v>
      </c>
      <c r="BJ71" s="12"/>
      <c r="BK71" s="12">
        <v>0.8</v>
      </c>
      <c r="BO71" s="12"/>
      <c r="BP71" s="12">
        <v>0.8</v>
      </c>
      <c r="BQ71" s="12"/>
      <c r="BR71" s="12">
        <v>0.8</v>
      </c>
      <c r="BV71" s="12"/>
      <c r="BW71" s="12">
        <v>0.8</v>
      </c>
      <c r="BX71" s="12"/>
      <c r="BY71" s="12">
        <v>0.8</v>
      </c>
      <c r="CC71" s="12"/>
      <c r="CD71" s="12">
        <v>0.8</v>
      </c>
      <c r="CE71" s="12"/>
      <c r="CF71" s="12">
        <v>0.8</v>
      </c>
      <c r="CI71">
        <v>2</v>
      </c>
      <c r="CJ71" s="116"/>
      <c r="CK71" s="117">
        <v>1</v>
      </c>
      <c r="CL71" s="117"/>
      <c r="CM71" s="118">
        <v>1</v>
      </c>
      <c r="CQ71" s="12"/>
      <c r="CR71" s="12">
        <v>1</v>
      </c>
      <c r="CS71" s="12"/>
      <c r="CT71" s="12">
        <v>1</v>
      </c>
      <c r="CX71" s="12"/>
      <c r="CY71" s="12"/>
      <c r="CZ71" s="12"/>
      <c r="DA71" s="12"/>
      <c r="DE71" s="12"/>
      <c r="DF71" s="12"/>
      <c r="DG71" s="12"/>
      <c r="DH71" s="12"/>
      <c r="DL71" s="12"/>
      <c r="DM71" s="12"/>
      <c r="DN71" s="12"/>
      <c r="DO71" s="12"/>
      <c r="DS71" s="12"/>
      <c r="DT71" s="12"/>
      <c r="DU71" s="12"/>
      <c r="DV71" s="12"/>
    </row>
    <row r="72" spans="2:127" ht="15.65" customHeight="1" outlineLevel="1" thickBot="1">
      <c r="B72" s="30" t="s">
        <v>23</v>
      </c>
      <c r="C72" s="30" t="s">
        <v>54</v>
      </c>
      <c r="D72" s="30"/>
      <c r="E72" s="31"/>
      <c r="F72" s="31"/>
      <c r="G72" s="31"/>
      <c r="H72" s="30" t="s">
        <v>107</v>
      </c>
      <c r="I72" s="32">
        <v>0.1</v>
      </c>
      <c r="J72" s="63"/>
      <c r="L72" s="11">
        <f t="shared" si="5"/>
        <v>5</v>
      </c>
      <c r="M72" s="13" cm="1">
        <f t="array" ref="M72">MAX(IF($Q$3:$ED$3=$M$3,Q72:ED72))</f>
        <v>0</v>
      </c>
      <c r="N72" s="13" cm="1">
        <f t="array" ref="N72">MAX(IF($Q$3:$ED$3=$M$3,Q72:ED72))</f>
        <v>0</v>
      </c>
      <c r="O72" s="11"/>
      <c r="R72" s="12"/>
      <c r="S72" s="12"/>
      <c r="T72" s="12"/>
      <c r="U72" s="12"/>
      <c r="Y72" s="12"/>
      <c r="Z72" s="12"/>
      <c r="AA72" s="12"/>
      <c r="AB72" s="12"/>
      <c r="AE72">
        <v>1.5</v>
      </c>
      <c r="AF72" s="119"/>
      <c r="AG72" s="105">
        <v>0.5</v>
      </c>
      <c r="AH72" s="105"/>
      <c r="AI72" s="120">
        <v>0.5</v>
      </c>
      <c r="AM72" s="12"/>
      <c r="AN72" s="12">
        <v>0.5</v>
      </c>
      <c r="AO72" s="12"/>
      <c r="AP72" s="12">
        <v>0.5</v>
      </c>
      <c r="AT72" s="12"/>
      <c r="AU72" s="12">
        <v>0.5</v>
      </c>
      <c r="AV72" s="12"/>
      <c r="AW72" s="12">
        <v>0.5</v>
      </c>
      <c r="BA72" s="12"/>
      <c r="BB72" s="12">
        <v>0.5</v>
      </c>
      <c r="BC72" s="12"/>
      <c r="BD72" s="12">
        <v>0.5</v>
      </c>
      <c r="BG72">
        <v>1.5</v>
      </c>
      <c r="BH72" s="116"/>
      <c r="BI72" s="117">
        <v>0.8</v>
      </c>
      <c r="BJ72" s="117"/>
      <c r="BK72" s="118">
        <v>0.8</v>
      </c>
      <c r="BO72" s="12"/>
      <c r="BP72" s="12">
        <v>0.8</v>
      </c>
      <c r="BQ72" s="12"/>
      <c r="BR72" s="12">
        <v>0.8</v>
      </c>
      <c r="BV72" s="12"/>
      <c r="BW72" s="12">
        <v>0.8</v>
      </c>
      <c r="BX72" s="12"/>
      <c r="BY72" s="12">
        <v>0.8</v>
      </c>
      <c r="CC72" s="12"/>
      <c r="CD72" s="12">
        <v>0.8</v>
      </c>
      <c r="CE72" s="12"/>
      <c r="CF72" s="12">
        <v>0.8</v>
      </c>
      <c r="CI72">
        <v>2</v>
      </c>
      <c r="CJ72" s="121"/>
      <c r="CK72" s="122">
        <v>1</v>
      </c>
      <c r="CL72" s="122"/>
      <c r="CM72" s="123">
        <v>1</v>
      </c>
      <c r="CQ72" s="12"/>
      <c r="CR72" s="12">
        <v>1</v>
      </c>
      <c r="CS72" s="12"/>
      <c r="CT72" s="12">
        <v>1</v>
      </c>
      <c r="CX72" s="12"/>
      <c r="CY72" s="12"/>
      <c r="CZ72" s="12"/>
      <c r="DA72" s="12"/>
      <c r="DE72" s="12"/>
      <c r="DF72" s="12"/>
      <c r="DG72" s="12"/>
      <c r="DH72" s="12"/>
      <c r="DL72" s="12"/>
      <c r="DM72" s="12"/>
      <c r="DN72" s="12"/>
      <c r="DO72" s="12"/>
      <c r="DS72" s="12"/>
      <c r="DT72" s="12"/>
      <c r="DU72" s="12"/>
      <c r="DV72" s="12"/>
    </row>
    <row r="73" spans="2:127" ht="15.65" customHeight="1" outlineLevel="1" thickBot="1">
      <c r="B73" s="30" t="s">
        <v>23</v>
      </c>
      <c r="C73" s="30" t="s">
        <v>54</v>
      </c>
      <c r="D73" s="30"/>
      <c r="E73" s="31"/>
      <c r="F73" s="31"/>
      <c r="G73" s="31"/>
      <c r="H73" s="30" t="s">
        <v>108</v>
      </c>
      <c r="I73" s="32">
        <v>0.1</v>
      </c>
      <c r="J73" s="63"/>
      <c r="L73" s="11">
        <f t="shared" si="5"/>
        <v>5</v>
      </c>
      <c r="M73" s="13" cm="1">
        <f t="array" ref="M73">MAX(IF($Q$3:$ED$3=$M$3,Q73:ED73))</f>
        <v>0</v>
      </c>
      <c r="N73" s="13" cm="1">
        <f t="array" ref="N73">MAX(IF($Q$3:$ED$3=$M$3,Q73:ED73))</f>
        <v>0</v>
      </c>
      <c r="O73" s="11"/>
      <c r="R73" s="12"/>
      <c r="S73" s="12"/>
      <c r="T73" s="12"/>
      <c r="U73" s="12"/>
      <c r="Y73" s="12"/>
      <c r="Z73" s="12"/>
      <c r="AA73" s="12"/>
      <c r="AB73" s="12"/>
      <c r="AE73">
        <v>1.5</v>
      </c>
      <c r="AF73" s="121"/>
      <c r="AG73" s="122">
        <v>0.5</v>
      </c>
      <c r="AH73" s="122"/>
      <c r="AI73" s="123">
        <v>0.5</v>
      </c>
      <c r="AM73" s="12"/>
      <c r="AN73" s="12">
        <v>0.5</v>
      </c>
      <c r="AO73" s="12"/>
      <c r="AP73" s="12">
        <v>0.5</v>
      </c>
      <c r="AT73" s="12"/>
      <c r="AU73" s="12">
        <v>0.5</v>
      </c>
      <c r="AV73" s="12"/>
      <c r="AW73" s="12">
        <v>0.5</v>
      </c>
      <c r="BA73" s="12"/>
      <c r="BB73" s="12">
        <v>0.5</v>
      </c>
      <c r="BC73" s="12"/>
      <c r="BD73" s="12">
        <v>0.5</v>
      </c>
      <c r="BG73">
        <v>1.5</v>
      </c>
      <c r="BH73" s="119"/>
      <c r="BI73" s="105">
        <v>0.8</v>
      </c>
      <c r="BJ73" s="105"/>
      <c r="BK73" s="120">
        <v>0.8</v>
      </c>
      <c r="BO73" s="12"/>
      <c r="BP73" s="12">
        <v>0.8</v>
      </c>
      <c r="BQ73" s="12"/>
      <c r="BR73" s="12">
        <v>0.8</v>
      </c>
      <c r="BV73" s="12"/>
      <c r="BW73" s="12">
        <v>0.8</v>
      </c>
      <c r="BX73" s="12"/>
      <c r="BY73" s="12">
        <v>0.8</v>
      </c>
      <c r="CC73" s="12"/>
      <c r="CD73" s="12">
        <v>0.8</v>
      </c>
      <c r="CE73" s="12"/>
      <c r="CF73" s="12">
        <v>0.8</v>
      </c>
      <c r="CJ73" s="12"/>
      <c r="CK73" s="12">
        <v>0.8</v>
      </c>
      <c r="CL73" s="12"/>
      <c r="CM73" s="12">
        <v>0.8</v>
      </c>
      <c r="CP73">
        <v>2</v>
      </c>
      <c r="CQ73" s="116"/>
      <c r="CR73" s="117">
        <v>1</v>
      </c>
      <c r="CS73" s="117"/>
      <c r="CT73" s="118">
        <v>1</v>
      </c>
      <c r="CX73" s="12"/>
      <c r="CY73" s="12"/>
      <c r="CZ73" s="12"/>
      <c r="DA73" s="12"/>
      <c r="DE73" s="12"/>
      <c r="DF73" s="12"/>
      <c r="DG73" s="12"/>
      <c r="DH73" s="12"/>
      <c r="DL73" s="12"/>
      <c r="DM73" s="12"/>
      <c r="DN73" s="12"/>
      <c r="DO73" s="12"/>
      <c r="DS73" s="12"/>
      <c r="DT73" s="12"/>
      <c r="DU73" s="12"/>
      <c r="DV73" s="12"/>
    </row>
    <row r="74" spans="2:127" ht="15.65" customHeight="1" outlineLevel="1" thickBot="1">
      <c r="B74" s="30" t="s">
        <v>23</v>
      </c>
      <c r="C74" s="30" t="s">
        <v>54</v>
      </c>
      <c r="D74" s="30"/>
      <c r="E74" s="31"/>
      <c r="F74" s="31"/>
      <c r="G74" s="31"/>
      <c r="H74" s="30" t="s">
        <v>109</v>
      </c>
      <c r="I74" s="32">
        <v>0.1</v>
      </c>
      <c r="J74" s="63"/>
      <c r="L74" s="11">
        <f t="shared" si="5"/>
        <v>5</v>
      </c>
      <c r="M74" s="13" cm="1">
        <f t="array" ref="M74">MAX(IF($Q$3:$ED$3=$M$3,Q74:ED74))</f>
        <v>0</v>
      </c>
      <c r="N74" s="13" cm="1">
        <f t="array" ref="N74">MAX(IF($Q$3:$ED$3=$M$3,Q74:ED74))</f>
        <v>0</v>
      </c>
      <c r="O74" s="11"/>
      <c r="R74" s="12"/>
      <c r="S74" s="12"/>
      <c r="T74" s="12"/>
      <c r="U74" s="12"/>
      <c r="Y74" s="12"/>
      <c r="Z74" s="12"/>
      <c r="AA74" s="12"/>
      <c r="AB74" s="12"/>
      <c r="AF74" s="12"/>
      <c r="AG74" s="12"/>
      <c r="AH74" s="12"/>
      <c r="AI74" s="12"/>
      <c r="AL74">
        <v>1.5</v>
      </c>
      <c r="AM74" s="124"/>
      <c r="AN74" s="125">
        <v>0.5</v>
      </c>
      <c r="AO74" s="125"/>
      <c r="AP74" s="126">
        <v>0.5</v>
      </c>
      <c r="AT74" s="12"/>
      <c r="AU74" s="12">
        <v>0.5</v>
      </c>
      <c r="AV74" s="12"/>
      <c r="AW74" s="12">
        <v>0.5</v>
      </c>
      <c r="BA74" s="12"/>
      <c r="BB74" s="12">
        <v>0.5</v>
      </c>
      <c r="BC74" s="12"/>
      <c r="BD74" s="12">
        <v>0.5</v>
      </c>
      <c r="BG74">
        <v>1.5</v>
      </c>
      <c r="BH74" s="121"/>
      <c r="BI74" s="122">
        <v>0.8</v>
      </c>
      <c r="BJ74" s="122"/>
      <c r="BK74" s="123">
        <v>0.8</v>
      </c>
      <c r="BO74" s="12"/>
      <c r="BP74" s="12">
        <v>0.8</v>
      </c>
      <c r="BQ74" s="12"/>
      <c r="BR74" s="12">
        <v>0.8</v>
      </c>
      <c r="BV74" s="12"/>
      <c r="BW74" s="12">
        <v>0.8</v>
      </c>
      <c r="BX74" s="12"/>
      <c r="BY74" s="12">
        <v>0.8</v>
      </c>
      <c r="CC74" s="12"/>
      <c r="CD74" s="12">
        <v>0.8</v>
      </c>
      <c r="CE74" s="12"/>
      <c r="CF74" s="12">
        <v>0.8</v>
      </c>
      <c r="CJ74" s="12"/>
      <c r="CK74" s="12">
        <v>0.8</v>
      </c>
      <c r="CL74" s="12"/>
      <c r="CM74" s="12">
        <v>0.8</v>
      </c>
      <c r="CP74">
        <v>2</v>
      </c>
      <c r="CQ74" s="121"/>
      <c r="CR74" s="122">
        <v>1</v>
      </c>
      <c r="CS74" s="122"/>
      <c r="CT74" s="123">
        <v>1</v>
      </c>
      <c r="CX74" s="12"/>
      <c r="CY74" s="12"/>
      <c r="CZ74" s="12"/>
      <c r="DA74" s="12"/>
      <c r="DE74" s="12"/>
      <c r="DF74" s="12"/>
      <c r="DG74" s="12"/>
      <c r="DH74" s="12"/>
      <c r="DL74" s="12"/>
      <c r="DM74" s="12"/>
      <c r="DN74" s="12"/>
      <c r="DO74" s="12"/>
      <c r="DS74" s="12"/>
      <c r="DT74" s="12"/>
      <c r="DU74" s="12"/>
      <c r="DV74" s="12"/>
    </row>
    <row r="75" spans="2:127">
      <c r="J75" s="9"/>
      <c r="R75" s="9"/>
      <c r="Y75" s="9"/>
      <c r="AF75" s="9"/>
      <c r="AM75" s="9"/>
      <c r="AT75" s="9"/>
      <c r="BA75" s="9"/>
      <c r="BH75" s="9"/>
      <c r="BO75" s="9"/>
      <c r="BV75" s="9"/>
      <c r="CC75" s="9"/>
      <c r="CJ75" s="9"/>
      <c r="CQ75" s="9"/>
      <c r="CX75" s="9"/>
      <c r="DE75" s="9"/>
      <c r="DL75" s="9"/>
      <c r="DS75" s="9"/>
    </row>
    <row r="76" spans="2:127" s="43" customFormat="1" ht="16" thickBot="1">
      <c r="B76" s="43" t="s">
        <v>22</v>
      </c>
      <c r="C76" s="43" t="s">
        <v>53</v>
      </c>
      <c r="D76" s="43" t="s">
        <v>70</v>
      </c>
      <c r="E76" s="44">
        <v>24</v>
      </c>
      <c r="F76" s="44">
        <f>E76/9</f>
        <v>2.6666666666666665</v>
      </c>
      <c r="G76" s="44">
        <v>5</v>
      </c>
      <c r="I76" s="45">
        <f>+SUM(I77:I84)</f>
        <v>1</v>
      </c>
      <c r="J76" s="45"/>
      <c r="L76" s="64">
        <f>+SUM(L77:L84)</f>
        <v>70.5</v>
      </c>
      <c r="M76" s="65">
        <f>+SUMPRODUCT(J77:J84,M77:M84)</f>
        <v>0</v>
      </c>
      <c r="N76" s="65">
        <f>+SUMPRODUCT(J77:J84,N77:N84)</f>
        <v>0</v>
      </c>
      <c r="O76" s="44"/>
      <c r="Q76" s="64">
        <f>+SUM(Q77:Q84)</f>
        <v>9</v>
      </c>
      <c r="X76" s="64">
        <f>+SUM(X77:X84)</f>
        <v>9</v>
      </c>
      <c r="AE76" s="64">
        <f>+SUM(AE77:AE84)</f>
        <v>9</v>
      </c>
      <c r="AL76" s="64">
        <f>+SUM(AL77:AL84)</f>
        <v>9</v>
      </c>
      <c r="AS76" s="64">
        <f>+SUM(AS77:AS84)</f>
        <v>9</v>
      </c>
      <c r="AZ76" s="64">
        <f>+SUM(AZ77:AZ84)</f>
        <v>7.5</v>
      </c>
      <c r="BG76" s="64">
        <f>+SUM(BG77:BG84)</f>
        <v>6</v>
      </c>
      <c r="BN76" s="64">
        <f>+SUM(BN77:BN84)</f>
        <v>6</v>
      </c>
      <c r="BU76" s="64">
        <f>+SUM(BU77:BU84)</f>
        <v>6</v>
      </c>
      <c r="CB76" s="99">
        <f>+SUM(CB77:CB84)</f>
        <v>0</v>
      </c>
      <c r="CC76" s="100"/>
      <c r="CD76" s="100"/>
      <c r="CE76" s="100"/>
      <c r="CF76" s="100"/>
      <c r="CG76" s="100"/>
      <c r="CH76" s="100"/>
      <c r="CI76" s="99">
        <f>+SUM(CI77:CI84)</f>
        <v>0</v>
      </c>
      <c r="CJ76" s="100"/>
      <c r="CK76" s="100"/>
      <c r="CL76" s="100"/>
      <c r="CM76" s="100"/>
      <c r="CN76" s="100"/>
      <c r="CO76" s="100"/>
      <c r="CP76" s="99">
        <f>+SUM(CP77:CP84)</f>
        <v>0</v>
      </c>
      <c r="CQ76" s="100"/>
      <c r="CR76" s="100"/>
      <c r="CS76" s="100"/>
      <c r="CT76" s="100"/>
      <c r="CU76" s="101" t="s">
        <v>124</v>
      </c>
      <c r="CW76" s="129">
        <f>+SUM(CW77:CW84)</f>
        <v>0</v>
      </c>
      <c r="CX76" s="9"/>
      <c r="CY76" s="9"/>
      <c r="CZ76" s="9"/>
      <c r="DA76" s="9"/>
      <c r="DB76" s="9"/>
      <c r="DC76" s="9"/>
      <c r="DD76" s="129">
        <f>+SUM(DD77:DD84)</f>
        <v>0</v>
      </c>
      <c r="DE76" s="9"/>
      <c r="DF76" s="9"/>
      <c r="DG76" s="9"/>
      <c r="DH76" s="9"/>
      <c r="DI76" s="9"/>
      <c r="DJ76" s="9"/>
      <c r="DK76" s="129">
        <f>+SUM(DK77:DK84)</f>
        <v>0</v>
      </c>
      <c r="DL76" s="9"/>
      <c r="DM76" s="9"/>
      <c r="DN76" s="9"/>
      <c r="DO76" s="9"/>
      <c r="DP76" s="9"/>
      <c r="DQ76" s="9"/>
      <c r="DR76" s="129">
        <f>+SUM(DR77:DR84)</f>
        <v>0</v>
      </c>
      <c r="DS76" s="9"/>
      <c r="DT76" s="9"/>
      <c r="DU76" s="9"/>
      <c r="DV76" s="9"/>
      <c r="DW76" s="9"/>
    </row>
    <row r="77" spans="2:127" ht="15.65" customHeight="1" outlineLevel="1" thickBot="1">
      <c r="B77" s="43" t="s">
        <v>23</v>
      </c>
      <c r="C77" s="43" t="s">
        <v>53</v>
      </c>
      <c r="D77" s="43"/>
      <c r="E77" s="44"/>
      <c r="F77" s="44"/>
      <c r="G77" s="44"/>
      <c r="H77" s="43" t="s">
        <v>136</v>
      </c>
      <c r="I77" s="45">
        <v>0.125</v>
      </c>
      <c r="J77" s="63"/>
      <c r="L77" s="11">
        <f t="shared" ref="L77:L84" si="6">+SUMIF($Q$3:$ZV$3,L$3,$Q77:$ZV77)</f>
        <v>8.5</v>
      </c>
      <c r="M77" s="13" cm="1">
        <f t="array" ref="M77">MAX(IF($Q$3:$ED$3=$M$3,Q77:ED77))</f>
        <v>0</v>
      </c>
      <c r="N77" s="13" cm="1">
        <f t="array" ref="N77">MAX(IF($Q$3:$ED$3=$M$3,Q77:ED77))</f>
        <v>0</v>
      </c>
      <c r="O77" s="11"/>
      <c r="Q77">
        <v>3</v>
      </c>
      <c r="R77" s="105"/>
      <c r="S77" s="105">
        <v>0.5</v>
      </c>
      <c r="T77" s="105"/>
      <c r="U77" s="105">
        <v>0.5</v>
      </c>
      <c r="Y77" s="105"/>
      <c r="Z77" s="105">
        <v>0.5</v>
      </c>
      <c r="AA77" s="105"/>
      <c r="AB77" s="105">
        <v>0.5</v>
      </c>
      <c r="AC77" s="132"/>
      <c r="AD77" s="132"/>
      <c r="AE77" s="132">
        <v>3</v>
      </c>
      <c r="AF77" s="124"/>
      <c r="AG77" s="125">
        <v>0.8</v>
      </c>
      <c r="AH77" s="125"/>
      <c r="AI77" s="126">
        <v>0.8</v>
      </c>
      <c r="AJ77" s="132"/>
      <c r="AK77" s="132"/>
      <c r="AL77" s="132"/>
      <c r="AM77" s="105"/>
      <c r="AN77" s="105">
        <v>0.8</v>
      </c>
      <c r="AO77" s="105"/>
      <c r="AP77" s="105">
        <v>0.8</v>
      </c>
      <c r="AQ77" s="132"/>
      <c r="AR77" s="132"/>
      <c r="AS77" s="132"/>
      <c r="AT77" s="105"/>
      <c r="AU77" s="105">
        <v>0.8</v>
      </c>
      <c r="AV77" s="105"/>
      <c r="AW77" s="105">
        <v>0.8</v>
      </c>
      <c r="AX77" s="132"/>
      <c r="AY77" s="132"/>
      <c r="AZ77" s="132">
        <v>2.5</v>
      </c>
      <c r="BA77" s="116"/>
      <c r="BB77" s="117">
        <v>1</v>
      </c>
      <c r="BC77" s="117"/>
      <c r="BD77" s="118">
        <v>1</v>
      </c>
      <c r="BE77" s="105"/>
      <c r="BF77" s="105"/>
      <c r="BH77" s="12"/>
      <c r="BI77" s="12">
        <v>1</v>
      </c>
      <c r="BJ77" s="12"/>
      <c r="BK77" s="12">
        <v>1</v>
      </c>
      <c r="BO77" s="12"/>
      <c r="BP77" s="12">
        <v>1</v>
      </c>
      <c r="BQ77" s="12"/>
      <c r="BR77" s="12">
        <v>1</v>
      </c>
      <c r="BV77" s="12"/>
      <c r="BW77" s="12">
        <v>1</v>
      </c>
      <c r="BX77" s="12"/>
      <c r="BY77" s="12">
        <v>1</v>
      </c>
      <c r="CC77" s="12"/>
      <c r="CD77" s="12"/>
      <c r="CE77" s="12"/>
      <c r="CF77" s="12"/>
      <c r="CJ77" s="12"/>
      <c r="CK77" s="12"/>
      <c r="CL77" s="12"/>
      <c r="CM77" s="12"/>
      <c r="CQ77" s="12"/>
      <c r="CR77" s="12"/>
      <c r="CS77" s="12"/>
      <c r="CT77" s="12"/>
      <c r="CX77" s="12"/>
      <c r="CY77" s="12"/>
      <c r="CZ77" s="12"/>
      <c r="DA77" s="12"/>
      <c r="DE77" s="12"/>
      <c r="DF77" s="12"/>
      <c r="DG77" s="12"/>
      <c r="DH77" s="12"/>
      <c r="DL77" s="12"/>
      <c r="DM77" s="12"/>
      <c r="DN77" s="12"/>
      <c r="DO77" s="12"/>
      <c r="DS77" s="12"/>
      <c r="DT77" s="12"/>
      <c r="DU77" s="12"/>
      <c r="DV77" s="12"/>
    </row>
    <row r="78" spans="2:127" ht="15.65" customHeight="1" outlineLevel="1" thickBot="1">
      <c r="B78" s="43" t="s">
        <v>23</v>
      </c>
      <c r="C78" s="43" t="s">
        <v>53</v>
      </c>
      <c r="D78" s="43"/>
      <c r="E78" s="44"/>
      <c r="F78" s="44"/>
      <c r="G78" s="44"/>
      <c r="H78" s="43" t="s">
        <v>111</v>
      </c>
      <c r="I78" s="45">
        <v>0.125</v>
      </c>
      <c r="J78" s="63"/>
      <c r="L78" s="11">
        <f t="shared" si="6"/>
        <v>8.5</v>
      </c>
      <c r="M78" s="13" cm="1">
        <f t="array" ref="M78">MAX(IF($Q$3:$ED$3=$M$3,Q78:ED78))</f>
        <v>0</v>
      </c>
      <c r="N78" s="13" cm="1">
        <f t="array" ref="N78">MAX(IF($Q$3:$ED$3=$M$3,Q78:ED78))</f>
        <v>0</v>
      </c>
      <c r="O78" s="11"/>
      <c r="Q78">
        <v>3</v>
      </c>
      <c r="R78" s="105"/>
      <c r="S78" s="105">
        <v>0.5</v>
      </c>
      <c r="T78" s="105"/>
      <c r="U78" s="105">
        <v>0.5</v>
      </c>
      <c r="Y78" s="105"/>
      <c r="Z78" s="105">
        <v>0.5</v>
      </c>
      <c r="AA78" s="105"/>
      <c r="AB78" s="105">
        <v>0.5</v>
      </c>
      <c r="AC78" s="132"/>
      <c r="AD78" s="132"/>
      <c r="AE78" s="132"/>
      <c r="AF78" s="105"/>
      <c r="AG78" s="105">
        <v>0.5</v>
      </c>
      <c r="AH78" s="105"/>
      <c r="AI78" s="105">
        <v>0.5</v>
      </c>
      <c r="AJ78" s="132"/>
      <c r="AK78" s="132"/>
      <c r="AL78">
        <v>3</v>
      </c>
      <c r="AM78" s="116"/>
      <c r="AN78" s="117">
        <v>0.8</v>
      </c>
      <c r="AO78" s="117"/>
      <c r="AP78" s="118">
        <v>0.8</v>
      </c>
      <c r="AQ78" s="132"/>
      <c r="AR78" s="132"/>
      <c r="AS78" s="132"/>
      <c r="AT78" s="105"/>
      <c r="AU78" s="105">
        <v>0.8</v>
      </c>
      <c r="AV78" s="105"/>
      <c r="AW78" s="105">
        <v>0.8</v>
      </c>
      <c r="AX78" s="132"/>
      <c r="AY78" s="132"/>
      <c r="AZ78" s="132">
        <v>2.5</v>
      </c>
      <c r="BA78" s="121"/>
      <c r="BB78" s="122">
        <v>1</v>
      </c>
      <c r="BC78" s="122"/>
      <c r="BD78" s="123">
        <v>1</v>
      </c>
      <c r="BE78" s="105"/>
      <c r="BF78" s="105"/>
      <c r="BH78" s="12"/>
      <c r="BI78" s="12">
        <v>1</v>
      </c>
      <c r="BJ78" s="12"/>
      <c r="BK78" s="12">
        <v>1</v>
      </c>
      <c r="BO78" s="12"/>
      <c r="BP78" s="12">
        <v>1</v>
      </c>
      <c r="BQ78" s="12"/>
      <c r="BR78" s="12">
        <v>1</v>
      </c>
      <c r="BV78" s="12"/>
      <c r="BW78" s="12">
        <v>1</v>
      </c>
      <c r="BX78" s="12"/>
      <c r="BY78" s="12">
        <v>1</v>
      </c>
      <c r="CC78" s="12"/>
      <c r="CD78" s="12"/>
      <c r="CE78" s="12"/>
      <c r="CF78" s="12"/>
      <c r="CJ78" s="12"/>
      <c r="CK78" s="12"/>
      <c r="CL78" s="12"/>
      <c r="CM78" s="12"/>
      <c r="CQ78" s="12"/>
      <c r="CR78" s="12"/>
      <c r="CS78" s="12"/>
      <c r="CT78" s="12"/>
      <c r="CX78" s="12"/>
      <c r="CY78" s="12"/>
      <c r="CZ78" s="12"/>
      <c r="DA78" s="12"/>
      <c r="DE78" s="12"/>
      <c r="DF78" s="12"/>
      <c r="DG78" s="12"/>
      <c r="DH78" s="12"/>
      <c r="DL78" s="12"/>
      <c r="DM78" s="12"/>
      <c r="DN78" s="12"/>
      <c r="DO78" s="12"/>
      <c r="DS78" s="12"/>
      <c r="DT78" s="12"/>
      <c r="DU78" s="12"/>
      <c r="DV78" s="12"/>
    </row>
    <row r="79" spans="2:127" ht="15.65" customHeight="1" outlineLevel="1" thickBot="1">
      <c r="B79" s="43" t="s">
        <v>23</v>
      </c>
      <c r="C79" s="43" t="s">
        <v>53</v>
      </c>
      <c r="D79" s="43"/>
      <c r="E79" s="44"/>
      <c r="F79" s="44"/>
      <c r="G79" s="44"/>
      <c r="H79" s="43" t="s">
        <v>112</v>
      </c>
      <c r="I79" s="45">
        <v>0.125</v>
      </c>
      <c r="J79" s="63"/>
      <c r="L79" s="11">
        <f t="shared" si="6"/>
        <v>9</v>
      </c>
      <c r="M79" s="13" cm="1">
        <f t="array" ref="M79">MAX(IF($Q$3:$ED$3=$M$3,Q79:ED79))</f>
        <v>0</v>
      </c>
      <c r="N79" s="13" cm="1">
        <f t="array" ref="N79">MAX(IF($Q$3:$ED$3=$M$3,Q79:ED79))</f>
        <v>0</v>
      </c>
      <c r="O79" s="11"/>
      <c r="Q79">
        <v>3</v>
      </c>
      <c r="R79" s="105"/>
      <c r="S79" s="105">
        <v>0.5</v>
      </c>
      <c r="T79" s="105"/>
      <c r="U79" s="105">
        <v>0.5</v>
      </c>
      <c r="Y79" s="105"/>
      <c r="Z79" s="105">
        <v>0.5</v>
      </c>
      <c r="AA79" s="105"/>
      <c r="AB79" s="105">
        <v>0.5</v>
      </c>
      <c r="AC79" s="132"/>
      <c r="AD79" s="132"/>
      <c r="AE79" s="132"/>
      <c r="AF79" s="105"/>
      <c r="AG79" s="105">
        <v>0.5</v>
      </c>
      <c r="AH79" s="105"/>
      <c r="AI79" s="105">
        <v>0.5</v>
      </c>
      <c r="AJ79" s="132"/>
      <c r="AK79" s="132"/>
      <c r="AL79">
        <v>3</v>
      </c>
      <c r="AM79" s="119"/>
      <c r="AN79" s="105">
        <v>0.8</v>
      </c>
      <c r="AO79" s="105"/>
      <c r="AP79" s="120">
        <v>0.8</v>
      </c>
      <c r="AQ79" s="132"/>
      <c r="AR79" s="132"/>
      <c r="AS79" s="132"/>
      <c r="AT79" s="105"/>
      <c r="AU79" s="105">
        <v>0.8</v>
      </c>
      <c r="AV79" s="105"/>
      <c r="AW79" s="105">
        <v>0.8</v>
      </c>
      <c r="AX79" s="132"/>
      <c r="AY79" s="132"/>
      <c r="AZ79" s="132"/>
      <c r="BA79" s="105"/>
      <c r="BB79" s="105">
        <v>0.8</v>
      </c>
      <c r="BC79" s="105"/>
      <c r="BD79" s="105">
        <v>0.8</v>
      </c>
      <c r="BE79" s="105"/>
      <c r="BF79" s="105"/>
      <c r="BG79" s="132">
        <v>3</v>
      </c>
      <c r="BH79" s="116"/>
      <c r="BI79" s="117">
        <v>1</v>
      </c>
      <c r="BJ79" s="117"/>
      <c r="BK79" s="118">
        <v>1</v>
      </c>
      <c r="BO79" s="12"/>
      <c r="BP79" s="12">
        <v>1</v>
      </c>
      <c r="BQ79" s="12"/>
      <c r="BR79" s="12">
        <v>1</v>
      </c>
      <c r="BV79" s="12"/>
      <c r="BW79" s="12">
        <v>1</v>
      </c>
      <c r="BX79" s="12"/>
      <c r="BY79" s="12">
        <v>1</v>
      </c>
      <c r="CC79" s="12"/>
      <c r="CD79" s="12"/>
      <c r="CE79" s="12"/>
      <c r="CF79" s="12"/>
      <c r="CJ79" s="12"/>
      <c r="CK79" s="12"/>
      <c r="CL79" s="12"/>
      <c r="CM79" s="12"/>
      <c r="CQ79" s="12"/>
      <c r="CR79" s="12"/>
      <c r="CS79" s="12"/>
      <c r="CT79" s="12"/>
      <c r="CX79" s="12"/>
      <c r="CY79" s="12"/>
      <c r="CZ79" s="12"/>
      <c r="DA79" s="12"/>
      <c r="DE79" s="12"/>
      <c r="DF79" s="12"/>
      <c r="DG79" s="12"/>
      <c r="DH79" s="12"/>
      <c r="DL79" s="12"/>
      <c r="DM79" s="12"/>
      <c r="DN79" s="12"/>
      <c r="DO79" s="12"/>
      <c r="DS79" s="12"/>
      <c r="DT79" s="12"/>
      <c r="DU79" s="12"/>
      <c r="DV79" s="12"/>
    </row>
    <row r="80" spans="2:127" ht="15.65" customHeight="1" outlineLevel="1" thickBot="1">
      <c r="B80" s="43" t="s">
        <v>23</v>
      </c>
      <c r="C80" s="43" t="s">
        <v>53</v>
      </c>
      <c r="D80" s="43"/>
      <c r="E80" s="44"/>
      <c r="F80" s="44"/>
      <c r="G80" s="44"/>
      <c r="H80" s="43" t="s">
        <v>113</v>
      </c>
      <c r="I80" s="45">
        <v>0.125</v>
      </c>
      <c r="J80" s="63"/>
      <c r="L80" s="11">
        <f t="shared" si="6"/>
        <v>9</v>
      </c>
      <c r="M80" s="13" cm="1">
        <f t="array" ref="M80">MAX(IF($Q$3:$ED$3=$M$3,Q80:ED80))</f>
        <v>0</v>
      </c>
      <c r="N80" s="13" cm="1">
        <f t="array" ref="N80">MAX(IF($Q$3:$ED$3=$M$3,Q80:ED80))</f>
        <v>0</v>
      </c>
      <c r="O80" s="11"/>
      <c r="R80" s="12"/>
      <c r="S80" s="12"/>
      <c r="T80" s="12"/>
      <c r="U80" s="12"/>
      <c r="X80">
        <v>3</v>
      </c>
      <c r="Y80" s="116"/>
      <c r="Z80" s="117">
        <v>0.5</v>
      </c>
      <c r="AA80" s="117"/>
      <c r="AB80" s="118">
        <v>0.5</v>
      </c>
      <c r="AC80" s="132"/>
      <c r="AD80" s="132"/>
      <c r="AE80" s="132"/>
      <c r="AF80" s="105"/>
      <c r="AG80" s="105">
        <v>0.5</v>
      </c>
      <c r="AH80" s="105"/>
      <c r="AI80" s="105">
        <v>0.5</v>
      </c>
      <c r="AJ80" s="132"/>
      <c r="AK80" s="132"/>
      <c r="AL80">
        <v>3</v>
      </c>
      <c r="AM80" s="121"/>
      <c r="AN80" s="122">
        <v>0.8</v>
      </c>
      <c r="AO80" s="122"/>
      <c r="AP80" s="123">
        <v>0.8</v>
      </c>
      <c r="AQ80" s="132"/>
      <c r="AR80" s="132"/>
      <c r="AS80" s="132"/>
      <c r="AT80" s="105"/>
      <c r="AU80" s="105">
        <v>0.8</v>
      </c>
      <c r="AV80" s="105"/>
      <c r="AW80" s="105">
        <v>0.8</v>
      </c>
      <c r="AX80" s="132"/>
      <c r="AY80" s="132"/>
      <c r="AZ80" s="132"/>
      <c r="BA80" s="105"/>
      <c r="BB80" s="105">
        <v>0.8</v>
      </c>
      <c r="BC80" s="105"/>
      <c r="BD80" s="105">
        <v>0.8</v>
      </c>
      <c r="BE80" s="105"/>
      <c r="BF80" s="105"/>
      <c r="BG80" s="132">
        <v>3</v>
      </c>
      <c r="BH80" s="121"/>
      <c r="BI80" s="122">
        <v>1</v>
      </c>
      <c r="BJ80" s="122"/>
      <c r="BK80" s="123">
        <v>1</v>
      </c>
      <c r="BO80" s="12"/>
      <c r="BP80" s="12">
        <v>1</v>
      </c>
      <c r="BQ80" s="12"/>
      <c r="BR80" s="12">
        <v>1</v>
      </c>
      <c r="BV80" s="12"/>
      <c r="BW80" s="12">
        <v>1</v>
      </c>
      <c r="BX80" s="12"/>
      <c r="BY80" s="12">
        <v>1</v>
      </c>
      <c r="CC80" s="12"/>
      <c r="CD80" s="12"/>
      <c r="CE80" s="12"/>
      <c r="CF80" s="12"/>
      <c r="CJ80" s="12"/>
      <c r="CK80" s="12"/>
      <c r="CL80" s="12"/>
      <c r="CM80" s="12"/>
      <c r="CQ80" s="12"/>
      <c r="CR80" s="12"/>
      <c r="CS80" s="12"/>
      <c r="CT80" s="12"/>
      <c r="CX80" s="12"/>
      <c r="CY80" s="12"/>
      <c r="CZ80" s="12"/>
      <c r="DA80" s="12"/>
      <c r="DE80" s="12"/>
      <c r="DF80" s="12"/>
      <c r="DG80" s="12"/>
      <c r="DH80" s="12"/>
      <c r="DL80" s="12"/>
      <c r="DM80" s="12"/>
      <c r="DN80" s="12"/>
      <c r="DO80" s="12"/>
      <c r="DS80" s="12"/>
      <c r="DT80" s="12"/>
      <c r="DU80" s="12"/>
      <c r="DV80" s="12"/>
    </row>
    <row r="81" spans="2:127" ht="15.65" customHeight="1" outlineLevel="1">
      <c r="B81" s="43" t="s">
        <v>23</v>
      </c>
      <c r="C81" s="43" t="s">
        <v>53</v>
      </c>
      <c r="D81" s="43"/>
      <c r="E81" s="44"/>
      <c r="F81" s="44"/>
      <c r="G81" s="44"/>
      <c r="H81" s="43" t="s">
        <v>114</v>
      </c>
      <c r="I81" s="45">
        <v>0.125</v>
      </c>
      <c r="J81" s="63"/>
      <c r="L81" s="11">
        <f t="shared" si="6"/>
        <v>9</v>
      </c>
      <c r="M81" s="13" cm="1">
        <f t="array" ref="M81">MAX(IF($Q$3:$ED$3=$M$3,Q81:ED81))</f>
        <v>0</v>
      </c>
      <c r="N81" s="13" cm="1">
        <f t="array" ref="N81">MAX(IF($Q$3:$ED$3=$M$3,Q81:ED81))</f>
        <v>0</v>
      </c>
      <c r="O81" s="11"/>
      <c r="R81" s="12"/>
      <c r="S81" s="12"/>
      <c r="T81" s="12"/>
      <c r="U81" s="12"/>
      <c r="X81">
        <v>3</v>
      </c>
      <c r="Y81" s="119"/>
      <c r="Z81" s="105">
        <v>0.5</v>
      </c>
      <c r="AA81" s="105"/>
      <c r="AB81" s="120">
        <v>0.5</v>
      </c>
      <c r="AC81" s="132"/>
      <c r="AD81" s="132"/>
      <c r="AE81" s="132"/>
      <c r="AF81" s="105"/>
      <c r="AG81" s="105">
        <v>0.5</v>
      </c>
      <c r="AH81" s="105"/>
      <c r="AI81" s="105">
        <v>0.5</v>
      </c>
      <c r="AJ81" s="132"/>
      <c r="AK81" s="132"/>
      <c r="AL81" s="132"/>
      <c r="AM81" s="105"/>
      <c r="AN81" s="105">
        <v>0.5</v>
      </c>
      <c r="AO81" s="105"/>
      <c r="AP81" s="105">
        <v>0.5</v>
      </c>
      <c r="AQ81" s="132"/>
      <c r="AR81" s="132"/>
      <c r="AS81">
        <v>3</v>
      </c>
      <c r="AT81" s="116"/>
      <c r="AU81" s="117">
        <v>0.8</v>
      </c>
      <c r="AV81" s="117"/>
      <c r="AW81" s="118">
        <v>0.8</v>
      </c>
      <c r="AX81" s="132"/>
      <c r="AY81" s="132"/>
      <c r="AZ81" s="132"/>
      <c r="BA81" s="105"/>
      <c r="BB81" s="105">
        <v>0.8</v>
      </c>
      <c r="BC81" s="105"/>
      <c r="BD81" s="105">
        <v>0.8</v>
      </c>
      <c r="BE81" s="105"/>
      <c r="BF81" s="105"/>
      <c r="BH81" s="12"/>
      <c r="BI81" s="12">
        <v>0.8</v>
      </c>
      <c r="BJ81" s="12"/>
      <c r="BK81" s="12">
        <v>0.8</v>
      </c>
      <c r="BN81" s="132">
        <v>3</v>
      </c>
      <c r="BO81" s="116"/>
      <c r="BP81" s="117">
        <v>1</v>
      </c>
      <c r="BQ81" s="117"/>
      <c r="BR81" s="118">
        <v>1</v>
      </c>
      <c r="BV81" s="12"/>
      <c r="BW81" s="12">
        <v>1</v>
      </c>
      <c r="BX81" s="12"/>
      <c r="BY81" s="12">
        <v>1</v>
      </c>
      <c r="CC81" s="12"/>
      <c r="CD81" s="12"/>
      <c r="CE81" s="12"/>
      <c r="CF81" s="12"/>
      <c r="CJ81" s="12"/>
      <c r="CK81" s="12"/>
      <c r="CL81" s="12"/>
      <c r="CM81" s="12"/>
      <c r="CQ81" s="12"/>
      <c r="CR81" s="12"/>
      <c r="CS81" s="12"/>
      <c r="CT81" s="12"/>
      <c r="CX81" s="12"/>
      <c r="CY81" s="12"/>
      <c r="CZ81" s="12"/>
      <c r="DA81" s="12"/>
      <c r="DE81" s="12"/>
      <c r="DF81" s="12"/>
      <c r="DG81" s="12"/>
      <c r="DH81" s="12"/>
      <c r="DL81" s="12"/>
      <c r="DM81" s="12"/>
      <c r="DN81" s="12"/>
      <c r="DO81" s="12"/>
      <c r="DS81" s="12"/>
      <c r="DT81" s="12"/>
      <c r="DU81" s="12"/>
      <c r="DV81" s="12"/>
    </row>
    <row r="82" spans="2:127" ht="15.65" customHeight="1" outlineLevel="1" thickBot="1">
      <c r="B82" s="43" t="s">
        <v>23</v>
      </c>
      <c r="C82" s="43" t="s">
        <v>53</v>
      </c>
      <c r="D82" s="43"/>
      <c r="E82" s="44"/>
      <c r="F82" s="44"/>
      <c r="G82" s="44"/>
      <c r="H82" s="43" t="s">
        <v>115</v>
      </c>
      <c r="I82" s="45">
        <v>0.125</v>
      </c>
      <c r="J82" s="63"/>
      <c r="L82" s="11">
        <f t="shared" si="6"/>
        <v>9</v>
      </c>
      <c r="M82" s="13" cm="1">
        <f t="array" ref="M82">MAX(IF($Q$3:$ED$3=$M$3,Q82:ED82))</f>
        <v>0</v>
      </c>
      <c r="N82" s="13" cm="1">
        <f t="array" ref="N82">MAX(IF($Q$3:$ED$3=$M$3,Q82:ED82))</f>
        <v>0</v>
      </c>
      <c r="O82" s="11"/>
      <c r="R82" s="12"/>
      <c r="S82" s="12"/>
      <c r="T82" s="12"/>
      <c r="U82" s="12"/>
      <c r="X82">
        <v>3</v>
      </c>
      <c r="Y82" s="121"/>
      <c r="Z82" s="122">
        <v>0.5</v>
      </c>
      <c r="AA82" s="122"/>
      <c r="AB82" s="123">
        <v>0.5</v>
      </c>
      <c r="AC82" s="132"/>
      <c r="AD82" s="132"/>
      <c r="AE82" s="132"/>
      <c r="AF82" s="105"/>
      <c r="AG82" s="105">
        <v>0.5</v>
      </c>
      <c r="AH82" s="105"/>
      <c r="AI82" s="105">
        <v>0.5</v>
      </c>
      <c r="AJ82" s="132"/>
      <c r="AK82" s="132"/>
      <c r="AL82" s="132"/>
      <c r="AM82" s="105"/>
      <c r="AN82" s="105">
        <v>0.5</v>
      </c>
      <c r="AO82" s="105"/>
      <c r="AP82" s="105">
        <v>0.5</v>
      </c>
      <c r="AQ82" s="132"/>
      <c r="AR82" s="132"/>
      <c r="AS82">
        <v>3</v>
      </c>
      <c r="AT82" s="119"/>
      <c r="AU82" s="105">
        <v>0.8</v>
      </c>
      <c r="AV82" s="105"/>
      <c r="AW82" s="120">
        <v>0.8</v>
      </c>
      <c r="AX82" s="132"/>
      <c r="AY82" s="132"/>
      <c r="AZ82" s="132"/>
      <c r="BA82" s="105"/>
      <c r="BB82" s="105">
        <v>0.8</v>
      </c>
      <c r="BC82" s="105"/>
      <c r="BD82" s="105">
        <v>0.8</v>
      </c>
      <c r="BE82" s="105"/>
      <c r="BF82" s="105"/>
      <c r="BH82" s="12"/>
      <c r="BI82" s="12">
        <v>0.8</v>
      </c>
      <c r="BJ82" s="12"/>
      <c r="BK82" s="12">
        <v>0.8</v>
      </c>
      <c r="BN82" s="132">
        <v>3</v>
      </c>
      <c r="BO82" s="121"/>
      <c r="BP82" s="122">
        <v>1</v>
      </c>
      <c r="BQ82" s="122"/>
      <c r="BR82" s="123">
        <v>1</v>
      </c>
      <c r="BV82" s="12"/>
      <c r="BW82" s="12">
        <v>1</v>
      </c>
      <c r="BX82" s="12"/>
      <c r="BY82" s="12">
        <v>1</v>
      </c>
      <c r="CC82" s="12"/>
      <c r="CD82" s="12"/>
      <c r="CE82" s="12"/>
      <c r="CF82" s="12"/>
      <c r="CJ82" s="12"/>
      <c r="CK82" s="12"/>
      <c r="CL82" s="12"/>
      <c r="CM82" s="12"/>
      <c r="CQ82" s="12"/>
      <c r="CR82" s="12"/>
      <c r="CS82" s="12"/>
      <c r="CT82" s="12"/>
      <c r="CX82" s="12"/>
      <c r="CY82" s="12"/>
      <c r="CZ82" s="12"/>
      <c r="DA82" s="12"/>
      <c r="DE82" s="12"/>
      <c r="DF82" s="12"/>
      <c r="DG82" s="12"/>
      <c r="DH82" s="12"/>
      <c r="DL82" s="12"/>
      <c r="DM82" s="12"/>
      <c r="DN82" s="12"/>
      <c r="DO82" s="12"/>
      <c r="DS82" s="12"/>
      <c r="DT82" s="12"/>
      <c r="DU82" s="12"/>
      <c r="DV82" s="12"/>
    </row>
    <row r="83" spans="2:127" ht="15.65" customHeight="1" outlineLevel="1" thickBot="1">
      <c r="B83" s="43" t="s">
        <v>23</v>
      </c>
      <c r="C83" s="43" t="s">
        <v>53</v>
      </c>
      <c r="D83" s="43"/>
      <c r="E83" s="44"/>
      <c r="F83" s="44"/>
      <c r="G83" s="44"/>
      <c r="H83" s="43" t="s">
        <v>116</v>
      </c>
      <c r="I83" s="45">
        <v>0.125</v>
      </c>
      <c r="J83" s="63"/>
      <c r="L83" s="11">
        <f t="shared" si="6"/>
        <v>9</v>
      </c>
      <c r="M83" s="13" cm="1">
        <f t="array" ref="M83">MAX(IF($Q$3:$ED$3=$M$3,Q83:ED83))</f>
        <v>0</v>
      </c>
      <c r="N83" s="13" cm="1">
        <f t="array" ref="N83">MAX(IF($Q$3:$ED$3=$M$3,Q83:ED83))</f>
        <v>0</v>
      </c>
      <c r="O83" s="11"/>
      <c r="R83" s="12"/>
      <c r="S83" s="12"/>
      <c r="T83" s="12"/>
      <c r="U83" s="12"/>
      <c r="Y83" s="105"/>
      <c r="Z83" s="105"/>
      <c r="AA83" s="105"/>
      <c r="AB83" s="105"/>
      <c r="AC83" s="132"/>
      <c r="AD83" s="132"/>
      <c r="AE83" s="132">
        <v>3</v>
      </c>
      <c r="AF83" s="116"/>
      <c r="AG83" s="117">
        <v>0.5</v>
      </c>
      <c r="AH83" s="117"/>
      <c r="AI83" s="118">
        <v>0.5</v>
      </c>
      <c r="AJ83" s="132"/>
      <c r="AK83" s="132"/>
      <c r="AL83" s="132"/>
      <c r="AM83" s="105"/>
      <c r="AN83" s="105">
        <v>0.5</v>
      </c>
      <c r="AO83" s="105"/>
      <c r="AP83" s="105">
        <v>0.5</v>
      </c>
      <c r="AQ83" s="132"/>
      <c r="AR83" s="132"/>
      <c r="AS83">
        <v>3</v>
      </c>
      <c r="AT83" s="121"/>
      <c r="AU83" s="122">
        <v>0.8</v>
      </c>
      <c r="AV83" s="122"/>
      <c r="AW83" s="123">
        <v>0.8</v>
      </c>
      <c r="AX83" s="132"/>
      <c r="AY83" s="132"/>
      <c r="AZ83" s="132"/>
      <c r="BA83" s="105"/>
      <c r="BB83" s="105">
        <v>0.8</v>
      </c>
      <c r="BC83" s="105"/>
      <c r="BD83" s="105">
        <v>0.8</v>
      </c>
      <c r="BE83" s="105"/>
      <c r="BF83" s="105"/>
      <c r="BH83" s="12"/>
      <c r="BI83" s="12">
        <v>0.8</v>
      </c>
      <c r="BJ83" s="12"/>
      <c r="BK83" s="12">
        <v>0.8</v>
      </c>
      <c r="BO83" s="12"/>
      <c r="BP83" s="12">
        <v>0.8</v>
      </c>
      <c r="BQ83" s="12"/>
      <c r="BR83" s="12">
        <v>0.8</v>
      </c>
      <c r="BU83" s="132">
        <v>3</v>
      </c>
      <c r="BV83" s="116"/>
      <c r="BW83" s="117">
        <v>1</v>
      </c>
      <c r="BX83" s="117"/>
      <c r="BY83" s="118">
        <v>1</v>
      </c>
      <c r="CC83" s="12"/>
      <c r="CD83" s="12"/>
      <c r="CE83" s="12"/>
      <c r="CF83" s="12"/>
      <c r="CJ83" s="12"/>
      <c r="CK83" s="12"/>
      <c r="CL83" s="12"/>
      <c r="CM83" s="12"/>
      <c r="CQ83" s="12"/>
      <c r="CR83" s="12"/>
      <c r="CS83" s="12"/>
      <c r="CT83" s="12"/>
      <c r="CX83" s="12"/>
      <c r="CY83" s="12"/>
      <c r="CZ83" s="12"/>
      <c r="DA83" s="12"/>
      <c r="DE83" s="12"/>
      <c r="DF83" s="12"/>
      <c r="DG83" s="12"/>
      <c r="DH83" s="12"/>
      <c r="DL83" s="12"/>
      <c r="DM83" s="12"/>
      <c r="DN83" s="12"/>
      <c r="DO83" s="12"/>
      <c r="DS83" s="12"/>
      <c r="DT83" s="12"/>
      <c r="DU83" s="12"/>
      <c r="DV83" s="12"/>
    </row>
    <row r="84" spans="2:127" ht="15.65" customHeight="1" outlineLevel="1" thickBot="1">
      <c r="B84" s="43" t="s">
        <v>23</v>
      </c>
      <c r="C84" s="43" t="s">
        <v>53</v>
      </c>
      <c r="D84" s="43"/>
      <c r="E84" s="44"/>
      <c r="F84" s="44"/>
      <c r="G84" s="44"/>
      <c r="H84" s="43" t="s">
        <v>117</v>
      </c>
      <c r="I84" s="45">
        <v>0.125</v>
      </c>
      <c r="J84" s="63"/>
      <c r="L84" s="11">
        <f t="shared" si="6"/>
        <v>8.5</v>
      </c>
      <c r="M84" s="13" cm="1">
        <f t="array" ref="M84">MAX(IF($Q$3:$ED$3=$M$3,Q84:ED84))</f>
        <v>0</v>
      </c>
      <c r="N84" s="13" cm="1">
        <f t="array" ref="N84">MAX(IF($Q$3:$ED$3=$M$3,Q84:ED84))</f>
        <v>0</v>
      </c>
      <c r="O84" s="11"/>
      <c r="R84" s="12"/>
      <c r="S84" s="12"/>
      <c r="T84" s="12"/>
      <c r="U84" s="12"/>
      <c r="Y84" s="105"/>
      <c r="Z84" s="105"/>
      <c r="AA84" s="105"/>
      <c r="AB84" s="105"/>
      <c r="AC84" s="132"/>
      <c r="AD84" s="132"/>
      <c r="AE84" s="132">
        <v>3</v>
      </c>
      <c r="AF84" s="121"/>
      <c r="AG84" s="122">
        <v>0.5</v>
      </c>
      <c r="AH84" s="122"/>
      <c r="AI84" s="123">
        <v>0.5</v>
      </c>
      <c r="AJ84" s="132"/>
      <c r="AK84" s="132"/>
      <c r="AL84" s="132"/>
      <c r="AM84" s="105"/>
      <c r="AN84" s="105">
        <v>0.5</v>
      </c>
      <c r="AO84" s="105"/>
      <c r="AP84" s="105">
        <v>0.5</v>
      </c>
      <c r="AQ84" s="132"/>
      <c r="AR84" s="132"/>
      <c r="AS84" s="132"/>
      <c r="AT84" s="12"/>
      <c r="AU84" s="12">
        <v>0.5</v>
      </c>
      <c r="AV84" s="12"/>
      <c r="AW84" s="12">
        <v>0.5</v>
      </c>
      <c r="AX84" s="132"/>
      <c r="AY84" s="132"/>
      <c r="AZ84" s="132">
        <v>2.5</v>
      </c>
      <c r="BA84" s="124"/>
      <c r="BB84" s="125">
        <v>0.8</v>
      </c>
      <c r="BC84" s="125"/>
      <c r="BD84" s="126">
        <v>0.8</v>
      </c>
      <c r="BE84" s="105"/>
      <c r="BF84" s="105"/>
      <c r="BH84" s="12"/>
      <c r="BI84" s="12">
        <v>0.8</v>
      </c>
      <c r="BJ84" s="12"/>
      <c r="BK84" s="12">
        <v>0.8</v>
      </c>
      <c r="BO84" s="12"/>
      <c r="BP84" s="12">
        <v>0.8</v>
      </c>
      <c r="BQ84" s="12"/>
      <c r="BR84" s="12">
        <v>0.8</v>
      </c>
      <c r="BU84" s="132">
        <v>3</v>
      </c>
      <c r="BV84" s="121"/>
      <c r="BW84" s="122">
        <v>1</v>
      </c>
      <c r="BX84" s="122"/>
      <c r="BY84" s="123">
        <v>1</v>
      </c>
      <c r="CC84" s="12"/>
      <c r="CD84" s="12"/>
      <c r="CE84" s="12"/>
      <c r="CF84" s="12"/>
      <c r="CJ84" s="12"/>
      <c r="CK84" s="12"/>
      <c r="CL84" s="12"/>
      <c r="CM84" s="12"/>
      <c r="CQ84" s="12"/>
      <c r="CR84" s="12"/>
      <c r="CS84" s="12"/>
      <c r="CT84" s="12"/>
      <c r="CX84" s="12"/>
      <c r="CY84" s="12"/>
      <c r="CZ84" s="12"/>
      <c r="DA84" s="12"/>
      <c r="DE84" s="12"/>
      <c r="DF84" s="12"/>
      <c r="DG84" s="12"/>
      <c r="DH84" s="12"/>
      <c r="DL84" s="12"/>
      <c r="DM84" s="12"/>
      <c r="DN84" s="12"/>
      <c r="DO84" s="12"/>
      <c r="DS84" s="12"/>
      <c r="DT84" s="12"/>
      <c r="DU84" s="12"/>
      <c r="DV84" s="12"/>
    </row>
    <row r="85" spans="2:127">
      <c r="J85" s="9"/>
      <c r="R85" s="9"/>
      <c r="Y85" s="9"/>
      <c r="AF85" s="9"/>
      <c r="AM85" s="12"/>
      <c r="AN85" s="12"/>
      <c r="AO85" s="12"/>
      <c r="AP85" s="12"/>
      <c r="AT85" s="9"/>
      <c r="BA85" s="9"/>
      <c r="BH85" s="9"/>
      <c r="BO85" s="9"/>
      <c r="BV85" s="12"/>
      <c r="BW85" s="12"/>
      <c r="BX85" s="12"/>
      <c r="BY85" s="12"/>
      <c r="CC85" s="9"/>
      <c r="CJ85" s="9"/>
      <c r="CQ85" s="9"/>
      <c r="CX85" s="9"/>
      <c r="DE85" s="9"/>
      <c r="DL85" s="9"/>
      <c r="DS85" s="9"/>
    </row>
    <row r="86" spans="2:127" s="39" customFormat="1">
      <c r="B86" s="39" t="s">
        <v>22</v>
      </c>
      <c r="C86" s="39" t="s">
        <v>52</v>
      </c>
      <c r="D86" s="40" t="s">
        <v>139</v>
      </c>
      <c r="E86" s="41">
        <v>20</v>
      </c>
      <c r="F86" s="41"/>
      <c r="G86" s="41">
        <v>5</v>
      </c>
      <c r="I86" s="42">
        <f>+SUM(I87:I96)</f>
        <v>1</v>
      </c>
      <c r="J86" s="42"/>
      <c r="L86" s="134">
        <f>+SUM(L87:L96)</f>
        <v>60</v>
      </c>
      <c r="M86" s="75">
        <f>+SUMPRODUCT(J87:J96,M87:M96)</f>
        <v>0</v>
      </c>
      <c r="N86" s="75">
        <f>+SUMPRODUCT(J87:J96,N87:N96)</f>
        <v>0</v>
      </c>
      <c r="O86" s="41"/>
      <c r="Q86" s="74">
        <f>+SUM(Q87:Q96)</f>
        <v>3</v>
      </c>
      <c r="X86" s="74">
        <f>+SUM(X87:X96)</f>
        <v>3</v>
      </c>
      <c r="AE86" s="74">
        <f>+SUM(AE87:AE96)</f>
        <v>3</v>
      </c>
      <c r="AL86" s="74">
        <f>+SUM(AL87:AL96)</f>
        <v>3</v>
      </c>
      <c r="AQ86" s="49" t="s">
        <v>144</v>
      </c>
      <c r="AS86" s="74">
        <f>+SUM(AS87:AS96)</f>
        <v>6</v>
      </c>
      <c r="AZ86" s="91">
        <f>+SUM(AZ87:AZ96)</f>
        <v>6</v>
      </c>
      <c r="BA86" s="92"/>
      <c r="BB86" s="92"/>
      <c r="BC86" s="92"/>
      <c r="BD86" s="92"/>
      <c r="BE86" s="93" t="s">
        <v>138</v>
      </c>
      <c r="BG86" s="74">
        <f>+SUM(BG87:BG96)</f>
        <v>9</v>
      </c>
      <c r="BH86" s="92"/>
      <c r="BI86" s="92"/>
      <c r="BJ86" s="92"/>
      <c r="BK86" s="92"/>
      <c r="BL86" s="92"/>
      <c r="BM86" s="92"/>
      <c r="BN86" s="91">
        <f>+SUM(BN87:BN96)</f>
        <v>9</v>
      </c>
      <c r="BO86" s="92"/>
      <c r="BP86" s="92"/>
      <c r="BQ86" s="92"/>
      <c r="BR86" s="92"/>
      <c r="BS86" s="130" t="s">
        <v>118</v>
      </c>
      <c r="BT86" s="92"/>
      <c r="BU86" s="91">
        <f>+SUM(BU87:BU96)</f>
        <v>9</v>
      </c>
      <c r="BV86" s="92"/>
      <c r="BW86" s="92"/>
      <c r="BX86" s="92"/>
      <c r="BY86" s="92"/>
      <c r="BZ86" s="92"/>
      <c r="CA86" s="92"/>
      <c r="CB86" s="91">
        <f>+SUM(CB87:CB96)</f>
        <v>9</v>
      </c>
      <c r="CC86" s="92"/>
      <c r="CD86" s="92"/>
      <c r="CE86" s="92"/>
      <c r="CF86" s="92"/>
      <c r="CG86" s="93" t="s">
        <v>145</v>
      </c>
      <c r="CI86" s="129">
        <f>+SUM(CI87:CI96)</f>
        <v>0</v>
      </c>
      <c r="CJ86" s="9"/>
      <c r="CK86" s="9"/>
      <c r="CL86" s="9"/>
      <c r="CM86" s="9"/>
      <c r="CN86" s="9"/>
      <c r="CO86" s="9"/>
      <c r="CP86" s="129">
        <f>+SUM(CP87:CP96)</f>
        <v>0</v>
      </c>
      <c r="CQ86" s="9"/>
      <c r="CR86" s="9"/>
      <c r="CS86" s="9"/>
      <c r="CT86" s="9"/>
      <c r="CU86" s="9"/>
      <c r="CV86" s="9"/>
      <c r="CW86" s="129">
        <f>+SUM(CW87:CW96)</f>
        <v>0</v>
      </c>
      <c r="CX86" s="9"/>
      <c r="CY86" s="9"/>
      <c r="CZ86" s="9"/>
      <c r="DA86" s="9"/>
      <c r="DB86" s="9"/>
      <c r="DC86" s="9"/>
      <c r="DD86" s="129">
        <f>+SUM(DD87:DD96)</f>
        <v>0</v>
      </c>
      <c r="DE86" s="9"/>
      <c r="DF86" s="9"/>
      <c r="DG86" s="9"/>
      <c r="DH86" s="9"/>
      <c r="DI86" s="9"/>
      <c r="DJ86" s="9"/>
      <c r="DK86" s="129">
        <f>+SUM(DK87:DK96)</f>
        <v>0</v>
      </c>
      <c r="DL86" s="9"/>
      <c r="DM86" s="9"/>
      <c r="DN86" s="9"/>
      <c r="DO86" s="9"/>
      <c r="DP86" s="9"/>
      <c r="DQ86" s="9"/>
      <c r="DR86" s="129">
        <f>+SUM(DR87:DR96)</f>
        <v>0</v>
      </c>
      <c r="DS86" s="9"/>
      <c r="DT86" s="9"/>
      <c r="DU86" s="9"/>
      <c r="DV86" s="9"/>
      <c r="DW86" s="9"/>
    </row>
    <row r="87" spans="2:127" ht="15.65" customHeight="1" outlineLevel="1">
      <c r="B87" s="39" t="s">
        <v>23</v>
      </c>
      <c r="C87" s="39" t="s">
        <v>52</v>
      </c>
      <c r="D87" s="39"/>
      <c r="E87" s="41"/>
      <c r="F87" s="41"/>
      <c r="G87" s="41"/>
      <c r="H87" s="39" t="s">
        <v>146</v>
      </c>
      <c r="I87" s="42"/>
      <c r="J87" s="63"/>
      <c r="L87" s="11">
        <f t="shared" ref="L87:L96" si="7">+SUMIF($Q$3:$ZV$3,L$3,$Q87:$ZV87)</f>
        <v>3</v>
      </c>
      <c r="M87" s="13" cm="1">
        <f t="array" ref="M87">MAX(IF($Q$3:$ED$3=$M$3,Q87:ED87))</f>
        <v>0</v>
      </c>
      <c r="N87" s="13" cm="1">
        <f t="array" ref="N87">MAX(IF($Q$3:$ED$3=$M$3,Q87:ED87))</f>
        <v>0</v>
      </c>
      <c r="O87" s="11"/>
      <c r="Q87">
        <v>3</v>
      </c>
      <c r="R87" s="12"/>
      <c r="S87" s="12">
        <v>0.5</v>
      </c>
      <c r="T87" s="12"/>
      <c r="U87" s="12">
        <v>0.5</v>
      </c>
      <c r="AF87" s="12"/>
      <c r="AG87" s="12"/>
      <c r="AH87" s="12"/>
      <c r="AI87" s="12"/>
      <c r="AM87" s="12"/>
      <c r="AN87" s="12"/>
      <c r="AO87" s="12"/>
      <c r="AP87" s="12"/>
      <c r="AT87" s="12"/>
      <c r="AU87" s="12"/>
      <c r="AV87" s="12"/>
      <c r="AW87" s="12"/>
      <c r="BA87" s="12"/>
      <c r="BB87" s="12"/>
      <c r="BC87" s="12"/>
      <c r="BD87" s="12"/>
      <c r="BH87" s="12"/>
      <c r="BI87" s="12"/>
      <c r="BJ87" s="12"/>
      <c r="BK87" s="12"/>
      <c r="BO87" s="12"/>
      <c r="BP87" s="12"/>
      <c r="BQ87" s="12"/>
      <c r="BR87" s="12"/>
      <c r="BV87" s="12"/>
      <c r="BW87" s="12"/>
      <c r="BX87" s="12"/>
      <c r="BY87" s="12"/>
      <c r="CC87" s="12"/>
      <c r="CD87" s="12"/>
      <c r="CE87" s="12"/>
      <c r="CF87" s="12"/>
      <c r="CJ87" s="12"/>
      <c r="CK87" s="12"/>
      <c r="CL87" s="12"/>
      <c r="CM87" s="12"/>
      <c r="CQ87" s="12"/>
      <c r="CR87" s="12"/>
      <c r="CS87" s="12"/>
      <c r="CT87" s="12"/>
      <c r="CX87" s="12"/>
      <c r="CY87" s="12"/>
      <c r="CZ87" s="12"/>
      <c r="DA87" s="12"/>
      <c r="DE87" s="12"/>
      <c r="DF87" s="12"/>
      <c r="DG87" s="12"/>
      <c r="DH87" s="12"/>
      <c r="DL87" s="12"/>
      <c r="DM87" s="12"/>
      <c r="DN87" s="12"/>
      <c r="DO87" s="12"/>
      <c r="DS87" s="12"/>
      <c r="DT87" s="12"/>
      <c r="DU87" s="12"/>
      <c r="DV87" s="12"/>
    </row>
    <row r="88" spans="2:127" ht="15.65" customHeight="1" outlineLevel="1">
      <c r="B88" s="39" t="s">
        <v>23</v>
      </c>
      <c r="C88" s="39" t="s">
        <v>52</v>
      </c>
      <c r="D88" s="39"/>
      <c r="E88" s="41"/>
      <c r="F88" s="41"/>
      <c r="G88" s="41"/>
      <c r="H88" s="39" t="s">
        <v>147</v>
      </c>
      <c r="I88" s="42"/>
      <c r="J88" s="63"/>
      <c r="L88" s="11">
        <f t="shared" si="7"/>
        <v>3</v>
      </c>
      <c r="M88" s="13" cm="1">
        <f t="array" ref="M88">MAX(IF($Q$3:$ED$3=$M$3,Q88:ED88))</f>
        <v>0</v>
      </c>
      <c r="N88" s="13" cm="1">
        <f t="array" ref="N88">MAX(IF($Q$3:$ED$3=$M$3,Q88:ED88))</f>
        <v>0</v>
      </c>
      <c r="O88" s="11"/>
      <c r="R88" s="12"/>
      <c r="S88" s="12"/>
      <c r="T88" s="12"/>
      <c r="U88" s="12"/>
      <c r="X88">
        <v>3</v>
      </c>
      <c r="Y88" s="12"/>
      <c r="Z88" s="12">
        <v>0.5</v>
      </c>
      <c r="AA88" s="12"/>
      <c r="AB88" s="12">
        <v>0.5</v>
      </c>
      <c r="AF88" s="12"/>
      <c r="AG88" s="12"/>
      <c r="AH88" s="12"/>
      <c r="AI88" s="12"/>
      <c r="AM88" s="12"/>
      <c r="AN88" s="12"/>
      <c r="AO88" s="12"/>
      <c r="AP88" s="12"/>
      <c r="AT88" s="12"/>
      <c r="AU88" s="12"/>
      <c r="AV88" s="12"/>
      <c r="AW88" s="12"/>
      <c r="BA88" s="12"/>
      <c r="BB88" s="12"/>
      <c r="BC88" s="12"/>
      <c r="BD88" s="12"/>
      <c r="BH88" s="12"/>
      <c r="BI88" s="12"/>
      <c r="BJ88" s="12"/>
      <c r="BK88" s="12"/>
      <c r="BO88" s="12"/>
      <c r="BP88" s="12"/>
      <c r="BQ88" s="12"/>
      <c r="BR88" s="12"/>
      <c r="BV88" s="12"/>
      <c r="BW88" s="12"/>
      <c r="BX88" s="12"/>
      <c r="BY88" s="12"/>
      <c r="CC88" s="12"/>
      <c r="CD88" s="12"/>
      <c r="CE88" s="12"/>
      <c r="CF88" s="12"/>
      <c r="CJ88" s="12"/>
      <c r="CK88" s="12"/>
      <c r="CL88" s="12"/>
      <c r="CM88" s="12"/>
      <c r="CQ88" s="12"/>
      <c r="CR88" s="12"/>
      <c r="CS88" s="12"/>
      <c r="CT88" s="12"/>
      <c r="CX88" s="12"/>
      <c r="CY88" s="12"/>
      <c r="CZ88" s="12"/>
      <c r="DA88" s="12"/>
      <c r="DE88" s="12"/>
      <c r="DF88" s="12"/>
      <c r="DG88" s="12"/>
      <c r="DH88" s="12"/>
      <c r="DL88" s="12"/>
      <c r="DM88" s="12"/>
      <c r="DN88" s="12"/>
      <c r="DO88" s="12"/>
      <c r="DS88" s="12"/>
      <c r="DT88" s="12"/>
      <c r="DU88" s="12"/>
      <c r="DV88" s="12"/>
    </row>
    <row r="89" spans="2:127" ht="15.65" customHeight="1" outlineLevel="1">
      <c r="B89" s="39" t="s">
        <v>23</v>
      </c>
      <c r="C89" s="39" t="s">
        <v>52</v>
      </c>
      <c r="D89" s="39"/>
      <c r="E89" s="41"/>
      <c r="F89" s="41"/>
      <c r="G89" s="41"/>
      <c r="H89" s="39" t="s">
        <v>148</v>
      </c>
      <c r="I89" s="42"/>
      <c r="J89" s="63"/>
      <c r="L89" s="11">
        <f t="shared" si="7"/>
        <v>3</v>
      </c>
      <c r="M89" s="13" cm="1">
        <f t="array" ref="M89">MAX(IF($Q$3:$ED$3=$M$3,Q89:ED89))</f>
        <v>0</v>
      </c>
      <c r="N89" s="13" cm="1">
        <f t="array" ref="N89">MAX(IF($Q$3:$ED$3=$M$3,Q89:ED89))</f>
        <v>0</v>
      </c>
      <c r="O89" s="11"/>
      <c r="R89" s="12"/>
      <c r="S89" s="12"/>
      <c r="T89" s="12"/>
      <c r="U89" s="12"/>
      <c r="Y89" s="12"/>
      <c r="Z89" s="12"/>
      <c r="AA89" s="12"/>
      <c r="AB89" s="12"/>
      <c r="AE89">
        <v>3</v>
      </c>
      <c r="AF89" s="12"/>
      <c r="AG89" s="12">
        <v>0.5</v>
      </c>
      <c r="AH89" s="12"/>
      <c r="AI89" s="12">
        <v>0.5</v>
      </c>
      <c r="AM89" s="12"/>
      <c r="AN89" s="12"/>
      <c r="AO89" s="12"/>
      <c r="AP89" s="12"/>
      <c r="AT89" s="12"/>
      <c r="AU89" s="12"/>
      <c r="AV89" s="12"/>
      <c r="AW89" s="12"/>
      <c r="BA89" s="12"/>
      <c r="BB89" s="12"/>
      <c r="BC89" s="12"/>
      <c r="BD89" s="12"/>
      <c r="BH89" s="12"/>
      <c r="BI89" s="12"/>
      <c r="BJ89" s="12"/>
      <c r="BK89" s="12"/>
      <c r="BO89" s="12"/>
      <c r="BP89" s="12"/>
      <c r="BQ89" s="12"/>
      <c r="BR89" s="12"/>
      <c r="BV89" s="12"/>
      <c r="BW89" s="12"/>
      <c r="BX89" s="12"/>
      <c r="BY89" s="12"/>
      <c r="CC89" s="12"/>
      <c r="CD89" s="12"/>
      <c r="CE89" s="12"/>
      <c r="CF89" s="12"/>
      <c r="CJ89" s="12"/>
      <c r="CK89" s="12"/>
      <c r="CL89" s="12"/>
      <c r="CM89" s="12"/>
      <c r="CQ89" s="12"/>
      <c r="CR89" s="12"/>
      <c r="CS89" s="12"/>
      <c r="CT89" s="12"/>
      <c r="CX89" s="12"/>
      <c r="CY89" s="12"/>
      <c r="CZ89" s="12"/>
      <c r="DA89" s="12"/>
      <c r="DE89" s="12"/>
      <c r="DF89" s="12"/>
      <c r="DG89" s="12"/>
      <c r="DH89" s="12"/>
      <c r="DL89" s="12"/>
      <c r="DM89" s="12"/>
      <c r="DN89" s="12"/>
      <c r="DO89" s="12"/>
      <c r="DS89" s="12"/>
      <c r="DT89" s="12"/>
      <c r="DU89" s="12"/>
      <c r="DV89" s="12"/>
    </row>
    <row r="90" spans="2:127" ht="15.65" customHeight="1" outlineLevel="1">
      <c r="B90" s="39" t="s">
        <v>23</v>
      </c>
      <c r="C90" s="39" t="s">
        <v>52</v>
      </c>
      <c r="D90" s="39"/>
      <c r="E90" s="41"/>
      <c r="F90" s="41"/>
      <c r="G90" s="41"/>
      <c r="H90" s="50" t="s">
        <v>149</v>
      </c>
      <c r="I90" s="42"/>
      <c r="J90" s="63"/>
      <c r="L90" s="11">
        <f t="shared" si="7"/>
        <v>3</v>
      </c>
      <c r="M90" s="13" cm="1">
        <f t="array" ref="M90">MAX(IF($Q$3:$ED$3=$M$3,Q90:ED90))</f>
        <v>0</v>
      </c>
      <c r="N90" s="13" cm="1">
        <f t="array" ref="N90">MAX(IF($Q$3:$ED$3=$M$3,Q90:ED90))</f>
        <v>0</v>
      </c>
      <c r="O90" s="11"/>
      <c r="R90" s="12"/>
      <c r="S90" s="12"/>
      <c r="T90" s="12"/>
      <c r="U90" s="12"/>
      <c r="Y90" s="12"/>
      <c r="Z90" s="12"/>
      <c r="AA90" s="12"/>
      <c r="AB90" s="12"/>
      <c r="AF90" s="12"/>
      <c r="AG90" s="12"/>
      <c r="AH90" s="12"/>
      <c r="AI90" s="12"/>
      <c r="AL90">
        <v>3</v>
      </c>
      <c r="AM90" s="12"/>
      <c r="AN90" s="12">
        <v>0.5</v>
      </c>
      <c r="AO90" s="12"/>
      <c r="AP90" s="12">
        <v>0.5</v>
      </c>
      <c r="AT90" s="12"/>
      <c r="AU90" s="12"/>
      <c r="AV90" s="12"/>
      <c r="AW90" s="12"/>
      <c r="BA90" s="12"/>
      <c r="BB90" s="12"/>
      <c r="BC90" s="12"/>
      <c r="BD90" s="12"/>
      <c r="BH90" s="12"/>
      <c r="BI90" s="12"/>
      <c r="BJ90" s="12"/>
      <c r="BK90" s="12"/>
      <c r="BO90" s="12"/>
      <c r="BP90" s="12"/>
      <c r="BQ90" s="12"/>
      <c r="BR90" s="12"/>
      <c r="BV90" s="12"/>
      <c r="BW90" s="12"/>
      <c r="BX90" s="12"/>
      <c r="BY90" s="12"/>
      <c r="CC90" s="12"/>
      <c r="CD90" s="12"/>
      <c r="CE90" s="12"/>
      <c r="CF90" s="12"/>
      <c r="CJ90" s="12"/>
      <c r="CK90" s="12"/>
      <c r="CL90" s="12"/>
      <c r="CM90" s="12"/>
      <c r="CQ90" s="12"/>
      <c r="CR90" s="12"/>
      <c r="CS90" s="12"/>
      <c r="CT90" s="12"/>
      <c r="CX90" s="12"/>
      <c r="CY90" s="12"/>
      <c r="CZ90" s="12"/>
      <c r="DA90" s="12"/>
      <c r="DE90" s="12"/>
      <c r="DF90" s="12"/>
      <c r="DG90" s="12"/>
      <c r="DH90" s="12"/>
      <c r="DL90" s="12"/>
      <c r="DM90" s="12"/>
      <c r="DN90" s="12"/>
      <c r="DO90" s="12"/>
      <c r="DS90" s="12"/>
      <c r="DT90" s="12"/>
      <c r="DU90" s="12"/>
      <c r="DV90" s="12"/>
    </row>
    <row r="91" spans="2:127" ht="15.65" customHeight="1" outlineLevel="1">
      <c r="B91" s="39" t="s">
        <v>23</v>
      </c>
      <c r="C91" s="39" t="s">
        <v>52</v>
      </c>
      <c r="D91" s="39"/>
      <c r="E91" s="41"/>
      <c r="F91" s="41"/>
      <c r="G91" s="41"/>
      <c r="H91" s="49" t="s">
        <v>150</v>
      </c>
      <c r="I91" s="42"/>
      <c r="J91" s="63"/>
      <c r="L91" s="11">
        <f t="shared" si="7"/>
        <v>6</v>
      </c>
      <c r="M91" s="13" cm="1">
        <f t="array" ref="M91">MAX(IF($Q$3:$ED$3=$M$3,Q91:ED91))</f>
        <v>0</v>
      </c>
      <c r="N91" s="13" cm="1">
        <f t="array" ref="N91">MAX(IF($Q$3:$ED$3=$M$3,Q91:ED91))</f>
        <v>0</v>
      </c>
      <c r="O91" s="11"/>
      <c r="R91" s="12"/>
      <c r="S91" s="12"/>
      <c r="T91" s="12"/>
      <c r="U91" s="12"/>
      <c r="Y91" s="12"/>
      <c r="Z91" s="12"/>
      <c r="AA91" s="12"/>
      <c r="AB91" s="12"/>
      <c r="AF91" s="12"/>
      <c r="AG91" s="12"/>
      <c r="AH91" s="12"/>
      <c r="AI91" s="12"/>
      <c r="AM91" s="12"/>
      <c r="AN91" s="12"/>
      <c r="AO91" s="12"/>
      <c r="AP91" s="12"/>
      <c r="AS91">
        <v>6</v>
      </c>
      <c r="AT91" s="12"/>
      <c r="AU91" s="12">
        <v>0.8</v>
      </c>
      <c r="AV91" s="12"/>
      <c r="AW91" s="12">
        <v>0.8</v>
      </c>
      <c r="BA91" s="12"/>
      <c r="BB91" s="12"/>
      <c r="BC91" s="12"/>
      <c r="BD91" s="12"/>
      <c r="BH91" s="12"/>
      <c r="BI91" s="12"/>
      <c r="BJ91" s="12"/>
      <c r="BK91" s="12"/>
      <c r="BO91" s="12"/>
      <c r="BP91" s="12"/>
      <c r="BQ91" s="12"/>
      <c r="BR91" s="12"/>
      <c r="BV91" s="12"/>
      <c r="BW91" s="12"/>
      <c r="BX91" s="12"/>
      <c r="BY91" s="12"/>
      <c r="CC91" s="12"/>
      <c r="CD91" s="12"/>
      <c r="CE91" s="12"/>
      <c r="CF91" s="12"/>
      <c r="CJ91" s="12"/>
      <c r="CK91" s="12"/>
      <c r="CL91" s="12"/>
      <c r="CM91" s="12"/>
      <c r="CQ91" s="12"/>
      <c r="CR91" s="12"/>
      <c r="CS91" s="12"/>
      <c r="CT91" s="12"/>
      <c r="CX91" s="12"/>
      <c r="CY91" s="12"/>
      <c r="CZ91" s="12"/>
      <c r="DA91" s="12"/>
      <c r="DE91" s="12"/>
      <c r="DF91" s="12"/>
      <c r="DG91" s="12"/>
      <c r="DH91" s="12"/>
      <c r="DL91" s="12"/>
      <c r="DM91" s="12"/>
      <c r="DN91" s="12"/>
      <c r="DO91" s="12"/>
      <c r="DS91" s="12"/>
      <c r="DT91" s="12"/>
      <c r="DU91" s="12"/>
      <c r="DV91" s="12"/>
    </row>
    <row r="92" spans="2:127" ht="15.65" customHeight="1" outlineLevel="1">
      <c r="B92" s="39" t="s">
        <v>23</v>
      </c>
      <c r="C92" s="39" t="s">
        <v>52</v>
      </c>
      <c r="D92" s="39"/>
      <c r="E92" s="41"/>
      <c r="F92" s="41"/>
      <c r="G92" s="41"/>
      <c r="H92" s="49" t="s">
        <v>151</v>
      </c>
      <c r="I92" s="42">
        <v>0.15</v>
      </c>
      <c r="J92" s="63"/>
      <c r="L92" s="11">
        <f t="shared" si="7"/>
        <v>6</v>
      </c>
      <c r="M92" s="13" cm="1">
        <f t="array" ref="M92">MAX(IF($Q$3:$ED$3=$M$3,Q92:ED92))</f>
        <v>0</v>
      </c>
      <c r="N92" s="13" cm="1">
        <f t="array" ref="N92">MAX(IF($Q$3:$ED$3=$M$3,Q92:ED92))</f>
        <v>0</v>
      </c>
      <c r="O92" s="11"/>
      <c r="R92" s="12"/>
      <c r="S92" s="12"/>
      <c r="T92" s="12"/>
      <c r="U92" s="12"/>
      <c r="Y92" s="12"/>
      <c r="Z92" s="12"/>
      <c r="AA92" s="12"/>
      <c r="AB92" s="12"/>
      <c r="AF92" s="12"/>
      <c r="AG92" s="12"/>
      <c r="AH92" s="12"/>
      <c r="AI92" s="12"/>
      <c r="AM92" s="12"/>
      <c r="AN92" s="12"/>
      <c r="AO92" s="12"/>
      <c r="AP92" s="12"/>
      <c r="AT92" s="12"/>
      <c r="AU92" s="12"/>
      <c r="AV92" s="12"/>
      <c r="AW92" s="12"/>
      <c r="AZ92">
        <v>6</v>
      </c>
      <c r="BA92" s="12"/>
      <c r="BB92" s="12">
        <v>0.8</v>
      </c>
      <c r="BC92" s="12"/>
      <c r="BD92" s="12">
        <v>0.8</v>
      </c>
      <c r="BH92" s="12"/>
      <c r="BI92" s="12"/>
      <c r="BJ92" s="12"/>
      <c r="BK92" s="12"/>
      <c r="BO92" s="12"/>
      <c r="BP92" s="12"/>
      <c r="BQ92" s="12"/>
      <c r="BR92" s="12"/>
      <c r="BV92" s="12"/>
      <c r="BW92" s="12"/>
      <c r="BX92" s="12"/>
      <c r="BY92" s="12"/>
      <c r="CC92" s="12"/>
      <c r="CD92" s="12"/>
      <c r="CE92" s="12"/>
      <c r="CF92" s="12"/>
      <c r="CJ92" s="12"/>
      <c r="CK92" s="12"/>
      <c r="CL92" s="12"/>
      <c r="CM92" s="12"/>
      <c r="CQ92" s="12"/>
      <c r="CR92" s="12"/>
      <c r="CS92" s="12"/>
      <c r="CT92" s="12"/>
      <c r="CX92" s="12"/>
      <c r="CY92" s="12"/>
      <c r="CZ92" s="12"/>
      <c r="DA92" s="12"/>
      <c r="DE92" s="12"/>
      <c r="DF92" s="12"/>
      <c r="DG92" s="12"/>
      <c r="DH92" s="12"/>
      <c r="DL92" s="12"/>
      <c r="DM92" s="12"/>
      <c r="DN92" s="12"/>
      <c r="DO92" s="12"/>
      <c r="DS92" s="12"/>
      <c r="DT92" s="12"/>
      <c r="DU92" s="12"/>
      <c r="DV92" s="12"/>
    </row>
    <row r="93" spans="2:127" ht="15.65" customHeight="1" outlineLevel="1">
      <c r="B93" s="39" t="s">
        <v>23</v>
      </c>
      <c r="C93" s="39" t="s">
        <v>52</v>
      </c>
      <c r="D93" s="39"/>
      <c r="E93" s="41"/>
      <c r="F93" s="41"/>
      <c r="G93" s="41"/>
      <c r="H93" s="39" t="s">
        <v>152</v>
      </c>
      <c r="I93" s="42"/>
      <c r="J93" s="63"/>
      <c r="L93" s="11">
        <f t="shared" si="7"/>
        <v>9</v>
      </c>
      <c r="M93" s="13" cm="1">
        <f t="array" ref="M93">MAX(IF($Q$3:$ED$3=$M$3,Q93:ED93))</f>
        <v>0</v>
      </c>
      <c r="N93" s="13" cm="1">
        <f t="array" ref="N93">MAX(IF($Q$3:$ED$3=$M$3,Q93:ED93))</f>
        <v>0</v>
      </c>
      <c r="O93" s="11"/>
      <c r="R93" s="12"/>
      <c r="S93" s="12"/>
      <c r="T93" s="12"/>
      <c r="U93" s="12"/>
      <c r="Y93" s="12"/>
      <c r="Z93" s="12"/>
      <c r="AA93" s="12"/>
      <c r="AB93" s="12"/>
      <c r="AF93" s="12"/>
      <c r="AG93" s="12"/>
      <c r="AH93" s="12"/>
      <c r="AI93" s="12"/>
      <c r="AM93" s="12"/>
      <c r="AN93" s="12"/>
      <c r="AO93" s="12"/>
      <c r="AP93" s="12"/>
      <c r="AT93" s="12"/>
      <c r="AU93" s="12"/>
      <c r="AV93" s="12"/>
      <c r="AW93" s="12"/>
      <c r="BA93" s="12"/>
      <c r="BB93" s="12"/>
      <c r="BC93" s="12"/>
      <c r="BD93" s="12"/>
      <c r="BG93">
        <v>9</v>
      </c>
      <c r="BH93" s="12"/>
      <c r="BI93" s="12">
        <v>1</v>
      </c>
      <c r="BJ93" s="12"/>
      <c r="BK93" s="12">
        <v>1</v>
      </c>
      <c r="BO93" s="12"/>
      <c r="BP93" s="12"/>
      <c r="BQ93" s="12"/>
      <c r="BR93" s="12"/>
      <c r="BV93" s="12"/>
      <c r="BW93" s="12"/>
      <c r="BX93" s="12"/>
      <c r="BY93" s="12"/>
      <c r="CC93" s="12"/>
      <c r="CD93" s="12"/>
      <c r="CE93" s="12"/>
      <c r="CF93" s="12"/>
      <c r="CJ93" s="12"/>
      <c r="CK93" s="12"/>
      <c r="CL93" s="12"/>
      <c r="CM93" s="12"/>
      <c r="CQ93" s="12"/>
      <c r="CR93" s="12"/>
      <c r="CS93" s="12"/>
      <c r="CT93" s="12"/>
      <c r="CX93" s="12"/>
      <c r="CY93" s="12"/>
      <c r="CZ93" s="12"/>
      <c r="DA93" s="12"/>
      <c r="DE93" s="12"/>
      <c r="DF93" s="12"/>
      <c r="DG93" s="12"/>
      <c r="DH93" s="12"/>
      <c r="DL93" s="12"/>
      <c r="DM93" s="12"/>
      <c r="DN93" s="12"/>
      <c r="DO93" s="12"/>
      <c r="DS93" s="12"/>
      <c r="DT93" s="12"/>
      <c r="DU93" s="12"/>
      <c r="DV93" s="12"/>
    </row>
    <row r="94" spans="2:127" ht="15.65" customHeight="1" outlineLevel="1">
      <c r="B94" s="39" t="s">
        <v>23</v>
      </c>
      <c r="C94" s="39" t="s">
        <v>52</v>
      </c>
      <c r="D94" s="39"/>
      <c r="E94" s="41"/>
      <c r="F94" s="41"/>
      <c r="G94" s="41"/>
      <c r="H94" s="39" t="s">
        <v>153</v>
      </c>
      <c r="I94" s="42"/>
      <c r="J94" s="63"/>
      <c r="L94" s="11">
        <f t="shared" si="7"/>
        <v>9</v>
      </c>
      <c r="M94" s="13" cm="1">
        <f t="array" ref="M94">MAX(IF($Q$3:$ED$3=$M$3,Q94:ED94))</f>
        <v>0</v>
      </c>
      <c r="N94" s="13" cm="1">
        <f t="array" ref="N94">MAX(IF($Q$3:$ED$3=$M$3,Q94:ED94))</f>
        <v>0</v>
      </c>
      <c r="O94" s="11"/>
      <c r="R94" s="12"/>
      <c r="S94" s="12"/>
      <c r="T94" s="12"/>
      <c r="U94" s="12"/>
      <c r="Y94" s="12"/>
      <c r="Z94" s="12"/>
      <c r="AA94" s="12"/>
      <c r="AB94" s="12"/>
      <c r="AF94" s="12"/>
      <c r="AG94" s="12"/>
      <c r="AH94" s="12"/>
      <c r="AI94" s="12"/>
      <c r="AM94" s="12"/>
      <c r="AN94" s="12"/>
      <c r="AO94" s="12"/>
      <c r="AP94" s="12"/>
      <c r="AT94" s="12"/>
      <c r="AU94" s="12"/>
      <c r="AV94" s="12"/>
      <c r="AW94" s="12"/>
      <c r="BA94" s="12"/>
      <c r="BB94" s="12"/>
      <c r="BC94" s="12"/>
      <c r="BD94" s="12"/>
      <c r="BH94" s="12"/>
      <c r="BI94" s="12"/>
      <c r="BJ94" s="12"/>
      <c r="BK94" s="12"/>
      <c r="BN94">
        <v>9</v>
      </c>
      <c r="BO94" s="12"/>
      <c r="BP94" s="12">
        <v>1</v>
      </c>
      <c r="BQ94" s="12"/>
      <c r="BR94" s="12">
        <v>1</v>
      </c>
      <c r="BV94" s="12"/>
      <c r="BW94" s="12"/>
      <c r="BX94" s="12"/>
      <c r="BY94" s="12"/>
      <c r="CC94" s="12"/>
      <c r="CD94" s="12"/>
      <c r="CE94" s="12"/>
      <c r="CF94" s="12"/>
      <c r="CJ94" s="12"/>
      <c r="CK94" s="12"/>
      <c r="CL94" s="12"/>
      <c r="CM94" s="12"/>
      <c r="CQ94" s="12"/>
      <c r="CR94" s="12"/>
      <c r="CS94" s="12"/>
      <c r="CT94" s="12"/>
      <c r="CX94" s="12"/>
      <c r="CY94" s="12"/>
      <c r="CZ94" s="12"/>
      <c r="DA94" s="12"/>
      <c r="DE94" s="12"/>
      <c r="DF94" s="12"/>
      <c r="DG94" s="12"/>
      <c r="DH94" s="12"/>
      <c r="DL94" s="12"/>
      <c r="DM94" s="12"/>
      <c r="DN94" s="12"/>
      <c r="DO94" s="12"/>
      <c r="DS94" s="12"/>
      <c r="DT94" s="12"/>
      <c r="DU94" s="12"/>
      <c r="DV94" s="12"/>
    </row>
    <row r="95" spans="2:127" ht="15.65" customHeight="1" outlineLevel="1">
      <c r="B95" s="39" t="s">
        <v>23</v>
      </c>
      <c r="C95" s="39" t="s">
        <v>52</v>
      </c>
      <c r="D95" s="39"/>
      <c r="E95" s="41"/>
      <c r="F95" s="41"/>
      <c r="G95" s="41"/>
      <c r="H95" s="39" t="s">
        <v>154</v>
      </c>
      <c r="I95" s="42">
        <v>0.75</v>
      </c>
      <c r="J95" s="63"/>
      <c r="L95" s="11">
        <f t="shared" si="7"/>
        <v>9</v>
      </c>
      <c r="M95" s="13" cm="1">
        <f t="array" ref="M95">MAX(IF($Q$3:$ED$3=$M$3,Q95:ED95))</f>
        <v>0</v>
      </c>
      <c r="N95" s="13" cm="1">
        <f t="array" ref="N95">MAX(IF($Q$3:$ED$3=$M$3,Q95:ED95))</f>
        <v>0</v>
      </c>
      <c r="O95" s="11"/>
      <c r="R95" s="12"/>
      <c r="S95" s="12"/>
      <c r="T95" s="12"/>
      <c r="U95" s="12"/>
      <c r="Y95" s="12"/>
      <c r="Z95" s="12"/>
      <c r="AA95" s="12"/>
      <c r="AB95" s="12"/>
      <c r="AF95" s="12"/>
      <c r="AG95" s="12"/>
      <c r="AH95" s="12"/>
      <c r="AI95" s="12"/>
      <c r="AM95" s="12"/>
      <c r="AN95" s="12"/>
      <c r="AO95" s="12"/>
      <c r="AP95" s="12"/>
      <c r="AT95" s="12"/>
      <c r="AU95" s="12"/>
      <c r="AV95" s="12"/>
      <c r="AW95" s="12"/>
      <c r="BA95" s="12"/>
      <c r="BB95" s="12"/>
      <c r="BC95" s="12"/>
      <c r="BD95" s="12"/>
      <c r="BH95" s="12"/>
      <c r="BI95" s="12"/>
      <c r="BJ95" s="12"/>
      <c r="BK95" s="12"/>
      <c r="BO95" s="12"/>
      <c r="BP95" s="12"/>
      <c r="BQ95" s="12"/>
      <c r="BR95" s="12"/>
      <c r="BU95">
        <v>9</v>
      </c>
      <c r="BV95" s="12"/>
      <c r="BW95" s="12">
        <v>1</v>
      </c>
      <c r="BX95" s="12"/>
      <c r="BY95" s="12">
        <v>1</v>
      </c>
      <c r="CC95" s="12"/>
      <c r="CD95" s="12"/>
      <c r="CE95" s="12"/>
      <c r="CF95" s="12"/>
      <c r="CJ95" s="12"/>
      <c r="CK95" s="12"/>
      <c r="CL95" s="12"/>
      <c r="CM95" s="12"/>
      <c r="CQ95" s="12"/>
      <c r="CR95" s="12"/>
      <c r="CS95" s="12"/>
      <c r="CT95" s="12"/>
      <c r="CX95" s="12"/>
      <c r="CY95" s="12"/>
      <c r="CZ95" s="12"/>
      <c r="DA95" s="12"/>
      <c r="DE95" s="12"/>
      <c r="DF95" s="12"/>
      <c r="DG95" s="12"/>
      <c r="DH95" s="12"/>
      <c r="DL95" s="12"/>
      <c r="DM95" s="12"/>
      <c r="DN95" s="12"/>
      <c r="DO95" s="12"/>
      <c r="DS95" s="12"/>
      <c r="DT95" s="12"/>
      <c r="DU95" s="12"/>
      <c r="DV95" s="12"/>
    </row>
    <row r="96" spans="2:127" ht="15.65" customHeight="1" outlineLevel="1">
      <c r="B96" s="39" t="s">
        <v>23</v>
      </c>
      <c r="C96" s="39" t="s">
        <v>52</v>
      </c>
      <c r="D96" s="39"/>
      <c r="E96" s="41"/>
      <c r="F96" s="41"/>
      <c r="G96" s="41"/>
      <c r="H96" s="39" t="s">
        <v>155</v>
      </c>
      <c r="I96" s="42">
        <v>0.1</v>
      </c>
      <c r="J96" s="63"/>
      <c r="L96" s="11">
        <f t="shared" si="7"/>
        <v>9</v>
      </c>
      <c r="M96" s="13" cm="1">
        <f t="array" ref="M96">MAX(IF($Q$3:$ED$3=$M$3,Q96:ED96))</f>
        <v>0</v>
      </c>
      <c r="N96" s="13" cm="1">
        <f t="array" ref="N96">MAX(IF($Q$3:$ED$3=$M$3,Q96:ED96))</f>
        <v>0</v>
      </c>
      <c r="O96" s="11"/>
      <c r="R96" s="12"/>
      <c r="S96" s="12"/>
      <c r="T96" s="12"/>
      <c r="U96" s="12"/>
      <c r="Y96" s="12"/>
      <c r="Z96" s="12"/>
      <c r="AA96" s="12"/>
      <c r="AB96" s="12"/>
      <c r="AF96" s="12"/>
      <c r="AG96" s="12"/>
      <c r="AH96" s="12"/>
      <c r="AI96" s="12"/>
      <c r="AM96" s="12"/>
      <c r="AN96" s="12"/>
      <c r="AO96" s="12"/>
      <c r="AP96" s="12"/>
      <c r="AT96" s="12"/>
      <c r="AU96" s="12"/>
      <c r="AV96" s="12"/>
      <c r="AW96" s="12"/>
      <c r="BA96" s="12"/>
      <c r="BB96" s="12"/>
      <c r="BC96" s="12"/>
      <c r="BD96" s="12"/>
      <c r="BH96" s="12"/>
      <c r="BI96" s="12"/>
      <c r="BJ96" s="12"/>
      <c r="BK96" s="12"/>
      <c r="BO96" s="12"/>
      <c r="BP96" s="12"/>
      <c r="BQ96" s="12"/>
      <c r="BR96" s="12"/>
      <c r="BV96" s="12"/>
      <c r="BW96" s="12"/>
      <c r="BX96" s="12"/>
      <c r="BY96" s="12"/>
      <c r="CB96">
        <v>9</v>
      </c>
      <c r="CC96" s="12"/>
      <c r="CD96" s="12">
        <v>1</v>
      </c>
      <c r="CE96" s="12"/>
      <c r="CF96" s="12">
        <v>1</v>
      </c>
      <c r="CJ96" s="12"/>
      <c r="CK96" s="12"/>
      <c r="CL96" s="12"/>
      <c r="CM96" s="12"/>
      <c r="CQ96" s="12"/>
      <c r="CR96" s="12"/>
      <c r="CS96" s="12"/>
      <c r="CT96" s="12"/>
      <c r="CX96" s="12"/>
      <c r="CY96" s="12"/>
      <c r="CZ96" s="12"/>
      <c r="DA96" s="12"/>
      <c r="DE96" s="12"/>
      <c r="DF96" s="12"/>
      <c r="DG96" s="12"/>
      <c r="DH96" s="12"/>
      <c r="DL96" s="12"/>
      <c r="DM96" s="12"/>
      <c r="DN96" s="12"/>
      <c r="DO96" s="12"/>
      <c r="DS96" s="12"/>
      <c r="DT96" s="12"/>
      <c r="DU96" s="12"/>
      <c r="DV96" s="12"/>
    </row>
    <row r="97" spans="9:123">
      <c r="I97" s="139" t="s">
        <v>188</v>
      </c>
      <c r="J97" s="139"/>
      <c r="K97" s="139"/>
      <c r="L97" s="135">
        <f>SUM(L4,L17,L33,L44,L54,L64,L76,L86,)</f>
        <v>577.5</v>
      </c>
      <c r="R97" s="9"/>
      <c r="Y97" s="9"/>
      <c r="AF97" s="9"/>
      <c r="AM97" s="9"/>
      <c r="AT97" s="9"/>
      <c r="BA97" s="9"/>
      <c r="BH97" s="9"/>
      <c r="BO97" s="9"/>
      <c r="BV97" s="9"/>
      <c r="CC97" s="9"/>
      <c r="CJ97" s="9"/>
      <c r="CQ97" s="9"/>
      <c r="CX97" s="9"/>
      <c r="DE97" s="9"/>
      <c r="DL97" s="9"/>
      <c r="DS97" s="9"/>
    </row>
  </sheetData>
  <mergeCells count="18">
    <mergeCell ref="AS2:AX2"/>
    <mergeCell ref="AZ2:BE2"/>
    <mergeCell ref="I97:K97"/>
    <mergeCell ref="DK2:DP2"/>
    <mergeCell ref="DR2:DW2"/>
    <mergeCell ref="CI2:CN2"/>
    <mergeCell ref="CP2:CU2"/>
    <mergeCell ref="CW2:DB2"/>
    <mergeCell ref="DD2:DI2"/>
    <mergeCell ref="BN2:BS2"/>
    <mergeCell ref="BU2:BZ2"/>
    <mergeCell ref="CB2:CG2"/>
    <mergeCell ref="L2:O2"/>
    <mergeCell ref="Q2:V2"/>
    <mergeCell ref="BG2:BL2"/>
    <mergeCell ref="X2:AC2"/>
    <mergeCell ref="AE2:AJ2"/>
    <mergeCell ref="AL2:AQ2"/>
  </mergeCells>
  <phoneticPr fontId="12" type="noConversion"/>
  <conditionalFormatting sqref="R8:R15 T8:T15 AT13:AT15 AV13:AV15 Y13:Y15 AA13:AA15 AF13:AF15 AH13:AH15 AM13:AM15 AO13:AO15 R39 T39 CQ39 CS39 CX39 CZ39 DE39 DG39 DG41:DG42 DE41:DE42 CZ41:CZ42 CX41:CX42 CS41:CS42 CQ41:CQ42 AA41:AA42 Y41:Y42 T41:T42 R41:R42 R45:R52 T45:T52 AF48:AF52 AH48:AH52 AM49:AM52 AO49:AO52 BV45:BV52 BX45:BX52 CC45:CC52 CE45:CE52 CJ46:CJ52 CL46:CL52 CQ45:CQ52 CS45:CS52 CX45:CX52 CZ45:CZ52 DE45:DE52 DG45:DG52 R68:R74 T68:T74 Y71:Y74 AA71:AA74 CX65:CX74 CZ65:CZ74 DE65:DE74 DG65:DG74 R80:R84 T80:T84 Y84 AA84 CC77:CC84 CE77:CE84 CJ77:CJ84 CL77:CL84 CQ77:CQ84 CS77:CS84 CX77:CX84 CZ77:CZ84 DE77:DE84 DG77:DG84 R87:R89 T88:T89 AT87:AT89 AV87:AV89 AF87:AF88 AH87:AH88 AM87:AM89 AO87:AO89 BA87:BA89 BC87:BC89 BH87:BH89 BJ87:BJ89 BO87:BO89 BQ87:BQ89 BV87:BV89 BX87:BX89 CC87:CC89 CE87:CE89 CJ87:CJ89 CL87:CL89 CQ87:CQ89 CS87:CS89 CX87:CX89 CZ87:CZ89 DE87:DE89 DG87:DG89 R58:R62 T58:T62 Y61:Y62 AA61:AA62 CJ55:CJ62 CL55:CL62 CQ55:CQ62 CS55:CS62 CX55:CX62 CZ55:CZ62 DE55:DE62 DG55:DG62 DG91:DG94 DE91:DE94 CZ91:CZ94 CX91:CX94 CS91:CS94 CQ91:CQ94 CL91:CL94 CJ91:CJ94 CE91:CE94 CC91:CC94 BX91:BX94 BV91:BV94 BQ91:BQ93 BO91:BO93 BJ91:BJ94 BH91:BH94 BC91 BA91 AO91:AO94 AM91:AM94 AH91:AH94 AF91:AF94 AA91:AA94 Y91:Y94 AV92:AV94 AT92:AT94 T91:T94 R91:R94 R96 T96 AT96 AV96 Y96 AA96 AF96 AH96 AM96 AO96 BA96 BC96 BH96 BJ96 BO96 BQ96 BV96 BX96 CJ96 CL96 CQ96 CS96 CX96 CZ96 DE96 DG96 AV50:AV52 AT50:AT52 BC51:BC52 BA51:BA52 BJ52 BH52 BA13:BA15 BH5:BH15 BC13:BC15 BJ5:BJ15 Y45:Y52 AA45:AA52 Y89 AA89 BA93:BA94 BC93:BC94">
    <cfRule type="expression" dxfId="770" priority="2038">
      <formula>OR(IF(R5&lt;S5,TRUE),IF(AND(S5="",R5&lt;&gt;""),TRUE))</formula>
    </cfRule>
    <cfRule type="expression" dxfId="769" priority="2039">
      <formula>IF(R5&gt;=S5,IF(R5="",FALSE,TRUE))</formula>
    </cfRule>
  </conditionalFormatting>
  <conditionalFormatting sqref="R22 R24:R29">
    <cfRule type="expression" dxfId="768" priority="1848">
      <formula>OR(IF(R22&lt;S22,TRUE),IF(AND(S22="",R22&lt;&gt;""),TRUE))</formula>
    </cfRule>
    <cfRule type="expression" dxfId="767" priority="1849">
      <formula>IF(R22&gt;=S22,IF(R22="",FALSE,TRUE))</formula>
    </cfRule>
  </conditionalFormatting>
  <conditionalFormatting sqref="T22 T24:T29">
    <cfRule type="expression" dxfId="766" priority="1846">
      <formula>OR(IF(T22&lt;U22,TRUE),IF(AND(U22="",T22&lt;&gt;""),TRUE))</formula>
    </cfRule>
    <cfRule type="expression" dxfId="765" priority="1847">
      <formula>IF(T22&gt;=U22,IF(T22="",FALSE,TRUE))</formula>
    </cfRule>
  </conditionalFormatting>
  <conditionalFormatting sqref="AT18">
    <cfRule type="expression" dxfId="764" priority="1832">
      <formula>OR(IF(AT18&lt;AU18,TRUE),IF(AND(AU18="",AT18&lt;&gt;""),TRUE))</formula>
    </cfRule>
    <cfRule type="expression" dxfId="763" priority="1833">
      <formula>IF(AT18&gt;=AU18,IF(AT18="",FALSE,TRUE))</formula>
    </cfRule>
  </conditionalFormatting>
  <conditionalFormatting sqref="AV18">
    <cfRule type="expression" dxfId="762" priority="1830">
      <formula>OR(IF(AV18&lt;AW18,TRUE),IF(AND(AW18="",AV18&lt;&gt;""),TRUE))</formula>
    </cfRule>
    <cfRule type="expression" dxfId="761" priority="1831">
      <formula>IF(AV18&gt;=AW18,IF(AV18="",FALSE,TRUE))</formula>
    </cfRule>
  </conditionalFormatting>
  <conditionalFormatting sqref="Y26:Y29">
    <cfRule type="expression" dxfId="760" priority="1844">
      <formula>OR(IF(Y26&lt;Z26,TRUE),IF(AND(Z26="",Y26&lt;&gt;""),TRUE))</formula>
    </cfRule>
    <cfRule type="expression" dxfId="759" priority="1845">
      <formula>IF(Y26&gt;=Z26,IF(Y26="",FALSE,TRUE))</formula>
    </cfRule>
  </conditionalFormatting>
  <conditionalFormatting sqref="AA26:AA29">
    <cfRule type="expression" dxfId="758" priority="1842">
      <formula>OR(IF(AA26&lt;AB26,TRUE),IF(AND(AB26="",AA26&lt;&gt;""),TRUE))</formula>
    </cfRule>
    <cfRule type="expression" dxfId="757" priority="1843">
      <formula>IF(AA26&gt;=AB26,IF(AA26="",FALSE,TRUE))</formula>
    </cfRule>
  </conditionalFormatting>
  <conditionalFormatting sqref="R37">
    <cfRule type="expression" dxfId="756" priority="1817">
      <formula>OR(IF(R37&lt;S37,TRUE),IF(AND(S37="",R37&lt;&gt;""),TRUE))</formula>
    </cfRule>
    <cfRule type="expression" dxfId="755" priority="1818">
      <formula>IF(R37&gt;=S37,IF(R37="",FALSE,TRUE))</formula>
    </cfRule>
  </conditionalFormatting>
  <conditionalFormatting sqref="T37">
    <cfRule type="expression" dxfId="754" priority="1815">
      <formula>OR(IF(T37&lt;U37,TRUE),IF(AND(U37="",T37&lt;&gt;""),TRUE))</formula>
    </cfRule>
    <cfRule type="expression" dxfId="753" priority="1816">
      <formula>IF(T37&gt;=U37,IF(T37="",FALSE,TRUE))</formula>
    </cfRule>
  </conditionalFormatting>
  <conditionalFormatting sqref="M6:N15">
    <cfRule type="colorScale" priority="2041">
      <colorScale>
        <cfvo type="percent" val="0"/>
        <cfvo type="percent" val="100"/>
        <color rgb="FFFF231B"/>
        <color rgb="FF10FF07"/>
      </colorScale>
    </cfRule>
  </conditionalFormatting>
  <conditionalFormatting sqref="M5:M15">
    <cfRule type="colorScale" priority="2070">
      <colorScale>
        <cfvo type="percent" val="0"/>
        <cfvo type="percent" val="100"/>
        <color rgb="FFFF231B"/>
        <color rgb="FF10FF07"/>
      </colorScale>
    </cfRule>
  </conditionalFormatting>
  <conditionalFormatting sqref="N5:N15">
    <cfRule type="colorScale" priority="2071">
      <colorScale>
        <cfvo type="percent" val="0"/>
        <cfvo type="percent" val="100"/>
        <color rgb="FFFF231B"/>
        <color rgb="FF10FF07"/>
      </colorScale>
    </cfRule>
  </conditionalFormatting>
  <conditionalFormatting sqref="BO14:BO15 BQ14:BQ15">
    <cfRule type="expression" dxfId="752" priority="1604">
      <formula>OR(IF(BO14&lt;BP14,TRUE),IF(AND(BP14="",BO14&lt;&gt;""),TRUE))</formula>
    </cfRule>
    <cfRule type="expression" dxfId="751" priority="1605">
      <formula>IF(BO14&gt;=BP14,IF(BO14="",FALSE,TRUE))</formula>
    </cfRule>
  </conditionalFormatting>
  <conditionalFormatting sqref="CQ5:CQ15 CS5:CS15">
    <cfRule type="expression" dxfId="750" priority="1314">
      <formula>OR(IF(CQ5&lt;CR5,TRUE),IF(AND(CR5="",CQ5&lt;&gt;""),TRUE))</formula>
    </cfRule>
    <cfRule type="expression" dxfId="749" priority="1315">
      <formula>IF(CQ5&gt;=CR5,IF(CQ5="",FALSE,TRUE))</formula>
    </cfRule>
  </conditionalFormatting>
  <conditionalFormatting sqref="CQ18:CQ19 CQ22 CQ24:CQ29">
    <cfRule type="expression" dxfId="748" priority="1312">
      <formula>OR(IF(CQ18&lt;CR18,TRUE),IF(AND(CR18="",CQ18&lt;&gt;""),TRUE))</formula>
    </cfRule>
    <cfRule type="expression" dxfId="747" priority="1313">
      <formula>IF(CQ18&gt;=CR18,IF(CQ18="",FALSE,TRUE))</formula>
    </cfRule>
  </conditionalFormatting>
  <conditionalFormatting sqref="CS18:CS19 CS22 CS24:CS29">
    <cfRule type="expression" dxfId="746" priority="1310">
      <formula>OR(IF(CS18&lt;CT18,TRUE),IF(AND(CT18="",CS18&lt;&gt;""),TRUE))</formula>
    </cfRule>
    <cfRule type="expression" dxfId="745" priority="1311">
      <formula>IF(CS18&gt;=CT18,IF(CS18="",FALSE,TRUE))</formula>
    </cfRule>
  </conditionalFormatting>
  <conditionalFormatting sqref="CQ34:CQ37">
    <cfRule type="expression" dxfId="744" priority="1308">
      <formula>OR(IF(CQ34&lt;CR34,TRUE),IF(AND(CR34="",CQ34&lt;&gt;""),TRUE))</formula>
    </cfRule>
    <cfRule type="expression" dxfId="743" priority="1309">
      <formula>IF(CQ34&gt;=CR34,IF(CQ34="",FALSE,TRUE))</formula>
    </cfRule>
  </conditionalFormatting>
  <conditionalFormatting sqref="CS34:CS37">
    <cfRule type="expression" dxfId="742" priority="1306">
      <formula>OR(IF(CS34&lt;CT34,TRUE),IF(AND(CT34="",CS34&lt;&gt;""),TRUE))</formula>
    </cfRule>
    <cfRule type="expression" dxfId="741" priority="1307">
      <formula>IF(CS34&gt;=CT34,IF(CS34="",FALSE,TRUE))</formula>
    </cfRule>
  </conditionalFormatting>
  <conditionalFormatting sqref="CQ18:CQ19 CQ22 CQ24:CQ29">
    <cfRule type="expression" dxfId="740" priority="1284">
      <formula>OR(IF(CQ18&lt;CR18,TRUE),IF(AND(CR18="",CQ18&lt;&gt;""),TRUE))</formula>
    </cfRule>
    <cfRule type="expression" dxfId="739" priority="1285">
      <formula>IF(CQ18&gt;=CR18,IF(CQ18="",FALSE,TRUE))</formula>
    </cfRule>
  </conditionalFormatting>
  <conditionalFormatting sqref="CS18:CS19 CS22 CS24:CS29">
    <cfRule type="expression" dxfId="738" priority="1282">
      <formula>OR(IF(CS18&lt;CT18,TRUE),IF(AND(CT18="",CS18&lt;&gt;""),TRUE))</formula>
    </cfRule>
    <cfRule type="expression" dxfId="737" priority="1283">
      <formula>IF(CS18&gt;=CT18,IF(CS18="",FALSE,TRUE))</formula>
    </cfRule>
  </conditionalFormatting>
  <conditionalFormatting sqref="CQ34:CQ37">
    <cfRule type="expression" dxfId="736" priority="1280">
      <formula>OR(IF(CQ34&lt;CR34,TRUE),IF(AND(CR34="",CQ34&lt;&gt;""),TRUE))</formula>
    </cfRule>
    <cfRule type="expression" dxfId="735" priority="1281">
      <formula>IF(CQ34&gt;=CR34,IF(CQ34="",FALSE,TRUE))</formula>
    </cfRule>
  </conditionalFormatting>
  <conditionalFormatting sqref="CS34:CS37">
    <cfRule type="expression" dxfId="734" priority="1278">
      <formula>OR(IF(CS34&lt;CT34,TRUE),IF(AND(CT34="",CS34&lt;&gt;""),TRUE))</formula>
    </cfRule>
    <cfRule type="expression" dxfId="733" priority="1279">
      <formula>IF(CS34&gt;=CT34,IF(CS34="",FALSE,TRUE))</formula>
    </cfRule>
  </conditionalFormatting>
  <conditionalFormatting sqref="CX5:CX15 CZ5:CZ15">
    <cfRule type="expression" dxfId="732" priority="1256">
      <formula>OR(IF(CX5&lt;CY5,TRUE),IF(AND(CY5="",CX5&lt;&gt;""),TRUE))</formula>
    </cfRule>
    <cfRule type="expression" dxfId="731" priority="1257">
      <formula>IF(CX5&gt;=CY5,IF(CX5="",FALSE,TRUE))</formula>
    </cfRule>
  </conditionalFormatting>
  <conditionalFormatting sqref="CX18:CX19 CX22 CX24:CX29">
    <cfRule type="expression" dxfId="730" priority="1254">
      <formula>OR(IF(CX18&lt;CY18,TRUE),IF(AND(CY18="",CX18&lt;&gt;""),TRUE))</formula>
    </cfRule>
    <cfRule type="expression" dxfId="729" priority="1255">
      <formula>IF(CX18&gt;=CY18,IF(CX18="",FALSE,TRUE))</formula>
    </cfRule>
  </conditionalFormatting>
  <conditionalFormatting sqref="CZ18:CZ19 CZ22 CZ24:CZ29">
    <cfRule type="expression" dxfId="728" priority="1252">
      <formula>OR(IF(CZ18&lt;DA18,TRUE),IF(AND(DA18="",CZ18&lt;&gt;""),TRUE))</formula>
    </cfRule>
    <cfRule type="expression" dxfId="727" priority="1253">
      <formula>IF(CZ18&gt;=DA18,IF(CZ18="",FALSE,TRUE))</formula>
    </cfRule>
  </conditionalFormatting>
  <conditionalFormatting sqref="CX34:CX37">
    <cfRule type="expression" dxfId="726" priority="1250">
      <formula>OR(IF(CX34&lt;CY34,TRUE),IF(AND(CY34="",CX34&lt;&gt;""),TRUE))</formula>
    </cfRule>
    <cfRule type="expression" dxfId="725" priority="1251">
      <formula>IF(CX34&gt;=CY34,IF(CX34="",FALSE,TRUE))</formula>
    </cfRule>
  </conditionalFormatting>
  <conditionalFormatting sqref="CZ34:CZ37">
    <cfRule type="expression" dxfId="724" priority="1248">
      <formula>OR(IF(CZ34&lt;DA34,TRUE),IF(AND(DA34="",CZ34&lt;&gt;""),TRUE))</formula>
    </cfRule>
    <cfRule type="expression" dxfId="723" priority="1249">
      <formula>IF(CZ34&gt;=DA34,IF(CZ34="",FALSE,TRUE))</formula>
    </cfRule>
  </conditionalFormatting>
  <conditionalFormatting sqref="CX18:CX19 CX22 CX24:CX29">
    <cfRule type="expression" dxfId="722" priority="1226">
      <formula>OR(IF(CX18&lt;CY18,TRUE),IF(AND(CY18="",CX18&lt;&gt;""),TRUE))</formula>
    </cfRule>
    <cfRule type="expression" dxfId="721" priority="1227">
      <formula>IF(CX18&gt;=CY18,IF(CX18="",FALSE,TRUE))</formula>
    </cfRule>
  </conditionalFormatting>
  <conditionalFormatting sqref="CZ18:CZ19 CZ22 CZ24:CZ29">
    <cfRule type="expression" dxfId="720" priority="1224">
      <formula>OR(IF(CZ18&lt;DA18,TRUE),IF(AND(DA18="",CZ18&lt;&gt;""),TRUE))</formula>
    </cfRule>
    <cfRule type="expression" dxfId="719" priority="1225">
      <formula>IF(CZ18&gt;=DA18,IF(CZ18="",FALSE,TRUE))</formula>
    </cfRule>
  </conditionalFormatting>
  <conditionalFormatting sqref="CX34:CX37">
    <cfRule type="expression" dxfId="718" priority="1222">
      <formula>OR(IF(CX34&lt;CY34,TRUE),IF(AND(CY34="",CX34&lt;&gt;""),TRUE))</formula>
    </cfRule>
    <cfRule type="expression" dxfId="717" priority="1223">
      <formula>IF(CX34&gt;=CY34,IF(CX34="",FALSE,TRUE))</formula>
    </cfRule>
  </conditionalFormatting>
  <conditionalFormatting sqref="CZ34:CZ37">
    <cfRule type="expression" dxfId="716" priority="1220">
      <formula>OR(IF(CZ34&lt;DA34,TRUE),IF(AND(DA34="",CZ34&lt;&gt;""),TRUE))</formula>
    </cfRule>
    <cfRule type="expression" dxfId="715" priority="1221">
      <formula>IF(CZ34&gt;=DA34,IF(CZ34="",FALSE,TRUE))</formula>
    </cfRule>
  </conditionalFormatting>
  <conditionalFormatting sqref="DE5:DE15 DG5:DG15">
    <cfRule type="expression" dxfId="714" priority="1198">
      <formula>OR(IF(DE5&lt;DF5,TRUE),IF(AND(DF5="",DE5&lt;&gt;""),TRUE))</formula>
    </cfRule>
    <cfRule type="expression" dxfId="713" priority="1199">
      <formula>IF(DE5&gt;=DF5,IF(DE5="",FALSE,TRUE))</formula>
    </cfRule>
  </conditionalFormatting>
  <conditionalFormatting sqref="DE18:DE19 DE22 DE24:DE29">
    <cfRule type="expression" dxfId="712" priority="1196">
      <formula>OR(IF(DE18&lt;DF18,TRUE),IF(AND(DF18="",DE18&lt;&gt;""),TRUE))</formula>
    </cfRule>
    <cfRule type="expression" dxfId="711" priority="1197">
      <formula>IF(DE18&gt;=DF18,IF(DE18="",FALSE,TRUE))</formula>
    </cfRule>
  </conditionalFormatting>
  <conditionalFormatting sqref="DG18:DG19 DG22 DG24:DG29">
    <cfRule type="expression" dxfId="710" priority="1194">
      <formula>OR(IF(DG18&lt;DH18,TRUE),IF(AND(DH18="",DG18&lt;&gt;""),TRUE))</formula>
    </cfRule>
    <cfRule type="expression" dxfId="709" priority="1195">
      <formula>IF(DG18&gt;=DH18,IF(DG18="",FALSE,TRUE))</formula>
    </cfRule>
  </conditionalFormatting>
  <conditionalFormatting sqref="DE34:DE37">
    <cfRule type="expression" dxfId="708" priority="1192">
      <formula>OR(IF(DE34&lt;DF34,TRUE),IF(AND(DF34="",DE34&lt;&gt;""),TRUE))</formula>
    </cfRule>
    <cfRule type="expression" dxfId="707" priority="1193">
      <formula>IF(DE34&gt;=DF34,IF(DE34="",FALSE,TRUE))</formula>
    </cfRule>
  </conditionalFormatting>
  <conditionalFormatting sqref="DG34:DG37">
    <cfRule type="expression" dxfId="706" priority="1190">
      <formula>OR(IF(DG34&lt;DH34,TRUE),IF(AND(DH34="",DG34&lt;&gt;""),TRUE))</formula>
    </cfRule>
    <cfRule type="expression" dxfId="705" priority="1191">
      <formula>IF(DG34&gt;=DH34,IF(DG34="",FALSE,TRUE))</formula>
    </cfRule>
  </conditionalFormatting>
  <conditionalFormatting sqref="DE18:DE19 DE22 DE24:DE29">
    <cfRule type="expression" dxfId="704" priority="1168">
      <formula>OR(IF(DE18&lt;DF18,TRUE),IF(AND(DF18="",DE18&lt;&gt;""),TRUE))</formula>
    </cfRule>
    <cfRule type="expression" dxfId="703" priority="1169">
      <formula>IF(DE18&gt;=DF18,IF(DE18="",FALSE,TRUE))</formula>
    </cfRule>
  </conditionalFormatting>
  <conditionalFormatting sqref="DG18:DG19 DG22 DG24:DG29">
    <cfRule type="expression" dxfId="702" priority="1166">
      <formula>OR(IF(DG18&lt;DH18,TRUE),IF(AND(DH18="",DG18&lt;&gt;""),TRUE))</formula>
    </cfRule>
    <cfRule type="expression" dxfId="701" priority="1167">
      <formula>IF(DG18&gt;=DH18,IF(DG18="",FALSE,TRUE))</formula>
    </cfRule>
  </conditionalFormatting>
  <conditionalFormatting sqref="DE34:DE37">
    <cfRule type="expression" dxfId="700" priority="1164">
      <formula>OR(IF(DE34&lt;DF34,TRUE),IF(AND(DF34="",DE34&lt;&gt;""),TRUE))</formula>
    </cfRule>
    <cfRule type="expression" dxfId="699" priority="1165">
      <formula>IF(DE34&gt;=DF34,IF(DE34="",FALSE,TRUE))</formula>
    </cfRule>
  </conditionalFormatting>
  <conditionalFormatting sqref="DG34:DG37">
    <cfRule type="expression" dxfId="698" priority="1162">
      <formula>OR(IF(DG34&lt;DH34,TRUE),IF(AND(DH34="",DG34&lt;&gt;""),TRUE))</formula>
    </cfRule>
    <cfRule type="expression" dxfId="697" priority="1163">
      <formula>IF(DG34&gt;=DH34,IF(DG34="",FALSE,TRUE))</formula>
    </cfRule>
  </conditionalFormatting>
  <conditionalFormatting sqref="M31:N31">
    <cfRule type="colorScale" priority="1141">
      <colorScale>
        <cfvo type="percent" val="0"/>
        <cfvo type="percent" val="100"/>
        <color rgb="FFFF231B"/>
        <color rgb="FF10FF07"/>
      </colorScale>
    </cfRule>
  </conditionalFormatting>
  <conditionalFormatting sqref="R31">
    <cfRule type="expression" dxfId="696" priority="1139">
      <formula>OR(IF(R31&lt;S31,TRUE),IF(AND(S31="",R31&lt;&gt;""),TRUE))</formula>
    </cfRule>
    <cfRule type="expression" dxfId="695" priority="1140">
      <formula>IF(R31&gt;=S31,IF(R31="",FALSE,TRUE))</formula>
    </cfRule>
  </conditionalFormatting>
  <conditionalFormatting sqref="T31">
    <cfRule type="expression" dxfId="694" priority="1137">
      <formula>OR(IF(T31&lt;U31,TRUE),IF(AND(U31="",T31&lt;&gt;""),TRUE))</formula>
    </cfRule>
    <cfRule type="expression" dxfId="693" priority="1138">
      <formula>IF(T31&gt;=U31,IF(T31="",FALSE,TRUE))</formula>
    </cfRule>
  </conditionalFormatting>
  <conditionalFormatting sqref="Y31">
    <cfRule type="expression" dxfId="692" priority="1135">
      <formula>OR(IF(Y31&lt;Z31,TRUE),IF(AND(Z31="",Y31&lt;&gt;""),TRUE))</formula>
    </cfRule>
    <cfRule type="expression" dxfId="691" priority="1136">
      <formula>IF(Y31&gt;=Z31,IF(Y31="",FALSE,TRUE))</formula>
    </cfRule>
  </conditionalFormatting>
  <conditionalFormatting sqref="AA31">
    <cfRule type="expression" dxfId="690" priority="1133">
      <formula>OR(IF(AA31&lt;AB31,TRUE),IF(AND(AB31="",AA31&lt;&gt;""),TRUE))</formula>
    </cfRule>
    <cfRule type="expression" dxfId="689" priority="1134">
      <formula>IF(AA31&gt;=AB31,IF(AA31="",FALSE,TRUE))</formula>
    </cfRule>
  </conditionalFormatting>
  <conditionalFormatting sqref="M31">
    <cfRule type="colorScale" priority="1112">
      <colorScale>
        <cfvo type="percent" val="0"/>
        <cfvo type="percent" val="100"/>
        <color rgb="FFFF231B"/>
        <color rgb="FF10FF07"/>
      </colorScale>
    </cfRule>
  </conditionalFormatting>
  <conditionalFormatting sqref="N31">
    <cfRule type="colorScale" priority="1111">
      <colorScale>
        <cfvo type="percent" val="0"/>
        <cfvo type="percent" val="100"/>
        <color rgb="FFFF231B"/>
        <color rgb="FF10FF07"/>
      </colorScale>
    </cfRule>
  </conditionalFormatting>
  <conditionalFormatting sqref="CQ31">
    <cfRule type="expression" dxfId="688" priority="1073">
      <formula>OR(IF(CQ31&lt;CR31,TRUE),IF(AND(CR31="",CQ31&lt;&gt;""),TRUE))</formula>
    </cfRule>
    <cfRule type="expression" dxfId="687" priority="1074">
      <formula>IF(CQ31&gt;=CR31,IF(CQ31="",FALSE,TRUE))</formula>
    </cfRule>
  </conditionalFormatting>
  <conditionalFormatting sqref="CS31">
    <cfRule type="expression" dxfId="686" priority="1071">
      <formula>OR(IF(CS31&lt;CT31,TRUE),IF(AND(CT31="",CS31&lt;&gt;""),TRUE))</formula>
    </cfRule>
    <cfRule type="expression" dxfId="685" priority="1072">
      <formula>IF(CS31&gt;=CT31,IF(CS31="",FALSE,TRUE))</formula>
    </cfRule>
  </conditionalFormatting>
  <conditionalFormatting sqref="CQ31">
    <cfRule type="expression" dxfId="684" priority="1069">
      <formula>OR(IF(CQ31&lt;CR31,TRUE),IF(AND(CR31="",CQ31&lt;&gt;""),TRUE))</formula>
    </cfRule>
    <cfRule type="expression" dxfId="683" priority="1070">
      <formula>IF(CQ31&gt;=CR31,IF(CQ31="",FALSE,TRUE))</formula>
    </cfRule>
  </conditionalFormatting>
  <conditionalFormatting sqref="CS31">
    <cfRule type="expression" dxfId="682" priority="1067">
      <formula>OR(IF(CS31&lt;CT31,TRUE),IF(AND(CT31="",CS31&lt;&gt;""),TRUE))</formula>
    </cfRule>
    <cfRule type="expression" dxfId="681" priority="1068">
      <formula>IF(CS31&gt;=CT31,IF(CS31="",FALSE,TRUE))</formula>
    </cfRule>
  </conditionalFormatting>
  <conditionalFormatting sqref="CX31">
    <cfRule type="expression" dxfId="680" priority="1065">
      <formula>OR(IF(CX31&lt;CY31,TRUE),IF(AND(CY31="",CX31&lt;&gt;""),TRUE))</formula>
    </cfRule>
    <cfRule type="expression" dxfId="679" priority="1066">
      <formula>IF(CX31&gt;=CY31,IF(CX31="",FALSE,TRUE))</formula>
    </cfRule>
  </conditionalFormatting>
  <conditionalFormatting sqref="CZ31">
    <cfRule type="expression" dxfId="678" priority="1063">
      <formula>OR(IF(CZ31&lt;DA31,TRUE),IF(AND(DA31="",CZ31&lt;&gt;""),TRUE))</formula>
    </cfRule>
    <cfRule type="expression" dxfId="677" priority="1064">
      <formula>IF(CZ31&gt;=DA31,IF(CZ31="",FALSE,TRUE))</formula>
    </cfRule>
  </conditionalFormatting>
  <conditionalFormatting sqref="CX31">
    <cfRule type="expression" dxfId="676" priority="1061">
      <formula>OR(IF(CX31&lt;CY31,TRUE),IF(AND(CY31="",CX31&lt;&gt;""),TRUE))</formula>
    </cfRule>
    <cfRule type="expression" dxfId="675" priority="1062">
      <formula>IF(CX31&gt;=CY31,IF(CX31="",FALSE,TRUE))</formula>
    </cfRule>
  </conditionalFormatting>
  <conditionalFormatting sqref="CZ31">
    <cfRule type="expression" dxfId="674" priority="1059">
      <formula>OR(IF(CZ31&lt;DA31,TRUE),IF(AND(DA31="",CZ31&lt;&gt;""),TRUE))</formula>
    </cfRule>
    <cfRule type="expression" dxfId="673" priority="1060">
      <formula>IF(CZ31&gt;=DA31,IF(CZ31="",FALSE,TRUE))</formula>
    </cfRule>
  </conditionalFormatting>
  <conditionalFormatting sqref="DE31">
    <cfRule type="expression" dxfId="672" priority="1057">
      <formula>OR(IF(DE31&lt;DF31,TRUE),IF(AND(DF31="",DE31&lt;&gt;""),TRUE))</formula>
    </cfRule>
    <cfRule type="expression" dxfId="671" priority="1058">
      <formula>IF(DE31&gt;=DF31,IF(DE31="",FALSE,TRUE))</formula>
    </cfRule>
  </conditionalFormatting>
  <conditionalFormatting sqref="DG31">
    <cfRule type="expression" dxfId="670" priority="1055">
      <formula>OR(IF(DG31&lt;DH31,TRUE),IF(AND(DH31="",DG31&lt;&gt;""),TRUE))</formula>
    </cfRule>
    <cfRule type="expression" dxfId="669" priority="1056">
      <formula>IF(DG31&gt;=DH31,IF(DG31="",FALSE,TRUE))</formula>
    </cfRule>
  </conditionalFormatting>
  <conditionalFormatting sqref="DE31">
    <cfRule type="expression" dxfId="668" priority="1053">
      <formula>OR(IF(DE31&lt;DF31,TRUE),IF(AND(DF31="",DE31&lt;&gt;""),TRUE))</formula>
    </cfRule>
    <cfRule type="expression" dxfId="667" priority="1054">
      <formula>IF(DE31&gt;=DF31,IF(DE31="",FALSE,TRUE))</formula>
    </cfRule>
  </conditionalFormatting>
  <conditionalFormatting sqref="DG31">
    <cfRule type="expression" dxfId="666" priority="1051">
      <formula>OR(IF(DG31&lt;DH31,TRUE),IF(AND(DH31="",DG31&lt;&gt;""),TRUE))</formula>
    </cfRule>
    <cfRule type="expression" dxfId="665" priority="1052">
      <formula>IF(DG31&gt;=DH31,IF(DG31="",FALSE,TRUE))</formula>
    </cfRule>
  </conditionalFormatting>
  <conditionalFormatting sqref="M21:N21">
    <cfRule type="colorScale" priority="1050">
      <colorScale>
        <cfvo type="percent" val="0"/>
        <cfvo type="percent" val="100"/>
        <color rgb="FFFF231B"/>
        <color rgb="FF10FF07"/>
      </colorScale>
    </cfRule>
  </conditionalFormatting>
  <conditionalFormatting sqref="M21">
    <cfRule type="colorScale" priority="1021">
      <colorScale>
        <cfvo type="percent" val="0"/>
        <cfvo type="percent" val="100"/>
        <color rgb="FFFF231B"/>
        <color rgb="FF10FF07"/>
      </colorScale>
    </cfRule>
  </conditionalFormatting>
  <conditionalFormatting sqref="N21">
    <cfRule type="colorScale" priority="1020">
      <colorScale>
        <cfvo type="percent" val="0"/>
        <cfvo type="percent" val="100"/>
        <color rgb="FFFF231B"/>
        <color rgb="FF10FF07"/>
      </colorScale>
    </cfRule>
  </conditionalFormatting>
  <conditionalFormatting sqref="CQ21">
    <cfRule type="expression" dxfId="664" priority="982">
      <formula>OR(IF(CQ21&lt;CR21,TRUE),IF(AND(CR21="",CQ21&lt;&gt;""),TRUE))</formula>
    </cfRule>
    <cfRule type="expression" dxfId="663" priority="983">
      <formula>IF(CQ21&gt;=CR21,IF(CQ21="",FALSE,TRUE))</formula>
    </cfRule>
  </conditionalFormatting>
  <conditionalFormatting sqref="CS21">
    <cfRule type="expression" dxfId="662" priority="980">
      <formula>OR(IF(CS21&lt;CT21,TRUE),IF(AND(CT21="",CS21&lt;&gt;""),TRUE))</formula>
    </cfRule>
    <cfRule type="expression" dxfId="661" priority="981">
      <formula>IF(CS21&gt;=CT21,IF(CS21="",FALSE,TRUE))</formula>
    </cfRule>
  </conditionalFormatting>
  <conditionalFormatting sqref="CQ21">
    <cfRule type="expression" dxfId="660" priority="978">
      <formula>OR(IF(CQ21&lt;CR21,TRUE),IF(AND(CR21="",CQ21&lt;&gt;""),TRUE))</formula>
    </cfRule>
    <cfRule type="expression" dxfId="659" priority="979">
      <formula>IF(CQ21&gt;=CR21,IF(CQ21="",FALSE,TRUE))</formula>
    </cfRule>
  </conditionalFormatting>
  <conditionalFormatting sqref="CS21">
    <cfRule type="expression" dxfId="658" priority="976">
      <formula>OR(IF(CS21&lt;CT21,TRUE),IF(AND(CT21="",CS21&lt;&gt;""),TRUE))</formula>
    </cfRule>
    <cfRule type="expression" dxfId="657" priority="977">
      <formula>IF(CS21&gt;=CT21,IF(CS21="",FALSE,TRUE))</formula>
    </cfRule>
  </conditionalFormatting>
  <conditionalFormatting sqref="CX21">
    <cfRule type="expression" dxfId="656" priority="974">
      <formula>OR(IF(CX21&lt;CY21,TRUE),IF(AND(CY21="",CX21&lt;&gt;""),TRUE))</formula>
    </cfRule>
    <cfRule type="expression" dxfId="655" priority="975">
      <formula>IF(CX21&gt;=CY21,IF(CX21="",FALSE,TRUE))</formula>
    </cfRule>
  </conditionalFormatting>
  <conditionalFormatting sqref="CZ21">
    <cfRule type="expression" dxfId="654" priority="972">
      <formula>OR(IF(CZ21&lt;DA21,TRUE),IF(AND(DA21="",CZ21&lt;&gt;""),TRUE))</formula>
    </cfRule>
    <cfRule type="expression" dxfId="653" priority="973">
      <formula>IF(CZ21&gt;=DA21,IF(CZ21="",FALSE,TRUE))</formula>
    </cfRule>
  </conditionalFormatting>
  <conditionalFormatting sqref="CX21">
    <cfRule type="expression" dxfId="652" priority="970">
      <formula>OR(IF(CX21&lt;CY21,TRUE),IF(AND(CY21="",CX21&lt;&gt;""),TRUE))</formula>
    </cfRule>
    <cfRule type="expression" dxfId="651" priority="971">
      <formula>IF(CX21&gt;=CY21,IF(CX21="",FALSE,TRUE))</formula>
    </cfRule>
  </conditionalFormatting>
  <conditionalFormatting sqref="CZ21">
    <cfRule type="expression" dxfId="650" priority="968">
      <formula>OR(IF(CZ21&lt;DA21,TRUE),IF(AND(DA21="",CZ21&lt;&gt;""),TRUE))</formula>
    </cfRule>
    <cfRule type="expression" dxfId="649" priority="969">
      <formula>IF(CZ21&gt;=DA21,IF(CZ21="",FALSE,TRUE))</formula>
    </cfRule>
  </conditionalFormatting>
  <conditionalFormatting sqref="DE21">
    <cfRule type="expression" dxfId="648" priority="966">
      <formula>OR(IF(DE21&lt;DF21,TRUE),IF(AND(DF21="",DE21&lt;&gt;""),TRUE))</formula>
    </cfRule>
    <cfRule type="expression" dxfId="647" priority="967">
      <formula>IF(DE21&gt;=DF21,IF(DE21="",FALSE,TRUE))</formula>
    </cfRule>
  </conditionalFormatting>
  <conditionalFormatting sqref="DG21">
    <cfRule type="expression" dxfId="646" priority="964">
      <formula>OR(IF(DG21&lt;DH21,TRUE),IF(AND(DH21="",DG21&lt;&gt;""),TRUE))</formula>
    </cfRule>
    <cfRule type="expression" dxfId="645" priority="965">
      <formula>IF(DG21&gt;=DH21,IF(DG21="",FALSE,TRUE))</formula>
    </cfRule>
  </conditionalFormatting>
  <conditionalFormatting sqref="DE21">
    <cfRule type="expression" dxfId="644" priority="962">
      <formula>OR(IF(DE21&lt;DF21,TRUE),IF(AND(DF21="",DE21&lt;&gt;""),TRUE))</formula>
    </cfRule>
    <cfRule type="expression" dxfId="643" priority="963">
      <formula>IF(DE21&gt;=DF21,IF(DE21="",FALSE,TRUE))</formula>
    </cfRule>
  </conditionalFormatting>
  <conditionalFormatting sqref="DG21">
    <cfRule type="expression" dxfId="642" priority="960">
      <formula>OR(IF(DG21&lt;DH21,TRUE),IF(AND(DH21="",DG21&lt;&gt;""),TRUE))</formula>
    </cfRule>
    <cfRule type="expression" dxfId="641" priority="961">
      <formula>IF(DG21&gt;=DH21,IF(DG21="",FALSE,TRUE))</formula>
    </cfRule>
  </conditionalFormatting>
  <conditionalFormatting sqref="M20:N20">
    <cfRule type="colorScale" priority="959">
      <colorScale>
        <cfvo type="percent" val="0"/>
        <cfvo type="percent" val="100"/>
        <color rgb="FFFF231B"/>
        <color rgb="FF10FF07"/>
      </colorScale>
    </cfRule>
  </conditionalFormatting>
  <conditionalFormatting sqref="M20">
    <cfRule type="colorScale" priority="930">
      <colorScale>
        <cfvo type="percent" val="0"/>
        <cfvo type="percent" val="100"/>
        <color rgb="FFFF231B"/>
        <color rgb="FF10FF07"/>
      </colorScale>
    </cfRule>
  </conditionalFormatting>
  <conditionalFormatting sqref="N20">
    <cfRule type="colorScale" priority="929">
      <colorScale>
        <cfvo type="percent" val="0"/>
        <cfvo type="percent" val="100"/>
        <color rgb="FFFF231B"/>
        <color rgb="FF10FF07"/>
      </colorScale>
    </cfRule>
  </conditionalFormatting>
  <conditionalFormatting sqref="CQ20">
    <cfRule type="expression" dxfId="640" priority="891">
      <formula>OR(IF(CQ20&lt;CR20,TRUE),IF(AND(CR20="",CQ20&lt;&gt;""),TRUE))</formula>
    </cfRule>
    <cfRule type="expression" dxfId="639" priority="892">
      <formula>IF(CQ20&gt;=CR20,IF(CQ20="",FALSE,TRUE))</formula>
    </cfRule>
  </conditionalFormatting>
  <conditionalFormatting sqref="CS20">
    <cfRule type="expression" dxfId="638" priority="889">
      <formula>OR(IF(CS20&lt;CT20,TRUE),IF(AND(CT20="",CS20&lt;&gt;""),TRUE))</formula>
    </cfRule>
    <cfRule type="expression" dxfId="637" priority="890">
      <formula>IF(CS20&gt;=CT20,IF(CS20="",FALSE,TRUE))</formula>
    </cfRule>
  </conditionalFormatting>
  <conditionalFormatting sqref="CQ20">
    <cfRule type="expression" dxfId="636" priority="887">
      <formula>OR(IF(CQ20&lt;CR20,TRUE),IF(AND(CR20="",CQ20&lt;&gt;""),TRUE))</formula>
    </cfRule>
    <cfRule type="expression" dxfId="635" priority="888">
      <formula>IF(CQ20&gt;=CR20,IF(CQ20="",FALSE,TRUE))</formula>
    </cfRule>
  </conditionalFormatting>
  <conditionalFormatting sqref="CS20">
    <cfRule type="expression" dxfId="634" priority="885">
      <formula>OR(IF(CS20&lt;CT20,TRUE),IF(AND(CT20="",CS20&lt;&gt;""),TRUE))</formula>
    </cfRule>
    <cfRule type="expression" dxfId="633" priority="886">
      <formula>IF(CS20&gt;=CT20,IF(CS20="",FALSE,TRUE))</formula>
    </cfRule>
  </conditionalFormatting>
  <conditionalFormatting sqref="CX20">
    <cfRule type="expression" dxfId="632" priority="883">
      <formula>OR(IF(CX20&lt;CY20,TRUE),IF(AND(CY20="",CX20&lt;&gt;""),TRUE))</formula>
    </cfRule>
    <cfRule type="expression" dxfId="631" priority="884">
      <formula>IF(CX20&gt;=CY20,IF(CX20="",FALSE,TRUE))</formula>
    </cfRule>
  </conditionalFormatting>
  <conditionalFormatting sqref="CZ20">
    <cfRule type="expression" dxfId="630" priority="881">
      <formula>OR(IF(CZ20&lt;DA20,TRUE),IF(AND(DA20="",CZ20&lt;&gt;""),TRUE))</formula>
    </cfRule>
    <cfRule type="expression" dxfId="629" priority="882">
      <formula>IF(CZ20&gt;=DA20,IF(CZ20="",FALSE,TRUE))</formula>
    </cfRule>
  </conditionalFormatting>
  <conditionalFormatting sqref="CX20">
    <cfRule type="expression" dxfId="628" priority="879">
      <formula>OR(IF(CX20&lt;CY20,TRUE),IF(AND(CY20="",CX20&lt;&gt;""),TRUE))</formula>
    </cfRule>
    <cfRule type="expression" dxfId="627" priority="880">
      <formula>IF(CX20&gt;=CY20,IF(CX20="",FALSE,TRUE))</formula>
    </cfRule>
  </conditionalFormatting>
  <conditionalFormatting sqref="CZ20">
    <cfRule type="expression" dxfId="626" priority="877">
      <formula>OR(IF(CZ20&lt;DA20,TRUE),IF(AND(DA20="",CZ20&lt;&gt;""),TRUE))</formula>
    </cfRule>
    <cfRule type="expression" dxfId="625" priority="878">
      <formula>IF(CZ20&gt;=DA20,IF(CZ20="",FALSE,TRUE))</formula>
    </cfRule>
  </conditionalFormatting>
  <conditionalFormatting sqref="DE20">
    <cfRule type="expression" dxfId="624" priority="875">
      <formula>OR(IF(DE20&lt;DF20,TRUE),IF(AND(DF20="",DE20&lt;&gt;""),TRUE))</formula>
    </cfRule>
    <cfRule type="expression" dxfId="623" priority="876">
      <formula>IF(DE20&gt;=DF20,IF(DE20="",FALSE,TRUE))</formula>
    </cfRule>
  </conditionalFormatting>
  <conditionalFormatting sqref="DG20">
    <cfRule type="expression" dxfId="622" priority="873">
      <formula>OR(IF(DG20&lt;DH20,TRUE),IF(AND(DH20="",DG20&lt;&gt;""),TRUE))</formula>
    </cfRule>
    <cfRule type="expression" dxfId="621" priority="874">
      <formula>IF(DG20&gt;=DH20,IF(DG20="",FALSE,TRUE))</formula>
    </cfRule>
  </conditionalFormatting>
  <conditionalFormatting sqref="DE20">
    <cfRule type="expression" dxfId="620" priority="871">
      <formula>OR(IF(DE20&lt;DF20,TRUE),IF(AND(DF20="",DE20&lt;&gt;""),TRUE))</formula>
    </cfRule>
    <cfRule type="expression" dxfId="619" priority="872">
      <formula>IF(DE20&gt;=DF20,IF(DE20="",FALSE,TRUE))</formula>
    </cfRule>
  </conditionalFormatting>
  <conditionalFormatting sqref="DG20">
    <cfRule type="expression" dxfId="618" priority="869">
      <formula>OR(IF(DG20&lt;DH20,TRUE),IF(AND(DH20="",DG20&lt;&gt;""),TRUE))</formula>
    </cfRule>
    <cfRule type="expression" dxfId="617" priority="870">
      <formula>IF(DG20&gt;=DH20,IF(DG20="",FALSE,TRUE))</formula>
    </cfRule>
  </conditionalFormatting>
  <conditionalFormatting sqref="M23:N23">
    <cfRule type="colorScale" priority="868">
      <colorScale>
        <cfvo type="percent" val="0"/>
        <cfvo type="percent" val="100"/>
        <color rgb="FFFF231B"/>
        <color rgb="FF10FF07"/>
      </colorScale>
    </cfRule>
  </conditionalFormatting>
  <conditionalFormatting sqref="R23">
    <cfRule type="expression" dxfId="616" priority="866">
      <formula>OR(IF(R23&lt;S23,TRUE),IF(AND(S23="",R23&lt;&gt;""),TRUE))</formula>
    </cfRule>
    <cfRule type="expression" dxfId="615" priority="867">
      <formula>IF(R23&gt;=S23,IF(R23="",FALSE,TRUE))</formula>
    </cfRule>
  </conditionalFormatting>
  <conditionalFormatting sqref="T23">
    <cfRule type="expression" dxfId="614" priority="864">
      <formula>OR(IF(T23&lt;U23,TRUE),IF(AND(U23="",T23&lt;&gt;""),TRUE))</formula>
    </cfRule>
    <cfRule type="expression" dxfId="613" priority="865">
      <formula>IF(T23&gt;=U23,IF(T23="",FALSE,TRUE))</formula>
    </cfRule>
  </conditionalFormatting>
  <conditionalFormatting sqref="M23">
    <cfRule type="colorScale" priority="839">
      <colorScale>
        <cfvo type="percent" val="0"/>
        <cfvo type="percent" val="100"/>
        <color rgb="FFFF231B"/>
        <color rgb="FF10FF07"/>
      </colorScale>
    </cfRule>
  </conditionalFormatting>
  <conditionalFormatting sqref="N23">
    <cfRule type="colorScale" priority="838">
      <colorScale>
        <cfvo type="percent" val="0"/>
        <cfvo type="percent" val="100"/>
        <color rgb="FFFF231B"/>
        <color rgb="FF10FF07"/>
      </colorScale>
    </cfRule>
  </conditionalFormatting>
  <conditionalFormatting sqref="CQ23">
    <cfRule type="expression" dxfId="612" priority="800">
      <formula>OR(IF(CQ23&lt;CR23,TRUE),IF(AND(CR23="",CQ23&lt;&gt;""),TRUE))</formula>
    </cfRule>
    <cfRule type="expression" dxfId="611" priority="801">
      <formula>IF(CQ23&gt;=CR23,IF(CQ23="",FALSE,TRUE))</formula>
    </cfRule>
  </conditionalFormatting>
  <conditionalFormatting sqref="CS23">
    <cfRule type="expression" dxfId="610" priority="798">
      <formula>OR(IF(CS23&lt;CT23,TRUE),IF(AND(CT23="",CS23&lt;&gt;""),TRUE))</formula>
    </cfRule>
    <cfRule type="expression" dxfId="609" priority="799">
      <formula>IF(CS23&gt;=CT23,IF(CS23="",FALSE,TRUE))</formula>
    </cfRule>
  </conditionalFormatting>
  <conditionalFormatting sqref="CQ23">
    <cfRule type="expression" dxfId="608" priority="796">
      <formula>OR(IF(CQ23&lt;CR23,TRUE),IF(AND(CR23="",CQ23&lt;&gt;""),TRUE))</formula>
    </cfRule>
    <cfRule type="expression" dxfId="607" priority="797">
      <formula>IF(CQ23&gt;=CR23,IF(CQ23="",FALSE,TRUE))</formula>
    </cfRule>
  </conditionalFormatting>
  <conditionalFormatting sqref="CS23">
    <cfRule type="expression" dxfId="606" priority="794">
      <formula>OR(IF(CS23&lt;CT23,TRUE),IF(AND(CT23="",CS23&lt;&gt;""),TRUE))</formula>
    </cfRule>
    <cfRule type="expression" dxfId="605" priority="795">
      <formula>IF(CS23&gt;=CT23,IF(CS23="",FALSE,TRUE))</formula>
    </cfRule>
  </conditionalFormatting>
  <conditionalFormatting sqref="CX23">
    <cfRule type="expression" dxfId="604" priority="792">
      <formula>OR(IF(CX23&lt;CY23,TRUE),IF(AND(CY23="",CX23&lt;&gt;""),TRUE))</formula>
    </cfRule>
    <cfRule type="expression" dxfId="603" priority="793">
      <formula>IF(CX23&gt;=CY23,IF(CX23="",FALSE,TRUE))</formula>
    </cfRule>
  </conditionalFormatting>
  <conditionalFormatting sqref="CZ23">
    <cfRule type="expression" dxfId="602" priority="790">
      <formula>OR(IF(CZ23&lt;DA23,TRUE),IF(AND(DA23="",CZ23&lt;&gt;""),TRUE))</formula>
    </cfRule>
    <cfRule type="expression" dxfId="601" priority="791">
      <formula>IF(CZ23&gt;=DA23,IF(CZ23="",FALSE,TRUE))</formula>
    </cfRule>
  </conditionalFormatting>
  <conditionalFormatting sqref="CX23">
    <cfRule type="expression" dxfId="600" priority="788">
      <formula>OR(IF(CX23&lt;CY23,TRUE),IF(AND(CY23="",CX23&lt;&gt;""),TRUE))</formula>
    </cfRule>
    <cfRule type="expression" dxfId="599" priority="789">
      <formula>IF(CX23&gt;=CY23,IF(CX23="",FALSE,TRUE))</formula>
    </cfRule>
  </conditionalFormatting>
  <conditionalFormatting sqref="CZ23">
    <cfRule type="expression" dxfId="598" priority="786">
      <formula>OR(IF(CZ23&lt;DA23,TRUE),IF(AND(DA23="",CZ23&lt;&gt;""),TRUE))</formula>
    </cfRule>
    <cfRule type="expression" dxfId="597" priority="787">
      <formula>IF(CZ23&gt;=DA23,IF(CZ23="",FALSE,TRUE))</formula>
    </cfRule>
  </conditionalFormatting>
  <conditionalFormatting sqref="DE23">
    <cfRule type="expression" dxfId="596" priority="784">
      <formula>OR(IF(DE23&lt;DF23,TRUE),IF(AND(DF23="",DE23&lt;&gt;""),TRUE))</formula>
    </cfRule>
    <cfRule type="expression" dxfId="595" priority="785">
      <formula>IF(DE23&gt;=DF23,IF(DE23="",FALSE,TRUE))</formula>
    </cfRule>
  </conditionalFormatting>
  <conditionalFormatting sqref="DG23">
    <cfRule type="expression" dxfId="594" priority="782">
      <formula>OR(IF(DG23&lt;DH23,TRUE),IF(AND(DH23="",DG23&lt;&gt;""),TRUE))</formula>
    </cfRule>
    <cfRule type="expression" dxfId="593" priority="783">
      <formula>IF(DG23&gt;=DH23,IF(DG23="",FALSE,TRUE))</formula>
    </cfRule>
  </conditionalFormatting>
  <conditionalFormatting sqref="DE23">
    <cfRule type="expression" dxfId="592" priority="780">
      <formula>OR(IF(DE23&lt;DF23,TRUE),IF(AND(DF23="",DE23&lt;&gt;""),TRUE))</formula>
    </cfRule>
    <cfRule type="expression" dxfId="591" priority="781">
      <formula>IF(DE23&gt;=DF23,IF(DE23="",FALSE,TRUE))</formula>
    </cfRule>
  </conditionalFormatting>
  <conditionalFormatting sqref="DG23">
    <cfRule type="expression" dxfId="590" priority="778">
      <formula>OR(IF(DG23&lt;DH23,TRUE),IF(AND(DH23="",DG23&lt;&gt;""),TRUE))</formula>
    </cfRule>
    <cfRule type="expression" dxfId="589" priority="779">
      <formula>IF(DG23&gt;=DH23,IF(DG23="",FALSE,TRUE))</formula>
    </cfRule>
  </conditionalFormatting>
  <conditionalFormatting sqref="M19:N19 M22:N22 M24:N29">
    <cfRule type="colorScale" priority="2072">
      <colorScale>
        <cfvo type="percent" val="0"/>
        <cfvo type="percent" val="100"/>
        <color rgb="FFFF231B"/>
        <color rgb="FF10FF07"/>
      </colorScale>
    </cfRule>
  </conditionalFormatting>
  <conditionalFormatting sqref="M18:M19 M22 M24:M29">
    <cfRule type="colorScale" priority="2075">
      <colorScale>
        <cfvo type="percent" val="0"/>
        <cfvo type="percent" val="100"/>
        <color rgb="FFFF231B"/>
        <color rgb="FF10FF07"/>
      </colorScale>
    </cfRule>
  </conditionalFormatting>
  <conditionalFormatting sqref="N18:N19 N22 N24:N29">
    <cfRule type="colorScale" priority="2078">
      <colorScale>
        <cfvo type="percent" val="0"/>
        <cfvo type="percent" val="100"/>
        <color rgb="FFFF231B"/>
        <color rgb="FF10FF07"/>
      </colorScale>
    </cfRule>
  </conditionalFormatting>
  <conditionalFormatting sqref="R30">
    <cfRule type="expression" dxfId="588" priority="773">
      <formula>OR(IF(R30&lt;S30,TRUE),IF(AND(S30="",R30&lt;&gt;""),TRUE))</formula>
    </cfRule>
    <cfRule type="expression" dxfId="587" priority="774">
      <formula>IF(R30&gt;=S30,IF(R30="",FALSE,TRUE))</formula>
    </cfRule>
  </conditionalFormatting>
  <conditionalFormatting sqref="T30">
    <cfRule type="expression" dxfId="586" priority="771">
      <formula>OR(IF(T30&lt;U30,TRUE),IF(AND(U30="",T30&lt;&gt;""),TRUE))</formula>
    </cfRule>
    <cfRule type="expression" dxfId="585" priority="772">
      <formula>IF(T30&gt;=U30,IF(T30="",FALSE,TRUE))</formula>
    </cfRule>
  </conditionalFormatting>
  <conditionalFormatting sqref="Y30">
    <cfRule type="expression" dxfId="584" priority="769">
      <formula>OR(IF(Y30&lt;Z30,TRUE),IF(AND(Z30="",Y30&lt;&gt;""),TRUE))</formula>
    </cfRule>
    <cfRule type="expression" dxfId="583" priority="770">
      <formula>IF(Y30&gt;=Z30,IF(Y30="",FALSE,TRUE))</formula>
    </cfRule>
  </conditionalFormatting>
  <conditionalFormatting sqref="AA30">
    <cfRule type="expression" dxfId="582" priority="767">
      <formula>OR(IF(AA30&lt;AB30,TRUE),IF(AND(AB30="",AA30&lt;&gt;""),TRUE))</formula>
    </cfRule>
    <cfRule type="expression" dxfId="581" priority="768">
      <formula>IF(AA30&gt;=AB30,IF(AA30="",FALSE,TRUE))</formula>
    </cfRule>
  </conditionalFormatting>
  <conditionalFormatting sqref="CQ30">
    <cfRule type="expression" dxfId="580" priority="709">
      <formula>OR(IF(CQ30&lt;CR30,TRUE),IF(AND(CR30="",CQ30&lt;&gt;""),TRUE))</formula>
    </cfRule>
    <cfRule type="expression" dxfId="579" priority="710">
      <formula>IF(CQ30&gt;=CR30,IF(CQ30="",FALSE,TRUE))</formula>
    </cfRule>
  </conditionalFormatting>
  <conditionalFormatting sqref="CS30">
    <cfRule type="expression" dxfId="578" priority="707">
      <formula>OR(IF(CS30&lt;CT30,TRUE),IF(AND(CT30="",CS30&lt;&gt;""),TRUE))</formula>
    </cfRule>
    <cfRule type="expression" dxfId="577" priority="708">
      <formula>IF(CS30&gt;=CT30,IF(CS30="",FALSE,TRUE))</formula>
    </cfRule>
  </conditionalFormatting>
  <conditionalFormatting sqref="CQ30">
    <cfRule type="expression" dxfId="576" priority="705">
      <formula>OR(IF(CQ30&lt;CR30,TRUE),IF(AND(CR30="",CQ30&lt;&gt;""),TRUE))</formula>
    </cfRule>
    <cfRule type="expression" dxfId="575" priority="706">
      <formula>IF(CQ30&gt;=CR30,IF(CQ30="",FALSE,TRUE))</formula>
    </cfRule>
  </conditionalFormatting>
  <conditionalFormatting sqref="CS30">
    <cfRule type="expression" dxfId="574" priority="703">
      <formula>OR(IF(CS30&lt;CT30,TRUE),IF(AND(CT30="",CS30&lt;&gt;""),TRUE))</formula>
    </cfRule>
    <cfRule type="expression" dxfId="573" priority="704">
      <formula>IF(CS30&gt;=CT30,IF(CS30="",FALSE,TRUE))</formula>
    </cfRule>
  </conditionalFormatting>
  <conditionalFormatting sqref="CX30">
    <cfRule type="expression" dxfId="572" priority="701">
      <formula>OR(IF(CX30&lt;CY30,TRUE),IF(AND(CY30="",CX30&lt;&gt;""),TRUE))</formula>
    </cfRule>
    <cfRule type="expression" dxfId="571" priority="702">
      <formula>IF(CX30&gt;=CY30,IF(CX30="",FALSE,TRUE))</formula>
    </cfRule>
  </conditionalFormatting>
  <conditionalFormatting sqref="CZ30">
    <cfRule type="expression" dxfId="570" priority="699">
      <formula>OR(IF(CZ30&lt;DA30,TRUE),IF(AND(DA30="",CZ30&lt;&gt;""),TRUE))</formula>
    </cfRule>
    <cfRule type="expression" dxfId="569" priority="700">
      <formula>IF(CZ30&gt;=DA30,IF(CZ30="",FALSE,TRUE))</formula>
    </cfRule>
  </conditionalFormatting>
  <conditionalFormatting sqref="CX30">
    <cfRule type="expression" dxfId="568" priority="697">
      <formula>OR(IF(CX30&lt;CY30,TRUE),IF(AND(CY30="",CX30&lt;&gt;""),TRUE))</formula>
    </cfRule>
    <cfRule type="expression" dxfId="567" priority="698">
      <formula>IF(CX30&gt;=CY30,IF(CX30="",FALSE,TRUE))</formula>
    </cfRule>
  </conditionalFormatting>
  <conditionalFormatting sqref="CZ30">
    <cfRule type="expression" dxfId="566" priority="695">
      <formula>OR(IF(CZ30&lt;DA30,TRUE),IF(AND(DA30="",CZ30&lt;&gt;""),TRUE))</formula>
    </cfRule>
    <cfRule type="expression" dxfId="565" priority="696">
      <formula>IF(CZ30&gt;=DA30,IF(CZ30="",FALSE,TRUE))</formula>
    </cfRule>
  </conditionalFormatting>
  <conditionalFormatting sqref="DE30">
    <cfRule type="expression" dxfId="564" priority="693">
      <formula>OR(IF(DE30&lt;DF30,TRUE),IF(AND(DF30="",DE30&lt;&gt;""),TRUE))</formula>
    </cfRule>
    <cfRule type="expression" dxfId="563" priority="694">
      <formula>IF(DE30&gt;=DF30,IF(DE30="",FALSE,TRUE))</formula>
    </cfRule>
  </conditionalFormatting>
  <conditionalFormatting sqref="DG30">
    <cfRule type="expression" dxfId="562" priority="691">
      <formula>OR(IF(DG30&lt;DH30,TRUE),IF(AND(DH30="",DG30&lt;&gt;""),TRUE))</formula>
    </cfRule>
    <cfRule type="expression" dxfId="561" priority="692">
      <formula>IF(DG30&gt;=DH30,IF(DG30="",FALSE,TRUE))</formula>
    </cfRule>
  </conditionalFormatting>
  <conditionalFormatting sqref="DE30">
    <cfRule type="expression" dxfId="560" priority="689">
      <formula>OR(IF(DE30&lt;DF30,TRUE),IF(AND(DF30="",DE30&lt;&gt;""),TRUE))</formula>
    </cfRule>
    <cfRule type="expression" dxfId="559" priority="690">
      <formula>IF(DE30&gt;=DF30,IF(DE30="",FALSE,TRUE))</formula>
    </cfRule>
  </conditionalFormatting>
  <conditionalFormatting sqref="DG30">
    <cfRule type="expression" dxfId="558" priority="687">
      <formula>OR(IF(DG30&lt;DH30,TRUE),IF(AND(DH30="",DG30&lt;&gt;""),TRUE))</formula>
    </cfRule>
    <cfRule type="expression" dxfId="557" priority="688">
      <formula>IF(DG30&gt;=DH30,IF(DG30="",FALSE,TRUE))</formula>
    </cfRule>
  </conditionalFormatting>
  <conditionalFormatting sqref="M30:N30">
    <cfRule type="colorScale" priority="775">
      <colorScale>
        <cfvo type="percent" val="0"/>
        <cfvo type="percent" val="100"/>
        <color rgb="FFFF231B"/>
        <color rgb="FF10FF07"/>
      </colorScale>
    </cfRule>
  </conditionalFormatting>
  <conditionalFormatting sqref="M30">
    <cfRule type="colorScale" priority="776">
      <colorScale>
        <cfvo type="percent" val="0"/>
        <cfvo type="percent" val="100"/>
        <color rgb="FFFF231B"/>
        <color rgb="FF10FF07"/>
      </colorScale>
    </cfRule>
  </conditionalFormatting>
  <conditionalFormatting sqref="N30">
    <cfRule type="colorScale" priority="777">
      <colorScale>
        <cfvo type="percent" val="0"/>
        <cfvo type="percent" val="100"/>
        <color rgb="FFFF231B"/>
        <color rgb="FF10FF07"/>
      </colorScale>
    </cfRule>
  </conditionalFormatting>
  <conditionalFormatting sqref="M38:N38">
    <cfRule type="colorScale" priority="686">
      <colorScale>
        <cfvo type="percent" val="0"/>
        <cfvo type="percent" val="100"/>
        <color rgb="FFFF231B"/>
        <color rgb="FF10FF07"/>
      </colorScale>
    </cfRule>
  </conditionalFormatting>
  <conditionalFormatting sqref="R38">
    <cfRule type="expression" dxfId="556" priority="684">
      <formula>OR(IF(R38&lt;S38,TRUE),IF(AND(S38="",R38&lt;&gt;""),TRUE))</formula>
    </cfRule>
    <cfRule type="expression" dxfId="555" priority="685">
      <formula>IF(R38&gt;=S38,IF(R38="",FALSE,TRUE))</formula>
    </cfRule>
  </conditionalFormatting>
  <conditionalFormatting sqref="T38">
    <cfRule type="expression" dxfId="554" priority="682">
      <formula>OR(IF(T38&lt;U38,TRUE),IF(AND(U38="",T38&lt;&gt;""),TRUE))</formula>
    </cfRule>
    <cfRule type="expression" dxfId="553" priority="683">
      <formula>IF(T38&gt;=U38,IF(T38="",FALSE,TRUE))</formula>
    </cfRule>
  </conditionalFormatting>
  <conditionalFormatting sqref="M38">
    <cfRule type="colorScale" priority="657">
      <colorScale>
        <cfvo type="percent" val="0"/>
        <cfvo type="percent" val="100"/>
        <color rgb="FFFF231B"/>
        <color rgb="FF10FF07"/>
      </colorScale>
    </cfRule>
  </conditionalFormatting>
  <conditionalFormatting sqref="N38">
    <cfRule type="colorScale" priority="656">
      <colorScale>
        <cfvo type="percent" val="0"/>
        <cfvo type="percent" val="100"/>
        <color rgb="FFFF231B"/>
        <color rgb="FF10FF07"/>
      </colorScale>
    </cfRule>
  </conditionalFormatting>
  <conditionalFormatting sqref="CQ38">
    <cfRule type="expression" dxfId="552" priority="618">
      <formula>OR(IF(CQ38&lt;CR38,TRUE),IF(AND(CR38="",CQ38&lt;&gt;""),TRUE))</formula>
    </cfRule>
    <cfRule type="expression" dxfId="551" priority="619">
      <formula>IF(CQ38&gt;=CR38,IF(CQ38="",FALSE,TRUE))</formula>
    </cfRule>
  </conditionalFormatting>
  <conditionalFormatting sqref="CS38">
    <cfRule type="expression" dxfId="550" priority="616">
      <formula>OR(IF(CS38&lt;CT38,TRUE),IF(AND(CT38="",CS38&lt;&gt;""),TRUE))</formula>
    </cfRule>
    <cfRule type="expression" dxfId="549" priority="617">
      <formula>IF(CS38&gt;=CT38,IF(CS38="",FALSE,TRUE))</formula>
    </cfRule>
  </conditionalFormatting>
  <conditionalFormatting sqref="CQ38">
    <cfRule type="expression" dxfId="548" priority="614">
      <formula>OR(IF(CQ38&lt;CR38,TRUE),IF(AND(CR38="",CQ38&lt;&gt;""),TRUE))</formula>
    </cfRule>
    <cfRule type="expression" dxfId="547" priority="615">
      <formula>IF(CQ38&gt;=CR38,IF(CQ38="",FALSE,TRUE))</formula>
    </cfRule>
  </conditionalFormatting>
  <conditionalFormatting sqref="CS38">
    <cfRule type="expression" dxfId="546" priority="612">
      <formula>OR(IF(CS38&lt;CT38,TRUE),IF(AND(CT38="",CS38&lt;&gt;""),TRUE))</formula>
    </cfRule>
    <cfRule type="expression" dxfId="545" priority="613">
      <formula>IF(CS38&gt;=CT38,IF(CS38="",FALSE,TRUE))</formula>
    </cfRule>
  </conditionalFormatting>
  <conditionalFormatting sqref="CX38">
    <cfRule type="expression" dxfId="544" priority="610">
      <formula>OR(IF(CX38&lt;CY38,TRUE),IF(AND(CY38="",CX38&lt;&gt;""),TRUE))</formula>
    </cfRule>
    <cfRule type="expression" dxfId="543" priority="611">
      <formula>IF(CX38&gt;=CY38,IF(CX38="",FALSE,TRUE))</formula>
    </cfRule>
  </conditionalFormatting>
  <conditionalFormatting sqref="CZ38">
    <cfRule type="expression" dxfId="542" priority="608">
      <formula>OR(IF(CZ38&lt;DA38,TRUE),IF(AND(DA38="",CZ38&lt;&gt;""),TRUE))</formula>
    </cfRule>
    <cfRule type="expression" dxfId="541" priority="609">
      <formula>IF(CZ38&gt;=DA38,IF(CZ38="",FALSE,TRUE))</formula>
    </cfRule>
  </conditionalFormatting>
  <conditionalFormatting sqref="CX38">
    <cfRule type="expression" dxfId="540" priority="606">
      <formula>OR(IF(CX38&lt;CY38,TRUE),IF(AND(CY38="",CX38&lt;&gt;""),TRUE))</formula>
    </cfRule>
    <cfRule type="expression" dxfId="539" priority="607">
      <formula>IF(CX38&gt;=CY38,IF(CX38="",FALSE,TRUE))</formula>
    </cfRule>
  </conditionalFormatting>
  <conditionalFormatting sqref="CZ38">
    <cfRule type="expression" dxfId="538" priority="604">
      <formula>OR(IF(CZ38&lt;DA38,TRUE),IF(AND(DA38="",CZ38&lt;&gt;""),TRUE))</formula>
    </cfRule>
    <cfRule type="expression" dxfId="537" priority="605">
      <formula>IF(CZ38&gt;=DA38,IF(CZ38="",FALSE,TRUE))</formula>
    </cfRule>
  </conditionalFormatting>
  <conditionalFormatting sqref="DE38">
    <cfRule type="expression" dxfId="536" priority="602">
      <formula>OR(IF(DE38&lt;DF38,TRUE),IF(AND(DF38="",DE38&lt;&gt;""),TRUE))</formula>
    </cfRule>
    <cfRule type="expression" dxfId="535" priority="603">
      <formula>IF(DE38&gt;=DF38,IF(DE38="",FALSE,TRUE))</formula>
    </cfRule>
  </conditionalFormatting>
  <conditionalFormatting sqref="DG38">
    <cfRule type="expression" dxfId="534" priority="600">
      <formula>OR(IF(DG38&lt;DH38,TRUE),IF(AND(DH38="",DG38&lt;&gt;""),TRUE))</formula>
    </cfRule>
    <cfRule type="expression" dxfId="533" priority="601">
      <formula>IF(DG38&gt;=DH38,IF(DG38="",FALSE,TRUE))</formula>
    </cfRule>
  </conditionalFormatting>
  <conditionalFormatting sqref="DE38">
    <cfRule type="expression" dxfId="532" priority="598">
      <formula>OR(IF(DE38&lt;DF38,TRUE),IF(AND(DF38="",DE38&lt;&gt;""),TRUE))</formula>
    </cfRule>
    <cfRule type="expression" dxfId="531" priority="599">
      <formula>IF(DE38&gt;=DF38,IF(DE38="",FALSE,TRUE))</formula>
    </cfRule>
  </conditionalFormatting>
  <conditionalFormatting sqref="DG38">
    <cfRule type="expression" dxfId="530" priority="596">
      <formula>OR(IF(DG38&lt;DH38,TRUE),IF(AND(DH38="",DG38&lt;&gt;""),TRUE))</formula>
    </cfRule>
    <cfRule type="expression" dxfId="529" priority="597">
      <formula>IF(DG38&gt;=DH38,IF(DG38="",FALSE,TRUE))</formula>
    </cfRule>
  </conditionalFormatting>
  <conditionalFormatting sqref="R40 T40 Y40 AA40 CQ40 CS40 CX40 CZ40 DE40 DG40">
    <cfRule type="expression" dxfId="528" priority="591">
      <formula>OR(IF(R40&lt;S40,TRUE),IF(AND(S40="",R40&lt;&gt;""),TRUE))</formula>
    </cfRule>
    <cfRule type="expression" dxfId="527" priority="592">
      <formula>IF(R40&gt;=S40,IF(R40="",FALSE,TRUE))</formula>
    </cfRule>
  </conditionalFormatting>
  <conditionalFormatting sqref="M40:N40">
    <cfRule type="colorScale" priority="593">
      <colorScale>
        <cfvo type="percent" val="0"/>
        <cfvo type="percent" val="100"/>
        <color rgb="FFFF231B"/>
        <color rgb="FF10FF07"/>
      </colorScale>
    </cfRule>
  </conditionalFormatting>
  <conditionalFormatting sqref="M40">
    <cfRule type="colorScale" priority="594">
      <colorScale>
        <cfvo type="percent" val="0"/>
        <cfvo type="percent" val="100"/>
        <color rgb="FFFF231B"/>
        <color rgb="FF10FF07"/>
      </colorScale>
    </cfRule>
  </conditionalFormatting>
  <conditionalFormatting sqref="N40">
    <cfRule type="colorScale" priority="595">
      <colorScale>
        <cfvo type="percent" val="0"/>
        <cfvo type="percent" val="100"/>
        <color rgb="FFFF231B"/>
        <color rgb="FF10FF07"/>
      </colorScale>
    </cfRule>
  </conditionalFormatting>
  <conditionalFormatting sqref="M35:N37 M39:N39 M41:N42">
    <cfRule type="colorScale" priority="2168">
      <colorScale>
        <cfvo type="percent" val="0"/>
        <cfvo type="percent" val="100"/>
        <color rgb="FFFF231B"/>
        <color rgb="FF10FF07"/>
      </colorScale>
    </cfRule>
  </conditionalFormatting>
  <conditionalFormatting sqref="M34:M37 M39 M41:M42">
    <cfRule type="colorScale" priority="2171">
      <colorScale>
        <cfvo type="percent" val="0"/>
        <cfvo type="percent" val="100"/>
        <color rgb="FFFF231B"/>
        <color rgb="FF10FF07"/>
      </colorScale>
    </cfRule>
  </conditionalFormatting>
  <conditionalFormatting sqref="N34:N37 N39 N41:N42">
    <cfRule type="colorScale" priority="2174">
      <colorScale>
        <cfvo type="percent" val="0"/>
        <cfvo type="percent" val="100"/>
        <color rgb="FFFF231B"/>
        <color rgb="FF10FF07"/>
      </colorScale>
    </cfRule>
  </conditionalFormatting>
  <conditionalFormatting sqref="M46:N52">
    <cfRule type="colorScale" priority="2175">
      <colorScale>
        <cfvo type="percent" val="0"/>
        <cfvo type="percent" val="100"/>
        <color rgb="FFFF231B"/>
        <color rgb="FF10FF07"/>
      </colorScale>
    </cfRule>
  </conditionalFormatting>
  <conditionalFormatting sqref="M45:M52">
    <cfRule type="colorScale" priority="2204">
      <colorScale>
        <cfvo type="percent" val="0"/>
        <cfvo type="percent" val="100"/>
        <color rgb="FFFF231B"/>
        <color rgb="FF10FF07"/>
      </colorScale>
    </cfRule>
  </conditionalFormatting>
  <conditionalFormatting sqref="N45:N52">
    <cfRule type="colorScale" priority="2205">
      <colorScale>
        <cfvo type="percent" val="0"/>
        <cfvo type="percent" val="100"/>
        <color rgb="FFFF231B"/>
        <color rgb="FF10FF07"/>
      </colorScale>
    </cfRule>
  </conditionalFormatting>
  <conditionalFormatting sqref="M66:N74">
    <cfRule type="colorScale" priority="2206">
      <colorScale>
        <cfvo type="percent" val="0"/>
        <cfvo type="percent" val="100"/>
        <color rgb="FFFF231B"/>
        <color rgb="FF10FF07"/>
      </colorScale>
    </cfRule>
  </conditionalFormatting>
  <conditionalFormatting sqref="M65:M74">
    <cfRule type="colorScale" priority="2235">
      <colorScale>
        <cfvo type="percent" val="0"/>
        <cfvo type="percent" val="100"/>
        <color rgb="FFFF231B"/>
        <color rgb="FF10FF07"/>
      </colorScale>
    </cfRule>
  </conditionalFormatting>
  <conditionalFormatting sqref="N65:N74">
    <cfRule type="colorScale" priority="2236">
      <colorScale>
        <cfvo type="percent" val="0"/>
        <cfvo type="percent" val="100"/>
        <color rgb="FFFF231B"/>
        <color rgb="FF10FF07"/>
      </colorScale>
    </cfRule>
  </conditionalFormatting>
  <conditionalFormatting sqref="M78:N84">
    <cfRule type="colorScale" priority="2237">
      <colorScale>
        <cfvo type="percent" val="0"/>
        <cfvo type="percent" val="100"/>
        <color rgb="FFFF231B"/>
        <color rgb="FF10FF07"/>
      </colorScale>
    </cfRule>
  </conditionalFormatting>
  <conditionalFormatting sqref="M77:M84">
    <cfRule type="colorScale" priority="2266">
      <colorScale>
        <cfvo type="percent" val="0"/>
        <cfvo type="percent" val="100"/>
        <color rgb="FFFF231B"/>
        <color rgb="FF10FF07"/>
      </colorScale>
    </cfRule>
  </conditionalFormatting>
  <conditionalFormatting sqref="N77:N84">
    <cfRule type="colorScale" priority="2267">
      <colorScale>
        <cfvo type="percent" val="0"/>
        <cfvo type="percent" val="100"/>
        <color rgb="FFFF231B"/>
        <color rgb="FF10FF07"/>
      </colorScale>
    </cfRule>
  </conditionalFormatting>
  <conditionalFormatting sqref="M88:N89 M91:N94 M96:N96">
    <cfRule type="colorScale" priority="2268">
      <colorScale>
        <cfvo type="percent" val="0"/>
        <cfvo type="percent" val="100"/>
        <color rgb="FFFF231B"/>
        <color rgb="FF10FF07"/>
      </colorScale>
    </cfRule>
  </conditionalFormatting>
  <conditionalFormatting sqref="M87:M89 M91:M94 M96">
    <cfRule type="colorScale" priority="2297">
      <colorScale>
        <cfvo type="percent" val="0"/>
        <cfvo type="percent" val="100"/>
        <color rgb="FFFF231B"/>
        <color rgb="FF10FF07"/>
      </colorScale>
    </cfRule>
  </conditionalFormatting>
  <conditionalFormatting sqref="N87:N89 N91:N94 N96">
    <cfRule type="colorScale" priority="2298">
      <colorScale>
        <cfvo type="percent" val="0"/>
        <cfvo type="percent" val="100"/>
        <color rgb="FFFF231B"/>
        <color rgb="FF10FF07"/>
      </colorScale>
    </cfRule>
  </conditionalFormatting>
  <conditionalFormatting sqref="M56:N62">
    <cfRule type="colorScale" priority="2299">
      <colorScale>
        <cfvo type="percent" val="0"/>
        <cfvo type="percent" val="100"/>
        <color rgb="FFFF231B"/>
        <color rgb="FF10FF07"/>
      </colorScale>
    </cfRule>
  </conditionalFormatting>
  <conditionalFormatting sqref="M55:M62">
    <cfRule type="colorScale" priority="2328">
      <colorScale>
        <cfvo type="percent" val="0"/>
        <cfvo type="percent" val="100"/>
        <color rgb="FFFF231B"/>
        <color rgb="FF10FF07"/>
      </colorScale>
    </cfRule>
  </conditionalFormatting>
  <conditionalFormatting sqref="N55:N62">
    <cfRule type="colorScale" priority="2329">
      <colorScale>
        <cfvo type="percent" val="0"/>
        <cfvo type="percent" val="100"/>
        <color rgb="FFFF231B"/>
        <color rgb="FF10FF07"/>
      </colorScale>
    </cfRule>
  </conditionalFormatting>
  <conditionalFormatting sqref="R90 T90 AT90 AV90 Y90 AA90 AF90 AH90 BA90 BC90 BH90 BJ90 BO90 BQ90 BV90 BX90 CC90 CE90 CJ90 CL90 CQ90 CS90 CX90 CZ90 DE90 DG90">
    <cfRule type="expression" dxfId="526" priority="565">
      <formula>OR(IF(R90&lt;S90,TRUE),IF(AND(S90="",R90&lt;&gt;""),TRUE))</formula>
    </cfRule>
    <cfRule type="expression" dxfId="525" priority="565">
      <formula>IF(R90&gt;=S90,IF(R90="",FALSE,TRUE))</formula>
    </cfRule>
  </conditionalFormatting>
  <conditionalFormatting sqref="M90:N90">
    <cfRule type="colorScale" priority="564">
      <colorScale>
        <cfvo type="percent" val="0"/>
        <cfvo type="percent" val="100"/>
        <color rgb="FFFF231B"/>
        <color rgb="FF10FF07"/>
      </colorScale>
    </cfRule>
  </conditionalFormatting>
  <conditionalFormatting sqref="M90">
    <cfRule type="colorScale" priority="2330">
      <colorScale>
        <cfvo type="percent" val="0"/>
        <cfvo type="percent" val="100"/>
        <color rgb="FFFF231B"/>
        <color rgb="FF10FF07"/>
      </colorScale>
    </cfRule>
  </conditionalFormatting>
  <conditionalFormatting sqref="N90">
    <cfRule type="colorScale" priority="566">
      <colorScale>
        <cfvo type="percent" val="0"/>
        <cfvo type="percent" val="100"/>
        <color rgb="FFFF231B"/>
        <color rgb="FF10FF07"/>
      </colorScale>
    </cfRule>
  </conditionalFormatting>
  <conditionalFormatting sqref="DG95 DE95 CZ95 CX95 CS95 CQ95 CL95 CJ95 CE95 CC95 BQ95 BO95 BJ95 BH95 BC95 BA95 AO95 AM95 AH95 AF95 AA95 Y95 AV95 AT95 T95 R95">
    <cfRule type="expression" dxfId="524" priority="557">
      <formula>OR(IF(R95&lt;S95,TRUE),IF(AND(S95="",R95&lt;&gt;""),TRUE))</formula>
    </cfRule>
    <cfRule type="expression" dxfId="523" priority="558">
      <formula>IF(R95&gt;=S95,IF(R95="",FALSE,TRUE))</formula>
    </cfRule>
  </conditionalFormatting>
  <conditionalFormatting sqref="M95:N95">
    <cfRule type="colorScale" priority="559">
      <colorScale>
        <cfvo type="percent" val="0"/>
        <cfvo type="percent" val="100"/>
        <color rgb="FFFF231B"/>
        <color rgb="FF10FF07"/>
      </colorScale>
    </cfRule>
  </conditionalFormatting>
  <conditionalFormatting sqref="M95">
    <cfRule type="colorScale" priority="560">
      <colorScale>
        <cfvo type="percent" val="0"/>
        <cfvo type="percent" val="100"/>
        <color rgb="FFFF231B"/>
        <color rgb="FF10FF07"/>
      </colorScale>
    </cfRule>
  </conditionalFormatting>
  <conditionalFormatting sqref="N95">
    <cfRule type="colorScale" priority="561">
      <colorScale>
        <cfvo type="percent" val="0"/>
        <cfvo type="percent" val="100"/>
        <color rgb="FFFF231B"/>
        <color rgb="FF10FF07"/>
      </colorScale>
    </cfRule>
  </conditionalFormatting>
  <conditionalFormatting sqref="DL39 DN39 DN41:DN42 DL41:DL42 DL45:DL52 DN45:DN52 DL65:DL74 DN65:DN74 DL77:DL84 DN77:DN84 DL87:DL89 DN87:DN89 DL55:DL62 DN55:DN62 DN91:DN94 DL91:DL94 DL96 DN96">
    <cfRule type="expression" dxfId="522" priority="554">
      <formula>OR(IF(DL39&lt;DM39,TRUE),IF(AND(DM39="",DL39&lt;&gt;""),TRUE))</formula>
    </cfRule>
    <cfRule type="expression" dxfId="521" priority="555">
      <formula>IF(DL39&gt;=DM39,IF(DL39="",FALSE,TRUE))</formula>
    </cfRule>
  </conditionalFormatting>
  <conditionalFormatting sqref="DL5:DL15 DN5:DN15">
    <cfRule type="expression" dxfId="520" priority="552">
      <formula>OR(IF(DL5&lt;DM5,TRUE),IF(AND(DM5="",DL5&lt;&gt;""),TRUE))</formula>
    </cfRule>
    <cfRule type="expression" dxfId="519" priority="553">
      <formula>IF(DL5&gt;=DM5,IF(DL5="",FALSE,TRUE))</formula>
    </cfRule>
  </conditionalFormatting>
  <conditionalFormatting sqref="DL18:DL19 DL22 DL24:DL29">
    <cfRule type="expression" dxfId="518" priority="550">
      <formula>OR(IF(DL18&lt;DM18,TRUE),IF(AND(DM18="",DL18&lt;&gt;""),TRUE))</formula>
    </cfRule>
    <cfRule type="expression" dxfId="517" priority="551">
      <formula>IF(DL18&gt;=DM18,IF(DL18="",FALSE,TRUE))</formula>
    </cfRule>
  </conditionalFormatting>
  <conditionalFormatting sqref="DN18:DN19 DN22 DN24:DN29">
    <cfRule type="expression" dxfId="516" priority="548">
      <formula>OR(IF(DN18&lt;DO18,TRUE),IF(AND(DO18="",DN18&lt;&gt;""),TRUE))</formula>
    </cfRule>
    <cfRule type="expression" dxfId="515" priority="549">
      <formula>IF(DN18&gt;=DO18,IF(DN18="",FALSE,TRUE))</formula>
    </cfRule>
  </conditionalFormatting>
  <conditionalFormatting sqref="DL34:DL37">
    <cfRule type="expression" dxfId="514" priority="546">
      <formula>OR(IF(DL34&lt;DM34,TRUE),IF(AND(DM34="",DL34&lt;&gt;""),TRUE))</formula>
    </cfRule>
    <cfRule type="expression" dxfId="513" priority="547">
      <formula>IF(DL34&gt;=DM34,IF(DL34="",FALSE,TRUE))</formula>
    </cfRule>
  </conditionalFormatting>
  <conditionalFormatting sqref="DN34:DN37">
    <cfRule type="expression" dxfId="512" priority="544">
      <formula>OR(IF(DN34&lt;DO34,TRUE),IF(AND(DO34="",DN34&lt;&gt;""),TRUE))</formula>
    </cfRule>
    <cfRule type="expression" dxfId="511" priority="545">
      <formula>IF(DN34&gt;=DO34,IF(DN34="",FALSE,TRUE))</formula>
    </cfRule>
  </conditionalFormatting>
  <conditionalFormatting sqref="DL18:DL19 DL22 DL24:DL29">
    <cfRule type="expression" dxfId="510" priority="542">
      <formula>OR(IF(DL18&lt;DM18,TRUE),IF(AND(DM18="",DL18&lt;&gt;""),TRUE))</formula>
    </cfRule>
    <cfRule type="expression" dxfId="509" priority="543">
      <formula>IF(DL18&gt;=DM18,IF(DL18="",FALSE,TRUE))</formula>
    </cfRule>
  </conditionalFormatting>
  <conditionalFormatting sqref="DN18:DN19 DN22 DN24:DN29">
    <cfRule type="expression" dxfId="508" priority="540">
      <formula>OR(IF(DN18&lt;DO18,TRUE),IF(AND(DO18="",DN18&lt;&gt;""),TRUE))</formula>
    </cfRule>
    <cfRule type="expression" dxfId="507" priority="541">
      <formula>IF(DN18&gt;=DO18,IF(DN18="",FALSE,TRUE))</formula>
    </cfRule>
  </conditionalFormatting>
  <conditionalFormatting sqref="DL34:DL37">
    <cfRule type="expression" dxfId="506" priority="538">
      <formula>OR(IF(DL34&lt;DM34,TRUE),IF(AND(DM34="",DL34&lt;&gt;""),TRUE))</formula>
    </cfRule>
    <cfRule type="expression" dxfId="505" priority="539">
      <formula>IF(DL34&gt;=DM34,IF(DL34="",FALSE,TRUE))</formula>
    </cfRule>
  </conditionalFormatting>
  <conditionalFormatting sqref="DN34:DN37">
    <cfRule type="expression" dxfId="504" priority="536">
      <formula>OR(IF(DN34&lt;DO34,TRUE),IF(AND(DO34="",DN34&lt;&gt;""),TRUE))</formula>
    </cfRule>
    <cfRule type="expression" dxfId="503" priority="537">
      <formula>IF(DN34&gt;=DO34,IF(DN34="",FALSE,TRUE))</formula>
    </cfRule>
  </conditionalFormatting>
  <conditionalFormatting sqref="DL31">
    <cfRule type="expression" dxfId="502" priority="534">
      <formula>OR(IF(DL31&lt;DM31,TRUE),IF(AND(DM31="",DL31&lt;&gt;""),TRUE))</formula>
    </cfRule>
    <cfRule type="expression" dxfId="501" priority="535">
      <formula>IF(DL31&gt;=DM31,IF(DL31="",FALSE,TRUE))</formula>
    </cfRule>
  </conditionalFormatting>
  <conditionalFormatting sqref="DN31">
    <cfRule type="expression" dxfId="500" priority="532">
      <formula>OR(IF(DN31&lt;DO31,TRUE),IF(AND(DO31="",DN31&lt;&gt;""),TRUE))</formula>
    </cfRule>
    <cfRule type="expression" dxfId="499" priority="533">
      <formula>IF(DN31&gt;=DO31,IF(DN31="",FALSE,TRUE))</formula>
    </cfRule>
  </conditionalFormatting>
  <conditionalFormatting sqref="DL31">
    <cfRule type="expression" dxfId="498" priority="530">
      <formula>OR(IF(DL31&lt;DM31,TRUE),IF(AND(DM31="",DL31&lt;&gt;""),TRUE))</formula>
    </cfRule>
    <cfRule type="expression" dxfId="497" priority="531">
      <formula>IF(DL31&gt;=DM31,IF(DL31="",FALSE,TRUE))</formula>
    </cfRule>
  </conditionalFormatting>
  <conditionalFormatting sqref="DN31">
    <cfRule type="expression" dxfId="496" priority="528">
      <formula>OR(IF(DN31&lt;DO31,TRUE),IF(AND(DO31="",DN31&lt;&gt;""),TRUE))</formula>
    </cfRule>
    <cfRule type="expression" dxfId="495" priority="529">
      <formula>IF(DN31&gt;=DO31,IF(DN31="",FALSE,TRUE))</formula>
    </cfRule>
  </conditionalFormatting>
  <conditionalFormatting sqref="DL21">
    <cfRule type="expression" dxfId="494" priority="526">
      <formula>OR(IF(DL21&lt;DM21,TRUE),IF(AND(DM21="",DL21&lt;&gt;""),TRUE))</formula>
    </cfRule>
    <cfRule type="expression" dxfId="493" priority="527">
      <formula>IF(DL21&gt;=DM21,IF(DL21="",FALSE,TRUE))</formula>
    </cfRule>
  </conditionalFormatting>
  <conditionalFormatting sqref="DN21">
    <cfRule type="expression" dxfId="492" priority="524">
      <formula>OR(IF(DN21&lt;DO21,TRUE),IF(AND(DO21="",DN21&lt;&gt;""),TRUE))</formula>
    </cfRule>
    <cfRule type="expression" dxfId="491" priority="525">
      <formula>IF(DN21&gt;=DO21,IF(DN21="",FALSE,TRUE))</formula>
    </cfRule>
  </conditionalFormatting>
  <conditionalFormatting sqref="DL21">
    <cfRule type="expression" dxfId="490" priority="522">
      <formula>OR(IF(DL21&lt;DM21,TRUE),IF(AND(DM21="",DL21&lt;&gt;""),TRUE))</formula>
    </cfRule>
    <cfRule type="expression" dxfId="489" priority="523">
      <formula>IF(DL21&gt;=DM21,IF(DL21="",FALSE,TRUE))</formula>
    </cfRule>
  </conditionalFormatting>
  <conditionalFormatting sqref="DN21">
    <cfRule type="expression" dxfId="488" priority="520">
      <formula>OR(IF(DN21&lt;DO21,TRUE),IF(AND(DO21="",DN21&lt;&gt;""),TRUE))</formula>
    </cfRule>
    <cfRule type="expression" dxfId="487" priority="521">
      <formula>IF(DN21&gt;=DO21,IF(DN21="",FALSE,TRUE))</formula>
    </cfRule>
  </conditionalFormatting>
  <conditionalFormatting sqref="DL20">
    <cfRule type="expression" dxfId="486" priority="518">
      <formula>OR(IF(DL20&lt;DM20,TRUE),IF(AND(DM20="",DL20&lt;&gt;""),TRUE))</formula>
    </cfRule>
    <cfRule type="expression" dxfId="485" priority="519">
      <formula>IF(DL20&gt;=DM20,IF(DL20="",FALSE,TRUE))</formula>
    </cfRule>
  </conditionalFormatting>
  <conditionalFormatting sqref="DN20">
    <cfRule type="expression" dxfId="484" priority="516">
      <formula>OR(IF(DN20&lt;DO20,TRUE),IF(AND(DO20="",DN20&lt;&gt;""),TRUE))</formula>
    </cfRule>
    <cfRule type="expression" dxfId="483" priority="517">
      <formula>IF(DN20&gt;=DO20,IF(DN20="",FALSE,TRUE))</formula>
    </cfRule>
  </conditionalFormatting>
  <conditionalFormatting sqref="DL20">
    <cfRule type="expression" dxfId="482" priority="514">
      <formula>OR(IF(DL20&lt;DM20,TRUE),IF(AND(DM20="",DL20&lt;&gt;""),TRUE))</formula>
    </cfRule>
    <cfRule type="expression" dxfId="481" priority="515">
      <formula>IF(DL20&gt;=DM20,IF(DL20="",FALSE,TRUE))</formula>
    </cfRule>
  </conditionalFormatting>
  <conditionalFormatting sqref="DN20">
    <cfRule type="expression" dxfId="480" priority="512">
      <formula>OR(IF(DN20&lt;DO20,TRUE),IF(AND(DO20="",DN20&lt;&gt;""),TRUE))</formula>
    </cfRule>
    <cfRule type="expression" dxfId="479" priority="513">
      <formula>IF(DN20&gt;=DO20,IF(DN20="",FALSE,TRUE))</formula>
    </cfRule>
  </conditionalFormatting>
  <conditionalFormatting sqref="DL23">
    <cfRule type="expression" dxfId="478" priority="510">
      <formula>OR(IF(DL23&lt;DM23,TRUE),IF(AND(DM23="",DL23&lt;&gt;""),TRUE))</formula>
    </cfRule>
    <cfRule type="expression" dxfId="477" priority="511">
      <formula>IF(DL23&gt;=DM23,IF(DL23="",FALSE,TRUE))</formula>
    </cfRule>
  </conditionalFormatting>
  <conditionalFormatting sqref="DN23">
    <cfRule type="expression" dxfId="476" priority="508">
      <formula>OR(IF(DN23&lt;DO23,TRUE),IF(AND(DO23="",DN23&lt;&gt;""),TRUE))</formula>
    </cfRule>
    <cfRule type="expression" dxfId="475" priority="509">
      <formula>IF(DN23&gt;=DO23,IF(DN23="",FALSE,TRUE))</formula>
    </cfRule>
  </conditionalFormatting>
  <conditionalFormatting sqref="DL23">
    <cfRule type="expression" dxfId="474" priority="506">
      <formula>OR(IF(DL23&lt;DM23,TRUE),IF(AND(DM23="",DL23&lt;&gt;""),TRUE))</formula>
    </cfRule>
    <cfRule type="expression" dxfId="473" priority="507">
      <formula>IF(DL23&gt;=DM23,IF(DL23="",FALSE,TRUE))</formula>
    </cfRule>
  </conditionalFormatting>
  <conditionalFormatting sqref="DN23">
    <cfRule type="expression" dxfId="472" priority="504">
      <formula>OR(IF(DN23&lt;DO23,TRUE),IF(AND(DO23="",DN23&lt;&gt;""),TRUE))</formula>
    </cfRule>
    <cfRule type="expression" dxfId="471" priority="505">
      <formula>IF(DN23&gt;=DO23,IF(DN23="",FALSE,TRUE))</formula>
    </cfRule>
  </conditionalFormatting>
  <conditionalFormatting sqref="DL30">
    <cfRule type="expression" dxfId="470" priority="502">
      <formula>OR(IF(DL30&lt;DM30,TRUE),IF(AND(DM30="",DL30&lt;&gt;""),TRUE))</formula>
    </cfRule>
    <cfRule type="expression" dxfId="469" priority="503">
      <formula>IF(DL30&gt;=DM30,IF(DL30="",FALSE,TRUE))</formula>
    </cfRule>
  </conditionalFormatting>
  <conditionalFormatting sqref="DN30">
    <cfRule type="expression" dxfId="468" priority="500">
      <formula>OR(IF(DN30&lt;DO30,TRUE),IF(AND(DO30="",DN30&lt;&gt;""),TRUE))</formula>
    </cfRule>
    <cfRule type="expression" dxfId="467" priority="501">
      <formula>IF(DN30&gt;=DO30,IF(DN30="",FALSE,TRUE))</formula>
    </cfRule>
  </conditionalFormatting>
  <conditionalFormatting sqref="DL30">
    <cfRule type="expression" dxfId="466" priority="498">
      <formula>OR(IF(DL30&lt;DM30,TRUE),IF(AND(DM30="",DL30&lt;&gt;""),TRUE))</formula>
    </cfRule>
    <cfRule type="expression" dxfId="465" priority="499">
      <formula>IF(DL30&gt;=DM30,IF(DL30="",FALSE,TRUE))</formula>
    </cfRule>
  </conditionalFormatting>
  <conditionalFormatting sqref="DN30">
    <cfRule type="expression" dxfId="464" priority="496">
      <formula>OR(IF(DN30&lt;DO30,TRUE),IF(AND(DO30="",DN30&lt;&gt;""),TRUE))</formula>
    </cfRule>
    <cfRule type="expression" dxfId="463" priority="497">
      <formula>IF(DN30&gt;=DO30,IF(DN30="",FALSE,TRUE))</formula>
    </cfRule>
  </conditionalFormatting>
  <conditionalFormatting sqref="DL38">
    <cfRule type="expression" dxfId="462" priority="494">
      <formula>OR(IF(DL38&lt;DM38,TRUE),IF(AND(DM38="",DL38&lt;&gt;""),TRUE))</formula>
    </cfRule>
    <cfRule type="expression" dxfId="461" priority="495">
      <formula>IF(DL38&gt;=DM38,IF(DL38="",FALSE,TRUE))</formula>
    </cfRule>
  </conditionalFormatting>
  <conditionalFormatting sqref="DN38">
    <cfRule type="expression" dxfId="460" priority="492">
      <formula>OR(IF(DN38&lt;DO38,TRUE),IF(AND(DO38="",DN38&lt;&gt;""),TRUE))</formula>
    </cfRule>
    <cfRule type="expression" dxfId="459" priority="493">
      <formula>IF(DN38&gt;=DO38,IF(DN38="",FALSE,TRUE))</formula>
    </cfRule>
  </conditionalFormatting>
  <conditionalFormatting sqref="DL38">
    <cfRule type="expression" dxfId="458" priority="490">
      <formula>OR(IF(DL38&lt;DM38,TRUE),IF(AND(DM38="",DL38&lt;&gt;""),TRUE))</formula>
    </cfRule>
    <cfRule type="expression" dxfId="457" priority="491">
      <formula>IF(DL38&gt;=DM38,IF(DL38="",FALSE,TRUE))</formula>
    </cfRule>
  </conditionalFormatting>
  <conditionalFormatting sqref="DN38">
    <cfRule type="expression" dxfId="456" priority="488">
      <formula>OR(IF(DN38&lt;DO38,TRUE),IF(AND(DO38="",DN38&lt;&gt;""),TRUE))</formula>
    </cfRule>
    <cfRule type="expression" dxfId="455" priority="489">
      <formula>IF(DN38&gt;=DO38,IF(DN38="",FALSE,TRUE))</formula>
    </cfRule>
  </conditionalFormatting>
  <conditionalFormatting sqref="DL40 DN40">
    <cfRule type="expression" dxfId="454" priority="486">
      <formula>OR(IF(DL40&lt;DM40,TRUE),IF(AND(DM40="",DL40&lt;&gt;""),TRUE))</formula>
    </cfRule>
    <cfRule type="expression" dxfId="453" priority="487">
      <formula>IF(DL40&gt;=DM40,IF(DL40="",FALSE,TRUE))</formula>
    </cfRule>
  </conditionalFormatting>
  <conditionalFormatting sqref="DL90 DN90">
    <cfRule type="expression" dxfId="452" priority="485">
      <formula>OR(IF(DL90&lt;DM90,TRUE),IF(AND(DM90="",DL90&lt;&gt;""),TRUE))</formula>
    </cfRule>
  </conditionalFormatting>
  <conditionalFormatting sqref="DN95 DL95">
    <cfRule type="expression" dxfId="451" priority="483">
      <formula>OR(IF(DL95&lt;DM95,TRUE),IF(AND(DM95="",DL95&lt;&gt;""),TRUE))</formula>
    </cfRule>
    <cfRule type="expression" dxfId="450" priority="484">
      <formula>IF(DL95&gt;=DM95,IF(DL95="",FALSE,TRUE))</formula>
    </cfRule>
  </conditionalFormatting>
  <conditionalFormatting sqref="DS39 DU39 DU41:DU42 DS41:DS42 DS45:DS52 DU45:DU52 DS65:DS74 DU65:DU74 DS77:DS84 DU77:DU84 DS87:DS89 DU87:DU89 DS55:DS62 DU55:DU62 DU91:DU94 DS91:DS94 DS96 DU96">
    <cfRule type="expression" dxfId="449" priority="480">
      <formula>OR(IF(DS39&lt;DT39,TRUE),IF(AND(DT39="",DS39&lt;&gt;""),TRUE))</formula>
    </cfRule>
    <cfRule type="expression" dxfId="448" priority="481">
      <formula>IF(DS39&gt;=DT39,IF(DS39="",FALSE,TRUE))</formula>
    </cfRule>
  </conditionalFormatting>
  <conditionalFormatting sqref="DS5:DS15 DU5:DU15">
    <cfRule type="expression" dxfId="447" priority="478">
      <formula>OR(IF(DS5&lt;DT5,TRUE),IF(AND(DT5="",DS5&lt;&gt;""),TRUE))</formula>
    </cfRule>
    <cfRule type="expression" dxfId="446" priority="479">
      <formula>IF(DS5&gt;=DT5,IF(DS5="",FALSE,TRUE))</formula>
    </cfRule>
  </conditionalFormatting>
  <conditionalFormatting sqref="DS18:DS19 DS22 DS24:DS29">
    <cfRule type="expression" dxfId="445" priority="476">
      <formula>OR(IF(DS18&lt;DT18,TRUE),IF(AND(DT18="",DS18&lt;&gt;""),TRUE))</formula>
    </cfRule>
    <cfRule type="expression" dxfId="444" priority="477">
      <formula>IF(DS18&gt;=DT18,IF(DS18="",FALSE,TRUE))</formula>
    </cfRule>
  </conditionalFormatting>
  <conditionalFormatting sqref="DU18:DU19 DU22 DU24:DU29">
    <cfRule type="expression" dxfId="443" priority="474">
      <formula>OR(IF(DU18&lt;DV18,TRUE),IF(AND(DV18="",DU18&lt;&gt;""),TRUE))</formula>
    </cfRule>
    <cfRule type="expression" dxfId="442" priority="475">
      <formula>IF(DU18&gt;=DV18,IF(DU18="",FALSE,TRUE))</formula>
    </cfRule>
  </conditionalFormatting>
  <conditionalFormatting sqref="DS34:DS37">
    <cfRule type="expression" dxfId="441" priority="472">
      <formula>OR(IF(DS34&lt;DT34,TRUE),IF(AND(DT34="",DS34&lt;&gt;""),TRUE))</formula>
    </cfRule>
    <cfRule type="expression" dxfId="440" priority="473">
      <formula>IF(DS34&gt;=DT34,IF(DS34="",FALSE,TRUE))</formula>
    </cfRule>
  </conditionalFormatting>
  <conditionalFormatting sqref="DU34:DU37">
    <cfRule type="expression" dxfId="439" priority="470">
      <formula>OR(IF(DU34&lt;DV34,TRUE),IF(AND(DV34="",DU34&lt;&gt;""),TRUE))</formula>
    </cfRule>
    <cfRule type="expression" dxfId="438" priority="471">
      <formula>IF(DU34&gt;=DV34,IF(DU34="",FALSE,TRUE))</formula>
    </cfRule>
  </conditionalFormatting>
  <conditionalFormatting sqref="DS18:DS19 DS22 DS24:DS29">
    <cfRule type="expression" dxfId="437" priority="468">
      <formula>OR(IF(DS18&lt;DT18,TRUE),IF(AND(DT18="",DS18&lt;&gt;""),TRUE))</formula>
    </cfRule>
    <cfRule type="expression" dxfId="436" priority="469">
      <formula>IF(DS18&gt;=DT18,IF(DS18="",FALSE,TRUE))</formula>
    </cfRule>
  </conditionalFormatting>
  <conditionalFormatting sqref="DU18:DU19 DU22 DU24:DU29">
    <cfRule type="expression" dxfId="435" priority="466">
      <formula>OR(IF(DU18&lt;DV18,TRUE),IF(AND(DV18="",DU18&lt;&gt;""),TRUE))</formula>
    </cfRule>
    <cfRule type="expression" dxfId="434" priority="467">
      <formula>IF(DU18&gt;=DV18,IF(DU18="",FALSE,TRUE))</formula>
    </cfRule>
  </conditionalFormatting>
  <conditionalFormatting sqref="DS34:DS37">
    <cfRule type="expression" dxfId="433" priority="464">
      <formula>OR(IF(DS34&lt;DT34,TRUE),IF(AND(DT34="",DS34&lt;&gt;""),TRUE))</formula>
    </cfRule>
    <cfRule type="expression" dxfId="432" priority="465">
      <formula>IF(DS34&gt;=DT34,IF(DS34="",FALSE,TRUE))</formula>
    </cfRule>
  </conditionalFormatting>
  <conditionalFormatting sqref="DU34:DU37">
    <cfRule type="expression" dxfId="431" priority="462">
      <formula>OR(IF(DU34&lt;DV34,TRUE),IF(AND(DV34="",DU34&lt;&gt;""),TRUE))</formula>
    </cfRule>
    <cfRule type="expression" dxfId="430" priority="463">
      <formula>IF(DU34&gt;=DV34,IF(DU34="",FALSE,TRUE))</formula>
    </cfRule>
  </conditionalFormatting>
  <conditionalFormatting sqref="DS31">
    <cfRule type="expression" dxfId="429" priority="460">
      <formula>OR(IF(DS31&lt;DT31,TRUE),IF(AND(DT31="",DS31&lt;&gt;""),TRUE))</formula>
    </cfRule>
    <cfRule type="expression" dxfId="428" priority="461">
      <formula>IF(DS31&gt;=DT31,IF(DS31="",FALSE,TRUE))</formula>
    </cfRule>
  </conditionalFormatting>
  <conditionalFormatting sqref="DU31">
    <cfRule type="expression" dxfId="427" priority="458">
      <formula>OR(IF(DU31&lt;DV31,TRUE),IF(AND(DV31="",DU31&lt;&gt;""),TRUE))</formula>
    </cfRule>
    <cfRule type="expression" dxfId="426" priority="459">
      <formula>IF(DU31&gt;=DV31,IF(DU31="",FALSE,TRUE))</formula>
    </cfRule>
  </conditionalFormatting>
  <conditionalFormatting sqref="DS31">
    <cfRule type="expression" dxfId="425" priority="456">
      <formula>OR(IF(DS31&lt;DT31,TRUE),IF(AND(DT31="",DS31&lt;&gt;""),TRUE))</formula>
    </cfRule>
    <cfRule type="expression" dxfId="424" priority="457">
      <formula>IF(DS31&gt;=DT31,IF(DS31="",FALSE,TRUE))</formula>
    </cfRule>
  </conditionalFormatting>
  <conditionalFormatting sqref="DU31">
    <cfRule type="expression" dxfId="423" priority="454">
      <formula>OR(IF(DU31&lt;DV31,TRUE),IF(AND(DV31="",DU31&lt;&gt;""),TRUE))</formula>
    </cfRule>
    <cfRule type="expression" dxfId="422" priority="455">
      <formula>IF(DU31&gt;=DV31,IF(DU31="",FALSE,TRUE))</formula>
    </cfRule>
  </conditionalFormatting>
  <conditionalFormatting sqref="DS21">
    <cfRule type="expression" dxfId="421" priority="452">
      <formula>OR(IF(DS21&lt;DT21,TRUE),IF(AND(DT21="",DS21&lt;&gt;""),TRUE))</formula>
    </cfRule>
    <cfRule type="expression" dxfId="420" priority="453">
      <formula>IF(DS21&gt;=DT21,IF(DS21="",FALSE,TRUE))</formula>
    </cfRule>
  </conditionalFormatting>
  <conditionalFormatting sqref="DU21">
    <cfRule type="expression" dxfId="419" priority="450">
      <formula>OR(IF(DU21&lt;DV21,TRUE),IF(AND(DV21="",DU21&lt;&gt;""),TRUE))</formula>
    </cfRule>
    <cfRule type="expression" dxfId="418" priority="451">
      <formula>IF(DU21&gt;=DV21,IF(DU21="",FALSE,TRUE))</formula>
    </cfRule>
  </conditionalFormatting>
  <conditionalFormatting sqref="DS21">
    <cfRule type="expression" dxfId="417" priority="448">
      <formula>OR(IF(DS21&lt;DT21,TRUE),IF(AND(DT21="",DS21&lt;&gt;""),TRUE))</formula>
    </cfRule>
    <cfRule type="expression" dxfId="416" priority="449">
      <formula>IF(DS21&gt;=DT21,IF(DS21="",FALSE,TRUE))</formula>
    </cfRule>
  </conditionalFormatting>
  <conditionalFormatting sqref="DU21">
    <cfRule type="expression" dxfId="415" priority="446">
      <formula>OR(IF(DU21&lt;DV21,TRUE),IF(AND(DV21="",DU21&lt;&gt;""),TRUE))</formula>
    </cfRule>
    <cfRule type="expression" dxfId="414" priority="447">
      <formula>IF(DU21&gt;=DV21,IF(DU21="",FALSE,TRUE))</formula>
    </cfRule>
  </conditionalFormatting>
  <conditionalFormatting sqref="DS20">
    <cfRule type="expression" dxfId="413" priority="444">
      <formula>OR(IF(DS20&lt;DT20,TRUE),IF(AND(DT20="",DS20&lt;&gt;""),TRUE))</formula>
    </cfRule>
    <cfRule type="expression" dxfId="412" priority="445">
      <formula>IF(DS20&gt;=DT20,IF(DS20="",FALSE,TRUE))</formula>
    </cfRule>
  </conditionalFormatting>
  <conditionalFormatting sqref="DU20">
    <cfRule type="expression" dxfId="411" priority="442">
      <formula>OR(IF(DU20&lt;DV20,TRUE),IF(AND(DV20="",DU20&lt;&gt;""),TRUE))</formula>
    </cfRule>
    <cfRule type="expression" dxfId="410" priority="443">
      <formula>IF(DU20&gt;=DV20,IF(DU20="",FALSE,TRUE))</formula>
    </cfRule>
  </conditionalFormatting>
  <conditionalFormatting sqref="DS20">
    <cfRule type="expression" dxfId="409" priority="440">
      <formula>OR(IF(DS20&lt;DT20,TRUE),IF(AND(DT20="",DS20&lt;&gt;""),TRUE))</formula>
    </cfRule>
    <cfRule type="expression" dxfId="408" priority="441">
      <formula>IF(DS20&gt;=DT20,IF(DS20="",FALSE,TRUE))</formula>
    </cfRule>
  </conditionalFormatting>
  <conditionalFormatting sqref="DU20">
    <cfRule type="expression" dxfId="407" priority="438">
      <formula>OR(IF(DU20&lt;DV20,TRUE),IF(AND(DV20="",DU20&lt;&gt;""),TRUE))</formula>
    </cfRule>
    <cfRule type="expression" dxfId="406" priority="439">
      <formula>IF(DU20&gt;=DV20,IF(DU20="",FALSE,TRUE))</formula>
    </cfRule>
  </conditionalFormatting>
  <conditionalFormatting sqref="DS23">
    <cfRule type="expression" dxfId="405" priority="436">
      <formula>OR(IF(DS23&lt;DT23,TRUE),IF(AND(DT23="",DS23&lt;&gt;""),TRUE))</formula>
    </cfRule>
    <cfRule type="expression" dxfId="404" priority="437">
      <formula>IF(DS23&gt;=DT23,IF(DS23="",FALSE,TRUE))</formula>
    </cfRule>
  </conditionalFormatting>
  <conditionalFormatting sqref="DU23">
    <cfRule type="expression" dxfId="403" priority="434">
      <formula>OR(IF(DU23&lt;DV23,TRUE),IF(AND(DV23="",DU23&lt;&gt;""),TRUE))</formula>
    </cfRule>
    <cfRule type="expression" dxfId="402" priority="435">
      <formula>IF(DU23&gt;=DV23,IF(DU23="",FALSE,TRUE))</formula>
    </cfRule>
  </conditionalFormatting>
  <conditionalFormatting sqref="DS23">
    <cfRule type="expression" dxfId="401" priority="432">
      <formula>OR(IF(DS23&lt;DT23,TRUE),IF(AND(DT23="",DS23&lt;&gt;""),TRUE))</formula>
    </cfRule>
    <cfRule type="expression" dxfId="400" priority="433">
      <formula>IF(DS23&gt;=DT23,IF(DS23="",FALSE,TRUE))</formula>
    </cfRule>
  </conditionalFormatting>
  <conditionalFormatting sqref="DU23">
    <cfRule type="expression" dxfId="399" priority="430">
      <formula>OR(IF(DU23&lt;DV23,TRUE),IF(AND(DV23="",DU23&lt;&gt;""),TRUE))</formula>
    </cfRule>
    <cfRule type="expression" dxfId="398" priority="431">
      <formula>IF(DU23&gt;=DV23,IF(DU23="",FALSE,TRUE))</formula>
    </cfRule>
  </conditionalFormatting>
  <conditionalFormatting sqref="DS30">
    <cfRule type="expression" dxfId="397" priority="428">
      <formula>OR(IF(DS30&lt;DT30,TRUE),IF(AND(DT30="",DS30&lt;&gt;""),TRUE))</formula>
    </cfRule>
    <cfRule type="expression" dxfId="396" priority="429">
      <formula>IF(DS30&gt;=DT30,IF(DS30="",FALSE,TRUE))</formula>
    </cfRule>
  </conditionalFormatting>
  <conditionalFormatting sqref="DU30">
    <cfRule type="expression" dxfId="395" priority="426">
      <formula>OR(IF(DU30&lt;DV30,TRUE),IF(AND(DV30="",DU30&lt;&gt;""),TRUE))</formula>
    </cfRule>
    <cfRule type="expression" dxfId="394" priority="427">
      <formula>IF(DU30&gt;=DV30,IF(DU30="",FALSE,TRUE))</formula>
    </cfRule>
  </conditionalFormatting>
  <conditionalFormatting sqref="DS30">
    <cfRule type="expression" dxfId="393" priority="424">
      <formula>OR(IF(DS30&lt;DT30,TRUE),IF(AND(DT30="",DS30&lt;&gt;""),TRUE))</formula>
    </cfRule>
    <cfRule type="expression" dxfId="392" priority="425">
      <formula>IF(DS30&gt;=DT30,IF(DS30="",FALSE,TRUE))</formula>
    </cfRule>
  </conditionalFormatting>
  <conditionalFormatting sqref="DU30">
    <cfRule type="expression" dxfId="391" priority="422">
      <formula>OR(IF(DU30&lt;DV30,TRUE),IF(AND(DV30="",DU30&lt;&gt;""),TRUE))</formula>
    </cfRule>
    <cfRule type="expression" dxfId="390" priority="423">
      <formula>IF(DU30&gt;=DV30,IF(DU30="",FALSE,TRUE))</formula>
    </cfRule>
  </conditionalFormatting>
  <conditionalFormatting sqref="DS38">
    <cfRule type="expression" dxfId="389" priority="420">
      <formula>OR(IF(DS38&lt;DT38,TRUE),IF(AND(DT38="",DS38&lt;&gt;""),TRUE))</formula>
    </cfRule>
    <cfRule type="expression" dxfId="388" priority="421">
      <formula>IF(DS38&gt;=DT38,IF(DS38="",FALSE,TRUE))</formula>
    </cfRule>
  </conditionalFormatting>
  <conditionalFormatting sqref="DU38">
    <cfRule type="expression" dxfId="387" priority="418">
      <formula>OR(IF(DU38&lt;DV38,TRUE),IF(AND(DV38="",DU38&lt;&gt;""),TRUE))</formula>
    </cfRule>
    <cfRule type="expression" dxfId="386" priority="419">
      <formula>IF(DU38&gt;=DV38,IF(DU38="",FALSE,TRUE))</formula>
    </cfRule>
  </conditionalFormatting>
  <conditionalFormatting sqref="DS38">
    <cfRule type="expression" dxfId="385" priority="416">
      <formula>OR(IF(DS38&lt;DT38,TRUE),IF(AND(DT38="",DS38&lt;&gt;""),TRUE))</formula>
    </cfRule>
    <cfRule type="expression" dxfId="384" priority="417">
      <formula>IF(DS38&gt;=DT38,IF(DS38="",FALSE,TRUE))</formula>
    </cfRule>
  </conditionalFormatting>
  <conditionalFormatting sqref="DU38">
    <cfRule type="expression" dxfId="383" priority="414">
      <formula>OR(IF(DU38&lt;DV38,TRUE),IF(AND(DV38="",DU38&lt;&gt;""),TRUE))</formula>
    </cfRule>
    <cfRule type="expression" dxfId="382" priority="415">
      <formula>IF(DU38&gt;=DV38,IF(DU38="",FALSE,TRUE))</formula>
    </cfRule>
  </conditionalFormatting>
  <conditionalFormatting sqref="DS40 DU40">
    <cfRule type="expression" dxfId="381" priority="412">
      <formula>OR(IF(DS40&lt;DT40,TRUE),IF(AND(DT40="",DS40&lt;&gt;""),TRUE))</formula>
    </cfRule>
    <cfRule type="expression" dxfId="380" priority="413">
      <formula>IF(DS40&gt;=DT40,IF(DS40="",FALSE,TRUE))</formula>
    </cfRule>
  </conditionalFormatting>
  <conditionalFormatting sqref="DS90 DU90">
    <cfRule type="expression" dxfId="379" priority="411">
      <formula>OR(IF(DS90&lt;DT90,TRUE),IF(AND(DT90="",DS90&lt;&gt;""),TRUE))</formula>
    </cfRule>
  </conditionalFormatting>
  <conditionalFormatting sqref="DU95 DS95">
    <cfRule type="expression" dxfId="378" priority="409">
      <formula>OR(IF(DS95&lt;DT95,TRUE),IF(AND(DT95="",DS95&lt;&gt;""),TRUE))</formula>
    </cfRule>
    <cfRule type="expression" dxfId="377" priority="410">
      <formula>IF(DS95&gt;=DT95,IF(DS95="",FALSE,TRUE))</formula>
    </cfRule>
  </conditionalFormatting>
  <conditionalFormatting sqref="CJ13:CJ15 CL13:CL15">
    <cfRule type="expression" dxfId="376" priority="405">
      <formula>OR(IF(CJ13&lt;CK13,TRUE),IF(AND(CK13="",CJ13&lt;&gt;""),TRUE))</formula>
    </cfRule>
    <cfRule type="expression" dxfId="375" priority="406">
      <formula>IF(CJ13&gt;=CK13,IF(CJ13="",FALSE,TRUE))</formula>
    </cfRule>
  </conditionalFormatting>
  <conditionalFormatting sqref="CJ17:CJ31 CL17:CL31">
    <cfRule type="expression" dxfId="374" priority="403">
      <formula>OR(IF(CJ17&lt;CK17,TRUE),IF(AND(CK17="",CJ17&lt;&gt;""),TRUE))</formula>
    </cfRule>
    <cfRule type="expression" dxfId="373" priority="404">
      <formula>IF(CJ17&gt;=CK17,IF(CJ17="",FALSE,TRUE))</formula>
    </cfRule>
  </conditionalFormatting>
  <conditionalFormatting sqref="CJ34:CJ45 CL34:CL45">
    <cfRule type="expression" dxfId="372" priority="401">
      <formula>OR(IF(CJ34&lt;CK34,TRUE),IF(AND(CK34="",CJ34&lt;&gt;""),TRUE))</formula>
    </cfRule>
    <cfRule type="expression" dxfId="371" priority="402">
      <formula>IF(CJ34&gt;=CK34,IF(CJ34="",FALSE,TRUE))</formula>
    </cfRule>
  </conditionalFormatting>
  <conditionalFormatting sqref="CC55:CC63 CE55:CE63">
    <cfRule type="expression" dxfId="370" priority="399">
      <formula>OR(IF(CC55&lt;CD55,TRUE),IF(AND(CD55="",CC55&lt;&gt;""),TRUE))</formula>
    </cfRule>
    <cfRule type="expression" dxfId="369" priority="400">
      <formula>IF(CC55&gt;=CD55,IF(CC55="",FALSE,TRUE))</formula>
    </cfRule>
  </conditionalFormatting>
  <conditionalFormatting sqref="CQ65:CQ74 CS65:CS74">
    <cfRule type="expression" dxfId="368" priority="397">
      <formula>OR(IF(CQ65&lt;CR65,TRUE),IF(AND(CR65="",CQ65&lt;&gt;""),TRUE))</formula>
    </cfRule>
    <cfRule type="expression" dxfId="367" priority="398">
      <formula>IF(CQ65&gt;=CR65,IF(CQ65="",FALSE,TRUE))</formula>
    </cfRule>
  </conditionalFormatting>
  <conditionalFormatting sqref="BV77:BV85 BX77:BX85">
    <cfRule type="expression" dxfId="366" priority="395">
      <formula>OR(IF(BV77&lt;BW77,TRUE),IF(AND(BW77="",BV77&lt;&gt;""),TRUE))</formula>
    </cfRule>
    <cfRule type="expression" dxfId="365" priority="396">
      <formula>IF(BV77&gt;=BW77,IF(BV77="",FALSE,TRUE))</formula>
    </cfRule>
  </conditionalFormatting>
  <conditionalFormatting sqref="AF45:AF46 AH45:AH46">
    <cfRule type="expression" dxfId="364" priority="385">
      <formula>OR(IF(AF45&lt;AG45,TRUE),IF(AND(AG45="",AF45&lt;&gt;""),TRUE))</formula>
    </cfRule>
    <cfRule type="expression" dxfId="363" priority="386">
      <formula>IF(AF45&gt;=AG45,IF(AF45="",FALSE,TRUE))</formula>
    </cfRule>
  </conditionalFormatting>
  <conditionalFormatting sqref="AM45:AM47 AO45:AO47">
    <cfRule type="expression" dxfId="362" priority="383">
      <formula>OR(IF(AM45&lt;AN45,TRUE),IF(AND(AN45="",AM45&lt;&gt;""),TRUE))</formula>
    </cfRule>
    <cfRule type="expression" dxfId="361" priority="384">
      <formula>IF(AM45&gt;=AN45,IF(AM45="",FALSE,TRUE))</formula>
    </cfRule>
  </conditionalFormatting>
  <conditionalFormatting sqref="AT45:AT48 AV45:AV48">
    <cfRule type="expression" dxfId="360" priority="381">
      <formula>OR(IF(AT45&lt;AU45,TRUE),IF(AND(AU45="",AT45&lt;&gt;""),TRUE))</formula>
    </cfRule>
    <cfRule type="expression" dxfId="359" priority="382">
      <formula>IF(AT45&gt;=AU45,IF(AT45="",FALSE,TRUE))</formula>
    </cfRule>
  </conditionalFormatting>
  <conditionalFormatting sqref="BA45:BA49 BC45:BC49">
    <cfRule type="expression" dxfId="358" priority="379">
      <formula>OR(IF(BA45&lt;BB45,TRUE),IF(AND(BB45="",BA45&lt;&gt;""),TRUE))</formula>
    </cfRule>
    <cfRule type="expression" dxfId="357" priority="380">
      <formula>IF(BA45&gt;=BB45,IF(BA45="",FALSE,TRUE))</formula>
    </cfRule>
  </conditionalFormatting>
  <conditionalFormatting sqref="BH45:BH50 BJ45:BJ50">
    <cfRule type="expression" dxfId="356" priority="377">
      <formula>OR(IF(BH45&lt;BI45,TRUE),IF(AND(BI45="",BH45&lt;&gt;""),TRUE))</formula>
    </cfRule>
    <cfRule type="expression" dxfId="355" priority="378">
      <formula>IF(BH45&gt;=BI45,IF(BH45="",FALSE,TRUE))</formula>
    </cfRule>
  </conditionalFormatting>
  <conditionalFormatting sqref="BO45:BO51 BQ45:BQ51">
    <cfRule type="expression" dxfId="354" priority="375">
      <formula>OR(IF(BO45&lt;BP45,TRUE),IF(AND(BP45="",BO45&lt;&gt;""),TRUE))</formula>
    </cfRule>
    <cfRule type="expression" dxfId="353" priority="376">
      <formula>IF(BO45&gt;=BP45,IF(BO45="",FALSE,TRUE))</formula>
    </cfRule>
  </conditionalFormatting>
  <conditionalFormatting sqref="BO5:BO12 BQ5:BQ12">
    <cfRule type="expression" dxfId="352" priority="373">
      <formula>OR(IF(BO5&lt;BP5,TRUE),IF(AND(BP5="",BO5&lt;&gt;""),TRUE))</formula>
    </cfRule>
    <cfRule type="expression" dxfId="351" priority="374">
      <formula>IF(BO5&gt;=BP5,IF(BO5="",FALSE,TRUE))</formula>
    </cfRule>
  </conditionalFormatting>
  <conditionalFormatting sqref="BV5:BV12 BX5:BX12">
    <cfRule type="expression" dxfId="350" priority="371">
      <formula>OR(IF(BV5&lt;BW5,TRUE),IF(AND(BW5="",BV5&lt;&gt;""),TRUE))</formula>
    </cfRule>
    <cfRule type="expression" dxfId="349" priority="372">
      <formula>IF(BV5&gt;=BW5,IF(BV5="",FALSE,TRUE))</formula>
    </cfRule>
  </conditionalFormatting>
  <conditionalFormatting sqref="CJ5:CJ12 CL5:CL12">
    <cfRule type="expression" dxfId="348" priority="367">
      <formula>OR(IF(CJ5&lt;CK5,TRUE),IF(AND(CK5="",CJ5&lt;&gt;""),TRUE))</formula>
    </cfRule>
    <cfRule type="expression" dxfId="347" priority="368">
      <formula>IF(CJ5&gt;=CK5,IF(CJ5="",FALSE,TRUE))</formula>
    </cfRule>
  </conditionalFormatting>
  <conditionalFormatting sqref="T87">
    <cfRule type="expression" dxfId="346" priority="365">
      <formula>OR(IF(T87&lt;U87,TRUE),IF(AND(U87="",T87&lt;&gt;""),TRUE))</formula>
    </cfRule>
    <cfRule type="expression" dxfId="345" priority="366">
      <formula>IF(T87&gt;=U87,IF(T87="",FALSE,TRUE))</formula>
    </cfRule>
  </conditionalFormatting>
  <conditionalFormatting sqref="Y88">
    <cfRule type="expression" dxfId="344" priority="363">
      <formula>OR(IF(Y88&lt;Z88,TRUE),IF(AND(Z88="",Y88&lt;&gt;""),TRUE))</formula>
    </cfRule>
    <cfRule type="expression" dxfId="343" priority="364">
      <formula>IF(Y88&gt;=Z88,IF(Y88="",FALSE,TRUE))</formula>
    </cfRule>
  </conditionalFormatting>
  <conditionalFormatting sqref="AA88">
    <cfRule type="expression" dxfId="342" priority="361">
      <formula>OR(IF(AA88&lt;AB88,TRUE),IF(AND(AB88="",AA88&lt;&gt;""),TRUE))</formula>
    </cfRule>
    <cfRule type="expression" dxfId="341" priority="362">
      <formula>IF(AA88&gt;=AB88,IF(AA88="",FALSE,TRUE))</formula>
    </cfRule>
  </conditionalFormatting>
  <conditionalFormatting sqref="AF89">
    <cfRule type="expression" dxfId="340" priority="359">
      <formula>OR(IF(AF89&lt;AG89,TRUE),IF(AND(AG89="",AF89&lt;&gt;""),TRUE))</formula>
    </cfRule>
    <cfRule type="expression" dxfId="339" priority="360">
      <formula>IF(AF89&gt;=AG89,IF(AF89="",FALSE,TRUE))</formula>
    </cfRule>
  </conditionalFormatting>
  <conditionalFormatting sqref="AH89">
    <cfRule type="expression" dxfId="338" priority="357">
      <formula>OR(IF(AH89&lt;AI89,TRUE),IF(AND(AI89="",AH89&lt;&gt;""),TRUE))</formula>
    </cfRule>
    <cfRule type="expression" dxfId="337" priority="358">
      <formula>IF(AH89&gt;=AI89,IF(AH89="",FALSE,TRUE))</formula>
    </cfRule>
  </conditionalFormatting>
  <conditionalFormatting sqref="AM90">
    <cfRule type="expression" dxfId="336" priority="355">
      <formula>OR(IF(AM90&lt;AN90,TRUE),IF(AND(AN90="",AM90&lt;&gt;""),TRUE))</formula>
    </cfRule>
    <cfRule type="expression" dxfId="335" priority="356">
      <formula>IF(AM90&gt;=AN90,IF(AM90="",FALSE,TRUE))</formula>
    </cfRule>
  </conditionalFormatting>
  <conditionalFormatting sqref="AO90">
    <cfRule type="expression" dxfId="334" priority="353">
      <formula>OR(IF(AO90&lt;AP90,TRUE),IF(AND(AP90="",AO90&lt;&gt;""),TRUE))</formula>
    </cfRule>
    <cfRule type="expression" dxfId="333" priority="354">
      <formula>IF(AO90&gt;=AP90,IF(AO90="",FALSE,TRUE))</formula>
    </cfRule>
  </conditionalFormatting>
  <conditionalFormatting sqref="AT91">
    <cfRule type="expression" dxfId="332" priority="351">
      <formula>OR(IF(AT91&lt;AU91,TRUE),IF(AND(AU91="",AT91&lt;&gt;""),TRUE))</formula>
    </cfRule>
    <cfRule type="expression" dxfId="331" priority="352">
      <formula>IF(AT91&gt;=AU91,IF(AT91="",FALSE,TRUE))</formula>
    </cfRule>
  </conditionalFormatting>
  <conditionalFormatting sqref="AV91">
    <cfRule type="expression" dxfId="330" priority="349">
      <formula>OR(IF(AV91&lt;AW91,TRUE),IF(AND(AW91="",AV91&lt;&gt;""),TRUE))</formula>
    </cfRule>
    <cfRule type="expression" dxfId="329" priority="350">
      <formula>IF(AV91&gt;=AW91,IF(AV91="",FALSE,TRUE))</formula>
    </cfRule>
  </conditionalFormatting>
  <conditionalFormatting sqref="BA92">
    <cfRule type="expression" dxfId="328" priority="347">
      <formula>OR(IF(BA92&lt;BB92,TRUE),IF(AND(BB92="",BA92&lt;&gt;""),TRUE))</formula>
    </cfRule>
    <cfRule type="expression" dxfId="327" priority="348">
      <formula>IF(BA92&gt;=BB92,IF(BA92="",FALSE,TRUE))</formula>
    </cfRule>
  </conditionalFormatting>
  <conditionalFormatting sqref="BC92">
    <cfRule type="expression" dxfId="326" priority="345">
      <formula>OR(IF(BC92&lt;BD92,TRUE),IF(AND(BD92="",BC92&lt;&gt;""),TRUE))</formula>
    </cfRule>
    <cfRule type="expression" dxfId="325" priority="346">
      <formula>IF(BC92&gt;=BD92,IF(BC92="",FALSE,TRUE))</formula>
    </cfRule>
  </conditionalFormatting>
  <conditionalFormatting sqref="BQ94 BO94">
    <cfRule type="expression" dxfId="324" priority="343">
      <formula>OR(IF(BO94&lt;BP94,TRUE),IF(AND(BP94="",BO94&lt;&gt;""),TRUE))</formula>
    </cfRule>
    <cfRule type="expression" dxfId="323" priority="344">
      <formula>IF(BO94&gt;=BP94,IF(BO94="",FALSE,TRUE))</formula>
    </cfRule>
  </conditionalFormatting>
  <conditionalFormatting sqref="BX95 BV95">
    <cfRule type="expression" dxfId="322" priority="341">
      <formula>OR(IF(BV95&lt;BW95,TRUE),IF(AND(BW95="",BV95&lt;&gt;""),TRUE))</formula>
    </cfRule>
    <cfRule type="expression" dxfId="321" priority="342">
      <formula>IF(BV95&gt;=BW95,IF(BV95="",FALSE,TRUE))</formula>
    </cfRule>
  </conditionalFormatting>
  <conditionalFormatting sqref="CE96 CC96">
    <cfRule type="expression" dxfId="320" priority="339">
      <formula>OR(IF(CC96&lt;CD96,TRUE),IF(AND(CD96="",CC96&lt;&gt;""),TRUE))</formula>
    </cfRule>
    <cfRule type="expression" dxfId="319" priority="340">
      <formula>IF(CC96&gt;=CD96,IF(CC96="",FALSE,TRUE))</formula>
    </cfRule>
  </conditionalFormatting>
  <conditionalFormatting sqref="BA5:BA6 BC5:BC6 BC10:BC12 BA10:BA12">
    <cfRule type="expression" dxfId="318" priority="335">
      <formula>OR(IF(BA5&lt;BB5,TRUE),IF(AND(BB5="",BA5&lt;&gt;""),TRUE))</formula>
    </cfRule>
    <cfRule type="expression" dxfId="317" priority="336">
      <formula>IF(BA5&gt;=BB5,IF(BA5="",FALSE,TRUE))</formula>
    </cfRule>
  </conditionalFormatting>
  <conditionalFormatting sqref="AV10:AV12 AT10:AT12">
    <cfRule type="expression" dxfId="316" priority="333">
      <formula>OR(IF(AT10&lt;AU10,TRUE),IF(AND(AU10="",AT10&lt;&gt;""),TRUE))</formula>
    </cfRule>
    <cfRule type="expression" dxfId="315" priority="334">
      <formula>IF(AT10&gt;=AU10,IF(AT10="",FALSE,TRUE))</formula>
    </cfRule>
  </conditionalFormatting>
  <conditionalFormatting sqref="AT7:AT9 AV7:AV9">
    <cfRule type="expression" dxfId="314" priority="331">
      <formula>OR(IF(AT7&lt;AU7,TRUE),IF(AND(AU7="",AT7&lt;&gt;""),TRUE))</formula>
    </cfRule>
    <cfRule type="expression" dxfId="313" priority="332">
      <formula>IF(AT7&gt;=AU7,IF(AT7="",FALSE,TRUE))</formula>
    </cfRule>
  </conditionalFormatting>
  <conditionalFormatting sqref="AO10:AO12 AM10:AM12">
    <cfRule type="expression" dxfId="312" priority="329">
      <formula>OR(IF(AM10&lt;AN10,TRUE),IF(AND(AN10="",AM10&lt;&gt;""),TRUE))</formula>
    </cfRule>
    <cfRule type="expression" dxfId="311" priority="330">
      <formula>IF(AM10&gt;=AN10,IF(AM10="",FALSE,TRUE))</formula>
    </cfRule>
  </conditionalFormatting>
  <conditionalFormatting sqref="AM7:AM9 AO7:AO9">
    <cfRule type="expression" dxfId="310" priority="327">
      <formula>OR(IF(AM7&lt;AN7,TRUE),IF(AND(AN7="",AM7&lt;&gt;""),TRUE))</formula>
    </cfRule>
    <cfRule type="expression" dxfId="309" priority="328">
      <formula>IF(AM7&gt;=AN7,IF(AM7="",FALSE,TRUE))</formula>
    </cfRule>
  </conditionalFormatting>
  <conditionalFormatting sqref="AM5:AM6 AO5:AO6">
    <cfRule type="expression" dxfId="308" priority="325">
      <formula>OR(IF(AM5&lt;AN5,TRUE),IF(AND(AN5="",AM5&lt;&gt;""),TRUE))</formula>
    </cfRule>
    <cfRule type="expression" dxfId="307" priority="326">
      <formula>IF(AM5&gt;=AN5,IF(AM5="",FALSE,TRUE))</formula>
    </cfRule>
  </conditionalFormatting>
  <conditionalFormatting sqref="BA7:BA9 BC7:BC9">
    <cfRule type="expression" dxfId="306" priority="319">
      <formula>OR(IF(BA7&lt;BB7,TRUE),IF(AND(BB7="",BA7&lt;&gt;""),TRUE))</formula>
    </cfRule>
    <cfRule type="expression" dxfId="305" priority="320">
      <formula>IF(BA7&gt;=BB7,IF(BA7="",FALSE,TRUE))</formula>
    </cfRule>
  </conditionalFormatting>
  <conditionalFormatting sqref="AT5:AT6 AV5:AV6">
    <cfRule type="expression" dxfId="304" priority="317">
      <formula>OR(IF(AT5&lt;AU5,TRUE),IF(AND(AU5="",AT5&lt;&gt;""),TRUE))</formula>
    </cfRule>
    <cfRule type="expression" dxfId="303" priority="318">
      <formula>IF(AT5&gt;=AU5,IF(AT5="",FALSE,TRUE))</formula>
    </cfRule>
  </conditionalFormatting>
  <conditionalFormatting sqref="AH12 AF12">
    <cfRule type="expression" dxfId="302" priority="315">
      <formula>OR(IF(AF12&lt;AG12,TRUE),IF(AND(AG12="",AF12&lt;&gt;""),TRUE))</formula>
    </cfRule>
    <cfRule type="expression" dxfId="301" priority="316">
      <formula>IF(AF12&gt;=AG12,IF(AF12="",FALSE,TRUE))</formula>
    </cfRule>
  </conditionalFormatting>
  <conditionalFormatting sqref="AF7 AH7">
    <cfRule type="expression" dxfId="300" priority="313">
      <formula>OR(IF(AF7&lt;AG7,TRUE),IF(AND(AG7="",AF7&lt;&gt;""),TRUE))</formula>
    </cfRule>
    <cfRule type="expression" dxfId="299" priority="314">
      <formula>IF(AF7&gt;=AG7,IF(AF7="",FALSE,TRUE))</formula>
    </cfRule>
  </conditionalFormatting>
  <conditionalFormatting sqref="AF5:AF6 AH5:AH6">
    <cfRule type="expression" dxfId="298" priority="311">
      <formula>OR(IF(AF5&lt;AG5,TRUE),IF(AND(AG5="",AF5&lt;&gt;""),TRUE))</formula>
    </cfRule>
    <cfRule type="expression" dxfId="297" priority="312">
      <formula>IF(AF5&gt;=AG5,IF(AF5="",FALSE,TRUE))</formula>
    </cfRule>
  </conditionalFormatting>
  <conditionalFormatting sqref="AH8:AH11 AF8:AF11">
    <cfRule type="expression" dxfId="296" priority="309">
      <formula>OR(IF(AF8&lt;AG8,TRUE),IF(AND(AG8="",AF8&lt;&gt;""),TRUE))</formula>
    </cfRule>
    <cfRule type="expression" dxfId="295" priority="310">
      <formula>IF(AF8&gt;=AG8,IF(AF8="",FALSE,TRUE))</formula>
    </cfRule>
  </conditionalFormatting>
  <conditionalFormatting sqref="AA12 Y12">
    <cfRule type="expression" dxfId="294" priority="307">
      <formula>OR(IF(Y12&lt;Z12,TRUE),IF(AND(Z12="",Y12&lt;&gt;""),TRUE))</formula>
    </cfRule>
    <cfRule type="expression" dxfId="293" priority="308">
      <formula>IF(Y12&gt;=Z12,IF(Y12="",FALSE,TRUE))</formula>
    </cfRule>
  </conditionalFormatting>
  <conditionalFormatting sqref="AA10:AA11 Y10:Y11">
    <cfRule type="expression" dxfId="292" priority="301">
      <formula>OR(IF(Y10&lt;Z10,TRUE),IF(AND(Z10="",Y10&lt;&gt;""),TRUE))</formula>
    </cfRule>
    <cfRule type="expression" dxfId="291" priority="302">
      <formula>IF(Y10&gt;=Z10,IF(Y10="",FALSE,TRUE))</formula>
    </cfRule>
  </conditionalFormatting>
  <conditionalFormatting sqref="AA5:AA9 Y5:Y9">
    <cfRule type="expression" dxfId="290" priority="297">
      <formula>OR(IF(Y5&lt;Z5,TRUE),IF(AND(Z5="",Y5&lt;&gt;""),TRUE))</formula>
    </cfRule>
    <cfRule type="expression" dxfId="289" priority="298">
      <formula>IF(Y5&gt;=Z5,IF(Y5="",FALSE,TRUE))</formula>
    </cfRule>
  </conditionalFormatting>
  <conditionalFormatting sqref="T5:T7 R5:R7">
    <cfRule type="expression" dxfId="288" priority="295">
      <formula>OR(IF(R5&lt;S5,TRUE),IF(AND(S5="",R5&lt;&gt;""),TRUE))</formula>
    </cfRule>
    <cfRule type="expression" dxfId="287" priority="296">
      <formula>IF(R5&gt;=S5,IF(R5="",FALSE,TRUE))</formula>
    </cfRule>
  </conditionalFormatting>
  <conditionalFormatting sqref="CC18:CC28 CE18:CE28">
    <cfRule type="expression" dxfId="286" priority="293">
      <formula>OR(IF(CC18&lt;CD18,TRUE),IF(AND(CD18="",CC18&lt;&gt;""),TRUE))</formula>
    </cfRule>
    <cfRule type="expression" dxfId="285" priority="294">
      <formula>IF(CC18&gt;=CD18,IF(CC18="",FALSE,TRUE))</formula>
    </cfRule>
  </conditionalFormatting>
  <conditionalFormatting sqref="BV18:BV24 BX18:BX24">
    <cfRule type="expression" dxfId="284" priority="291">
      <formula>OR(IF(BV18&lt;BW18,TRUE),IF(AND(BW18="",BV18&lt;&gt;""),TRUE))</formula>
    </cfRule>
    <cfRule type="expression" dxfId="283" priority="292">
      <formula>IF(BV18&gt;=BW18,IF(BV18="",FALSE,TRUE))</formula>
    </cfRule>
  </conditionalFormatting>
  <conditionalFormatting sqref="BV28:BV31 BX28:BX31">
    <cfRule type="expression" dxfId="282" priority="289">
      <formula>OR(IF(BV28&lt;BW28,TRUE),IF(AND(BW28="",BV28&lt;&gt;""),TRUE))</formula>
    </cfRule>
    <cfRule type="expression" dxfId="281" priority="290">
      <formula>IF(BV28&gt;=BW28,IF(BV28="",FALSE,TRUE))</formula>
    </cfRule>
  </conditionalFormatting>
  <conditionalFormatting sqref="BO18:BO20 BQ18:BQ20">
    <cfRule type="expression" dxfId="280" priority="287">
      <formula>OR(IF(BO18&lt;BP18,TRUE),IF(AND(BP18="",BO18&lt;&gt;""),TRUE))</formula>
    </cfRule>
    <cfRule type="expression" dxfId="279" priority="288">
      <formula>IF(BO18&gt;=BP18,IF(BO18="",FALSE,TRUE))</formula>
    </cfRule>
  </conditionalFormatting>
  <conditionalFormatting sqref="BO25:BO31 BQ25:BQ31">
    <cfRule type="expression" dxfId="278" priority="285">
      <formula>OR(IF(BO25&lt;BP25,TRUE),IF(AND(BP25="",BO25&lt;&gt;""),TRUE))</formula>
    </cfRule>
    <cfRule type="expression" dxfId="277" priority="286">
      <formula>IF(BO25&gt;=BP25,IF(BO25="",FALSE,TRUE))</formula>
    </cfRule>
  </conditionalFormatting>
  <conditionalFormatting sqref="BH22:BH31 BJ22:BJ31">
    <cfRule type="expression" dxfId="276" priority="281">
      <formula>OR(IF(BH22&lt;BI22,TRUE),IF(AND(BI22="",BH22&lt;&gt;""),TRUE))</formula>
    </cfRule>
    <cfRule type="expression" dxfId="275" priority="282">
      <formula>IF(BH22&gt;=BI22,IF(BH22="",FALSE,TRUE))</formula>
    </cfRule>
  </conditionalFormatting>
  <conditionalFormatting sqref="BA19:BA27 BC19:BC27">
    <cfRule type="expression" dxfId="274" priority="279">
      <formula>OR(IF(BA19&lt;BB19,TRUE),IF(AND(BB19="",BA19&lt;&gt;""),TRUE))</formula>
    </cfRule>
    <cfRule type="expression" dxfId="273" priority="280">
      <formula>IF(BA19&gt;=BB19,IF(BA19="",FALSE,TRUE))</formula>
    </cfRule>
  </conditionalFormatting>
  <conditionalFormatting sqref="BA18 BC18">
    <cfRule type="expression" dxfId="272" priority="277">
      <formula>OR(IF(BA18&lt;BB18,TRUE),IF(AND(BB18="",BA18&lt;&gt;""),TRUE))</formula>
    </cfRule>
    <cfRule type="expression" dxfId="271" priority="278">
      <formula>IF(BA18&gt;=BB18,IF(BA18="",FALSE,TRUE))</formula>
    </cfRule>
  </conditionalFormatting>
  <conditionalFormatting sqref="AT19:AT23 AV19:AV23 AV30 AT30">
    <cfRule type="expression" dxfId="270" priority="275">
      <formula>OR(IF(AT19&lt;AU19,TRUE),IF(AND(AU19="",AT19&lt;&gt;""),TRUE))</formula>
    </cfRule>
    <cfRule type="expression" dxfId="269" priority="276">
      <formula>IF(AT19&gt;=AU19,IF(AT19="",FALSE,TRUE))</formula>
    </cfRule>
  </conditionalFormatting>
  <conditionalFormatting sqref="AT31 AV31">
    <cfRule type="expression" dxfId="268" priority="273">
      <formula>OR(IF(AT31&lt;AU31,TRUE),IF(AND(AU31="",AT31&lt;&gt;""),TRUE))</formula>
    </cfRule>
    <cfRule type="expression" dxfId="267" priority="274">
      <formula>IF(AT31&gt;=AU31,IF(AT31="",FALSE,TRUE))</formula>
    </cfRule>
  </conditionalFormatting>
  <conditionalFormatting sqref="AM18">
    <cfRule type="expression" dxfId="266" priority="271">
      <formula>OR(IF(AM18&lt;AN18,TRUE),IF(AND(AN18="",AM18&lt;&gt;""),TRUE))</formula>
    </cfRule>
    <cfRule type="expression" dxfId="265" priority="272">
      <formula>IF(AM18&gt;=AN18,IF(AM18="",FALSE,TRUE))</formula>
    </cfRule>
  </conditionalFormatting>
  <conditionalFormatting sqref="AO18">
    <cfRule type="expression" dxfId="264" priority="269">
      <formula>OR(IF(AO18&lt;AP18,TRUE),IF(AND(AP18="",AO18&lt;&gt;""),TRUE))</formula>
    </cfRule>
    <cfRule type="expression" dxfId="263" priority="270">
      <formula>IF(AO18&gt;=AP18,IF(AO18="",FALSE,TRUE))</formula>
    </cfRule>
  </conditionalFormatting>
  <conditionalFormatting sqref="AM19 AO19 AO30 AM30">
    <cfRule type="expression" dxfId="262" priority="267">
      <formula>OR(IF(AM19&lt;AN19,TRUE),IF(AND(AN19="",AM19&lt;&gt;""),TRUE))</formula>
    </cfRule>
    <cfRule type="expression" dxfId="261" priority="268">
      <formula>IF(AM19&gt;=AN19,IF(AM19="",FALSE,TRUE))</formula>
    </cfRule>
  </conditionalFormatting>
  <conditionalFormatting sqref="AM31 AO31">
    <cfRule type="expression" dxfId="260" priority="265">
      <formula>OR(IF(AM31&lt;AN31,TRUE),IF(AND(AN31="",AM31&lt;&gt;""),TRUE))</formula>
    </cfRule>
    <cfRule type="expression" dxfId="259" priority="266">
      <formula>IF(AM31&gt;=AN31,IF(AM31="",FALSE,TRUE))</formula>
    </cfRule>
  </conditionalFormatting>
  <conditionalFormatting sqref="AM27 AO27 AM29 AO29">
    <cfRule type="expression" dxfId="258" priority="263">
      <formula>OR(IF(AM27&lt;AN27,TRUE),IF(AND(AN27="",AM27&lt;&gt;""),TRUE))</formula>
    </cfRule>
    <cfRule type="expression" dxfId="257" priority="264">
      <formula>IF(AM27&gt;=AN27,IF(AM27="",FALSE,TRUE))</formula>
    </cfRule>
  </conditionalFormatting>
  <conditionalFormatting sqref="AM28 AO28">
    <cfRule type="expression" dxfId="256" priority="261">
      <formula>OR(IF(AM28&lt;AN28,TRUE),IF(AND(AN28="",AM28&lt;&gt;""),TRUE))</formula>
    </cfRule>
    <cfRule type="expression" dxfId="255" priority="262">
      <formula>IF(AM28&gt;=AN28,IF(AM28="",FALSE,TRUE))</formula>
    </cfRule>
  </conditionalFormatting>
  <conditionalFormatting sqref="AH27 AF27">
    <cfRule type="expression" dxfId="254" priority="247">
      <formula>OR(IF(AF27&lt;AG27,TRUE),IF(AND(AG27="",AF27&lt;&gt;""),TRUE))</formula>
    </cfRule>
    <cfRule type="expression" dxfId="253" priority="248">
      <formula>IF(AF27&gt;=AG27,IF(AF27="",FALSE,TRUE))</formula>
    </cfRule>
  </conditionalFormatting>
  <conditionalFormatting sqref="AF28 AH28">
    <cfRule type="expression" dxfId="252" priority="245">
      <formula>OR(IF(AF28&lt;AG28,TRUE),IF(AND(AG28="",AF28&lt;&gt;""),TRUE))</formula>
    </cfRule>
    <cfRule type="expression" dxfId="251" priority="246">
      <formula>IF(AF28&gt;=AG28,IF(AF28="",FALSE,TRUE))</formula>
    </cfRule>
  </conditionalFormatting>
  <conditionalFormatting sqref="AF26 AH26 AF29 AH29 AF31 AH31">
    <cfRule type="expression" dxfId="250" priority="243">
      <formula>OR(IF(AF26&lt;AG26,TRUE),IF(AND(AG26="",AF26&lt;&gt;""),TRUE))</formula>
    </cfRule>
    <cfRule type="expression" dxfId="249" priority="244">
      <formula>IF(AF26&gt;=AG26,IF(AF26="",FALSE,TRUE))</formula>
    </cfRule>
  </conditionalFormatting>
  <conditionalFormatting sqref="AF30 AH30">
    <cfRule type="expression" dxfId="248" priority="241">
      <formula>OR(IF(AF30&lt;AG30,TRUE),IF(AND(AG30="",AF30&lt;&gt;""),TRUE))</formula>
    </cfRule>
    <cfRule type="expression" dxfId="247" priority="242">
      <formula>IF(AF30&gt;=AG30,IF(AF30="",FALSE,TRUE))</formula>
    </cfRule>
  </conditionalFormatting>
  <conditionalFormatting sqref="CC29:CC31 CE29:CE31">
    <cfRule type="expression" dxfId="246" priority="239">
      <formula>OR(IF(CC29&lt;CD29,TRUE),IF(AND(CD29="",CC29&lt;&gt;""),TRUE))</formula>
    </cfRule>
    <cfRule type="expression" dxfId="245" priority="240">
      <formula>IF(CC29&gt;=CD29,IF(CC29="",FALSE,TRUE))</formula>
    </cfRule>
  </conditionalFormatting>
  <conditionalFormatting sqref="BV25:BV27 BX25:BX27">
    <cfRule type="expression" dxfId="244" priority="237">
      <formula>OR(IF(BV25&lt;BW25,TRUE),IF(AND(BW25="",BV25&lt;&gt;""),TRUE))</formula>
    </cfRule>
    <cfRule type="expression" dxfId="243" priority="238">
      <formula>IF(BV25&gt;=BW25,IF(BV25="",FALSE,TRUE))</formula>
    </cfRule>
  </conditionalFormatting>
  <conditionalFormatting sqref="BO21:BO24 BQ21:BQ24">
    <cfRule type="expression" dxfId="242" priority="235">
      <formula>OR(IF(BO21&lt;BP21,TRUE),IF(AND(BP21="",BO21&lt;&gt;""),TRUE))</formula>
    </cfRule>
    <cfRule type="expression" dxfId="241" priority="236">
      <formula>IF(BO21&gt;=BP21,IF(BO21="",FALSE,TRUE))</formula>
    </cfRule>
  </conditionalFormatting>
  <conditionalFormatting sqref="BH18:BH21 BJ18:BJ21">
    <cfRule type="expression" dxfId="240" priority="233">
      <formula>OR(IF(BH18&lt;BI18,TRUE),IF(AND(BI18="",BH18&lt;&gt;""),TRUE))</formula>
    </cfRule>
    <cfRule type="expression" dxfId="239" priority="234">
      <formula>IF(BH18&gt;=BI18,IF(BH18="",FALSE,TRUE))</formula>
    </cfRule>
  </conditionalFormatting>
  <conditionalFormatting sqref="BA28:BA31 BC28:BC31">
    <cfRule type="expression" dxfId="238" priority="231">
      <formula>OR(IF(BA28&lt;BB28,TRUE),IF(AND(BB28="",BA28&lt;&gt;""),TRUE))</formula>
    </cfRule>
    <cfRule type="expression" dxfId="237" priority="232">
      <formula>IF(BA28&gt;=BB28,IF(BA28="",FALSE,TRUE))</formula>
    </cfRule>
  </conditionalFormatting>
  <conditionalFormatting sqref="AT24:AT29 AV24:AV29">
    <cfRule type="expression" dxfId="236" priority="229">
      <formula>OR(IF(AT24&lt;AU24,TRUE),IF(AND(AU24="",AT24&lt;&gt;""),TRUE))</formula>
    </cfRule>
    <cfRule type="expression" dxfId="235" priority="230">
      <formula>IF(AT24&gt;=AU24,IF(AT24="",FALSE,TRUE))</formula>
    </cfRule>
  </conditionalFormatting>
  <conditionalFormatting sqref="AO23 AM23">
    <cfRule type="expression" dxfId="234" priority="227">
      <formula>OR(IF(AM23&lt;AN23,TRUE),IF(AND(AN23="",AM23&lt;&gt;""),TRUE))</formula>
    </cfRule>
    <cfRule type="expression" dxfId="233" priority="228">
      <formula>IF(AM23&gt;=AN23,IF(AM23="",FALSE,TRUE))</formula>
    </cfRule>
  </conditionalFormatting>
  <conditionalFormatting sqref="AM24 AO24">
    <cfRule type="expression" dxfId="232" priority="225">
      <formula>OR(IF(AM24&lt;AN24,TRUE),IF(AND(AN24="",AM24&lt;&gt;""),TRUE))</formula>
    </cfRule>
    <cfRule type="expression" dxfId="231" priority="226">
      <formula>IF(AM24&gt;=AN24,IF(AM24="",FALSE,TRUE))</formula>
    </cfRule>
  </conditionalFormatting>
  <conditionalFormatting sqref="AM20 AO20 AM22 AO22 AM25 AO25">
    <cfRule type="expression" dxfId="230" priority="223">
      <formula>OR(IF(AM20&lt;AN20,TRUE),IF(AND(AN20="",AM20&lt;&gt;""),TRUE))</formula>
    </cfRule>
    <cfRule type="expression" dxfId="229" priority="224">
      <formula>IF(AM20&gt;=AN20,IF(AM20="",FALSE,TRUE))</formula>
    </cfRule>
  </conditionalFormatting>
  <conditionalFormatting sqref="AM21 AO21 AM26 AO26">
    <cfRule type="expression" dxfId="228" priority="221">
      <formula>OR(IF(AM21&lt;AN21,TRUE),IF(AND(AN21="",AM21&lt;&gt;""),TRUE))</formula>
    </cfRule>
    <cfRule type="expression" dxfId="227" priority="222">
      <formula>IF(AM21&gt;=AN21,IF(AM21="",FALSE,TRUE))</formula>
    </cfRule>
  </conditionalFormatting>
  <conditionalFormatting sqref="AF18 AH18 AF20 AF22 AF24 AH20 AH22 AH24">
    <cfRule type="expression" dxfId="226" priority="219">
      <formula>OR(IF(AF18&lt;AG18,TRUE),IF(AND(AG18="",AF18&lt;&gt;""),TRUE))</formula>
    </cfRule>
    <cfRule type="expression" dxfId="225" priority="220">
      <formula>IF(AF18&gt;=AG18,IF(AF18="",FALSE,TRUE))</formula>
    </cfRule>
  </conditionalFormatting>
  <conditionalFormatting sqref="AF19 AH19 AF21 AF23 AF25 AH21 AH23 AH25">
    <cfRule type="expression" dxfId="224" priority="217">
      <formula>OR(IF(AF19&lt;AG19,TRUE),IF(AND(AG19="",AF19&lt;&gt;""),TRUE))</formula>
    </cfRule>
    <cfRule type="expression" dxfId="223" priority="218">
      <formula>IF(AF19&gt;=AG19,IF(AF19="",FALSE,TRUE))</formula>
    </cfRule>
  </conditionalFormatting>
  <conditionalFormatting sqref="Y18 AA18 Y20 Y22 Y24 AA20 AA22 AA24">
    <cfRule type="expression" dxfId="222" priority="215">
      <formula>OR(IF(Y18&lt;Z18,TRUE),IF(AND(Z18="",Y18&lt;&gt;""),TRUE))</formula>
    </cfRule>
    <cfRule type="expression" dxfId="221" priority="216">
      <formula>IF(Y18&gt;=Z18,IF(Y18="",FALSE,TRUE))</formula>
    </cfRule>
  </conditionalFormatting>
  <conditionalFormatting sqref="Y19 AA19 Y21 Y23 Y25 AA21 AA23 AA25">
    <cfRule type="expression" dxfId="220" priority="213">
      <formula>OR(IF(Y19&lt;Z19,TRUE),IF(AND(Z19="",Y19&lt;&gt;""),TRUE))</formula>
    </cfRule>
    <cfRule type="expression" dxfId="219" priority="214">
      <formula>IF(Y19&gt;=Z19,IF(Y19="",FALSE,TRUE))</formula>
    </cfRule>
  </conditionalFormatting>
  <conditionalFormatting sqref="R18 T18 R20 T20">
    <cfRule type="expression" dxfId="218" priority="211">
      <formula>OR(IF(R18&lt;S18,TRUE),IF(AND(S18="",R18&lt;&gt;""),TRUE))</formula>
    </cfRule>
    <cfRule type="expression" dxfId="217" priority="212">
      <formula>IF(R18&gt;=S18,IF(R18="",FALSE,TRUE))</formula>
    </cfRule>
  </conditionalFormatting>
  <conditionalFormatting sqref="R19 T19 R21 T21">
    <cfRule type="expression" dxfId="216" priority="209">
      <formula>OR(IF(R19&lt;S19,TRUE),IF(AND(S19="",R19&lt;&gt;""),TRUE))</formula>
    </cfRule>
    <cfRule type="expression" dxfId="215" priority="210">
      <formula>IF(R19&gt;=S19,IF(R19="",FALSE,TRUE))</formula>
    </cfRule>
  </conditionalFormatting>
  <conditionalFormatting sqref="CC34:CC39 CE34:CE39">
    <cfRule type="expression" dxfId="214" priority="207">
      <formula>OR(IF(CC34&lt;CD34,TRUE),IF(AND(CD34="",CC34&lt;&gt;""),TRUE))</formula>
    </cfRule>
    <cfRule type="expression" dxfId="213" priority="208">
      <formula>IF(CC34&gt;=CD34,IF(CC34="",FALSE,TRUE))</formula>
    </cfRule>
  </conditionalFormatting>
  <conditionalFormatting sqref="CC40:CC42 CE40:CE42">
    <cfRule type="expression" dxfId="212" priority="205">
      <formula>OR(IF(CC40&lt;CD40,TRUE),IF(AND(CD40="",CC40&lt;&gt;""),TRUE))</formula>
    </cfRule>
    <cfRule type="expression" dxfId="211" priority="206">
      <formula>IF(CC40&gt;=CD40,IF(CC40="",FALSE,TRUE))</formula>
    </cfRule>
  </conditionalFormatting>
  <conditionalFormatting sqref="BV14:BV15 BX14:BX15">
    <cfRule type="expression" dxfId="210" priority="197">
      <formula>OR(IF(BV14&lt;BW14,TRUE),IF(AND(BW14="",BV14&lt;&gt;""),TRUE))</formula>
    </cfRule>
    <cfRule type="expression" dxfId="209" priority="198">
      <formula>IF(BV14&gt;=BW14,IF(BV14="",FALSE,TRUE))</formula>
    </cfRule>
  </conditionalFormatting>
  <conditionalFormatting sqref="CC13:CC15 CE13:CE15">
    <cfRule type="expression" dxfId="208" priority="195">
      <formula>OR(IF(CC13&lt;CD13,TRUE),IF(AND(CD13="",CC13&lt;&gt;""),TRUE))</formula>
    </cfRule>
    <cfRule type="expression" dxfId="207" priority="196">
      <formula>IF(CC13&gt;=CD13,IF(CC13="",FALSE,TRUE))</formula>
    </cfRule>
  </conditionalFormatting>
  <conditionalFormatting sqref="CC5:CC12 CE5:CE12">
    <cfRule type="expression" dxfId="206" priority="193">
      <formula>OR(IF(CC5&lt;CD5,TRUE),IF(AND(CD5="",CC5&lt;&gt;""),TRUE))</formula>
    </cfRule>
    <cfRule type="expression" dxfId="205" priority="194">
      <formula>IF(CC5&gt;=CD5,IF(CC5="",FALSE,TRUE))</formula>
    </cfRule>
  </conditionalFormatting>
  <conditionalFormatting sqref="BO13 BQ13">
    <cfRule type="expression" dxfId="204" priority="191">
      <formula>OR(IF(BO13&lt;BP13,TRUE),IF(AND(BP13="",BO13&lt;&gt;""),TRUE))</formula>
    </cfRule>
    <cfRule type="expression" dxfId="203" priority="192">
      <formula>IF(BO13&gt;=BP13,IF(BO13="",FALSE,TRUE))</formula>
    </cfRule>
  </conditionalFormatting>
  <conditionalFormatting sqref="BV13 BX13">
    <cfRule type="expression" dxfId="202" priority="189">
      <formula>OR(IF(BV13&lt;BW13,TRUE),IF(AND(BW13="",BV13&lt;&gt;""),TRUE))</formula>
    </cfRule>
    <cfRule type="expression" dxfId="201" priority="190">
      <formula>IF(BV13&gt;=BW13,IF(BV13="",FALSE,TRUE))</formula>
    </cfRule>
  </conditionalFormatting>
  <conditionalFormatting sqref="BV34:BV38 BX34:BX38">
    <cfRule type="expression" dxfId="200" priority="187">
      <formula>OR(IF(BV34&lt;BW34,TRUE),IF(AND(BW34="",BV34&lt;&gt;""),TRUE))</formula>
    </cfRule>
    <cfRule type="expression" dxfId="199" priority="188">
      <formula>IF(BV34&gt;=BW34,IF(BV34="",FALSE,TRUE))</formula>
    </cfRule>
  </conditionalFormatting>
  <conditionalFormatting sqref="BV39:BV42 BX39:BX42">
    <cfRule type="expression" dxfId="198" priority="185">
      <formula>OR(IF(BV39&lt;BW39,TRUE),IF(AND(BW39="",BV39&lt;&gt;""),TRUE))</formula>
    </cfRule>
    <cfRule type="expression" dxfId="197" priority="186">
      <formula>IF(BV39&gt;=BW39,IF(BV39="",FALSE,TRUE))</formula>
    </cfRule>
  </conditionalFormatting>
  <conditionalFormatting sqref="BO34:BO37 BQ34:BQ37">
    <cfRule type="expression" dxfId="196" priority="183">
      <formula>OR(IF(BO34&lt;BP34,TRUE),IF(AND(BP34="",BO34&lt;&gt;""),TRUE))</formula>
    </cfRule>
    <cfRule type="expression" dxfId="195" priority="184">
      <formula>IF(BO34&gt;=BP34,IF(BO34="",FALSE,TRUE))</formula>
    </cfRule>
  </conditionalFormatting>
  <conditionalFormatting sqref="BO42 BQ42">
    <cfRule type="expression" dxfId="194" priority="181">
      <formula>OR(IF(BO42&lt;BP42,TRUE),IF(AND(BP42="",BO42&lt;&gt;""),TRUE))</formula>
    </cfRule>
    <cfRule type="expression" dxfId="193" priority="182">
      <formula>IF(BO42&gt;=BP42,IF(BO42="",FALSE,TRUE))</formula>
    </cfRule>
  </conditionalFormatting>
  <conditionalFormatting sqref="BO38:BO41 BQ38:BQ41">
    <cfRule type="expression" dxfId="192" priority="179">
      <formula>OR(IF(BO38&lt;BP38,TRUE),IF(AND(BP38="",BO38&lt;&gt;""),TRUE))</formula>
    </cfRule>
    <cfRule type="expression" dxfId="191" priority="180">
      <formula>IF(BO38&gt;=BP38,IF(BO38="",FALSE,TRUE))</formula>
    </cfRule>
  </conditionalFormatting>
  <conditionalFormatting sqref="BH41 BJ41">
    <cfRule type="expression" dxfId="190" priority="177">
      <formula>OR(IF(BH41&lt;BI41,TRUE),IF(AND(BI41="",BH41&lt;&gt;""),TRUE))</formula>
    </cfRule>
    <cfRule type="expression" dxfId="189" priority="178">
      <formula>IF(BH41&gt;=BI41,IF(BH41="",FALSE,TRUE))</formula>
    </cfRule>
  </conditionalFormatting>
  <conditionalFormatting sqref="BH37:BH40 BJ37:BJ40 BH42 BJ42">
    <cfRule type="expression" dxfId="188" priority="175">
      <formula>OR(IF(BH37&lt;BI37,TRUE),IF(AND(BI37="",BH37&lt;&gt;""),TRUE))</formula>
    </cfRule>
    <cfRule type="expression" dxfId="187" priority="176">
      <formula>IF(BH37&gt;=BI37,IF(BH37="",FALSE,TRUE))</formula>
    </cfRule>
  </conditionalFormatting>
  <conditionalFormatting sqref="BH34:BH36 BJ34:BJ36">
    <cfRule type="expression" dxfId="186" priority="173">
      <formula>OR(IF(BH34&lt;BI34,TRUE),IF(AND(BI34="",BH34&lt;&gt;""),TRUE))</formula>
    </cfRule>
    <cfRule type="expression" dxfId="185" priority="174">
      <formula>IF(BH34&gt;=BI34,IF(BH34="",FALSE,TRUE))</formula>
    </cfRule>
  </conditionalFormatting>
  <conditionalFormatting sqref="BA38 BC38">
    <cfRule type="expression" dxfId="184" priority="171">
      <formula>OR(IF(BA38&lt;BB38,TRUE),IF(AND(BB38="",BA38&lt;&gt;""),TRUE))</formula>
    </cfRule>
    <cfRule type="expression" dxfId="183" priority="172">
      <formula>IF(BA38&gt;=BB38,IF(BA38="",FALSE,TRUE))</formula>
    </cfRule>
  </conditionalFormatting>
  <conditionalFormatting sqref="BA34:BA37 BC34:BC37 BA39:BA42 BC39:BC42">
    <cfRule type="expression" dxfId="182" priority="169">
      <formula>OR(IF(BA34&lt;BB34,TRUE),IF(AND(BB34="",BA34&lt;&gt;""),TRUE))</formula>
    </cfRule>
    <cfRule type="expression" dxfId="181" priority="170">
      <formula>IF(BA34&gt;=BB34,IF(BA34="",FALSE,TRUE))</formula>
    </cfRule>
  </conditionalFormatting>
  <conditionalFormatting sqref="AT38 AV38">
    <cfRule type="expression" dxfId="180" priority="167">
      <formula>OR(IF(AT38&lt;AU38,TRUE),IF(AND(AU38="",AT38&lt;&gt;""),TRUE))</formula>
    </cfRule>
    <cfRule type="expression" dxfId="179" priority="168">
      <formula>IF(AT38&gt;=AU38,IF(AT38="",FALSE,TRUE))</formula>
    </cfRule>
  </conditionalFormatting>
  <conditionalFormatting sqref="AT34:AT37 AV34:AV37 AT39 AV39">
    <cfRule type="expression" dxfId="178" priority="165">
      <formula>OR(IF(AT34&lt;AU34,TRUE),IF(AND(AU34="",AT34&lt;&gt;""),TRUE))</formula>
    </cfRule>
    <cfRule type="expression" dxfId="177" priority="166">
      <formula>IF(AT34&gt;=AU34,IF(AT34="",FALSE,TRUE))</formula>
    </cfRule>
  </conditionalFormatting>
  <conditionalFormatting sqref="AV41 AT41">
    <cfRule type="expression" dxfId="176" priority="163">
      <formula>OR(IF(AT41&lt;AU41,TRUE),IF(AND(AU41="",AT41&lt;&gt;""),TRUE))</formula>
    </cfRule>
    <cfRule type="expression" dxfId="175" priority="164">
      <formula>IF(AT41&gt;=AU41,IF(AT41="",FALSE,TRUE))</formula>
    </cfRule>
  </conditionalFormatting>
  <conditionalFormatting sqref="AT42 AV42">
    <cfRule type="expression" dxfId="174" priority="161">
      <formula>OR(IF(AT42&lt;AU42,TRUE),IF(AND(AU42="",AT42&lt;&gt;""),TRUE))</formula>
    </cfRule>
    <cfRule type="expression" dxfId="173" priority="162">
      <formula>IF(AT42&gt;=AU42,IF(AT42="",FALSE,TRUE))</formula>
    </cfRule>
  </conditionalFormatting>
  <conditionalFormatting sqref="AT40 AV40">
    <cfRule type="expression" dxfId="172" priority="159">
      <formula>OR(IF(AT40&lt;AU40,TRUE),IF(AND(AU40="",AT40&lt;&gt;""),TRUE))</formula>
    </cfRule>
    <cfRule type="expression" dxfId="171" priority="160">
      <formula>IF(AT40&gt;=AU40,IF(AT40="",FALSE,TRUE))</formula>
    </cfRule>
  </conditionalFormatting>
  <conditionalFormatting sqref="AO41 AM41">
    <cfRule type="expression" dxfId="170" priority="157">
      <formula>OR(IF(AM41&lt;AN41,TRUE),IF(AND(AN41="",AM41&lt;&gt;""),TRUE))</formula>
    </cfRule>
    <cfRule type="expression" dxfId="169" priority="158">
      <formula>IF(AM41&gt;=AN41,IF(AM41="",FALSE,TRUE))</formula>
    </cfRule>
  </conditionalFormatting>
  <conditionalFormatting sqref="AM42 AO42">
    <cfRule type="expression" dxfId="168" priority="155">
      <formula>OR(IF(AM42&lt;AN42,TRUE),IF(AND(AN42="",AM42&lt;&gt;""),TRUE))</formula>
    </cfRule>
    <cfRule type="expression" dxfId="167" priority="156">
      <formula>IF(AM42&gt;=AN42,IF(AM42="",FALSE,TRUE))</formula>
    </cfRule>
  </conditionalFormatting>
  <conditionalFormatting sqref="AM37:AM40 AO37:AO40">
    <cfRule type="expression" dxfId="166" priority="153">
      <formula>OR(IF(AM37&lt;AN37,TRUE),IF(AND(AN37="",AM37&lt;&gt;""),TRUE))</formula>
    </cfRule>
    <cfRule type="expression" dxfId="165" priority="154">
      <formula>IF(AM37&gt;=AN37,IF(AM37="",FALSE,TRUE))</formula>
    </cfRule>
  </conditionalFormatting>
  <conditionalFormatting sqref="AM34:AM36 AO34:AO36">
    <cfRule type="expression" dxfId="164" priority="151">
      <formula>OR(IF(AM34&lt;AN34,TRUE),IF(AND(AN34="",AM34&lt;&gt;""),TRUE))</formula>
    </cfRule>
    <cfRule type="expression" dxfId="163" priority="152">
      <formula>IF(AM34&gt;=AN34,IF(AM34="",FALSE,TRUE))</formula>
    </cfRule>
  </conditionalFormatting>
  <conditionalFormatting sqref="AH40 AF40">
    <cfRule type="expression" dxfId="162" priority="149">
      <formula>OR(IF(AF40&lt;AG40,TRUE),IF(AND(AG40="",AF40&lt;&gt;""),TRUE))</formula>
    </cfRule>
    <cfRule type="expression" dxfId="161" priority="150">
      <formula>IF(AF40&gt;=AG40,IF(AF40="",FALSE,TRUE))</formula>
    </cfRule>
  </conditionalFormatting>
  <conditionalFormatting sqref="AF41 AH41">
    <cfRule type="expression" dxfId="160" priority="147">
      <formula>OR(IF(AF41&lt;AG41,TRUE),IF(AND(AG41="",AF41&lt;&gt;""),TRUE))</formula>
    </cfRule>
    <cfRule type="expression" dxfId="159" priority="148">
      <formula>IF(AF41&gt;=AG41,IF(AF41="",FALSE,TRUE))</formula>
    </cfRule>
  </conditionalFormatting>
  <conditionalFormatting sqref="AF34:AF39 AH34:AH39 AF42 AH42">
    <cfRule type="expression" dxfId="158" priority="145">
      <formula>OR(IF(AF34&lt;AG34,TRUE),IF(AND(AG34="",AF34&lt;&gt;""),TRUE))</formula>
    </cfRule>
    <cfRule type="expression" dxfId="157" priority="146">
      <formula>IF(AF34&gt;=AG34,IF(AF34="",FALSE,TRUE))</formula>
    </cfRule>
  </conditionalFormatting>
  <conditionalFormatting sqref="Y34:Y39 AA34:AA39">
    <cfRule type="expression" dxfId="156" priority="143">
      <formula>OR(IF(Y34&lt;Z34,TRUE),IF(AND(Z34="",Y34&lt;&gt;""),TRUE))</formula>
    </cfRule>
    <cfRule type="expression" dxfId="155" priority="144">
      <formula>IF(Y34&gt;=Z34,IF(Y34="",FALSE,TRUE))</formula>
    </cfRule>
  </conditionalFormatting>
  <conditionalFormatting sqref="R34:R36 T34:T36">
    <cfRule type="expression" dxfId="154" priority="141">
      <formula>OR(IF(R34&lt;S34,TRUE),IF(AND(S34="",R34&lt;&gt;""),TRUE))</formula>
    </cfRule>
    <cfRule type="expression" dxfId="153" priority="142">
      <formula>IF(R34&gt;=S34,IF(R34="",FALSE,TRUE))</formula>
    </cfRule>
  </conditionalFormatting>
  <conditionalFormatting sqref="BV55:BV59 BX55:BX59">
    <cfRule type="expression" dxfId="152" priority="139">
      <formula>OR(IF(BV55&lt;BW55,TRUE),IF(AND(BW55="",BV55&lt;&gt;""),TRUE))</formula>
    </cfRule>
    <cfRule type="expression" dxfId="151" priority="140">
      <formula>IF(BV55&gt;=BW55,IF(BV55="",FALSE,TRUE))</formula>
    </cfRule>
  </conditionalFormatting>
  <conditionalFormatting sqref="BV62 BX62">
    <cfRule type="expression" dxfId="150" priority="137">
      <formula>OR(IF(BV62&lt;BW62,TRUE),IF(AND(BW62="",BV62&lt;&gt;""),TRUE))</formula>
    </cfRule>
    <cfRule type="expression" dxfId="149" priority="138">
      <formula>IF(BV62&gt;=BW62,IF(BV62="",FALSE,TRUE))</formula>
    </cfRule>
  </conditionalFormatting>
  <conditionalFormatting sqref="BO60:BO62 BQ60:BQ62">
    <cfRule type="expression" dxfId="148" priority="135">
      <formula>OR(IF(BO60&lt;BP60,TRUE),IF(AND(BP60="",BO60&lt;&gt;""),TRUE))</formula>
    </cfRule>
    <cfRule type="expression" dxfId="147" priority="136">
      <formula>IF(BO60&gt;=BP60,IF(BO60="",FALSE,TRUE))</formula>
    </cfRule>
  </conditionalFormatting>
  <conditionalFormatting sqref="BO55:BO57 BQ55:BQ57">
    <cfRule type="expression" dxfId="146" priority="133">
      <formula>OR(IF(BO55&lt;BP55,TRUE),IF(AND(BP55="",BO55&lt;&gt;""),TRUE))</formula>
    </cfRule>
    <cfRule type="expression" dxfId="145" priority="134">
      <formula>IF(BO55&gt;=BP55,IF(BO55="",FALSE,TRUE))</formula>
    </cfRule>
  </conditionalFormatting>
  <conditionalFormatting sqref="BV60:BV61 BX60:BX61">
    <cfRule type="expression" dxfId="144" priority="131">
      <formula>OR(IF(BV60&lt;BW60,TRUE),IF(AND(BW60="",BV60&lt;&gt;""),TRUE))</formula>
    </cfRule>
    <cfRule type="expression" dxfId="143" priority="132">
      <formula>IF(BV60&gt;=BW60,IF(BV60="",FALSE,TRUE))</formula>
    </cfRule>
  </conditionalFormatting>
  <conditionalFormatting sqref="BO58:BO59 BQ58:BQ59">
    <cfRule type="expression" dxfId="142" priority="129">
      <formula>OR(IF(BO58&lt;BP58,TRUE),IF(AND(BP58="",BO58&lt;&gt;""),TRUE))</formula>
    </cfRule>
    <cfRule type="expression" dxfId="141" priority="130">
      <formula>IF(BO58&gt;=BP58,IF(BO58="",FALSE,TRUE))</formula>
    </cfRule>
  </conditionalFormatting>
  <conditionalFormatting sqref="BH62 BJ62">
    <cfRule type="expression" dxfId="140" priority="127">
      <formula>OR(IF(BH62&lt;BI62,TRUE),IF(AND(BI62="",BH62&lt;&gt;""),TRUE))</formula>
    </cfRule>
    <cfRule type="expression" dxfId="139" priority="128">
      <formula>IF(BH62&gt;=BI62,IF(BH62="",FALSE,TRUE))</formula>
    </cfRule>
  </conditionalFormatting>
  <conditionalFormatting sqref="BH59:BH61 BJ59:BJ61">
    <cfRule type="expression" dxfId="138" priority="125">
      <formula>OR(IF(BH59&lt;BI59,TRUE),IF(AND(BI59="",BH59&lt;&gt;""),TRUE))</formula>
    </cfRule>
    <cfRule type="expression" dxfId="137" priority="126">
      <formula>IF(BH59&gt;=BI59,IF(BH59="",FALSE,TRUE))</formula>
    </cfRule>
  </conditionalFormatting>
  <conditionalFormatting sqref="BH55:BH57 BJ55:BJ57">
    <cfRule type="expression" dxfId="136" priority="123">
      <formula>OR(IF(BH55&lt;BI55,TRUE),IF(AND(BI55="",BH55&lt;&gt;""),TRUE))</formula>
    </cfRule>
    <cfRule type="expression" dxfId="135" priority="124">
      <formula>IF(BH55&gt;=BI55,IF(BH55="",FALSE,TRUE))</formula>
    </cfRule>
  </conditionalFormatting>
  <conditionalFormatting sqref="BH58 BJ58">
    <cfRule type="expression" dxfId="134" priority="121">
      <formula>OR(IF(BH58&lt;BI58,TRUE),IF(AND(BI58="",BH58&lt;&gt;""),TRUE))</formula>
    </cfRule>
    <cfRule type="expression" dxfId="133" priority="122">
      <formula>IF(BH58&gt;=BI58,IF(BH58="",FALSE,TRUE))</formula>
    </cfRule>
  </conditionalFormatting>
  <conditionalFormatting sqref="BA61 BC61">
    <cfRule type="expression" dxfId="132" priority="119">
      <formula>OR(IF(BA61&lt;BB61,TRUE),IF(AND(BB61="",BA61&lt;&gt;""),TRUE))</formula>
    </cfRule>
    <cfRule type="expression" dxfId="131" priority="120">
      <formula>IF(BA61&gt;=BB61,IF(BA61="",FALSE,TRUE))</formula>
    </cfRule>
  </conditionalFormatting>
  <conditionalFormatting sqref="BA57:BA60 BC57:BC60 BA62 BC62">
    <cfRule type="expression" dxfId="130" priority="117">
      <formula>OR(IF(BA57&lt;BB57,TRUE),IF(AND(BB57="",BA57&lt;&gt;""),TRUE))</formula>
    </cfRule>
    <cfRule type="expression" dxfId="129" priority="118">
      <formula>IF(BA57&gt;=BB57,IF(BA57="",FALSE,TRUE))</formula>
    </cfRule>
  </conditionalFormatting>
  <conditionalFormatting sqref="BA55:BA56 BC55:BC56">
    <cfRule type="expression" dxfId="128" priority="115">
      <formula>OR(IF(BA55&lt;BB55,TRUE),IF(AND(BB55="",BA55&lt;&gt;""),TRUE))</formula>
    </cfRule>
    <cfRule type="expression" dxfId="127" priority="116">
      <formula>IF(BA55&gt;=BB55,IF(BA55="",FALSE,TRUE))</formula>
    </cfRule>
  </conditionalFormatting>
  <conditionalFormatting sqref="AT62 AV62">
    <cfRule type="expression" dxfId="126" priority="113">
      <formula>OR(IF(AT62&lt;AU62,TRUE),IF(AND(AU62="",AT62&lt;&gt;""),TRUE))</formula>
    </cfRule>
    <cfRule type="expression" dxfId="125" priority="114">
      <formula>IF(AT62&gt;=AU62,IF(AT62="",FALSE,TRUE))</formula>
    </cfRule>
  </conditionalFormatting>
  <conditionalFormatting sqref="AT59 AV59">
    <cfRule type="expression" dxfId="124" priority="111">
      <formula>OR(IF(AT59&lt;AU59,TRUE),IF(AND(AU59="",AT59&lt;&gt;""),TRUE))</formula>
    </cfRule>
    <cfRule type="expression" dxfId="123" priority="112">
      <formula>IF(AT59&gt;=AU59,IF(AT59="",FALSE,TRUE))</formula>
    </cfRule>
  </conditionalFormatting>
  <conditionalFormatting sqref="AT55:AT58 AV55:AV58 AT60:AT61 AV60:AV61">
    <cfRule type="expression" dxfId="122" priority="109">
      <formula>OR(IF(AT55&lt;AU55,TRUE),IF(AND(AU55="",AT55&lt;&gt;""),TRUE))</formula>
    </cfRule>
    <cfRule type="expression" dxfId="121" priority="110">
      <formula>IF(AT55&gt;=AU55,IF(AT55="",FALSE,TRUE))</formula>
    </cfRule>
  </conditionalFormatting>
  <conditionalFormatting sqref="AM55:AM58 AO55:AO58">
    <cfRule type="expression" dxfId="120" priority="105">
      <formula>OR(IF(AM55&lt;AN55,TRUE),IF(AND(AN55="",AM55&lt;&gt;""),TRUE))</formula>
    </cfRule>
    <cfRule type="expression" dxfId="119" priority="106">
      <formula>IF(AM55&gt;=AN55,IF(AM55="",FALSE,TRUE))</formula>
    </cfRule>
  </conditionalFormatting>
  <conditionalFormatting sqref="AO62 AM62">
    <cfRule type="expression" dxfId="118" priority="103">
      <formula>OR(IF(AM62&lt;AN62,TRUE),IF(AND(AN62="",AM62&lt;&gt;""),TRUE))</formula>
    </cfRule>
    <cfRule type="expression" dxfId="117" priority="104">
      <formula>IF(AM62&gt;=AN62,IF(AM62="",FALSE,TRUE))</formula>
    </cfRule>
  </conditionalFormatting>
  <conditionalFormatting sqref="AO61 AM61">
    <cfRule type="expression" dxfId="116" priority="99">
      <formula>OR(IF(AM61&lt;AN61,TRUE),IF(AND(AN61="",AM61&lt;&gt;""),TRUE))</formula>
    </cfRule>
    <cfRule type="expression" dxfId="115" priority="100">
      <formula>IF(AM61&gt;=AN61,IF(AM61="",FALSE,TRUE))</formula>
    </cfRule>
  </conditionalFormatting>
  <conditionalFormatting sqref="AM59:AM60 AO59:AO60">
    <cfRule type="expression" dxfId="114" priority="97">
      <formula>OR(IF(AM59&lt;AN59,TRUE),IF(AND(AN59="",AM59&lt;&gt;""),TRUE))</formula>
    </cfRule>
    <cfRule type="expression" dxfId="113" priority="98">
      <formula>IF(AM59&gt;=AN59,IF(AM59="",FALSE,TRUE))</formula>
    </cfRule>
  </conditionalFormatting>
  <conditionalFormatting sqref="AH59 AF59">
    <cfRule type="expression" dxfId="112" priority="95">
      <formula>OR(IF(AF59&lt;AG59,TRUE),IF(AND(AG59="",AF59&lt;&gt;""),TRUE))</formula>
    </cfRule>
    <cfRule type="expression" dxfId="111" priority="96">
      <formula>IF(AF59&gt;=AG59,IF(AF59="",FALSE,TRUE))</formula>
    </cfRule>
  </conditionalFormatting>
  <conditionalFormatting sqref="AF60 AH60">
    <cfRule type="expression" dxfId="110" priority="93">
      <formula>OR(IF(AF60&lt;AG60,TRUE),IF(AND(AG60="",AF60&lt;&gt;""),TRUE))</formula>
    </cfRule>
    <cfRule type="expression" dxfId="109" priority="94">
      <formula>IF(AF60&gt;=AG60,IF(AF60="",FALSE,TRUE))</formula>
    </cfRule>
  </conditionalFormatting>
  <conditionalFormatting sqref="AF56:AF58 AH56:AH58 AF61:AF62 AH61:AH62">
    <cfRule type="expression" dxfId="108" priority="91">
      <formula>OR(IF(AF56&lt;AG56,TRUE),IF(AND(AG56="",AF56&lt;&gt;""),TRUE))</formula>
    </cfRule>
    <cfRule type="expression" dxfId="107" priority="92">
      <formula>IF(AF56&gt;=AG56,IF(AF56="",FALSE,TRUE))</formula>
    </cfRule>
  </conditionalFormatting>
  <conditionalFormatting sqref="AF55 AH55">
    <cfRule type="expression" dxfId="106" priority="89">
      <formula>OR(IF(AF55&lt;AG55,TRUE),IF(AND(AG55="",AF55&lt;&gt;""),TRUE))</formula>
    </cfRule>
    <cfRule type="expression" dxfId="105" priority="90">
      <formula>IF(AF55&gt;=AG55,IF(AF55="",FALSE,TRUE))</formula>
    </cfRule>
  </conditionalFormatting>
  <conditionalFormatting sqref="Y55:Y60 AA55:AA60">
    <cfRule type="expression" dxfId="104" priority="87">
      <formula>OR(IF(Y55&lt;Z55,TRUE),IF(AND(Z55="",Y55&lt;&gt;""),TRUE))</formula>
    </cfRule>
    <cfRule type="expression" dxfId="103" priority="88">
      <formula>IF(Y55&gt;=Z55,IF(Y55="",FALSE,TRUE))</formula>
    </cfRule>
  </conditionalFormatting>
  <conditionalFormatting sqref="R55:R57 T55:T57">
    <cfRule type="expression" dxfId="102" priority="85">
      <formula>OR(IF(R55&lt;S55,TRUE),IF(AND(S55="",R55&lt;&gt;""),TRUE))</formula>
    </cfRule>
    <cfRule type="expression" dxfId="101" priority="86">
      <formula>IF(R55&gt;=S55,IF(R55="",FALSE,TRUE))</formula>
    </cfRule>
  </conditionalFormatting>
  <conditionalFormatting sqref="CJ65:CJ72 CL65:CL72">
    <cfRule type="expression" dxfId="100" priority="83">
      <formula>OR(IF(CJ65&lt;CK65,TRUE),IF(AND(CK65="",CJ65&lt;&gt;""),TRUE))</formula>
    </cfRule>
    <cfRule type="expression" dxfId="99" priority="84">
      <formula>IF(CJ65&gt;=CK65,IF(CJ65="",FALSE,TRUE))</formula>
    </cfRule>
  </conditionalFormatting>
  <conditionalFormatting sqref="CJ73:CJ74 CL73:CL74">
    <cfRule type="expression" dxfId="98" priority="81">
      <formula>OR(IF(CJ73&lt;CK73,TRUE),IF(AND(CK73="",CJ73&lt;&gt;""),TRUE))</formula>
    </cfRule>
    <cfRule type="expression" dxfId="97" priority="82">
      <formula>IF(CJ73&gt;=CK73,IF(CJ73="",FALSE,TRUE))</formula>
    </cfRule>
  </conditionalFormatting>
  <conditionalFormatting sqref="CC71:CC74 CE71:CE74">
    <cfRule type="expression" dxfId="96" priority="79">
      <formula>OR(IF(CC71&lt;CD71,TRUE),IF(AND(CD71="",CC71&lt;&gt;""),TRUE))</formula>
    </cfRule>
    <cfRule type="expression" dxfId="95" priority="80">
      <formula>IF(CC71&gt;=CD71,IF(CC71="",FALSE,TRUE))</formula>
    </cfRule>
  </conditionalFormatting>
  <conditionalFormatting sqref="CC65:CC70 CE65:CE70">
    <cfRule type="expression" dxfId="94" priority="77">
      <formula>OR(IF(CC65&lt;CD65,TRUE),IF(AND(CD65="",CC65&lt;&gt;""),TRUE))</formula>
    </cfRule>
    <cfRule type="expression" dxfId="93" priority="78">
      <formula>IF(CC65&gt;=CD65,IF(CC65="",FALSE,TRUE))</formula>
    </cfRule>
  </conditionalFormatting>
  <conditionalFormatting sqref="BV65:BV68 BX65:BX68">
    <cfRule type="expression" dxfId="92" priority="75">
      <formula>OR(IF(BV65&lt;BW65,TRUE),IF(AND(BW65="",BV65&lt;&gt;""),TRUE))</formula>
    </cfRule>
    <cfRule type="expression" dxfId="91" priority="76">
      <formula>IF(BV65&gt;=BW65,IF(BV65="",FALSE,TRUE))</formula>
    </cfRule>
  </conditionalFormatting>
  <conditionalFormatting sqref="BV69:BV74 BX69:BX74">
    <cfRule type="expression" dxfId="90" priority="73">
      <formula>OR(IF(BV69&lt;BW69,TRUE),IF(AND(BW69="",BV69&lt;&gt;""),TRUE))</formula>
    </cfRule>
    <cfRule type="expression" dxfId="89" priority="74">
      <formula>IF(BV69&gt;=BW69,IF(BV69="",FALSE,TRUE))</formula>
    </cfRule>
  </conditionalFormatting>
  <conditionalFormatting sqref="BO67:BO74 BQ67:BQ74">
    <cfRule type="expression" dxfId="88" priority="71">
      <formula>OR(IF(BO67&lt;BP67,TRUE),IF(AND(BP67="",BO67&lt;&gt;""),TRUE))</formula>
    </cfRule>
    <cfRule type="expression" dxfId="87" priority="72">
      <formula>IF(BO67&gt;=BP67,IF(BO67="",FALSE,TRUE))</formula>
    </cfRule>
  </conditionalFormatting>
  <conditionalFormatting sqref="BO65:BO66 BQ65:BQ66">
    <cfRule type="expression" dxfId="86" priority="69">
      <formula>OR(IF(BO65&lt;BP65,TRUE),IF(AND(BP65="",BO65&lt;&gt;""),TRUE))</formula>
    </cfRule>
    <cfRule type="expression" dxfId="85" priority="70">
      <formula>IF(BO65&gt;=BP65,IF(BO65="",FALSE,TRUE))</formula>
    </cfRule>
  </conditionalFormatting>
  <conditionalFormatting sqref="BH65:BH74 BJ65:BJ74">
    <cfRule type="expression" dxfId="84" priority="67">
      <formula>OR(IF(BH65&lt;BI65,TRUE),IF(AND(BI65="",BH65&lt;&gt;""),TRUE))</formula>
    </cfRule>
    <cfRule type="expression" dxfId="83" priority="68">
      <formula>IF(BH65&gt;=BI65,IF(BH65="",FALSE,TRUE))</formula>
    </cfRule>
  </conditionalFormatting>
  <conditionalFormatting sqref="BA65:BA71 BC65:BC71">
    <cfRule type="expression" dxfId="82" priority="65">
      <formula>OR(IF(BA65&lt;BB65,TRUE),IF(AND(BB65="",BA65&lt;&gt;""),TRUE))</formula>
    </cfRule>
    <cfRule type="expression" dxfId="81" priority="66">
      <formula>IF(BA65&gt;=BB65,IF(BA65="",FALSE,TRUE))</formula>
    </cfRule>
  </conditionalFormatting>
  <conditionalFormatting sqref="BA72:BA74 BC72:BC74">
    <cfRule type="expression" dxfId="80" priority="63">
      <formula>OR(IF(BA72&lt;BB72,TRUE),IF(AND(BB72="",BA72&lt;&gt;""),TRUE))</formula>
    </cfRule>
    <cfRule type="expression" dxfId="79" priority="64">
      <formula>IF(BA72&gt;=BB72,IF(BA72="",FALSE,TRUE))</formula>
    </cfRule>
  </conditionalFormatting>
  <conditionalFormatting sqref="AT70:AT74 AV70:AV74">
    <cfRule type="expression" dxfId="78" priority="61">
      <formula>OR(IF(AT70&lt;AU70,TRUE),IF(AND(AU70="",AT70&lt;&gt;""),TRUE))</formula>
    </cfRule>
    <cfRule type="expression" dxfId="77" priority="62">
      <formula>IF(AT70&gt;=AU70,IF(AT70="",FALSE,TRUE))</formula>
    </cfRule>
  </conditionalFormatting>
  <conditionalFormatting sqref="AT65:AT69 AV65:AV69">
    <cfRule type="expression" dxfId="76" priority="59">
      <formula>OR(IF(AT65&lt;AU65,TRUE),IF(AND(AU65="",AT65&lt;&gt;""),TRUE))</formula>
    </cfRule>
    <cfRule type="expression" dxfId="75" priority="60">
      <formula>IF(AT65&gt;=AU65,IF(AT65="",FALSE,TRUE))</formula>
    </cfRule>
  </conditionalFormatting>
  <conditionalFormatting sqref="AM65:AM66 AO65:AO66">
    <cfRule type="expression" dxfId="74" priority="57">
      <formula>OR(IF(AM65&lt;AN65,TRUE),IF(AND(AN65="",AM65&lt;&gt;""),TRUE))</formula>
    </cfRule>
    <cfRule type="expression" dxfId="73" priority="58">
      <formula>IF(AM65&gt;=AN65,IF(AM65="",FALSE,TRUE))</formula>
    </cfRule>
  </conditionalFormatting>
  <conditionalFormatting sqref="AM67:AM74 AO67:AO74">
    <cfRule type="expression" dxfId="72" priority="55">
      <formula>OR(IF(AM67&lt;AN67,TRUE),IF(AND(AN67="",AM67&lt;&gt;""),TRUE))</formula>
    </cfRule>
    <cfRule type="expression" dxfId="71" priority="56">
      <formula>IF(AM67&gt;=AN67,IF(AM67="",FALSE,TRUE))</formula>
    </cfRule>
  </conditionalFormatting>
  <conditionalFormatting sqref="AF65:AF74 AH65:AH74">
    <cfRule type="expression" dxfId="70" priority="53">
      <formula>OR(IF(AF65&lt;AG65,TRUE),IF(AND(AG65="",AF65&lt;&gt;""),TRUE))</formula>
    </cfRule>
    <cfRule type="expression" dxfId="69" priority="54">
      <formula>IF(AF65&gt;=AG65,IF(AF65="",FALSE,TRUE))</formula>
    </cfRule>
  </conditionalFormatting>
  <conditionalFormatting sqref="Y65:Y70 AA65:AA70">
    <cfRule type="expression" dxfId="68" priority="51">
      <formula>OR(IF(Y65&lt;Z65,TRUE),IF(AND(Z65="",Y65&lt;&gt;""),TRUE))</formula>
    </cfRule>
    <cfRule type="expression" dxfId="67" priority="52">
      <formula>IF(Y65&gt;=Z65,IF(Y65="",FALSE,TRUE))</formula>
    </cfRule>
  </conditionalFormatting>
  <conditionalFormatting sqref="R65:R67 T65:T67">
    <cfRule type="expression" dxfId="66" priority="49">
      <formula>OR(IF(R65&lt;S65,TRUE),IF(AND(S65="",R65&lt;&gt;""),TRUE))</formula>
    </cfRule>
    <cfRule type="expression" dxfId="65" priority="50">
      <formula>IF(R65&gt;=S65,IF(R65="",FALSE,TRUE))</formula>
    </cfRule>
  </conditionalFormatting>
  <conditionalFormatting sqref="BO77:BO82 BQ77:BQ82">
    <cfRule type="expression" dxfId="64" priority="47">
      <formula>OR(IF(BO77&lt;BP77,TRUE),IF(AND(BP77="",BO77&lt;&gt;""),TRUE))</formula>
    </cfRule>
    <cfRule type="expression" dxfId="63" priority="48">
      <formula>IF(BO77&gt;=BP77,IF(BO77="",FALSE,TRUE))</formula>
    </cfRule>
  </conditionalFormatting>
  <conditionalFormatting sqref="BO83:BO84 BQ83:BQ84">
    <cfRule type="expression" dxfId="62" priority="45">
      <formula>OR(IF(BO83&lt;BP83,TRUE),IF(AND(BP83="",BO83&lt;&gt;""),TRUE))</formula>
    </cfRule>
    <cfRule type="expression" dxfId="61" priority="46">
      <formula>IF(BO83&gt;=BP83,IF(BO83="",FALSE,TRUE))</formula>
    </cfRule>
  </conditionalFormatting>
  <conditionalFormatting sqref="BH77:BH80 BJ77:BJ80">
    <cfRule type="expression" dxfId="60" priority="43">
      <formula>OR(IF(BH77&lt;BI77,TRUE),IF(AND(BI77="",BH77&lt;&gt;""),TRUE))</formula>
    </cfRule>
    <cfRule type="expression" dxfId="59" priority="44">
      <formula>IF(BH77&gt;=BI77,IF(BH77="",FALSE,TRUE))</formula>
    </cfRule>
  </conditionalFormatting>
  <conditionalFormatting sqref="BH81:BH84 BJ81:BJ84">
    <cfRule type="expression" dxfId="58" priority="41">
      <formula>OR(IF(BH81&lt;BI81,TRUE),IF(AND(BI81="",BH81&lt;&gt;""),TRUE))</formula>
    </cfRule>
    <cfRule type="expression" dxfId="57" priority="42">
      <formula>IF(BH81&gt;=BI81,IF(BH81="",FALSE,TRUE))</formula>
    </cfRule>
  </conditionalFormatting>
  <conditionalFormatting sqref="BE79:BE84">
    <cfRule type="expression" dxfId="56" priority="39">
      <formula>OR(IF(BE79&lt;BF79,TRUE),IF(AND(BF79="",BE79&lt;&gt;""),TRUE))</formula>
    </cfRule>
    <cfRule type="expression" dxfId="55" priority="40">
      <formula>IF(BE79&gt;=BF79,IF(BE79="",FALSE,TRUE))</formula>
    </cfRule>
  </conditionalFormatting>
  <conditionalFormatting sqref="BE77:BE78">
    <cfRule type="expression" dxfId="54" priority="37">
      <formula>OR(IF(BE77&lt;BF77,TRUE),IF(AND(BF77="",BE77&lt;&gt;""),TRUE))</formula>
    </cfRule>
    <cfRule type="expression" dxfId="53" priority="38">
      <formula>IF(BE77&gt;=BF77,IF(BE77="",FALSE,TRUE))</formula>
    </cfRule>
  </conditionalFormatting>
  <conditionalFormatting sqref="BA79:BA84 BC79:BC84">
    <cfRule type="expression" dxfId="52" priority="35">
      <formula>OR(IF(BA79&lt;BB79,TRUE),IF(AND(BB79="",BA79&lt;&gt;""),TRUE))</formula>
    </cfRule>
    <cfRule type="expression" dxfId="51" priority="36">
      <formula>IF(BA79&gt;=BB79,IF(BA79="",FALSE,TRUE))</formula>
    </cfRule>
  </conditionalFormatting>
  <conditionalFormatting sqref="BA77:BA78 BC77:BC78">
    <cfRule type="expression" dxfId="50" priority="33">
      <formula>OR(IF(BA77&lt;BB77,TRUE),IF(AND(BB77="",BA77&lt;&gt;""),TRUE))</formula>
    </cfRule>
    <cfRule type="expression" dxfId="49" priority="34">
      <formula>IF(BA77&gt;=BB77,IF(BA77="",FALSE,TRUE))</formula>
    </cfRule>
  </conditionalFormatting>
  <conditionalFormatting sqref="AT77:AT83 AV77:AV83">
    <cfRule type="expression" dxfId="48" priority="31">
      <formula>OR(IF(AT77&lt;AU77,TRUE),IF(AND(AU77="",AT77&lt;&gt;""),TRUE))</formula>
    </cfRule>
    <cfRule type="expression" dxfId="47" priority="32">
      <formula>IF(AT77&gt;=AU77,IF(AT77="",FALSE,TRUE))</formula>
    </cfRule>
  </conditionalFormatting>
  <conditionalFormatting sqref="AM77:AM80 AO77:AO80">
    <cfRule type="expression" dxfId="46" priority="29">
      <formula>OR(IF(AM77&lt;AN77,TRUE),IF(AND(AN77="",AM77&lt;&gt;""),TRUE))</formula>
    </cfRule>
    <cfRule type="expression" dxfId="45" priority="30">
      <formula>IF(AM77&gt;=AN77,IF(AM77="",FALSE,TRUE))</formula>
    </cfRule>
  </conditionalFormatting>
  <conditionalFormatting sqref="AM82:AM85 AO82:AO85">
    <cfRule type="expression" dxfId="44" priority="27">
      <formula>OR(IF(AM82&lt;AN82,TRUE),IF(AND(AN82="",AM82&lt;&gt;""),TRUE))</formula>
    </cfRule>
    <cfRule type="expression" dxfId="43" priority="28">
      <formula>IF(AM82&gt;=AN82,IF(AM82="",FALSE,TRUE))</formula>
    </cfRule>
  </conditionalFormatting>
  <conditionalFormatting sqref="AF79:AF84 AH79:AH84">
    <cfRule type="expression" dxfId="42" priority="25">
      <formula>OR(IF(AF79&lt;AG79,TRUE),IF(AND(AG79="",AF79&lt;&gt;""),TRUE))</formula>
    </cfRule>
    <cfRule type="expression" dxfId="41" priority="26">
      <formula>IF(AF79&gt;=AG79,IF(AF79="",FALSE,TRUE))</formula>
    </cfRule>
  </conditionalFormatting>
  <conditionalFormatting sqref="AF77 AH77">
    <cfRule type="expression" dxfId="40" priority="23">
      <formula>OR(IF(AF77&lt;AG77,TRUE),IF(AND(AG77="",AF77&lt;&gt;""),TRUE))</formula>
    </cfRule>
    <cfRule type="expression" dxfId="39" priority="24">
      <formula>IF(AF77&gt;=AG77,IF(AF77="",FALSE,TRUE))</formula>
    </cfRule>
  </conditionalFormatting>
  <conditionalFormatting sqref="Y77:Y83 AA77:AA83">
    <cfRule type="expression" dxfId="38" priority="21">
      <formula>OR(IF(Y77&lt;Z77,TRUE),IF(AND(Z77="",Y77&lt;&gt;""),TRUE))</formula>
    </cfRule>
    <cfRule type="expression" dxfId="37" priority="22">
      <formula>IF(Y77&gt;=Z77,IF(Y77="",FALSE,TRUE))</formula>
    </cfRule>
  </conditionalFormatting>
  <conditionalFormatting sqref="AT84 AV84">
    <cfRule type="expression" dxfId="36" priority="19">
      <formula>OR(IF(AT84&lt;AU84,TRUE),IF(AND(AU84="",AT84&lt;&gt;""),TRUE))</formula>
    </cfRule>
    <cfRule type="expression" dxfId="35" priority="20">
      <formula>IF(AT84&gt;=AU84,IF(AT84="",FALSE,TRUE))</formula>
    </cfRule>
  </conditionalFormatting>
  <conditionalFormatting sqref="AM81 AO81">
    <cfRule type="expression" dxfId="34" priority="17">
      <formula>OR(IF(AM81&lt;AN81,TRUE),IF(AND(AN81="",AM81&lt;&gt;""),TRUE))</formula>
    </cfRule>
    <cfRule type="expression" dxfId="33" priority="18">
      <formula>IF(AM81&gt;=AN81,IF(AM81="",FALSE,TRUE))</formula>
    </cfRule>
  </conditionalFormatting>
  <conditionalFormatting sqref="AF78 AH78">
    <cfRule type="expression" dxfId="32" priority="15">
      <formula>OR(IF(AF78&lt;AG78,TRUE),IF(AND(AG78="",AF78&lt;&gt;""),TRUE))</formula>
    </cfRule>
    <cfRule type="expression" dxfId="31" priority="16">
      <formula>IF(AF78&gt;=AG78,IF(AF78="",FALSE,TRUE))</formula>
    </cfRule>
  </conditionalFormatting>
  <conditionalFormatting sqref="R77:R79 T77:T79">
    <cfRule type="expression" dxfId="30" priority="13">
      <formula>OR(IF(R77&lt;S77,TRUE),IF(AND(S77="",R77&lt;&gt;""),TRUE))</formula>
    </cfRule>
    <cfRule type="expression" dxfId="29" priority="14">
      <formula>IF(R77&gt;=S77,IF(R77="",FALSE,TRUE))</formula>
    </cfRule>
  </conditionalFormatting>
  <conditionalFormatting sqref="AF47 AH47">
    <cfRule type="expression" dxfId="28" priority="11">
      <formula>OR(IF(AF47&lt;AG47,TRUE),IF(AND(AG47="",AF47&lt;&gt;""),TRUE))</formula>
    </cfRule>
    <cfRule type="expression" dxfId="27" priority="12">
      <formula>IF(AF47&gt;=AG47,IF(AF47="",FALSE,TRUE))</formula>
    </cfRule>
  </conditionalFormatting>
  <conditionalFormatting sqref="AM48 AO48">
    <cfRule type="expression" dxfId="26" priority="9">
      <formula>OR(IF(AM48&lt;AN48,TRUE),IF(AND(AN48="",AM48&lt;&gt;""),TRUE))</formula>
    </cfRule>
    <cfRule type="expression" dxfId="25" priority="10">
      <formula>IF(AM48&gt;=AN48,IF(AM48="",FALSE,TRUE))</formula>
    </cfRule>
  </conditionalFormatting>
  <conditionalFormatting sqref="AT49 AV49">
    <cfRule type="expression" dxfId="24" priority="7">
      <formula>OR(IF(AT49&lt;AU49,TRUE),IF(AND(AU49="",AT49&lt;&gt;""),TRUE))</formula>
    </cfRule>
    <cfRule type="expression" dxfId="23" priority="8">
      <formula>IF(AT49&gt;=AU49,IF(AT49="",FALSE,TRUE))</formula>
    </cfRule>
  </conditionalFormatting>
  <conditionalFormatting sqref="BA50 BC50">
    <cfRule type="expression" dxfId="22" priority="5">
      <formula>OR(IF(BA50&lt;BB50,TRUE),IF(AND(BB50="",BA50&lt;&gt;""),TRUE))</formula>
    </cfRule>
    <cfRule type="expression" dxfId="21" priority="6">
      <formula>IF(BA50&gt;=BB50,IF(BA50="",FALSE,TRUE))</formula>
    </cfRule>
  </conditionalFormatting>
  <conditionalFormatting sqref="BH51 BJ51">
    <cfRule type="expression" dxfId="20" priority="3">
      <formula>OR(IF(BH51&lt;BI51,TRUE),IF(AND(BI51="",BH51&lt;&gt;""),TRUE))</formula>
    </cfRule>
    <cfRule type="expression" dxfId="19" priority="4">
      <formula>IF(BH51&gt;=BI51,IF(BH51="",FALSE,TRUE))</formula>
    </cfRule>
  </conditionalFormatting>
  <conditionalFormatting sqref="BO52 BQ52">
    <cfRule type="expression" dxfId="18" priority="1">
      <formula>OR(IF(BO52&lt;BP52,TRUE),IF(AND(BP52="",BO52&lt;&gt;""),TRUE))</formula>
    </cfRule>
    <cfRule type="expression" dxfId="17" priority="2">
      <formula>IF(BO52&gt;=BP52,IF(BO52="",FALSE,TRUE))</formula>
    </cfRule>
  </conditionalFormatting>
  <dataValidations count="1">
    <dataValidation type="list" allowBlank="1" showInputMessage="1" showErrorMessage="1" sqref="AF5:AI15 AT5:AW15 BA5:BD15 CC34:CF42 DS87:DV96 R45:U52 Y45:AB52 R77:U84 BV77:BY85 AF45:AI52 Y55:AB62 AF55:AI62 AM55:AP62 AT55:AW62 BA55:BD62 BH55:BK62 Y65:AB74 AF65:AI74 AM65:AP74 AT65:AW74 BA65:BD74 BH65:BK74 AF77:AI84 AM77:AP85 AT77:AW84 Y77:AB84 BA77:BF84 BH77:BK84 BH45:BK52 AM45:AP52 BO55:BR62 BO65:BR74 BO77:BR84 BO5:BR15 AT45:AW52 BV55:BY62 BV65:BY74 R65:U74 CC5:CF15 BV45:BY52 R34:U42 CC65:CF74 CJ34:CM52 CC45:CF52 CQ65:CT74 CJ65:CM74 CC77:CF84 CQ5:CT15 DS34:DV42 CJ55:CM62 R55:U62 CJ77:CM84 CX5:DA15 CQ45:CT52 CQ55:CT62 CC55:CF63 CQ77:CT84 DE5:DH15 CX45:DA52 CX55:DA62 CX65:DA74 CX77:DA84 Y34:AB42 Y5:AB15 DE18:DH31 DE45:DH52 DE55:DH62 DE65:DH74 DE77:DH84 Y18:AB31 AF18:AI31 AT18:AW31 BA18:BD31 BH18:BK31 BO18:BR31 BV18:BY31 CC18:CF31 CJ17:CM31 R5:U15 CC87:CF96 CQ18:CT31 CX18:DA31 DE34:DH42 CX34:DA42 CQ34:CT42 AM18:AP31 R18:U31 BV5:BY15 BV34:BY42 BO34:BR42 BH34:BK42 BA34:BD42 AT34:AW42 AM34:AP42 AF34:AI42 AT87:AW96 CJ5:CM15 R87:U96 Y88:AB96 AF87:AI96 AM87:AP96 BH87:BK96 BA87:BD96 BO87:BR96 BV87:BY96 CJ87:CM96 CQ87:CT96 CX87:DA96 DE87:DH96 DL5:DO15 DL45:DO52 DL55:DO62 DL65:DO74 DL77:DO84 DL18:DO31 DL34:DO42 DL87:DO96 DS5:DV15 DS45:DV52 DS55:DV62 DS65:DV74 DS77:DV84 DS18:DV31 BA45:BD52 BH5:BK15 AM5:AP15 BO45:BR52" xr:uid="{DF46768B-76BD-4AD1-BDD9-05E5E50A35C8}">
      <formula1>"10%,20%,30%,40%,50%,60%,70%,80%,90%,100%"</formula1>
    </dataValidation>
  </dataValidations>
  <pageMargins left="0.7" right="0.7" top="0.75" bottom="0.75" header="0.3" footer="0.3"/>
  <pageSetup paperSize="9" scale="54" orientation="portrait" r:id="rId1"/>
  <colBreaks count="8" manualBreakCount="8">
    <brk id="9" max="1048575" man="1"/>
    <brk id="12" max="100" man="1"/>
    <brk id="23" max="1048575" man="1"/>
    <brk id="36" max="1048575" man="1"/>
    <brk id="51" max="95" man="1"/>
    <brk id="67" max="1048575" man="1"/>
    <brk id="79" max="95" man="1"/>
    <brk id="94" max="1048575" man="1"/>
  </col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58203125" defaultRowHeight="15.5"/>
  <cols>
    <col min="1" max="1" width="16.75" style="11" customWidth="1"/>
    <col min="2" max="2" width="19.08203125" style="11" customWidth="1"/>
    <col min="3" max="3" width="18.08203125" style="11" customWidth="1"/>
    <col min="4" max="4" width="19.5" style="11" customWidth="1"/>
    <col min="8" max="8" width="15.1640625" customWidth="1"/>
    <col min="10" max="10" width="42.08203125" customWidth="1"/>
    <col min="11" max="11" width="28.5" customWidth="1"/>
  </cols>
  <sheetData>
    <row r="1" spans="1:11" ht="31">
      <c r="A1" s="11" t="s">
        <v>33</v>
      </c>
      <c r="B1" s="16" t="s">
        <v>30</v>
      </c>
      <c r="C1" s="16" t="s">
        <v>31</v>
      </c>
      <c r="D1" s="16" t="s">
        <v>32</v>
      </c>
      <c r="E1" s="1" t="s">
        <v>34</v>
      </c>
      <c r="F1" s="1" t="s">
        <v>35</v>
      </c>
      <c r="G1" s="1" t="s">
        <v>36</v>
      </c>
      <c r="H1" s="1" t="s">
        <v>37</v>
      </c>
      <c r="I1" s="1" t="s">
        <v>38</v>
      </c>
      <c r="J1" s="1" t="s">
        <v>39</v>
      </c>
      <c r="K1" s="1" t="s">
        <v>40</v>
      </c>
    </row>
    <row r="2" spans="1:11">
      <c r="A2" s="15">
        <v>44118</v>
      </c>
      <c r="D2" s="17">
        <v>1</v>
      </c>
    </row>
    <row r="3" spans="1:11">
      <c r="A3" s="15">
        <v>44119</v>
      </c>
    </row>
    <row r="4" spans="1:11">
      <c r="A4" s="15">
        <v>44120</v>
      </c>
    </row>
    <row r="5" spans="1:11">
      <c r="A5" s="15">
        <v>44121</v>
      </c>
    </row>
    <row r="6" spans="1:11">
      <c r="A6" s="15">
        <v>44122</v>
      </c>
    </row>
    <row r="7" spans="1:11">
      <c r="A7" s="15">
        <v>44123</v>
      </c>
    </row>
    <row r="8" spans="1:11">
      <c r="A8" s="15">
        <v>44124</v>
      </c>
    </row>
    <row r="9" spans="1:11">
      <c r="A9" s="15">
        <v>44125</v>
      </c>
    </row>
    <row r="10" spans="1:11">
      <c r="A10" s="15">
        <v>44126</v>
      </c>
    </row>
    <row r="11" spans="1:11">
      <c r="A11" s="15">
        <v>44127</v>
      </c>
    </row>
    <row r="12" spans="1:11">
      <c r="A12" s="15">
        <v>44128</v>
      </c>
    </row>
    <row r="13" spans="1:11">
      <c r="A13" s="15">
        <v>44129</v>
      </c>
    </row>
    <row r="14" spans="1:11">
      <c r="A14" s="15">
        <v>44130</v>
      </c>
    </row>
    <row r="15" spans="1:11">
      <c r="A15" s="15">
        <v>44131</v>
      </c>
    </row>
    <row r="16" spans="1:11">
      <c r="A16" s="15">
        <v>44132</v>
      </c>
    </row>
    <row r="17" spans="1:1">
      <c r="A17" s="15">
        <v>44133</v>
      </c>
    </row>
    <row r="18" spans="1:1">
      <c r="A18" s="15">
        <v>44134</v>
      </c>
    </row>
    <row r="19" spans="1:1">
      <c r="A19" s="15">
        <v>44135</v>
      </c>
    </row>
    <row r="20" spans="1:1">
      <c r="A20" s="15">
        <v>44136</v>
      </c>
    </row>
    <row r="21" spans="1:1">
      <c r="A21" s="15">
        <v>44137</v>
      </c>
    </row>
    <row r="22" spans="1:1">
      <c r="A22" s="15">
        <v>44138</v>
      </c>
    </row>
    <row r="23" spans="1:1">
      <c r="A23" s="15">
        <v>44139</v>
      </c>
    </row>
    <row r="24" spans="1:1">
      <c r="A24" s="15">
        <v>44140</v>
      </c>
    </row>
    <row r="25" spans="1:1">
      <c r="A25" s="15">
        <v>44141</v>
      </c>
    </row>
    <row r="26" spans="1:1">
      <c r="A26" s="15">
        <v>44142</v>
      </c>
    </row>
    <row r="27" spans="1:1">
      <c r="A27" s="15">
        <v>44143</v>
      </c>
    </row>
    <row r="28" spans="1:1">
      <c r="A28" s="15">
        <v>44144</v>
      </c>
    </row>
    <row r="29" spans="1:1">
      <c r="A29" s="15">
        <v>44145</v>
      </c>
    </row>
    <row r="30" spans="1:1">
      <c r="A30" s="15">
        <v>44146</v>
      </c>
    </row>
    <row r="31" spans="1:1">
      <c r="A31" s="15">
        <v>44147</v>
      </c>
    </row>
    <row r="32" spans="1:1">
      <c r="A32" s="15">
        <v>44148</v>
      </c>
    </row>
    <row r="33" spans="1:1">
      <c r="A33" s="15">
        <v>44149</v>
      </c>
    </row>
    <row r="34" spans="1:1">
      <c r="A34" s="15">
        <v>44150</v>
      </c>
    </row>
    <row r="35" spans="1:1">
      <c r="A35" s="15">
        <v>44151</v>
      </c>
    </row>
    <row r="36" spans="1:1">
      <c r="A36" s="15">
        <v>44152</v>
      </c>
    </row>
    <row r="37" spans="1:1">
      <c r="A37" s="15">
        <v>44153</v>
      </c>
    </row>
    <row r="38" spans="1:1">
      <c r="A38" s="15">
        <v>44154</v>
      </c>
    </row>
    <row r="39" spans="1:1">
      <c r="A39" s="15">
        <v>44155</v>
      </c>
    </row>
    <row r="40" spans="1:1">
      <c r="A40" s="15">
        <v>44156</v>
      </c>
    </row>
    <row r="41" spans="1:1">
      <c r="A41" s="15">
        <v>44157</v>
      </c>
    </row>
    <row r="42" spans="1:1">
      <c r="A42" s="15">
        <v>44158</v>
      </c>
    </row>
    <row r="43" spans="1:1">
      <c r="A43" s="15">
        <v>44159</v>
      </c>
    </row>
    <row r="44" spans="1:1">
      <c r="A44" s="15">
        <v>44160</v>
      </c>
    </row>
    <row r="45" spans="1:1">
      <c r="A45" s="15">
        <v>44161</v>
      </c>
    </row>
    <row r="46" spans="1:1">
      <c r="A46" s="15">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abSelected="1" topLeftCell="A10" zoomScale="85" zoomScaleNormal="85" workbookViewId="0">
      <selection activeCell="H21" sqref="H21"/>
    </sheetView>
  </sheetViews>
  <sheetFormatPr baseColWidth="10" defaultColWidth="10.58203125" defaultRowHeight="15.5"/>
  <cols>
    <col min="2" max="8" width="15.58203125" customWidth="1"/>
  </cols>
  <sheetData>
    <row r="1" spans="1:8" ht="25">
      <c r="B1" s="104" t="s">
        <v>175</v>
      </c>
      <c r="C1" s="104"/>
      <c r="D1" s="2"/>
      <c r="E1" s="2"/>
    </row>
    <row r="4" spans="1:8">
      <c r="B4" s="3" t="s">
        <v>3</v>
      </c>
      <c r="C4" s="3" t="s">
        <v>4</v>
      </c>
      <c r="D4" s="3" t="s">
        <v>5</v>
      </c>
      <c r="E4" s="3" t="s">
        <v>6</v>
      </c>
      <c r="F4" s="3" t="s">
        <v>9</v>
      </c>
      <c r="G4" s="3" t="s">
        <v>7</v>
      </c>
      <c r="H4" s="3" t="s">
        <v>8</v>
      </c>
    </row>
    <row r="5" spans="1:8">
      <c r="A5" s="107">
        <v>0.16666666666666666</v>
      </c>
    </row>
    <row r="6" spans="1:8">
      <c r="A6" s="107">
        <v>0.1875</v>
      </c>
    </row>
    <row r="7" spans="1:8">
      <c r="A7" s="107">
        <v>0.20833333333333301</v>
      </c>
    </row>
    <row r="8" spans="1:8">
      <c r="A8" s="107">
        <v>0.22916666666666699</v>
      </c>
    </row>
    <row r="9" spans="1:8">
      <c r="A9" s="107">
        <v>0.25</v>
      </c>
      <c r="D9" t="s">
        <v>180</v>
      </c>
      <c r="E9" t="s">
        <v>180</v>
      </c>
      <c r="F9" t="s">
        <v>180</v>
      </c>
    </row>
    <row r="10" spans="1:8">
      <c r="A10" s="107">
        <v>0.27083333333333398</v>
      </c>
      <c r="B10" t="s">
        <v>180</v>
      </c>
      <c r="C10" t="s">
        <v>180</v>
      </c>
    </row>
    <row r="11" spans="1:8">
      <c r="A11" s="107">
        <v>0.29166666666666702</v>
      </c>
    </row>
    <row r="12" spans="1:8">
      <c r="A12" s="107">
        <v>0.3125</v>
      </c>
      <c r="B12" s="144" t="s">
        <v>181</v>
      </c>
      <c r="C12" s="146" t="s">
        <v>189</v>
      </c>
    </row>
    <row r="13" spans="1:8">
      <c r="A13" s="107">
        <v>0.33333333333333398</v>
      </c>
      <c r="B13" s="144"/>
      <c r="C13" s="146"/>
    </row>
    <row r="14" spans="1:8">
      <c r="A14" s="107">
        <v>0.35416666666666702</v>
      </c>
      <c r="B14" s="144"/>
      <c r="C14" s="146"/>
    </row>
    <row r="15" spans="1:8">
      <c r="A15" s="107">
        <v>0.375</v>
      </c>
      <c r="B15" s="148" t="s">
        <v>183</v>
      </c>
      <c r="C15" s="144" t="s">
        <v>181</v>
      </c>
    </row>
    <row r="16" spans="1:8">
      <c r="A16" s="107">
        <v>0.39583333333333398</v>
      </c>
      <c r="B16" s="148"/>
      <c r="C16" s="144"/>
    </row>
    <row r="17" spans="1:3">
      <c r="A17" s="107">
        <v>0.41666666666666702</v>
      </c>
      <c r="B17" s="148"/>
      <c r="C17" s="144"/>
    </row>
    <row r="18" spans="1:3">
      <c r="A18" s="107">
        <v>0.4375</v>
      </c>
      <c r="B18" s="148"/>
      <c r="C18" s="147" t="s">
        <v>190</v>
      </c>
    </row>
    <row r="19" spans="1:3" ht="15.5" customHeight="1">
      <c r="A19" s="107">
        <v>0.45833333333333398</v>
      </c>
      <c r="B19" s="148" t="s">
        <v>182</v>
      </c>
      <c r="C19" s="147"/>
    </row>
    <row r="20" spans="1:3">
      <c r="A20" s="107">
        <v>0.47916666666666702</v>
      </c>
      <c r="B20" s="148"/>
      <c r="C20" s="147"/>
    </row>
    <row r="21" spans="1:3">
      <c r="A21" s="107">
        <v>0.5</v>
      </c>
      <c r="B21" s="148"/>
      <c r="C21" s="147"/>
    </row>
    <row r="22" spans="1:3">
      <c r="A22" s="107">
        <v>0.52083333333333404</v>
      </c>
      <c r="B22" s="148"/>
      <c r="C22" s="131" t="s">
        <v>184</v>
      </c>
    </row>
    <row r="23" spans="1:3">
      <c r="A23" s="107">
        <v>0.54166666666666696</v>
      </c>
      <c r="B23" s="144" t="s">
        <v>184</v>
      </c>
      <c r="C23" s="143" t="s">
        <v>192</v>
      </c>
    </row>
    <row r="24" spans="1:3">
      <c r="A24" s="107">
        <v>0.5625</v>
      </c>
      <c r="B24" s="144"/>
      <c r="C24" s="143"/>
    </row>
    <row r="25" spans="1:3">
      <c r="A25" s="107">
        <v>0.58333333333333404</v>
      </c>
      <c r="B25" s="148" t="s">
        <v>185</v>
      </c>
      <c r="C25" s="143" t="s">
        <v>191</v>
      </c>
    </row>
    <row r="26" spans="1:3">
      <c r="A26" s="107">
        <v>0.60416666666666696</v>
      </c>
      <c r="B26" s="148"/>
      <c r="C26" s="143"/>
    </row>
    <row r="27" spans="1:3">
      <c r="A27" s="107">
        <v>0.625000000000001</v>
      </c>
      <c r="B27" s="148"/>
      <c r="C27" s="143"/>
    </row>
    <row r="28" spans="1:3">
      <c r="A28" s="107">
        <v>0.64583333333333404</v>
      </c>
      <c r="B28" s="148"/>
      <c r="C28" s="143"/>
    </row>
    <row r="29" spans="1:3">
      <c r="A29" s="107">
        <v>0.66666666666666696</v>
      </c>
      <c r="B29" s="148" t="s">
        <v>187</v>
      </c>
      <c r="C29" s="143"/>
    </row>
    <row r="30" spans="1:3">
      <c r="A30" s="107">
        <v>0.687500000000001</v>
      </c>
      <c r="B30" s="148"/>
      <c r="C30" s="143"/>
    </row>
    <row r="31" spans="1:3">
      <c r="A31" s="107">
        <v>0.70833333333333404</v>
      </c>
      <c r="B31" s="148" t="s">
        <v>186</v>
      </c>
      <c r="C31" s="143"/>
    </row>
    <row r="32" spans="1:3">
      <c r="A32" s="107">
        <v>0.72916666666666696</v>
      </c>
      <c r="B32" s="148"/>
    </row>
    <row r="33" spans="1:3">
      <c r="A33" s="107">
        <v>0.750000000000001</v>
      </c>
      <c r="B33" s="148"/>
      <c r="C33" s="144" t="s">
        <v>193</v>
      </c>
    </row>
    <row r="34" spans="1:3">
      <c r="A34" s="107">
        <v>0.77083333333333404</v>
      </c>
      <c r="B34" s="148"/>
      <c r="C34" s="144"/>
    </row>
    <row r="35" spans="1:3">
      <c r="A35" s="107">
        <v>0.79166666666666696</v>
      </c>
      <c r="B35" s="148"/>
      <c r="C35" s="144"/>
    </row>
    <row r="36" spans="1:3">
      <c r="A36" s="107">
        <v>0.812500000000001</v>
      </c>
      <c r="B36" s="148"/>
      <c r="C36" s="144"/>
    </row>
    <row r="37" spans="1:3">
      <c r="A37" s="107">
        <v>0.83333333333333404</v>
      </c>
      <c r="B37" s="148"/>
      <c r="C37" s="144"/>
    </row>
    <row r="38" spans="1:3">
      <c r="A38" s="107">
        <v>0.85416666666666696</v>
      </c>
    </row>
    <row r="39" spans="1:3">
      <c r="A39" s="107">
        <v>0.875000000000001</v>
      </c>
      <c r="C39" s="138" t="s">
        <v>194</v>
      </c>
    </row>
    <row r="40" spans="1:3">
      <c r="A40" s="107">
        <v>0.89583333333333404</v>
      </c>
    </row>
    <row r="41" spans="1:3">
      <c r="A41" s="107">
        <v>0.91666666666666696</v>
      </c>
      <c r="C41" s="145" t="s">
        <v>195</v>
      </c>
    </row>
    <row r="42" spans="1:3">
      <c r="A42" s="107">
        <v>0.937500000000001</v>
      </c>
      <c r="C42" s="145"/>
    </row>
    <row r="43" spans="1:3">
      <c r="A43" s="107">
        <v>0.95833333333333404</v>
      </c>
      <c r="C43" t="s">
        <v>196</v>
      </c>
    </row>
    <row r="44" spans="1:3">
      <c r="A44" s="107">
        <v>0.97916666666666696</v>
      </c>
    </row>
    <row r="45" spans="1:3">
      <c r="A45" s="107">
        <v>1</v>
      </c>
    </row>
    <row r="46" spans="1:3">
      <c r="A46" s="107">
        <v>1.0208333333333299</v>
      </c>
    </row>
    <row r="47" spans="1:3">
      <c r="A47" s="107">
        <v>1.0416666666666701</v>
      </c>
    </row>
  </sheetData>
  <mergeCells count="14">
    <mergeCell ref="B29:B30"/>
    <mergeCell ref="B31:B37"/>
    <mergeCell ref="B12:B14"/>
    <mergeCell ref="B15:B18"/>
    <mergeCell ref="B19:B22"/>
    <mergeCell ref="B23:B24"/>
    <mergeCell ref="B25:B28"/>
    <mergeCell ref="C25:C31"/>
    <mergeCell ref="C33:C37"/>
    <mergeCell ref="C41:C42"/>
    <mergeCell ref="C12:C14"/>
    <mergeCell ref="C15:C17"/>
    <mergeCell ref="C18:C21"/>
    <mergeCell ref="C23:C24"/>
  </mergeCells>
  <pageMargins left="0.7" right="0.7" top="0.75" bottom="0.75" header="0.3" footer="0.3"/>
  <pageSetup paperSize="9" orientation="portrait" horizontalDpi="4294967293" verticalDpi="4294967293"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58203125" defaultRowHeight="15.5"/>
  <sheetData>
    <row r="1" spans="1:8" ht="25">
      <c r="B1" s="8" t="s">
        <v>20</v>
      </c>
    </row>
    <row r="4" spans="1:8">
      <c r="B4" s="3" t="s">
        <v>3</v>
      </c>
      <c r="C4" s="3" t="s">
        <v>4</v>
      </c>
      <c r="D4" s="3" t="s">
        <v>5</v>
      </c>
      <c r="E4" s="3" t="s">
        <v>6</v>
      </c>
      <c r="F4" s="3" t="s">
        <v>9</v>
      </c>
      <c r="G4" s="3" t="s">
        <v>7</v>
      </c>
      <c r="H4" s="3" t="s">
        <v>8</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14</vt:lpstr>
      <vt:lpstr>Wochenplan KW 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Alena Obsivacova</cp:lastModifiedBy>
  <dcterms:created xsi:type="dcterms:W3CDTF">2020-04-19T13:33:28Z</dcterms:created>
  <dcterms:modified xsi:type="dcterms:W3CDTF">2022-04-05T10:38:49Z</dcterms:modified>
</cp:coreProperties>
</file>