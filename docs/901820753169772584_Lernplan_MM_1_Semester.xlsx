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marco.moritz/Documents/Goethe Uni/Semesterplan/"/>
    </mc:Choice>
  </mc:AlternateContent>
  <xr:revisionPtr revIDLastSave="0" documentId="13_ncr:1_{F8E6C96C-D4FF-C642-B554-E5C715C4C81F}" xr6:coauthVersionLast="47" xr6:coauthVersionMax="47" xr10:uidLastSave="{00000000-0000-0000-0000-000000000000}"/>
  <bookViews>
    <workbookView xWindow="-20" yWindow="500" windowWidth="28800" windowHeight="1750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46" i="7" l="1"/>
  <c r="J46" i="7"/>
  <c r="I46" i="7"/>
  <c r="K45" i="7"/>
  <c r="J45" i="7"/>
  <c r="I45" i="7"/>
  <c r="K44" i="7"/>
  <c r="J44" i="7"/>
  <c r="I44" i="7"/>
  <c r="K43" i="7"/>
  <c r="J43" i="7"/>
  <c r="I43" i="7"/>
  <c r="K42" i="7"/>
  <c r="J42" i="7"/>
  <c r="I42" i="7"/>
  <c r="K41" i="7"/>
  <c r="J41" i="7"/>
  <c r="I41" i="7"/>
  <c r="G40" i="7"/>
  <c r="K31" i="7"/>
  <c r="J32" i="7"/>
  <c r="G26" i="7"/>
  <c r="G4" i="7"/>
  <c r="I24" i="7"/>
  <c r="I23" i="7"/>
  <c r="I22" i="7"/>
  <c r="I21" i="7"/>
  <c r="I20" i="7"/>
  <c r="I19" i="7"/>
  <c r="I16" i="7"/>
  <c r="I6" i="7"/>
  <c r="I7" i="7"/>
  <c r="I8" i="7"/>
  <c r="I9" i="7"/>
  <c r="I10" i="7"/>
  <c r="I11" i="7"/>
  <c r="I12" i="7"/>
  <c r="I13" i="7"/>
  <c r="I14" i="7"/>
  <c r="I15" i="7"/>
  <c r="I5" i="7"/>
  <c r="K38" i="7"/>
  <c r="J38" i="7"/>
  <c r="K37" i="7"/>
  <c r="J37" i="7"/>
  <c r="K36" i="7"/>
  <c r="J36" i="7"/>
  <c r="K35" i="7"/>
  <c r="J35" i="7"/>
  <c r="K34" i="7"/>
  <c r="J34" i="7"/>
  <c r="K33" i="7"/>
  <c r="J33" i="7"/>
  <c r="K32" i="7"/>
  <c r="J31" i="7"/>
  <c r="K30" i="7"/>
  <c r="J30" i="7"/>
  <c r="K29" i="7"/>
  <c r="J29" i="7"/>
  <c r="K28" i="7"/>
  <c r="J28" i="7"/>
  <c r="J5" i="7"/>
  <c r="G18" i="7"/>
  <c r="K24" i="7"/>
  <c r="J24" i="7"/>
  <c r="K23" i="7"/>
  <c r="J23" i="7"/>
  <c r="K22" i="7"/>
  <c r="J22" i="7"/>
  <c r="K21" i="7"/>
  <c r="J21" i="7"/>
  <c r="K20" i="7"/>
  <c r="J20" i="7"/>
  <c r="K19" i="7"/>
  <c r="J19" i="7"/>
  <c r="K6" i="7"/>
  <c r="K7" i="7"/>
  <c r="K8" i="7"/>
  <c r="K9" i="7"/>
  <c r="K10" i="7"/>
  <c r="K11" i="7"/>
  <c r="K12" i="7"/>
  <c r="K13" i="7"/>
  <c r="K14" i="7"/>
  <c r="K15" i="7"/>
  <c r="K16" i="7"/>
  <c r="J6" i="7"/>
  <c r="J7" i="7"/>
  <c r="J8" i="7"/>
  <c r="J9" i="7"/>
  <c r="J10" i="7"/>
  <c r="J11" i="7"/>
  <c r="J12" i="7"/>
  <c r="J13" i="7"/>
  <c r="J14" i="7"/>
  <c r="J15" i="7"/>
  <c r="J16" i="7"/>
  <c r="K5" i="7"/>
  <c r="K40" i="7" l="1"/>
  <c r="J40" i="7"/>
  <c r="K26" i="7"/>
  <c r="J18" i="7"/>
  <c r="K18" i="7"/>
  <c r="K4" i="7"/>
  <c r="J4" i="7" l="1"/>
</calcChain>
</file>

<file path=xl/sharedStrings.xml><?xml version="1.0" encoding="utf-8"?>
<sst xmlns="http://schemas.openxmlformats.org/spreadsheetml/2006/main" count="372" uniqueCount="130">
  <si>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</si>
  <si>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</si>
  <si>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</si>
  <si>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</si>
  <si>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</si>
  <si>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</si>
  <si>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</si>
  <si>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</si>
  <si>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</si>
  <si>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</si>
  <si>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</si>
  <si>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</si>
  <si>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</si>
  <si>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</si>
  <si>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</si>
  <si>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</si>
  <si>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</si>
  <si>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</si>
  <si>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</si>
  <si>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</si>
  <si>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</si>
  <si>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</si>
  <si>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</si>
  <si>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</si>
  <si>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</si>
  <si>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</si>
  <si>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</si>
  <si>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</si>
  <si>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</si>
  <si>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</si>
  <si>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</si>
  <si>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</si>
  <si>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</si>
  <si>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</si>
  <si>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</si>
  <si>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</si>
  <si>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</si>
  <si>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</si>
  <si>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</si>
  <si>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</si>
  <si>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</si>
  <si>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</si>
  <si>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</si>
  <si>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</si>
  <si>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</si>
  <si>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</si>
  <si>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</si>
  <si>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</si>
  <si>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</si>
  <si>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</si>
  <si>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STATISTIK</t>
  </si>
  <si>
    <t>OSTA</t>
  </si>
  <si>
    <t>OBRW</t>
  </si>
  <si>
    <t>OMAT</t>
  </si>
  <si>
    <t>2)Beschreibende Methode univariater Datenanalyse</t>
  </si>
  <si>
    <t>3)Weiterführende Methoden und Zusammenhanganalysen</t>
  </si>
  <si>
    <t>4) Wahrscheinlichkeitsrechnung</t>
  </si>
  <si>
    <t>5) Zufallsvariablen und Verteilungen</t>
  </si>
  <si>
    <t>6) Verteilungsmodelle</t>
  </si>
  <si>
    <t>7) Summen &amp; Mittel von Stichprobenvariablen</t>
  </si>
  <si>
    <t>8) Parameterschätzung</t>
  </si>
  <si>
    <t>9) Konfidenzintervalle</t>
  </si>
  <si>
    <t>10) Statistische Test</t>
  </si>
  <si>
    <t>11) Weitere spezielle Testprobleme</t>
  </si>
  <si>
    <t>12) Das lineare Regressionsmodell</t>
  </si>
  <si>
    <t>2) Gesetzliche Anforderung an die Buchführung</t>
  </si>
  <si>
    <t>3) Grundprinzipien der doppelten Buchführung</t>
  </si>
  <si>
    <t>4) Technik der doppelten Buchführung</t>
  </si>
  <si>
    <t>5) Buchungsfälle</t>
  </si>
  <si>
    <t>6) Der handelsrechte Jahresabschluss</t>
  </si>
  <si>
    <t>1) Matrizen</t>
  </si>
  <si>
    <t>2) Lineare Gleichungssysteme</t>
  </si>
  <si>
    <t>3) Vektoren</t>
  </si>
  <si>
    <t>4) Determinanten</t>
  </si>
  <si>
    <t>5) Inversen</t>
  </si>
  <si>
    <t>6) vollständige Induktion</t>
  </si>
  <si>
    <t>6a) Folgen</t>
  </si>
  <si>
    <t>6b) Reihen</t>
  </si>
  <si>
    <t>7) Reelle Funktionen</t>
  </si>
  <si>
    <t>8) Aproximation</t>
  </si>
  <si>
    <t>9) Univariate Multivariate (Bivariate) Funktionen</t>
  </si>
  <si>
    <t>10) Optimierung</t>
  </si>
  <si>
    <t>KW42</t>
  </si>
  <si>
    <t>KW 43</t>
  </si>
  <si>
    <t>KW 45</t>
  </si>
  <si>
    <t>KW 46</t>
  </si>
  <si>
    <t>KW 48</t>
  </si>
  <si>
    <t>1)Die Bedeutung der Buchführung</t>
  </si>
  <si>
    <t>KW49</t>
  </si>
  <si>
    <t>KW52</t>
  </si>
  <si>
    <t>KW 1</t>
  </si>
  <si>
    <t>KW 44*</t>
  </si>
  <si>
    <t>KW 47*</t>
  </si>
  <si>
    <t>KW50*</t>
  </si>
  <si>
    <t>KW 2 *</t>
  </si>
  <si>
    <t>KW3</t>
  </si>
  <si>
    <t>KW4</t>
  </si>
  <si>
    <t>Recht</t>
  </si>
  <si>
    <t>OREC</t>
  </si>
  <si>
    <t>Gym</t>
  </si>
  <si>
    <t>Weg</t>
  </si>
  <si>
    <t>Rechnungswesen</t>
  </si>
  <si>
    <t>Statistik</t>
  </si>
  <si>
    <t>Statikstik</t>
  </si>
  <si>
    <t>Mathe</t>
  </si>
  <si>
    <t>Mittag</t>
  </si>
  <si>
    <t>Weg + Mittag</t>
  </si>
  <si>
    <t>Rechnunsgwesen</t>
  </si>
  <si>
    <t xml:space="preserve"> </t>
  </si>
  <si>
    <t>Rhythmus</t>
  </si>
  <si>
    <t>M</t>
  </si>
  <si>
    <t>S</t>
  </si>
  <si>
    <t>RW</t>
  </si>
  <si>
    <t xml:space="preserve">R </t>
  </si>
  <si>
    <t>KW5</t>
  </si>
  <si>
    <t>KW6</t>
  </si>
  <si>
    <t>KW7</t>
  </si>
  <si>
    <t>KW8</t>
  </si>
  <si>
    <t>KW9</t>
  </si>
  <si>
    <t>KW10</t>
  </si>
  <si>
    <t>21.02.2022 MATHE KLAUSUR</t>
  </si>
  <si>
    <t>28.02.2022 OSTA KLAUSUR</t>
  </si>
  <si>
    <t>07.03.2022  Recht Klausur</t>
  </si>
  <si>
    <t>09.03.2022 Rechnungswesen Klausur</t>
  </si>
  <si>
    <t>1)Privatrecht</t>
  </si>
  <si>
    <t>2)Privatrecht</t>
  </si>
  <si>
    <t>3)Privatrecht</t>
  </si>
  <si>
    <t>4)Öffentliches Recht</t>
  </si>
  <si>
    <t>5)Öffentliches Recht</t>
  </si>
  <si>
    <t>6)Öffentliches Recht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</si>
</sst>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
      <sz val="8"/>
      <name val="Calibri"/>
      <family val="2"/>
      <scheme val="minor"/>
    </font>
    <font>
      <sz val="12"/>
      <color theme="1"/>
      <name val="Calibri (Textkörper)"/>
    </font>
    <font>
      <sz val="12"/>
      <color rgb="FF9DBEFF"/>
      <name val="Calibri"/>
      <family val="2"/>
      <scheme val="minor"/>
    </font>
    <font>
      <b/>
      <sz val="12"/>
      <color rgb="FF000000"/>
      <name val="Calibri"/>
      <family val="2"/>
      <scheme val="minor"/>
    </font>
  </fonts>
  <fills count="12">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0000"/>
        <bgColor rgb="FF000000"/>
      </patternFill>
    </fill>
    <fill>
      <patternFill patternType="solid">
        <fgColor rgb="FFC00000"/>
        <bgColor indexed="64"/>
      </patternFill>
    </fill>
    <fill>
      <patternFill patternType="solid">
        <fgColor rgb="FFA82A91"/>
        <bgColor indexed="64"/>
      </patternFill>
    </fill>
    <fill>
      <patternFill patternType="solid">
        <fgColor rgb="FF00FE8E"/>
        <bgColor indexed="64"/>
      </patternFill>
    </fill>
    <fill>
      <patternFill patternType="solid">
        <fgColor rgb="FFF7F400"/>
        <bgColor indexed="64"/>
      </patternFill>
    </fill>
    <fill>
      <patternFill patternType="solid">
        <fgColor rgb="FFFFC000"/>
        <bgColor indexed="64"/>
      </patternFill>
    </fill>
    <fill>
      <patternFill patternType="solid">
        <fgColor rgb="FF57DEFE"/>
        <bgColor indexed="64"/>
      </patternFill>
    </fill>
    <fill>
      <patternFill patternType="solid">
        <fgColor rgb="FFFB74E7"/>
        <bgColor indexed="64"/>
      </patternFill>
    </fill>
  </fills>
  <borders count="2">
    <border>
      <left/>
      <right/>
      <top/>
      <bottom/>
      <diagonal/>
    </border>
    <border>
      <left/>
      <right/>
      <top/>
      <bottom style="thin">
        <color indexed="64"/>
      </bottom>
      <diagonal/>
    </border>
  </borders>
  <cellStyleXfs count="1">
    <xf numFmtId="0" fontId="0" fillId="0" borderId="0"/>
  </cellStyleXfs>
  <cellXfs count="5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1" fontId="5" fillId="0" borderId="0" xfId="0" applyNumberFormat="1" applyFont="1" applyAlignment="1">
      <alignment horizontal="center"/>
    </xf>
    <xf numFmtId="0" fontId="5" fillId="0" borderId="0" xfId="0" applyFont="1"/>
    <xf numFmtId="9" fontId="5" fillId="0" borderId="0" xfId="0" applyNumberFormat="1" applyFont="1"/>
    <xf numFmtId="9" fontId="5" fillId="4" borderId="0" xfId="0" applyNumberFormat="1" applyFont="1" applyFill="1"/>
    <xf numFmtId="22" fontId="0" fillId="0" borderId="0" xfId="0" applyNumberFormat="1" applyFont="1"/>
    <xf numFmtId="0" fontId="0" fillId="0" borderId="0" xfId="0" applyFill="1" applyAlignment="1">
      <alignment horizontal="center"/>
    </xf>
    <xf numFmtId="0" fontId="7" fillId="0" borderId="0" xfId="0" applyFont="1" applyFill="1" applyAlignment="1">
      <alignment horizontal="center"/>
    </xf>
    <xf numFmtId="0" fontId="0" fillId="0" borderId="0" xfId="0" applyFill="1" applyAlignment="1">
      <alignment vertical="center"/>
    </xf>
    <xf numFmtId="0" fontId="0" fillId="0" borderId="0" xfId="0" applyFill="1" applyAlignment="1"/>
    <xf numFmtId="0" fontId="7" fillId="0" borderId="0" xfId="0" applyFont="1" applyFill="1" applyAlignment="1">
      <alignment vertical="center"/>
    </xf>
    <xf numFmtId="0" fontId="0" fillId="0" borderId="0" xfId="0" applyAlignment="1">
      <alignment horizontal="center"/>
    </xf>
    <xf numFmtId="0" fontId="0" fillId="0" borderId="0" xfId="0" applyAlignment="1">
      <alignment horizontal="center"/>
    </xf>
    <xf numFmtId="0" fontId="1" fillId="2" borderId="0" xfId="0" applyFont="1" applyFill="1" applyAlignment="1">
      <alignment horizontal="center"/>
    </xf>
    <xf numFmtId="0" fontId="0" fillId="7" borderId="0" xfId="0" applyFill="1" applyAlignment="1">
      <alignment horizontal="center" vertical="center"/>
    </xf>
    <xf numFmtId="0" fontId="0" fillId="10" borderId="0" xfId="0" applyFill="1" applyAlignment="1">
      <alignment horizontal="center" vertical="center"/>
    </xf>
    <xf numFmtId="0" fontId="0" fillId="9" borderId="0" xfId="0" applyFill="1" applyAlignment="1">
      <alignment horizontal="center" vertical="center"/>
    </xf>
    <xf numFmtId="0" fontId="7" fillId="7" borderId="0" xfId="0" applyFont="1" applyFill="1" applyAlignment="1">
      <alignment horizontal="center" vertical="center"/>
    </xf>
    <xf numFmtId="0" fontId="0" fillId="11" borderId="0" xfId="0" applyFill="1" applyAlignment="1">
      <alignment horizontal="center" vertical="center"/>
    </xf>
    <xf numFmtId="0" fontId="7" fillId="10" borderId="0" xfId="0" applyFont="1" applyFill="1" applyAlignment="1">
      <alignment horizontal="center" vertical="center"/>
    </xf>
    <xf numFmtId="0" fontId="7" fillId="9" borderId="0" xfId="0" applyFont="1" applyFill="1" applyAlignment="1">
      <alignment horizontal="center" vertical="center"/>
    </xf>
    <xf numFmtId="0" fontId="7" fillId="8" borderId="0" xfId="0" applyFont="1" applyFill="1" applyAlignment="1">
      <alignment horizontal="center" vertical="center"/>
    </xf>
    <xf numFmtId="0" fontId="8" fillId="8" borderId="0" xfId="0" applyFont="1" applyFill="1" applyAlignment="1">
      <alignment horizontal="center" vertical="center"/>
    </xf>
    <xf numFmtId="0" fontId="7" fillId="11" borderId="0" xfId="0" applyFont="1" applyFill="1" applyAlignment="1">
      <alignment horizontal="center" vertical="center"/>
    </xf>
    <xf numFmtId="0" fontId="0" fillId="8" borderId="0" xfId="0" applyFill="1" applyAlignment="1">
      <alignment horizontal="center" vertical="center"/>
    </xf>
    <xf numFmtId="0" fontId="0" fillId="10" borderId="0" xfId="0" applyFill="1" applyBorder="1" applyAlignment="1">
      <alignment horizontal="center" vertical="center"/>
    </xf>
    <xf numFmtId="0" fontId="0" fillId="10" borderId="1" xfId="0" applyFill="1" applyBorder="1" applyAlignment="1">
      <alignment horizontal="center" vertical="center"/>
    </xf>
    <xf numFmtId="0" fontId="0" fillId="6" borderId="0" xfId="0" applyFill="1" applyAlignment="1">
      <alignment horizontal="center" vertical="center"/>
    </xf>
    <xf numFmtId="0" fontId="0" fillId="5" borderId="0" xfId="0" applyFill="1" applyAlignment="1">
      <alignment horizontal="center" vertical="center"/>
    </xf>
    <xf numFmtId="0" fontId="1" fillId="0" borderId="0" xfId="0" applyFont="1" applyAlignment="1">
      <alignment horizontal="center"/>
    </xf>
    <xf numFmtId="14" fontId="9" fillId="0" borderId="0" xfId="0" applyNumberFormat="1" applyFont="1"/>
    <xf numFmtId="9" fontId="5" fillId="0" borderId="0" xfId="0" applyNumberFormat="1" applyFont="1" applyFill="1"/>
    <xf numFmtId="0" fontId="1" fillId="0" borderId="0" xfId="0" applyFont="1" applyFill="1" applyAlignment="1">
      <alignment horizontal="center"/>
    </xf>
    <xf numFmtId="0" fontId="1" fillId="0" borderId="0" xfId="0" applyFont="1" applyFill="1"/>
  </cellXfs>
  <cellStyles count="1">
    <cellStyle name="Standard" xfId="0" builtinId="0"/>
  </cellStyles>
  <dxfs count="385">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B74E7"/>
      <color rgb="FF57DEFE"/>
      <color rgb="FF00FE8E"/>
      <color rgb="FFF7F400"/>
      <color rgb="FFF7F000"/>
      <color rgb="FF9DBEFF"/>
      <color rgb="FF514DFF"/>
      <color rgb="FF291CFF"/>
      <color rgb="FFA82A91"/>
      <color rgb="FFA365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84">
  <autoFilter ref="A1:K46" xr:uid="{6E266E34-2786-2747-BCE7-51B74867A564}"/>
  <tableColumns count="11">
    <tableColumn id="1" xr3:uid="{95FD92F7-3DC8-704D-A103-A7EDDAB255AB}" name="Datum" dataDxfId="383"/>
    <tableColumn id="2" xr3:uid="{F464D510-8166-E740-A343-FB84BDEF877F}" name="Lerneinheiten durchgezogen" dataDxfId="382"/>
    <tableColumn id="3" xr3:uid="{75F52B08-1A00-0848-BBE6-1EDF7B31B1AD}" name="Tagesplan erstellt" dataDxfId="381"/>
    <tableColumn id="4" xr3:uid="{E6B18D89-E799-AD48-9DAA-37AEE1D29011}" name="Konzentrationslevel" dataDxfId="38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10"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36</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35</v>
      </c>
    </row>
    <row r="19" spans="2:2" ht="153" x14ac:dyDescent="0.2">
      <c r="B19" s="1" t="s">
        <v>37</v>
      </c>
    </row>
    <row r="21" spans="2:2" x14ac:dyDescent="0.2">
      <c r="B21" s="3" t="s">
        <v>21</v>
      </c>
    </row>
    <row r="22" spans="2:2" ht="136" x14ac:dyDescent="0.2">
      <c r="B22" s="1" t="s">
        <v>38</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D54"/>
  <sheetViews>
    <sheetView showGridLines="0" tabSelected="1" zoomScale="85" zoomScaleNormal="83" workbookViewId="0">
      <pane xSplit="7" topLeftCell="H1" activePane="topRight" state="frozen"/>
      <selection activeCell="A2" sqref="A2"/>
      <selection pane="topRight" activeCell="CZ18" sqref="CZ18"/>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s>
  <sheetData>
    <row r="1" spans="2:160" ht="34" x14ac:dyDescent="0.4">
      <c r="B1" s="5" t="s">
        <v>0</v>
      </c>
      <c r="D1" s="5"/>
      <c r="G1" s="15" t="s">
        <v>34</v>
      </c>
      <c r="I1" s="15" t="s">
        <v>34</v>
      </c>
      <c r="J1" s="15" t="s">
        <v>34</v>
      </c>
      <c r="K1" s="15" t="s">
        <v>34</v>
      </c>
    </row>
    <row r="2" spans="2:160" x14ac:dyDescent="0.2">
      <c r="I2" s="30" t="s">
        <v>27</v>
      </c>
      <c r="J2" s="30"/>
      <c r="K2" s="30"/>
      <c r="L2" s="30"/>
      <c r="N2" s="30" t="s">
        <v>82</v>
      </c>
      <c r="O2" s="30"/>
      <c r="P2" s="30"/>
      <c r="Q2" s="30"/>
      <c r="R2" s="30"/>
      <c r="S2" s="30"/>
      <c r="U2" s="30" t="s">
        <v>83</v>
      </c>
      <c r="V2" s="30"/>
      <c r="W2" s="30"/>
      <c r="X2" s="30"/>
      <c r="Y2" s="30"/>
      <c r="Z2" s="30"/>
      <c r="AB2" s="30" t="s">
        <v>91</v>
      </c>
      <c r="AC2" s="30"/>
      <c r="AD2" s="30"/>
      <c r="AE2" s="30"/>
      <c r="AF2" s="30"/>
      <c r="AG2" s="30"/>
      <c r="AI2" s="30" t="s">
        <v>84</v>
      </c>
      <c r="AJ2" s="30"/>
      <c r="AK2" s="30"/>
      <c r="AL2" s="30"/>
      <c r="AM2" s="30"/>
      <c r="AN2" s="30"/>
      <c r="AP2" s="30" t="s">
        <v>85</v>
      </c>
      <c r="AQ2" s="30"/>
      <c r="AR2" s="30"/>
      <c r="AS2" s="30"/>
      <c r="AT2" s="30"/>
      <c r="AU2" s="30"/>
      <c r="AW2" s="30" t="s">
        <v>92</v>
      </c>
      <c r="AX2" s="30"/>
      <c r="AY2" s="30"/>
      <c r="AZ2" s="30"/>
      <c r="BA2" s="30"/>
      <c r="BB2" s="30"/>
      <c r="BD2" s="30" t="s">
        <v>86</v>
      </c>
      <c r="BE2" s="30"/>
      <c r="BF2" s="30"/>
      <c r="BG2" s="30"/>
      <c r="BH2" s="30"/>
      <c r="BI2" s="30"/>
      <c r="BL2" s="30" t="s">
        <v>88</v>
      </c>
      <c r="BM2" s="30"/>
      <c r="BN2" s="30"/>
      <c r="BO2" s="30"/>
      <c r="BP2" s="30"/>
      <c r="BQ2" s="30"/>
      <c r="BS2" s="30" t="s">
        <v>93</v>
      </c>
      <c r="BT2" s="30"/>
      <c r="BU2" s="30"/>
      <c r="BV2" s="30"/>
      <c r="BW2" s="30"/>
      <c r="BX2" s="30"/>
      <c r="BZ2" s="30" t="s">
        <v>89</v>
      </c>
      <c r="CA2" s="30"/>
      <c r="CB2" s="30"/>
      <c r="CC2" s="30"/>
      <c r="CD2" s="30"/>
      <c r="CE2" s="30"/>
      <c r="CG2" s="30" t="s">
        <v>90</v>
      </c>
      <c r="CH2" s="30"/>
      <c r="CI2" s="30"/>
      <c r="CJ2" s="30"/>
      <c r="CK2" s="30"/>
      <c r="CL2" s="30"/>
      <c r="CN2" s="30" t="s">
        <v>94</v>
      </c>
      <c r="CO2" s="30"/>
      <c r="CP2" s="30"/>
      <c r="CQ2" s="30"/>
      <c r="CR2" s="30"/>
      <c r="CS2" s="30"/>
      <c r="CU2" s="30" t="s">
        <v>95</v>
      </c>
      <c r="CV2" s="30"/>
      <c r="CW2" s="30"/>
      <c r="CX2" s="30"/>
      <c r="CY2" s="30"/>
      <c r="CZ2" s="30"/>
      <c r="DB2" s="30" t="s">
        <v>96</v>
      </c>
      <c r="DC2" s="30"/>
      <c r="DD2" s="30"/>
      <c r="DE2" s="30"/>
      <c r="DF2" s="30"/>
      <c r="DG2" s="30"/>
      <c r="DI2" s="30" t="s">
        <v>114</v>
      </c>
      <c r="DJ2" s="30"/>
      <c r="DK2" s="30"/>
      <c r="DL2" s="30"/>
      <c r="DM2" s="30"/>
      <c r="DN2" s="30"/>
      <c r="DP2" s="30" t="s">
        <v>115</v>
      </c>
      <c r="DQ2" s="30"/>
      <c r="DR2" s="30"/>
      <c r="DS2" s="30"/>
      <c r="DT2" s="30"/>
      <c r="DU2" s="30"/>
      <c r="DW2" s="30" t="s">
        <v>116</v>
      </c>
      <c r="DX2" s="30"/>
      <c r="DY2" s="30"/>
      <c r="DZ2" s="30"/>
      <c r="EA2" s="30"/>
      <c r="EB2" s="30"/>
      <c r="ED2" s="30" t="s">
        <v>117</v>
      </c>
      <c r="EE2" s="30"/>
      <c r="EF2" s="30"/>
      <c r="EG2" s="30"/>
      <c r="EH2" s="30"/>
      <c r="EI2" s="30"/>
      <c r="EK2" s="30" t="s">
        <v>118</v>
      </c>
      <c r="EL2" s="30"/>
      <c r="EM2" s="30"/>
      <c r="EN2" s="30"/>
      <c r="EO2" s="30"/>
      <c r="EP2" s="30"/>
      <c r="ER2" s="30" t="s">
        <v>119</v>
      </c>
      <c r="ES2" s="30"/>
      <c r="ET2" s="30"/>
      <c r="EU2" s="30"/>
      <c r="EV2" s="30"/>
      <c r="EW2" s="30"/>
      <c r="EY2" s="49"/>
      <c r="EZ2" s="49"/>
      <c r="FA2" s="49"/>
      <c r="FB2" s="49"/>
      <c r="FC2" s="49"/>
      <c r="FD2" s="49"/>
    </row>
    <row r="3" spans="2:160" x14ac:dyDescent="0.2">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L3" s="6" t="s">
        <v>11</v>
      </c>
      <c r="BM3" s="6" t="s">
        <v>2</v>
      </c>
      <c r="BN3" s="6" t="s">
        <v>33</v>
      </c>
      <c r="BO3" s="6" t="s">
        <v>3</v>
      </c>
      <c r="BP3" s="6" t="s">
        <v>33</v>
      </c>
      <c r="BQ3" s="6" t="s">
        <v>12</v>
      </c>
      <c r="BS3" s="6" t="s">
        <v>11</v>
      </c>
      <c r="BT3" s="6" t="s">
        <v>2</v>
      </c>
      <c r="BU3" s="6" t="s">
        <v>33</v>
      </c>
      <c r="BV3" s="6" t="s">
        <v>3</v>
      </c>
      <c r="BW3" s="6" t="s">
        <v>33</v>
      </c>
      <c r="BX3" s="6" t="s">
        <v>12</v>
      </c>
      <c r="BZ3" s="6" t="s">
        <v>11</v>
      </c>
      <c r="CA3" s="6" t="s">
        <v>2</v>
      </c>
      <c r="CB3" s="6" t="s">
        <v>33</v>
      </c>
      <c r="CC3" s="6" t="s">
        <v>3</v>
      </c>
      <c r="CD3" s="6" t="s">
        <v>33</v>
      </c>
      <c r="CE3" s="6" t="s">
        <v>12</v>
      </c>
      <c r="CG3" s="6" t="s">
        <v>11</v>
      </c>
      <c r="CH3" s="6" t="s">
        <v>2</v>
      </c>
      <c r="CI3" s="6" t="s">
        <v>33</v>
      </c>
      <c r="CJ3" s="6" t="s">
        <v>3</v>
      </c>
      <c r="CK3" s="6" t="s">
        <v>33</v>
      </c>
      <c r="CL3" s="6" t="s">
        <v>12</v>
      </c>
      <c r="CN3" s="6" t="s">
        <v>11</v>
      </c>
      <c r="CO3" s="6" t="s">
        <v>2</v>
      </c>
      <c r="CP3" s="6" t="s">
        <v>33</v>
      </c>
      <c r="CQ3" s="6" t="s">
        <v>3</v>
      </c>
      <c r="CR3" s="6" t="s">
        <v>33</v>
      </c>
      <c r="CS3" s="6" t="s">
        <v>12</v>
      </c>
      <c r="CU3" s="6" t="s">
        <v>11</v>
      </c>
      <c r="CV3" s="6" t="s">
        <v>2</v>
      </c>
      <c r="CW3" s="6" t="s">
        <v>33</v>
      </c>
      <c r="CX3" s="6" t="s">
        <v>3</v>
      </c>
      <c r="CY3" s="6" t="s">
        <v>33</v>
      </c>
      <c r="CZ3" s="6" t="s">
        <v>12</v>
      </c>
      <c r="DB3" s="6" t="s">
        <v>11</v>
      </c>
      <c r="DC3" s="6" t="s">
        <v>2</v>
      </c>
      <c r="DD3" s="6" t="s">
        <v>33</v>
      </c>
      <c r="DE3" s="6" t="s">
        <v>3</v>
      </c>
      <c r="DF3" s="6" t="s">
        <v>33</v>
      </c>
      <c r="DG3" s="6" t="s">
        <v>12</v>
      </c>
      <c r="DI3" s="6" t="s">
        <v>11</v>
      </c>
      <c r="DJ3" s="6" t="s">
        <v>2</v>
      </c>
      <c r="DK3" s="6" t="s">
        <v>33</v>
      </c>
      <c r="DL3" s="6" t="s">
        <v>3</v>
      </c>
      <c r="DM3" s="6" t="s">
        <v>33</v>
      </c>
      <c r="DN3" s="6" t="s">
        <v>12</v>
      </c>
      <c r="DP3" s="6" t="s">
        <v>11</v>
      </c>
      <c r="DQ3" s="6" t="s">
        <v>2</v>
      </c>
      <c r="DR3" s="6" t="s">
        <v>33</v>
      </c>
      <c r="DS3" s="6" t="s">
        <v>3</v>
      </c>
      <c r="DT3" s="6" t="s">
        <v>33</v>
      </c>
      <c r="DU3" s="6" t="s">
        <v>12</v>
      </c>
      <c r="DW3" s="6" t="s">
        <v>11</v>
      </c>
      <c r="DX3" s="6" t="s">
        <v>2</v>
      </c>
      <c r="DY3" s="6" t="s">
        <v>33</v>
      </c>
      <c r="DZ3" s="6" t="s">
        <v>3</v>
      </c>
      <c r="EA3" s="6" t="s">
        <v>33</v>
      </c>
      <c r="EB3" s="6" t="s">
        <v>12</v>
      </c>
      <c r="ED3" s="6" t="s">
        <v>11</v>
      </c>
      <c r="EE3" s="6" t="s">
        <v>2</v>
      </c>
      <c r="EF3" s="6" t="s">
        <v>33</v>
      </c>
      <c r="EG3" s="6" t="s">
        <v>3</v>
      </c>
      <c r="EH3" s="6" t="s">
        <v>33</v>
      </c>
      <c r="EI3" s="6" t="s">
        <v>12</v>
      </c>
      <c r="EK3" s="6" t="s">
        <v>11</v>
      </c>
      <c r="EL3" s="6" t="s">
        <v>2</v>
      </c>
      <c r="EM3" s="6" t="s">
        <v>33</v>
      </c>
      <c r="EN3" s="6" t="s">
        <v>3</v>
      </c>
      <c r="EO3" s="6" t="s">
        <v>33</v>
      </c>
      <c r="EP3" s="6" t="s">
        <v>12</v>
      </c>
      <c r="ER3" s="6" t="s">
        <v>11</v>
      </c>
      <c r="ES3" s="6" t="s">
        <v>2</v>
      </c>
      <c r="ET3" s="6" t="s">
        <v>33</v>
      </c>
      <c r="EU3" s="6" t="s">
        <v>3</v>
      </c>
      <c r="EV3" s="6" t="s">
        <v>33</v>
      </c>
      <c r="EW3" s="6" t="s">
        <v>12</v>
      </c>
      <c r="EY3" s="50"/>
      <c r="EZ3" s="50"/>
      <c r="FA3" s="50"/>
      <c r="FB3" s="50"/>
      <c r="FC3" s="50"/>
      <c r="FD3" s="50"/>
    </row>
    <row r="4" spans="2:160" x14ac:dyDescent="0.2">
      <c r="B4" t="s">
        <v>27</v>
      </c>
      <c r="C4" t="s">
        <v>50</v>
      </c>
      <c r="E4" s="11">
        <v>15</v>
      </c>
      <c r="G4" s="12">
        <f>+SUM(G5:G16)</f>
        <v>0.99999999999999989</v>
      </c>
      <c r="I4" s="14">
        <v>24</v>
      </c>
      <c r="J4" s="13">
        <f>+SUMPRODUCT(G5:G16,J5:J16)</f>
        <v>0.15</v>
      </c>
      <c r="K4" s="13">
        <f>+SUMPRODUCT(G5:G16,K5:K16)</f>
        <v>0.15</v>
      </c>
      <c r="L4" s="11"/>
      <c r="N4" s="14">
        <v>24</v>
      </c>
      <c r="U4" s="14">
        <v>24</v>
      </c>
      <c r="AB4" s="14">
        <v>24</v>
      </c>
      <c r="AI4" s="14">
        <v>24</v>
      </c>
      <c r="AP4" s="14">
        <v>24</v>
      </c>
      <c r="AW4" s="14">
        <v>24</v>
      </c>
      <c r="BD4" s="14">
        <v>24</v>
      </c>
      <c r="BL4" s="14">
        <v>24</v>
      </c>
      <c r="BS4" s="14">
        <v>24</v>
      </c>
      <c r="BZ4" s="14">
        <v>24</v>
      </c>
      <c r="CG4" s="14">
        <v>24</v>
      </c>
      <c r="CN4" s="14">
        <v>24</v>
      </c>
      <c r="CU4" s="14">
        <v>24</v>
      </c>
      <c r="DB4" s="14">
        <v>24</v>
      </c>
      <c r="DI4" s="14">
        <v>24</v>
      </c>
      <c r="DP4" s="14">
        <v>24</v>
      </c>
      <c r="DW4" s="14">
        <v>24</v>
      </c>
      <c r="ED4" s="14">
        <v>24</v>
      </c>
      <c r="EK4" s="14"/>
      <c r="EL4" s="3" t="s">
        <v>121</v>
      </c>
      <c r="ER4" s="14"/>
      <c r="EY4" s="14"/>
    </row>
    <row r="5" spans="2:160" outlineLevel="1" x14ac:dyDescent="0.2">
      <c r="B5" t="s">
        <v>28</v>
      </c>
      <c r="C5" t="s">
        <v>51</v>
      </c>
      <c r="E5" s="11"/>
      <c r="F5" t="s">
        <v>30</v>
      </c>
      <c r="G5" s="12">
        <v>0.1</v>
      </c>
      <c r="I5" s="11">
        <f>+SUMIF($N$3:$ZZ$3,I$3,$N5:$ZZ5)</f>
        <v>0</v>
      </c>
      <c r="J5" s="13">
        <f t="shared" ref="J5:K16" si="0">+_xlfn.MAXIFS($N5:$ZF5,$N$3:$ZF$3,J$3)</f>
        <v>1</v>
      </c>
      <c r="K5" s="13">
        <f t="shared" si="0"/>
        <v>1</v>
      </c>
      <c r="L5" s="11"/>
      <c r="N5">
        <v>0</v>
      </c>
      <c r="O5" s="12">
        <v>1</v>
      </c>
      <c r="P5" s="12">
        <v>0.5</v>
      </c>
      <c r="Q5" s="12">
        <v>1</v>
      </c>
      <c r="R5" s="12">
        <v>0.5</v>
      </c>
      <c r="S5" s="29" t="s">
        <v>108</v>
      </c>
      <c r="V5" s="12"/>
      <c r="W5" s="12">
        <v>1</v>
      </c>
      <c r="X5" s="12"/>
      <c r="Y5" s="12">
        <v>1</v>
      </c>
      <c r="AC5" s="12"/>
      <c r="AD5" s="12">
        <v>1</v>
      </c>
      <c r="AE5" s="12"/>
      <c r="AF5" s="12">
        <v>1</v>
      </c>
      <c r="AJ5" s="12"/>
      <c r="AK5" s="12">
        <v>1</v>
      </c>
      <c r="AL5" s="12"/>
      <c r="AM5" s="12">
        <v>1</v>
      </c>
      <c r="AQ5" s="12"/>
      <c r="AR5" s="12">
        <v>0.8</v>
      </c>
      <c r="AS5" s="12"/>
      <c r="AT5" s="12">
        <v>0.8</v>
      </c>
      <c r="AX5" s="12"/>
      <c r="AY5" s="12">
        <v>0.8</v>
      </c>
      <c r="AZ5" s="12"/>
      <c r="BA5" s="12">
        <v>0.8</v>
      </c>
      <c r="BE5" s="12"/>
      <c r="BF5" s="12">
        <v>1</v>
      </c>
      <c r="BG5" s="12"/>
      <c r="BH5" s="12">
        <v>1</v>
      </c>
      <c r="BM5" s="12"/>
      <c r="BN5" s="12">
        <v>1</v>
      </c>
      <c r="BO5" s="12"/>
      <c r="BP5" s="12">
        <v>1</v>
      </c>
      <c r="BT5" s="12"/>
      <c r="BU5" s="12">
        <v>1</v>
      </c>
      <c r="BV5" s="12"/>
      <c r="BW5" s="12">
        <v>1</v>
      </c>
      <c r="CA5" s="12"/>
      <c r="CB5" s="12">
        <v>1</v>
      </c>
      <c r="CC5" s="12"/>
      <c r="CD5" s="12">
        <v>1</v>
      </c>
      <c r="CH5" s="12"/>
      <c r="CI5" s="12">
        <v>1</v>
      </c>
      <c r="CJ5" s="12"/>
      <c r="CK5" s="12">
        <v>1</v>
      </c>
      <c r="CO5" s="12"/>
      <c r="CP5" s="12">
        <v>1</v>
      </c>
      <c r="CQ5" s="12"/>
      <c r="CR5" s="12">
        <v>1</v>
      </c>
      <c r="CV5" s="12"/>
      <c r="CW5" s="12">
        <v>1</v>
      </c>
      <c r="CX5" s="12"/>
      <c r="CY5" s="12">
        <v>1</v>
      </c>
      <c r="DC5" s="12"/>
      <c r="DD5" s="12">
        <v>1</v>
      </c>
      <c r="DE5" s="12"/>
      <c r="DF5" s="12">
        <v>1</v>
      </c>
      <c r="DJ5" s="12"/>
      <c r="DK5" s="12">
        <v>1</v>
      </c>
      <c r="DL5" s="12"/>
      <c r="DM5" s="12">
        <v>1</v>
      </c>
      <c r="DQ5" s="12"/>
      <c r="DR5" s="12">
        <v>1</v>
      </c>
      <c r="DS5" s="12"/>
      <c r="DT5" s="12">
        <v>1</v>
      </c>
      <c r="DX5" s="12"/>
      <c r="DY5" s="12">
        <v>1</v>
      </c>
      <c r="DZ5" s="12"/>
      <c r="EA5" s="12">
        <v>1</v>
      </c>
      <c r="EE5" s="12"/>
      <c r="EF5" s="12">
        <v>1</v>
      </c>
      <c r="EG5" s="12"/>
      <c r="EH5" s="12">
        <v>1</v>
      </c>
      <c r="EL5" s="12"/>
      <c r="EM5" s="12">
        <v>1</v>
      </c>
      <c r="EN5" s="12"/>
      <c r="EO5" s="12">
        <v>1</v>
      </c>
      <c r="ES5" s="12"/>
      <c r="ET5" s="12">
        <v>1</v>
      </c>
      <c r="EU5" s="12"/>
      <c r="EV5" s="12">
        <v>1</v>
      </c>
      <c r="EZ5" s="12"/>
      <c r="FA5" s="12"/>
      <c r="FB5" s="12"/>
      <c r="FC5" s="12"/>
    </row>
    <row r="6" spans="2:160" outlineLevel="1" x14ac:dyDescent="0.2">
      <c r="B6" t="s">
        <v>28</v>
      </c>
      <c r="C6" t="s">
        <v>51</v>
      </c>
      <c r="E6" s="11"/>
      <c r="F6" t="s">
        <v>54</v>
      </c>
      <c r="G6" s="12">
        <v>0.05</v>
      </c>
      <c r="I6" s="11">
        <f t="shared" ref="I6:I15" si="1">+SUMIF($N$3:$ZZ$3,I$3,$N6:$ZZ6)</f>
        <v>12</v>
      </c>
      <c r="J6" s="13">
        <f t="shared" si="0"/>
        <v>0.5</v>
      </c>
      <c r="K6" s="13">
        <f t="shared" si="0"/>
        <v>0.5</v>
      </c>
      <c r="L6" s="11"/>
      <c r="N6">
        <v>12</v>
      </c>
      <c r="O6" s="12">
        <v>0.5</v>
      </c>
      <c r="P6" s="12">
        <v>0.5</v>
      </c>
      <c r="Q6" s="12">
        <v>0.5</v>
      </c>
      <c r="R6" s="12">
        <v>0.5</v>
      </c>
      <c r="S6" s="29"/>
      <c r="V6" s="12"/>
      <c r="W6" s="12">
        <v>0.5</v>
      </c>
      <c r="X6" s="12"/>
      <c r="Y6" s="12">
        <v>0.5</v>
      </c>
      <c r="AC6" s="12"/>
      <c r="AD6" s="12">
        <v>0.8</v>
      </c>
      <c r="AE6" s="12"/>
      <c r="AF6" s="12">
        <v>0.8</v>
      </c>
      <c r="AJ6" s="12"/>
      <c r="AK6" s="12">
        <v>0.8</v>
      </c>
      <c r="AL6" s="12"/>
      <c r="AM6" s="12">
        <v>0.8</v>
      </c>
      <c r="AQ6" s="12"/>
      <c r="AR6" s="12">
        <v>0.8</v>
      </c>
      <c r="AS6" s="12"/>
      <c r="AT6" s="12">
        <v>0.8</v>
      </c>
      <c r="AX6" s="12"/>
      <c r="AY6" s="12">
        <v>0.8</v>
      </c>
      <c r="AZ6" s="12"/>
      <c r="BA6" s="12">
        <v>0.8</v>
      </c>
      <c r="BE6" s="12"/>
      <c r="BF6" s="12">
        <v>0.8</v>
      </c>
      <c r="BG6" s="12"/>
      <c r="BH6" s="12">
        <v>0.8</v>
      </c>
      <c r="BM6" s="12"/>
      <c r="BN6" s="12">
        <v>1</v>
      </c>
      <c r="BO6" s="12"/>
      <c r="BP6" s="12">
        <v>1</v>
      </c>
      <c r="BT6" s="12"/>
      <c r="BU6" s="12">
        <v>1</v>
      </c>
      <c r="BV6" s="12"/>
      <c r="BW6" s="12">
        <v>1</v>
      </c>
      <c r="CA6" s="12"/>
      <c r="CB6" s="12">
        <v>1</v>
      </c>
      <c r="CC6" s="12"/>
      <c r="CD6" s="12">
        <v>1</v>
      </c>
      <c r="CH6" s="12"/>
      <c r="CI6" s="12">
        <v>1</v>
      </c>
      <c r="CJ6" s="12"/>
      <c r="CK6" s="12">
        <v>1</v>
      </c>
      <c r="CO6" s="12"/>
      <c r="CP6" s="12">
        <v>1</v>
      </c>
      <c r="CQ6" s="12"/>
      <c r="CR6" s="12">
        <v>1</v>
      </c>
      <c r="CV6" s="12"/>
      <c r="CW6" s="12">
        <v>1</v>
      </c>
      <c r="CX6" s="12"/>
      <c r="CY6" s="12">
        <v>1</v>
      </c>
      <c r="DC6" s="12"/>
      <c r="DD6" s="12">
        <v>1</v>
      </c>
      <c r="DE6" s="12"/>
      <c r="DF6" s="12">
        <v>1</v>
      </c>
      <c r="DJ6" s="12"/>
      <c r="DK6" s="12">
        <v>1</v>
      </c>
      <c r="DL6" s="12"/>
      <c r="DM6" s="12">
        <v>1</v>
      </c>
      <c r="DQ6" s="12"/>
      <c r="DR6" s="12">
        <v>1</v>
      </c>
      <c r="DS6" s="12"/>
      <c r="DT6" s="12">
        <v>1</v>
      </c>
      <c r="DX6" s="12"/>
      <c r="DY6" s="12">
        <v>1</v>
      </c>
      <c r="DZ6" s="12"/>
      <c r="EA6" s="12">
        <v>1</v>
      </c>
      <c r="EE6" s="12"/>
      <c r="EF6" s="12">
        <v>1</v>
      </c>
      <c r="EG6" s="12"/>
      <c r="EH6" s="12">
        <v>1</v>
      </c>
      <c r="EL6" s="12"/>
      <c r="EM6" s="12">
        <v>1</v>
      </c>
      <c r="EN6" s="12"/>
      <c r="EO6" s="12">
        <v>1</v>
      </c>
      <c r="ES6" s="12"/>
      <c r="ET6" s="12">
        <v>1</v>
      </c>
      <c r="EU6" s="12"/>
      <c r="EV6" s="12">
        <v>1</v>
      </c>
      <c r="EZ6" s="12"/>
      <c r="FA6" s="12"/>
      <c r="FB6" s="12"/>
      <c r="FC6" s="12"/>
    </row>
    <row r="7" spans="2:160" outlineLevel="1" x14ac:dyDescent="0.2">
      <c r="B7" t="s">
        <v>28</v>
      </c>
      <c r="C7" t="s">
        <v>51</v>
      </c>
      <c r="E7" s="11"/>
      <c r="F7" t="s">
        <v>55</v>
      </c>
      <c r="G7" s="12">
        <v>0.05</v>
      </c>
      <c r="I7" s="11">
        <f t="shared" si="1"/>
        <v>12</v>
      </c>
      <c r="J7" s="13">
        <f t="shared" si="0"/>
        <v>0.5</v>
      </c>
      <c r="K7" s="13">
        <f t="shared" si="0"/>
        <v>0.5</v>
      </c>
      <c r="L7" s="11"/>
      <c r="N7">
        <v>12</v>
      </c>
      <c r="O7" s="12">
        <v>0.5</v>
      </c>
      <c r="P7" s="12">
        <v>0.5</v>
      </c>
      <c r="Q7" s="12">
        <v>0.5</v>
      </c>
      <c r="R7" s="12">
        <v>0.5</v>
      </c>
      <c r="S7" s="29"/>
      <c r="V7" s="12"/>
      <c r="W7" s="12">
        <v>0.5</v>
      </c>
      <c r="X7" s="12"/>
      <c r="Y7" s="12">
        <v>0.5</v>
      </c>
      <c r="AC7" s="12"/>
      <c r="AD7" s="12">
        <v>0.5</v>
      </c>
      <c r="AE7" s="12"/>
      <c r="AF7" s="12">
        <v>0.5</v>
      </c>
      <c r="AJ7" s="12"/>
      <c r="AK7" s="12">
        <v>0.8</v>
      </c>
      <c r="AL7" s="12"/>
      <c r="AM7" s="12">
        <v>0.8</v>
      </c>
      <c r="AQ7" s="12"/>
      <c r="AR7" s="12">
        <v>0.8</v>
      </c>
      <c r="AS7" s="12"/>
      <c r="AT7" s="12">
        <v>0.8</v>
      </c>
      <c r="AX7" s="12"/>
      <c r="AY7" s="12">
        <v>0.8</v>
      </c>
      <c r="AZ7" s="12"/>
      <c r="BA7" s="12">
        <v>0.8</v>
      </c>
      <c r="BE7" s="12"/>
      <c r="BF7" s="12">
        <v>0.8</v>
      </c>
      <c r="BG7" s="12"/>
      <c r="BH7" s="12">
        <v>0.8</v>
      </c>
      <c r="BM7" s="12"/>
      <c r="BN7" s="12">
        <v>1</v>
      </c>
      <c r="BO7" s="12"/>
      <c r="BP7" s="12">
        <v>1</v>
      </c>
      <c r="BT7" s="12"/>
      <c r="BU7" s="12">
        <v>1</v>
      </c>
      <c r="BV7" s="12"/>
      <c r="BW7" s="12">
        <v>1</v>
      </c>
      <c r="CA7" s="12"/>
      <c r="CB7" s="12">
        <v>1</v>
      </c>
      <c r="CC7" s="12"/>
      <c r="CD7" s="12">
        <v>1</v>
      </c>
      <c r="CH7" s="12"/>
      <c r="CI7" s="12">
        <v>1</v>
      </c>
      <c r="CJ7" s="12"/>
      <c r="CK7" s="12">
        <v>1</v>
      </c>
      <c r="CO7" s="12"/>
      <c r="CP7" s="12">
        <v>1</v>
      </c>
      <c r="CQ7" s="12"/>
      <c r="CR7" s="12">
        <v>1</v>
      </c>
      <c r="CV7" s="12"/>
      <c r="CW7" s="12">
        <v>1</v>
      </c>
      <c r="CX7" s="12"/>
      <c r="CY7" s="12">
        <v>1</v>
      </c>
      <c r="DC7" s="12"/>
      <c r="DD7" s="12">
        <v>1</v>
      </c>
      <c r="DE7" s="12"/>
      <c r="DF7" s="12">
        <v>1</v>
      </c>
      <c r="DJ7" s="12"/>
      <c r="DK7" s="12">
        <v>1</v>
      </c>
      <c r="DL7" s="12"/>
      <c r="DM7" s="12">
        <v>1</v>
      </c>
      <c r="DQ7" s="12"/>
      <c r="DR7" s="12">
        <v>1</v>
      </c>
      <c r="DS7" s="12"/>
      <c r="DT7" s="12">
        <v>1</v>
      </c>
      <c r="DX7" s="12"/>
      <c r="DY7" s="12">
        <v>1</v>
      </c>
      <c r="DZ7" s="12"/>
      <c r="EA7" s="12">
        <v>1</v>
      </c>
      <c r="EE7" s="12"/>
      <c r="EF7" s="12">
        <v>1</v>
      </c>
      <c r="EG7" s="12"/>
      <c r="EH7" s="12">
        <v>1</v>
      </c>
      <c r="EL7" s="12"/>
      <c r="EM7" s="12">
        <v>1</v>
      </c>
      <c r="EN7" s="12"/>
      <c r="EO7" s="12">
        <v>1</v>
      </c>
      <c r="ES7" s="12"/>
      <c r="ET7" s="12">
        <v>1</v>
      </c>
      <c r="EU7" s="12"/>
      <c r="EV7" s="12">
        <v>1</v>
      </c>
      <c r="EZ7" s="12"/>
      <c r="FA7" s="12"/>
      <c r="FB7" s="12"/>
      <c r="FC7" s="12"/>
    </row>
    <row r="8" spans="2:160" outlineLevel="1" x14ac:dyDescent="0.2">
      <c r="B8" t="s">
        <v>28</v>
      </c>
      <c r="C8" t="s">
        <v>51</v>
      </c>
      <c r="E8" s="11"/>
      <c r="F8" t="s">
        <v>56</v>
      </c>
      <c r="G8" s="12">
        <v>0.05</v>
      </c>
      <c r="I8" s="11">
        <f t="shared" si="1"/>
        <v>0</v>
      </c>
      <c r="J8" s="13">
        <f t="shared" si="0"/>
        <v>0</v>
      </c>
      <c r="K8" s="13">
        <f t="shared" si="0"/>
        <v>0</v>
      </c>
      <c r="L8" s="11"/>
      <c r="O8" s="12"/>
      <c r="P8" s="12"/>
      <c r="Q8" s="12"/>
      <c r="R8" s="12"/>
      <c r="V8" s="12"/>
      <c r="W8" s="12">
        <v>0.5</v>
      </c>
      <c r="X8" s="12"/>
      <c r="Y8" s="12">
        <v>0.5</v>
      </c>
      <c r="AC8" s="12"/>
      <c r="AD8" s="12">
        <v>0.5</v>
      </c>
      <c r="AE8" s="12"/>
      <c r="AF8" s="12">
        <v>0.5</v>
      </c>
      <c r="AJ8" s="12"/>
      <c r="AK8" s="12">
        <v>0.5</v>
      </c>
      <c r="AL8" s="12"/>
      <c r="AM8" s="12">
        <v>0.5</v>
      </c>
      <c r="AQ8" s="12"/>
      <c r="AR8" s="12">
        <v>0.8</v>
      </c>
      <c r="AS8" s="12"/>
      <c r="AT8" s="12">
        <v>0.8</v>
      </c>
      <c r="AX8" s="12"/>
      <c r="AY8" s="12">
        <v>0.8</v>
      </c>
      <c r="AZ8" s="12"/>
      <c r="BA8" s="12">
        <v>0.8</v>
      </c>
      <c r="BE8" s="12"/>
      <c r="BF8" s="12">
        <v>0.8</v>
      </c>
      <c r="BG8" s="12"/>
      <c r="BH8" s="12">
        <v>0.8</v>
      </c>
      <c r="BM8" s="12"/>
      <c r="BN8" s="12">
        <v>0.8</v>
      </c>
      <c r="BO8" s="12"/>
      <c r="BP8" s="12">
        <v>0.8</v>
      </c>
      <c r="BT8" s="12"/>
      <c r="BU8" s="12">
        <v>1</v>
      </c>
      <c r="BV8" s="12"/>
      <c r="BW8" s="12">
        <v>1</v>
      </c>
      <c r="CA8" s="12"/>
      <c r="CB8" s="12">
        <v>1</v>
      </c>
      <c r="CC8" s="12"/>
      <c r="CD8" s="12">
        <v>1</v>
      </c>
      <c r="CH8" s="12"/>
      <c r="CI8" s="12">
        <v>1</v>
      </c>
      <c r="CJ8" s="12"/>
      <c r="CK8" s="12">
        <v>1</v>
      </c>
      <c r="CO8" s="12"/>
      <c r="CP8" s="12">
        <v>1</v>
      </c>
      <c r="CQ8" s="12"/>
      <c r="CR8" s="12">
        <v>1</v>
      </c>
      <c r="CV8" s="12"/>
      <c r="CW8" s="12">
        <v>1</v>
      </c>
      <c r="CX8" s="12"/>
      <c r="CY8" s="12">
        <v>1</v>
      </c>
      <c r="DC8" s="12"/>
      <c r="DD8" s="12">
        <v>1</v>
      </c>
      <c r="DE8" s="12"/>
      <c r="DF8" s="12">
        <v>1</v>
      </c>
      <c r="DJ8" s="12"/>
      <c r="DK8" s="12">
        <v>1</v>
      </c>
      <c r="DL8" s="12"/>
      <c r="DM8" s="12">
        <v>1</v>
      </c>
      <c r="DQ8" s="12"/>
      <c r="DR8" s="12">
        <v>1</v>
      </c>
      <c r="DS8" s="12"/>
      <c r="DT8" s="12">
        <v>1</v>
      </c>
      <c r="DX8" s="12"/>
      <c r="DY8" s="12">
        <v>1</v>
      </c>
      <c r="DZ8" s="12"/>
      <c r="EA8" s="12">
        <v>1</v>
      </c>
      <c r="EE8" s="12"/>
      <c r="EF8" s="12">
        <v>1</v>
      </c>
      <c r="EG8" s="12"/>
      <c r="EH8" s="12">
        <v>1</v>
      </c>
      <c r="EL8" s="12"/>
      <c r="EM8" s="12">
        <v>1</v>
      </c>
      <c r="EN8" s="12"/>
      <c r="EO8" s="12">
        <v>1</v>
      </c>
      <c r="ES8" s="12"/>
      <c r="ET8" s="12">
        <v>1</v>
      </c>
      <c r="EU8" s="12"/>
      <c r="EV8" s="12">
        <v>1</v>
      </c>
      <c r="EZ8" s="12"/>
      <c r="FA8" s="12"/>
      <c r="FB8" s="12"/>
      <c r="FC8" s="12"/>
    </row>
    <row r="9" spans="2:160" outlineLevel="1" x14ac:dyDescent="0.2">
      <c r="B9" t="s">
        <v>28</v>
      </c>
      <c r="C9" t="s">
        <v>51</v>
      </c>
      <c r="E9" s="11"/>
      <c r="F9" t="s">
        <v>57</v>
      </c>
      <c r="G9" s="12">
        <v>0.05</v>
      </c>
      <c r="I9" s="11">
        <f t="shared" si="1"/>
        <v>0</v>
      </c>
      <c r="J9" s="13">
        <f t="shared" si="0"/>
        <v>0</v>
      </c>
      <c r="K9" s="13">
        <f t="shared" si="0"/>
        <v>0</v>
      </c>
      <c r="L9" s="11"/>
      <c r="O9" s="12"/>
      <c r="P9" s="12"/>
      <c r="Q9" s="12"/>
      <c r="R9" s="12"/>
      <c r="V9" s="12"/>
      <c r="W9" s="12">
        <v>0.5</v>
      </c>
      <c r="X9" s="12"/>
      <c r="Y9" s="12">
        <v>0.5</v>
      </c>
      <c r="AC9" s="12"/>
      <c r="AD9" s="12">
        <v>0.5</v>
      </c>
      <c r="AE9" s="12"/>
      <c r="AF9" s="12">
        <v>0.5</v>
      </c>
      <c r="AJ9" s="12"/>
      <c r="AK9" s="12">
        <v>0.5</v>
      </c>
      <c r="AL9" s="12"/>
      <c r="AM9" s="12">
        <v>0.5</v>
      </c>
      <c r="AQ9" s="12"/>
      <c r="AR9" s="12">
        <v>0.5</v>
      </c>
      <c r="AS9" s="12"/>
      <c r="AT9" s="12">
        <v>0.5</v>
      </c>
      <c r="AX9" s="12"/>
      <c r="AY9" s="12">
        <v>0.8</v>
      </c>
      <c r="AZ9" s="12"/>
      <c r="BA9" s="12">
        <v>0.8</v>
      </c>
      <c r="BE9" s="12"/>
      <c r="BF9" s="12">
        <v>0.8</v>
      </c>
      <c r="BG9" s="12"/>
      <c r="BH9" s="12">
        <v>0.8</v>
      </c>
      <c r="BM9" s="12"/>
      <c r="BN9" s="12">
        <v>0.8</v>
      </c>
      <c r="BO9" s="12"/>
      <c r="BP9" s="12">
        <v>0.8</v>
      </c>
      <c r="BT9" s="12"/>
      <c r="BU9" s="12">
        <v>0.8</v>
      </c>
      <c r="BV9" s="12"/>
      <c r="BW9" s="12">
        <v>0.8</v>
      </c>
      <c r="CA9" s="12"/>
      <c r="CB9" s="12">
        <v>1</v>
      </c>
      <c r="CC9" s="12"/>
      <c r="CD9" s="12">
        <v>1</v>
      </c>
      <c r="CH9" s="12"/>
      <c r="CI9" s="12">
        <v>1</v>
      </c>
      <c r="CJ9" s="12"/>
      <c r="CK9" s="12">
        <v>1</v>
      </c>
      <c r="CO9" s="12"/>
      <c r="CP9" s="12">
        <v>1</v>
      </c>
      <c r="CQ9" s="12"/>
      <c r="CR9" s="12">
        <v>1</v>
      </c>
      <c r="CV9" s="12"/>
      <c r="CW9" s="12">
        <v>1</v>
      </c>
      <c r="CX9" s="12"/>
      <c r="CY9" s="12">
        <v>1</v>
      </c>
      <c r="DC9" s="12"/>
      <c r="DD9" s="12">
        <v>1</v>
      </c>
      <c r="DE9" s="12"/>
      <c r="DF9" s="12">
        <v>1</v>
      </c>
      <c r="DJ9" s="12"/>
      <c r="DK9" s="12">
        <v>1</v>
      </c>
      <c r="DL9" s="12"/>
      <c r="DM9" s="12">
        <v>1</v>
      </c>
      <c r="DQ9" s="12"/>
      <c r="DR9" s="12">
        <v>1</v>
      </c>
      <c r="DS9" s="12"/>
      <c r="DT9" s="12">
        <v>1</v>
      </c>
      <c r="DX9" s="12"/>
      <c r="DY9" s="12">
        <v>1</v>
      </c>
      <c r="DZ9" s="12"/>
      <c r="EA9" s="12">
        <v>1</v>
      </c>
      <c r="EE9" s="12"/>
      <c r="EF9" s="12">
        <v>1</v>
      </c>
      <c r="EG9" s="12"/>
      <c r="EH9" s="12">
        <v>1</v>
      </c>
      <c r="EL9" s="12"/>
      <c r="EM9" s="12">
        <v>1</v>
      </c>
      <c r="EN9" s="12"/>
      <c r="EO9" s="12">
        <v>1</v>
      </c>
      <c r="ES9" s="12"/>
      <c r="ET9" s="12">
        <v>1</v>
      </c>
      <c r="EU9" s="12"/>
      <c r="EV9" s="12">
        <v>1</v>
      </c>
      <c r="EZ9" s="12"/>
      <c r="FA9" s="12"/>
      <c r="FB9" s="12"/>
      <c r="FC9" s="12"/>
    </row>
    <row r="10" spans="2:160" outlineLevel="1" x14ac:dyDescent="0.2">
      <c r="B10" t="s">
        <v>28</v>
      </c>
      <c r="C10" t="s">
        <v>51</v>
      </c>
      <c r="E10" s="11"/>
      <c r="F10" t="s">
        <v>58</v>
      </c>
      <c r="G10" s="12">
        <v>0.1</v>
      </c>
      <c r="I10" s="11">
        <f t="shared" si="1"/>
        <v>0</v>
      </c>
      <c r="J10" s="13">
        <f t="shared" si="0"/>
        <v>0</v>
      </c>
      <c r="K10" s="13">
        <f t="shared" si="0"/>
        <v>0</v>
      </c>
      <c r="L10" s="11"/>
      <c r="O10" s="12"/>
      <c r="P10" s="12"/>
      <c r="Q10" s="12"/>
      <c r="R10" s="12"/>
      <c r="V10" s="12"/>
      <c r="W10" s="12">
        <v>0.5</v>
      </c>
      <c r="X10" s="12"/>
      <c r="Y10" s="12">
        <v>0.5</v>
      </c>
      <c r="AC10" s="12"/>
      <c r="AD10" s="12">
        <v>0.5</v>
      </c>
      <c r="AE10" s="12"/>
      <c r="AF10" s="12">
        <v>0.5</v>
      </c>
      <c r="AJ10" s="12"/>
      <c r="AK10" s="12">
        <v>0.5</v>
      </c>
      <c r="AL10" s="12"/>
      <c r="AM10" s="12">
        <v>0.5</v>
      </c>
      <c r="AQ10" s="12"/>
      <c r="AR10" s="12">
        <v>0.5</v>
      </c>
      <c r="AS10" s="12"/>
      <c r="AT10" s="12">
        <v>0.5</v>
      </c>
      <c r="AX10" s="12"/>
      <c r="AY10" s="12">
        <v>0.5</v>
      </c>
      <c r="AZ10" s="12"/>
      <c r="BA10" s="12">
        <v>0.5</v>
      </c>
      <c r="BE10" s="12"/>
      <c r="BF10" s="12">
        <v>0.8</v>
      </c>
      <c r="BG10" s="12"/>
      <c r="BH10" s="12">
        <v>0.8</v>
      </c>
      <c r="BM10" s="12"/>
      <c r="BN10" s="12">
        <v>0.8</v>
      </c>
      <c r="BO10" s="12"/>
      <c r="BP10" s="12">
        <v>0.8</v>
      </c>
      <c r="BT10" s="12"/>
      <c r="BU10" s="12">
        <v>0.8</v>
      </c>
      <c r="BV10" s="12"/>
      <c r="BW10" s="12">
        <v>0.8</v>
      </c>
      <c r="CA10" s="12"/>
      <c r="CB10" s="12">
        <v>0.8</v>
      </c>
      <c r="CC10" s="12"/>
      <c r="CD10" s="12">
        <v>0.8</v>
      </c>
      <c r="CH10" s="12"/>
      <c r="CI10" s="12">
        <v>1</v>
      </c>
      <c r="CJ10" s="12"/>
      <c r="CK10" s="12">
        <v>1</v>
      </c>
      <c r="CO10" s="12"/>
      <c r="CP10" s="12">
        <v>1</v>
      </c>
      <c r="CQ10" s="12"/>
      <c r="CR10" s="12">
        <v>1</v>
      </c>
      <c r="CV10" s="12"/>
      <c r="CW10" s="12">
        <v>1</v>
      </c>
      <c r="CX10" s="12"/>
      <c r="CY10" s="12">
        <v>1</v>
      </c>
      <c r="DC10" s="12"/>
      <c r="DD10" s="12">
        <v>1</v>
      </c>
      <c r="DE10" s="12"/>
      <c r="DF10" s="12">
        <v>1</v>
      </c>
      <c r="DJ10" s="12"/>
      <c r="DK10" s="12">
        <v>1</v>
      </c>
      <c r="DL10" s="12"/>
      <c r="DM10" s="12">
        <v>1</v>
      </c>
      <c r="DQ10" s="12"/>
      <c r="DR10" s="12">
        <v>1</v>
      </c>
      <c r="DS10" s="12"/>
      <c r="DT10" s="12">
        <v>1</v>
      </c>
      <c r="DX10" s="12"/>
      <c r="DY10" s="12">
        <v>1</v>
      </c>
      <c r="DZ10" s="12"/>
      <c r="EA10" s="12">
        <v>1</v>
      </c>
      <c r="EE10" s="12"/>
      <c r="EF10" s="12">
        <v>1</v>
      </c>
      <c r="EG10" s="12"/>
      <c r="EH10" s="12">
        <v>1</v>
      </c>
      <c r="EL10" s="12"/>
      <c r="EM10" s="12">
        <v>1</v>
      </c>
      <c r="EN10" s="12"/>
      <c r="EO10" s="12">
        <v>1</v>
      </c>
      <c r="ES10" s="12"/>
      <c r="ET10" s="12">
        <v>1</v>
      </c>
      <c r="EU10" s="12"/>
      <c r="EV10" s="12">
        <v>1</v>
      </c>
      <c r="EZ10" s="12"/>
      <c r="FA10" s="12"/>
      <c r="FB10" s="12"/>
      <c r="FC10" s="12"/>
    </row>
    <row r="11" spans="2:160" outlineLevel="1" x14ac:dyDescent="0.2">
      <c r="B11" t="s">
        <v>28</v>
      </c>
      <c r="C11" t="s">
        <v>51</v>
      </c>
      <c r="E11" s="11"/>
      <c r="F11" t="s">
        <v>59</v>
      </c>
      <c r="G11" s="12">
        <v>0.1</v>
      </c>
      <c r="I11" s="11">
        <f t="shared" si="1"/>
        <v>0</v>
      </c>
      <c r="J11" s="13">
        <f t="shared" si="0"/>
        <v>0</v>
      </c>
      <c r="K11" s="13">
        <f t="shared" si="0"/>
        <v>0</v>
      </c>
      <c r="L11" s="11"/>
      <c r="O11" s="12"/>
      <c r="P11" s="12"/>
      <c r="Q11" s="12"/>
      <c r="R11" s="12"/>
      <c r="V11" s="12"/>
      <c r="W11" s="12"/>
      <c r="X11" s="12"/>
      <c r="Y11" s="12"/>
      <c r="AC11" s="12"/>
      <c r="AD11" s="12">
        <v>0.5</v>
      </c>
      <c r="AE11" s="12"/>
      <c r="AF11" s="12">
        <v>0.5</v>
      </c>
      <c r="AJ11" s="12"/>
      <c r="AK11" s="12">
        <v>0.5</v>
      </c>
      <c r="AL11" s="12"/>
      <c r="AM11" s="12">
        <v>0.5</v>
      </c>
      <c r="AQ11" s="12"/>
      <c r="AR11" s="12">
        <v>0.5</v>
      </c>
      <c r="AS11" s="12"/>
      <c r="AT11" s="12">
        <v>0.5</v>
      </c>
      <c r="AX11" s="12"/>
      <c r="AY11" s="12">
        <v>0.5</v>
      </c>
      <c r="AZ11" s="12"/>
      <c r="BA11" s="12">
        <v>0.5</v>
      </c>
      <c r="BE11" s="12"/>
      <c r="BF11" s="12">
        <v>0.8</v>
      </c>
      <c r="BG11" s="12"/>
      <c r="BH11" s="12">
        <v>0.8</v>
      </c>
      <c r="BM11" s="12"/>
      <c r="BN11" s="12">
        <v>0.8</v>
      </c>
      <c r="BO11" s="12"/>
      <c r="BP11" s="12">
        <v>0.8</v>
      </c>
      <c r="BT11" s="12"/>
      <c r="BU11" s="12">
        <v>0.8</v>
      </c>
      <c r="BV11" s="12"/>
      <c r="BW11" s="12">
        <v>0.8</v>
      </c>
      <c r="CA11" s="12"/>
      <c r="CB11" s="12">
        <v>0.8</v>
      </c>
      <c r="CC11" s="12"/>
      <c r="CD11" s="12">
        <v>0.8</v>
      </c>
      <c r="CH11" s="12"/>
      <c r="CI11" s="12">
        <v>1</v>
      </c>
      <c r="CJ11" s="12"/>
      <c r="CK11" s="12">
        <v>1</v>
      </c>
      <c r="CO11" s="12"/>
      <c r="CP11" s="12">
        <v>1</v>
      </c>
      <c r="CQ11" s="12"/>
      <c r="CR11" s="12">
        <v>1</v>
      </c>
      <c r="CV11" s="12"/>
      <c r="CW11" s="12">
        <v>1</v>
      </c>
      <c r="CX11" s="12"/>
      <c r="CY11" s="12">
        <v>1</v>
      </c>
      <c r="DC11" s="12"/>
      <c r="DD11" s="12">
        <v>1</v>
      </c>
      <c r="DE11" s="12"/>
      <c r="DF11" s="12">
        <v>1</v>
      </c>
      <c r="DJ11" s="12"/>
      <c r="DK11" s="12">
        <v>1</v>
      </c>
      <c r="DL11" s="12"/>
      <c r="DM11" s="12">
        <v>1</v>
      </c>
      <c r="DQ11" s="12"/>
      <c r="DR11" s="12">
        <v>1</v>
      </c>
      <c r="DS11" s="12"/>
      <c r="DT11" s="12">
        <v>1</v>
      </c>
      <c r="DX11" s="12"/>
      <c r="DY11" s="12">
        <v>1</v>
      </c>
      <c r="DZ11" s="12"/>
      <c r="EA11" s="12">
        <v>1</v>
      </c>
      <c r="EE11" s="12"/>
      <c r="EF11" s="12">
        <v>1</v>
      </c>
      <c r="EG11" s="12"/>
      <c r="EH11" s="12">
        <v>1</v>
      </c>
      <c r="EL11" s="12"/>
      <c r="EM11" s="12">
        <v>1</v>
      </c>
      <c r="EN11" s="12"/>
      <c r="EO11" s="12">
        <v>1</v>
      </c>
      <c r="ES11" s="12"/>
      <c r="ET11" s="12">
        <v>1</v>
      </c>
      <c r="EU11" s="12"/>
      <c r="EV11" s="12">
        <v>1</v>
      </c>
      <c r="EZ11" s="12"/>
      <c r="FA11" s="12"/>
      <c r="FB11" s="12"/>
      <c r="FC11" s="12"/>
    </row>
    <row r="12" spans="2:160" outlineLevel="1" x14ac:dyDescent="0.2">
      <c r="B12" t="s">
        <v>28</v>
      </c>
      <c r="C12" t="s">
        <v>51</v>
      </c>
      <c r="E12" s="11"/>
      <c r="F12" t="s">
        <v>60</v>
      </c>
      <c r="G12" s="12">
        <v>0.1</v>
      </c>
      <c r="I12" s="11">
        <f t="shared" si="1"/>
        <v>0</v>
      </c>
      <c r="J12" s="13">
        <f t="shared" si="0"/>
        <v>0</v>
      </c>
      <c r="K12" s="13">
        <f t="shared" si="0"/>
        <v>0</v>
      </c>
      <c r="L12" s="11"/>
      <c r="O12" s="12"/>
      <c r="P12" s="12"/>
      <c r="Q12" s="12"/>
      <c r="R12" s="12"/>
      <c r="V12" s="12"/>
      <c r="W12" s="12"/>
      <c r="X12" s="12"/>
      <c r="Y12" s="12"/>
      <c r="AC12" s="12"/>
      <c r="AD12" s="12"/>
      <c r="AE12" s="12"/>
      <c r="AF12" s="12"/>
      <c r="AJ12" s="12"/>
      <c r="AK12" s="12">
        <v>0.5</v>
      </c>
      <c r="AL12" s="12"/>
      <c r="AM12" s="12">
        <v>0.5</v>
      </c>
      <c r="AQ12" s="12"/>
      <c r="AR12" s="12">
        <v>0.5</v>
      </c>
      <c r="AS12" s="12"/>
      <c r="AT12" s="12">
        <v>0.5</v>
      </c>
      <c r="AX12" s="12"/>
      <c r="AY12" s="12">
        <v>0.5</v>
      </c>
      <c r="AZ12" s="12"/>
      <c r="BA12" s="12">
        <v>0.5</v>
      </c>
      <c r="BE12" s="12"/>
      <c r="BF12" s="12">
        <v>0.8</v>
      </c>
      <c r="BG12" s="12"/>
      <c r="BH12" s="12">
        <v>0.8</v>
      </c>
      <c r="BM12" s="12"/>
      <c r="BN12" s="12">
        <v>0.8</v>
      </c>
      <c r="BO12" s="12"/>
      <c r="BP12" s="12">
        <v>0.8</v>
      </c>
      <c r="BT12" s="12"/>
      <c r="BU12" s="12">
        <v>0.8</v>
      </c>
      <c r="BV12" s="12"/>
      <c r="BW12" s="12">
        <v>0.8</v>
      </c>
      <c r="CA12" s="12"/>
      <c r="CB12" s="12">
        <v>0.8</v>
      </c>
      <c r="CC12" s="12"/>
      <c r="CD12" s="12">
        <v>0.8</v>
      </c>
      <c r="CH12" s="12"/>
      <c r="CI12" s="12">
        <v>1</v>
      </c>
      <c r="CJ12" s="12"/>
      <c r="CK12" s="12">
        <v>1</v>
      </c>
      <c r="CO12" s="12"/>
      <c r="CP12" s="12">
        <v>1</v>
      </c>
      <c r="CQ12" s="12"/>
      <c r="CR12" s="12">
        <v>1</v>
      </c>
      <c r="CV12" s="12"/>
      <c r="CW12" s="12">
        <v>1</v>
      </c>
      <c r="CX12" s="12"/>
      <c r="CY12" s="12">
        <v>1</v>
      </c>
      <c r="DC12" s="12"/>
      <c r="DD12" s="12">
        <v>1</v>
      </c>
      <c r="DE12" s="12"/>
      <c r="DF12" s="12">
        <v>1</v>
      </c>
      <c r="DJ12" s="12"/>
      <c r="DK12" s="12">
        <v>1</v>
      </c>
      <c r="DL12" s="12"/>
      <c r="DM12" s="12">
        <v>1</v>
      </c>
      <c r="DQ12" s="12"/>
      <c r="DR12" s="12">
        <v>1</v>
      </c>
      <c r="DS12" s="12"/>
      <c r="DT12" s="12">
        <v>1</v>
      </c>
      <c r="DX12" s="12"/>
      <c r="DY12" s="12">
        <v>1</v>
      </c>
      <c r="DZ12" s="12"/>
      <c r="EA12" s="12">
        <v>1</v>
      </c>
      <c r="EE12" s="12"/>
      <c r="EF12" s="12">
        <v>1</v>
      </c>
      <c r="EG12" s="12"/>
      <c r="EH12" s="12">
        <v>1</v>
      </c>
      <c r="EL12" s="12"/>
      <c r="EM12" s="12">
        <v>1</v>
      </c>
      <c r="EN12" s="12"/>
      <c r="EO12" s="12">
        <v>1</v>
      </c>
      <c r="ES12" s="12"/>
      <c r="ET12" s="12">
        <v>1</v>
      </c>
      <c r="EU12" s="12"/>
      <c r="EV12" s="12">
        <v>1</v>
      </c>
      <c r="EZ12" s="12"/>
      <c r="FA12" s="12"/>
      <c r="FB12" s="12"/>
      <c r="FC12" s="12"/>
    </row>
    <row r="13" spans="2:160" outlineLevel="1" x14ac:dyDescent="0.2">
      <c r="B13" t="s">
        <v>28</v>
      </c>
      <c r="C13" t="s">
        <v>51</v>
      </c>
      <c r="E13" s="11"/>
      <c r="F13" t="s">
        <v>61</v>
      </c>
      <c r="G13" s="12">
        <v>0.1</v>
      </c>
      <c r="I13" s="11">
        <f t="shared" si="1"/>
        <v>0</v>
      </c>
      <c r="J13" s="13">
        <f t="shared" si="0"/>
        <v>0</v>
      </c>
      <c r="K13" s="13">
        <f t="shared" si="0"/>
        <v>0</v>
      </c>
      <c r="L13" s="11"/>
      <c r="O13" s="12"/>
      <c r="P13" s="12"/>
      <c r="Q13" s="12"/>
      <c r="R13" s="12"/>
      <c r="V13" s="12"/>
      <c r="W13" s="12"/>
      <c r="X13" s="12"/>
      <c r="Y13" s="12"/>
      <c r="AC13" s="12"/>
      <c r="AD13" s="12"/>
      <c r="AE13" s="12"/>
      <c r="AF13" s="12"/>
      <c r="AJ13" s="12"/>
      <c r="AK13" s="12">
        <v>0.5</v>
      </c>
      <c r="AL13" s="12"/>
      <c r="AM13" s="12">
        <v>0.5</v>
      </c>
      <c r="AQ13" s="12"/>
      <c r="AR13" s="12">
        <v>0.5</v>
      </c>
      <c r="AS13" s="12"/>
      <c r="AT13" s="12">
        <v>0.5</v>
      </c>
      <c r="AX13" s="12"/>
      <c r="AY13" s="12">
        <v>0.5</v>
      </c>
      <c r="AZ13" s="12"/>
      <c r="BA13" s="12">
        <v>0.5</v>
      </c>
      <c r="BE13" s="12"/>
      <c r="BF13" s="12">
        <v>0.5</v>
      </c>
      <c r="BG13" s="12"/>
      <c r="BH13" s="12">
        <v>0.5</v>
      </c>
      <c r="BM13" s="12"/>
      <c r="BN13" s="12">
        <v>0.8</v>
      </c>
      <c r="BO13" s="12"/>
      <c r="BP13" s="12">
        <v>0.8</v>
      </c>
      <c r="BT13" s="12"/>
      <c r="BU13" s="12">
        <v>0.8</v>
      </c>
      <c r="BV13" s="12"/>
      <c r="BW13" s="12">
        <v>0.8</v>
      </c>
      <c r="CA13" s="12"/>
      <c r="CB13" s="12">
        <v>0.8</v>
      </c>
      <c r="CC13" s="12"/>
      <c r="CD13" s="12">
        <v>0.8</v>
      </c>
      <c r="CH13" s="12"/>
      <c r="CI13" s="12">
        <v>0.8</v>
      </c>
      <c r="CJ13" s="12"/>
      <c r="CK13" s="12">
        <v>0.8</v>
      </c>
      <c r="CO13" s="12"/>
      <c r="CP13" s="12">
        <v>1</v>
      </c>
      <c r="CQ13" s="12"/>
      <c r="CR13" s="12">
        <v>1</v>
      </c>
      <c r="CV13" s="12"/>
      <c r="CW13" s="12">
        <v>1</v>
      </c>
      <c r="CX13" s="12"/>
      <c r="CY13" s="12">
        <v>1</v>
      </c>
      <c r="DC13" s="12"/>
      <c r="DD13" s="12">
        <v>1</v>
      </c>
      <c r="DE13" s="12"/>
      <c r="DF13" s="12">
        <v>1</v>
      </c>
      <c r="DJ13" s="12"/>
      <c r="DK13" s="12">
        <v>1</v>
      </c>
      <c r="DL13" s="12"/>
      <c r="DM13" s="12">
        <v>1</v>
      </c>
      <c r="DQ13" s="12"/>
      <c r="DR13" s="12">
        <v>1</v>
      </c>
      <c r="DS13" s="12"/>
      <c r="DT13" s="12">
        <v>1</v>
      </c>
      <c r="DX13" s="12"/>
      <c r="DY13" s="12">
        <v>1</v>
      </c>
      <c r="DZ13" s="12"/>
      <c r="EA13" s="12">
        <v>1</v>
      </c>
      <c r="EE13" s="12"/>
      <c r="EF13" s="12">
        <v>1</v>
      </c>
      <c r="EG13" s="12"/>
      <c r="EH13" s="12">
        <v>1</v>
      </c>
      <c r="EL13" s="12"/>
      <c r="EM13" s="12">
        <v>1</v>
      </c>
      <c r="EN13" s="12"/>
      <c r="EO13" s="12">
        <v>1</v>
      </c>
      <c r="ES13" s="12"/>
      <c r="ET13" s="12">
        <v>1</v>
      </c>
      <c r="EU13" s="12"/>
      <c r="EV13" s="12">
        <v>1</v>
      </c>
      <c r="EZ13" s="12"/>
      <c r="FA13" s="12"/>
      <c r="FB13" s="12"/>
      <c r="FC13" s="12"/>
    </row>
    <row r="14" spans="2:160" outlineLevel="1" x14ac:dyDescent="0.2">
      <c r="B14" t="s">
        <v>28</v>
      </c>
      <c r="C14" t="s">
        <v>51</v>
      </c>
      <c r="E14" s="11"/>
      <c r="F14" t="s">
        <v>62</v>
      </c>
      <c r="G14" s="12">
        <v>0.1</v>
      </c>
      <c r="I14" s="11">
        <f t="shared" si="1"/>
        <v>0</v>
      </c>
      <c r="J14" s="13">
        <f t="shared" si="0"/>
        <v>0</v>
      </c>
      <c r="K14" s="13">
        <f t="shared" si="0"/>
        <v>0</v>
      </c>
      <c r="L14" s="11"/>
      <c r="O14" s="12"/>
      <c r="P14" s="12"/>
      <c r="Q14" s="12"/>
      <c r="R14" s="12"/>
      <c r="V14" s="12"/>
      <c r="W14" s="12"/>
      <c r="X14" s="12"/>
      <c r="Y14" s="12"/>
      <c r="AC14" s="12"/>
      <c r="AD14" s="12"/>
      <c r="AE14" s="12"/>
      <c r="AF14" s="12"/>
      <c r="AJ14" s="12"/>
      <c r="AK14" s="12"/>
      <c r="AL14" s="12"/>
      <c r="AM14" s="12"/>
      <c r="AQ14" s="12"/>
      <c r="AR14" s="12">
        <v>0.5</v>
      </c>
      <c r="AS14" s="12"/>
      <c r="AT14" s="12">
        <v>0.5</v>
      </c>
      <c r="AX14" s="12"/>
      <c r="AY14" s="12">
        <v>0.5</v>
      </c>
      <c r="AZ14" s="12"/>
      <c r="BA14" s="12">
        <v>0.5</v>
      </c>
      <c r="BE14" s="12"/>
      <c r="BF14" s="12">
        <v>0.5</v>
      </c>
      <c r="BG14" s="12"/>
      <c r="BH14" s="12">
        <v>0.5</v>
      </c>
      <c r="BM14" s="12"/>
      <c r="BN14" s="12">
        <v>0.5</v>
      </c>
      <c r="BO14" s="12"/>
      <c r="BP14" s="12">
        <v>0.5</v>
      </c>
      <c r="BT14" s="12"/>
      <c r="BU14" s="12">
        <v>0.8</v>
      </c>
      <c r="BV14" s="12"/>
      <c r="BW14" s="12">
        <v>0.8</v>
      </c>
      <c r="CA14" s="12"/>
      <c r="CB14" s="12">
        <v>0.8</v>
      </c>
      <c r="CC14" s="12"/>
      <c r="CD14" s="12">
        <v>0.8</v>
      </c>
      <c r="CH14" s="12"/>
      <c r="CI14" s="12">
        <v>0.8</v>
      </c>
      <c r="CJ14" s="12"/>
      <c r="CK14" s="12">
        <v>0.8</v>
      </c>
      <c r="CO14" s="12"/>
      <c r="CP14" s="12">
        <v>1</v>
      </c>
      <c r="CQ14" s="12"/>
      <c r="CR14" s="12">
        <v>1</v>
      </c>
      <c r="CV14" s="12"/>
      <c r="CW14" s="12">
        <v>1</v>
      </c>
      <c r="CX14" s="12"/>
      <c r="CY14" s="12">
        <v>1</v>
      </c>
      <c r="DC14" s="12"/>
      <c r="DD14" s="12">
        <v>1</v>
      </c>
      <c r="DE14" s="12"/>
      <c r="DF14" s="12">
        <v>1</v>
      </c>
      <c r="DJ14" s="12"/>
      <c r="DK14" s="12">
        <v>1</v>
      </c>
      <c r="DL14" s="12"/>
      <c r="DM14" s="12">
        <v>1</v>
      </c>
      <c r="DQ14" s="12"/>
      <c r="DR14" s="12">
        <v>1</v>
      </c>
      <c r="DS14" s="12"/>
      <c r="DT14" s="12">
        <v>1</v>
      </c>
      <c r="DX14" s="12"/>
      <c r="DY14" s="12">
        <v>1</v>
      </c>
      <c r="DZ14" s="12"/>
      <c r="EA14" s="12">
        <v>1</v>
      </c>
      <c r="EE14" s="12"/>
      <c r="EF14" s="12">
        <v>1</v>
      </c>
      <c r="EG14" s="12"/>
      <c r="EH14" s="12">
        <v>1</v>
      </c>
      <c r="EL14" s="12"/>
      <c r="EM14" s="12">
        <v>1</v>
      </c>
      <c r="EN14" s="12"/>
      <c r="EO14" s="12">
        <v>1</v>
      </c>
      <c r="ES14" s="12"/>
      <c r="ET14" s="12">
        <v>1</v>
      </c>
      <c r="EU14" s="12"/>
      <c r="EV14" s="12">
        <v>1</v>
      </c>
      <c r="EZ14" s="12"/>
      <c r="FA14" s="12"/>
      <c r="FB14" s="12"/>
      <c r="FC14" s="12"/>
    </row>
    <row r="15" spans="2:160" outlineLevel="1" x14ac:dyDescent="0.2">
      <c r="B15" t="s">
        <v>28</v>
      </c>
      <c r="C15" t="s">
        <v>51</v>
      </c>
      <c r="E15" s="11"/>
      <c r="F15" t="s">
        <v>63</v>
      </c>
      <c r="G15" s="12">
        <v>0.1</v>
      </c>
      <c r="I15" s="11">
        <f t="shared" si="1"/>
        <v>0</v>
      </c>
      <c r="J15" s="13">
        <f t="shared" si="0"/>
        <v>0</v>
      </c>
      <c r="K15" s="13">
        <f t="shared" si="0"/>
        <v>0</v>
      </c>
      <c r="L15" s="11"/>
      <c r="O15" s="12"/>
      <c r="P15" s="12"/>
      <c r="Q15" s="12"/>
      <c r="R15" s="12"/>
      <c r="V15" s="12"/>
      <c r="W15" s="12"/>
      <c r="X15" s="12"/>
      <c r="Y15" s="12"/>
      <c r="AC15" s="12"/>
      <c r="AD15" s="12"/>
      <c r="AE15" s="12"/>
      <c r="AF15" s="12"/>
      <c r="AJ15" s="12"/>
      <c r="AK15" s="12"/>
      <c r="AL15" s="12"/>
      <c r="AM15" s="12"/>
      <c r="AQ15" s="12"/>
      <c r="AR15" s="12">
        <v>0.5</v>
      </c>
      <c r="AS15" s="12"/>
      <c r="AT15" s="12">
        <v>0.5</v>
      </c>
      <c r="AX15" s="12"/>
      <c r="AY15" s="12">
        <v>0.5</v>
      </c>
      <c r="AZ15" s="12"/>
      <c r="BA15" s="12">
        <v>0.5</v>
      </c>
      <c r="BE15" s="12"/>
      <c r="BF15" s="12">
        <v>0.5</v>
      </c>
      <c r="BG15" s="12"/>
      <c r="BH15" s="12">
        <v>0.5</v>
      </c>
      <c r="BM15" s="12"/>
      <c r="BN15" s="12">
        <v>0.5</v>
      </c>
      <c r="BO15" s="12"/>
      <c r="BP15" s="12">
        <v>0.5</v>
      </c>
      <c r="BT15" s="12"/>
      <c r="BU15" s="12">
        <v>0.5</v>
      </c>
      <c r="BV15" s="12"/>
      <c r="BW15" s="12">
        <v>0.5</v>
      </c>
      <c r="CA15" s="12"/>
      <c r="CB15" s="12">
        <v>0.8</v>
      </c>
      <c r="CC15" s="12"/>
      <c r="CD15" s="12">
        <v>0.8</v>
      </c>
      <c r="CH15" s="12"/>
      <c r="CI15" s="12">
        <v>0.8</v>
      </c>
      <c r="CJ15" s="12"/>
      <c r="CK15" s="12">
        <v>0.8</v>
      </c>
      <c r="CO15" s="12"/>
      <c r="CP15" s="12">
        <v>0.8</v>
      </c>
      <c r="CQ15" s="12"/>
      <c r="CR15" s="12">
        <v>0.8</v>
      </c>
      <c r="CV15" s="12"/>
      <c r="CW15" s="12">
        <v>1</v>
      </c>
      <c r="CX15" s="12"/>
      <c r="CY15" s="12">
        <v>1</v>
      </c>
      <c r="DC15" s="12"/>
      <c r="DD15" s="12">
        <v>1</v>
      </c>
      <c r="DE15" s="12"/>
      <c r="DF15" s="12">
        <v>1</v>
      </c>
      <c r="DJ15" s="12"/>
      <c r="DK15" s="12">
        <v>1</v>
      </c>
      <c r="DL15" s="12"/>
      <c r="DM15" s="12">
        <v>1</v>
      </c>
      <c r="DQ15" s="12"/>
      <c r="DR15" s="12">
        <v>1</v>
      </c>
      <c r="DS15" s="12"/>
      <c r="DT15" s="12">
        <v>1</v>
      </c>
      <c r="DX15" s="12"/>
      <c r="DY15" s="12">
        <v>1</v>
      </c>
      <c r="DZ15" s="12"/>
      <c r="EA15" s="12">
        <v>1</v>
      </c>
      <c r="EE15" s="12"/>
      <c r="EF15" s="12">
        <v>1</v>
      </c>
      <c r="EG15" s="12"/>
      <c r="EH15" s="12">
        <v>1</v>
      </c>
      <c r="EL15" s="12"/>
      <c r="EM15" s="12">
        <v>1</v>
      </c>
      <c r="EN15" s="12"/>
      <c r="EO15" s="12">
        <v>1</v>
      </c>
      <c r="ES15" s="12"/>
      <c r="ET15" s="12">
        <v>1</v>
      </c>
      <c r="EU15" s="12"/>
      <c r="EV15" s="12">
        <v>1</v>
      </c>
      <c r="EZ15" s="12"/>
      <c r="FA15" s="12"/>
      <c r="FB15" s="12"/>
      <c r="FC15" s="12"/>
    </row>
    <row r="16" spans="2:160" outlineLevel="1" x14ac:dyDescent="0.2">
      <c r="B16" t="s">
        <v>28</v>
      </c>
      <c r="C16" t="s">
        <v>51</v>
      </c>
      <c r="E16" s="11"/>
      <c r="F16" t="s">
        <v>64</v>
      </c>
      <c r="G16" s="12">
        <v>0.1</v>
      </c>
      <c r="I16" s="11">
        <f>+SUMIF($N$3:$ZZ$3,I$3,$N16:$ZZ16)</f>
        <v>0</v>
      </c>
      <c r="J16" s="13">
        <f t="shared" si="0"/>
        <v>0</v>
      </c>
      <c r="K16" s="13">
        <f t="shared" si="0"/>
        <v>0</v>
      </c>
      <c r="L16" s="11"/>
      <c r="O16" s="12"/>
      <c r="P16" s="12"/>
      <c r="Q16" s="12"/>
      <c r="R16" s="12"/>
      <c r="V16" s="12"/>
      <c r="W16" s="12"/>
      <c r="X16" s="12"/>
      <c r="Y16" s="12"/>
      <c r="AC16" s="12"/>
      <c r="AD16" s="12"/>
      <c r="AE16" s="12"/>
      <c r="AF16" s="12"/>
      <c r="AJ16" s="12"/>
      <c r="AK16" s="12"/>
      <c r="AL16" s="12"/>
      <c r="AM16" s="12"/>
      <c r="AQ16" s="12"/>
      <c r="AR16" s="12"/>
      <c r="AS16" s="12"/>
      <c r="AT16" s="12"/>
      <c r="AX16" s="12"/>
      <c r="AY16" s="12">
        <v>0.5</v>
      </c>
      <c r="AZ16" s="12"/>
      <c r="BA16" s="12">
        <v>0.5</v>
      </c>
      <c r="BE16" s="12"/>
      <c r="BF16" s="12">
        <v>0.5</v>
      </c>
      <c r="BG16" s="12"/>
      <c r="BH16" s="12">
        <v>0.5</v>
      </c>
      <c r="BM16" s="12"/>
      <c r="BN16" s="12">
        <v>0.5</v>
      </c>
      <c r="BO16" s="12"/>
      <c r="BP16" s="12">
        <v>0.5</v>
      </c>
      <c r="BT16" s="12"/>
      <c r="BU16" s="12">
        <v>0.5</v>
      </c>
      <c r="BV16" s="12"/>
      <c r="BW16" s="12">
        <v>0.5</v>
      </c>
      <c r="CA16" s="12"/>
      <c r="CB16" s="12">
        <v>0.8</v>
      </c>
      <c r="CC16" s="12"/>
      <c r="CD16" s="12">
        <v>0.8</v>
      </c>
      <c r="CH16" s="12"/>
      <c r="CI16" s="12">
        <v>0.8</v>
      </c>
      <c r="CJ16" s="12"/>
      <c r="CK16" s="12">
        <v>0.8</v>
      </c>
      <c r="CO16" s="12"/>
      <c r="CP16" s="12">
        <v>0.8</v>
      </c>
      <c r="CQ16" s="12"/>
      <c r="CR16" s="12">
        <v>0.8</v>
      </c>
      <c r="CV16" s="12"/>
      <c r="CW16" s="12">
        <v>1</v>
      </c>
      <c r="CX16" s="12"/>
      <c r="CY16" s="12">
        <v>1</v>
      </c>
      <c r="DC16" s="12"/>
      <c r="DD16" s="12">
        <v>1</v>
      </c>
      <c r="DE16" s="12"/>
      <c r="DF16" s="12">
        <v>1</v>
      </c>
      <c r="DJ16" s="12"/>
      <c r="DK16" s="12">
        <v>1</v>
      </c>
      <c r="DL16" s="12"/>
      <c r="DM16" s="12">
        <v>1</v>
      </c>
      <c r="DQ16" s="12"/>
      <c r="DR16" s="12">
        <v>1</v>
      </c>
      <c r="DS16" s="12"/>
      <c r="DT16" s="12">
        <v>1</v>
      </c>
      <c r="DX16" s="12"/>
      <c r="DY16" s="12">
        <v>1</v>
      </c>
      <c r="DZ16" s="12"/>
      <c r="EA16" s="12">
        <v>1</v>
      </c>
      <c r="EE16" s="12"/>
      <c r="EF16" s="12">
        <v>1</v>
      </c>
      <c r="EG16" s="12"/>
      <c r="EH16" s="12">
        <v>1</v>
      </c>
      <c r="EL16" s="12"/>
      <c r="EM16" s="12">
        <v>1</v>
      </c>
      <c r="EN16" s="12"/>
      <c r="EO16" s="12">
        <v>1</v>
      </c>
      <c r="ES16" s="12"/>
      <c r="ET16" s="12">
        <v>1</v>
      </c>
      <c r="EU16" s="12"/>
      <c r="EV16" s="12">
        <v>1</v>
      </c>
      <c r="EZ16" s="12"/>
      <c r="FA16" s="12"/>
      <c r="FB16" s="12"/>
      <c r="FC16" s="12"/>
    </row>
    <row r="17" spans="2:159" x14ac:dyDescent="0.2">
      <c r="O17" s="9"/>
      <c r="V17" s="9"/>
      <c r="AC17" s="9"/>
      <c r="AJ17" s="9"/>
      <c r="AQ17" s="9"/>
      <c r="AX17" s="9"/>
      <c r="BE17" s="9"/>
      <c r="BM17" s="9"/>
      <c r="BT17" s="9"/>
      <c r="CA17" s="9"/>
      <c r="CH17" s="9"/>
      <c r="CO17" s="9"/>
      <c r="CU17" s="19"/>
      <c r="CV17" s="19"/>
      <c r="CW17" s="19"/>
      <c r="CX17" s="19"/>
      <c r="CY17" s="19"/>
      <c r="CZ17" s="19"/>
    </row>
    <row r="18" spans="2:159" x14ac:dyDescent="0.2">
      <c r="B18" t="s">
        <v>27</v>
      </c>
      <c r="C18" t="s">
        <v>52</v>
      </c>
      <c r="E18" s="11">
        <v>5</v>
      </c>
      <c r="G18" s="12">
        <f>+SUM(G19:G24)</f>
        <v>1</v>
      </c>
      <c r="I18" s="14">
        <v>8</v>
      </c>
      <c r="J18" s="13">
        <f>+SUMPRODUCT(G19:G24,J19:J24)</f>
        <v>0.05</v>
      </c>
      <c r="K18" s="13">
        <f>+SUMPRODUCT(G19:G24,K19:K24)</f>
        <v>0.05</v>
      </c>
      <c r="L18" s="11"/>
      <c r="N18" s="14">
        <v>8</v>
      </c>
      <c r="U18" s="14">
        <v>8</v>
      </c>
      <c r="AB18" s="14">
        <v>8</v>
      </c>
      <c r="AI18" s="14">
        <v>8</v>
      </c>
      <c r="AP18" s="14">
        <v>8</v>
      </c>
      <c r="AW18" s="14">
        <v>8</v>
      </c>
      <c r="BD18" s="14">
        <v>8</v>
      </c>
      <c r="BL18" s="14">
        <v>8</v>
      </c>
      <c r="BS18" s="14">
        <v>8</v>
      </c>
      <c r="BZ18" s="14">
        <v>8</v>
      </c>
      <c r="CG18" s="14">
        <v>8</v>
      </c>
      <c r="CN18" s="14">
        <v>8</v>
      </c>
      <c r="CU18" s="14">
        <v>8</v>
      </c>
      <c r="DB18" s="14">
        <v>8</v>
      </c>
      <c r="DI18" s="14">
        <v>8</v>
      </c>
      <c r="DP18" s="14">
        <v>8</v>
      </c>
      <c r="DW18" s="14">
        <v>8</v>
      </c>
      <c r="ED18" s="14">
        <v>8</v>
      </c>
      <c r="EK18" s="14"/>
      <c r="ER18" s="14"/>
      <c r="ES18" s="3" t="s">
        <v>123</v>
      </c>
      <c r="EY18" s="14"/>
    </row>
    <row r="19" spans="2:159" outlineLevel="1" x14ac:dyDescent="0.2">
      <c r="B19" t="s">
        <v>28</v>
      </c>
      <c r="C19" t="s">
        <v>52</v>
      </c>
      <c r="E19" s="11"/>
      <c r="F19" t="s">
        <v>87</v>
      </c>
      <c r="G19" s="12">
        <v>0.1</v>
      </c>
      <c r="I19" s="11">
        <f t="shared" ref="I19:I24" si="2">+SUMIF($N$3:$ZZ$3,I$3,$N19:$ZZ19)</f>
        <v>8</v>
      </c>
      <c r="J19" s="13">
        <f t="shared" ref="J19:K24" si="3">+_xlfn.MAXIFS($N19:$ZF19,$N$3:$ZF$3,J$3)</f>
        <v>0.5</v>
      </c>
      <c r="K19" s="13">
        <f t="shared" si="3"/>
        <v>0.5</v>
      </c>
      <c r="L19" s="11"/>
      <c r="N19">
        <v>8</v>
      </c>
      <c r="O19" s="12">
        <v>0.5</v>
      </c>
      <c r="P19" s="12">
        <v>0.5</v>
      </c>
      <c r="Q19" s="12">
        <v>0.5</v>
      </c>
      <c r="R19" s="12">
        <v>0.5</v>
      </c>
      <c r="V19" s="12"/>
      <c r="W19" s="12">
        <v>0.5</v>
      </c>
      <c r="X19" s="12"/>
      <c r="Y19" s="12">
        <v>0.5</v>
      </c>
      <c r="AC19" s="12"/>
      <c r="AD19" s="12">
        <v>0.5</v>
      </c>
      <c r="AE19" s="12"/>
      <c r="AF19" s="12">
        <v>0.5</v>
      </c>
      <c r="AJ19" s="12"/>
      <c r="AK19" s="12">
        <v>0.8</v>
      </c>
      <c r="AL19" s="12"/>
      <c r="AM19" s="12">
        <v>0.8</v>
      </c>
      <c r="AQ19" s="12"/>
      <c r="AR19" s="12">
        <v>0.8</v>
      </c>
      <c r="AS19" s="12"/>
      <c r="AT19" s="12">
        <v>0.8</v>
      </c>
      <c r="AX19" s="12"/>
      <c r="AY19" s="12">
        <v>0.8</v>
      </c>
      <c r="AZ19" s="12"/>
      <c r="BA19" s="12">
        <v>0.8</v>
      </c>
      <c r="BE19" s="12"/>
      <c r="BF19" s="12">
        <v>0.8</v>
      </c>
      <c r="BG19" s="12"/>
      <c r="BH19" s="12">
        <v>0.8</v>
      </c>
      <c r="BM19" s="12"/>
      <c r="BN19" s="12">
        <v>0.8</v>
      </c>
      <c r="BO19" s="12"/>
      <c r="BP19" s="12">
        <v>0.8</v>
      </c>
      <c r="BT19" s="12"/>
      <c r="BU19" s="12">
        <v>1</v>
      </c>
      <c r="BV19" s="12"/>
      <c r="BW19" s="12">
        <v>1</v>
      </c>
      <c r="CA19" s="12"/>
      <c r="CB19" s="12">
        <v>1</v>
      </c>
      <c r="CC19" s="12"/>
      <c r="CD19" s="12">
        <v>1</v>
      </c>
      <c r="CH19" s="12"/>
      <c r="CI19" s="12">
        <v>1</v>
      </c>
      <c r="CJ19" s="12"/>
      <c r="CK19" s="12">
        <v>1</v>
      </c>
      <c r="CO19" s="12"/>
      <c r="CP19" s="12">
        <v>1</v>
      </c>
      <c r="CQ19" s="12"/>
      <c r="CR19" s="12">
        <v>1</v>
      </c>
      <c r="CV19" s="12"/>
      <c r="CW19" s="12">
        <v>1</v>
      </c>
      <c r="CX19" s="12"/>
      <c r="CY19" s="12">
        <v>1</v>
      </c>
      <c r="DC19" s="12"/>
      <c r="DD19" s="12">
        <v>1</v>
      </c>
      <c r="DE19" s="12"/>
      <c r="DF19" s="12">
        <v>1</v>
      </c>
      <c r="DJ19" s="12"/>
      <c r="DK19" s="12">
        <v>1</v>
      </c>
      <c r="DL19" s="12"/>
      <c r="DM19" s="12">
        <v>1</v>
      </c>
      <c r="DQ19" s="12"/>
      <c r="DR19" s="12">
        <v>1</v>
      </c>
      <c r="DS19" s="12"/>
      <c r="DT19" s="12">
        <v>1</v>
      </c>
      <c r="DX19" s="12"/>
      <c r="DY19" s="12">
        <v>1</v>
      </c>
      <c r="DZ19" s="12"/>
      <c r="EA19" s="12">
        <v>1</v>
      </c>
      <c r="EE19" s="12"/>
      <c r="EF19" s="12">
        <v>1</v>
      </c>
      <c r="EG19" s="12"/>
      <c r="EH19" s="12">
        <v>1</v>
      </c>
      <c r="EL19" s="12"/>
      <c r="EM19" s="12">
        <v>1</v>
      </c>
      <c r="EN19" s="12"/>
      <c r="EO19" s="12">
        <v>1</v>
      </c>
      <c r="ES19" s="12"/>
      <c r="ET19" s="12">
        <v>1</v>
      </c>
      <c r="EU19" s="12"/>
      <c r="EV19" s="12">
        <v>1</v>
      </c>
      <c r="EZ19" s="12"/>
      <c r="FA19" s="12"/>
      <c r="FB19" s="12"/>
      <c r="FC19" s="12"/>
    </row>
    <row r="20" spans="2:159" outlineLevel="1" x14ac:dyDescent="0.2">
      <c r="B20" t="s">
        <v>28</v>
      </c>
      <c r="C20" t="s">
        <v>52</v>
      </c>
      <c r="E20" s="11"/>
      <c r="F20" t="s">
        <v>65</v>
      </c>
      <c r="G20" s="12">
        <v>0.2</v>
      </c>
      <c r="I20" s="11">
        <f t="shared" si="2"/>
        <v>0</v>
      </c>
      <c r="J20" s="13">
        <f t="shared" si="3"/>
        <v>0</v>
      </c>
      <c r="K20" s="13">
        <f t="shared" si="3"/>
        <v>0</v>
      </c>
      <c r="L20" s="11"/>
      <c r="O20" s="12"/>
      <c r="P20" s="12"/>
      <c r="Q20" s="12"/>
      <c r="R20" s="12"/>
      <c r="V20" s="12"/>
      <c r="W20" s="12">
        <v>0.5</v>
      </c>
      <c r="X20" s="12"/>
      <c r="Y20" s="12">
        <v>0.5</v>
      </c>
      <c r="AC20" s="12"/>
      <c r="AD20" s="12">
        <v>0.5</v>
      </c>
      <c r="AE20" s="12"/>
      <c r="AF20" s="12">
        <v>0.5</v>
      </c>
      <c r="AJ20" s="12"/>
      <c r="AK20" s="12">
        <v>0.5</v>
      </c>
      <c r="AL20" s="12"/>
      <c r="AM20" s="12">
        <v>0.5</v>
      </c>
      <c r="AQ20" s="12"/>
      <c r="AR20" s="12">
        <v>0.5</v>
      </c>
      <c r="AS20" s="12"/>
      <c r="AT20" s="12">
        <v>0.5</v>
      </c>
      <c r="AX20" s="12"/>
      <c r="AY20" s="12">
        <v>0.8</v>
      </c>
      <c r="AZ20" s="12"/>
      <c r="BA20" s="12">
        <v>0.8</v>
      </c>
      <c r="BE20" s="12"/>
      <c r="BF20" s="12">
        <v>0.8</v>
      </c>
      <c r="BG20" s="12"/>
      <c r="BH20" s="12">
        <v>0.8</v>
      </c>
      <c r="BM20" s="12"/>
      <c r="BN20" s="12">
        <v>0.8</v>
      </c>
      <c r="BO20" s="12"/>
      <c r="BP20" s="12">
        <v>0.8</v>
      </c>
      <c r="BT20" s="12"/>
      <c r="BU20" s="12">
        <v>0.8</v>
      </c>
      <c r="BV20" s="12"/>
      <c r="BW20" s="12">
        <v>0.8</v>
      </c>
      <c r="CA20" s="12"/>
      <c r="CB20" s="12">
        <v>1</v>
      </c>
      <c r="CC20" s="12"/>
      <c r="CD20" s="12">
        <v>1</v>
      </c>
      <c r="CH20" s="12"/>
      <c r="CI20" s="12">
        <v>1</v>
      </c>
      <c r="CJ20" s="12"/>
      <c r="CK20" s="12">
        <v>1</v>
      </c>
      <c r="CO20" s="12"/>
      <c r="CP20" s="12">
        <v>1</v>
      </c>
      <c r="CQ20" s="12"/>
      <c r="CR20" s="12">
        <v>1</v>
      </c>
      <c r="CV20" s="12"/>
      <c r="CW20" s="12">
        <v>1</v>
      </c>
      <c r="CX20" s="12"/>
      <c r="CY20" s="12">
        <v>1</v>
      </c>
      <c r="DC20" s="12"/>
      <c r="DD20" s="12">
        <v>1</v>
      </c>
      <c r="DE20" s="12"/>
      <c r="DF20" s="12">
        <v>1</v>
      </c>
      <c r="DJ20" s="12"/>
      <c r="DK20" s="12">
        <v>1</v>
      </c>
      <c r="DL20" s="12"/>
      <c r="DM20" s="12">
        <v>1</v>
      </c>
      <c r="DQ20" s="12"/>
      <c r="DR20" s="12">
        <v>1</v>
      </c>
      <c r="DS20" s="12"/>
      <c r="DT20" s="12">
        <v>1</v>
      </c>
      <c r="DX20" s="12"/>
      <c r="DY20" s="12">
        <v>1</v>
      </c>
      <c r="DZ20" s="12"/>
      <c r="EA20" s="12">
        <v>1</v>
      </c>
      <c r="EE20" s="12"/>
      <c r="EF20" s="12">
        <v>1</v>
      </c>
      <c r="EG20" s="12"/>
      <c r="EH20" s="12">
        <v>1</v>
      </c>
      <c r="EL20" s="12"/>
      <c r="EM20" s="12">
        <v>1</v>
      </c>
      <c r="EN20" s="12"/>
      <c r="EO20" s="12">
        <v>1</v>
      </c>
      <c r="ES20" s="12"/>
      <c r="ET20" s="12">
        <v>1</v>
      </c>
      <c r="EU20" s="12"/>
      <c r="EV20" s="12">
        <v>1</v>
      </c>
      <c r="EZ20" s="12"/>
      <c r="FA20" s="12"/>
      <c r="FB20" s="12"/>
      <c r="FC20" s="12"/>
    </row>
    <row r="21" spans="2:159" outlineLevel="1" x14ac:dyDescent="0.2">
      <c r="B21" t="s">
        <v>28</v>
      </c>
      <c r="C21" t="s">
        <v>52</v>
      </c>
      <c r="E21" s="11"/>
      <c r="F21" t="s">
        <v>66</v>
      </c>
      <c r="G21" s="12">
        <v>0.2</v>
      </c>
      <c r="I21" s="11">
        <f t="shared" si="2"/>
        <v>0</v>
      </c>
      <c r="J21" s="13">
        <f t="shared" si="3"/>
        <v>0</v>
      </c>
      <c r="K21" s="13">
        <f t="shared" si="3"/>
        <v>0</v>
      </c>
      <c r="L21" s="11"/>
      <c r="O21" s="12"/>
      <c r="P21" s="12"/>
      <c r="Q21" s="12"/>
      <c r="R21" s="12"/>
      <c r="V21" s="12"/>
      <c r="W21" s="12"/>
      <c r="X21" s="12"/>
      <c r="Y21" s="12"/>
      <c r="AC21" s="12"/>
      <c r="AD21" s="12">
        <v>0.5</v>
      </c>
      <c r="AE21" s="12"/>
      <c r="AF21" s="12">
        <v>0.5</v>
      </c>
      <c r="AJ21" s="12"/>
      <c r="AK21" s="12">
        <v>0.5</v>
      </c>
      <c r="AL21" s="12"/>
      <c r="AM21" s="12">
        <v>0.5</v>
      </c>
      <c r="AQ21" s="12"/>
      <c r="AR21" s="12">
        <v>0.5</v>
      </c>
      <c r="AS21" s="12"/>
      <c r="AT21" s="12">
        <v>0.5</v>
      </c>
      <c r="AX21" s="12"/>
      <c r="AY21" s="12">
        <v>0.5</v>
      </c>
      <c r="AZ21" s="12"/>
      <c r="BA21" s="12">
        <v>0.5</v>
      </c>
      <c r="BE21" s="12"/>
      <c r="BF21" s="12">
        <v>0.8</v>
      </c>
      <c r="BG21" s="12"/>
      <c r="BH21" s="12">
        <v>0.8</v>
      </c>
      <c r="BM21" s="12"/>
      <c r="BN21" s="12">
        <v>0.8</v>
      </c>
      <c r="BO21" s="12"/>
      <c r="BP21" s="12">
        <v>0.8</v>
      </c>
      <c r="BT21" s="12"/>
      <c r="BU21" s="12">
        <v>0.8</v>
      </c>
      <c r="BV21" s="12"/>
      <c r="BW21" s="12">
        <v>0.8</v>
      </c>
      <c r="CA21" s="12"/>
      <c r="CB21" s="12">
        <v>0.8</v>
      </c>
      <c r="CC21" s="12"/>
      <c r="CD21" s="12">
        <v>0.8</v>
      </c>
      <c r="CH21" s="12"/>
      <c r="CI21" s="12">
        <v>0.8</v>
      </c>
      <c r="CJ21" s="12"/>
      <c r="CK21" s="12">
        <v>0.8</v>
      </c>
      <c r="CO21" s="12"/>
      <c r="CP21" s="12">
        <v>1</v>
      </c>
      <c r="CQ21" s="12"/>
      <c r="CR21" s="12">
        <v>1</v>
      </c>
      <c r="CV21" s="12"/>
      <c r="CW21" s="12">
        <v>1</v>
      </c>
      <c r="CX21" s="12"/>
      <c r="CY21" s="12">
        <v>1</v>
      </c>
      <c r="DC21" s="12"/>
      <c r="DD21" s="12">
        <v>1</v>
      </c>
      <c r="DE21" s="12"/>
      <c r="DF21" s="12">
        <v>1</v>
      </c>
      <c r="DJ21" s="12"/>
      <c r="DK21" s="12">
        <v>1</v>
      </c>
      <c r="DL21" s="12"/>
      <c r="DM21" s="12">
        <v>1</v>
      </c>
      <c r="DQ21" s="12"/>
      <c r="DR21" s="12">
        <v>1</v>
      </c>
      <c r="DS21" s="12"/>
      <c r="DT21" s="12">
        <v>1</v>
      </c>
      <c r="DX21" s="12"/>
      <c r="DY21" s="12">
        <v>1</v>
      </c>
      <c r="DZ21" s="12"/>
      <c r="EA21" s="12">
        <v>1</v>
      </c>
      <c r="EE21" s="12"/>
      <c r="EF21" s="12">
        <v>1</v>
      </c>
      <c r="EG21" s="12"/>
      <c r="EH21" s="12">
        <v>1</v>
      </c>
      <c r="EL21" s="12"/>
      <c r="EM21" s="12">
        <v>1</v>
      </c>
      <c r="EN21" s="12"/>
      <c r="EO21" s="12">
        <v>1</v>
      </c>
      <c r="ES21" s="12"/>
      <c r="ET21" s="12">
        <v>1</v>
      </c>
      <c r="EU21" s="12"/>
      <c r="EV21" s="12">
        <v>1</v>
      </c>
      <c r="EZ21" s="12"/>
      <c r="FA21" s="12"/>
      <c r="FB21" s="12"/>
      <c r="FC21" s="12"/>
    </row>
    <row r="22" spans="2:159" outlineLevel="1" x14ac:dyDescent="0.2">
      <c r="B22" t="s">
        <v>28</v>
      </c>
      <c r="C22" t="s">
        <v>52</v>
      </c>
      <c r="E22" s="11"/>
      <c r="F22" t="s">
        <v>67</v>
      </c>
      <c r="G22" s="12">
        <v>0.2</v>
      </c>
      <c r="I22" s="11">
        <f t="shared" si="2"/>
        <v>0</v>
      </c>
      <c r="J22" s="13">
        <f t="shared" si="3"/>
        <v>0</v>
      </c>
      <c r="K22" s="13">
        <f t="shared" si="3"/>
        <v>0</v>
      </c>
      <c r="L22" s="11"/>
      <c r="O22" s="12"/>
      <c r="P22" s="12"/>
      <c r="Q22" s="12"/>
      <c r="R22" s="12"/>
      <c r="V22" s="12"/>
      <c r="W22" s="12"/>
      <c r="X22" s="12"/>
      <c r="Y22" s="12"/>
      <c r="AC22" s="12"/>
      <c r="AD22" s="12">
        <v>0.5</v>
      </c>
      <c r="AE22" s="12"/>
      <c r="AF22" s="12">
        <v>0.5</v>
      </c>
      <c r="AJ22" s="12"/>
      <c r="AK22" s="12">
        <v>0.5</v>
      </c>
      <c r="AL22" s="12"/>
      <c r="AM22" s="12">
        <v>0.5</v>
      </c>
      <c r="AQ22" s="12"/>
      <c r="AR22" s="12">
        <v>0.5</v>
      </c>
      <c r="AS22" s="12"/>
      <c r="AT22" s="12">
        <v>0.5</v>
      </c>
      <c r="AX22" s="12"/>
      <c r="AY22" s="12">
        <v>0.5</v>
      </c>
      <c r="AZ22" s="12"/>
      <c r="BA22" s="12">
        <v>0.5</v>
      </c>
      <c r="BE22" s="12"/>
      <c r="BF22" s="12">
        <v>0.5</v>
      </c>
      <c r="BG22" s="12"/>
      <c r="BH22" s="12">
        <v>0.5</v>
      </c>
      <c r="BM22" s="12"/>
      <c r="BN22" s="12">
        <v>0.8</v>
      </c>
      <c r="BO22" s="12"/>
      <c r="BP22" s="12">
        <v>0.8</v>
      </c>
      <c r="BT22" s="12"/>
      <c r="BU22" s="12">
        <v>0.8</v>
      </c>
      <c r="BV22" s="12"/>
      <c r="BW22" s="12">
        <v>0.8</v>
      </c>
      <c r="CA22" s="12"/>
      <c r="CB22" s="12">
        <v>0.8</v>
      </c>
      <c r="CC22" s="12"/>
      <c r="CD22" s="12">
        <v>0.8</v>
      </c>
      <c r="CH22" s="12"/>
      <c r="CI22" s="12">
        <v>0.8</v>
      </c>
      <c r="CJ22" s="12"/>
      <c r="CK22" s="12">
        <v>0.8</v>
      </c>
      <c r="CO22" s="12"/>
      <c r="CP22" s="12">
        <v>1</v>
      </c>
      <c r="CQ22" s="12"/>
      <c r="CR22" s="12">
        <v>1</v>
      </c>
      <c r="CV22" s="12"/>
      <c r="CW22" s="12">
        <v>1</v>
      </c>
      <c r="CX22" s="12"/>
      <c r="CY22" s="12">
        <v>1</v>
      </c>
      <c r="DC22" s="12"/>
      <c r="DD22" s="12">
        <v>1</v>
      </c>
      <c r="DE22" s="12"/>
      <c r="DF22" s="12">
        <v>1</v>
      </c>
      <c r="DJ22" s="12"/>
      <c r="DK22" s="12">
        <v>1</v>
      </c>
      <c r="DL22" s="12"/>
      <c r="DM22" s="12">
        <v>1</v>
      </c>
      <c r="DQ22" s="12"/>
      <c r="DR22" s="12">
        <v>1</v>
      </c>
      <c r="DS22" s="12"/>
      <c r="DT22" s="12">
        <v>1</v>
      </c>
      <c r="DX22" s="12"/>
      <c r="DY22" s="12">
        <v>1</v>
      </c>
      <c r="DZ22" s="12"/>
      <c r="EA22" s="12">
        <v>1</v>
      </c>
      <c r="EE22" s="12"/>
      <c r="EF22" s="12">
        <v>1</v>
      </c>
      <c r="EG22" s="12"/>
      <c r="EH22" s="12">
        <v>1</v>
      </c>
      <c r="EL22" s="12"/>
      <c r="EM22" s="12">
        <v>1</v>
      </c>
      <c r="EN22" s="12"/>
      <c r="EO22" s="12">
        <v>1</v>
      </c>
      <c r="ES22" s="12"/>
      <c r="ET22" s="12">
        <v>1</v>
      </c>
      <c r="EU22" s="12"/>
      <c r="EV22" s="12">
        <v>1</v>
      </c>
      <c r="EZ22" s="12"/>
      <c r="FA22" s="12"/>
      <c r="FB22" s="12"/>
      <c r="FC22" s="12"/>
    </row>
    <row r="23" spans="2:159" outlineLevel="1" x14ac:dyDescent="0.2">
      <c r="B23" t="s">
        <v>28</v>
      </c>
      <c r="C23" t="s">
        <v>52</v>
      </c>
      <c r="E23" s="11"/>
      <c r="F23" t="s">
        <v>68</v>
      </c>
      <c r="G23" s="12">
        <v>0.1</v>
      </c>
      <c r="I23" s="11">
        <f t="shared" si="2"/>
        <v>0</v>
      </c>
      <c r="J23" s="13">
        <f t="shared" si="3"/>
        <v>0</v>
      </c>
      <c r="K23" s="13">
        <f t="shared" si="3"/>
        <v>0</v>
      </c>
      <c r="L23" s="11"/>
      <c r="O23" s="12"/>
      <c r="P23" s="12"/>
      <c r="Q23" s="12"/>
      <c r="R23" s="12"/>
      <c r="V23" s="12"/>
      <c r="W23" s="12"/>
      <c r="X23" s="12"/>
      <c r="Y23" s="12"/>
      <c r="AC23" s="12"/>
      <c r="AD23" s="12"/>
      <c r="AE23" s="12"/>
      <c r="AF23" s="12"/>
      <c r="AJ23" s="12"/>
      <c r="AK23" s="12"/>
      <c r="AL23" s="12"/>
      <c r="AM23" s="12"/>
      <c r="AQ23" s="12"/>
      <c r="AR23" s="12">
        <v>0.5</v>
      </c>
      <c r="AS23" s="12"/>
      <c r="AT23" s="12">
        <v>0.5</v>
      </c>
      <c r="AX23" s="12"/>
      <c r="AY23" s="12">
        <v>0.5</v>
      </c>
      <c r="AZ23" s="12"/>
      <c r="BA23" s="12">
        <v>0.5</v>
      </c>
      <c r="BE23" s="12"/>
      <c r="BF23" s="12">
        <v>0.5</v>
      </c>
      <c r="BG23" s="12"/>
      <c r="BH23" s="12">
        <v>0.5</v>
      </c>
      <c r="BM23" s="12"/>
      <c r="BN23" s="12">
        <v>0.5</v>
      </c>
      <c r="BO23" s="12"/>
      <c r="BP23" s="12">
        <v>0.5</v>
      </c>
      <c r="BT23" s="12"/>
      <c r="BU23" s="12">
        <v>0.8</v>
      </c>
      <c r="BV23" s="12"/>
      <c r="BW23" s="12">
        <v>0.8</v>
      </c>
      <c r="CA23" s="12"/>
      <c r="CB23" s="12">
        <v>0.8</v>
      </c>
      <c r="CC23" s="12"/>
      <c r="CD23" s="12">
        <v>0.8</v>
      </c>
      <c r="CH23" s="12"/>
      <c r="CI23" s="12">
        <v>0.8</v>
      </c>
      <c r="CJ23" s="12"/>
      <c r="CK23" s="12">
        <v>0.8</v>
      </c>
      <c r="CO23" s="12"/>
      <c r="CP23" s="12">
        <v>0.8</v>
      </c>
      <c r="CQ23" s="12"/>
      <c r="CR23" s="12">
        <v>0.8</v>
      </c>
      <c r="CV23" s="12"/>
      <c r="CW23" s="12">
        <v>1</v>
      </c>
      <c r="CX23" s="12"/>
      <c r="CY23" s="12">
        <v>1</v>
      </c>
      <c r="DC23" s="12"/>
      <c r="DD23" s="12">
        <v>1</v>
      </c>
      <c r="DE23" s="12"/>
      <c r="DF23" s="12">
        <v>1</v>
      </c>
      <c r="DJ23" s="12"/>
      <c r="DK23" s="12">
        <v>1</v>
      </c>
      <c r="DL23" s="12"/>
      <c r="DM23" s="12">
        <v>1</v>
      </c>
      <c r="DQ23" s="12"/>
      <c r="DR23" s="12">
        <v>1</v>
      </c>
      <c r="DS23" s="12"/>
      <c r="DT23" s="12">
        <v>1</v>
      </c>
      <c r="DX23" s="12"/>
      <c r="DY23" s="12">
        <v>1</v>
      </c>
      <c r="DZ23" s="12"/>
      <c r="EA23" s="12">
        <v>1</v>
      </c>
      <c r="EE23" s="12"/>
      <c r="EF23" s="12">
        <v>1</v>
      </c>
      <c r="EG23" s="12"/>
      <c r="EH23" s="12">
        <v>1</v>
      </c>
      <c r="EL23" s="12"/>
      <c r="EM23" s="12">
        <v>1</v>
      </c>
      <c r="EN23" s="12"/>
      <c r="EO23" s="12">
        <v>1</v>
      </c>
      <c r="ES23" s="12"/>
      <c r="ET23" s="12">
        <v>1</v>
      </c>
      <c r="EU23" s="12"/>
      <c r="EV23" s="12">
        <v>1</v>
      </c>
      <c r="EZ23" s="12"/>
      <c r="FA23" s="12"/>
      <c r="FB23" s="12"/>
      <c r="FC23" s="12"/>
    </row>
    <row r="24" spans="2:159" outlineLevel="1" x14ac:dyDescent="0.2">
      <c r="B24" t="s">
        <v>28</v>
      </c>
      <c r="C24" t="s">
        <v>52</v>
      </c>
      <c r="E24" s="11"/>
      <c r="F24" t="s">
        <v>69</v>
      </c>
      <c r="G24" s="12">
        <v>0.2</v>
      </c>
      <c r="I24" s="11">
        <f t="shared" si="2"/>
        <v>0</v>
      </c>
      <c r="J24" s="13">
        <f t="shared" si="3"/>
        <v>0</v>
      </c>
      <c r="K24" s="13">
        <f t="shared" si="3"/>
        <v>0</v>
      </c>
      <c r="L24" s="11"/>
      <c r="O24" s="12"/>
      <c r="P24" s="12"/>
      <c r="Q24" s="12"/>
      <c r="R24" s="12"/>
      <c r="V24" s="12"/>
      <c r="W24" s="12"/>
      <c r="X24" s="12"/>
      <c r="Y24" s="12"/>
      <c r="AC24" s="12"/>
      <c r="AD24" s="12"/>
      <c r="AE24" s="12"/>
      <c r="AF24" s="12"/>
      <c r="AJ24" s="12"/>
      <c r="AK24" s="12"/>
      <c r="AL24" s="12"/>
      <c r="AM24" s="12"/>
      <c r="AQ24" s="12"/>
      <c r="AR24" s="12"/>
      <c r="AS24" s="12"/>
      <c r="AT24" s="12"/>
      <c r="AX24" s="12"/>
      <c r="AY24" s="12">
        <v>0.5</v>
      </c>
      <c r="AZ24" s="12"/>
      <c r="BA24" s="12">
        <v>0.5</v>
      </c>
      <c r="BE24" s="12"/>
      <c r="BF24" s="12">
        <v>0.5</v>
      </c>
      <c r="BG24" s="12"/>
      <c r="BH24" s="12">
        <v>0.5</v>
      </c>
      <c r="BM24" s="12"/>
      <c r="BN24" s="12">
        <v>0.5</v>
      </c>
      <c r="BO24" s="12"/>
      <c r="BP24" s="12">
        <v>0.5</v>
      </c>
      <c r="BT24" s="12"/>
      <c r="BU24" s="12">
        <v>0.5</v>
      </c>
      <c r="BV24" s="12"/>
      <c r="BW24" s="12">
        <v>0.5</v>
      </c>
      <c r="CA24" s="12"/>
      <c r="CB24" s="12">
        <v>0.5</v>
      </c>
      <c r="CC24" s="12"/>
      <c r="CD24" s="12">
        <v>0.5</v>
      </c>
      <c r="CH24" s="12"/>
      <c r="CI24" s="12">
        <v>0.8</v>
      </c>
      <c r="CJ24" s="12"/>
      <c r="CK24" s="12">
        <v>0.8</v>
      </c>
      <c r="CO24" s="12"/>
      <c r="CP24" s="12">
        <v>0.8</v>
      </c>
      <c r="CQ24" s="12"/>
      <c r="CR24" s="12">
        <v>0.8</v>
      </c>
      <c r="CV24" s="12"/>
      <c r="CW24" s="12">
        <v>0.8</v>
      </c>
      <c r="CX24" s="12"/>
      <c r="CY24" s="12">
        <v>0.8</v>
      </c>
      <c r="DC24" s="12"/>
      <c r="DD24" s="12">
        <v>1</v>
      </c>
      <c r="DE24" s="12"/>
      <c r="DF24" s="12">
        <v>1</v>
      </c>
      <c r="DJ24" s="12"/>
      <c r="DK24" s="12">
        <v>1</v>
      </c>
      <c r="DL24" s="12"/>
      <c r="DM24" s="12">
        <v>1</v>
      </c>
      <c r="DQ24" s="12"/>
      <c r="DR24" s="12">
        <v>1</v>
      </c>
      <c r="DS24" s="12"/>
      <c r="DT24" s="12">
        <v>1</v>
      </c>
      <c r="DX24" s="12"/>
      <c r="DY24" s="12">
        <v>1</v>
      </c>
      <c r="DZ24" s="12"/>
      <c r="EA24" s="12">
        <v>1</v>
      </c>
      <c r="EE24" s="12"/>
      <c r="EF24" s="12">
        <v>1</v>
      </c>
      <c r="EG24" s="12"/>
      <c r="EH24" s="12">
        <v>1</v>
      </c>
      <c r="EL24" s="12"/>
      <c r="EM24" s="12">
        <v>1</v>
      </c>
      <c r="EN24" s="12"/>
      <c r="EO24" s="12">
        <v>1</v>
      </c>
      <c r="ES24" s="12"/>
      <c r="ET24" s="12">
        <v>1</v>
      </c>
      <c r="EU24" s="12"/>
      <c r="EV24" s="12">
        <v>1</v>
      </c>
      <c r="EZ24" s="12"/>
      <c r="FA24" s="12"/>
      <c r="FB24" s="12"/>
      <c r="FC24" s="12"/>
    </row>
    <row r="25" spans="2:159" x14ac:dyDescent="0.2">
      <c r="CU25" s="19"/>
      <c r="CW25" s="12"/>
      <c r="CX25" s="12"/>
      <c r="CY25" s="12"/>
      <c r="CZ25" s="12"/>
    </row>
    <row r="26" spans="2:159" x14ac:dyDescent="0.2">
      <c r="B26" t="s">
        <v>27</v>
      </c>
      <c r="C26" t="s">
        <v>53</v>
      </c>
      <c r="E26" s="11">
        <v>10</v>
      </c>
      <c r="G26" s="12">
        <f>+SUM(G27:G38)</f>
        <v>1</v>
      </c>
      <c r="I26" s="14">
        <v>16</v>
      </c>
      <c r="J26" s="13">
        <v>0</v>
      </c>
      <c r="K26" s="13">
        <f>+SUMPRODUCT(G27:G38,K27:K38)</f>
        <v>0.1</v>
      </c>
      <c r="L26" s="11"/>
      <c r="N26" s="14">
        <v>16</v>
      </c>
      <c r="U26" s="14">
        <v>16</v>
      </c>
      <c r="V26" s="14"/>
      <c r="W26" s="14"/>
      <c r="X26" s="14"/>
      <c r="Y26" s="14"/>
      <c r="Z26" s="14"/>
      <c r="AA26" s="14"/>
      <c r="AB26" s="14">
        <v>16</v>
      </c>
      <c r="AC26" s="14"/>
      <c r="AD26" s="14"/>
      <c r="AE26" s="14"/>
      <c r="AI26" s="14">
        <v>16</v>
      </c>
      <c r="AP26" s="14">
        <v>16</v>
      </c>
      <c r="AW26" s="14">
        <v>16</v>
      </c>
      <c r="BD26" s="14">
        <v>16</v>
      </c>
      <c r="BL26" s="14">
        <v>16</v>
      </c>
      <c r="BS26" s="14">
        <v>16</v>
      </c>
      <c r="BZ26" s="14">
        <v>16</v>
      </c>
      <c r="CG26" s="14">
        <v>16</v>
      </c>
      <c r="CN26" s="14">
        <v>16</v>
      </c>
      <c r="CU26" s="14">
        <v>16</v>
      </c>
      <c r="CV26" s="12"/>
      <c r="CW26" s="12"/>
      <c r="CX26" s="12"/>
      <c r="CY26" s="12"/>
      <c r="DB26" s="14">
        <v>16</v>
      </c>
      <c r="DI26" s="14">
        <v>16</v>
      </c>
      <c r="DP26" s="14">
        <v>16</v>
      </c>
      <c r="DW26" s="14">
        <v>16</v>
      </c>
      <c r="DX26" s="3"/>
      <c r="ED26" s="14"/>
      <c r="EE26" s="3" t="s">
        <v>120</v>
      </c>
      <c r="EK26" s="14"/>
      <c r="ER26" s="14"/>
      <c r="EY26" s="14"/>
    </row>
    <row r="27" spans="2:159" outlineLevel="1" x14ac:dyDescent="0.2">
      <c r="B27" t="s">
        <v>28</v>
      </c>
      <c r="C27" t="s">
        <v>53</v>
      </c>
      <c r="E27" s="11"/>
      <c r="F27" t="s">
        <v>70</v>
      </c>
      <c r="G27" s="12">
        <v>0.1</v>
      </c>
      <c r="I27" s="11">
        <v>0</v>
      </c>
      <c r="J27" s="13">
        <v>0</v>
      </c>
      <c r="K27" s="13">
        <v>0</v>
      </c>
      <c r="L27" s="11"/>
      <c r="N27">
        <v>6</v>
      </c>
      <c r="O27" s="12">
        <v>0.5</v>
      </c>
      <c r="P27" s="12">
        <v>0.5</v>
      </c>
      <c r="Q27" s="12">
        <v>0.5</v>
      </c>
      <c r="R27" s="12">
        <v>0.5</v>
      </c>
      <c r="V27" s="12"/>
      <c r="W27" s="12">
        <v>0.5</v>
      </c>
      <c r="X27" s="12"/>
      <c r="Y27" s="12">
        <v>0.5</v>
      </c>
      <c r="AC27" s="12"/>
      <c r="AD27" s="12">
        <v>0.8</v>
      </c>
      <c r="AE27" s="12"/>
      <c r="AF27" s="12">
        <v>0.8</v>
      </c>
      <c r="AJ27" s="12"/>
      <c r="AK27" s="12">
        <v>0.8</v>
      </c>
      <c r="AL27" s="12"/>
      <c r="AM27" s="12">
        <v>0.8</v>
      </c>
      <c r="AQ27" s="12"/>
      <c r="AR27" s="12">
        <v>0.8</v>
      </c>
      <c r="AS27" s="12"/>
      <c r="AT27" s="12">
        <v>0.8</v>
      </c>
      <c r="AX27" s="12"/>
      <c r="AY27" s="12">
        <v>0.8</v>
      </c>
      <c r="AZ27" s="12"/>
      <c r="BA27" s="12">
        <v>0.8</v>
      </c>
      <c r="BE27" s="12"/>
      <c r="BF27" s="12">
        <v>0.8</v>
      </c>
      <c r="BG27" s="12"/>
      <c r="BH27" s="12">
        <v>0.8</v>
      </c>
      <c r="BM27" s="12"/>
      <c r="BN27" s="12">
        <v>1</v>
      </c>
      <c r="BO27" s="12"/>
      <c r="BP27" s="12">
        <v>1</v>
      </c>
      <c r="BT27" s="12"/>
      <c r="BU27" s="12">
        <v>1</v>
      </c>
      <c r="BV27" s="12"/>
      <c r="BW27" s="12">
        <v>1</v>
      </c>
      <c r="CA27" s="12"/>
      <c r="CB27" s="12">
        <v>1</v>
      </c>
      <c r="CC27" s="12"/>
      <c r="CD27" s="12">
        <v>1</v>
      </c>
      <c r="CH27" s="12"/>
      <c r="CI27" s="12">
        <v>1</v>
      </c>
      <c r="CJ27" s="12"/>
      <c r="CK27" s="12">
        <v>1</v>
      </c>
      <c r="CO27" s="12"/>
      <c r="CP27" s="12">
        <v>1</v>
      </c>
      <c r="CQ27" s="12"/>
      <c r="CR27" s="12">
        <v>1</v>
      </c>
      <c r="CV27" s="12"/>
      <c r="CW27" s="12">
        <v>1</v>
      </c>
      <c r="CX27" s="12"/>
      <c r="CY27" s="12">
        <v>1</v>
      </c>
      <c r="DC27" s="12"/>
      <c r="DD27" s="12">
        <v>1</v>
      </c>
      <c r="DE27" s="12"/>
      <c r="DF27" s="12">
        <v>1</v>
      </c>
      <c r="DI27" s="14"/>
      <c r="DJ27" s="12"/>
      <c r="DK27" s="12">
        <v>1</v>
      </c>
      <c r="DL27" s="12"/>
      <c r="DM27" s="12">
        <v>1</v>
      </c>
      <c r="DQ27" s="12"/>
      <c r="DR27" s="12">
        <v>1</v>
      </c>
      <c r="DS27" s="12"/>
      <c r="DT27" s="12">
        <v>1</v>
      </c>
      <c r="DX27" s="12"/>
      <c r="DY27" s="12">
        <v>1</v>
      </c>
      <c r="DZ27" s="12"/>
      <c r="EA27" s="12">
        <v>1</v>
      </c>
      <c r="EE27" s="12"/>
      <c r="EF27" s="12">
        <v>1</v>
      </c>
      <c r="EG27" s="12"/>
      <c r="EH27" s="12">
        <v>1</v>
      </c>
      <c r="EL27" s="12"/>
      <c r="EM27" s="12">
        <v>1</v>
      </c>
      <c r="EN27" s="12"/>
      <c r="EO27" s="12">
        <v>1</v>
      </c>
      <c r="ES27" s="12"/>
      <c r="ET27" s="12">
        <v>1</v>
      </c>
      <c r="EU27" s="12"/>
      <c r="EV27" s="12">
        <v>1</v>
      </c>
      <c r="EZ27" s="12"/>
      <c r="FA27" s="12"/>
      <c r="FB27" s="12"/>
      <c r="FC27" s="12"/>
    </row>
    <row r="28" spans="2:159" outlineLevel="1" x14ac:dyDescent="0.2">
      <c r="B28" t="s">
        <v>28</v>
      </c>
      <c r="C28" t="s">
        <v>53</v>
      </c>
      <c r="E28" s="11"/>
      <c r="F28" t="s">
        <v>71</v>
      </c>
      <c r="G28" s="12">
        <v>0.1</v>
      </c>
      <c r="I28" s="11">
        <v>0</v>
      </c>
      <c r="J28" s="13">
        <f t="shared" ref="J28:K38" si="4">+_xlfn.MAXIFS($N28:$ZF28,$N$3:$ZF$3,J$3)</f>
        <v>0.5</v>
      </c>
      <c r="K28" s="13">
        <f t="shared" si="4"/>
        <v>0.5</v>
      </c>
      <c r="L28" s="11"/>
      <c r="N28">
        <v>5</v>
      </c>
      <c r="O28" s="12">
        <v>0.5</v>
      </c>
      <c r="P28" s="12">
        <v>0.5</v>
      </c>
      <c r="Q28" s="12">
        <v>0.5</v>
      </c>
      <c r="R28" s="12">
        <v>0.5</v>
      </c>
      <c r="V28" s="12"/>
      <c r="W28" s="12">
        <v>0.5</v>
      </c>
      <c r="X28" s="12"/>
      <c r="Y28" s="12">
        <v>0.5</v>
      </c>
      <c r="AC28" s="12"/>
      <c r="AD28" s="12">
        <v>0.5</v>
      </c>
      <c r="AE28" s="12"/>
      <c r="AF28" s="12">
        <v>0.5</v>
      </c>
      <c r="AJ28" s="12"/>
      <c r="AK28" s="12">
        <v>0.8</v>
      </c>
      <c r="AL28" s="12"/>
      <c r="AM28" s="12">
        <v>0.8</v>
      </c>
      <c r="AQ28" s="12"/>
      <c r="AR28" s="12">
        <v>0.8</v>
      </c>
      <c r="AS28" s="12"/>
      <c r="AT28" s="12">
        <v>0.8</v>
      </c>
      <c r="AX28" s="12"/>
      <c r="AY28" s="12">
        <v>0.8</v>
      </c>
      <c r="AZ28" s="12"/>
      <c r="BA28" s="12">
        <v>0.8</v>
      </c>
      <c r="BE28" s="12"/>
      <c r="BF28" s="12">
        <v>0.8</v>
      </c>
      <c r="BG28" s="12"/>
      <c r="BH28" s="12">
        <v>0.8</v>
      </c>
      <c r="BM28" s="12"/>
      <c r="BN28" s="12">
        <v>1</v>
      </c>
      <c r="BO28" s="12"/>
      <c r="BP28" s="12">
        <v>1</v>
      </c>
      <c r="BT28" s="12"/>
      <c r="BU28" s="12">
        <v>1</v>
      </c>
      <c r="BV28" s="12"/>
      <c r="BW28" s="12">
        <v>1</v>
      </c>
      <c r="CA28" s="12"/>
      <c r="CB28" s="12">
        <v>1</v>
      </c>
      <c r="CC28" s="12"/>
      <c r="CD28" s="12">
        <v>1</v>
      </c>
      <c r="CH28" s="12"/>
      <c r="CI28" s="12">
        <v>1</v>
      </c>
      <c r="CJ28" s="12"/>
      <c r="CK28" s="12">
        <v>1</v>
      </c>
      <c r="CO28" s="12"/>
      <c r="CP28" s="12">
        <v>1</v>
      </c>
      <c r="CQ28" s="12"/>
      <c r="CR28" s="12">
        <v>1</v>
      </c>
      <c r="CV28" s="12"/>
      <c r="CW28" s="12">
        <v>1</v>
      </c>
      <c r="CX28" s="12"/>
      <c r="CY28" s="12">
        <v>1</v>
      </c>
      <c r="DC28" s="12"/>
      <c r="DD28" s="12">
        <v>1</v>
      </c>
      <c r="DE28" s="12"/>
      <c r="DF28" s="12">
        <v>1</v>
      </c>
      <c r="DJ28" s="12"/>
      <c r="DK28" s="12">
        <v>1</v>
      </c>
      <c r="DL28" s="12"/>
      <c r="DM28" s="12">
        <v>1</v>
      </c>
      <c r="DQ28" s="12"/>
      <c r="DR28" s="12">
        <v>1</v>
      </c>
      <c r="DS28" s="12"/>
      <c r="DT28" s="12">
        <v>1</v>
      </c>
      <c r="DX28" s="12"/>
      <c r="DY28" s="12">
        <v>1</v>
      </c>
      <c r="DZ28" s="12"/>
      <c r="EA28" s="12">
        <v>1</v>
      </c>
      <c r="EE28" s="12"/>
      <c r="EF28" s="12">
        <v>1</v>
      </c>
      <c r="EG28" s="12"/>
      <c r="EH28" s="12">
        <v>1</v>
      </c>
      <c r="EL28" s="12"/>
      <c r="EM28" s="12">
        <v>1</v>
      </c>
      <c r="EN28" s="12"/>
      <c r="EO28" s="12">
        <v>1</v>
      </c>
      <c r="ES28" s="12"/>
      <c r="ET28" s="12">
        <v>1</v>
      </c>
      <c r="EU28" s="12"/>
      <c r="EV28" s="12">
        <v>1</v>
      </c>
      <c r="EZ28" s="12"/>
      <c r="FA28" s="12"/>
      <c r="FB28" s="12"/>
      <c r="FC28" s="12"/>
    </row>
    <row r="29" spans="2:159" outlineLevel="1" x14ac:dyDescent="0.2">
      <c r="B29" t="s">
        <v>28</v>
      </c>
      <c r="C29" t="s">
        <v>53</v>
      </c>
      <c r="E29" s="11"/>
      <c r="F29" t="s">
        <v>72</v>
      </c>
      <c r="G29" s="12">
        <v>0.1</v>
      </c>
      <c r="I29" s="11">
        <v>0</v>
      </c>
      <c r="J29" s="13">
        <f t="shared" si="4"/>
        <v>0.5</v>
      </c>
      <c r="K29" s="13">
        <f t="shared" si="4"/>
        <v>0.5</v>
      </c>
      <c r="L29" s="11"/>
      <c r="N29">
        <v>5</v>
      </c>
      <c r="O29" s="12">
        <v>0.5</v>
      </c>
      <c r="P29" s="12">
        <v>0.5</v>
      </c>
      <c r="Q29" s="12">
        <v>0.5</v>
      </c>
      <c r="R29" s="12">
        <v>0.5</v>
      </c>
      <c r="V29" s="12"/>
      <c r="W29" s="12">
        <v>0.5</v>
      </c>
      <c r="X29" s="12"/>
      <c r="Y29" s="12">
        <v>0.5</v>
      </c>
      <c r="AC29" s="12"/>
      <c r="AD29" s="12">
        <v>0.5</v>
      </c>
      <c r="AE29" s="12"/>
      <c r="AF29" s="12">
        <v>0.5</v>
      </c>
      <c r="AJ29" s="12"/>
      <c r="AK29" s="12">
        <v>0.5</v>
      </c>
      <c r="AL29" s="12"/>
      <c r="AM29" s="12">
        <v>0.5</v>
      </c>
      <c r="AQ29" s="12"/>
      <c r="AR29" s="12">
        <v>0.8</v>
      </c>
      <c r="AS29" s="12"/>
      <c r="AT29" s="12">
        <v>0.8</v>
      </c>
      <c r="AX29" s="12"/>
      <c r="AY29" s="12">
        <v>0.8</v>
      </c>
      <c r="AZ29" s="12"/>
      <c r="BA29" s="12">
        <v>0.8</v>
      </c>
      <c r="BE29" s="12"/>
      <c r="BF29" s="12">
        <v>0.8</v>
      </c>
      <c r="BG29" s="12"/>
      <c r="BH29" s="12">
        <v>0.8</v>
      </c>
      <c r="BM29" s="12"/>
      <c r="BN29" s="12">
        <v>0.8</v>
      </c>
      <c r="BO29" s="12"/>
      <c r="BP29" s="12">
        <v>0.8</v>
      </c>
      <c r="BT29" s="12"/>
      <c r="BU29" s="12">
        <v>1</v>
      </c>
      <c r="BV29" s="12"/>
      <c r="BW29" s="12">
        <v>1</v>
      </c>
      <c r="CA29" s="12"/>
      <c r="CB29" s="12">
        <v>1</v>
      </c>
      <c r="CC29" s="12"/>
      <c r="CD29" s="12">
        <v>1</v>
      </c>
      <c r="CH29" s="12"/>
      <c r="CI29" s="12">
        <v>1</v>
      </c>
      <c r="CJ29" s="12"/>
      <c r="CK29" s="12">
        <v>1</v>
      </c>
      <c r="CO29" s="12"/>
      <c r="CP29" s="12">
        <v>1</v>
      </c>
      <c r="CQ29" s="12"/>
      <c r="CR29" s="12">
        <v>1</v>
      </c>
      <c r="CV29" s="12"/>
      <c r="CW29" s="12">
        <v>1</v>
      </c>
      <c r="CX29" s="12"/>
      <c r="CY29" s="12">
        <v>1</v>
      </c>
      <c r="DC29" s="12"/>
      <c r="DD29" s="12">
        <v>1</v>
      </c>
      <c r="DE29" s="12"/>
      <c r="DF29" s="12">
        <v>1</v>
      </c>
      <c r="DJ29" s="12"/>
      <c r="DK29" s="12">
        <v>1</v>
      </c>
      <c r="DL29" s="12"/>
      <c r="DM29" s="12">
        <v>1</v>
      </c>
      <c r="DQ29" s="12"/>
      <c r="DR29" s="12">
        <v>1</v>
      </c>
      <c r="DS29" s="12"/>
      <c r="DT29" s="12">
        <v>1</v>
      </c>
      <c r="DX29" s="12"/>
      <c r="DY29" s="12">
        <v>1</v>
      </c>
      <c r="DZ29" s="12"/>
      <c r="EA29" s="12">
        <v>1</v>
      </c>
      <c r="EE29" s="12"/>
      <c r="EF29" s="12">
        <v>1</v>
      </c>
      <c r="EG29" s="12"/>
      <c r="EH29" s="12">
        <v>1</v>
      </c>
      <c r="EL29" s="12"/>
      <c r="EM29" s="12">
        <v>1</v>
      </c>
      <c r="EN29" s="12"/>
      <c r="EO29" s="12">
        <v>1</v>
      </c>
      <c r="ES29" s="12"/>
      <c r="ET29" s="12">
        <v>1</v>
      </c>
      <c r="EU29" s="12"/>
      <c r="EV29" s="12">
        <v>1</v>
      </c>
      <c r="EZ29" s="12"/>
      <c r="FA29" s="12"/>
      <c r="FB29" s="12"/>
      <c r="FC29" s="12"/>
    </row>
    <row r="30" spans="2:159" outlineLevel="1" x14ac:dyDescent="0.2">
      <c r="B30" t="s">
        <v>28</v>
      </c>
      <c r="C30" t="s">
        <v>53</v>
      </c>
      <c r="E30" s="11"/>
      <c r="F30" t="s">
        <v>73</v>
      </c>
      <c r="G30" s="12">
        <v>0.1</v>
      </c>
      <c r="I30" s="11">
        <v>0</v>
      </c>
      <c r="J30" s="13">
        <f t="shared" si="4"/>
        <v>0</v>
      </c>
      <c r="K30" s="13">
        <f t="shared" si="4"/>
        <v>0</v>
      </c>
      <c r="L30" s="11"/>
      <c r="O30" s="12"/>
      <c r="P30" s="12"/>
      <c r="Q30" s="12"/>
      <c r="R30" s="12"/>
      <c r="V30" s="12"/>
      <c r="W30" s="12">
        <v>0.5</v>
      </c>
      <c r="X30" s="12"/>
      <c r="Y30" s="12">
        <v>0.5</v>
      </c>
      <c r="AC30" s="12"/>
      <c r="AD30" s="12">
        <v>0.5</v>
      </c>
      <c r="AE30" s="12"/>
      <c r="AF30" s="12">
        <v>0.5</v>
      </c>
      <c r="AJ30" s="12"/>
      <c r="AK30" s="12">
        <v>0.5</v>
      </c>
      <c r="AL30" s="12"/>
      <c r="AM30" s="12">
        <v>0.5</v>
      </c>
      <c r="AQ30" s="12"/>
      <c r="AR30" s="12">
        <v>0.8</v>
      </c>
      <c r="AS30" s="12"/>
      <c r="AT30" s="12">
        <v>0.8</v>
      </c>
      <c r="AX30" s="12"/>
      <c r="AY30" s="12">
        <v>0.8</v>
      </c>
      <c r="AZ30" s="12"/>
      <c r="BA30" s="12">
        <v>0.8</v>
      </c>
      <c r="BE30" s="12"/>
      <c r="BF30" s="12">
        <v>0.8</v>
      </c>
      <c r="BG30" s="12"/>
      <c r="BH30" s="12">
        <v>0.8</v>
      </c>
      <c r="BM30" s="12"/>
      <c r="BN30" s="12">
        <v>0.8</v>
      </c>
      <c r="BO30" s="12"/>
      <c r="BP30" s="12">
        <v>0.8</v>
      </c>
      <c r="BT30" s="12"/>
      <c r="BU30" s="12">
        <v>0.8</v>
      </c>
      <c r="BV30" s="12"/>
      <c r="BW30" s="12">
        <v>0.8</v>
      </c>
      <c r="CA30" s="12"/>
      <c r="CB30" s="12">
        <v>1</v>
      </c>
      <c r="CC30" s="12"/>
      <c r="CD30" s="12">
        <v>1</v>
      </c>
      <c r="CH30" s="12"/>
      <c r="CI30" s="12">
        <v>1</v>
      </c>
      <c r="CJ30" s="12"/>
      <c r="CK30" s="12">
        <v>1</v>
      </c>
      <c r="CO30" s="12"/>
      <c r="CP30" s="12">
        <v>1</v>
      </c>
      <c r="CQ30" s="12"/>
      <c r="CR30" s="12">
        <v>1</v>
      </c>
      <c r="CV30" s="12"/>
      <c r="CW30" s="12">
        <v>1</v>
      </c>
      <c r="CX30" s="12"/>
      <c r="CY30" s="12">
        <v>1</v>
      </c>
      <c r="DC30" s="12"/>
      <c r="DD30" s="12">
        <v>1</v>
      </c>
      <c r="DE30" s="12"/>
      <c r="DF30" s="12">
        <v>1</v>
      </c>
      <c r="DJ30" s="12"/>
      <c r="DK30" s="12">
        <v>1</v>
      </c>
      <c r="DL30" s="12"/>
      <c r="DM30" s="12">
        <v>1</v>
      </c>
      <c r="DQ30" s="12"/>
      <c r="DR30" s="12">
        <v>1</v>
      </c>
      <c r="DS30" s="12"/>
      <c r="DT30" s="12">
        <v>1</v>
      </c>
      <c r="DX30" s="12"/>
      <c r="DY30" s="12">
        <v>1</v>
      </c>
      <c r="DZ30" s="12"/>
      <c r="EA30" s="12">
        <v>1</v>
      </c>
      <c r="EE30" s="12"/>
      <c r="EF30" s="12">
        <v>1</v>
      </c>
      <c r="EG30" s="12"/>
      <c r="EH30" s="12">
        <v>1</v>
      </c>
      <c r="EL30" s="12"/>
      <c r="EM30" s="12">
        <v>1</v>
      </c>
      <c r="EN30" s="12"/>
      <c r="EO30" s="12">
        <v>1</v>
      </c>
      <c r="ES30" s="12"/>
      <c r="ET30" s="12">
        <v>1</v>
      </c>
      <c r="EU30" s="12"/>
      <c r="EV30" s="12">
        <v>1</v>
      </c>
      <c r="EZ30" s="12"/>
      <c r="FA30" s="12"/>
      <c r="FB30" s="12"/>
      <c r="FC30" s="12"/>
    </row>
    <row r="31" spans="2:159" outlineLevel="1" x14ac:dyDescent="0.2">
      <c r="B31" t="s">
        <v>28</v>
      </c>
      <c r="C31" t="s">
        <v>53</v>
      </c>
      <c r="E31" s="11"/>
      <c r="F31" t="s">
        <v>74</v>
      </c>
      <c r="G31" s="12">
        <v>0.05</v>
      </c>
      <c r="I31" s="11">
        <v>0</v>
      </c>
      <c r="J31" s="13">
        <f t="shared" si="4"/>
        <v>0</v>
      </c>
      <c r="K31" s="13">
        <f>+_xlfn.MAXIFS($N31:$ZF31,$N$3:$ZF$3,K$3)</f>
        <v>0</v>
      </c>
      <c r="L31" s="11"/>
      <c r="O31" s="12"/>
      <c r="P31" s="12"/>
      <c r="Q31" s="12"/>
      <c r="R31" s="12"/>
      <c r="V31" s="12"/>
      <c r="W31" s="12">
        <v>0.5</v>
      </c>
      <c r="X31" s="12"/>
      <c r="Y31" s="12">
        <v>0.5</v>
      </c>
      <c r="AC31" s="12"/>
      <c r="AD31" s="12">
        <v>0.5</v>
      </c>
      <c r="AE31" s="12"/>
      <c r="AF31" s="12">
        <v>0.5</v>
      </c>
      <c r="AJ31" s="12"/>
      <c r="AK31" s="12">
        <v>0.5</v>
      </c>
      <c r="AL31" s="12"/>
      <c r="AM31" s="12">
        <v>0.5</v>
      </c>
      <c r="AQ31" s="12"/>
      <c r="AR31" s="12">
        <v>0.5</v>
      </c>
      <c r="AS31" s="12"/>
      <c r="AT31" s="12">
        <v>0.5</v>
      </c>
      <c r="AX31" s="12"/>
      <c r="AY31" s="12">
        <v>0.8</v>
      </c>
      <c r="AZ31" s="12"/>
      <c r="BA31" s="12">
        <v>0.8</v>
      </c>
      <c r="BE31" s="12"/>
      <c r="BF31" s="12">
        <v>0.8</v>
      </c>
      <c r="BG31" s="12"/>
      <c r="BH31" s="12">
        <v>0.8</v>
      </c>
      <c r="BM31" s="12"/>
      <c r="BN31" s="12">
        <v>0.8</v>
      </c>
      <c r="BO31" s="12"/>
      <c r="BP31" s="12">
        <v>0.8</v>
      </c>
      <c r="BT31" s="12"/>
      <c r="BU31" s="12">
        <v>0.8</v>
      </c>
      <c r="BV31" s="12"/>
      <c r="BW31" s="12">
        <v>0.8</v>
      </c>
      <c r="CA31" s="12"/>
      <c r="CB31" s="12">
        <v>0.8</v>
      </c>
      <c r="CC31" s="12"/>
      <c r="CD31" s="12">
        <v>0.8</v>
      </c>
      <c r="CH31" s="12"/>
      <c r="CI31" s="12">
        <v>1</v>
      </c>
      <c r="CJ31" s="12"/>
      <c r="CK31" s="12">
        <v>1</v>
      </c>
      <c r="CO31" s="12"/>
      <c r="CP31" s="12">
        <v>1</v>
      </c>
      <c r="CQ31" s="12"/>
      <c r="CR31" s="12">
        <v>1</v>
      </c>
      <c r="CV31" s="12"/>
      <c r="CW31" s="12">
        <v>1</v>
      </c>
      <c r="CX31" s="12"/>
      <c r="CY31" s="12">
        <v>1</v>
      </c>
      <c r="DC31" s="12"/>
      <c r="DD31" s="12">
        <v>1</v>
      </c>
      <c r="DE31" s="12"/>
      <c r="DF31" s="12">
        <v>1</v>
      </c>
      <c r="DJ31" s="12"/>
      <c r="DK31" s="12">
        <v>1</v>
      </c>
      <c r="DL31" s="12"/>
      <c r="DM31" s="12">
        <v>1</v>
      </c>
      <c r="DQ31" s="12"/>
      <c r="DR31" s="12">
        <v>1</v>
      </c>
      <c r="DS31" s="12"/>
      <c r="DT31" s="12">
        <v>1</v>
      </c>
      <c r="DX31" s="12"/>
      <c r="DY31" s="12">
        <v>1</v>
      </c>
      <c r="DZ31" s="12"/>
      <c r="EA31" s="12">
        <v>1</v>
      </c>
      <c r="EE31" s="12"/>
      <c r="EF31" s="12">
        <v>1</v>
      </c>
      <c r="EG31" s="12"/>
      <c r="EH31" s="12">
        <v>1</v>
      </c>
      <c r="EL31" s="12"/>
      <c r="EM31" s="12">
        <v>1</v>
      </c>
      <c r="EN31" s="12"/>
      <c r="EO31" s="12">
        <v>1</v>
      </c>
      <c r="ES31" s="12"/>
      <c r="ET31" s="12">
        <v>1</v>
      </c>
      <c r="EU31" s="12"/>
      <c r="EV31" s="12">
        <v>1</v>
      </c>
      <c r="EZ31" s="12"/>
      <c r="FA31" s="12"/>
      <c r="FB31" s="12"/>
      <c r="FC31" s="12"/>
    </row>
    <row r="32" spans="2:159" outlineLevel="1" x14ac:dyDescent="0.2">
      <c r="B32" t="s">
        <v>28</v>
      </c>
      <c r="C32" t="s">
        <v>53</v>
      </c>
      <c r="E32" s="11"/>
      <c r="F32" t="s">
        <v>75</v>
      </c>
      <c r="G32" s="12">
        <v>0.05</v>
      </c>
      <c r="I32" s="11">
        <v>0</v>
      </c>
      <c r="J32" s="13">
        <f>+_xlfn.MAXIFS($N32:$ZF32,$N$3:$ZF$3,J$3)</f>
        <v>0</v>
      </c>
      <c r="K32" s="13">
        <f t="shared" si="4"/>
        <v>0</v>
      </c>
      <c r="L32" s="11"/>
      <c r="O32" s="12"/>
      <c r="P32" s="12"/>
      <c r="Q32" s="12"/>
      <c r="R32" s="12"/>
      <c r="V32" s="12"/>
      <c r="W32" s="12">
        <v>0.5</v>
      </c>
      <c r="X32" s="12"/>
      <c r="Y32" s="12">
        <v>0.5</v>
      </c>
      <c r="AC32" s="12"/>
      <c r="AD32" s="12">
        <v>0.5</v>
      </c>
      <c r="AE32" s="12"/>
      <c r="AF32" s="12">
        <v>0.5</v>
      </c>
      <c r="AJ32" s="12"/>
      <c r="AK32" s="12">
        <v>0.5</v>
      </c>
      <c r="AL32" s="12"/>
      <c r="AM32" s="12">
        <v>0.5</v>
      </c>
      <c r="AQ32" s="12"/>
      <c r="AR32" s="12">
        <v>0.5</v>
      </c>
      <c r="AS32" s="12"/>
      <c r="AT32" s="12">
        <v>0.5</v>
      </c>
      <c r="AX32" s="12"/>
      <c r="AY32" s="12">
        <v>0.5</v>
      </c>
      <c r="AZ32" s="12"/>
      <c r="BA32" s="12">
        <v>0.5</v>
      </c>
      <c r="BE32" s="12"/>
      <c r="BF32" s="12">
        <v>0.8</v>
      </c>
      <c r="BG32" s="12"/>
      <c r="BH32" s="12">
        <v>0.8</v>
      </c>
      <c r="BM32" s="12"/>
      <c r="BN32" s="12">
        <v>0.8</v>
      </c>
      <c r="BO32" s="12"/>
      <c r="BP32" s="12">
        <v>0.8</v>
      </c>
      <c r="BT32" s="12"/>
      <c r="BU32" s="12">
        <v>0.8</v>
      </c>
      <c r="BV32" s="12"/>
      <c r="BW32" s="12">
        <v>0.8</v>
      </c>
      <c r="CA32" s="12"/>
      <c r="CB32" s="12">
        <v>0.8</v>
      </c>
      <c r="CC32" s="12"/>
      <c r="CD32" s="12">
        <v>0.8</v>
      </c>
      <c r="CH32" s="12"/>
      <c r="CI32" s="12">
        <v>1</v>
      </c>
      <c r="CJ32" s="12"/>
      <c r="CK32" s="12">
        <v>1</v>
      </c>
      <c r="CO32" s="12"/>
      <c r="CP32" s="12">
        <v>1</v>
      </c>
      <c r="CQ32" s="12"/>
      <c r="CR32" s="12">
        <v>1</v>
      </c>
      <c r="CV32" s="12"/>
      <c r="CW32" s="12">
        <v>1</v>
      </c>
      <c r="CX32" s="12"/>
      <c r="CY32" s="12">
        <v>1</v>
      </c>
      <c r="DC32" s="12"/>
      <c r="DD32" s="12">
        <v>1</v>
      </c>
      <c r="DE32" s="12"/>
      <c r="DF32" s="12">
        <v>1</v>
      </c>
      <c r="DJ32" s="12"/>
      <c r="DK32" s="12">
        <v>1</v>
      </c>
      <c r="DL32" s="12"/>
      <c r="DM32" s="12">
        <v>1</v>
      </c>
      <c r="DQ32" s="12"/>
      <c r="DR32" s="12">
        <v>1</v>
      </c>
      <c r="DS32" s="12"/>
      <c r="DT32" s="12">
        <v>1</v>
      </c>
      <c r="DX32" s="12"/>
      <c r="DY32" s="12">
        <v>1</v>
      </c>
      <c r="DZ32" s="12"/>
      <c r="EA32" s="12">
        <v>1</v>
      </c>
      <c r="EE32" s="12"/>
      <c r="EF32" s="12">
        <v>1</v>
      </c>
      <c r="EG32" s="12"/>
      <c r="EH32" s="12">
        <v>1</v>
      </c>
      <c r="EL32" s="12"/>
      <c r="EM32" s="12">
        <v>1</v>
      </c>
      <c r="EN32" s="12"/>
      <c r="EO32" s="12">
        <v>1</v>
      </c>
      <c r="ES32" s="12"/>
      <c r="ET32" s="12">
        <v>1</v>
      </c>
      <c r="EU32" s="12"/>
      <c r="EV32" s="12">
        <v>1</v>
      </c>
      <c r="EZ32" s="12"/>
      <c r="FA32" s="12"/>
      <c r="FB32" s="12"/>
      <c r="FC32" s="12"/>
    </row>
    <row r="33" spans="2:159" outlineLevel="1" x14ac:dyDescent="0.2">
      <c r="B33" t="s">
        <v>28</v>
      </c>
      <c r="C33" t="s">
        <v>53</v>
      </c>
      <c r="E33" s="11"/>
      <c r="F33" t="s">
        <v>76</v>
      </c>
      <c r="G33" s="12">
        <v>0.05</v>
      </c>
      <c r="I33" s="11">
        <v>0</v>
      </c>
      <c r="J33" s="13">
        <f t="shared" si="4"/>
        <v>0</v>
      </c>
      <c r="K33" s="13">
        <f t="shared" si="4"/>
        <v>0</v>
      </c>
      <c r="L33" s="11"/>
      <c r="O33" s="12"/>
      <c r="P33" s="12"/>
      <c r="Q33" s="12"/>
      <c r="R33" s="12"/>
      <c r="V33" s="12"/>
      <c r="W33" s="12"/>
      <c r="X33" s="12"/>
      <c r="Y33" s="12"/>
      <c r="AC33" s="12"/>
      <c r="AD33" s="12">
        <v>0.5</v>
      </c>
      <c r="AE33" s="12"/>
      <c r="AF33" s="12">
        <v>0.5</v>
      </c>
      <c r="AJ33" s="12"/>
      <c r="AK33" s="12">
        <v>0.5</v>
      </c>
      <c r="AL33" s="12"/>
      <c r="AM33" s="12">
        <v>0.5</v>
      </c>
      <c r="AQ33" s="12"/>
      <c r="AR33" s="12">
        <v>0.5</v>
      </c>
      <c r="AS33" s="12"/>
      <c r="AT33" s="12">
        <v>0.5</v>
      </c>
      <c r="AX33" s="12"/>
      <c r="AY33" s="12">
        <v>0.5</v>
      </c>
      <c r="AZ33" s="12"/>
      <c r="BA33" s="12">
        <v>0.5</v>
      </c>
      <c r="BE33" s="12"/>
      <c r="BF33" s="12">
        <v>0.8</v>
      </c>
      <c r="BG33" s="12"/>
      <c r="BH33" s="12">
        <v>0.8</v>
      </c>
      <c r="BM33" s="12"/>
      <c r="BN33" s="12">
        <v>0.8</v>
      </c>
      <c r="BO33" s="12"/>
      <c r="BP33" s="12">
        <v>0.8</v>
      </c>
      <c r="BT33" s="12"/>
      <c r="BU33" s="12">
        <v>0.8</v>
      </c>
      <c r="BV33" s="12"/>
      <c r="BW33" s="12">
        <v>0.8</v>
      </c>
      <c r="CA33" s="12"/>
      <c r="CB33" s="12">
        <v>0.8</v>
      </c>
      <c r="CC33" s="12"/>
      <c r="CD33" s="12">
        <v>0.8</v>
      </c>
      <c r="CH33" s="12"/>
      <c r="CI33" s="12">
        <v>0.8</v>
      </c>
      <c r="CJ33" s="12"/>
      <c r="CK33" s="12">
        <v>0.8</v>
      </c>
      <c r="CO33" s="12"/>
      <c r="CP33" s="12">
        <v>1</v>
      </c>
      <c r="CQ33" s="12"/>
      <c r="CR33" s="12">
        <v>1</v>
      </c>
      <c r="CV33" s="12"/>
      <c r="CW33" s="12">
        <v>1</v>
      </c>
      <c r="CX33" s="12"/>
      <c r="CY33" s="12">
        <v>1</v>
      </c>
      <c r="DC33" s="12"/>
      <c r="DD33" s="12">
        <v>1</v>
      </c>
      <c r="DE33" s="12"/>
      <c r="DF33" s="12">
        <v>1</v>
      </c>
      <c r="DJ33" s="12"/>
      <c r="DK33" s="12">
        <v>1</v>
      </c>
      <c r="DL33" s="12"/>
      <c r="DM33" s="12">
        <v>1</v>
      </c>
      <c r="DQ33" s="12"/>
      <c r="DR33" s="12">
        <v>1</v>
      </c>
      <c r="DS33" s="12"/>
      <c r="DT33" s="12">
        <v>1</v>
      </c>
      <c r="DX33" s="12"/>
      <c r="DY33" s="12">
        <v>1</v>
      </c>
      <c r="DZ33" s="12"/>
      <c r="EA33" s="12">
        <v>1</v>
      </c>
      <c r="EE33" s="12"/>
      <c r="EF33" s="12">
        <v>1</v>
      </c>
      <c r="EG33" s="12"/>
      <c r="EH33" s="12">
        <v>1</v>
      </c>
      <c r="EL33" s="12"/>
      <c r="EM33" s="12">
        <v>1</v>
      </c>
      <c r="EN33" s="12"/>
      <c r="EO33" s="12">
        <v>1</v>
      </c>
      <c r="ES33" s="12"/>
      <c r="ET33" s="12">
        <v>1</v>
      </c>
      <c r="EU33" s="12"/>
      <c r="EV33" s="12">
        <v>1</v>
      </c>
      <c r="EZ33" s="12"/>
      <c r="FA33" s="12"/>
      <c r="FB33" s="12"/>
      <c r="FC33" s="12"/>
    </row>
    <row r="34" spans="2:159" outlineLevel="1" x14ac:dyDescent="0.2">
      <c r="B34" t="s">
        <v>28</v>
      </c>
      <c r="C34" t="s">
        <v>53</v>
      </c>
      <c r="E34" s="11"/>
      <c r="F34" t="s">
        <v>77</v>
      </c>
      <c r="G34" s="12">
        <v>0.05</v>
      </c>
      <c r="I34" s="11">
        <v>0</v>
      </c>
      <c r="J34" s="13">
        <f t="shared" si="4"/>
        <v>0</v>
      </c>
      <c r="K34" s="13">
        <f t="shared" si="4"/>
        <v>0</v>
      </c>
      <c r="L34" s="11"/>
      <c r="O34" s="12"/>
      <c r="P34" s="12"/>
      <c r="Q34" s="12"/>
      <c r="R34" s="12"/>
      <c r="V34" s="12"/>
      <c r="W34" s="12"/>
      <c r="X34" s="12"/>
      <c r="Y34" s="12"/>
      <c r="AC34" s="12"/>
      <c r="AD34" s="12"/>
      <c r="AE34" s="12"/>
      <c r="AF34" s="12"/>
      <c r="AJ34" s="12"/>
      <c r="AK34" s="12">
        <v>0.5</v>
      </c>
      <c r="AL34" s="12"/>
      <c r="AM34" s="12">
        <v>0.5</v>
      </c>
      <c r="AQ34" s="12"/>
      <c r="AR34" s="12">
        <v>0.5</v>
      </c>
      <c r="AS34" s="12"/>
      <c r="AT34" s="12">
        <v>0.5</v>
      </c>
      <c r="AX34" s="12"/>
      <c r="AY34" s="12">
        <v>0.5</v>
      </c>
      <c r="AZ34" s="12"/>
      <c r="BA34" s="12">
        <v>0.5</v>
      </c>
      <c r="BE34" s="12"/>
      <c r="BF34" s="12">
        <v>0.5</v>
      </c>
      <c r="BG34" s="12"/>
      <c r="BH34" s="12">
        <v>0.5</v>
      </c>
      <c r="BM34" s="12"/>
      <c r="BN34" s="12">
        <v>0.8</v>
      </c>
      <c r="BO34" s="12"/>
      <c r="BP34" s="12">
        <v>0.8</v>
      </c>
      <c r="BT34" s="12"/>
      <c r="BU34" s="12">
        <v>0.8</v>
      </c>
      <c r="BV34" s="12"/>
      <c r="BW34" s="12">
        <v>0.8</v>
      </c>
      <c r="CA34" s="12"/>
      <c r="CB34" s="12">
        <v>0.8</v>
      </c>
      <c r="CC34" s="12"/>
      <c r="CD34" s="12">
        <v>0.8</v>
      </c>
      <c r="CH34" s="12"/>
      <c r="CI34" s="12">
        <v>0.8</v>
      </c>
      <c r="CJ34" s="12"/>
      <c r="CK34" s="12">
        <v>0.8</v>
      </c>
      <c r="CO34" s="12"/>
      <c r="CP34" s="12">
        <v>1</v>
      </c>
      <c r="CQ34" s="12"/>
      <c r="CR34" s="12">
        <v>1</v>
      </c>
      <c r="CV34" s="12"/>
      <c r="CW34" s="12">
        <v>1</v>
      </c>
      <c r="CX34" s="12"/>
      <c r="CY34" s="12">
        <v>1</v>
      </c>
      <c r="DC34" s="12"/>
      <c r="DD34" s="12">
        <v>1</v>
      </c>
      <c r="DE34" s="12"/>
      <c r="DF34" s="12">
        <v>1</v>
      </c>
      <c r="DJ34" s="12"/>
      <c r="DK34" s="12">
        <v>1</v>
      </c>
      <c r="DL34" s="12"/>
      <c r="DM34" s="12">
        <v>1</v>
      </c>
      <c r="DQ34" s="12"/>
      <c r="DR34" s="12">
        <v>1</v>
      </c>
      <c r="DS34" s="12"/>
      <c r="DT34" s="12">
        <v>1</v>
      </c>
      <c r="DX34" s="12"/>
      <c r="DY34" s="12">
        <v>1</v>
      </c>
      <c r="DZ34" s="12"/>
      <c r="EA34" s="12">
        <v>1</v>
      </c>
      <c r="EE34" s="12"/>
      <c r="EF34" s="12">
        <v>1</v>
      </c>
      <c r="EG34" s="12"/>
      <c r="EH34" s="12">
        <v>1</v>
      </c>
      <c r="EL34" s="12"/>
      <c r="EM34" s="12">
        <v>1</v>
      </c>
      <c r="EN34" s="12"/>
      <c r="EO34" s="12">
        <v>1</v>
      </c>
      <c r="ES34" s="12"/>
      <c r="ET34" s="12">
        <v>1</v>
      </c>
      <c r="EU34" s="12"/>
      <c r="EV34" s="12">
        <v>1</v>
      </c>
      <c r="EZ34" s="12"/>
      <c r="FA34" s="12"/>
      <c r="FB34" s="12"/>
      <c r="FC34" s="12"/>
    </row>
    <row r="35" spans="2:159" outlineLevel="1" x14ac:dyDescent="0.2">
      <c r="B35" t="s">
        <v>28</v>
      </c>
      <c r="C35" t="s">
        <v>53</v>
      </c>
      <c r="E35" s="11"/>
      <c r="F35" t="s">
        <v>78</v>
      </c>
      <c r="G35" s="12">
        <v>0.1</v>
      </c>
      <c r="I35" s="11">
        <v>0</v>
      </c>
      <c r="J35" s="13">
        <f t="shared" si="4"/>
        <v>0</v>
      </c>
      <c r="K35" s="13">
        <f t="shared" si="4"/>
        <v>0</v>
      </c>
      <c r="L35" s="11"/>
      <c r="O35" s="12"/>
      <c r="P35" s="12"/>
      <c r="Q35" s="12"/>
      <c r="R35" s="12"/>
      <c r="V35" s="12"/>
      <c r="W35" s="12"/>
      <c r="X35" s="12"/>
      <c r="Y35" s="12"/>
      <c r="AC35" s="12"/>
      <c r="AD35" s="12"/>
      <c r="AE35" s="12"/>
      <c r="AF35" s="12"/>
      <c r="AJ35" s="12"/>
      <c r="AK35" s="12">
        <v>0.5</v>
      </c>
      <c r="AL35" s="12"/>
      <c r="AM35" s="12">
        <v>0.5</v>
      </c>
      <c r="AQ35" s="12"/>
      <c r="AR35" s="12">
        <v>0.5</v>
      </c>
      <c r="AS35" s="12"/>
      <c r="AT35" s="12">
        <v>0.5</v>
      </c>
      <c r="AX35" s="12"/>
      <c r="AY35" s="12">
        <v>0.5</v>
      </c>
      <c r="AZ35" s="12"/>
      <c r="BA35" s="12">
        <v>0.5</v>
      </c>
      <c r="BE35" s="12"/>
      <c r="BF35" s="12">
        <v>0.5</v>
      </c>
      <c r="BG35" s="12"/>
      <c r="BH35" s="12">
        <v>0.5</v>
      </c>
      <c r="BM35" s="12"/>
      <c r="BN35" s="12">
        <v>0.5</v>
      </c>
      <c r="BO35" s="12"/>
      <c r="BP35" s="12">
        <v>0.5</v>
      </c>
      <c r="BT35" s="12"/>
      <c r="BU35" s="12">
        <v>0.8</v>
      </c>
      <c r="BV35" s="12"/>
      <c r="BW35" s="12">
        <v>0.8</v>
      </c>
      <c r="CA35" s="12"/>
      <c r="CB35" s="12">
        <v>0.8</v>
      </c>
      <c r="CC35" s="12"/>
      <c r="CD35" s="12">
        <v>0.8</v>
      </c>
      <c r="CH35" s="12"/>
      <c r="CI35" s="12">
        <v>0.8</v>
      </c>
      <c r="CJ35" s="12"/>
      <c r="CK35" s="12">
        <v>0.8</v>
      </c>
      <c r="CO35" s="12"/>
      <c r="CP35" s="12">
        <v>0.8</v>
      </c>
      <c r="CQ35" s="12"/>
      <c r="CR35" s="12">
        <v>0.8</v>
      </c>
      <c r="CV35" s="12"/>
      <c r="CW35" s="12">
        <v>1</v>
      </c>
      <c r="CX35" s="12"/>
      <c r="CY35" s="12">
        <v>1</v>
      </c>
      <c r="DC35" s="12"/>
      <c r="DD35" s="12">
        <v>1</v>
      </c>
      <c r="DE35" s="12"/>
      <c r="DF35" s="12">
        <v>1</v>
      </c>
      <c r="DJ35" s="12"/>
      <c r="DK35" s="12">
        <v>1</v>
      </c>
      <c r="DL35" s="12"/>
      <c r="DM35" s="12">
        <v>1</v>
      </c>
      <c r="DQ35" s="12"/>
      <c r="DR35" s="12">
        <v>1</v>
      </c>
      <c r="DS35" s="12"/>
      <c r="DT35" s="12">
        <v>1</v>
      </c>
      <c r="DX35" s="12"/>
      <c r="DY35" s="12">
        <v>1</v>
      </c>
      <c r="DZ35" s="12"/>
      <c r="EA35" s="12">
        <v>1</v>
      </c>
      <c r="EE35" s="12"/>
      <c r="EF35" s="12">
        <v>1</v>
      </c>
      <c r="EG35" s="12"/>
      <c r="EH35" s="12">
        <v>1</v>
      </c>
      <c r="EL35" s="12"/>
      <c r="EM35" s="12">
        <v>1</v>
      </c>
      <c r="EN35" s="12"/>
      <c r="EO35" s="12">
        <v>1</v>
      </c>
      <c r="ES35" s="12"/>
      <c r="ET35" s="12">
        <v>1</v>
      </c>
      <c r="EU35" s="12"/>
      <c r="EV35" s="12">
        <v>1</v>
      </c>
      <c r="EZ35" s="12"/>
      <c r="FA35" s="12"/>
      <c r="FB35" s="12"/>
      <c r="FC35" s="12"/>
    </row>
    <row r="36" spans="2:159" outlineLevel="1" x14ac:dyDescent="0.2">
      <c r="B36" t="s">
        <v>28</v>
      </c>
      <c r="C36" t="s">
        <v>53</v>
      </c>
      <c r="E36" s="11"/>
      <c r="F36" t="s">
        <v>79</v>
      </c>
      <c r="G36" s="12">
        <v>0.1</v>
      </c>
      <c r="I36" s="11">
        <v>0</v>
      </c>
      <c r="J36" s="13">
        <f t="shared" si="4"/>
        <v>0</v>
      </c>
      <c r="K36" s="13">
        <f t="shared" si="4"/>
        <v>0</v>
      </c>
      <c r="L36" s="11"/>
      <c r="O36" s="12"/>
      <c r="P36" s="12"/>
      <c r="Q36" s="12"/>
      <c r="R36" s="12"/>
      <c r="V36" s="12"/>
      <c r="W36" s="12"/>
      <c r="X36" s="12"/>
      <c r="Y36" s="12"/>
      <c r="AC36" s="12"/>
      <c r="AD36" s="12"/>
      <c r="AE36" s="12"/>
      <c r="AF36" s="12"/>
      <c r="AJ36" s="12"/>
      <c r="AK36" s="12"/>
      <c r="AL36" s="12"/>
      <c r="AM36" s="12"/>
      <c r="AQ36" s="12"/>
      <c r="AR36" s="12">
        <v>0.5</v>
      </c>
      <c r="AS36" s="12"/>
      <c r="AT36" s="12">
        <v>0.5</v>
      </c>
      <c r="AX36" s="12"/>
      <c r="AY36" s="12">
        <v>0.5</v>
      </c>
      <c r="AZ36" s="12"/>
      <c r="BA36" s="12">
        <v>0.5</v>
      </c>
      <c r="BE36" s="12"/>
      <c r="BF36" s="12">
        <v>0.5</v>
      </c>
      <c r="BG36" s="12"/>
      <c r="BH36" s="12">
        <v>0.5</v>
      </c>
      <c r="BM36" s="12"/>
      <c r="BN36" s="12">
        <v>0.5</v>
      </c>
      <c r="BO36" s="12"/>
      <c r="BP36" s="12">
        <v>0.5</v>
      </c>
      <c r="BT36" s="12"/>
      <c r="BU36" s="12">
        <v>0.5</v>
      </c>
      <c r="BV36" s="12"/>
      <c r="BW36" s="12">
        <v>0.5</v>
      </c>
      <c r="CA36" s="12"/>
      <c r="CB36" s="12">
        <v>0.8</v>
      </c>
      <c r="CC36" s="12"/>
      <c r="CD36" s="12">
        <v>0.8</v>
      </c>
      <c r="CH36" s="12"/>
      <c r="CI36" s="12">
        <v>0.8</v>
      </c>
      <c r="CJ36" s="12"/>
      <c r="CK36" s="12">
        <v>0.8</v>
      </c>
      <c r="CO36" s="12"/>
      <c r="CP36" s="12">
        <v>0.8</v>
      </c>
      <c r="CQ36" s="12"/>
      <c r="CR36" s="12">
        <v>0.8</v>
      </c>
      <c r="CV36" s="12"/>
      <c r="CW36" s="12">
        <v>1</v>
      </c>
      <c r="CX36" s="12"/>
      <c r="CY36" s="12">
        <v>1</v>
      </c>
      <c r="DC36" s="12"/>
      <c r="DD36" s="12">
        <v>1</v>
      </c>
      <c r="DE36" s="12"/>
      <c r="DF36" s="12">
        <v>1</v>
      </c>
      <c r="DJ36" s="12"/>
      <c r="DK36" s="12">
        <v>1</v>
      </c>
      <c r="DL36" s="12"/>
      <c r="DM36" s="12">
        <v>1</v>
      </c>
      <c r="DQ36" s="12"/>
      <c r="DR36" s="12">
        <v>1</v>
      </c>
      <c r="DS36" s="12"/>
      <c r="DT36" s="12">
        <v>1</v>
      </c>
      <c r="DX36" s="12"/>
      <c r="DY36" s="12">
        <v>1</v>
      </c>
      <c r="DZ36" s="12"/>
      <c r="EA36" s="12">
        <v>1</v>
      </c>
      <c r="EE36" s="12"/>
      <c r="EF36" s="12">
        <v>1</v>
      </c>
      <c r="EG36" s="12"/>
      <c r="EH36" s="12">
        <v>1</v>
      </c>
      <c r="EL36" s="12"/>
      <c r="EM36" s="12">
        <v>1</v>
      </c>
      <c r="EN36" s="12"/>
      <c r="EO36" s="12">
        <v>1</v>
      </c>
      <c r="ES36" s="12"/>
      <c r="ET36" s="12">
        <v>1</v>
      </c>
      <c r="EU36" s="12"/>
      <c r="EV36" s="12">
        <v>1</v>
      </c>
      <c r="EZ36" s="12"/>
      <c r="FA36" s="12"/>
      <c r="FB36" s="12"/>
      <c r="FC36" s="12"/>
    </row>
    <row r="37" spans="2:159" outlineLevel="1" x14ac:dyDescent="0.2">
      <c r="B37" t="s">
        <v>28</v>
      </c>
      <c r="C37" t="s">
        <v>53</v>
      </c>
      <c r="E37" s="11"/>
      <c r="F37" t="s">
        <v>80</v>
      </c>
      <c r="G37" s="12">
        <v>0.1</v>
      </c>
      <c r="I37" s="11">
        <v>0</v>
      </c>
      <c r="J37" s="13">
        <f t="shared" si="4"/>
        <v>0</v>
      </c>
      <c r="K37" s="13">
        <f t="shared" si="4"/>
        <v>0</v>
      </c>
      <c r="L37" s="11"/>
      <c r="O37" s="12"/>
      <c r="P37" s="12"/>
      <c r="Q37" s="12"/>
      <c r="R37" s="12"/>
      <c r="V37" s="12"/>
      <c r="W37" s="12"/>
      <c r="X37" s="12"/>
      <c r="Y37" s="12"/>
      <c r="AC37" s="12"/>
      <c r="AD37" s="12"/>
      <c r="AE37" s="12"/>
      <c r="AF37" s="12"/>
      <c r="AJ37" s="12"/>
      <c r="AK37" s="12"/>
      <c r="AL37" s="12"/>
      <c r="AM37" s="12"/>
      <c r="AQ37" s="12"/>
      <c r="AR37" s="12"/>
      <c r="AS37" s="12"/>
      <c r="AT37" s="12"/>
      <c r="AX37" s="12"/>
      <c r="AY37" s="12">
        <v>0.5</v>
      </c>
      <c r="AZ37" s="12"/>
      <c r="BA37" s="12">
        <v>0.5</v>
      </c>
      <c r="BE37" s="12"/>
      <c r="BF37" s="12">
        <v>0.5</v>
      </c>
      <c r="BG37" s="12"/>
      <c r="BH37" s="12">
        <v>0.5</v>
      </c>
      <c r="BM37" s="12"/>
      <c r="BN37" s="12">
        <v>0.5</v>
      </c>
      <c r="BO37" s="12"/>
      <c r="BP37" s="12">
        <v>0.5</v>
      </c>
      <c r="BT37" s="12"/>
      <c r="BU37" s="12">
        <v>0.5</v>
      </c>
      <c r="BV37" s="12"/>
      <c r="BW37" s="12">
        <v>0.5</v>
      </c>
      <c r="CA37" s="12"/>
      <c r="CB37" s="12">
        <v>0.8</v>
      </c>
      <c r="CC37" s="12"/>
      <c r="CD37" s="12">
        <v>0.8</v>
      </c>
      <c r="CH37" s="12"/>
      <c r="CI37" s="12">
        <v>0.8</v>
      </c>
      <c r="CJ37" s="12"/>
      <c r="CK37" s="12">
        <v>0.8</v>
      </c>
      <c r="CO37" s="12"/>
      <c r="CP37" s="12">
        <v>0.8</v>
      </c>
      <c r="CQ37" s="12"/>
      <c r="CR37" s="12">
        <v>0.8</v>
      </c>
      <c r="CV37" s="12"/>
      <c r="CW37" s="12">
        <v>1</v>
      </c>
      <c r="CX37" s="12"/>
      <c r="CY37" s="12">
        <v>1</v>
      </c>
      <c r="DC37" s="12"/>
      <c r="DD37" s="12">
        <v>1</v>
      </c>
      <c r="DE37" s="12"/>
      <c r="DF37" s="12">
        <v>1</v>
      </c>
      <c r="DJ37" s="12"/>
      <c r="DK37" s="12">
        <v>1</v>
      </c>
      <c r="DL37" s="12"/>
      <c r="DM37" s="12">
        <v>1</v>
      </c>
      <c r="DQ37" s="12"/>
      <c r="DR37" s="12">
        <v>1</v>
      </c>
      <c r="DS37" s="12"/>
      <c r="DT37" s="12">
        <v>1</v>
      </c>
      <c r="DX37" s="12"/>
      <c r="DY37" s="12">
        <v>1</v>
      </c>
      <c r="DZ37" s="12"/>
      <c r="EA37" s="12">
        <v>1</v>
      </c>
      <c r="EE37" s="12"/>
      <c r="EF37" s="12">
        <v>1</v>
      </c>
      <c r="EG37" s="12"/>
      <c r="EH37" s="12">
        <v>1</v>
      </c>
      <c r="EL37" s="12"/>
      <c r="EM37" s="12">
        <v>1</v>
      </c>
      <c r="EN37" s="12"/>
      <c r="EO37" s="12">
        <v>1</v>
      </c>
      <c r="ES37" s="12"/>
      <c r="ET37" s="12">
        <v>1</v>
      </c>
      <c r="EU37" s="12"/>
      <c r="EV37" s="12">
        <v>1</v>
      </c>
      <c r="EZ37" s="12"/>
      <c r="FA37" s="12"/>
      <c r="FB37" s="12"/>
      <c r="FC37" s="12"/>
    </row>
    <row r="38" spans="2:159" outlineLevel="1" x14ac:dyDescent="0.2">
      <c r="B38" t="s">
        <v>28</v>
      </c>
      <c r="C38" t="s">
        <v>53</v>
      </c>
      <c r="E38" s="11"/>
      <c r="F38" t="s">
        <v>81</v>
      </c>
      <c r="G38" s="12">
        <v>0.1</v>
      </c>
      <c r="I38" s="11">
        <v>0</v>
      </c>
      <c r="J38" s="13">
        <f t="shared" si="4"/>
        <v>0</v>
      </c>
      <c r="K38" s="13">
        <f t="shared" si="4"/>
        <v>0</v>
      </c>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v>0.5</v>
      </c>
      <c r="BG38" s="12"/>
      <c r="BH38" s="12">
        <v>0.5</v>
      </c>
      <c r="BM38" s="12"/>
      <c r="BN38" s="12">
        <v>0.5</v>
      </c>
      <c r="BO38" s="12"/>
      <c r="BP38" s="12">
        <v>0.5</v>
      </c>
      <c r="BT38" s="12"/>
      <c r="BU38" s="12">
        <v>0.5</v>
      </c>
      <c r="BV38" s="12"/>
      <c r="BW38" s="12">
        <v>0.5</v>
      </c>
      <c r="CA38" s="12"/>
      <c r="CB38" s="12">
        <v>0.5</v>
      </c>
      <c r="CC38" s="12"/>
      <c r="CD38" s="12">
        <v>0.5</v>
      </c>
      <c r="CH38" s="12"/>
      <c r="CI38" s="12">
        <v>0.8</v>
      </c>
      <c r="CJ38" s="12"/>
      <c r="CK38" s="12">
        <v>0.8</v>
      </c>
      <c r="CO38" s="12"/>
      <c r="CP38" s="12">
        <v>0.8</v>
      </c>
      <c r="CQ38" s="12"/>
      <c r="CR38" s="12">
        <v>0.8</v>
      </c>
      <c r="CV38" s="12"/>
      <c r="CW38" s="12">
        <v>0.8</v>
      </c>
      <c r="CX38" s="12"/>
      <c r="CY38" s="12">
        <v>0.8</v>
      </c>
      <c r="DC38" s="12"/>
      <c r="DD38" s="12">
        <v>1</v>
      </c>
      <c r="DE38" s="12"/>
      <c r="DF38" s="12">
        <v>1</v>
      </c>
      <c r="DJ38" s="12"/>
      <c r="DK38" s="12">
        <v>1</v>
      </c>
      <c r="DL38" s="12"/>
      <c r="DM38" s="12">
        <v>1</v>
      </c>
      <c r="DQ38" s="12"/>
      <c r="DR38" s="12">
        <v>1</v>
      </c>
      <c r="DS38" s="12"/>
      <c r="DT38" s="12">
        <v>1</v>
      </c>
      <c r="DX38" s="12"/>
      <c r="DY38" s="12">
        <v>1</v>
      </c>
      <c r="DZ38" s="12"/>
      <c r="EA38" s="12">
        <v>1</v>
      </c>
      <c r="EE38" s="12"/>
      <c r="EF38" s="12">
        <v>1</v>
      </c>
      <c r="EG38" s="12"/>
      <c r="EH38" s="12">
        <v>1</v>
      </c>
      <c r="EL38" s="12"/>
      <c r="EM38" s="12">
        <v>1</v>
      </c>
      <c r="EN38" s="12"/>
      <c r="EO38" s="12">
        <v>1</v>
      </c>
      <c r="ES38" s="12"/>
      <c r="ET38" s="12">
        <v>1</v>
      </c>
      <c r="EU38" s="12"/>
      <c r="EV38" s="12">
        <v>1</v>
      </c>
      <c r="EZ38" s="12"/>
      <c r="FA38" s="12"/>
      <c r="FB38" s="12"/>
      <c r="FC38" s="12"/>
    </row>
    <row r="39" spans="2:159" x14ac:dyDescent="0.2">
      <c r="BN39" s="12"/>
    </row>
    <row r="40" spans="2:159" x14ac:dyDescent="0.2">
      <c r="B40" t="s">
        <v>27</v>
      </c>
      <c r="C40" t="s">
        <v>97</v>
      </c>
      <c r="E40" s="11">
        <v>5</v>
      </c>
      <c r="G40" s="12">
        <f>+SUM(G41:G46)</f>
        <v>1</v>
      </c>
      <c r="I40" s="14">
        <v>8</v>
      </c>
      <c r="J40" s="13">
        <f>+SUMPRODUCT(G41:G46,J41:J46)</f>
        <v>0.05</v>
      </c>
      <c r="K40" s="13">
        <f>+SUMPRODUCT(G41:G46,K41:K46)</f>
        <v>0.05</v>
      </c>
      <c r="N40" s="14">
        <v>8</v>
      </c>
      <c r="T40" s="19"/>
      <c r="U40" s="14">
        <v>8</v>
      </c>
      <c r="V40" s="19"/>
      <c r="W40" s="19"/>
      <c r="X40" s="19"/>
      <c r="Y40" s="19"/>
      <c r="Z40" s="19"/>
      <c r="AA40" s="19"/>
      <c r="AB40" s="14">
        <v>8</v>
      </c>
      <c r="AC40" s="19"/>
      <c r="AD40" s="19"/>
      <c r="AE40" s="19"/>
      <c r="AF40" s="19"/>
      <c r="AG40" s="19"/>
      <c r="AH40" s="19"/>
      <c r="AI40" s="14">
        <v>8</v>
      </c>
      <c r="AJ40" s="19"/>
      <c r="AK40" s="19"/>
      <c r="AL40" s="19"/>
      <c r="AM40" s="19"/>
      <c r="AN40" s="19"/>
      <c r="AO40" s="19"/>
      <c r="AP40" s="14">
        <v>8</v>
      </c>
      <c r="AQ40" s="19"/>
      <c r="AR40" s="19"/>
      <c r="AS40" s="19"/>
      <c r="AT40" s="19"/>
      <c r="AU40" s="19"/>
      <c r="AV40" s="19"/>
      <c r="AW40" s="14">
        <v>8</v>
      </c>
      <c r="AX40" s="19"/>
      <c r="AY40" s="19"/>
      <c r="AZ40" s="19"/>
      <c r="BA40" s="19"/>
      <c r="BB40" s="19"/>
      <c r="BC40" s="19"/>
      <c r="BD40" s="14">
        <v>8</v>
      </c>
      <c r="BE40" s="19"/>
      <c r="BF40" s="19"/>
      <c r="BG40" s="19"/>
      <c r="BH40" s="19"/>
      <c r="BI40" s="19"/>
      <c r="BJ40" s="19"/>
      <c r="BK40" s="19"/>
      <c r="BL40" s="14">
        <v>8</v>
      </c>
      <c r="BM40" s="19"/>
      <c r="BN40" s="19"/>
      <c r="BO40" s="19"/>
      <c r="BP40" s="19"/>
      <c r="BQ40" s="19"/>
      <c r="BR40" s="19"/>
      <c r="BS40" s="14">
        <v>8</v>
      </c>
      <c r="BT40" s="19"/>
      <c r="BU40" s="19"/>
      <c r="BV40" s="19"/>
      <c r="BW40" s="19"/>
      <c r="BX40" s="19"/>
      <c r="BY40" s="19"/>
      <c r="BZ40" s="14">
        <v>8</v>
      </c>
      <c r="CA40" s="19"/>
      <c r="CB40" s="19"/>
      <c r="CC40" s="19"/>
      <c r="CD40" s="19"/>
      <c r="CE40" s="19"/>
      <c r="CF40" s="19"/>
      <c r="CG40" s="14">
        <v>8</v>
      </c>
      <c r="CH40" s="19"/>
      <c r="CI40" s="19"/>
      <c r="CJ40" s="19"/>
      <c r="CK40" s="19"/>
      <c r="CL40" s="19"/>
      <c r="CM40" s="19"/>
      <c r="CN40" s="14">
        <v>8</v>
      </c>
      <c r="CO40" s="19"/>
      <c r="CP40" s="19"/>
      <c r="CQ40" s="19"/>
      <c r="CR40" s="19"/>
      <c r="CS40" s="19"/>
      <c r="CT40" s="19"/>
      <c r="CU40" s="14">
        <v>8</v>
      </c>
      <c r="CV40" s="19"/>
      <c r="CW40" s="19"/>
      <c r="CX40" s="19"/>
      <c r="CY40" s="19"/>
      <c r="CZ40" s="19"/>
      <c r="DA40" s="19"/>
      <c r="DB40" s="18">
        <v>8</v>
      </c>
      <c r="DC40" s="19"/>
      <c r="DD40" s="19"/>
      <c r="DE40" s="19"/>
      <c r="DF40" s="19"/>
      <c r="DI40" s="18">
        <v>8</v>
      </c>
      <c r="DJ40" s="19"/>
      <c r="DK40" s="19"/>
      <c r="DL40" s="19"/>
      <c r="DM40" s="19"/>
      <c r="DP40" s="18">
        <v>8</v>
      </c>
      <c r="DQ40" s="19"/>
      <c r="DR40" s="19"/>
      <c r="DS40" s="19"/>
      <c r="DT40" s="19"/>
      <c r="DW40" s="18">
        <v>8</v>
      </c>
      <c r="DX40" s="19"/>
      <c r="DY40" s="19"/>
      <c r="DZ40" s="19"/>
      <c r="EA40" s="19"/>
      <c r="ED40" s="18">
        <v>8</v>
      </c>
      <c r="EE40" s="19"/>
      <c r="EF40" s="19"/>
      <c r="EG40" s="19"/>
      <c r="EH40" s="19"/>
      <c r="EK40" s="18"/>
      <c r="EL40" s="19"/>
      <c r="EM40" s="19"/>
      <c r="EN40" s="19"/>
      <c r="EO40" s="19"/>
      <c r="ER40" s="18"/>
      <c r="ES40" s="47" t="s">
        <v>122</v>
      </c>
      <c r="ET40" s="19"/>
      <c r="EU40" s="19"/>
      <c r="EV40" s="19"/>
      <c r="EY40" s="18"/>
      <c r="EZ40" s="19"/>
      <c r="FA40" s="19"/>
      <c r="FB40" s="48"/>
      <c r="FC40" s="19"/>
    </row>
    <row r="41" spans="2:159" x14ac:dyDescent="0.2">
      <c r="B41" t="s">
        <v>28</v>
      </c>
      <c r="C41" t="s">
        <v>98</v>
      </c>
      <c r="E41" s="11"/>
      <c r="F41" t="s">
        <v>124</v>
      </c>
      <c r="G41" s="12">
        <v>0.1</v>
      </c>
      <c r="I41" s="11">
        <f t="shared" ref="I41:I46" si="5">+SUMIF($N$3:$ZZ$3,I$3,$N41:$ZZ41)</f>
        <v>8</v>
      </c>
      <c r="J41" s="13">
        <f t="shared" ref="J41:K46" si="6">+_xlfn.MAXIFS($N41:$ZF41,$N$3:$ZF$3,J$3)</f>
        <v>0.5</v>
      </c>
      <c r="K41" s="13">
        <f t="shared" si="6"/>
        <v>0.5</v>
      </c>
      <c r="N41">
        <v>8</v>
      </c>
      <c r="O41" s="12">
        <v>0.5</v>
      </c>
      <c r="P41" s="12">
        <v>0.5</v>
      </c>
      <c r="Q41" s="12">
        <v>0.5</v>
      </c>
      <c r="R41" s="12">
        <v>0.5</v>
      </c>
      <c r="T41" s="19"/>
      <c r="U41" s="19"/>
      <c r="V41" s="21"/>
      <c r="W41" s="20">
        <v>0.5</v>
      </c>
      <c r="X41" s="21"/>
      <c r="Y41" s="20">
        <v>0.5</v>
      </c>
      <c r="Z41" s="19"/>
      <c r="AA41" s="19"/>
      <c r="AB41" s="19"/>
      <c r="AC41" s="21"/>
      <c r="AD41" s="20">
        <v>0.5</v>
      </c>
      <c r="AE41" s="21"/>
      <c r="AF41" s="20">
        <v>0.5</v>
      </c>
      <c r="AG41" s="19"/>
      <c r="AH41" s="19"/>
      <c r="AI41" s="19"/>
      <c r="AJ41" s="21"/>
      <c r="AK41" s="20">
        <v>0.8</v>
      </c>
      <c r="AL41" s="21"/>
      <c r="AM41" s="20">
        <v>0.8</v>
      </c>
      <c r="AN41" s="19"/>
      <c r="AO41" s="19"/>
      <c r="AP41" s="19"/>
      <c r="AQ41" s="21"/>
      <c r="AR41" s="20">
        <v>0.8</v>
      </c>
      <c r="AS41" s="21"/>
      <c r="AT41" s="20">
        <v>0.8</v>
      </c>
      <c r="AU41" s="19"/>
      <c r="AV41" s="19"/>
      <c r="AW41" s="19"/>
      <c r="AX41" s="21"/>
      <c r="AY41" s="20">
        <v>0.8</v>
      </c>
      <c r="AZ41" s="21"/>
      <c r="BA41" s="20">
        <v>0.8</v>
      </c>
      <c r="BB41" s="19"/>
      <c r="BC41" s="19"/>
      <c r="BD41" s="19"/>
      <c r="BE41" s="21"/>
      <c r="BF41" s="20">
        <v>0.8</v>
      </c>
      <c r="BG41" s="21"/>
      <c r="BH41" s="20">
        <v>0.8</v>
      </c>
      <c r="BI41" s="19"/>
      <c r="BJ41" s="19"/>
      <c r="BK41" s="19"/>
      <c r="BL41" s="19"/>
      <c r="BM41" s="21"/>
      <c r="BN41" s="20">
        <v>0.8</v>
      </c>
      <c r="BO41" s="21"/>
      <c r="BP41" s="20">
        <v>0.8</v>
      </c>
      <c r="BQ41" s="19"/>
      <c r="BR41" s="19"/>
      <c r="BS41" s="19"/>
      <c r="BT41" s="21"/>
      <c r="BU41" s="20">
        <v>1</v>
      </c>
      <c r="BV41" s="21"/>
      <c r="BW41" s="20">
        <v>1</v>
      </c>
      <c r="BX41" s="19"/>
      <c r="BY41" s="19"/>
      <c r="BZ41" s="19"/>
      <c r="CA41" s="21"/>
      <c r="CB41" s="20">
        <v>1</v>
      </c>
      <c r="CC41" s="21"/>
      <c r="CD41" s="20">
        <v>1</v>
      </c>
      <c r="CE41" s="19"/>
      <c r="CF41" s="19"/>
      <c r="CG41" s="19"/>
      <c r="CH41" s="21"/>
      <c r="CI41" s="20">
        <v>1</v>
      </c>
      <c r="CJ41" s="21"/>
      <c r="CK41" s="20">
        <v>1</v>
      </c>
      <c r="CL41" s="19"/>
      <c r="CM41" s="19"/>
      <c r="CN41" s="19"/>
      <c r="CO41" s="21"/>
      <c r="CP41" s="20">
        <v>1</v>
      </c>
      <c r="CQ41" s="21"/>
      <c r="CR41" s="20">
        <v>1</v>
      </c>
      <c r="CS41" s="19"/>
      <c r="CT41" s="19"/>
      <c r="CU41" s="19"/>
      <c r="CV41" s="21"/>
      <c r="CW41" s="20">
        <v>1</v>
      </c>
      <c r="CX41" s="21"/>
      <c r="CY41" s="20">
        <v>1</v>
      </c>
      <c r="CZ41" s="19"/>
      <c r="DA41" s="19"/>
      <c r="DB41" s="19"/>
      <c r="DC41" s="21"/>
      <c r="DD41" s="20">
        <v>1</v>
      </c>
      <c r="DE41" s="21"/>
      <c r="DF41" s="20">
        <v>1</v>
      </c>
      <c r="DI41" s="19"/>
      <c r="DJ41" s="21"/>
      <c r="DK41" s="20">
        <v>1</v>
      </c>
      <c r="DL41" s="21"/>
      <c r="DM41" s="20">
        <v>1</v>
      </c>
      <c r="DP41" s="19"/>
      <c r="DQ41" s="21"/>
      <c r="DR41" s="20">
        <v>1</v>
      </c>
      <c r="DS41" s="21"/>
      <c r="DT41" s="20">
        <v>1</v>
      </c>
      <c r="DW41" s="19"/>
      <c r="DX41" s="21"/>
      <c r="DY41" s="20">
        <v>1</v>
      </c>
      <c r="DZ41" s="21"/>
      <c r="EA41" s="20">
        <v>1</v>
      </c>
      <c r="ED41" s="19"/>
      <c r="EE41" s="21"/>
      <c r="EF41" s="20">
        <v>1</v>
      </c>
      <c r="EG41" s="21"/>
      <c r="EH41" s="20">
        <v>1</v>
      </c>
      <c r="EK41" s="19"/>
      <c r="EL41" s="21"/>
      <c r="EM41" s="20">
        <v>1</v>
      </c>
      <c r="EN41" s="21"/>
      <c r="EO41" s="20">
        <v>1</v>
      </c>
      <c r="ER41" s="19"/>
      <c r="ES41" s="21"/>
      <c r="ET41" s="20">
        <v>1</v>
      </c>
      <c r="EU41" s="21"/>
      <c r="EV41" s="20">
        <v>1</v>
      </c>
      <c r="EY41" s="19"/>
      <c r="EZ41" s="48"/>
      <c r="FA41" s="20"/>
      <c r="FB41" s="48"/>
      <c r="FC41" s="20"/>
    </row>
    <row r="42" spans="2:159" x14ac:dyDescent="0.2">
      <c r="B42" t="s">
        <v>28</v>
      </c>
      <c r="C42" t="s">
        <v>98</v>
      </c>
      <c r="E42" s="11"/>
      <c r="F42" t="s">
        <v>125</v>
      </c>
      <c r="G42" s="12">
        <v>0.2</v>
      </c>
      <c r="I42" s="11">
        <f t="shared" si="5"/>
        <v>0</v>
      </c>
      <c r="J42" s="13">
        <f t="shared" si="6"/>
        <v>0</v>
      </c>
      <c r="K42" s="13">
        <f t="shared" si="6"/>
        <v>0</v>
      </c>
      <c r="O42" s="12"/>
      <c r="P42" s="12"/>
      <c r="Q42" s="12"/>
      <c r="R42" s="12"/>
      <c r="T42" s="19"/>
      <c r="U42" s="19"/>
      <c r="V42" s="21"/>
      <c r="W42" s="20">
        <v>0.5</v>
      </c>
      <c r="X42" s="21"/>
      <c r="Y42" s="20">
        <v>0.5</v>
      </c>
      <c r="Z42" s="19"/>
      <c r="AA42" s="19"/>
      <c r="AB42" s="19"/>
      <c r="AC42" s="21"/>
      <c r="AD42" s="20">
        <v>0.5</v>
      </c>
      <c r="AE42" s="21"/>
      <c r="AF42" s="20">
        <v>0.5</v>
      </c>
      <c r="AG42" s="19"/>
      <c r="AH42" s="19"/>
      <c r="AI42" s="19"/>
      <c r="AJ42" s="21"/>
      <c r="AK42" s="20">
        <v>0.5</v>
      </c>
      <c r="AL42" s="21"/>
      <c r="AM42" s="20">
        <v>0.5</v>
      </c>
      <c r="AN42" s="19"/>
      <c r="AO42" s="19"/>
      <c r="AP42" s="19"/>
      <c r="AQ42" s="21"/>
      <c r="AR42" s="20">
        <v>0.5</v>
      </c>
      <c r="AS42" s="21"/>
      <c r="AT42" s="20">
        <v>0.5</v>
      </c>
      <c r="AU42" s="19"/>
      <c r="AV42" s="19"/>
      <c r="AW42" s="19"/>
      <c r="AX42" s="21"/>
      <c r="AY42" s="20">
        <v>0.8</v>
      </c>
      <c r="AZ42" s="21"/>
      <c r="BA42" s="20">
        <v>0.8</v>
      </c>
      <c r="BB42" s="19"/>
      <c r="BC42" s="19"/>
      <c r="BD42" s="19"/>
      <c r="BE42" s="21"/>
      <c r="BF42" s="20">
        <v>0.8</v>
      </c>
      <c r="BG42" s="21"/>
      <c r="BH42" s="20">
        <v>0.8</v>
      </c>
      <c r="BI42" s="19"/>
      <c r="BJ42" s="19"/>
      <c r="BK42" s="19"/>
      <c r="BL42" s="19"/>
      <c r="BM42" s="21"/>
      <c r="BN42" s="20">
        <v>0.8</v>
      </c>
      <c r="BO42" s="21"/>
      <c r="BP42" s="20">
        <v>0.8</v>
      </c>
      <c r="BQ42" s="19"/>
      <c r="BR42" s="19"/>
      <c r="BS42" s="19"/>
      <c r="BT42" s="21"/>
      <c r="BU42" s="20">
        <v>0.8</v>
      </c>
      <c r="BV42" s="21"/>
      <c r="BW42" s="20">
        <v>0.8</v>
      </c>
      <c r="BX42" s="19"/>
      <c r="BY42" s="19"/>
      <c r="BZ42" s="19"/>
      <c r="CA42" s="21"/>
      <c r="CB42" s="20">
        <v>1</v>
      </c>
      <c r="CC42" s="21"/>
      <c r="CD42" s="20">
        <v>1</v>
      </c>
      <c r="CE42" s="19"/>
      <c r="CF42" s="19"/>
      <c r="CG42" s="19"/>
      <c r="CH42" s="21"/>
      <c r="CI42" s="20">
        <v>1</v>
      </c>
      <c r="CJ42" s="21"/>
      <c r="CK42" s="20">
        <v>1</v>
      </c>
      <c r="CL42" s="19"/>
      <c r="CM42" s="19"/>
      <c r="CN42" s="19"/>
      <c r="CO42" s="21"/>
      <c r="CP42" s="20">
        <v>1</v>
      </c>
      <c r="CQ42" s="21"/>
      <c r="CR42" s="20">
        <v>1</v>
      </c>
      <c r="CS42" s="19"/>
      <c r="CT42" s="19"/>
      <c r="CU42" s="19"/>
      <c r="CV42" s="21"/>
      <c r="CW42" s="20">
        <v>1</v>
      </c>
      <c r="CX42" s="21"/>
      <c r="CY42" s="20">
        <v>1</v>
      </c>
      <c r="CZ42" s="19"/>
      <c r="DA42" s="19"/>
      <c r="DB42" s="19"/>
      <c r="DC42" s="21"/>
      <c r="DD42" s="20">
        <v>1</v>
      </c>
      <c r="DE42" s="21"/>
      <c r="DF42" s="20">
        <v>1</v>
      </c>
      <c r="DI42" s="19"/>
      <c r="DJ42" s="21"/>
      <c r="DK42" s="20">
        <v>1</v>
      </c>
      <c r="DL42" s="21"/>
      <c r="DM42" s="20">
        <v>1</v>
      </c>
      <c r="DP42" s="19"/>
      <c r="DQ42" s="21"/>
      <c r="DR42" s="20">
        <v>1</v>
      </c>
      <c r="DS42" s="21"/>
      <c r="DT42" s="20">
        <v>1</v>
      </c>
      <c r="DW42" s="19"/>
      <c r="DX42" s="21"/>
      <c r="DY42" s="20">
        <v>1</v>
      </c>
      <c r="DZ42" s="21"/>
      <c r="EA42" s="20">
        <v>1</v>
      </c>
      <c r="ED42" s="19"/>
      <c r="EE42" s="21"/>
      <c r="EF42" s="20">
        <v>1</v>
      </c>
      <c r="EG42" s="21"/>
      <c r="EH42" s="20">
        <v>1</v>
      </c>
      <c r="EK42" s="19"/>
      <c r="EL42" s="21"/>
      <c r="EM42" s="20">
        <v>1</v>
      </c>
      <c r="EN42" s="21"/>
      <c r="EO42" s="20">
        <v>1</v>
      </c>
      <c r="ER42" s="19"/>
      <c r="ES42" s="21"/>
      <c r="ET42" s="20">
        <v>1</v>
      </c>
      <c r="EU42" s="21"/>
      <c r="EV42" s="20">
        <v>1</v>
      </c>
      <c r="EY42" s="19"/>
      <c r="EZ42" s="48"/>
      <c r="FA42" s="20"/>
      <c r="FB42" s="48"/>
      <c r="FC42" s="20"/>
    </row>
    <row r="43" spans="2:159" x14ac:dyDescent="0.2">
      <c r="B43" t="s">
        <v>28</v>
      </c>
      <c r="C43" t="s">
        <v>98</v>
      </c>
      <c r="E43" s="11"/>
      <c r="F43" t="s">
        <v>126</v>
      </c>
      <c r="G43" s="12">
        <v>0.2</v>
      </c>
      <c r="I43" s="11">
        <f t="shared" si="5"/>
        <v>0</v>
      </c>
      <c r="J43" s="13">
        <f t="shared" si="6"/>
        <v>0</v>
      </c>
      <c r="K43" s="13">
        <f t="shared" si="6"/>
        <v>0</v>
      </c>
      <c r="O43" s="12"/>
      <c r="P43" s="12"/>
      <c r="Q43" s="12"/>
      <c r="R43" s="12"/>
      <c r="T43" s="19"/>
      <c r="U43" s="19"/>
      <c r="V43" s="20"/>
      <c r="W43" s="20"/>
      <c r="X43" s="20"/>
      <c r="Y43" s="20"/>
      <c r="Z43" s="19"/>
      <c r="AA43" s="19"/>
      <c r="AB43" s="19"/>
      <c r="AC43" s="21"/>
      <c r="AD43" s="20">
        <v>0.5</v>
      </c>
      <c r="AE43" s="21"/>
      <c r="AF43" s="20">
        <v>0.5</v>
      </c>
      <c r="AG43" s="19"/>
      <c r="AH43" s="19"/>
      <c r="AI43" s="19"/>
      <c r="AJ43" s="21"/>
      <c r="AK43" s="20">
        <v>0.5</v>
      </c>
      <c r="AL43" s="21"/>
      <c r="AM43" s="20">
        <v>0.5</v>
      </c>
      <c r="AN43" s="19"/>
      <c r="AO43" s="19"/>
      <c r="AP43" s="19"/>
      <c r="AQ43" s="21"/>
      <c r="AR43" s="20">
        <v>0.5</v>
      </c>
      <c r="AS43" s="21"/>
      <c r="AT43" s="20">
        <v>0.5</v>
      </c>
      <c r="AU43" s="19"/>
      <c r="AV43" s="19"/>
      <c r="AW43" s="19"/>
      <c r="AX43" s="21"/>
      <c r="AY43" s="20">
        <v>0.5</v>
      </c>
      <c r="AZ43" s="21"/>
      <c r="BA43" s="20">
        <v>0.5</v>
      </c>
      <c r="BB43" s="19"/>
      <c r="BC43" s="19"/>
      <c r="BD43" s="19"/>
      <c r="BE43" s="21"/>
      <c r="BF43" s="20">
        <v>0.8</v>
      </c>
      <c r="BG43" s="21"/>
      <c r="BH43" s="20">
        <v>0.8</v>
      </c>
      <c r="BI43" s="19"/>
      <c r="BJ43" s="19"/>
      <c r="BK43" s="19"/>
      <c r="BL43" s="19"/>
      <c r="BM43" s="21"/>
      <c r="BN43" s="20">
        <v>0.8</v>
      </c>
      <c r="BO43" s="21"/>
      <c r="BP43" s="20">
        <v>0.8</v>
      </c>
      <c r="BQ43" s="19"/>
      <c r="BR43" s="19"/>
      <c r="BS43" s="19"/>
      <c r="BT43" s="21"/>
      <c r="BU43" s="20">
        <v>0.8</v>
      </c>
      <c r="BV43" s="21"/>
      <c r="BW43" s="20">
        <v>0.8</v>
      </c>
      <c r="BX43" s="19"/>
      <c r="BY43" s="19"/>
      <c r="BZ43" s="19"/>
      <c r="CA43" s="21"/>
      <c r="CB43" s="20">
        <v>0.8</v>
      </c>
      <c r="CC43" s="21"/>
      <c r="CD43" s="20">
        <v>0.8</v>
      </c>
      <c r="CE43" s="19"/>
      <c r="CF43" s="19"/>
      <c r="CG43" s="19"/>
      <c r="CH43" s="21"/>
      <c r="CI43" s="20">
        <v>0.8</v>
      </c>
      <c r="CJ43" s="21"/>
      <c r="CK43" s="20">
        <v>0.8</v>
      </c>
      <c r="CL43" s="19"/>
      <c r="CM43" s="19"/>
      <c r="CN43" s="19"/>
      <c r="CO43" s="21"/>
      <c r="CP43" s="20">
        <v>1</v>
      </c>
      <c r="CQ43" s="21"/>
      <c r="CR43" s="20">
        <v>1</v>
      </c>
      <c r="CS43" s="19"/>
      <c r="CT43" s="19"/>
      <c r="CU43" s="19"/>
      <c r="CV43" s="21"/>
      <c r="CW43" s="20">
        <v>1</v>
      </c>
      <c r="CX43" s="21"/>
      <c r="CY43" s="20">
        <v>1</v>
      </c>
      <c r="CZ43" s="19"/>
      <c r="DA43" s="19"/>
      <c r="DB43" s="19"/>
      <c r="DC43" s="21"/>
      <c r="DD43" s="20">
        <v>1</v>
      </c>
      <c r="DE43" s="21"/>
      <c r="DF43" s="20">
        <v>1</v>
      </c>
      <c r="DI43" s="19"/>
      <c r="DJ43" s="21"/>
      <c r="DK43" s="20">
        <v>1</v>
      </c>
      <c r="DL43" s="21"/>
      <c r="DM43" s="20">
        <v>1</v>
      </c>
      <c r="DP43" s="19"/>
      <c r="DQ43" s="21"/>
      <c r="DR43" s="20">
        <v>1</v>
      </c>
      <c r="DS43" s="21"/>
      <c r="DT43" s="20">
        <v>1</v>
      </c>
      <c r="DW43" s="19"/>
      <c r="DX43" s="21"/>
      <c r="DY43" s="20">
        <v>1</v>
      </c>
      <c r="DZ43" s="21"/>
      <c r="EA43" s="20">
        <v>1</v>
      </c>
      <c r="ED43" s="19"/>
      <c r="EE43" s="21"/>
      <c r="EF43" s="20">
        <v>1</v>
      </c>
      <c r="EG43" s="21"/>
      <c r="EH43" s="20">
        <v>1</v>
      </c>
      <c r="EK43" s="19"/>
      <c r="EL43" s="21"/>
      <c r="EM43" s="20">
        <v>1</v>
      </c>
      <c r="EN43" s="21"/>
      <c r="EO43" s="20">
        <v>1</v>
      </c>
      <c r="ER43" s="19"/>
      <c r="ES43" s="21"/>
      <c r="ET43" s="20">
        <v>1</v>
      </c>
      <c r="EU43" s="21"/>
      <c r="EV43" s="20">
        <v>1</v>
      </c>
      <c r="EY43" s="19"/>
      <c r="EZ43" s="48"/>
      <c r="FA43" s="20"/>
      <c r="FB43" s="48"/>
      <c r="FC43" s="20"/>
    </row>
    <row r="44" spans="2:159" x14ac:dyDescent="0.2">
      <c r="B44" t="s">
        <v>28</v>
      </c>
      <c r="C44" t="s">
        <v>98</v>
      </c>
      <c r="E44" s="11"/>
      <c r="F44" t="s">
        <v>127</v>
      </c>
      <c r="G44" s="12">
        <v>0.2</v>
      </c>
      <c r="I44" s="11">
        <f t="shared" si="5"/>
        <v>0</v>
      </c>
      <c r="J44" s="13">
        <f t="shared" si="6"/>
        <v>0</v>
      </c>
      <c r="K44" s="13">
        <f t="shared" si="6"/>
        <v>0</v>
      </c>
      <c r="O44" s="12"/>
      <c r="P44" s="12"/>
      <c r="Q44" s="12"/>
      <c r="R44" s="12"/>
      <c r="T44" s="19"/>
      <c r="U44" s="19"/>
      <c r="V44" s="20"/>
      <c r="W44" s="20"/>
      <c r="X44" s="20"/>
      <c r="Y44" s="20"/>
      <c r="Z44" s="19"/>
      <c r="AA44" s="19"/>
      <c r="AC44" s="21"/>
      <c r="AD44" s="20">
        <v>0.5</v>
      </c>
      <c r="AE44" s="21"/>
      <c r="AF44" s="20">
        <v>0.5</v>
      </c>
      <c r="AG44" s="19"/>
      <c r="AH44" s="19"/>
      <c r="AI44" s="19"/>
      <c r="AJ44" s="21"/>
      <c r="AK44" s="20">
        <v>0.5</v>
      </c>
      <c r="AL44" s="21"/>
      <c r="AM44" s="20">
        <v>0.5</v>
      </c>
      <c r="AN44" s="19"/>
      <c r="AO44" s="19"/>
      <c r="AP44" s="19"/>
      <c r="AQ44" s="21"/>
      <c r="AR44" s="20">
        <v>0.5</v>
      </c>
      <c r="AS44" s="21"/>
      <c r="AT44" s="20">
        <v>0.5</v>
      </c>
      <c r="AU44" s="19"/>
      <c r="AV44" s="19"/>
      <c r="AW44" s="19"/>
      <c r="AX44" s="21"/>
      <c r="AY44" s="20">
        <v>0.5</v>
      </c>
      <c r="AZ44" s="21"/>
      <c r="BA44" s="20">
        <v>0.5</v>
      </c>
      <c r="BB44" s="19"/>
      <c r="BC44" s="19"/>
      <c r="BD44" s="19"/>
      <c r="BE44" s="21"/>
      <c r="BF44" s="20">
        <v>0.5</v>
      </c>
      <c r="BG44" s="21"/>
      <c r="BH44" s="20">
        <v>0.5</v>
      </c>
      <c r="BI44" s="19"/>
      <c r="BJ44" s="19"/>
      <c r="BK44" s="19"/>
      <c r="BL44" s="19"/>
      <c r="BM44" s="21"/>
      <c r="BN44" s="20">
        <v>0.8</v>
      </c>
      <c r="BO44" s="21"/>
      <c r="BP44" s="20">
        <v>0.8</v>
      </c>
      <c r="BQ44" s="19"/>
      <c r="BR44" s="19"/>
      <c r="BS44" s="19"/>
      <c r="BT44" s="21"/>
      <c r="BU44" s="20">
        <v>0.8</v>
      </c>
      <c r="BV44" s="21"/>
      <c r="BW44" s="20">
        <v>0.8</v>
      </c>
      <c r="BX44" s="19"/>
      <c r="BY44" s="19"/>
      <c r="BZ44" s="19"/>
      <c r="CA44" s="21"/>
      <c r="CB44" s="20">
        <v>0.8</v>
      </c>
      <c r="CC44" s="21"/>
      <c r="CD44" s="20">
        <v>0.8</v>
      </c>
      <c r="CE44" s="19"/>
      <c r="CF44" s="19"/>
      <c r="CG44" s="19"/>
      <c r="CH44" s="21"/>
      <c r="CI44" s="20">
        <v>0.8</v>
      </c>
      <c r="CJ44" s="21"/>
      <c r="CK44" s="20">
        <v>0.8</v>
      </c>
      <c r="CL44" s="19"/>
      <c r="CM44" s="19"/>
      <c r="CN44" s="19"/>
      <c r="CO44" s="21"/>
      <c r="CP44" s="20">
        <v>1</v>
      </c>
      <c r="CQ44" s="21"/>
      <c r="CR44" s="20">
        <v>1</v>
      </c>
      <c r="CS44" s="19"/>
      <c r="CT44" s="19"/>
      <c r="CU44" s="19"/>
      <c r="CV44" s="21"/>
      <c r="CW44" s="20">
        <v>1</v>
      </c>
      <c r="CX44" s="21"/>
      <c r="CY44" s="20">
        <v>1</v>
      </c>
      <c r="CZ44" s="19"/>
      <c r="DA44" s="19"/>
      <c r="DB44" s="19"/>
      <c r="DC44" s="21"/>
      <c r="DD44" s="20">
        <v>1</v>
      </c>
      <c r="DE44" s="21"/>
      <c r="DF44" s="20">
        <v>1</v>
      </c>
      <c r="DI44" s="19"/>
      <c r="DJ44" s="21"/>
      <c r="DK44" s="20">
        <v>1</v>
      </c>
      <c r="DL44" s="21"/>
      <c r="DM44" s="20">
        <v>1</v>
      </c>
      <c r="DP44" s="19"/>
      <c r="DQ44" s="21"/>
      <c r="DR44" s="20">
        <v>1</v>
      </c>
      <c r="DS44" s="21"/>
      <c r="DT44" s="20">
        <v>1</v>
      </c>
      <c r="DW44" s="19"/>
      <c r="DX44" s="21"/>
      <c r="DY44" s="20">
        <v>1</v>
      </c>
      <c r="DZ44" s="21"/>
      <c r="EA44" s="20">
        <v>1</v>
      </c>
      <c r="ED44" s="19"/>
      <c r="EE44" s="21"/>
      <c r="EF44" s="20">
        <v>1</v>
      </c>
      <c r="EG44" s="21"/>
      <c r="EH44" s="20">
        <v>1</v>
      </c>
      <c r="EK44" s="19"/>
      <c r="EL44" s="21"/>
      <c r="EM44" s="20">
        <v>1</v>
      </c>
      <c r="EN44" s="21"/>
      <c r="EO44" s="20">
        <v>1</v>
      </c>
      <c r="ER44" s="19"/>
      <c r="ES44" s="21"/>
      <c r="ET44" s="20">
        <v>1</v>
      </c>
      <c r="EU44" s="21"/>
      <c r="EV44" s="20">
        <v>1</v>
      </c>
      <c r="EY44" s="19"/>
      <c r="EZ44" s="48"/>
      <c r="FA44" s="20"/>
      <c r="FB44" s="48"/>
      <c r="FC44" s="20"/>
    </row>
    <row r="45" spans="2:159" x14ac:dyDescent="0.2">
      <c r="B45" t="s">
        <v>28</v>
      </c>
      <c r="C45" t="s">
        <v>98</v>
      </c>
      <c r="E45" s="11"/>
      <c r="F45" t="s">
        <v>128</v>
      </c>
      <c r="G45" s="12">
        <v>0.1</v>
      </c>
      <c r="I45" s="11">
        <f t="shared" si="5"/>
        <v>0</v>
      </c>
      <c r="J45" s="13">
        <f t="shared" si="6"/>
        <v>0</v>
      </c>
      <c r="K45" s="13">
        <f t="shared" si="6"/>
        <v>0</v>
      </c>
      <c r="O45" s="12"/>
      <c r="P45" s="12"/>
      <c r="Q45" s="12"/>
      <c r="R45" s="12"/>
      <c r="T45" s="19"/>
      <c r="U45" s="19"/>
      <c r="V45" s="20"/>
      <c r="W45" s="20"/>
      <c r="X45" s="20"/>
      <c r="Y45" s="20"/>
      <c r="Z45" s="19"/>
      <c r="AA45" s="19"/>
      <c r="AB45" s="19"/>
      <c r="AC45" s="20"/>
      <c r="AD45" s="20"/>
      <c r="AE45" s="20"/>
      <c r="AF45" s="20"/>
      <c r="AG45" s="19"/>
      <c r="AH45" s="19"/>
      <c r="AI45" s="19"/>
      <c r="AJ45" s="20"/>
      <c r="AK45" s="20"/>
      <c r="AL45" s="20"/>
      <c r="AM45" s="20"/>
      <c r="AN45" s="19"/>
      <c r="AO45" s="19"/>
      <c r="AP45" s="19"/>
      <c r="AQ45" s="21"/>
      <c r="AR45" s="20">
        <v>0.5</v>
      </c>
      <c r="AS45" s="21"/>
      <c r="AT45" s="20">
        <v>0.5</v>
      </c>
      <c r="AU45" s="19"/>
      <c r="AV45" s="19"/>
      <c r="AW45" s="19"/>
      <c r="AX45" s="21"/>
      <c r="AY45" s="20">
        <v>0.5</v>
      </c>
      <c r="AZ45" s="21"/>
      <c r="BA45" s="20">
        <v>0.5</v>
      </c>
      <c r="BB45" s="19"/>
      <c r="BC45" s="19"/>
      <c r="BD45" s="19"/>
      <c r="BE45" s="21"/>
      <c r="BF45" s="20">
        <v>0.5</v>
      </c>
      <c r="BG45" s="21"/>
      <c r="BH45" s="20">
        <v>0.5</v>
      </c>
      <c r="BI45" s="19"/>
      <c r="BJ45" s="19"/>
      <c r="BK45" s="19"/>
      <c r="BL45" s="19"/>
      <c r="BM45" s="21"/>
      <c r="BN45" s="20">
        <v>0.5</v>
      </c>
      <c r="BO45" s="21"/>
      <c r="BP45" s="20">
        <v>0.5</v>
      </c>
      <c r="BQ45" s="19"/>
      <c r="BR45" s="19"/>
      <c r="BS45" s="19"/>
      <c r="BT45" s="21"/>
      <c r="BU45" s="20">
        <v>0.8</v>
      </c>
      <c r="BV45" s="21"/>
      <c r="BW45" s="20">
        <v>0.8</v>
      </c>
      <c r="BX45" s="19"/>
      <c r="BY45" s="19"/>
      <c r="BZ45" s="19"/>
      <c r="CA45" s="21"/>
      <c r="CB45" s="20">
        <v>0.8</v>
      </c>
      <c r="CC45" s="21"/>
      <c r="CD45" s="20">
        <v>0.8</v>
      </c>
      <c r="CE45" s="19"/>
      <c r="CF45" s="19"/>
      <c r="CG45" s="19"/>
      <c r="CH45" s="21"/>
      <c r="CI45" s="20">
        <v>0.8</v>
      </c>
      <c r="CJ45" s="21"/>
      <c r="CK45" s="20">
        <v>0.8</v>
      </c>
      <c r="CL45" s="19"/>
      <c r="CM45" s="19"/>
      <c r="CN45" s="19"/>
      <c r="CO45" s="21"/>
      <c r="CP45" s="20">
        <v>0.8</v>
      </c>
      <c r="CQ45" s="21"/>
      <c r="CR45" s="20">
        <v>0.8</v>
      </c>
      <c r="CS45" s="19"/>
      <c r="CT45" s="19"/>
      <c r="CU45" s="19"/>
      <c r="CV45" s="21"/>
      <c r="CW45" s="20">
        <v>1</v>
      </c>
      <c r="CX45" s="21"/>
      <c r="CY45" s="20">
        <v>1</v>
      </c>
      <c r="CZ45" s="19"/>
      <c r="DA45" s="19"/>
      <c r="DB45" s="19"/>
      <c r="DC45" s="21"/>
      <c r="DD45" s="20">
        <v>1</v>
      </c>
      <c r="DE45" s="21"/>
      <c r="DF45" s="20">
        <v>1</v>
      </c>
      <c r="DI45" s="19"/>
      <c r="DJ45" s="21"/>
      <c r="DK45" s="20">
        <v>1</v>
      </c>
      <c r="DL45" s="21"/>
      <c r="DM45" s="20">
        <v>1</v>
      </c>
      <c r="DP45" s="19"/>
      <c r="DQ45" s="21"/>
      <c r="DR45" s="20">
        <v>1</v>
      </c>
      <c r="DS45" s="21"/>
      <c r="DT45" s="20">
        <v>1</v>
      </c>
      <c r="DW45" s="19"/>
      <c r="DX45" s="21"/>
      <c r="DY45" s="20">
        <v>1</v>
      </c>
      <c r="DZ45" s="21"/>
      <c r="EA45" s="20">
        <v>1</v>
      </c>
      <c r="ED45" s="19"/>
      <c r="EE45" s="21"/>
      <c r="EF45" s="20">
        <v>1</v>
      </c>
      <c r="EG45" s="21"/>
      <c r="EH45" s="20">
        <v>1</v>
      </c>
      <c r="EK45" s="19"/>
      <c r="EL45" s="21"/>
      <c r="EM45" s="20">
        <v>1</v>
      </c>
      <c r="EN45" s="21"/>
      <c r="EO45" s="20">
        <v>1</v>
      </c>
      <c r="ER45" s="19"/>
      <c r="ES45" s="21"/>
      <c r="ET45" s="20">
        <v>1</v>
      </c>
      <c r="EU45" s="21"/>
      <c r="EV45" s="20">
        <v>1</v>
      </c>
      <c r="EY45" s="19"/>
      <c r="EZ45" s="48"/>
      <c r="FA45" s="20"/>
      <c r="FB45" s="48"/>
      <c r="FC45" s="20"/>
    </row>
    <row r="46" spans="2:159" x14ac:dyDescent="0.2">
      <c r="B46" t="s">
        <v>28</v>
      </c>
      <c r="C46" t="s">
        <v>98</v>
      </c>
      <c r="E46" s="11"/>
      <c r="F46" t="s">
        <v>129</v>
      </c>
      <c r="G46" s="12">
        <v>0.2</v>
      </c>
      <c r="I46" s="11">
        <f t="shared" si="5"/>
        <v>0</v>
      </c>
      <c r="J46" s="13">
        <f t="shared" si="6"/>
        <v>0</v>
      </c>
      <c r="K46" s="13">
        <f t="shared" si="6"/>
        <v>0</v>
      </c>
      <c r="O46" s="12"/>
      <c r="P46" s="12"/>
      <c r="Q46" s="12"/>
      <c r="R46" s="12"/>
      <c r="T46" s="19"/>
      <c r="U46" s="19"/>
      <c r="V46" s="20"/>
      <c r="W46" s="20"/>
      <c r="X46" s="20"/>
      <c r="Y46" s="20"/>
      <c r="Z46" s="19"/>
      <c r="AA46" s="19"/>
      <c r="AB46" s="19"/>
      <c r="AC46" s="20"/>
      <c r="AD46" s="20"/>
      <c r="AE46" s="20"/>
      <c r="AF46" s="20"/>
      <c r="AG46" s="19"/>
      <c r="AH46" s="19"/>
      <c r="AI46" s="19"/>
      <c r="AJ46" s="20"/>
      <c r="AK46" s="20"/>
      <c r="AL46" s="20"/>
      <c r="AM46" s="20"/>
      <c r="AN46" s="19"/>
      <c r="AO46" s="19"/>
      <c r="AP46" s="19"/>
      <c r="AQ46" s="20"/>
      <c r="AR46" s="20"/>
      <c r="AS46" s="20"/>
      <c r="AT46" s="20"/>
      <c r="AU46" s="19"/>
      <c r="AV46" s="19"/>
      <c r="AW46" s="19"/>
      <c r="AX46" s="21"/>
      <c r="AY46" s="20">
        <v>0.5</v>
      </c>
      <c r="AZ46" s="21"/>
      <c r="BA46" s="20">
        <v>0.5</v>
      </c>
      <c r="BB46" s="19"/>
      <c r="BC46" s="19"/>
      <c r="BD46" s="19"/>
      <c r="BE46" s="21"/>
      <c r="BF46" s="20">
        <v>0.5</v>
      </c>
      <c r="BG46" s="21"/>
      <c r="BH46" s="20">
        <v>0.5</v>
      </c>
      <c r="BI46" s="19"/>
      <c r="BJ46" s="19"/>
      <c r="BK46" s="19"/>
      <c r="BL46" s="19"/>
      <c r="BM46" s="21"/>
      <c r="BN46" s="20">
        <v>0.5</v>
      </c>
      <c r="BO46" s="21"/>
      <c r="BP46" s="20">
        <v>0.5</v>
      </c>
      <c r="BQ46" s="19"/>
      <c r="BR46" s="19"/>
      <c r="BS46" s="19"/>
      <c r="BT46" s="21"/>
      <c r="BU46" s="20">
        <v>0.5</v>
      </c>
      <c r="BV46" s="21"/>
      <c r="BW46" s="20">
        <v>0.5</v>
      </c>
      <c r="BX46" s="19"/>
      <c r="BY46" s="19"/>
      <c r="BZ46" s="19"/>
      <c r="CA46" s="21"/>
      <c r="CB46" s="20">
        <v>0.5</v>
      </c>
      <c r="CC46" s="21"/>
      <c r="CD46" s="20">
        <v>0.5</v>
      </c>
      <c r="CE46" s="19"/>
      <c r="CF46" s="19"/>
      <c r="CG46" s="19"/>
      <c r="CH46" s="21"/>
      <c r="CI46" s="20">
        <v>0.8</v>
      </c>
      <c r="CJ46" s="21"/>
      <c r="CK46" s="20">
        <v>0.8</v>
      </c>
      <c r="CL46" s="19"/>
      <c r="CM46" s="19"/>
      <c r="CN46" s="19"/>
      <c r="CO46" s="21"/>
      <c r="CP46" s="20">
        <v>0.8</v>
      </c>
      <c r="CQ46" s="21"/>
      <c r="CR46" s="20">
        <v>0.8</v>
      </c>
      <c r="CS46" s="19"/>
      <c r="CT46" s="19"/>
      <c r="CU46" s="19"/>
      <c r="CV46" s="21"/>
      <c r="CW46" s="20">
        <v>0.8</v>
      </c>
      <c r="CX46" s="21"/>
      <c r="CY46" s="20">
        <v>0.8</v>
      </c>
      <c r="CZ46" s="19"/>
      <c r="DA46" s="19"/>
      <c r="DB46" s="19"/>
      <c r="DC46" s="21"/>
      <c r="DD46" s="20">
        <v>1</v>
      </c>
      <c r="DE46" s="21"/>
      <c r="DF46" s="20">
        <v>1</v>
      </c>
      <c r="DI46" s="19"/>
      <c r="DJ46" s="21"/>
      <c r="DK46" s="20">
        <v>1</v>
      </c>
      <c r="DL46" s="21"/>
      <c r="DM46" s="20">
        <v>1</v>
      </c>
      <c r="DP46" s="19"/>
      <c r="DQ46" s="21"/>
      <c r="DR46" s="20">
        <v>1</v>
      </c>
      <c r="DS46" s="21"/>
      <c r="DT46" s="20">
        <v>1</v>
      </c>
      <c r="DW46" s="19"/>
      <c r="DX46" s="21"/>
      <c r="DY46" s="20">
        <v>1</v>
      </c>
      <c r="DZ46" s="21"/>
      <c r="EA46" s="20">
        <v>1</v>
      </c>
      <c r="ED46" s="19"/>
      <c r="EE46" s="21"/>
      <c r="EF46" s="20">
        <v>1</v>
      </c>
      <c r="EG46" s="21"/>
      <c r="EH46" s="20">
        <v>1</v>
      </c>
      <c r="EK46" s="19"/>
      <c r="EL46" s="21"/>
      <c r="EM46" s="20">
        <v>1</v>
      </c>
      <c r="EN46" s="21"/>
      <c r="EO46" s="20">
        <v>1</v>
      </c>
      <c r="ER46" s="19"/>
      <c r="ES46" s="21"/>
      <c r="ET46" s="20">
        <v>1</v>
      </c>
      <c r="EU46" s="21"/>
      <c r="EV46" s="20">
        <v>1</v>
      </c>
      <c r="EY46" s="19"/>
      <c r="EZ46" s="48"/>
      <c r="FA46" s="20"/>
      <c r="FC46" s="20"/>
    </row>
    <row r="51" spans="26:30" x14ac:dyDescent="0.2">
      <c r="Z51" t="s">
        <v>109</v>
      </c>
      <c r="AA51" t="s">
        <v>110</v>
      </c>
      <c r="AB51">
        <v>3</v>
      </c>
      <c r="AC51">
        <v>3</v>
      </c>
      <c r="AD51">
        <v>2</v>
      </c>
    </row>
    <row r="52" spans="26:30" x14ac:dyDescent="0.2">
      <c r="AA52" t="s">
        <v>111</v>
      </c>
      <c r="AB52">
        <v>3</v>
      </c>
      <c r="AC52">
        <v>3</v>
      </c>
      <c r="AD52">
        <v>2</v>
      </c>
    </row>
    <row r="53" spans="26:30" x14ac:dyDescent="0.2">
      <c r="AA53" t="s">
        <v>112</v>
      </c>
      <c r="AB53">
        <v>1</v>
      </c>
      <c r="AC53">
        <v>1</v>
      </c>
      <c r="AD53">
        <v>2</v>
      </c>
    </row>
    <row r="54" spans="26:30" x14ac:dyDescent="0.2">
      <c r="AA54" t="s">
        <v>113</v>
      </c>
      <c r="AB54">
        <v>1</v>
      </c>
      <c r="AC54">
        <v>1</v>
      </c>
      <c r="AD54">
        <v>2</v>
      </c>
    </row>
  </sheetData>
  <mergeCells count="23">
    <mergeCell ref="ER2:EW2"/>
    <mergeCell ref="EY2:FD2"/>
    <mergeCell ref="DI2:DN2"/>
    <mergeCell ref="DP2:DU2"/>
    <mergeCell ref="DW2:EB2"/>
    <mergeCell ref="ED2:EI2"/>
    <mergeCell ref="EK2:EP2"/>
    <mergeCell ref="S5:S7"/>
    <mergeCell ref="DB2:DG2"/>
    <mergeCell ref="I2:L2"/>
    <mergeCell ref="N2:S2"/>
    <mergeCell ref="BD2:BI2"/>
    <mergeCell ref="U2:Z2"/>
    <mergeCell ref="AB2:AG2"/>
    <mergeCell ref="AI2:AN2"/>
    <mergeCell ref="AP2:AU2"/>
    <mergeCell ref="AW2:BB2"/>
    <mergeCell ref="CG2:CL2"/>
    <mergeCell ref="CN2:CS2"/>
    <mergeCell ref="CU2:CZ2"/>
    <mergeCell ref="BL2:BQ2"/>
    <mergeCell ref="BS2:BX2"/>
    <mergeCell ref="BZ2:CE2"/>
  </mergeCells>
  <phoneticPr fontId="6" type="noConversion"/>
  <conditionalFormatting sqref="J5:K16">
    <cfRule type="colorScale" priority="445">
      <colorScale>
        <cfvo type="percent" val="0"/>
        <cfvo type="percent" val="100"/>
        <color rgb="FFFF231B"/>
        <color rgb="FF10FF07"/>
      </colorScale>
    </cfRule>
  </conditionalFormatting>
  <conditionalFormatting sqref="O19:O23 Q19:Q23 O5:O16">
    <cfRule type="expression" dxfId="379" priority="443">
      <formula>OR(IF(O5&lt;P5,TRUE),IF(AND(P5="",O5&lt;&gt;""),TRUE))</formula>
    </cfRule>
    <cfRule type="expression" dxfId="378" priority="444">
      <formula>IF(O5&gt;=P5,IF(O5="",FALSE,TRUE))</formula>
    </cfRule>
  </conditionalFormatting>
  <conditionalFormatting sqref="Q5:Q16">
    <cfRule type="expression" dxfId="377" priority="441">
      <formula>OR(IF(Q5&lt;R5,TRUE),IF(AND(R5="",Q5&lt;&gt;""),TRUE))</formula>
    </cfRule>
    <cfRule type="expression" dxfId="376" priority="442">
      <formula>IF(Q5&gt;=R5,IF(Q5="",FALSE,TRUE))</formula>
    </cfRule>
  </conditionalFormatting>
  <conditionalFormatting sqref="AJ29:AJ38">
    <cfRule type="expression" dxfId="375" priority="314">
      <formula>OR(IF(AJ29&lt;AK29,TRUE),IF(AND(AK29="",AJ29&lt;&gt;""),TRUE))</formula>
    </cfRule>
    <cfRule type="expression" dxfId="374" priority="315">
      <formula>IF(AJ29&gt;=AK29,IF(AJ29="",FALSE,TRUE))</formula>
    </cfRule>
  </conditionalFormatting>
  <conditionalFormatting sqref="AL29:AL38">
    <cfRule type="expression" dxfId="373" priority="312">
      <formula>OR(IF(AL29&lt;AM29,TRUE),IF(AND(AM29="",AL29&lt;&gt;""),TRUE))</formula>
    </cfRule>
    <cfRule type="expression" dxfId="372" priority="313">
      <formula>IF(AL29&gt;=AM29,IF(AL29="",FALSE,TRUE))</formula>
    </cfRule>
  </conditionalFormatting>
  <conditionalFormatting sqref="AQ19:AQ23 AS19:AS23 AQ5:AQ16">
    <cfRule type="expression" dxfId="371" priority="310">
      <formula>OR(IF(AQ5&lt;AR5,TRUE),IF(AND(AR5="",AQ5&lt;&gt;""),TRUE))</formula>
    </cfRule>
    <cfRule type="expression" dxfId="370" priority="311">
      <formula>IF(AQ5&gt;=AR5,IF(AQ5="",FALSE,TRUE))</formula>
    </cfRule>
  </conditionalFormatting>
  <conditionalFormatting sqref="AS5:AS16">
    <cfRule type="expression" dxfId="369" priority="308">
      <formula>OR(IF(AS5&lt;AT5,TRUE),IF(AND(AT5="",AS5&lt;&gt;""),TRUE))</formula>
    </cfRule>
    <cfRule type="expression" dxfId="368" priority="309">
      <formula>IF(AS5&gt;=AT5,IF(AS5="",FALSE,TRUE))</formula>
    </cfRule>
  </conditionalFormatting>
  <conditionalFormatting sqref="J19:K24">
    <cfRule type="colorScale" priority="446">
      <colorScale>
        <cfvo type="percent" val="0"/>
        <cfvo type="percent" val="100"/>
        <color rgb="FFFF231B"/>
        <color rgb="FF10FF07"/>
      </colorScale>
    </cfRule>
  </conditionalFormatting>
  <conditionalFormatting sqref="J27:K38">
    <cfRule type="colorScale" priority="386">
      <colorScale>
        <cfvo type="percent" val="0"/>
        <cfvo type="percent" val="100"/>
        <color rgb="FFFF231B"/>
        <color rgb="FF10FF07"/>
      </colorScale>
    </cfRule>
  </conditionalFormatting>
  <conditionalFormatting sqref="O27:O28">
    <cfRule type="expression" dxfId="367" priority="384">
      <formula>OR(IF(O27&lt;P27,TRUE),IF(AND(P27="",O27&lt;&gt;""),TRUE))</formula>
    </cfRule>
    <cfRule type="expression" dxfId="366" priority="385">
      <formula>IF(O27&gt;=P27,IF(O27="",FALSE,TRUE))</formula>
    </cfRule>
  </conditionalFormatting>
  <conditionalFormatting sqref="Q27:Q28">
    <cfRule type="expression" dxfId="365" priority="382">
      <formula>OR(IF(Q27&lt;R27,TRUE),IF(AND(R27="",Q27&lt;&gt;""),TRUE))</formula>
    </cfRule>
    <cfRule type="expression" dxfId="364" priority="383">
      <formula>IF(Q27&gt;=R27,IF(Q27="",FALSE,TRUE))</formula>
    </cfRule>
  </conditionalFormatting>
  <conditionalFormatting sqref="AZ24">
    <cfRule type="expression" dxfId="363" priority="284">
      <formula>OR(IF(AZ24&lt;BA24,TRUE),IF(AND(BA24="",AZ24&lt;&gt;""),TRUE))</formula>
    </cfRule>
    <cfRule type="expression" dxfId="362" priority="285">
      <formula>IF(AZ24&gt;=BA24,IF(AZ24="",FALSE,TRUE))</formula>
    </cfRule>
  </conditionalFormatting>
  <conditionalFormatting sqref="AX29:AX38">
    <cfRule type="expression" dxfId="361" priority="282">
      <formula>OR(IF(AX29&lt;AY29,TRUE),IF(AND(AY29="",AX29&lt;&gt;""),TRUE))</formula>
    </cfRule>
    <cfRule type="expression" dxfId="360" priority="283">
      <formula>IF(AX29&gt;=AY29,IF(AX29="",FALSE,TRUE))</formula>
    </cfRule>
  </conditionalFormatting>
  <conditionalFormatting sqref="AZ29:AZ38">
    <cfRule type="expression" dxfId="359" priority="280">
      <formula>OR(IF(AZ29&lt;BA29,TRUE),IF(AND(BA29="",AZ29&lt;&gt;""),TRUE))</formula>
    </cfRule>
    <cfRule type="expression" dxfId="358" priority="281">
      <formula>IF(AZ29&gt;=BA29,IF(AZ29="",FALSE,TRUE))</formula>
    </cfRule>
  </conditionalFormatting>
  <conditionalFormatting sqref="BE19:BE23 BG19:BG23 BE5:BE16">
    <cfRule type="expression" dxfId="357" priority="278">
      <formula>OR(IF(BE5&lt;BF5,TRUE),IF(AND(BF5="",BE5&lt;&gt;""),TRUE))</formula>
    </cfRule>
    <cfRule type="expression" dxfId="356" priority="279">
      <formula>IF(BE5&gt;=BF5,IF(BE5="",FALSE,TRUE))</formula>
    </cfRule>
  </conditionalFormatting>
  <conditionalFormatting sqref="BG5:BG16">
    <cfRule type="expression" dxfId="355" priority="276">
      <formula>OR(IF(BG5&lt;BH5,TRUE),IF(AND(BH5="",BG5&lt;&gt;""),TRUE))</formula>
    </cfRule>
    <cfRule type="expression" dxfId="354" priority="277">
      <formula>IF(BG5&gt;=BH5,IF(BG5="",FALSE,TRUE))</formula>
    </cfRule>
  </conditionalFormatting>
  <conditionalFormatting sqref="BE27:BE28">
    <cfRule type="expression" dxfId="353" priority="274">
      <formula>OR(IF(BE27&lt;BF27,TRUE),IF(AND(BF27="",BE27&lt;&gt;""),TRUE))</formula>
    </cfRule>
    <cfRule type="expression" dxfId="352" priority="275">
      <formula>IF(BE27&gt;=BF27,IF(BE27="",FALSE,TRUE))</formula>
    </cfRule>
  </conditionalFormatting>
  <conditionalFormatting sqref="Q29:Q38">
    <cfRule type="expression" dxfId="351" priority="360">
      <formula>OR(IF(Q29&lt;R29,TRUE),IF(AND(R29="",Q29&lt;&gt;""),TRUE))</formula>
    </cfRule>
    <cfRule type="expression" dxfId="350" priority="361">
      <formula>IF(Q29&gt;=R29,IF(Q29="",FALSE,TRUE))</formula>
    </cfRule>
  </conditionalFormatting>
  <conditionalFormatting sqref="O24">
    <cfRule type="expression" dxfId="349" priority="366">
      <formula>OR(IF(O24&lt;P24,TRUE),IF(AND(P24="",O24&lt;&gt;""),TRUE))</formula>
    </cfRule>
    <cfRule type="expression" dxfId="348" priority="367">
      <formula>IF(O24&gt;=P24,IF(O24="",FALSE,TRUE))</formula>
    </cfRule>
  </conditionalFormatting>
  <conditionalFormatting sqref="Q24">
    <cfRule type="expression" dxfId="347" priority="364">
      <formula>OR(IF(Q24&lt;R24,TRUE),IF(AND(R24="",Q24&lt;&gt;""),TRUE))</formula>
    </cfRule>
    <cfRule type="expression" dxfId="346" priority="365">
      <formula>IF(Q24&gt;=R24,IF(Q24="",FALSE,TRUE))</formula>
    </cfRule>
  </conditionalFormatting>
  <conditionalFormatting sqref="O29:O38">
    <cfRule type="expression" dxfId="345" priority="362">
      <formula>OR(IF(O29&lt;P29,TRUE),IF(AND(P29="",O29&lt;&gt;""),TRUE))</formula>
    </cfRule>
    <cfRule type="expression" dxfId="344" priority="363">
      <formula>IF(O29&gt;=P29,IF(O29="",FALSE,TRUE))</formula>
    </cfRule>
  </conditionalFormatting>
  <conditionalFormatting sqref="BG29:BG38">
    <cfRule type="expression" dxfId="343" priority="264">
      <formula>OR(IF(BG29&lt;BH29,TRUE),IF(AND(BH29="",BG29&lt;&gt;""),TRUE))</formula>
    </cfRule>
    <cfRule type="expression" dxfId="342" priority="265">
      <formula>IF(BG29&gt;=BH29,IF(BG29="",FALSE,TRUE))</formula>
    </cfRule>
  </conditionalFormatting>
  <conditionalFormatting sqref="V19:V23 X19:X23 V5:V16">
    <cfRule type="expression" dxfId="341" priority="358">
      <formula>OR(IF(V5&lt;W5,TRUE),IF(AND(W5="",V5&lt;&gt;""),TRUE))</formula>
    </cfRule>
    <cfRule type="expression" dxfId="340" priority="359">
      <formula>IF(V5&gt;=W5,IF(V5="",FALSE,TRUE))</formula>
    </cfRule>
  </conditionalFormatting>
  <conditionalFormatting sqref="X5:X16">
    <cfRule type="expression" dxfId="339" priority="356">
      <formula>OR(IF(X5&lt;Y5,TRUE),IF(AND(Y5="",X5&lt;&gt;""),TRUE))</formula>
    </cfRule>
    <cfRule type="expression" dxfId="338" priority="357">
      <formula>IF(X5&gt;=Y5,IF(X5="",FALSE,TRUE))</formula>
    </cfRule>
  </conditionalFormatting>
  <conditionalFormatting sqref="V27:V28">
    <cfRule type="expression" dxfId="337" priority="354">
      <formula>OR(IF(V27&lt;W27,TRUE),IF(AND(W27="",V27&lt;&gt;""),TRUE))</formula>
    </cfRule>
    <cfRule type="expression" dxfId="336" priority="355">
      <formula>IF(V27&gt;=W27,IF(V27="",FALSE,TRUE))</formula>
    </cfRule>
  </conditionalFormatting>
  <conditionalFormatting sqref="X27:X28">
    <cfRule type="expression" dxfId="335" priority="352">
      <formula>OR(IF(X27&lt;Y27,TRUE),IF(AND(Y27="",X27&lt;&gt;""),TRUE))</formula>
    </cfRule>
    <cfRule type="expression" dxfId="334" priority="353">
      <formula>IF(X27&gt;=Y27,IF(X27="",FALSE,TRUE))</formula>
    </cfRule>
  </conditionalFormatting>
  <conditionalFormatting sqref="X29:X38">
    <cfRule type="expression" dxfId="333" priority="344">
      <formula>OR(IF(X29&lt;Y29,TRUE),IF(AND(Y29="",X29&lt;&gt;""),TRUE))</formula>
    </cfRule>
    <cfRule type="expression" dxfId="332" priority="345">
      <formula>IF(X29&gt;=Y29,IF(X29="",FALSE,TRUE))</formula>
    </cfRule>
  </conditionalFormatting>
  <conditionalFormatting sqref="V24">
    <cfRule type="expression" dxfId="331" priority="350">
      <formula>OR(IF(V24&lt;W24,TRUE),IF(AND(W24="",V24&lt;&gt;""),TRUE))</formula>
    </cfRule>
    <cfRule type="expression" dxfId="330" priority="351">
      <formula>IF(V24&gt;=W24,IF(V24="",FALSE,TRUE))</formula>
    </cfRule>
  </conditionalFormatting>
  <conditionalFormatting sqref="X24">
    <cfRule type="expression" dxfId="329" priority="348">
      <formula>OR(IF(X24&lt;Y24,TRUE),IF(AND(Y24="",X24&lt;&gt;""),TRUE))</formula>
    </cfRule>
    <cfRule type="expression" dxfId="328" priority="349">
      <formula>IF(X24&gt;=Y24,IF(X24="",FALSE,TRUE))</formula>
    </cfRule>
  </conditionalFormatting>
  <conditionalFormatting sqref="V29:V38">
    <cfRule type="expression" dxfId="327" priority="346">
      <formula>OR(IF(V29&lt;W29,TRUE),IF(AND(W29="",V29&lt;&gt;""),TRUE))</formula>
    </cfRule>
    <cfRule type="expression" dxfId="326" priority="347">
      <formula>IF(V29&gt;=W29,IF(V29="",FALSE,TRUE))</formula>
    </cfRule>
  </conditionalFormatting>
  <conditionalFormatting sqref="AC19:AC23 AE19:AE23 AC5:AC16">
    <cfRule type="expression" dxfId="325" priority="342">
      <formula>OR(IF(AC5&lt;AD5,TRUE),IF(AND(AD5="",AC5&lt;&gt;""),TRUE))</formula>
    </cfRule>
    <cfRule type="expression" dxfId="324" priority="343">
      <formula>IF(AC5&gt;=AD5,IF(AC5="",FALSE,TRUE))</formula>
    </cfRule>
  </conditionalFormatting>
  <conditionalFormatting sqref="AE5:AE16">
    <cfRule type="expression" dxfId="323" priority="340">
      <formula>OR(IF(AE5&lt;AF5,TRUE),IF(AND(AF5="",AE5&lt;&gt;""),TRUE))</formula>
    </cfRule>
    <cfRule type="expression" dxfId="322" priority="341">
      <formula>IF(AE5&gt;=AF5,IF(AE5="",FALSE,TRUE))</formula>
    </cfRule>
  </conditionalFormatting>
  <conditionalFormatting sqref="AC27:AC28">
    <cfRule type="expression" dxfId="321" priority="338">
      <formula>OR(IF(AC27&lt;AD27,TRUE),IF(AND(AD27="",AC27&lt;&gt;""),TRUE))</formula>
    </cfRule>
    <cfRule type="expression" dxfId="320" priority="339">
      <formula>IF(AC27&gt;=AD27,IF(AC27="",FALSE,TRUE))</formula>
    </cfRule>
  </conditionalFormatting>
  <conditionalFormatting sqref="AE27:AE28">
    <cfRule type="expression" dxfId="319" priority="336">
      <formula>OR(IF(AE27&lt;AF27,TRUE),IF(AND(AF27="",AE27&lt;&gt;""),TRUE))</formula>
    </cfRule>
    <cfRule type="expression" dxfId="318" priority="337">
      <formula>IF(AE27&gt;=AF27,IF(AE27="",FALSE,TRUE))</formula>
    </cfRule>
  </conditionalFormatting>
  <conditionalFormatting sqref="AE29:AE38">
    <cfRule type="expression" dxfId="317" priority="328">
      <formula>OR(IF(AE29&lt;AF29,TRUE),IF(AND(AF29="",AE29&lt;&gt;""),TRUE))</formula>
    </cfRule>
    <cfRule type="expression" dxfId="316" priority="329">
      <formula>IF(AE29&gt;=AF29,IF(AE29="",FALSE,TRUE))</formula>
    </cfRule>
  </conditionalFormatting>
  <conditionalFormatting sqref="AC24">
    <cfRule type="expression" dxfId="315" priority="334">
      <formula>OR(IF(AC24&lt;AD24,TRUE),IF(AND(AD24="",AC24&lt;&gt;""),TRUE))</formula>
    </cfRule>
    <cfRule type="expression" dxfId="314" priority="335">
      <formula>IF(AC24&gt;=AD24,IF(AC24="",FALSE,TRUE))</formula>
    </cfRule>
  </conditionalFormatting>
  <conditionalFormatting sqref="AE24">
    <cfRule type="expression" dxfId="313" priority="332">
      <formula>OR(IF(AE24&lt;AF24,TRUE),IF(AND(AF24="",AE24&lt;&gt;""),TRUE))</formula>
    </cfRule>
    <cfRule type="expression" dxfId="312" priority="333">
      <formula>IF(AE24&gt;=AF24,IF(AE24="",FALSE,TRUE))</formula>
    </cfRule>
  </conditionalFormatting>
  <conditionalFormatting sqref="AC29:AC38">
    <cfRule type="expression" dxfId="311" priority="330">
      <formula>OR(IF(AC29&lt;AD29,TRUE),IF(AND(AD29="",AC29&lt;&gt;""),TRUE))</formula>
    </cfRule>
    <cfRule type="expression" dxfId="310" priority="331">
      <formula>IF(AC29&gt;=AD29,IF(AC29="",FALSE,TRUE))</formula>
    </cfRule>
  </conditionalFormatting>
  <conditionalFormatting sqref="AJ19:AJ23 AL19:AL23 AJ5:AJ16">
    <cfRule type="expression" dxfId="309" priority="326">
      <formula>OR(IF(AJ5&lt;AK5,TRUE),IF(AND(AK5="",AJ5&lt;&gt;""),TRUE))</formula>
    </cfRule>
    <cfRule type="expression" dxfId="308" priority="327">
      <formula>IF(AJ5&gt;=AK5,IF(AJ5="",FALSE,TRUE))</formula>
    </cfRule>
  </conditionalFormatting>
  <conditionalFormatting sqref="AL5:AL16">
    <cfRule type="expression" dxfId="307" priority="324">
      <formula>OR(IF(AL5&lt;AM5,TRUE),IF(AND(AM5="",AL5&lt;&gt;""),TRUE))</formula>
    </cfRule>
    <cfRule type="expression" dxfId="306" priority="325">
      <formula>IF(AL5&gt;=AM5,IF(AL5="",FALSE,TRUE))</formula>
    </cfRule>
  </conditionalFormatting>
  <conditionalFormatting sqref="AJ27:AJ28">
    <cfRule type="expression" dxfId="305" priority="322">
      <formula>OR(IF(AJ27&lt;AK27,TRUE),IF(AND(AK27="",AJ27&lt;&gt;""),TRUE))</formula>
    </cfRule>
    <cfRule type="expression" dxfId="304" priority="323">
      <formula>IF(AJ27&gt;=AK27,IF(AJ27="",FALSE,TRUE))</formula>
    </cfRule>
  </conditionalFormatting>
  <conditionalFormatting sqref="AL27:AL28">
    <cfRule type="expression" dxfId="303" priority="320">
      <formula>OR(IF(AL27&lt;AM27,TRUE),IF(AND(AM27="",AL27&lt;&gt;""),TRUE))</formula>
    </cfRule>
    <cfRule type="expression" dxfId="302" priority="321">
      <formula>IF(AL27&gt;=AM27,IF(AL27="",FALSE,TRUE))</formula>
    </cfRule>
  </conditionalFormatting>
  <conditionalFormatting sqref="AJ24">
    <cfRule type="expression" dxfId="301" priority="318">
      <formula>OR(IF(AJ24&lt;AK24,TRUE),IF(AND(AK24="",AJ24&lt;&gt;""),TRUE))</formula>
    </cfRule>
    <cfRule type="expression" dxfId="300" priority="319">
      <formula>IF(AJ24&gt;=AK24,IF(AJ24="",FALSE,TRUE))</formula>
    </cfRule>
  </conditionalFormatting>
  <conditionalFormatting sqref="AL24">
    <cfRule type="expression" dxfId="299" priority="316">
      <formula>OR(IF(AL24&lt;AM24,TRUE),IF(AND(AM24="",AL24&lt;&gt;""),TRUE))</formula>
    </cfRule>
    <cfRule type="expression" dxfId="298" priority="317">
      <formula>IF(AL24&gt;=AM24,IF(AL24="",FALSE,TRUE))</formula>
    </cfRule>
  </conditionalFormatting>
  <conditionalFormatting sqref="AQ27:AQ28">
    <cfRule type="expression" dxfId="297" priority="306">
      <formula>OR(IF(AQ27&lt;AR27,TRUE),IF(AND(AR27="",AQ27&lt;&gt;""),TRUE))</formula>
    </cfRule>
    <cfRule type="expression" dxfId="296" priority="307">
      <formula>IF(AQ27&gt;=AR27,IF(AQ27="",FALSE,TRUE))</formula>
    </cfRule>
  </conditionalFormatting>
  <conditionalFormatting sqref="AS27:AS28">
    <cfRule type="expression" dxfId="295" priority="304">
      <formula>OR(IF(AS27&lt;AT27,TRUE),IF(AND(AT27="",AS27&lt;&gt;""),TRUE))</formula>
    </cfRule>
    <cfRule type="expression" dxfId="294" priority="305">
      <formula>IF(AS27&gt;=AT27,IF(AS27="",FALSE,TRUE))</formula>
    </cfRule>
  </conditionalFormatting>
  <conditionalFormatting sqref="AS29:AS38">
    <cfRule type="expression" dxfId="293" priority="296">
      <formula>OR(IF(AS29&lt;AT29,TRUE),IF(AND(AT29="",AS29&lt;&gt;""),TRUE))</formula>
    </cfRule>
    <cfRule type="expression" dxfId="292" priority="297">
      <formula>IF(AS29&gt;=AT29,IF(AS29="",FALSE,TRUE))</formula>
    </cfRule>
  </conditionalFormatting>
  <conditionalFormatting sqref="AQ24">
    <cfRule type="expression" dxfId="291" priority="302">
      <formula>OR(IF(AQ24&lt;AR24,TRUE),IF(AND(AR24="",AQ24&lt;&gt;""),TRUE))</formula>
    </cfRule>
    <cfRule type="expression" dxfId="290" priority="303">
      <formula>IF(AQ24&gt;=AR24,IF(AQ24="",FALSE,TRUE))</formula>
    </cfRule>
  </conditionalFormatting>
  <conditionalFormatting sqref="AS24">
    <cfRule type="expression" dxfId="289" priority="300">
      <formula>OR(IF(AS24&lt;AT24,TRUE),IF(AND(AT24="",AS24&lt;&gt;""),TRUE))</formula>
    </cfRule>
    <cfRule type="expression" dxfId="288" priority="301">
      <formula>IF(AS24&gt;=AT24,IF(AS24="",FALSE,TRUE))</formula>
    </cfRule>
  </conditionalFormatting>
  <conditionalFormatting sqref="AQ29:AQ38">
    <cfRule type="expression" dxfId="287" priority="298">
      <formula>OR(IF(AQ29&lt;AR29,TRUE),IF(AND(AR29="",AQ29&lt;&gt;""),TRUE))</formula>
    </cfRule>
    <cfRule type="expression" dxfId="286" priority="299">
      <formula>IF(AQ29&gt;=AR29,IF(AQ29="",FALSE,TRUE))</formula>
    </cfRule>
  </conditionalFormatting>
  <conditionalFormatting sqref="AX19:AX23 AZ19:AZ23 AX5:AX16">
    <cfRule type="expression" dxfId="285" priority="294">
      <formula>OR(IF(AX5&lt;AY5,TRUE),IF(AND(AY5="",AX5&lt;&gt;""),TRUE))</formula>
    </cfRule>
    <cfRule type="expression" dxfId="284" priority="295">
      <formula>IF(AX5&gt;=AY5,IF(AX5="",FALSE,TRUE))</formula>
    </cfRule>
  </conditionalFormatting>
  <conditionalFormatting sqref="AZ5:AZ16">
    <cfRule type="expression" dxfId="283" priority="292">
      <formula>OR(IF(AZ5&lt;BA5,TRUE),IF(AND(BA5="",AZ5&lt;&gt;""),TRUE))</formula>
    </cfRule>
    <cfRule type="expression" dxfId="282" priority="293">
      <formula>IF(AZ5&gt;=BA5,IF(AZ5="",FALSE,TRUE))</formula>
    </cfRule>
  </conditionalFormatting>
  <conditionalFormatting sqref="AX27:AX28">
    <cfRule type="expression" dxfId="281" priority="290">
      <formula>OR(IF(AX27&lt;AY27,TRUE),IF(AND(AY27="",AX27&lt;&gt;""),TRUE))</formula>
    </cfRule>
    <cfRule type="expression" dxfId="280" priority="291">
      <formula>IF(AX27&gt;=AY27,IF(AX27="",FALSE,TRUE))</formula>
    </cfRule>
  </conditionalFormatting>
  <conditionalFormatting sqref="AZ27:AZ28">
    <cfRule type="expression" dxfId="279" priority="288">
      <formula>OR(IF(AZ27&lt;BA27,TRUE),IF(AND(BA27="",AZ27&lt;&gt;""),TRUE))</formula>
    </cfRule>
    <cfRule type="expression" dxfId="278" priority="289">
      <formula>IF(AZ27&gt;=BA27,IF(AZ27="",FALSE,TRUE))</formula>
    </cfRule>
  </conditionalFormatting>
  <conditionalFormatting sqref="AX24">
    <cfRule type="expression" dxfId="277" priority="286">
      <formula>OR(IF(AX24&lt;AY24,TRUE),IF(AND(AY24="",AX24&lt;&gt;""),TRUE))</formula>
    </cfRule>
    <cfRule type="expression" dxfId="276" priority="287">
      <formula>IF(AX24&gt;=AY24,IF(AX24="",FALSE,TRUE))</formula>
    </cfRule>
  </conditionalFormatting>
  <conditionalFormatting sqref="BG27:BG28">
    <cfRule type="expression" dxfId="275" priority="272">
      <formula>OR(IF(BG27&lt;BH27,TRUE),IF(AND(BH27="",BG27&lt;&gt;""),TRUE))</formula>
    </cfRule>
    <cfRule type="expression" dxfId="274" priority="273">
      <formula>IF(BG27&gt;=BH27,IF(BG27="",FALSE,TRUE))</formula>
    </cfRule>
  </conditionalFormatting>
  <conditionalFormatting sqref="BE24">
    <cfRule type="expression" dxfId="273" priority="270">
      <formula>OR(IF(BE24&lt;BF24,TRUE),IF(AND(BF24="",BE24&lt;&gt;""),TRUE))</formula>
    </cfRule>
    <cfRule type="expression" dxfId="272" priority="271">
      <formula>IF(BE24&gt;=BF24,IF(BE24="",FALSE,TRUE))</formula>
    </cfRule>
  </conditionalFormatting>
  <conditionalFormatting sqref="BG24">
    <cfRule type="expression" dxfId="271" priority="268">
      <formula>OR(IF(BG24&lt;BH24,TRUE),IF(AND(BH24="",BG24&lt;&gt;""),TRUE))</formula>
    </cfRule>
    <cfRule type="expression" dxfId="270" priority="269">
      <formula>IF(BG24&gt;=BH24,IF(BG24="",FALSE,TRUE))</formula>
    </cfRule>
  </conditionalFormatting>
  <conditionalFormatting sqref="BE29:BE38">
    <cfRule type="expression" dxfId="269" priority="266">
      <formula>OR(IF(BE29&lt;BF29,TRUE),IF(AND(BF29="",BE29&lt;&gt;""),TRUE))</formula>
    </cfRule>
    <cfRule type="expression" dxfId="268" priority="267">
      <formula>IF(BE29&gt;=BF29,IF(BE29="",FALSE,TRUE))</formula>
    </cfRule>
  </conditionalFormatting>
  <conditionalFormatting sqref="BM19:BM23 BO19:BO23 BM5:BM16">
    <cfRule type="expression" dxfId="267" priority="262">
      <formula>OR(IF(BM5&lt;BN5,TRUE),IF(AND(BN5="",BM5&lt;&gt;""),TRUE))</formula>
    </cfRule>
    <cfRule type="expression" dxfId="266" priority="263">
      <formula>IF(BM5&gt;=BN5,IF(BM5="",FALSE,TRUE))</formula>
    </cfRule>
  </conditionalFormatting>
  <conditionalFormatting sqref="BO5:BO16">
    <cfRule type="expression" dxfId="265" priority="260">
      <formula>OR(IF(BO5&lt;BP5,TRUE),IF(AND(BP5="",BO5&lt;&gt;""),TRUE))</formula>
    </cfRule>
    <cfRule type="expression" dxfId="264" priority="261">
      <formula>IF(BO5&gt;=BP5,IF(BO5="",FALSE,TRUE))</formula>
    </cfRule>
  </conditionalFormatting>
  <conditionalFormatting sqref="BM27:BM28">
    <cfRule type="expression" dxfId="263" priority="258">
      <formula>OR(IF(BM27&lt;BN27,TRUE),IF(AND(BN27="",BM27&lt;&gt;""),TRUE))</formula>
    </cfRule>
    <cfRule type="expression" dxfId="262" priority="259">
      <formula>IF(BM27&gt;=BN27,IF(BM27="",FALSE,TRUE))</formula>
    </cfRule>
  </conditionalFormatting>
  <conditionalFormatting sqref="BO27:BO28">
    <cfRule type="expression" dxfId="261" priority="256">
      <formula>OR(IF(BO27&lt;BP27,TRUE),IF(AND(BP27="",BO27&lt;&gt;""),TRUE))</formula>
    </cfRule>
    <cfRule type="expression" dxfId="260" priority="257">
      <formula>IF(BO27&gt;=BP27,IF(BO27="",FALSE,TRUE))</formula>
    </cfRule>
  </conditionalFormatting>
  <conditionalFormatting sqref="BO29:BO38">
    <cfRule type="expression" dxfId="259" priority="248">
      <formula>OR(IF(BO29&lt;BP29,TRUE),IF(AND(BP29="",BO29&lt;&gt;""),TRUE))</formula>
    </cfRule>
    <cfRule type="expression" dxfId="258" priority="249">
      <formula>IF(BO29&gt;=BP29,IF(BO29="",FALSE,TRUE))</formula>
    </cfRule>
  </conditionalFormatting>
  <conditionalFormatting sqref="BM24">
    <cfRule type="expression" dxfId="257" priority="254">
      <formula>OR(IF(BM24&lt;BN24,TRUE),IF(AND(BN24="",BM24&lt;&gt;""),TRUE))</formula>
    </cfRule>
    <cfRule type="expression" dxfId="256" priority="255">
      <formula>IF(BM24&gt;=BN24,IF(BM24="",FALSE,TRUE))</formula>
    </cfRule>
  </conditionalFormatting>
  <conditionalFormatting sqref="BO24">
    <cfRule type="expression" dxfId="255" priority="252">
      <formula>OR(IF(BO24&lt;BP24,TRUE),IF(AND(BP24="",BO24&lt;&gt;""),TRUE))</formula>
    </cfRule>
    <cfRule type="expression" dxfId="254" priority="253">
      <formula>IF(BO24&gt;=BP24,IF(BO24="",FALSE,TRUE))</formula>
    </cfRule>
  </conditionalFormatting>
  <conditionalFormatting sqref="BM29:BM38">
    <cfRule type="expression" dxfId="253" priority="250">
      <formula>OR(IF(BM29&lt;BN29,TRUE),IF(AND(BN29="",BM29&lt;&gt;""),TRUE))</formula>
    </cfRule>
    <cfRule type="expression" dxfId="252" priority="251">
      <formula>IF(BM29&gt;=BN29,IF(BM29="",FALSE,TRUE))</formula>
    </cfRule>
  </conditionalFormatting>
  <conditionalFormatting sqref="BT19:BT23 BV19:BV23 BT5:BT16">
    <cfRule type="expression" dxfId="251" priority="246">
      <formula>OR(IF(BT5&lt;BU5,TRUE),IF(AND(BU5="",BT5&lt;&gt;""),TRUE))</formula>
    </cfRule>
    <cfRule type="expression" dxfId="250" priority="247">
      <formula>IF(BT5&gt;=BU5,IF(BT5="",FALSE,TRUE))</formula>
    </cfRule>
  </conditionalFormatting>
  <conditionalFormatting sqref="BV5:BV16">
    <cfRule type="expression" dxfId="249" priority="244">
      <formula>OR(IF(BV5&lt;BW5,TRUE),IF(AND(BW5="",BV5&lt;&gt;""),TRUE))</formula>
    </cfRule>
    <cfRule type="expression" dxfId="248" priority="245">
      <formula>IF(BV5&gt;=BW5,IF(BV5="",FALSE,TRUE))</formula>
    </cfRule>
  </conditionalFormatting>
  <conditionalFormatting sqref="BT27:BT28">
    <cfRule type="expression" dxfId="247" priority="242">
      <formula>OR(IF(BT27&lt;BU27,TRUE),IF(AND(BU27="",BT27&lt;&gt;""),TRUE))</formula>
    </cfRule>
    <cfRule type="expression" dxfId="246" priority="243">
      <formula>IF(BT27&gt;=BU27,IF(BT27="",FALSE,TRUE))</formula>
    </cfRule>
  </conditionalFormatting>
  <conditionalFormatting sqref="BV27:BV28">
    <cfRule type="expression" dxfId="245" priority="240">
      <formula>OR(IF(BV27&lt;BW27,TRUE),IF(AND(BW27="",BV27&lt;&gt;""),TRUE))</formula>
    </cfRule>
    <cfRule type="expression" dxfId="244" priority="241">
      <formula>IF(BV27&gt;=BW27,IF(BV27="",FALSE,TRUE))</formula>
    </cfRule>
  </conditionalFormatting>
  <conditionalFormatting sqref="BV29:BV38">
    <cfRule type="expression" dxfId="243" priority="232">
      <formula>OR(IF(BV29&lt;BW29,TRUE),IF(AND(BW29="",BV29&lt;&gt;""),TRUE))</formula>
    </cfRule>
    <cfRule type="expression" dxfId="242" priority="233">
      <formula>IF(BV29&gt;=BW29,IF(BV29="",FALSE,TRUE))</formula>
    </cfRule>
  </conditionalFormatting>
  <conditionalFormatting sqref="BT24">
    <cfRule type="expression" dxfId="241" priority="238">
      <formula>OR(IF(BT24&lt;BU24,TRUE),IF(AND(BU24="",BT24&lt;&gt;""),TRUE))</formula>
    </cfRule>
    <cfRule type="expression" dxfId="240" priority="239">
      <formula>IF(BT24&gt;=BU24,IF(BT24="",FALSE,TRUE))</formula>
    </cfRule>
  </conditionalFormatting>
  <conditionalFormatting sqref="BV24">
    <cfRule type="expression" dxfId="239" priority="236">
      <formula>OR(IF(BV24&lt;BW24,TRUE),IF(AND(BW24="",BV24&lt;&gt;""),TRUE))</formula>
    </cfRule>
    <cfRule type="expression" dxfId="238" priority="237">
      <formula>IF(BV24&gt;=BW24,IF(BV24="",FALSE,TRUE))</formula>
    </cfRule>
  </conditionalFormatting>
  <conditionalFormatting sqref="BT29:BT38">
    <cfRule type="expression" dxfId="237" priority="234">
      <formula>OR(IF(BT29&lt;BU29,TRUE),IF(AND(BU29="",BT29&lt;&gt;""),TRUE))</formula>
    </cfRule>
    <cfRule type="expression" dxfId="236" priority="235">
      <formula>IF(BT29&gt;=BU29,IF(BT29="",FALSE,TRUE))</formula>
    </cfRule>
  </conditionalFormatting>
  <conditionalFormatting sqref="CA19:CA23 CC19:CC23 CA5:CA16">
    <cfRule type="expression" dxfId="235" priority="230">
      <formula>OR(IF(CA5&lt;CB5,TRUE),IF(AND(CB5="",CA5&lt;&gt;""),TRUE))</formula>
    </cfRule>
    <cfRule type="expression" dxfId="234" priority="231">
      <formula>IF(CA5&gt;=CB5,IF(CA5="",FALSE,TRUE))</formula>
    </cfRule>
  </conditionalFormatting>
  <conditionalFormatting sqref="CC5:CC16">
    <cfRule type="expression" dxfId="233" priority="228">
      <formula>OR(IF(CC5&lt;CD5,TRUE),IF(AND(CD5="",CC5&lt;&gt;""),TRUE))</formula>
    </cfRule>
    <cfRule type="expression" dxfId="232" priority="229">
      <formula>IF(CC5&gt;=CD5,IF(CC5="",FALSE,TRUE))</formula>
    </cfRule>
  </conditionalFormatting>
  <conditionalFormatting sqref="CA27:CA28">
    <cfRule type="expression" dxfId="231" priority="226">
      <formula>OR(IF(CA27&lt;CB27,TRUE),IF(AND(CB27="",CA27&lt;&gt;""),TRUE))</formula>
    </cfRule>
    <cfRule type="expression" dxfId="230" priority="227">
      <formula>IF(CA27&gt;=CB27,IF(CA27="",FALSE,TRUE))</formula>
    </cfRule>
  </conditionalFormatting>
  <conditionalFormatting sqref="CC27:CC28">
    <cfRule type="expression" dxfId="229" priority="224">
      <formula>OR(IF(CC27&lt;CD27,TRUE),IF(AND(CD27="",CC27&lt;&gt;""),TRUE))</formula>
    </cfRule>
    <cfRule type="expression" dxfId="228" priority="225">
      <formula>IF(CC27&gt;=CD27,IF(CC27="",FALSE,TRUE))</formula>
    </cfRule>
  </conditionalFormatting>
  <conditionalFormatting sqref="CC29:CC38">
    <cfRule type="expression" dxfId="227" priority="216">
      <formula>OR(IF(CC29&lt;CD29,TRUE),IF(AND(CD29="",CC29&lt;&gt;""),TRUE))</formula>
    </cfRule>
    <cfRule type="expression" dxfId="226" priority="217">
      <formula>IF(CC29&gt;=CD29,IF(CC29="",FALSE,TRUE))</formula>
    </cfRule>
  </conditionalFormatting>
  <conditionalFormatting sqref="CA24">
    <cfRule type="expression" dxfId="225" priority="222">
      <formula>OR(IF(CA24&lt;CB24,TRUE),IF(AND(CB24="",CA24&lt;&gt;""),TRUE))</formula>
    </cfRule>
    <cfRule type="expression" dxfId="224" priority="223">
      <formula>IF(CA24&gt;=CB24,IF(CA24="",FALSE,TRUE))</formula>
    </cfRule>
  </conditionalFormatting>
  <conditionalFormatting sqref="CC24">
    <cfRule type="expression" dxfId="223" priority="220">
      <formula>OR(IF(CC24&lt;CD24,TRUE),IF(AND(CD24="",CC24&lt;&gt;""),TRUE))</formula>
    </cfRule>
    <cfRule type="expression" dxfId="222" priority="221">
      <formula>IF(CC24&gt;=CD24,IF(CC24="",FALSE,TRUE))</formula>
    </cfRule>
  </conditionalFormatting>
  <conditionalFormatting sqref="CA29:CA38">
    <cfRule type="expression" dxfId="221" priority="218">
      <formula>OR(IF(CA29&lt;CB29,TRUE),IF(AND(CB29="",CA29&lt;&gt;""),TRUE))</formula>
    </cfRule>
    <cfRule type="expression" dxfId="220" priority="219">
      <formula>IF(CA29&gt;=CB29,IF(CA29="",FALSE,TRUE))</formula>
    </cfRule>
  </conditionalFormatting>
  <conditionalFormatting sqref="CH19:CH23 CJ19:CJ23 CH5:CH16">
    <cfRule type="expression" dxfId="219" priority="214">
      <formula>OR(IF(CH5&lt;CI5,TRUE),IF(AND(CI5="",CH5&lt;&gt;""),TRUE))</formula>
    </cfRule>
    <cfRule type="expression" dxfId="218" priority="215">
      <formula>IF(CH5&gt;=CI5,IF(CH5="",FALSE,TRUE))</formula>
    </cfRule>
  </conditionalFormatting>
  <conditionalFormatting sqref="CJ5:CJ16">
    <cfRule type="expression" dxfId="217" priority="212">
      <formula>OR(IF(CJ5&lt;CK5,TRUE),IF(AND(CK5="",CJ5&lt;&gt;""),TRUE))</formula>
    </cfRule>
    <cfRule type="expression" dxfId="216" priority="213">
      <formula>IF(CJ5&gt;=CK5,IF(CJ5="",FALSE,TRUE))</formula>
    </cfRule>
  </conditionalFormatting>
  <conditionalFormatting sqref="CH27:CH28">
    <cfRule type="expression" dxfId="215" priority="210">
      <formula>OR(IF(CH27&lt;CI27,TRUE),IF(AND(CI27="",CH27&lt;&gt;""),TRUE))</formula>
    </cfRule>
    <cfRule type="expression" dxfId="214" priority="211">
      <formula>IF(CH27&gt;=CI27,IF(CH27="",FALSE,TRUE))</formula>
    </cfRule>
  </conditionalFormatting>
  <conditionalFormatting sqref="CJ27:CJ28">
    <cfRule type="expression" dxfId="213" priority="208">
      <formula>OR(IF(CJ27&lt;CK27,TRUE),IF(AND(CK27="",CJ27&lt;&gt;""),TRUE))</formula>
    </cfRule>
    <cfRule type="expression" dxfId="212" priority="209">
      <formula>IF(CJ27&gt;=CK27,IF(CJ27="",FALSE,TRUE))</formula>
    </cfRule>
  </conditionalFormatting>
  <conditionalFormatting sqref="CJ29:CJ38">
    <cfRule type="expression" dxfId="211" priority="200">
      <formula>OR(IF(CJ29&lt;CK29,TRUE),IF(AND(CK29="",CJ29&lt;&gt;""),TRUE))</formula>
    </cfRule>
    <cfRule type="expression" dxfId="210" priority="201">
      <formula>IF(CJ29&gt;=CK29,IF(CJ29="",FALSE,TRUE))</formula>
    </cfRule>
  </conditionalFormatting>
  <conditionalFormatting sqref="CH24">
    <cfRule type="expression" dxfId="209" priority="206">
      <formula>OR(IF(CH24&lt;CI24,TRUE),IF(AND(CI24="",CH24&lt;&gt;""),TRUE))</formula>
    </cfRule>
    <cfRule type="expression" dxfId="208" priority="207">
      <formula>IF(CH24&gt;=CI24,IF(CH24="",FALSE,TRUE))</formula>
    </cfRule>
  </conditionalFormatting>
  <conditionalFormatting sqref="CJ24">
    <cfRule type="expression" dxfId="207" priority="204">
      <formula>OR(IF(CJ24&lt;CK24,TRUE),IF(AND(CK24="",CJ24&lt;&gt;""),TRUE))</formula>
    </cfRule>
    <cfRule type="expression" dxfId="206" priority="205">
      <formula>IF(CJ24&gt;=CK24,IF(CJ24="",FALSE,TRUE))</formula>
    </cfRule>
  </conditionalFormatting>
  <conditionalFormatting sqref="CH29:CH38">
    <cfRule type="expression" dxfId="205" priority="202">
      <formula>OR(IF(CH29&lt;CI29,TRUE),IF(AND(CI29="",CH29&lt;&gt;""),TRUE))</formula>
    </cfRule>
    <cfRule type="expression" dxfId="204" priority="203">
      <formula>IF(CH29&gt;=CI29,IF(CH29="",FALSE,TRUE))</formula>
    </cfRule>
  </conditionalFormatting>
  <conditionalFormatting sqref="CO19:CO23 CQ19:CQ23 CO5:CO16">
    <cfRule type="expression" dxfId="203" priority="198">
      <formula>OR(IF(CO5&lt;CP5,TRUE),IF(AND(CP5="",CO5&lt;&gt;""),TRUE))</formula>
    </cfRule>
    <cfRule type="expression" dxfId="202" priority="199">
      <formula>IF(CO5&gt;=CP5,IF(CO5="",FALSE,TRUE))</formula>
    </cfRule>
  </conditionalFormatting>
  <conditionalFormatting sqref="CQ5:CQ16">
    <cfRule type="expression" dxfId="201" priority="196">
      <formula>OR(IF(CQ5&lt;CR5,TRUE),IF(AND(CR5="",CQ5&lt;&gt;""),TRUE))</formula>
    </cfRule>
    <cfRule type="expression" dxfId="200" priority="197">
      <formula>IF(CQ5&gt;=CR5,IF(CQ5="",FALSE,TRUE))</formula>
    </cfRule>
  </conditionalFormatting>
  <conditionalFormatting sqref="CO27:CO28">
    <cfRule type="expression" dxfId="199" priority="194">
      <formula>OR(IF(CO27&lt;CP27,TRUE),IF(AND(CP27="",CO27&lt;&gt;""),TRUE))</formula>
    </cfRule>
    <cfRule type="expression" dxfId="198" priority="195">
      <formula>IF(CO27&gt;=CP27,IF(CO27="",FALSE,TRUE))</formula>
    </cfRule>
  </conditionalFormatting>
  <conditionalFormatting sqref="CQ27:CQ28">
    <cfRule type="expression" dxfId="197" priority="192">
      <formula>OR(IF(CQ27&lt;CR27,TRUE),IF(AND(CR27="",CQ27&lt;&gt;""),TRUE))</formula>
    </cfRule>
    <cfRule type="expression" dxfId="196" priority="193">
      <formula>IF(CQ27&gt;=CR27,IF(CQ27="",FALSE,TRUE))</formula>
    </cfRule>
  </conditionalFormatting>
  <conditionalFormatting sqref="CQ29:CQ38">
    <cfRule type="expression" dxfId="195" priority="184">
      <formula>OR(IF(CQ29&lt;CR29,TRUE),IF(AND(CR29="",CQ29&lt;&gt;""),TRUE))</formula>
    </cfRule>
    <cfRule type="expression" dxfId="194" priority="185">
      <formula>IF(CQ29&gt;=CR29,IF(CQ29="",FALSE,TRUE))</formula>
    </cfRule>
  </conditionalFormatting>
  <conditionalFormatting sqref="CO24">
    <cfRule type="expression" dxfId="193" priority="190">
      <formula>OR(IF(CO24&lt;CP24,TRUE),IF(AND(CP24="",CO24&lt;&gt;""),TRUE))</formula>
    </cfRule>
    <cfRule type="expression" dxfId="192" priority="191">
      <formula>IF(CO24&gt;=CP24,IF(CO24="",FALSE,TRUE))</formula>
    </cfRule>
  </conditionalFormatting>
  <conditionalFormatting sqref="CQ24">
    <cfRule type="expression" dxfId="191" priority="188">
      <formula>OR(IF(CQ24&lt;CR24,TRUE),IF(AND(CR24="",CQ24&lt;&gt;""),TRUE))</formula>
    </cfRule>
    <cfRule type="expression" dxfId="190" priority="189">
      <formula>IF(CQ24&gt;=CR24,IF(CQ24="",FALSE,TRUE))</formula>
    </cfRule>
  </conditionalFormatting>
  <conditionalFormatting sqref="CO29:CO38">
    <cfRule type="expression" dxfId="189" priority="186">
      <formula>OR(IF(CO29&lt;CP29,TRUE),IF(AND(CP29="",CO29&lt;&gt;""),TRUE))</formula>
    </cfRule>
    <cfRule type="expression" dxfId="188" priority="187">
      <formula>IF(CO29&gt;=CP29,IF(CO29="",FALSE,TRUE))</formula>
    </cfRule>
  </conditionalFormatting>
  <conditionalFormatting sqref="CV5:CV16">
    <cfRule type="expression" dxfId="187" priority="182">
      <formula>OR(IF(CV5&lt;CW5,TRUE),IF(AND(CW5="",CV5&lt;&gt;""),TRUE))</formula>
    </cfRule>
    <cfRule type="expression" dxfId="186" priority="183">
      <formula>IF(CV5&gt;=CW5,IF(CV5="",FALSE,TRUE))</formula>
    </cfRule>
  </conditionalFormatting>
  <conditionalFormatting sqref="CX5:CX16">
    <cfRule type="expression" dxfId="185" priority="180">
      <formula>OR(IF(CX5&lt;CY5,TRUE),IF(AND(CY5="",CX5&lt;&gt;""),TRUE))</formula>
    </cfRule>
    <cfRule type="expression" dxfId="184" priority="181">
      <formula>IF(CX5&gt;=CY5,IF(CX5="",FALSE,TRUE))</formula>
    </cfRule>
  </conditionalFormatting>
  <conditionalFormatting sqref="DC5:DC16">
    <cfRule type="expression" dxfId="183" priority="178">
      <formula>OR(IF(DC5&lt;DD5,TRUE),IF(AND(DD5="",DC5&lt;&gt;""),TRUE))</formula>
    </cfRule>
    <cfRule type="expression" dxfId="182" priority="179">
      <formula>IF(DC5&gt;=DD5,IF(DC5="",FALSE,TRUE))</formula>
    </cfRule>
  </conditionalFormatting>
  <conditionalFormatting sqref="DE5:DE16">
    <cfRule type="expression" dxfId="181" priority="176">
      <formula>OR(IF(DE5&lt;DF5,TRUE),IF(AND(DF5="",DE5&lt;&gt;""),TRUE))</formula>
    </cfRule>
    <cfRule type="expression" dxfId="180" priority="177">
      <formula>IF(DE5&gt;=DF5,IF(DE5="",FALSE,TRUE))</formula>
    </cfRule>
  </conditionalFormatting>
  <conditionalFormatting sqref="CV26">
    <cfRule type="expression" dxfId="179" priority="174">
      <formula>OR(IF(CV26&lt;CW26,TRUE),IF(AND(CW26="",CV26&lt;&gt;""),TRUE))</formula>
    </cfRule>
    <cfRule type="expression" dxfId="178" priority="175">
      <formula>IF(CV26&gt;=CW26,IF(CV26="",FALSE,TRUE))</formula>
    </cfRule>
  </conditionalFormatting>
  <conditionalFormatting sqref="CX26">
    <cfRule type="expression" dxfId="177" priority="172">
      <formula>OR(IF(CX26&lt;CY26,TRUE),IF(AND(CY26="",CX26&lt;&gt;""),TRUE))</formula>
    </cfRule>
    <cfRule type="expression" dxfId="176" priority="173">
      <formula>IF(CX26&gt;=CY26,IF(CX26="",FALSE,TRUE))</formula>
    </cfRule>
  </conditionalFormatting>
  <conditionalFormatting sqref="Q46">
    <cfRule type="expression" dxfId="175" priority="127">
      <formula>OR(IF(Q46&lt;R46,TRUE),IF(AND(R46="",Q46&lt;&gt;""),TRUE))</formula>
    </cfRule>
    <cfRule type="expression" dxfId="174" priority="128">
      <formula>IF(Q46&gt;=R46,IF(Q46="",FALSE,TRUE))</formula>
    </cfRule>
  </conditionalFormatting>
  <conditionalFormatting sqref="O46">
    <cfRule type="expression" dxfId="173" priority="129">
      <formula>OR(IF(O46&lt;P46,TRUE),IF(AND(P46="",O46&lt;&gt;""),TRUE))</formula>
    </cfRule>
    <cfRule type="expression" dxfId="172" priority="130">
      <formula>IF(O46&gt;=P46,IF(O46="",FALSE,TRUE))</formula>
    </cfRule>
  </conditionalFormatting>
  <conditionalFormatting sqref="CV27:CV28">
    <cfRule type="expression" dxfId="171" priority="166">
      <formula>OR(IF(CV27&lt;CW27,TRUE),IF(AND(CW27="",CV27&lt;&gt;""),TRUE))</formula>
    </cfRule>
    <cfRule type="expression" dxfId="170" priority="167">
      <formula>IF(CV27&gt;=CW27,IF(CV27="",FALSE,TRUE))</formula>
    </cfRule>
  </conditionalFormatting>
  <conditionalFormatting sqref="CX27:CX28">
    <cfRule type="expression" dxfId="169" priority="164">
      <formula>OR(IF(CX27&lt;CY27,TRUE),IF(AND(CY27="",CX27&lt;&gt;""),TRUE))</formula>
    </cfRule>
    <cfRule type="expression" dxfId="168" priority="165">
      <formula>IF(CX27&gt;=CY27,IF(CX27="",FALSE,TRUE))</formula>
    </cfRule>
  </conditionalFormatting>
  <conditionalFormatting sqref="CX29:CX38">
    <cfRule type="expression" dxfId="167" priority="160">
      <formula>OR(IF(CX29&lt;CY29,TRUE),IF(AND(CY29="",CX29&lt;&gt;""),TRUE))</formula>
    </cfRule>
    <cfRule type="expression" dxfId="166" priority="161">
      <formula>IF(CX29&gt;=CY29,IF(CX29="",FALSE,TRUE))</formula>
    </cfRule>
  </conditionalFormatting>
  <conditionalFormatting sqref="CV29:CV38">
    <cfRule type="expression" dxfId="165" priority="162">
      <formula>OR(IF(CV29&lt;CW29,TRUE),IF(AND(CW29="",CV29&lt;&gt;""),TRUE))</formula>
    </cfRule>
    <cfRule type="expression" dxfId="164" priority="163">
      <formula>IF(CV29&gt;=CW29,IF(CV29="",FALSE,TRUE))</formula>
    </cfRule>
  </conditionalFormatting>
  <conditionalFormatting sqref="DC27:DC28">
    <cfRule type="expression" dxfId="163" priority="158">
      <formula>OR(IF(DC27&lt;DD27,TRUE),IF(AND(DD27="",DC27&lt;&gt;""),TRUE))</formula>
    </cfRule>
    <cfRule type="expression" dxfId="162" priority="159">
      <formula>IF(DC27&gt;=DD27,IF(DC27="",FALSE,TRUE))</formula>
    </cfRule>
  </conditionalFormatting>
  <conditionalFormatting sqref="DE27:DE28">
    <cfRule type="expression" dxfId="161" priority="156">
      <formula>OR(IF(DE27&lt;DF27,TRUE),IF(AND(DF27="",DE27&lt;&gt;""),TRUE))</formula>
    </cfRule>
    <cfRule type="expression" dxfId="160" priority="157">
      <formula>IF(DE27&gt;=DF27,IF(DE27="",FALSE,TRUE))</formula>
    </cfRule>
  </conditionalFormatting>
  <conditionalFormatting sqref="DE29:DE38">
    <cfRule type="expression" dxfId="159" priority="152">
      <formula>OR(IF(DE29&lt;DF29,TRUE),IF(AND(DF29="",DE29&lt;&gt;""),TRUE))</formula>
    </cfRule>
    <cfRule type="expression" dxfId="158" priority="153">
      <formula>IF(DE29&gt;=DF29,IF(DE29="",FALSE,TRUE))</formula>
    </cfRule>
  </conditionalFormatting>
  <conditionalFormatting sqref="DC29:DC38">
    <cfRule type="expression" dxfId="157" priority="154">
      <formula>OR(IF(DC29&lt;DD29,TRUE),IF(AND(DD29="",DC29&lt;&gt;""),TRUE))</formula>
    </cfRule>
    <cfRule type="expression" dxfId="156" priority="155">
      <formula>IF(DC29&gt;=DD29,IF(DC29="",FALSE,TRUE))</formula>
    </cfRule>
  </conditionalFormatting>
  <conditionalFormatting sqref="O41:O45 Q41:Q45">
    <cfRule type="expression" dxfId="155" priority="131">
      <formula>OR(IF(O41&lt;P41,TRUE),IF(AND(P41="",O41&lt;&gt;""),TRUE))</formula>
    </cfRule>
    <cfRule type="expression" dxfId="154" priority="132">
      <formula>IF(O41&gt;=P41,IF(O41="",FALSE,TRUE))</formula>
    </cfRule>
  </conditionalFormatting>
  <conditionalFormatting sqref="CW25">
    <cfRule type="expression" dxfId="153" priority="148">
      <formula>OR(IF(CW25&lt;CX25,TRUE),IF(AND(CX25="",CW25&lt;&gt;""),TRUE))</formula>
    </cfRule>
    <cfRule type="expression" dxfId="152" priority="149">
      <formula>IF(CW25&gt;=CX25,IF(CW25="",FALSE,TRUE))</formula>
    </cfRule>
  </conditionalFormatting>
  <conditionalFormatting sqref="CY25">
    <cfRule type="expression" dxfId="151" priority="146">
      <formula>OR(IF(CY25&lt;CZ25,TRUE),IF(AND(CZ25="",CY25&lt;&gt;""),TRUE))</formula>
    </cfRule>
    <cfRule type="expression" dxfId="150" priority="147">
      <formula>IF(CY25&gt;=CZ25,IF(CY25="",FALSE,TRUE))</formula>
    </cfRule>
  </conditionalFormatting>
  <conditionalFormatting sqref="CV19:CV23 CX19:CX23">
    <cfRule type="expression" dxfId="149" priority="144">
      <formula>OR(IF(CV19&lt;CW19,TRUE),IF(AND(CW19="",CV19&lt;&gt;""),TRUE))</formula>
    </cfRule>
    <cfRule type="expression" dxfId="148" priority="145">
      <formula>IF(CV19&gt;=CW19,IF(CV19="",FALSE,TRUE))</formula>
    </cfRule>
  </conditionalFormatting>
  <conditionalFormatting sqref="CV24">
    <cfRule type="expression" dxfId="147" priority="142">
      <formula>OR(IF(CV24&lt;CW24,TRUE),IF(AND(CW24="",CV24&lt;&gt;""),TRUE))</formula>
    </cfRule>
    <cfRule type="expression" dxfId="146" priority="143">
      <formula>IF(CV24&gt;=CW24,IF(CV24="",FALSE,TRUE))</formula>
    </cfRule>
  </conditionalFormatting>
  <conditionalFormatting sqref="CX24">
    <cfRule type="expression" dxfId="145" priority="140">
      <formula>OR(IF(CX24&lt;CY24,TRUE),IF(AND(CY24="",CX24&lt;&gt;""),TRUE))</formula>
    </cfRule>
    <cfRule type="expression" dxfId="144" priority="141">
      <formula>IF(CX24&gt;=CY24,IF(CX24="",FALSE,TRUE))</formula>
    </cfRule>
  </conditionalFormatting>
  <conditionalFormatting sqref="DC19:DC23 DE19:DE23">
    <cfRule type="expression" dxfId="143" priority="138">
      <formula>OR(IF(DC19&lt;DD19,TRUE),IF(AND(DD19="",DC19&lt;&gt;""),TRUE))</formula>
    </cfRule>
    <cfRule type="expression" dxfId="142" priority="139">
      <formula>IF(DC19&gt;=DD19,IF(DC19="",FALSE,TRUE))</formula>
    </cfRule>
  </conditionalFormatting>
  <conditionalFormatting sqref="DC24">
    <cfRule type="expression" dxfId="141" priority="136">
      <formula>OR(IF(DC24&lt;DD24,TRUE),IF(AND(DD24="",DC24&lt;&gt;""),TRUE))</formula>
    </cfRule>
    <cfRule type="expression" dxfId="140" priority="137">
      <formula>IF(DC24&gt;=DD24,IF(DC24="",FALSE,TRUE))</formula>
    </cfRule>
  </conditionalFormatting>
  <conditionalFormatting sqref="DE24">
    <cfRule type="expression" dxfId="139" priority="134">
      <formula>OR(IF(DE24&lt;DF24,TRUE),IF(AND(DF24="",DE24&lt;&gt;""),TRUE))</formula>
    </cfRule>
    <cfRule type="expression" dxfId="138" priority="135">
      <formula>IF(DE24&gt;=DF24,IF(DE24="",FALSE,TRUE))</formula>
    </cfRule>
  </conditionalFormatting>
  <conditionalFormatting sqref="J41:K46">
    <cfRule type="colorScale" priority="133">
      <colorScale>
        <cfvo type="percent" val="0"/>
        <cfvo type="percent" val="100"/>
        <color rgb="FFFF231B"/>
        <color rgb="FF10FF07"/>
      </colorScale>
    </cfRule>
  </conditionalFormatting>
  <conditionalFormatting sqref="DJ5:DJ16">
    <cfRule type="expression" dxfId="137" priority="125">
      <formula>OR(IF(DJ5&lt;DK5,TRUE),IF(AND(DK5="",DJ5&lt;&gt;""),TRUE))</formula>
    </cfRule>
    <cfRule type="expression" dxfId="136" priority="126">
      <formula>IF(DJ5&gt;=DK5,IF(DJ5="",FALSE,TRUE))</formula>
    </cfRule>
  </conditionalFormatting>
  <conditionalFormatting sqref="DL5:DL16">
    <cfRule type="expression" dxfId="135" priority="123">
      <formula>OR(IF(DL5&lt;DM5,TRUE),IF(AND(DM5="",DL5&lt;&gt;""),TRUE))</formula>
    </cfRule>
    <cfRule type="expression" dxfId="134" priority="124">
      <formula>IF(DL5&gt;=DM5,IF(DL5="",FALSE,TRUE))</formula>
    </cfRule>
  </conditionalFormatting>
  <conditionalFormatting sqref="DJ27:DJ28">
    <cfRule type="expression" dxfId="133" priority="121">
      <formula>OR(IF(DJ27&lt;DK27,TRUE),IF(AND(DK27="",DJ27&lt;&gt;""),TRUE))</formula>
    </cfRule>
    <cfRule type="expression" dxfId="132" priority="122">
      <formula>IF(DJ27&gt;=DK27,IF(DJ27="",FALSE,TRUE))</formula>
    </cfRule>
  </conditionalFormatting>
  <conditionalFormatting sqref="DL27:DL28">
    <cfRule type="expression" dxfId="131" priority="119">
      <formula>OR(IF(DL27&lt;DM27,TRUE),IF(AND(DM27="",DL27&lt;&gt;""),TRUE))</formula>
    </cfRule>
    <cfRule type="expression" dxfId="130" priority="120">
      <formula>IF(DL27&gt;=DM27,IF(DL27="",FALSE,TRUE))</formula>
    </cfRule>
  </conditionalFormatting>
  <conditionalFormatting sqref="DL29:DL38">
    <cfRule type="expression" dxfId="129" priority="115">
      <formula>OR(IF(DL29&lt;DM29,TRUE),IF(AND(DM29="",DL29&lt;&gt;""),TRUE))</formula>
    </cfRule>
    <cfRule type="expression" dxfId="128" priority="116">
      <formula>IF(DL29&gt;=DM29,IF(DL29="",FALSE,TRUE))</formula>
    </cfRule>
  </conditionalFormatting>
  <conditionalFormatting sqref="DJ29:DJ38">
    <cfRule type="expression" dxfId="127" priority="117">
      <formula>OR(IF(DJ29&lt;DK29,TRUE),IF(AND(DK29="",DJ29&lt;&gt;""),TRUE))</formula>
    </cfRule>
    <cfRule type="expression" dxfId="126" priority="118">
      <formula>IF(DJ29&gt;=DK29,IF(DJ29="",FALSE,TRUE))</formula>
    </cfRule>
  </conditionalFormatting>
  <conditionalFormatting sqref="DJ19:DJ23 DL19:DL23">
    <cfRule type="expression" dxfId="125" priority="113">
      <formula>OR(IF(DJ19&lt;DK19,TRUE),IF(AND(DK19="",DJ19&lt;&gt;""),TRUE))</formula>
    </cfRule>
    <cfRule type="expression" dxfId="124" priority="114">
      <formula>IF(DJ19&gt;=DK19,IF(DJ19="",FALSE,TRUE))</formula>
    </cfRule>
  </conditionalFormatting>
  <conditionalFormatting sqref="DJ24">
    <cfRule type="expression" dxfId="123" priority="111">
      <formula>OR(IF(DJ24&lt;DK24,TRUE),IF(AND(DK24="",DJ24&lt;&gt;""),TRUE))</formula>
    </cfRule>
    <cfRule type="expression" dxfId="122" priority="112">
      <formula>IF(DJ24&gt;=DK24,IF(DJ24="",FALSE,TRUE))</formula>
    </cfRule>
  </conditionalFormatting>
  <conditionalFormatting sqref="DL24">
    <cfRule type="expression" dxfId="121" priority="109">
      <formula>OR(IF(DL24&lt;DM24,TRUE),IF(AND(DM24="",DL24&lt;&gt;""),TRUE))</formula>
    </cfRule>
    <cfRule type="expression" dxfId="120" priority="110">
      <formula>IF(DL24&gt;=DM24,IF(DL24="",FALSE,TRUE))</formula>
    </cfRule>
  </conditionalFormatting>
  <conditionalFormatting sqref="DQ5:DQ16">
    <cfRule type="expression" dxfId="119" priority="107">
      <formula>OR(IF(DQ5&lt;DR5,TRUE),IF(AND(DR5="",DQ5&lt;&gt;""),TRUE))</formula>
    </cfRule>
    <cfRule type="expression" dxfId="118" priority="108">
      <formula>IF(DQ5&gt;=DR5,IF(DQ5="",FALSE,TRUE))</formula>
    </cfRule>
  </conditionalFormatting>
  <conditionalFormatting sqref="DS5:DS16">
    <cfRule type="expression" dxfId="117" priority="105">
      <formula>OR(IF(DS5&lt;DT5,TRUE),IF(AND(DT5="",DS5&lt;&gt;""),TRUE))</formula>
    </cfRule>
    <cfRule type="expression" dxfId="116" priority="106">
      <formula>IF(DS5&gt;=DT5,IF(DS5="",FALSE,TRUE))</formula>
    </cfRule>
  </conditionalFormatting>
  <conditionalFormatting sqref="DQ27:DQ28">
    <cfRule type="expression" dxfId="115" priority="103">
      <formula>OR(IF(DQ27&lt;DR27,TRUE),IF(AND(DR27="",DQ27&lt;&gt;""),TRUE))</formula>
    </cfRule>
    <cfRule type="expression" dxfId="114" priority="104">
      <formula>IF(DQ27&gt;=DR27,IF(DQ27="",FALSE,TRUE))</formula>
    </cfRule>
  </conditionalFormatting>
  <conditionalFormatting sqref="DS27:DS28">
    <cfRule type="expression" dxfId="113" priority="101">
      <formula>OR(IF(DS27&lt;DT27,TRUE),IF(AND(DT27="",DS27&lt;&gt;""),TRUE))</formula>
    </cfRule>
    <cfRule type="expression" dxfId="112" priority="102">
      <formula>IF(DS27&gt;=DT27,IF(DS27="",FALSE,TRUE))</formula>
    </cfRule>
  </conditionalFormatting>
  <conditionalFormatting sqref="DS29:DS38">
    <cfRule type="expression" dxfId="111" priority="97">
      <formula>OR(IF(DS29&lt;DT29,TRUE),IF(AND(DT29="",DS29&lt;&gt;""),TRUE))</formula>
    </cfRule>
    <cfRule type="expression" dxfId="110" priority="98">
      <formula>IF(DS29&gt;=DT29,IF(DS29="",FALSE,TRUE))</formula>
    </cfRule>
  </conditionalFormatting>
  <conditionalFormatting sqref="DQ29:DQ38">
    <cfRule type="expression" dxfId="109" priority="99">
      <formula>OR(IF(DQ29&lt;DR29,TRUE),IF(AND(DR29="",DQ29&lt;&gt;""),TRUE))</formula>
    </cfRule>
    <cfRule type="expression" dxfId="108" priority="100">
      <formula>IF(DQ29&gt;=DR29,IF(DQ29="",FALSE,TRUE))</formula>
    </cfRule>
  </conditionalFormatting>
  <conditionalFormatting sqref="DQ19:DQ23 DS19:DS23">
    <cfRule type="expression" dxfId="107" priority="95">
      <formula>OR(IF(DQ19&lt;DR19,TRUE),IF(AND(DR19="",DQ19&lt;&gt;""),TRUE))</formula>
    </cfRule>
    <cfRule type="expression" dxfId="106" priority="96">
      <formula>IF(DQ19&gt;=DR19,IF(DQ19="",FALSE,TRUE))</formula>
    </cfRule>
  </conditionalFormatting>
  <conditionalFormatting sqref="DQ24">
    <cfRule type="expression" dxfId="105" priority="93">
      <formula>OR(IF(DQ24&lt;DR24,TRUE),IF(AND(DR24="",DQ24&lt;&gt;""),TRUE))</formula>
    </cfRule>
    <cfRule type="expression" dxfId="104" priority="94">
      <formula>IF(DQ24&gt;=DR24,IF(DQ24="",FALSE,TRUE))</formula>
    </cfRule>
  </conditionalFormatting>
  <conditionalFormatting sqref="DS24">
    <cfRule type="expression" dxfId="103" priority="91">
      <formula>OR(IF(DS24&lt;DT24,TRUE),IF(AND(DT24="",DS24&lt;&gt;""),TRUE))</formula>
    </cfRule>
    <cfRule type="expression" dxfId="102" priority="92">
      <formula>IF(DS24&gt;=DT24,IF(DS24="",FALSE,TRUE))</formula>
    </cfRule>
  </conditionalFormatting>
  <conditionalFormatting sqref="DX5:DX16">
    <cfRule type="expression" dxfId="101" priority="89">
      <formula>OR(IF(DX5&lt;DY5,TRUE),IF(AND(DY5="",DX5&lt;&gt;""),TRUE))</formula>
    </cfRule>
    <cfRule type="expression" dxfId="100" priority="90">
      <formula>IF(DX5&gt;=DY5,IF(DX5="",FALSE,TRUE))</formula>
    </cfRule>
  </conditionalFormatting>
  <conditionalFormatting sqref="DZ5:DZ16">
    <cfRule type="expression" dxfId="99" priority="87">
      <formula>OR(IF(DZ5&lt;EA5,TRUE),IF(AND(EA5="",DZ5&lt;&gt;""),TRUE))</formula>
    </cfRule>
    <cfRule type="expression" dxfId="98" priority="88">
      <formula>IF(DZ5&gt;=EA5,IF(DZ5="",FALSE,TRUE))</formula>
    </cfRule>
  </conditionalFormatting>
  <conditionalFormatting sqref="DX27:DX28">
    <cfRule type="expression" dxfId="97" priority="85">
      <formula>OR(IF(DX27&lt;DY27,TRUE),IF(AND(DY27="",DX27&lt;&gt;""),TRUE))</formula>
    </cfRule>
    <cfRule type="expression" dxfId="96" priority="86">
      <formula>IF(DX27&gt;=DY27,IF(DX27="",FALSE,TRUE))</formula>
    </cfRule>
  </conditionalFormatting>
  <conditionalFormatting sqref="DZ27:DZ28">
    <cfRule type="expression" dxfId="95" priority="83">
      <formula>OR(IF(DZ27&lt;EA27,TRUE),IF(AND(EA27="",DZ27&lt;&gt;""),TRUE))</formula>
    </cfRule>
    <cfRule type="expression" dxfId="94" priority="84">
      <formula>IF(DZ27&gt;=EA27,IF(DZ27="",FALSE,TRUE))</formula>
    </cfRule>
  </conditionalFormatting>
  <conditionalFormatting sqref="DZ29:DZ38">
    <cfRule type="expression" dxfId="93" priority="79">
      <formula>OR(IF(DZ29&lt;EA29,TRUE),IF(AND(EA29="",DZ29&lt;&gt;""),TRUE))</formula>
    </cfRule>
    <cfRule type="expression" dxfId="92" priority="80">
      <formula>IF(DZ29&gt;=EA29,IF(DZ29="",FALSE,TRUE))</formula>
    </cfRule>
  </conditionalFormatting>
  <conditionalFormatting sqref="DX29:DX38">
    <cfRule type="expression" dxfId="91" priority="81">
      <formula>OR(IF(DX29&lt;DY29,TRUE),IF(AND(DY29="",DX29&lt;&gt;""),TRUE))</formula>
    </cfRule>
    <cfRule type="expression" dxfId="90" priority="82">
      <formula>IF(DX29&gt;=DY29,IF(DX29="",FALSE,TRUE))</formula>
    </cfRule>
  </conditionalFormatting>
  <conditionalFormatting sqref="DX19:DX23 DZ19:DZ23">
    <cfRule type="expression" dxfId="89" priority="77">
      <formula>OR(IF(DX19&lt;DY19,TRUE),IF(AND(DY19="",DX19&lt;&gt;""),TRUE))</formula>
    </cfRule>
    <cfRule type="expression" dxfId="88" priority="78">
      <formula>IF(DX19&gt;=DY19,IF(DX19="",FALSE,TRUE))</formula>
    </cfRule>
  </conditionalFormatting>
  <conditionalFormatting sqref="DX24">
    <cfRule type="expression" dxfId="87" priority="75">
      <formula>OR(IF(DX24&lt;DY24,TRUE),IF(AND(DY24="",DX24&lt;&gt;""),TRUE))</formula>
    </cfRule>
    <cfRule type="expression" dxfId="86" priority="76">
      <formula>IF(DX24&gt;=DY24,IF(DX24="",FALSE,TRUE))</formula>
    </cfRule>
  </conditionalFormatting>
  <conditionalFormatting sqref="DZ24">
    <cfRule type="expression" dxfId="85" priority="73">
      <formula>OR(IF(DZ24&lt;EA24,TRUE),IF(AND(EA24="",DZ24&lt;&gt;""),TRUE))</formula>
    </cfRule>
    <cfRule type="expression" dxfId="84" priority="74">
      <formula>IF(DZ24&gt;=EA24,IF(DZ24="",FALSE,TRUE))</formula>
    </cfRule>
  </conditionalFormatting>
  <conditionalFormatting sqref="EE5:EE16">
    <cfRule type="expression" dxfId="83" priority="71">
      <formula>OR(IF(EE5&lt;EF5,TRUE),IF(AND(EF5="",EE5&lt;&gt;""),TRUE))</formula>
    </cfRule>
    <cfRule type="expression" dxfId="82" priority="72">
      <formula>IF(EE5&gt;=EF5,IF(EE5="",FALSE,TRUE))</formula>
    </cfRule>
  </conditionalFormatting>
  <conditionalFormatting sqref="EG5:EG16">
    <cfRule type="expression" dxfId="81" priority="69">
      <formula>OR(IF(EG5&lt;EH5,TRUE),IF(AND(EH5="",EG5&lt;&gt;""),TRUE))</formula>
    </cfRule>
    <cfRule type="expression" dxfId="80" priority="70">
      <formula>IF(EG5&gt;=EH5,IF(EG5="",FALSE,TRUE))</formula>
    </cfRule>
  </conditionalFormatting>
  <conditionalFormatting sqref="EE27:EE28">
    <cfRule type="expression" dxfId="79" priority="67">
      <formula>OR(IF(EE27&lt;EF27,TRUE),IF(AND(EF27="",EE27&lt;&gt;""),TRUE))</formula>
    </cfRule>
    <cfRule type="expression" dxfId="78" priority="68">
      <formula>IF(EE27&gt;=EF27,IF(EE27="",FALSE,TRUE))</formula>
    </cfRule>
  </conditionalFormatting>
  <conditionalFormatting sqref="EG27:EG28">
    <cfRule type="expression" dxfId="77" priority="65">
      <formula>OR(IF(EG27&lt;EH27,TRUE),IF(AND(EH27="",EG27&lt;&gt;""),TRUE))</formula>
    </cfRule>
    <cfRule type="expression" dxfId="76" priority="66">
      <formula>IF(EG27&gt;=EH27,IF(EG27="",FALSE,TRUE))</formula>
    </cfRule>
  </conditionalFormatting>
  <conditionalFormatting sqref="EG29:EG38">
    <cfRule type="expression" dxfId="75" priority="61">
      <formula>OR(IF(EG29&lt;EH29,TRUE),IF(AND(EH29="",EG29&lt;&gt;""),TRUE))</formula>
    </cfRule>
    <cfRule type="expression" dxfId="74" priority="62">
      <formula>IF(EG29&gt;=EH29,IF(EG29="",FALSE,TRUE))</formula>
    </cfRule>
  </conditionalFormatting>
  <conditionalFormatting sqref="EE29:EE38">
    <cfRule type="expression" dxfId="73" priority="63">
      <formula>OR(IF(EE29&lt;EF29,TRUE),IF(AND(EF29="",EE29&lt;&gt;""),TRUE))</formula>
    </cfRule>
    <cfRule type="expression" dxfId="72" priority="64">
      <formula>IF(EE29&gt;=EF29,IF(EE29="",FALSE,TRUE))</formula>
    </cfRule>
  </conditionalFormatting>
  <conditionalFormatting sqref="EE19:EE23 EG19:EG23">
    <cfRule type="expression" dxfId="71" priority="59">
      <formula>OR(IF(EE19&lt;EF19,TRUE),IF(AND(EF19="",EE19&lt;&gt;""),TRUE))</formula>
    </cfRule>
    <cfRule type="expression" dxfId="70" priority="60">
      <formula>IF(EE19&gt;=EF19,IF(EE19="",FALSE,TRUE))</formula>
    </cfRule>
  </conditionalFormatting>
  <conditionalFormatting sqref="EE24">
    <cfRule type="expression" dxfId="69" priority="57">
      <formula>OR(IF(EE24&lt;EF24,TRUE),IF(AND(EF24="",EE24&lt;&gt;""),TRUE))</formula>
    </cfRule>
    <cfRule type="expression" dxfId="68" priority="58">
      <formula>IF(EE24&gt;=EF24,IF(EE24="",FALSE,TRUE))</formula>
    </cfRule>
  </conditionalFormatting>
  <conditionalFormatting sqref="EG24">
    <cfRule type="expression" dxfId="67" priority="55">
      <formula>OR(IF(EG24&lt;EH24,TRUE),IF(AND(EH24="",EG24&lt;&gt;""),TRUE))</formula>
    </cfRule>
    <cfRule type="expression" dxfId="66" priority="56">
      <formula>IF(EG24&gt;=EH24,IF(EG24="",FALSE,TRUE))</formula>
    </cfRule>
  </conditionalFormatting>
  <conditionalFormatting sqref="EL5:EL16">
    <cfRule type="expression" dxfId="65" priority="53">
      <formula>OR(IF(EL5&lt;EM5,TRUE),IF(AND(EM5="",EL5&lt;&gt;""),TRUE))</formula>
    </cfRule>
    <cfRule type="expression" dxfId="64" priority="54">
      <formula>IF(EL5&gt;=EM5,IF(EL5="",FALSE,TRUE))</formula>
    </cfRule>
  </conditionalFormatting>
  <conditionalFormatting sqref="EN5:EN16">
    <cfRule type="expression" dxfId="63" priority="51">
      <formula>OR(IF(EN5&lt;EO5,TRUE),IF(AND(EO5="",EN5&lt;&gt;""),TRUE))</formula>
    </cfRule>
    <cfRule type="expression" dxfId="62" priority="52">
      <formula>IF(EN5&gt;=EO5,IF(EN5="",FALSE,TRUE))</formula>
    </cfRule>
  </conditionalFormatting>
  <conditionalFormatting sqref="EL27:EL28">
    <cfRule type="expression" dxfId="61" priority="49">
      <formula>OR(IF(EL27&lt;EM27,TRUE),IF(AND(EM27="",EL27&lt;&gt;""),TRUE))</formula>
    </cfRule>
    <cfRule type="expression" dxfId="60" priority="50">
      <formula>IF(EL27&gt;=EM27,IF(EL27="",FALSE,TRUE))</formula>
    </cfRule>
  </conditionalFormatting>
  <conditionalFormatting sqref="EN27:EN28">
    <cfRule type="expression" dxfId="59" priority="47">
      <formula>OR(IF(EN27&lt;EO27,TRUE),IF(AND(EO27="",EN27&lt;&gt;""),TRUE))</formula>
    </cfRule>
    <cfRule type="expression" dxfId="58" priority="48">
      <formula>IF(EN27&gt;=EO27,IF(EN27="",FALSE,TRUE))</formula>
    </cfRule>
  </conditionalFormatting>
  <conditionalFormatting sqref="EN29:EN38">
    <cfRule type="expression" dxfId="57" priority="43">
      <formula>OR(IF(EN29&lt;EO29,TRUE),IF(AND(EO29="",EN29&lt;&gt;""),TRUE))</formula>
    </cfRule>
    <cfRule type="expression" dxfId="56" priority="44">
      <formula>IF(EN29&gt;=EO29,IF(EN29="",FALSE,TRUE))</formula>
    </cfRule>
  </conditionalFormatting>
  <conditionalFormatting sqref="EL29:EL38">
    <cfRule type="expression" dxfId="55" priority="45">
      <formula>OR(IF(EL29&lt;EM29,TRUE),IF(AND(EM29="",EL29&lt;&gt;""),TRUE))</formula>
    </cfRule>
    <cfRule type="expression" dxfId="54" priority="46">
      <formula>IF(EL29&gt;=EM29,IF(EL29="",FALSE,TRUE))</formula>
    </cfRule>
  </conditionalFormatting>
  <conditionalFormatting sqref="EL19:EL23 EN19:EN23">
    <cfRule type="expression" dxfId="53" priority="41">
      <formula>OR(IF(EL19&lt;EM19,TRUE),IF(AND(EM19="",EL19&lt;&gt;""),TRUE))</formula>
    </cfRule>
    <cfRule type="expression" dxfId="52" priority="42">
      <formula>IF(EL19&gt;=EM19,IF(EL19="",FALSE,TRUE))</formula>
    </cfRule>
  </conditionalFormatting>
  <conditionalFormatting sqref="EL24">
    <cfRule type="expression" dxfId="51" priority="39">
      <formula>OR(IF(EL24&lt;EM24,TRUE),IF(AND(EM24="",EL24&lt;&gt;""),TRUE))</formula>
    </cfRule>
    <cfRule type="expression" dxfId="50" priority="40">
      <formula>IF(EL24&gt;=EM24,IF(EL24="",FALSE,TRUE))</formula>
    </cfRule>
  </conditionalFormatting>
  <conditionalFormatting sqref="EN24">
    <cfRule type="expression" dxfId="49" priority="37">
      <formula>OR(IF(EN24&lt;EO24,TRUE),IF(AND(EO24="",EN24&lt;&gt;""),TRUE))</formula>
    </cfRule>
    <cfRule type="expression" dxfId="48" priority="38">
      <formula>IF(EN24&gt;=EO24,IF(EN24="",FALSE,TRUE))</formula>
    </cfRule>
  </conditionalFormatting>
  <conditionalFormatting sqref="ES5:ES16">
    <cfRule type="expression" dxfId="47" priority="35">
      <formula>OR(IF(ES5&lt;ET5,TRUE),IF(AND(ET5="",ES5&lt;&gt;""),TRUE))</formula>
    </cfRule>
    <cfRule type="expression" dxfId="46" priority="36">
      <formula>IF(ES5&gt;=ET5,IF(ES5="",FALSE,TRUE))</formula>
    </cfRule>
  </conditionalFormatting>
  <conditionalFormatting sqref="EU5:EU16">
    <cfRule type="expression" dxfId="45" priority="33">
      <formula>OR(IF(EU5&lt;EV5,TRUE),IF(AND(EV5="",EU5&lt;&gt;""),TRUE))</formula>
    </cfRule>
    <cfRule type="expression" dxfId="44" priority="34">
      <formula>IF(EU5&gt;=EV5,IF(EU5="",FALSE,TRUE))</formula>
    </cfRule>
  </conditionalFormatting>
  <conditionalFormatting sqref="ES27:ES28">
    <cfRule type="expression" dxfId="43" priority="31">
      <formula>OR(IF(ES27&lt;ET27,TRUE),IF(AND(ET27="",ES27&lt;&gt;""),TRUE))</formula>
    </cfRule>
    <cfRule type="expression" dxfId="42" priority="32">
      <formula>IF(ES27&gt;=ET27,IF(ES27="",FALSE,TRUE))</formula>
    </cfRule>
  </conditionalFormatting>
  <conditionalFormatting sqref="EU27:EU28">
    <cfRule type="expression" dxfId="41" priority="29">
      <formula>OR(IF(EU27&lt;EV27,TRUE),IF(AND(EV27="",EU27&lt;&gt;""),TRUE))</formula>
    </cfRule>
    <cfRule type="expression" dxfId="40" priority="30">
      <formula>IF(EU27&gt;=EV27,IF(EU27="",FALSE,TRUE))</formula>
    </cfRule>
  </conditionalFormatting>
  <conditionalFormatting sqref="EU29:EU38">
    <cfRule type="expression" dxfId="39" priority="25">
      <formula>OR(IF(EU29&lt;EV29,TRUE),IF(AND(EV29="",EU29&lt;&gt;""),TRUE))</formula>
    </cfRule>
    <cfRule type="expression" dxfId="38" priority="26">
      <formula>IF(EU29&gt;=EV29,IF(EU29="",FALSE,TRUE))</formula>
    </cfRule>
  </conditionalFormatting>
  <conditionalFormatting sqref="ES29:ES38">
    <cfRule type="expression" dxfId="37" priority="27">
      <formula>OR(IF(ES29&lt;ET29,TRUE),IF(AND(ET29="",ES29&lt;&gt;""),TRUE))</formula>
    </cfRule>
    <cfRule type="expression" dxfId="36" priority="28">
      <formula>IF(ES29&gt;=ET29,IF(ES29="",FALSE,TRUE))</formula>
    </cfRule>
  </conditionalFormatting>
  <conditionalFormatting sqref="ES19:ES23 EU19:EU23">
    <cfRule type="expression" dxfId="35" priority="23">
      <formula>OR(IF(ES19&lt;ET19,TRUE),IF(AND(ET19="",ES19&lt;&gt;""),TRUE))</formula>
    </cfRule>
    <cfRule type="expression" dxfId="34" priority="24">
      <formula>IF(ES19&gt;=ET19,IF(ES19="",FALSE,TRUE))</formula>
    </cfRule>
  </conditionalFormatting>
  <conditionalFormatting sqref="ES24">
    <cfRule type="expression" dxfId="33" priority="21">
      <formula>OR(IF(ES24&lt;ET24,TRUE),IF(AND(ET24="",ES24&lt;&gt;""),TRUE))</formula>
    </cfRule>
    <cfRule type="expression" dxfId="32" priority="22">
      <formula>IF(ES24&gt;=ET24,IF(ES24="",FALSE,TRUE))</formula>
    </cfRule>
  </conditionalFormatting>
  <conditionalFormatting sqref="EU24">
    <cfRule type="expression" dxfId="31" priority="19">
      <formula>OR(IF(EU24&lt;EV24,TRUE),IF(AND(EV24="",EU24&lt;&gt;""),TRUE))</formula>
    </cfRule>
    <cfRule type="expression" dxfId="30" priority="20">
      <formula>IF(EU24&gt;=EV24,IF(EU24="",FALSE,TRUE))</formula>
    </cfRule>
  </conditionalFormatting>
  <conditionalFormatting sqref="EZ5:EZ16">
    <cfRule type="expression" dxfId="29" priority="17">
      <formula>OR(IF(EZ5&lt;FA5,TRUE),IF(AND(FA5="",EZ5&lt;&gt;""),TRUE))</formula>
    </cfRule>
    <cfRule type="expression" dxfId="28" priority="18">
      <formula>IF(EZ5&gt;=FA5,IF(EZ5="",FALSE,TRUE))</formula>
    </cfRule>
  </conditionalFormatting>
  <conditionalFormatting sqref="FB5:FB16">
    <cfRule type="expression" dxfId="27" priority="15">
      <formula>OR(IF(FB5&lt;FC5,TRUE),IF(AND(FC5="",FB5&lt;&gt;""),TRUE))</formula>
    </cfRule>
    <cfRule type="expression" dxfId="26" priority="16">
      <formula>IF(FB5&gt;=FC5,IF(FB5="",FALSE,TRUE))</formula>
    </cfRule>
  </conditionalFormatting>
  <conditionalFormatting sqref="EZ27:EZ28">
    <cfRule type="expression" dxfId="25" priority="13">
      <formula>OR(IF(EZ27&lt;FA27,TRUE),IF(AND(FA27="",EZ27&lt;&gt;""),TRUE))</formula>
    </cfRule>
    <cfRule type="expression" dxfId="24" priority="14">
      <formula>IF(EZ27&gt;=FA27,IF(EZ27="",FALSE,TRUE))</formula>
    </cfRule>
  </conditionalFormatting>
  <conditionalFormatting sqref="FB27:FB28">
    <cfRule type="expression" dxfId="23" priority="11">
      <formula>OR(IF(FB27&lt;FC27,TRUE),IF(AND(FC27="",FB27&lt;&gt;""),TRUE))</formula>
    </cfRule>
    <cfRule type="expression" dxfId="22" priority="12">
      <formula>IF(FB27&gt;=FC27,IF(FB27="",FALSE,TRUE))</formula>
    </cfRule>
  </conditionalFormatting>
  <conditionalFormatting sqref="FB29:FB38">
    <cfRule type="expression" dxfId="21" priority="7">
      <formula>OR(IF(FB29&lt;FC29,TRUE),IF(AND(FC29="",FB29&lt;&gt;""),TRUE))</formula>
    </cfRule>
    <cfRule type="expression" dxfId="20" priority="8">
      <formula>IF(FB29&gt;=FC29,IF(FB29="",FALSE,TRUE))</formula>
    </cfRule>
  </conditionalFormatting>
  <conditionalFormatting sqref="EZ29:EZ38">
    <cfRule type="expression" dxfId="19" priority="9">
      <formula>OR(IF(EZ29&lt;FA29,TRUE),IF(AND(FA29="",EZ29&lt;&gt;""),TRUE))</formula>
    </cfRule>
    <cfRule type="expression" dxfId="18" priority="10">
      <formula>IF(EZ29&gt;=FA29,IF(EZ29="",FALSE,TRUE))</formula>
    </cfRule>
  </conditionalFormatting>
  <conditionalFormatting sqref="EZ19:EZ23 FB19:FB23">
    <cfRule type="expression" dxfId="17" priority="5">
      <formula>OR(IF(EZ19&lt;FA19,TRUE),IF(AND(FA19="",EZ19&lt;&gt;""),TRUE))</formula>
    </cfRule>
    <cfRule type="expression" dxfId="16" priority="6">
      <formula>IF(EZ19&gt;=FA19,IF(EZ19="",FALSE,TRUE))</formula>
    </cfRule>
  </conditionalFormatting>
  <conditionalFormatting sqref="EZ24">
    <cfRule type="expression" dxfId="15" priority="3">
      <formula>OR(IF(EZ24&lt;FA24,TRUE),IF(AND(FA24="",EZ24&lt;&gt;""),TRUE))</formula>
    </cfRule>
    <cfRule type="expression" dxfId="14" priority="4">
      <formula>IF(EZ24&gt;=FA24,IF(EZ24="",FALSE,TRUE))</formula>
    </cfRule>
  </conditionalFormatting>
  <conditionalFormatting sqref="FB24">
    <cfRule type="expression" dxfId="13" priority="1">
      <formula>OR(IF(FB24&lt;FC24,TRUE),IF(AND(FC24="",FB24&lt;&gt;""),TRUE))</formula>
    </cfRule>
    <cfRule type="expression" dxfId="12" priority="2">
      <formula>IF(FB24&gt;=FC24,IF(FB24="",FALSE,TRUE))</formula>
    </cfRule>
  </conditionalFormatting>
  <dataValidations count="1">
    <dataValidation type="list" allowBlank="1" showInputMessage="1" showErrorMessage="1" sqref="O19:R24 O5:R16 V27:Y38 V19:Y24 BM19:BP24 DC5:DF16 DC27:DF38 V5:Y16 BT5:BW16 AJ19:AM24 AC5:AF16 AQ19:AT24 AJ27:AM38 AC19:AF24 AJ5:AM16 AX5:BA16 AC27:AF38 AX19:BA24 AQ5:AT16 AQ27:AT38 O27:R38 BE19:BH24 AX27:BA38 BN27:BN39 CO5:CR16 BE5:BH16 BO27:BP38 BT19:BW24 BM5:BP16 BT27:BW38 CA19:CD24 EZ19:FC24 CA27:CD38 CA5:CD16 CH19:CK24 BM27:BM38 BE27:BH38 CO27:CR38 CH5:CK16 CH27:CK38 CV26:CY38 CO19:CR24 CW25:CZ25 O41:R46 DC19:DF24 CV19:CY24 DJ5:DM16 DJ27:DM38 DJ19:DM24 DQ5:DT16 DQ27:DT38 DQ19:DT24 DX5:EA16 DX27:EA38 DX19:EA24 EE5:EH16 EE27:EH38 EE19:EH24 EL5:EO16 EL27:EO38 EL19:EO24 ES5:EV16 ES27:EV38 ES19:EV24 EZ5:FC16 EZ27:FC38 CV5:CY1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4" sqref="D4"/>
    </sheetView>
  </sheetViews>
  <sheetFormatPr baseColWidth="10"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42</v>
      </c>
      <c r="B1" s="17" t="s">
        <v>39</v>
      </c>
      <c r="C1" s="17" t="s">
        <v>40</v>
      </c>
      <c r="D1" s="17" t="s">
        <v>41</v>
      </c>
      <c r="E1" s="1" t="s">
        <v>43</v>
      </c>
      <c r="F1" s="1" t="s">
        <v>44</v>
      </c>
      <c r="G1" s="1" t="s">
        <v>45</v>
      </c>
      <c r="H1" s="1" t="s">
        <v>46</v>
      </c>
      <c r="I1" s="1" t="s">
        <v>47</v>
      </c>
      <c r="J1" s="1" t="s">
        <v>48</v>
      </c>
      <c r="K1" s="1" t="s">
        <v>49</v>
      </c>
    </row>
    <row r="2" spans="1:11" x14ac:dyDescent="0.2">
      <c r="A2" s="16">
        <v>44118</v>
      </c>
      <c r="D2" s="28"/>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1" priority="14" operator="equal">
      <formula>"Ja"</formula>
    </cfRule>
    <cfRule type="cellIs" dxfId="10" priority="15" operator="equal">
      <formula>"Nein"</formula>
    </cfRule>
  </conditionalFormatting>
  <conditionalFormatting sqref="B2:B46">
    <cfRule type="cellIs" dxfId="3" priority="4" operator="equal">
      <formula>"Ja"</formula>
    </cfRule>
  </conditionalFormatting>
  <conditionalFormatting sqref="C2:C46 D2">
    <cfRule type="cellIs" dxfId="2" priority="2" operator="equal">
      <formula>"Ja"</formula>
    </cfRule>
    <cfRule type="cellIs" dxfId="1" priority="3" operator="equal">
      <formula>"Nein"</formula>
    </cfRule>
  </conditionalFormatting>
  <conditionalFormatting sqref="C2:C46 D2">
    <cfRule type="cellIs" dxfId="0" priority="1" operator="equal">
      <formula>"Ja"</formula>
    </cfRule>
  </conditionalFormatting>
  <dataValidations count="1">
    <dataValidation type="list" allowBlank="1" showInputMessage="1" showErrorMessage="1" sqref="B2:C46 D2" xr:uid="{7FDD2772-70A7-4C43-8D43-0112E4DB6845}">
      <formula1>"Ja,Nein"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O44"/>
  <sheetViews>
    <sheetView workbookViewId="0">
      <selection activeCell="J14" sqref="J14:K18"/>
    </sheetView>
  </sheetViews>
  <sheetFormatPr baseColWidth="10" defaultColWidth="10.6640625" defaultRowHeight="16" x14ac:dyDescent="0.2"/>
  <cols>
    <col min="1" max="1" width="13.1640625" bestFit="1" customWidth="1"/>
  </cols>
  <sheetData>
    <row r="1" spans="1:15" ht="26" x14ac:dyDescent="0.3">
      <c r="B1" s="8" t="s">
        <v>25</v>
      </c>
    </row>
    <row r="4" spans="1:15" x14ac:dyDescent="0.2">
      <c r="B4" s="46" t="s">
        <v>4</v>
      </c>
      <c r="C4" s="46"/>
      <c r="D4" s="46" t="s">
        <v>5</v>
      </c>
      <c r="E4" s="46"/>
      <c r="F4" s="46" t="s">
        <v>6</v>
      </c>
      <c r="G4" s="46"/>
      <c r="H4" s="46" t="s">
        <v>7</v>
      </c>
      <c r="I4" s="46"/>
      <c r="J4" s="46" t="s">
        <v>10</v>
      </c>
      <c r="K4" s="46"/>
      <c r="L4" s="46" t="s">
        <v>8</v>
      </c>
      <c r="M4" s="46"/>
      <c r="N4" s="46" t="s">
        <v>9</v>
      </c>
      <c r="O4" s="46"/>
    </row>
    <row r="5" spans="1:15" x14ac:dyDescent="0.2">
      <c r="A5" s="10">
        <v>0.22916666666666699</v>
      </c>
      <c r="B5" s="23"/>
      <c r="C5" s="23"/>
      <c r="D5" s="24"/>
      <c r="E5" s="24"/>
      <c r="F5" s="24"/>
      <c r="G5" s="24"/>
      <c r="H5" s="24"/>
      <c r="I5" s="24"/>
      <c r="J5" s="11"/>
      <c r="K5" s="11"/>
      <c r="L5" s="11"/>
      <c r="M5" s="11"/>
      <c r="N5" s="11"/>
      <c r="O5" s="11"/>
    </row>
    <row r="6" spans="1:15" x14ac:dyDescent="0.2">
      <c r="A6" s="10">
        <v>0.25</v>
      </c>
      <c r="B6" s="45" t="s">
        <v>99</v>
      </c>
      <c r="C6" s="45"/>
      <c r="D6" s="45" t="s">
        <v>99</v>
      </c>
      <c r="E6" s="45"/>
      <c r="F6" s="45" t="s">
        <v>99</v>
      </c>
      <c r="G6" s="45"/>
      <c r="H6" s="45" t="s">
        <v>99</v>
      </c>
      <c r="I6" s="45"/>
      <c r="J6" s="45" t="s">
        <v>99</v>
      </c>
      <c r="K6" s="45"/>
      <c r="L6" s="45" t="s">
        <v>99</v>
      </c>
      <c r="M6" s="45"/>
      <c r="N6" s="45" t="s">
        <v>99</v>
      </c>
      <c r="O6" s="45"/>
    </row>
    <row r="7" spans="1:15" x14ac:dyDescent="0.2">
      <c r="A7" s="10">
        <v>0.27083333333333331</v>
      </c>
      <c r="B7" s="45"/>
      <c r="C7" s="45"/>
      <c r="D7" s="45"/>
      <c r="E7" s="45"/>
      <c r="F7" s="45"/>
      <c r="G7" s="45"/>
      <c r="H7" s="45"/>
      <c r="I7" s="45"/>
      <c r="J7" s="45"/>
      <c r="K7" s="45"/>
      <c r="L7" s="45"/>
      <c r="M7" s="45"/>
      <c r="N7" s="45"/>
      <c r="O7" s="45"/>
    </row>
    <row r="8" spans="1:15" x14ac:dyDescent="0.2">
      <c r="A8" s="10">
        <v>0.29166666666666669</v>
      </c>
      <c r="B8" s="45"/>
      <c r="C8" s="45"/>
      <c r="D8" s="45"/>
      <c r="E8" s="45"/>
      <c r="F8" s="45"/>
      <c r="G8" s="45"/>
      <c r="H8" s="45"/>
      <c r="I8" s="45"/>
      <c r="J8" s="45"/>
      <c r="K8" s="45"/>
      <c r="L8" s="45"/>
      <c r="M8" s="45"/>
      <c r="N8" s="45"/>
      <c r="O8" s="45"/>
    </row>
    <row r="9" spans="1:15" x14ac:dyDescent="0.2">
      <c r="A9" s="10">
        <v>0.3125</v>
      </c>
      <c r="B9" s="45"/>
      <c r="C9" s="45"/>
      <c r="D9" s="45"/>
      <c r="E9" s="45"/>
      <c r="F9" s="45"/>
      <c r="G9" s="45"/>
      <c r="H9" s="45"/>
      <c r="I9" s="45"/>
      <c r="J9" s="45"/>
      <c r="K9" s="45"/>
      <c r="L9" s="45"/>
      <c r="M9" s="45"/>
      <c r="N9" s="45"/>
      <c r="O9" s="45"/>
    </row>
    <row r="10" spans="1:15" x14ac:dyDescent="0.2">
      <c r="A10" s="10">
        <v>0.33333333333333331</v>
      </c>
      <c r="B10" s="23"/>
      <c r="C10" s="23"/>
      <c r="D10" s="24"/>
      <c r="E10" s="24"/>
      <c r="F10" s="24"/>
      <c r="G10" s="24"/>
      <c r="H10" s="24"/>
      <c r="I10" s="24"/>
      <c r="J10" s="11"/>
      <c r="K10" s="11"/>
      <c r="L10" s="11"/>
      <c r="M10" s="11"/>
      <c r="N10" s="11"/>
      <c r="O10" s="11"/>
    </row>
    <row r="11" spans="1:15" x14ac:dyDescent="0.2">
      <c r="A11" s="10">
        <v>0.35416666666666669</v>
      </c>
      <c r="B11" s="44" t="s">
        <v>100</v>
      </c>
      <c r="C11" s="44"/>
      <c r="D11" s="44" t="s">
        <v>100</v>
      </c>
      <c r="E11" s="44"/>
      <c r="F11" s="44" t="s">
        <v>100</v>
      </c>
      <c r="G11" s="44"/>
      <c r="H11" s="44" t="s">
        <v>100</v>
      </c>
      <c r="I11" s="44"/>
      <c r="J11" s="25"/>
      <c r="K11" s="25"/>
      <c r="L11" s="44" t="s">
        <v>100</v>
      </c>
      <c r="M11" s="44"/>
      <c r="N11" s="44" t="s">
        <v>100</v>
      </c>
      <c r="O11" s="44"/>
    </row>
    <row r="12" spans="1:15" x14ac:dyDescent="0.2">
      <c r="A12" s="10">
        <v>0.375</v>
      </c>
      <c r="B12" s="44"/>
      <c r="C12" s="44"/>
      <c r="D12" s="44"/>
      <c r="E12" s="44"/>
      <c r="F12" s="44"/>
      <c r="G12" s="44"/>
      <c r="H12" s="44"/>
      <c r="I12" s="44"/>
      <c r="J12" s="44" t="s">
        <v>100</v>
      </c>
      <c r="K12" s="44"/>
      <c r="L12" s="44"/>
      <c r="M12" s="44"/>
      <c r="N12" s="44"/>
      <c r="O12" s="44"/>
    </row>
    <row r="13" spans="1:15" x14ac:dyDescent="0.2">
      <c r="A13" s="10">
        <v>0.39583333333333331</v>
      </c>
      <c r="B13" s="41" t="s">
        <v>97</v>
      </c>
      <c r="C13" s="41"/>
      <c r="D13" s="31" t="s">
        <v>102</v>
      </c>
      <c r="E13" s="31"/>
      <c r="F13" s="31" t="s">
        <v>103</v>
      </c>
      <c r="G13" s="31"/>
      <c r="H13" s="31" t="s">
        <v>102</v>
      </c>
      <c r="I13" s="31"/>
      <c r="J13" s="44"/>
      <c r="K13" s="44"/>
      <c r="L13" s="25"/>
      <c r="M13" s="25"/>
      <c r="N13" s="41" t="s">
        <v>97</v>
      </c>
      <c r="O13" s="41"/>
    </row>
    <row r="14" spans="1:15" x14ac:dyDescent="0.2">
      <c r="A14" s="10">
        <v>0.41666666666666669</v>
      </c>
      <c r="B14" s="41"/>
      <c r="C14" s="41"/>
      <c r="D14" s="31"/>
      <c r="E14" s="31"/>
      <c r="F14" s="31"/>
      <c r="G14" s="31"/>
      <c r="H14" s="31"/>
      <c r="I14" s="31"/>
      <c r="J14" s="33" t="s">
        <v>101</v>
      </c>
      <c r="K14" s="33"/>
      <c r="L14" s="25"/>
      <c r="M14" s="25"/>
      <c r="N14" s="41"/>
      <c r="O14" s="41"/>
    </row>
    <row r="15" spans="1:15" x14ac:dyDescent="0.2">
      <c r="A15" s="10">
        <v>0.4375</v>
      </c>
      <c r="B15" s="41"/>
      <c r="C15" s="41"/>
      <c r="D15" s="31"/>
      <c r="E15" s="31"/>
      <c r="F15" s="31"/>
      <c r="G15" s="31"/>
      <c r="H15" s="31"/>
      <c r="I15" s="31"/>
      <c r="J15" s="33"/>
      <c r="K15" s="33"/>
      <c r="L15" s="25"/>
      <c r="M15" s="25"/>
      <c r="N15" s="41"/>
      <c r="O15" s="41"/>
    </row>
    <row r="16" spans="1:15" x14ac:dyDescent="0.2">
      <c r="A16" s="10">
        <v>0.45833333333333331</v>
      </c>
      <c r="B16" s="41"/>
      <c r="C16" s="41"/>
      <c r="D16" s="31"/>
      <c r="E16" s="31"/>
      <c r="F16" s="31"/>
      <c r="G16" s="31"/>
      <c r="H16" s="31"/>
      <c r="I16" s="31"/>
      <c r="J16" s="33"/>
      <c r="K16" s="33"/>
      <c r="L16" s="32" t="s">
        <v>104</v>
      </c>
      <c r="M16" s="32"/>
      <c r="O16" s="26"/>
    </row>
    <row r="17" spans="1:15" x14ac:dyDescent="0.2">
      <c r="A17" s="10">
        <v>0.47916666666666669</v>
      </c>
      <c r="B17" s="41"/>
      <c r="C17" s="41"/>
      <c r="D17" s="31"/>
      <c r="E17" s="31"/>
      <c r="F17" s="31"/>
      <c r="G17" s="31"/>
      <c r="H17" s="31"/>
      <c r="I17" s="31"/>
      <c r="J17" s="33"/>
      <c r="K17" s="33"/>
      <c r="L17" s="32"/>
      <c r="M17" s="32"/>
      <c r="N17" s="33" t="s">
        <v>101</v>
      </c>
      <c r="O17" s="33"/>
    </row>
    <row r="18" spans="1:15" x14ac:dyDescent="0.2">
      <c r="A18" s="10">
        <v>0.5</v>
      </c>
      <c r="B18" s="41"/>
      <c r="C18" s="41"/>
      <c r="D18" s="31"/>
      <c r="E18" s="31"/>
      <c r="F18" s="31"/>
      <c r="G18" s="31"/>
      <c r="H18" s="31"/>
      <c r="I18" s="31"/>
      <c r="J18" s="33"/>
      <c r="K18" s="33"/>
      <c r="L18" s="32"/>
      <c r="M18" s="32"/>
      <c r="N18" s="33"/>
      <c r="O18" s="33"/>
    </row>
    <row r="19" spans="1:15" x14ac:dyDescent="0.2">
      <c r="A19" s="10">
        <v>0.52083333333333337</v>
      </c>
      <c r="B19" s="31" t="s">
        <v>102</v>
      </c>
      <c r="C19" s="31"/>
      <c r="D19" s="32" t="s">
        <v>104</v>
      </c>
      <c r="E19" s="32"/>
      <c r="F19" s="38" t="s">
        <v>97</v>
      </c>
      <c r="G19" s="39"/>
      <c r="H19" s="42" t="s">
        <v>104</v>
      </c>
      <c r="I19" s="42"/>
      <c r="J19" s="32" t="s">
        <v>104</v>
      </c>
      <c r="K19" s="32"/>
      <c r="L19" s="32"/>
      <c r="M19" s="32"/>
      <c r="N19" s="33"/>
      <c r="O19" s="33"/>
    </row>
    <row r="20" spans="1:15" x14ac:dyDescent="0.2">
      <c r="A20" s="10">
        <v>0.54166666666666663</v>
      </c>
      <c r="B20" s="31"/>
      <c r="C20" s="31"/>
      <c r="D20" s="32"/>
      <c r="E20" s="32"/>
      <c r="F20" s="39"/>
      <c r="G20" s="39"/>
      <c r="H20" s="42"/>
      <c r="I20" s="42"/>
      <c r="J20" s="32"/>
      <c r="K20" s="32"/>
      <c r="L20" s="31" t="s">
        <v>102</v>
      </c>
      <c r="M20" s="31"/>
      <c r="N20" s="33"/>
      <c r="O20" s="33"/>
    </row>
    <row r="21" spans="1:15" x14ac:dyDescent="0.2">
      <c r="A21" s="10">
        <v>0.5625</v>
      </c>
      <c r="B21" s="31"/>
      <c r="C21" s="31"/>
      <c r="D21" s="32"/>
      <c r="E21" s="32"/>
      <c r="F21" s="39"/>
      <c r="G21" s="39"/>
      <c r="H21" s="42"/>
      <c r="I21" s="42"/>
      <c r="J21" s="32"/>
      <c r="K21" s="32"/>
      <c r="L21" s="31"/>
      <c r="M21" s="31"/>
      <c r="N21" s="31" t="s">
        <v>102</v>
      </c>
      <c r="O21" s="31"/>
    </row>
    <row r="22" spans="1:15" x14ac:dyDescent="0.2">
      <c r="A22" s="10">
        <v>0.58333333333333337</v>
      </c>
      <c r="B22" s="31"/>
      <c r="C22" s="31"/>
      <c r="D22" s="32"/>
      <c r="E22" s="32"/>
      <c r="F22" s="39"/>
      <c r="G22" s="39"/>
      <c r="H22" s="43"/>
      <c r="I22" s="43"/>
      <c r="J22" s="32"/>
      <c r="K22" s="32"/>
      <c r="L22" s="31"/>
      <c r="M22" s="31"/>
      <c r="N22" s="31"/>
      <c r="O22" s="31"/>
    </row>
    <row r="23" spans="1:15" x14ac:dyDescent="0.2">
      <c r="A23" s="10">
        <v>0.60416666666666663</v>
      </c>
      <c r="B23" s="31"/>
      <c r="C23" s="31"/>
      <c r="D23" s="40" t="s">
        <v>105</v>
      </c>
      <c r="E23" s="40"/>
      <c r="F23" s="40" t="s">
        <v>105</v>
      </c>
      <c r="G23" s="40"/>
      <c r="H23" s="40" t="s">
        <v>105</v>
      </c>
      <c r="I23" s="40"/>
      <c r="J23" s="41" t="s">
        <v>97</v>
      </c>
      <c r="K23" s="41"/>
      <c r="L23" s="31"/>
      <c r="M23" s="31"/>
      <c r="N23" s="31"/>
      <c r="O23" s="31"/>
    </row>
    <row r="24" spans="1:15" x14ac:dyDescent="0.2">
      <c r="A24" s="10">
        <v>0.625</v>
      </c>
      <c r="B24" s="35" t="s">
        <v>105</v>
      </c>
      <c r="C24" s="35"/>
      <c r="D24" s="40"/>
      <c r="E24" s="40"/>
      <c r="F24" s="40"/>
      <c r="G24" s="40"/>
      <c r="H24" s="40"/>
      <c r="I24" s="40"/>
      <c r="J24" s="41"/>
      <c r="K24" s="41"/>
      <c r="L24" s="35" t="s">
        <v>105</v>
      </c>
      <c r="M24" s="35"/>
      <c r="N24" s="35" t="s">
        <v>105</v>
      </c>
      <c r="O24" s="35"/>
    </row>
    <row r="25" spans="1:15" x14ac:dyDescent="0.2">
      <c r="A25" s="10">
        <v>0.64583333333333337</v>
      </c>
      <c r="B25" s="35"/>
      <c r="C25" s="35"/>
      <c r="D25" s="34" t="s">
        <v>102</v>
      </c>
      <c r="E25" s="34"/>
      <c r="F25" s="36" t="s">
        <v>104</v>
      </c>
      <c r="G25" s="36"/>
      <c r="H25" s="34" t="s">
        <v>102</v>
      </c>
      <c r="I25" s="34"/>
      <c r="J25" s="41"/>
      <c r="K25" s="41"/>
      <c r="L25" s="35"/>
      <c r="M25" s="35"/>
      <c r="N25" s="35"/>
      <c r="O25" s="35"/>
    </row>
    <row r="26" spans="1:15" x14ac:dyDescent="0.2">
      <c r="A26" s="10">
        <v>0.66666666666666663</v>
      </c>
      <c r="B26" s="33" t="s">
        <v>101</v>
      </c>
      <c r="C26" s="33"/>
      <c r="D26" s="34"/>
      <c r="E26" s="34"/>
      <c r="F26" s="36"/>
      <c r="G26" s="36"/>
      <c r="H26" s="34"/>
      <c r="I26" s="34"/>
      <c r="J26" s="41"/>
      <c r="K26" s="41"/>
      <c r="L26" s="31" t="s">
        <v>102</v>
      </c>
      <c r="M26" s="31"/>
      <c r="N26" s="11"/>
      <c r="O26" s="11"/>
    </row>
    <row r="27" spans="1:15" x14ac:dyDescent="0.2">
      <c r="A27" s="10">
        <v>0.6875</v>
      </c>
      <c r="B27" s="33"/>
      <c r="C27" s="33"/>
      <c r="D27" s="34"/>
      <c r="E27" s="34"/>
      <c r="F27" s="36"/>
      <c r="G27" s="36"/>
      <c r="H27" s="34"/>
      <c r="I27" s="34"/>
      <c r="J27" s="35" t="s">
        <v>106</v>
      </c>
      <c r="K27" s="35"/>
      <c r="L27" s="31"/>
      <c r="M27" s="31"/>
      <c r="N27" s="32" t="s">
        <v>104</v>
      </c>
      <c r="O27" s="32"/>
    </row>
    <row r="28" spans="1:15" x14ac:dyDescent="0.2">
      <c r="A28" s="10">
        <v>0.70833333333333337</v>
      </c>
      <c r="B28" s="33"/>
      <c r="C28" s="33"/>
      <c r="D28" s="34"/>
      <c r="E28" s="34"/>
      <c r="F28" s="36"/>
      <c r="G28" s="36"/>
      <c r="H28" s="34"/>
      <c r="I28" s="34"/>
      <c r="J28" s="35"/>
      <c r="K28" s="35"/>
      <c r="L28" s="31"/>
      <c r="M28" s="31"/>
      <c r="N28" s="32"/>
      <c r="O28" s="32"/>
    </row>
    <row r="29" spans="1:15" x14ac:dyDescent="0.2">
      <c r="A29" s="10">
        <v>0.72916666666666663</v>
      </c>
      <c r="B29" s="33"/>
      <c r="C29" s="33"/>
      <c r="D29" s="24"/>
      <c r="E29" s="24"/>
      <c r="F29" s="24"/>
      <c r="G29" s="24"/>
      <c r="H29" s="24"/>
      <c r="I29" s="24"/>
      <c r="J29" s="35"/>
      <c r="K29" s="35"/>
      <c r="L29" s="31"/>
      <c r="M29" s="31"/>
      <c r="N29" s="32"/>
      <c r="O29" s="32"/>
    </row>
    <row r="30" spans="1:15" x14ac:dyDescent="0.2">
      <c r="A30" s="10">
        <v>0.75</v>
      </c>
      <c r="B30" s="32" t="s">
        <v>104</v>
      </c>
      <c r="C30" s="32"/>
      <c r="D30" s="36" t="s">
        <v>104</v>
      </c>
      <c r="E30" s="36"/>
      <c r="F30" s="37" t="s">
        <v>107</v>
      </c>
      <c r="G30" s="37"/>
      <c r="H30" s="34" t="s">
        <v>102</v>
      </c>
      <c r="I30" s="34"/>
      <c r="J30" s="11"/>
      <c r="K30" s="11"/>
      <c r="L30" s="11"/>
      <c r="M30" s="11"/>
      <c r="N30" s="32"/>
      <c r="O30" s="32"/>
    </row>
    <row r="31" spans="1:15" x14ac:dyDescent="0.2">
      <c r="A31" s="10">
        <v>0.77083333333333337</v>
      </c>
      <c r="B31" s="32"/>
      <c r="C31" s="32"/>
      <c r="D31" s="36"/>
      <c r="E31" s="36"/>
      <c r="F31" s="37"/>
      <c r="G31" s="37"/>
      <c r="H31" s="34"/>
      <c r="I31" s="34"/>
      <c r="J31" s="11"/>
      <c r="K31" s="11"/>
      <c r="L31" s="11"/>
      <c r="M31" s="11"/>
      <c r="N31" s="31" t="s">
        <v>102</v>
      </c>
      <c r="O31" s="31"/>
    </row>
    <row r="32" spans="1:15" x14ac:dyDescent="0.2">
      <c r="A32" s="10">
        <v>0.79166666666666663</v>
      </c>
      <c r="B32" s="32"/>
      <c r="C32" s="32"/>
      <c r="D32" s="36"/>
      <c r="E32" s="36"/>
      <c r="F32" s="37"/>
      <c r="G32" s="37"/>
      <c r="H32" s="34"/>
      <c r="I32" s="34"/>
      <c r="J32" s="11"/>
      <c r="K32" s="11"/>
      <c r="L32" s="11"/>
      <c r="M32" s="11"/>
      <c r="N32" s="31"/>
      <c r="O32" s="31"/>
    </row>
    <row r="33" spans="1:15" x14ac:dyDescent="0.2">
      <c r="A33" s="10">
        <v>0.8125</v>
      </c>
      <c r="B33" s="32"/>
      <c r="C33" s="32"/>
      <c r="D33" s="36"/>
      <c r="E33" s="36"/>
      <c r="F33" s="37"/>
      <c r="G33" s="37"/>
      <c r="H33" s="34"/>
      <c r="I33" s="34"/>
      <c r="J33" s="11"/>
      <c r="K33" s="11"/>
      <c r="L33" s="11"/>
      <c r="M33" s="11"/>
      <c r="N33" s="31"/>
      <c r="O33" s="31"/>
    </row>
    <row r="34" spans="1:15" x14ac:dyDescent="0.2">
      <c r="A34" s="10">
        <v>0.83333333333333337</v>
      </c>
      <c r="B34" s="23"/>
      <c r="C34" s="23"/>
      <c r="D34" s="27"/>
      <c r="E34" s="27"/>
      <c r="F34" s="24"/>
      <c r="G34" s="24"/>
      <c r="H34" s="24"/>
      <c r="I34" s="24"/>
      <c r="J34" s="11"/>
      <c r="K34" s="11"/>
      <c r="L34" s="11"/>
      <c r="M34" s="11"/>
      <c r="N34" s="31"/>
      <c r="O34" s="31"/>
    </row>
    <row r="35" spans="1:15" x14ac:dyDescent="0.2">
      <c r="A35" s="10">
        <v>0.85416666666666663</v>
      </c>
      <c r="B35" s="23"/>
      <c r="C35" s="23"/>
      <c r="D35" s="24"/>
      <c r="E35" s="24"/>
      <c r="F35" s="24"/>
      <c r="G35" s="24"/>
      <c r="H35" s="24"/>
      <c r="I35" s="24"/>
      <c r="J35" s="11"/>
      <c r="K35" s="11"/>
      <c r="L35" s="11"/>
      <c r="M35" s="11"/>
      <c r="N35" s="11"/>
      <c r="O35" s="11"/>
    </row>
    <row r="36" spans="1:15" x14ac:dyDescent="0.2">
      <c r="A36" s="10">
        <v>0.875</v>
      </c>
      <c r="B36" s="23"/>
      <c r="C36" s="23"/>
      <c r="D36" s="24"/>
      <c r="E36" s="24"/>
      <c r="F36" s="24"/>
      <c r="G36" s="24"/>
      <c r="H36" s="24"/>
      <c r="I36" s="24"/>
      <c r="J36" s="11"/>
      <c r="K36" s="11"/>
      <c r="L36" s="11"/>
      <c r="M36" s="11"/>
      <c r="N36" s="11"/>
      <c r="O36" s="11"/>
    </row>
    <row r="37" spans="1:15" x14ac:dyDescent="0.2">
      <c r="A37" s="10">
        <v>0.89583333333333337</v>
      </c>
      <c r="B37" s="23"/>
      <c r="C37" s="23"/>
      <c r="D37" s="24"/>
      <c r="E37" s="24"/>
      <c r="F37" s="24"/>
      <c r="G37" s="24"/>
      <c r="H37" s="24"/>
      <c r="I37" s="24"/>
      <c r="J37" s="11"/>
      <c r="K37" s="11"/>
      <c r="L37" s="11"/>
      <c r="M37" s="11"/>
      <c r="N37" s="11"/>
      <c r="O37" s="11"/>
    </row>
    <row r="38" spans="1:15" x14ac:dyDescent="0.2">
      <c r="A38" s="10">
        <v>0.91666666666666663</v>
      </c>
      <c r="B38" s="23"/>
      <c r="C38" s="23"/>
      <c r="D38" s="24"/>
      <c r="E38" s="24"/>
      <c r="F38" s="24"/>
      <c r="G38" s="24"/>
      <c r="H38" s="24"/>
      <c r="I38" s="24"/>
      <c r="J38" s="11"/>
      <c r="K38" s="11"/>
      <c r="L38" s="11"/>
      <c r="M38" s="11"/>
      <c r="N38" s="11"/>
      <c r="O38" s="11"/>
    </row>
    <row r="39" spans="1:15" x14ac:dyDescent="0.2">
      <c r="A39" s="10">
        <v>0.9375</v>
      </c>
      <c r="B39" s="23"/>
      <c r="C39" s="23"/>
      <c r="D39" s="24"/>
      <c r="E39" s="24"/>
      <c r="F39" s="24"/>
      <c r="G39" s="24"/>
      <c r="H39" s="24"/>
      <c r="I39" s="24"/>
      <c r="J39" s="11"/>
      <c r="K39" s="11"/>
      <c r="L39" s="11"/>
      <c r="M39" s="11"/>
      <c r="N39" s="11"/>
      <c r="O39" s="11"/>
    </row>
    <row r="40" spans="1:15" x14ac:dyDescent="0.2">
      <c r="A40" s="10">
        <v>0.95833333333333337</v>
      </c>
      <c r="B40" s="23"/>
      <c r="C40" s="23"/>
      <c r="D40" s="24"/>
      <c r="E40" s="24"/>
      <c r="F40" s="24"/>
      <c r="G40" s="24"/>
      <c r="H40" s="24"/>
      <c r="I40" s="24"/>
      <c r="J40" s="11"/>
      <c r="K40" s="11"/>
      <c r="L40" s="11"/>
      <c r="M40" s="11"/>
      <c r="N40" s="11"/>
      <c r="O40" s="11"/>
    </row>
    <row r="41" spans="1:15" x14ac:dyDescent="0.2">
      <c r="A41" s="10">
        <v>0.97916666666666663</v>
      </c>
      <c r="B41" s="23"/>
      <c r="C41" s="23"/>
      <c r="D41" s="24"/>
      <c r="E41" s="24"/>
      <c r="F41" s="24"/>
      <c r="G41" s="24"/>
      <c r="H41" s="24"/>
      <c r="I41" s="24"/>
      <c r="J41" s="11"/>
      <c r="K41" s="11"/>
      <c r="L41" s="11"/>
      <c r="M41" s="11"/>
      <c r="N41" s="11"/>
      <c r="O41" s="11"/>
    </row>
    <row r="42" spans="1:15" x14ac:dyDescent="0.2">
      <c r="A42" s="10">
        <v>1</v>
      </c>
      <c r="B42" s="23"/>
      <c r="C42" s="23"/>
      <c r="D42" s="24"/>
      <c r="E42" s="24"/>
      <c r="F42" s="24"/>
      <c r="G42" s="24"/>
      <c r="H42" s="24"/>
      <c r="I42" s="24"/>
      <c r="J42" s="11"/>
      <c r="K42" s="11"/>
      <c r="L42" s="11"/>
      <c r="M42" s="11"/>
      <c r="N42" s="11"/>
      <c r="O42" s="11"/>
    </row>
    <row r="43" spans="1:15" x14ac:dyDescent="0.2">
      <c r="A43" s="10"/>
    </row>
    <row r="44" spans="1:15" x14ac:dyDescent="0.2">
      <c r="A44" s="22"/>
    </row>
  </sheetData>
  <mergeCells count="55">
    <mergeCell ref="N4:O4"/>
    <mergeCell ref="B6:C9"/>
    <mergeCell ref="D6:E9"/>
    <mergeCell ref="B4:C4"/>
    <mergeCell ref="D4:E4"/>
    <mergeCell ref="F4:G4"/>
    <mergeCell ref="H4:I4"/>
    <mergeCell ref="J4:K4"/>
    <mergeCell ref="L4:M4"/>
    <mergeCell ref="F6:G9"/>
    <mergeCell ref="H6:I9"/>
    <mergeCell ref="J6:K9"/>
    <mergeCell ref="L6:M9"/>
    <mergeCell ref="N6:O9"/>
    <mergeCell ref="D13:E18"/>
    <mergeCell ref="F13:G18"/>
    <mergeCell ref="L16:M19"/>
    <mergeCell ref="N11:O12"/>
    <mergeCell ref="B13:C18"/>
    <mergeCell ref="B11:C12"/>
    <mergeCell ref="D11:E12"/>
    <mergeCell ref="F11:G12"/>
    <mergeCell ref="H11:I12"/>
    <mergeCell ref="N13:O15"/>
    <mergeCell ref="H13:I18"/>
    <mergeCell ref="J14:K18"/>
    <mergeCell ref="J12:K13"/>
    <mergeCell ref="L11:M12"/>
    <mergeCell ref="J19:K22"/>
    <mergeCell ref="J23:K26"/>
    <mergeCell ref="H19:I22"/>
    <mergeCell ref="H23:I24"/>
    <mergeCell ref="J27:K29"/>
    <mergeCell ref="D25:E28"/>
    <mergeCell ref="H25:I28"/>
    <mergeCell ref="F19:G22"/>
    <mergeCell ref="D19:E22"/>
    <mergeCell ref="D23:E24"/>
    <mergeCell ref="F23:G24"/>
    <mergeCell ref="N21:O23"/>
    <mergeCell ref="N27:O30"/>
    <mergeCell ref="B26:C29"/>
    <mergeCell ref="H30:I33"/>
    <mergeCell ref="N31:O34"/>
    <mergeCell ref="N24:O25"/>
    <mergeCell ref="B30:C33"/>
    <mergeCell ref="D30:E33"/>
    <mergeCell ref="F30:G33"/>
    <mergeCell ref="L20:M23"/>
    <mergeCell ref="L24:M25"/>
    <mergeCell ref="L26:M29"/>
    <mergeCell ref="B24:C25"/>
    <mergeCell ref="B19:C23"/>
    <mergeCell ref="F25:G28"/>
    <mergeCell ref="N17:O20"/>
  </mergeCells>
  <phoneticPr fontId="6"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2021-10-24T13:07:46Z</dcterms:modified>
</cp:coreProperties>
</file>