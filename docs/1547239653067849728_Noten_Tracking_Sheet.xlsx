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thomasbartmann/Documents/Pumpkin/Noten/"/>
    </mc:Choice>
  </mc:AlternateContent>
  <xr:revisionPtr revIDLastSave="0" documentId="13_ncr:1_{D6B0A519-43FC-3F4E-AEC5-A9323EB159F8}" xr6:coauthVersionLast="47" xr6:coauthVersionMax="47" xr10:uidLastSave="{00000000-0000-0000-0000-000000000000}"/>
  <bookViews>
    <workbookView xWindow="0" yWindow="660" windowWidth="30240" windowHeight="17920" activeTab="1" xr2:uid="{00000000-000D-0000-FFFF-FFFF00000000}"/>
  </bookViews>
  <sheets>
    <sheet name="ANLEITUNG" sheetId="1" r:id="rId1"/>
    <sheet name="Semesterplan" sheetId="2" r:id="rId2"/>
    <sheet name="Best-Practices" sheetId="3" r:id="rId3"/>
    <sheet name="COMMITTMENT" sheetId="4" r:id="rId4"/>
    <sheet name="Wochenplan KW 372026" sheetId="5" r:id="rId5"/>
    <sheet name="Wochenplan KW 382026"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 i="2" l="1" a="1"/>
  <c r="K64" i="2" s="1"/>
  <c r="J64" i="2" a="1"/>
  <c r="J64" i="2" s="1"/>
  <c r="I64" i="2"/>
  <c r="DV56" i="2"/>
  <c r="DV40" i="2"/>
  <c r="DV28" i="2"/>
  <c r="DV16" i="2"/>
  <c r="DV4" i="2"/>
  <c r="A47" i="4"/>
  <c r="A35" i="4"/>
  <c r="M1" i="4"/>
  <c r="A51" i="4" s="1"/>
  <c r="K66" i="2" a="1"/>
  <c r="K66" i="2" s="1"/>
  <c r="J66" i="2" a="1"/>
  <c r="J66" i="2" s="1"/>
  <c r="I66" i="2"/>
  <c r="G66" i="2"/>
  <c r="K65" i="2" a="1"/>
  <c r="K65" i="2" s="1"/>
  <c r="J65" i="2" a="1"/>
  <c r="J65" i="2" s="1"/>
  <c r="I65" i="2"/>
  <c r="G65" i="2"/>
  <c r="K63" i="2" a="1"/>
  <c r="K63" i="2" s="1"/>
  <c r="J63" i="2" a="1"/>
  <c r="J63" i="2" s="1"/>
  <c r="I63" i="2"/>
  <c r="G63" i="2"/>
  <c r="K62" i="2" a="1"/>
  <c r="K62" i="2" s="1"/>
  <c r="J62" i="2" a="1"/>
  <c r="J62" i="2" s="1"/>
  <c r="I62" i="2"/>
  <c r="G62" i="2"/>
  <c r="K61" i="2" a="1"/>
  <c r="K61" i="2" s="1"/>
  <c r="J61" i="2" a="1"/>
  <c r="J61" i="2" s="1"/>
  <c r="I61" i="2"/>
  <c r="G61" i="2"/>
  <c r="K60" i="2" a="1"/>
  <c r="K60" i="2" s="1"/>
  <c r="J60" i="2" a="1"/>
  <c r="J60" i="2" s="1"/>
  <c r="I60" i="2"/>
  <c r="G60" i="2"/>
  <c r="K59" i="2" a="1"/>
  <c r="K59" i="2" s="1"/>
  <c r="J59" i="2" a="1"/>
  <c r="J59" i="2" s="1"/>
  <c r="I59" i="2"/>
  <c r="G59" i="2"/>
  <c r="K58" i="2" a="1"/>
  <c r="K58" i="2" s="1"/>
  <c r="J58" i="2" a="1"/>
  <c r="J58" i="2" s="1"/>
  <c r="I58" i="2"/>
  <c r="G58" i="2"/>
  <c r="C58" i="2"/>
  <c r="C60" i="2" s="1"/>
  <c r="K57" i="2" a="1"/>
  <c r="K57" i="2" s="1"/>
  <c r="J57" i="2" a="1"/>
  <c r="J57" i="2" s="1"/>
  <c r="I57" i="2"/>
  <c r="C57" i="2"/>
  <c r="DO56" i="2"/>
  <c r="DH56" i="2"/>
  <c r="DA56" i="2"/>
  <c r="CT56" i="2"/>
  <c r="CM56" i="2"/>
  <c r="CF56" i="2"/>
  <c r="BY56" i="2"/>
  <c r="BR56" i="2"/>
  <c r="BK56" i="2"/>
  <c r="BD56" i="2"/>
  <c r="AW56" i="2"/>
  <c r="AP56" i="2"/>
  <c r="AI56" i="2"/>
  <c r="AB56" i="2"/>
  <c r="U56" i="2"/>
  <c r="N56" i="2"/>
  <c r="K54" i="2" a="1"/>
  <c r="K54" i="2" s="1"/>
  <c r="J54" i="2" a="1"/>
  <c r="J54" i="2" s="1"/>
  <c r="I54" i="2"/>
  <c r="K53" i="2" a="1"/>
  <c r="K53" i="2" s="1"/>
  <c r="J53" i="2" a="1"/>
  <c r="J53" i="2" s="1"/>
  <c r="I53" i="2"/>
  <c r="K52" i="2" a="1"/>
  <c r="K52" i="2" s="1"/>
  <c r="J52" i="2" a="1"/>
  <c r="J52" i="2" s="1"/>
  <c r="I52" i="2"/>
  <c r="K51" i="2" a="1"/>
  <c r="K51" i="2" s="1"/>
  <c r="J51" i="2" a="1"/>
  <c r="J51" i="2" s="1"/>
  <c r="I51" i="2"/>
  <c r="K50" i="2" a="1"/>
  <c r="K50" i="2" s="1"/>
  <c r="J50" i="2" a="1"/>
  <c r="J50" i="2" s="1"/>
  <c r="I50" i="2"/>
  <c r="K49" i="2" a="1"/>
  <c r="K49" i="2" s="1"/>
  <c r="J49" i="2" a="1"/>
  <c r="J49" i="2" s="1"/>
  <c r="I49" i="2"/>
  <c r="K48" i="2" a="1"/>
  <c r="K48" i="2" s="1"/>
  <c r="J48" i="2" a="1"/>
  <c r="J48" i="2" s="1"/>
  <c r="I48" i="2"/>
  <c r="K47" i="2" a="1"/>
  <c r="K47" i="2" s="1"/>
  <c r="J47" i="2" a="1"/>
  <c r="J47" i="2" s="1"/>
  <c r="I47" i="2"/>
  <c r="K46" i="2" a="1"/>
  <c r="K46" i="2" s="1"/>
  <c r="J46" i="2" a="1"/>
  <c r="J46" i="2" s="1"/>
  <c r="I46" i="2"/>
  <c r="K45" i="2" a="1"/>
  <c r="K45" i="2" s="1"/>
  <c r="J45" i="2" a="1"/>
  <c r="J45" i="2" s="1"/>
  <c r="I45" i="2"/>
  <c r="K44" i="2" a="1"/>
  <c r="K44" i="2" s="1"/>
  <c r="J44" i="2" a="1"/>
  <c r="J44" i="2" s="1"/>
  <c r="I44" i="2"/>
  <c r="K43" i="2" a="1"/>
  <c r="K43" i="2" s="1"/>
  <c r="J43" i="2" a="1"/>
  <c r="J43" i="2" s="1"/>
  <c r="I43" i="2"/>
  <c r="K42" i="2" a="1"/>
  <c r="K42" i="2" s="1"/>
  <c r="J42" i="2" a="1"/>
  <c r="J42" i="2" s="1"/>
  <c r="I42" i="2"/>
  <c r="C42" i="2"/>
  <c r="C44" i="2" s="1"/>
  <c r="C45" i="2" s="1"/>
  <c r="K41" i="2" a="1"/>
  <c r="K41" i="2" s="1"/>
  <c r="J41" i="2" a="1"/>
  <c r="J41" i="2" s="1"/>
  <c r="I41" i="2"/>
  <c r="G41" i="2"/>
  <c r="G48" i="2" s="1"/>
  <c r="C41" i="2"/>
  <c r="DO40" i="2"/>
  <c r="DH40" i="2"/>
  <c r="DA40" i="2"/>
  <c r="CT40" i="2"/>
  <c r="CM40" i="2"/>
  <c r="CF40" i="2"/>
  <c r="BY40" i="2"/>
  <c r="BR40" i="2"/>
  <c r="BK40" i="2"/>
  <c r="BD40" i="2"/>
  <c r="AW40" i="2"/>
  <c r="AP40" i="2"/>
  <c r="AI40" i="2"/>
  <c r="AB40" i="2"/>
  <c r="U40" i="2"/>
  <c r="N40" i="2"/>
  <c r="K38" i="2" a="1"/>
  <c r="K38" i="2" s="1"/>
  <c r="J38" i="2" a="1"/>
  <c r="J38" i="2" s="1"/>
  <c r="I38" i="2"/>
  <c r="K37" i="2" a="1"/>
  <c r="K37" i="2" s="1"/>
  <c r="J37" i="2" a="1"/>
  <c r="J37" i="2" s="1"/>
  <c r="I37" i="2"/>
  <c r="K36" i="2" a="1"/>
  <c r="K36" i="2" s="1"/>
  <c r="J36" i="2" a="1"/>
  <c r="J36" i="2" s="1"/>
  <c r="I36" i="2"/>
  <c r="K35" i="2" a="1"/>
  <c r="K35" i="2" s="1"/>
  <c r="J35" i="2" a="1"/>
  <c r="J35" i="2" s="1"/>
  <c r="I35" i="2"/>
  <c r="K34" i="2" a="1"/>
  <c r="K34" i="2" s="1"/>
  <c r="J34" i="2" a="1"/>
  <c r="J34" i="2" s="1"/>
  <c r="I34" i="2"/>
  <c r="K33" i="2" a="1"/>
  <c r="K33" i="2" s="1"/>
  <c r="J33" i="2" a="1"/>
  <c r="J33" i="2" s="1"/>
  <c r="I33" i="2"/>
  <c r="K32" i="2" a="1"/>
  <c r="K32" i="2" s="1"/>
  <c r="J32" i="2" a="1"/>
  <c r="J32" i="2" s="1"/>
  <c r="I32" i="2"/>
  <c r="K31" i="2" a="1"/>
  <c r="K31" i="2" s="1"/>
  <c r="J31" i="2" a="1"/>
  <c r="J31" i="2" s="1"/>
  <c r="I31" i="2"/>
  <c r="K30" i="2" a="1"/>
  <c r="K30" i="2" s="1"/>
  <c r="J30" i="2" a="1"/>
  <c r="J30" i="2" s="1"/>
  <c r="I30" i="2"/>
  <c r="C30" i="2"/>
  <c r="C31" i="2" s="1"/>
  <c r="K29" i="2" a="1"/>
  <c r="K29" i="2" s="1"/>
  <c r="J29" i="2" a="1"/>
  <c r="J29" i="2" s="1"/>
  <c r="I29" i="2"/>
  <c r="G29" i="2"/>
  <c r="G36" i="2" s="1"/>
  <c r="C29" i="2"/>
  <c r="DO28" i="2"/>
  <c r="DH28" i="2"/>
  <c r="DA28" i="2"/>
  <c r="CT28" i="2"/>
  <c r="CM28" i="2"/>
  <c r="CF28" i="2"/>
  <c r="BY28" i="2"/>
  <c r="BR28" i="2"/>
  <c r="BK28" i="2"/>
  <c r="BD28" i="2"/>
  <c r="AW28" i="2"/>
  <c r="AP28" i="2"/>
  <c r="AI28" i="2"/>
  <c r="AB28" i="2"/>
  <c r="U28" i="2"/>
  <c r="N28" i="2"/>
  <c r="K26" i="2" a="1"/>
  <c r="K26" i="2" s="1"/>
  <c r="J26" i="2" a="1"/>
  <c r="J26" i="2" s="1"/>
  <c r="I26" i="2"/>
  <c r="K25" i="2" a="1"/>
  <c r="K25" i="2" s="1"/>
  <c r="J25" i="2" a="1"/>
  <c r="J25" i="2" s="1"/>
  <c r="I25" i="2"/>
  <c r="K24" i="2" a="1"/>
  <c r="K24" i="2" s="1"/>
  <c r="J24" i="2" a="1"/>
  <c r="J24" i="2" s="1"/>
  <c r="I24" i="2"/>
  <c r="K23" i="2" a="1"/>
  <c r="K23" i="2" s="1"/>
  <c r="J23" i="2" a="1"/>
  <c r="J23" i="2" s="1"/>
  <c r="I23" i="2"/>
  <c r="K22" i="2" a="1"/>
  <c r="K22" i="2" s="1"/>
  <c r="J22" i="2" a="1"/>
  <c r="J22" i="2" s="1"/>
  <c r="I22" i="2"/>
  <c r="K21" i="2" a="1"/>
  <c r="K21" i="2" s="1"/>
  <c r="J21" i="2" a="1"/>
  <c r="J21" i="2" s="1"/>
  <c r="I21" i="2"/>
  <c r="K20" i="2" a="1"/>
  <c r="K20" i="2" s="1"/>
  <c r="J20" i="2" a="1"/>
  <c r="J20" i="2" s="1"/>
  <c r="I20" i="2"/>
  <c r="K19" i="2" a="1"/>
  <c r="K19" i="2" s="1"/>
  <c r="J19" i="2" a="1"/>
  <c r="J19" i="2" s="1"/>
  <c r="I19" i="2"/>
  <c r="K18" i="2" a="1"/>
  <c r="K18" i="2" s="1"/>
  <c r="J18" i="2" a="1"/>
  <c r="J18" i="2" s="1"/>
  <c r="I18" i="2"/>
  <c r="C18" i="2"/>
  <c r="C19" i="2" s="1"/>
  <c r="K17" i="2" a="1"/>
  <c r="K17" i="2" s="1"/>
  <c r="J17" i="2" a="1"/>
  <c r="J17" i="2" s="1"/>
  <c r="I17" i="2"/>
  <c r="G17" i="2"/>
  <c r="G24" i="2" s="1"/>
  <c r="C17" i="2"/>
  <c r="DO16" i="2"/>
  <c r="DH16" i="2"/>
  <c r="DA16" i="2"/>
  <c r="CT16" i="2"/>
  <c r="CM16" i="2"/>
  <c r="CF16" i="2"/>
  <c r="BY16" i="2"/>
  <c r="BR16" i="2"/>
  <c r="BK16" i="2"/>
  <c r="BD16" i="2"/>
  <c r="AW16" i="2"/>
  <c r="AP16" i="2"/>
  <c r="AI16" i="2"/>
  <c r="AB16" i="2"/>
  <c r="U16" i="2"/>
  <c r="N16" i="2"/>
  <c r="K14" i="2" a="1"/>
  <c r="K14" i="2" s="1"/>
  <c r="J14" i="2" a="1"/>
  <c r="J14" i="2" s="1"/>
  <c r="I14" i="2"/>
  <c r="K13" i="2" a="1"/>
  <c r="K13" i="2" s="1"/>
  <c r="J13" i="2" a="1"/>
  <c r="J13" i="2" s="1"/>
  <c r="I13" i="2"/>
  <c r="K12" i="2" a="1"/>
  <c r="K12" i="2" s="1"/>
  <c r="J12" i="2" a="1"/>
  <c r="J12" i="2" s="1"/>
  <c r="I12" i="2"/>
  <c r="K11" i="2" a="1"/>
  <c r="K11" i="2" s="1"/>
  <c r="J11" i="2" a="1"/>
  <c r="J11" i="2" s="1"/>
  <c r="I11" i="2"/>
  <c r="K10" i="2" a="1"/>
  <c r="K10" i="2" s="1"/>
  <c r="J10" i="2" a="1"/>
  <c r="J10" i="2" s="1"/>
  <c r="I10" i="2"/>
  <c r="K9" i="2" a="1"/>
  <c r="K9" i="2" s="1"/>
  <c r="J9" i="2" a="1"/>
  <c r="J9" i="2" s="1"/>
  <c r="I9" i="2"/>
  <c r="K8" i="2" a="1"/>
  <c r="K8" i="2" s="1"/>
  <c r="J8" i="2" a="1"/>
  <c r="J8" i="2" s="1"/>
  <c r="I8" i="2"/>
  <c r="K7" i="2" a="1"/>
  <c r="K7" i="2" s="1"/>
  <c r="J7" i="2" a="1"/>
  <c r="J7" i="2" s="1"/>
  <c r="I7" i="2"/>
  <c r="K6" i="2" a="1"/>
  <c r="K6" i="2" s="1"/>
  <c r="J6" i="2" a="1"/>
  <c r="J6" i="2" s="1"/>
  <c r="I6" i="2"/>
  <c r="C6" i="2"/>
  <c r="C7" i="2" s="1"/>
  <c r="K5" i="2" a="1"/>
  <c r="K5" i="2" s="1"/>
  <c r="J5" i="2" a="1"/>
  <c r="J5" i="2" s="1"/>
  <c r="I5" i="2"/>
  <c r="G5" i="2"/>
  <c r="G12" i="2" s="1"/>
  <c r="C5" i="2"/>
  <c r="DO4" i="2"/>
  <c r="DH4" i="2"/>
  <c r="DA4" i="2"/>
  <c r="CT4" i="2"/>
  <c r="CM4" i="2"/>
  <c r="CF4" i="2"/>
  <c r="BY4" i="2"/>
  <c r="BR4" i="2"/>
  <c r="BK4" i="2"/>
  <c r="BD4" i="2"/>
  <c r="AW4" i="2"/>
  <c r="AP4" i="2"/>
  <c r="AI4" i="2"/>
  <c r="AB4" i="2"/>
  <c r="U4" i="2"/>
  <c r="N4" i="2"/>
  <c r="C12" i="1"/>
  <c r="C8" i="2" l="1"/>
  <c r="C9" i="2" s="1"/>
  <c r="A19" i="4"/>
  <c r="A48" i="4"/>
  <c r="A33" i="4"/>
  <c r="C59" i="2"/>
  <c r="A5" i="4"/>
  <c r="A6" i="4"/>
  <c r="A18" i="4"/>
  <c r="C20" i="2"/>
  <c r="C22" i="2" s="1"/>
  <c r="C43" i="2"/>
  <c r="A12" i="4"/>
  <c r="A26" i="4"/>
  <c r="A39" i="4"/>
  <c r="A13" i="4"/>
  <c r="A27" i="4"/>
  <c r="A42" i="4"/>
  <c r="A15" i="4"/>
  <c r="A28" i="4"/>
  <c r="A43" i="4"/>
  <c r="C32" i="2"/>
  <c r="C33" i="2" s="1"/>
  <c r="A2" i="4"/>
  <c r="A16" i="4"/>
  <c r="A29" i="4"/>
  <c r="A45" i="4"/>
  <c r="A3" i="4"/>
  <c r="A17" i="4"/>
  <c r="A32" i="4"/>
  <c r="A46" i="4"/>
  <c r="A7" i="4"/>
  <c r="A22" i="4"/>
  <c r="A36" i="4"/>
  <c r="A49" i="4"/>
  <c r="A8" i="4"/>
  <c r="A23" i="4"/>
  <c r="A37" i="4"/>
  <c r="A9" i="4"/>
  <c r="A25" i="4"/>
  <c r="A38" i="4"/>
  <c r="I56" i="2"/>
  <c r="I16" i="2"/>
  <c r="I28" i="2"/>
  <c r="I4" i="2"/>
  <c r="I40" i="2"/>
  <c r="C24" i="2"/>
  <c r="C23" i="2"/>
  <c r="C61" i="2"/>
  <c r="C62" i="2"/>
  <c r="G8" i="2"/>
  <c r="G32" i="2"/>
  <c r="G54" i="2"/>
  <c r="G20" i="2"/>
  <c r="G44" i="2"/>
  <c r="G11" i="2"/>
  <c r="G23" i="2"/>
  <c r="G35" i="2"/>
  <c r="G47" i="2"/>
  <c r="A4" i="4"/>
  <c r="A14" i="4"/>
  <c r="A24" i="4"/>
  <c r="A34" i="4"/>
  <c r="A44" i="4"/>
  <c r="G26" i="2"/>
  <c r="G38" i="2"/>
  <c r="G50" i="2"/>
  <c r="G53" i="2"/>
  <c r="G14" i="2"/>
  <c r="G43" i="2"/>
  <c r="G31" i="2"/>
  <c r="G13" i="2"/>
  <c r="G25" i="2"/>
  <c r="G6" i="2"/>
  <c r="C21" i="2"/>
  <c r="G7" i="2"/>
  <c r="G10" i="2"/>
  <c r="G46" i="2"/>
  <c r="G37" i="2"/>
  <c r="G18" i="2"/>
  <c r="G30" i="2"/>
  <c r="G42" i="2"/>
  <c r="G9" i="2"/>
  <c r="G21" i="2"/>
  <c r="G33" i="2"/>
  <c r="G45" i="2"/>
  <c r="A10" i="4"/>
  <c r="A20" i="4"/>
  <c r="A30" i="4"/>
  <c r="A40" i="4"/>
  <c r="A50" i="4"/>
  <c r="G51" i="2"/>
  <c r="C10" i="2"/>
  <c r="G19" i="2"/>
  <c r="C34" i="2"/>
  <c r="C46" i="2"/>
  <c r="G22" i="2"/>
  <c r="G34" i="2"/>
  <c r="G49" i="2"/>
  <c r="G52" i="2"/>
  <c r="A11" i="4"/>
  <c r="A21" i="4"/>
  <c r="A31" i="4"/>
  <c r="A41" i="4"/>
  <c r="G16" i="2" l="1"/>
  <c r="G28" i="2"/>
  <c r="J4" i="2"/>
  <c r="K40" i="2"/>
  <c r="J28" i="2"/>
  <c r="J16" i="2"/>
  <c r="C48" i="2"/>
  <c r="C47" i="2"/>
  <c r="C36" i="2"/>
  <c r="C35" i="2"/>
  <c r="K28" i="2"/>
  <c r="J40" i="2"/>
  <c r="G40" i="2"/>
  <c r="K16" i="2"/>
  <c r="K4" i="2"/>
  <c r="C63" i="2"/>
  <c r="C64" i="2" s="1"/>
  <c r="C65" i="2"/>
  <c r="C66" i="2" s="1"/>
  <c r="C12" i="2"/>
  <c r="C11" i="2"/>
  <c r="G4" i="2"/>
  <c r="C25" i="2"/>
  <c r="C26" i="2"/>
  <c r="C37" i="2" l="1"/>
  <c r="C38" i="2"/>
  <c r="C13" i="2"/>
  <c r="C14" i="2"/>
  <c r="C49" i="2"/>
  <c r="C50" i="2"/>
  <c r="C51" i="2" l="1"/>
  <c r="C52" i="2"/>
  <c r="C53" i="2" l="1"/>
  <c r="C54" i="2"/>
  <c r="K56" i="2"/>
  <c r="G56" i="2"/>
  <c r="J56" i="2"/>
</calcChain>
</file>

<file path=xl/sharedStrings.xml><?xml version="1.0" encoding="utf-8"?>
<sst xmlns="http://schemas.openxmlformats.org/spreadsheetml/2006/main" count="347" uniqueCount="133">
  <si>
    <t>Im Trackingsheet hinterlegen</t>
  </si>
  <si>
    <t>Best Practices für die optimale Semesterplanung</t>
  </si>
  <si>
    <t>Formel</t>
  </si>
  <si>
    <t>Enge Deadlines</t>
  </si>
  <si>
    <t>Zahl hier hinterlegen</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</si>
  <si>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</si>
  <si>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Reihenfolge</t>
  </si>
  <si>
    <t>Lernen mit der Klausur im Blick</t>
  </si>
  <si>
    <t>Task</t>
  </si>
  <si>
    <t>Zahl</t>
  </si>
  <si>
    <t>Kommentare</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</si>
  <si>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</si>
  <si>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Schritt 1:</t>
  </si>
  <si>
    <t>Aufteilung des Lernstoffs für passende Wochenziele</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</si>
  <si>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</si>
  <si>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</si>
  <si>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</si>
  <si>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</si>
  <si>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Gesamte Kapitelanzahl hinterlegen</t>
  </si>
  <si>
    <t>Semesterplan</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</si>
  <si>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</si>
  <si>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</si>
  <si>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 xml:space="preserve">Schritt 3: </t>
  </si>
  <si>
    <t>Klausurdatum hinterlegen</t>
  </si>
  <si>
    <t>(Zelle muss angepasst werden)</t>
  </si>
  <si>
    <t>Ziele setzen und Zeiten abschätzen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</si>
  <si>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</si>
  <si>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</si>
  <si>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</si>
  <si>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</si>
  <si>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</si>
  <si>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</si>
  <si>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</si>
  <si>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</si>
  <si>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</si>
  <si>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Wiederholungen einbauen</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</si>
  <si>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</si>
  <si>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</si>
  <si>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</si>
  <si>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</si>
  <si>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Anzahl an Levelups pro Woche ausrechnen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</si>
  <si>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</si>
  <si>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</si>
  <si>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Übersicht</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</si>
  <si>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</si>
  <si>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</si>
  <si>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</si>
  <si>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</si>
  <si>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</si>
  <si>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</si>
  <si>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</si>
  <si>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</si>
  <si>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</si>
  <si>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</si>
  <si>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</si>
  <si>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</si>
  <si>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</si>
  <si>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</si>
  <si>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</si>
  <si>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</si>
  <si>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</si>
  <si>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</si>
  <si>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</si>
  <si>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</si>
  <si>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</si>
  <si>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</si>
  <si>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</si>
  <si>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</si>
  <si>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</si>
  <si>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</si>
  <si>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</si>
  <si>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</si>
  <si>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</si>
  <si>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</si>
  <si>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</si>
  <si>
    <t>Typ</t>
  </si>
  <si>
    <t>Fach</t>
  </si>
  <si>
    <t>Klausurdatum</t>
  </si>
  <si>
    <t>ECTS</t>
  </si>
  <si>
    <t>Fachgebiet</t>
  </si>
  <si>
    <t>Anteil an Klausur</t>
  </si>
  <si>
    <t>Stunden</t>
  </si>
  <si>
    <t>Skript Niveau</t>
  </si>
  <si>
    <t>Rechnen Niveau</t>
  </si>
  <si>
    <t>Bemerkungen</t>
  </si>
  <si>
    <t>Ziel</t>
  </si>
  <si>
    <t>ABWL</t>
  </si>
  <si>
    <t>Thema</t>
  </si>
  <si>
    <t>1)</t>
  </si>
  <si>
    <t>2)</t>
  </si>
  <si>
    <t>3)</t>
  </si>
  <si>
    <t>4)</t>
  </si>
  <si>
    <t>5)</t>
  </si>
  <si>
    <t>6)</t>
  </si>
  <si>
    <t>7)</t>
  </si>
  <si>
    <t>8)</t>
  </si>
  <si>
    <t>9)</t>
  </si>
  <si>
    <t>10)</t>
  </si>
  <si>
    <t>VWL</t>
  </si>
  <si>
    <t>Statistik</t>
  </si>
  <si>
    <t>Mathe 1</t>
  </si>
  <si>
    <t>11)</t>
  </si>
  <si>
    <t>12)</t>
  </si>
  <si>
    <t>13)</t>
  </si>
  <si>
    <t>14)</t>
  </si>
  <si>
    <t>Buchhaltung</t>
  </si>
  <si>
    <t>5.10 - 11.10</t>
  </si>
  <si>
    <t>12.10-18.10</t>
  </si>
  <si>
    <t>19.10-25.10</t>
  </si>
  <si>
    <t>26.10-1.11</t>
  </si>
  <si>
    <t>2.11-8.11</t>
  </si>
  <si>
    <t>09.11.-15.11</t>
  </si>
  <si>
    <t>30.11-6.12</t>
  </si>
  <si>
    <t>7.12-13.12</t>
  </si>
  <si>
    <t>14.12.-20.12</t>
  </si>
  <si>
    <t>28.12-3.1</t>
  </si>
  <si>
    <t>4.1-10.1</t>
  </si>
  <si>
    <t>11.1-17.1</t>
  </si>
  <si>
    <t>18.1-24.1</t>
  </si>
  <si>
    <t>25.1-31.1 - Mathe, Buchhaltung Prüfung!</t>
  </si>
  <si>
    <t>Beginn Vorlesung erst nach Steop</t>
  </si>
  <si>
    <t>21.12-27.12 - Lernpause</t>
  </si>
  <si>
    <t xml:space="preserve">23.11-29.11 - ABWL, VWL Prüfung! </t>
  </si>
  <si>
    <t>16.11-22.11 - Statstik Prüfung! - Beginn Buchhaltung Vorl.</t>
  </si>
  <si>
    <t>20 Level ups</t>
  </si>
  <si>
    <t>19 Level ups</t>
  </si>
  <si>
    <t>13 Level Ups</t>
  </si>
  <si>
    <t>5 Level Ups</t>
  </si>
  <si>
    <t>8 Level Ups</t>
  </si>
  <si>
    <t xml:space="preserve">8 Level Ups </t>
  </si>
  <si>
    <t>7 Level Ups</t>
  </si>
  <si>
    <t xml:space="preserve">0 Level Ups </t>
  </si>
  <si>
    <t>0 Level Ups - Lernpause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</si>
</sst>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d\.m"/>
  </numFmts>
  <fonts count="11"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font>
    <font>
      <b/>
      <i/>
      <u/>
      <sz val="16"/>
      <color theme="1"/>
      <name val="Calibri"/>
      <family val="2"/>
    </font>
    <font>
      <b/>
      <sz val="12"/>
      <color theme="1"/>
      <name val="Calibri"/>
      <family val="2"/>
    </font>
    <font>
      <sz val="12"/>
      <color theme="1"/>
      <name val="Calibri"/>
      <family val="2"/>
      <scheme val="minor"/>
    </font>
    <font>
      <sz val="12"/>
      <color rgb="FFFFFFFF"/>
      <name val="Calibri"/>
      <family val="2"/>
      <scheme val="minor"/>
    </font>
    <font>
      <b/>
      <sz val="26"/>
      <color theme="1"/>
      <name val="Calibri"/>
      <family val="2"/>
    </font>
    <font>
      <sz val="12"/>
      <name val="Calibri"/>
      <family val="2"/>
    </font>
    <font>
      <b/>
      <sz val="20"/>
      <color theme="1"/>
      <name val="Calibri"/>
      <family val="2"/>
    </font>
  </fonts>
  <fills count="7">
    <fill>
      <patternFill patternType="none"/>
    </fill>
    <fill>
      <patternFill patternType="gray125"/>
    </fill>
    <fill>
      <patternFill patternType="solid">
        <fgColor rgb="FFD9E2F3"/>
        <bgColor rgb="FFD9E2F3"/>
      </patternFill>
    </fill>
    <fill>
      <patternFill patternType="solid">
        <fgColor rgb="FF00FF29"/>
        <bgColor rgb="FF00FF29"/>
      </patternFill>
    </fill>
    <fill>
      <patternFill patternType="solid">
        <fgColor rgb="FFFFFF00"/>
        <bgColor rgb="FFFFFF00"/>
      </patternFill>
    </fill>
    <fill>
      <patternFill patternType="solid">
        <fgColor rgb="FFFDFF05"/>
        <bgColor rgb="FFFDFF05"/>
      </patternFill>
    </fill>
    <fill>
      <patternFill patternType="solid">
        <fgColor rgb="FFE0E0E0"/>
        <bgColor rgb="FFE0E0E0"/>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3">
    <xf numFmtId="0" fontId="0" fillId="0" borderId="0" xfId="0"/>
    <xf numFmtId="0" fontId="3" fillId="0" borderId="0" xfId="0" applyFont="1"/>
    <xf numFmtId="0" fontId="3" fillId="2" borderId="1" xfId="0" applyFont="1" applyFill="1" applyBorder="1"/>
    <xf numFmtId="0" fontId="4" fillId="0" borderId="0" xfId="0" applyFont="1"/>
    <xf numFmtId="0" fontId="3" fillId="3" borderId="1" xfId="0" applyFont="1" applyFill="1" applyBorder="1"/>
    <xf numFmtId="0" fontId="5" fillId="0" borderId="0" xfId="0" applyFont="1"/>
    <xf numFmtId="0" fontId="3" fillId="4" borderId="1" xfId="0" applyFont="1" applyFill="1" applyBorder="1"/>
    <xf numFmtId="0" fontId="3" fillId="0" borderId="0" xfId="0" applyFont="1" applyAlignment="1">
      <alignment wrapText="1"/>
    </xf>
    <xf numFmtId="0" fontId="6" fillId="0" borderId="0" xfId="0" applyFont="1"/>
    <xf numFmtId="164" fontId="7" fillId="0" borderId="0" xfId="0" applyNumberFormat="1" applyFont="1"/>
    <xf numFmtId="0" fontId="8" fillId="0" borderId="0" xfId="0" applyFont="1"/>
    <xf numFmtId="0" fontId="3" fillId="5" borderId="1" xfId="0" applyFont="1" applyFill="1" applyBorder="1"/>
    <xf numFmtId="164" fontId="6" fillId="0" borderId="0" xfId="0" applyNumberFormat="1" applyFont="1"/>
    <xf numFmtId="0" fontId="3" fillId="0" borderId="0" xfId="0" applyFont="1" applyAlignment="1">
      <alignment horizontal="center"/>
    </xf>
    <xf numFmtId="0" fontId="3" fillId="0" borderId="0" xfId="0" applyFont="1" applyAlignment="1">
      <alignment horizontal="center" wrapText="1"/>
    </xf>
    <xf numFmtId="14" fontId="3" fillId="0" borderId="0" xfId="0" applyNumberFormat="1" applyFont="1" applyAlignment="1">
      <alignment horizontal="center"/>
    </xf>
    <xf numFmtId="9" fontId="3" fillId="0" borderId="0" xfId="0" applyNumberFormat="1" applyFont="1" applyAlignment="1">
      <alignment horizontal="center"/>
    </xf>
    <xf numFmtId="0" fontId="10" fillId="0" borderId="0" xfId="0" applyFont="1"/>
    <xf numFmtId="20" fontId="3" fillId="0" borderId="0" xfId="0" applyNumberFormat="1" applyFont="1"/>
    <xf numFmtId="0" fontId="5" fillId="6" borderId="1" xfId="0" applyFont="1" applyFill="1" applyBorder="1"/>
    <xf numFmtId="0" fontId="5" fillId="6" borderId="1" xfId="0" applyFont="1" applyFill="1" applyBorder="1" applyAlignment="1">
      <alignment horizontal="center"/>
    </xf>
    <xf numFmtId="165" fontId="3" fillId="4" borderId="0" xfId="0" applyNumberFormat="1" applyFont="1" applyFill="1"/>
    <xf numFmtId="9" fontId="3" fillId="0" borderId="0" xfId="0" applyNumberFormat="1" applyFont="1"/>
    <xf numFmtId="1" fontId="3" fillId="0" borderId="0" xfId="0" applyNumberFormat="1" applyFont="1" applyAlignment="1">
      <alignment horizontal="center"/>
    </xf>
    <xf numFmtId="0" fontId="6" fillId="4" borderId="0" xfId="0" applyFont="1" applyFill="1"/>
    <xf numFmtId="9" fontId="6" fillId="0" borderId="0" xfId="0" applyNumberFormat="1" applyFont="1"/>
    <xf numFmtId="0" fontId="2" fillId="0" borderId="0" xfId="0" applyFont="1"/>
    <xf numFmtId="0" fontId="2" fillId="4" borderId="0" xfId="0" applyFont="1" applyFill="1"/>
    <xf numFmtId="0" fontId="1" fillId="0" borderId="0" xfId="0" applyFont="1"/>
    <xf numFmtId="0" fontId="5" fillId="6" borderId="2" xfId="0" applyFont="1" applyFill="1" applyBorder="1" applyAlignment="1">
      <alignment horizontal="center"/>
    </xf>
    <xf numFmtId="0" fontId="9" fillId="0" borderId="3" xfId="0" applyFont="1" applyBorder="1"/>
    <xf numFmtId="0" fontId="9" fillId="0" borderId="4" xfId="0" applyFont="1" applyBorder="1"/>
    <xf numFmtId="16" fontId="5" fillId="6" borderId="2" xfId="0" applyNumberFormat="1" applyFont="1" applyFill="1" applyBorder="1" applyAlignment="1">
      <alignment horizontal="center"/>
    </xf>
  </cellXfs>
  <cellStyles count="1">
    <cellStyle name="Standard" xfId="0" builtinId="0"/>
  </cellStyles>
  <dxfs count="262">
    <dxf>
      <fill>
        <patternFill patternType="solid">
          <fgColor rgb="FFFF0000"/>
          <bgColor rgb="FFFF0000"/>
        </patternFill>
      </fill>
    </dxf>
    <dxf>
      <fill>
        <patternFill patternType="solid">
          <fgColor rgb="FFFF755A"/>
          <bgColor rgb="FFFF755A"/>
        </patternFill>
      </fill>
    </dxf>
    <dxf>
      <fill>
        <patternFill patternType="solid">
          <fgColor rgb="FFFFDE7F"/>
          <bgColor rgb="FFFFDE7F"/>
        </patternFill>
      </fill>
    </dxf>
    <dxf>
      <fill>
        <patternFill patternType="solid">
          <fgColor rgb="FFC4FF87"/>
          <bgColor rgb="FFC4FF87"/>
        </patternFill>
      </fill>
    </dxf>
    <dxf>
      <fill>
        <patternFill patternType="solid">
          <fgColor rgb="FF56FF5E"/>
          <bgColor rgb="FF56FF5E"/>
        </patternFill>
      </fill>
    </dxf>
    <dxf>
      <font>
        <b/>
        <u/>
      </font>
      <fill>
        <patternFill patternType="solid">
          <fgColor rgb="FF00FF29"/>
          <bgColor rgb="FF00FF29"/>
        </patternFill>
      </fill>
    </dxf>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theme="5"/>
          <bgColor theme="5"/>
        </patternFill>
      </fill>
    </dxf>
  </dxfs>
  <tableStyles count="5">
    <tableStyle name="COMMITTMENT-style" pivot="0" count="3" xr9:uid="{00000000-0011-0000-FFFF-FFFF00000000}">
      <tableStyleElement type="headerRow" dxfId="261"/>
      <tableStyleElement type="firstRowStripe" dxfId="260"/>
      <tableStyleElement type="secondRowStripe" dxfId="259"/>
    </tableStyle>
    <tableStyle name="COMMITTMENT-style 2" pivot="0" count="2" xr9:uid="{00000000-0011-0000-FFFF-FFFF01000000}">
      <tableStyleElement type="firstRowStripe" dxfId="258"/>
      <tableStyleElement type="secondRowStripe" dxfId="257"/>
    </tableStyle>
    <tableStyle name="COMMITTMENT-style 3" pivot="0" count="2" xr9:uid="{00000000-0011-0000-FFFF-FFFF02000000}">
      <tableStyleElement type="firstRowStripe" dxfId="256"/>
      <tableStyleElement type="secondRowStripe" dxfId="255"/>
    </tableStyle>
    <tableStyle name="COMMITTMENT-style 4" pivot="0" count="2" xr9:uid="{00000000-0011-0000-FFFF-FFFF03000000}">
      <tableStyleElement type="firstRowStripe" dxfId="254"/>
      <tableStyleElement type="secondRowStripe" dxfId="253"/>
    </tableStyle>
    <tableStyle name="COMMITTMENT-style 5" pivot="0" count="2" xr9:uid="{00000000-0011-0000-FFFF-FFFF04000000}">
      <tableStyleElement type="firstRowStripe" dxfId="252"/>
      <tableStyleElement type="secondRowStripe" dxfId="25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46">
  <tableColumns count="11">
    <tableColumn id="1" xr3:uid="{00000000-0010-0000-0000-000001000000}" name="Datum"/>
    <tableColumn id="2" xr3:uid="{00000000-0010-0000-0000-000002000000}" name="Lerneinheiten durchgezogen"/>
    <tableColumn id="3" xr3:uid="{00000000-0010-0000-0000-000003000000}" name="Tagesplan erstellt"/>
    <tableColumn id="4" xr3:uid="{00000000-0010-0000-0000-000004000000}" name="Konzentrationslevel"/>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COMMITTMEN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47:K48" headerRowCount="0">
  <tableColumns count="1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s>
  <tableStyleInfo name="COMMITTMENT-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49:K49" headerRowCount="0">
  <tableColumns count="11">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s>
  <tableStyleInfo name="COMMITTMENT-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50:K50" headerRowCount="0">
  <tableColumns count="11">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s>
  <tableStyleInfo name="COMMITTMENT-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51:K51" headerRowCount="0">
  <tableColumns count="11">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s>
  <tableStyleInfo name="COMMITTMENT-style 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baseColWidth="10" defaultColWidth="11.1640625" defaultRowHeight="15" customHeight="1" x14ac:dyDescent="0.2"/>
  <cols>
    <col min="1" max="1" width="9.1640625" customWidth="1"/>
    <col min="2" max="2" width="48.83203125" customWidth="1"/>
    <col min="3" max="26" width="8.33203125" customWidth="1"/>
  </cols>
  <sheetData>
    <row r="1" spans="1:4" ht="15.75" customHeight="1" x14ac:dyDescent="0.2"/>
    <row r="2" spans="1:4" ht="15.75" customHeight="1" x14ac:dyDescent="0.2">
      <c r="C2" s="2" t="s">
        <v>0</v>
      </c>
    </row>
    <row r="3" spans="1:4" ht="15.75" customHeight="1" x14ac:dyDescent="0.2">
      <c r="C3" s="4" t="s">
        <v>2</v>
      </c>
    </row>
    <row r="4" spans="1:4" ht="15.75" customHeight="1" x14ac:dyDescent="0.2">
      <c r="C4" s="6" t="s">
        <v>4</v>
      </c>
    </row>
    <row r="5" spans="1:4" ht="15.75" customHeight="1" x14ac:dyDescent="0.2">
      <c r="A5" s="5" t="s">
        <v>6</v>
      </c>
      <c r="B5" s="5" t="s">
        <v>8</v>
      </c>
      <c r="C5" s="5" t="s">
        <v>9</v>
      </c>
      <c r="D5" s="5" t="s">
        <v>10</v>
      </c>
    </row>
    <row r="6" spans="1:4" ht="15.75" customHeight="1" x14ac:dyDescent="0.2">
      <c r="A6" s="8" t="s">
        <v>12</v>
      </c>
      <c r="B6" s="2" t="s">
        <v>14</v>
      </c>
      <c r="D6" s="8" t="s">
        <v>15</v>
      </c>
    </row>
    <row r="7" spans="1:4" ht="15.75" customHeight="1" x14ac:dyDescent="0.2">
      <c r="A7" s="8" t="s">
        <v>16</v>
      </c>
      <c r="B7" s="8" t="s">
        <v>18</v>
      </c>
      <c r="C7" s="6">
        <v>44</v>
      </c>
    </row>
    <row r="8" spans="1:4" ht="15.75" customHeight="1" x14ac:dyDescent="0.2">
      <c r="A8" s="8" t="s">
        <v>22</v>
      </c>
      <c r="B8" s="2" t="s">
        <v>23</v>
      </c>
      <c r="C8" s="1"/>
      <c r="D8" s="8" t="s">
        <v>26</v>
      </c>
    </row>
    <row r="9" spans="1:4" ht="15.75" customHeight="1" x14ac:dyDescent="0.2">
      <c r="A9" s="8" t="s">
        <v>27</v>
      </c>
      <c r="B9" s="2" t="s">
        <v>28</v>
      </c>
      <c r="D9" s="8" t="s">
        <v>29</v>
      </c>
    </row>
    <row r="10" spans="1:4" ht="15.75" customHeight="1" x14ac:dyDescent="0.2">
      <c r="A10" s="8" t="s">
        <v>31</v>
      </c>
      <c r="B10" s="8" t="s">
        <v>32</v>
      </c>
      <c r="C10" s="6">
        <v>13</v>
      </c>
      <c r="D10" s="8" t="s">
        <v>33</v>
      </c>
    </row>
    <row r="11" spans="1:4" ht="15.75" customHeight="1" x14ac:dyDescent="0.2">
      <c r="A11" s="8" t="s">
        <v>34</v>
      </c>
      <c r="B11" s="8" t="s">
        <v>36</v>
      </c>
      <c r="C11" s="6">
        <v>132</v>
      </c>
      <c r="D11" s="8" t="s">
        <v>37</v>
      </c>
    </row>
    <row r="12" spans="1:4" ht="15.75" customHeight="1" x14ac:dyDescent="0.2">
      <c r="A12" s="8" t="s">
        <v>38</v>
      </c>
      <c r="B12" s="8" t="s">
        <v>40</v>
      </c>
      <c r="C12" s="4">
        <f>C11/C10</f>
        <v>10.153846153846153</v>
      </c>
    </row>
    <row r="13" spans="1:4" ht="15.75" customHeight="1" x14ac:dyDescent="0.2">
      <c r="A13" s="8" t="s">
        <v>44</v>
      </c>
      <c r="B13" s="8" t="s">
        <v>45</v>
      </c>
      <c r="D13" s="8" t="s">
        <v>46</v>
      </c>
    </row>
    <row r="14" spans="1:4" ht="15.75" customHeight="1" x14ac:dyDescent="0.2">
      <c r="A14" s="8" t="s">
        <v>47</v>
      </c>
      <c r="B14" s="8" t="s">
        <v>48</v>
      </c>
      <c r="D14" s="8" t="s">
        <v>49</v>
      </c>
    </row>
    <row r="15" spans="1:4" ht="15.75" customHeight="1" x14ac:dyDescent="0.2">
      <c r="A15" s="8" t="s">
        <v>50</v>
      </c>
      <c r="B15" s="2" t="s">
        <v>51</v>
      </c>
    </row>
    <row r="16" spans="1:4" ht="15.75" customHeight="1" x14ac:dyDescent="0.2">
      <c r="A16" s="8" t="s">
        <v>52</v>
      </c>
      <c r="B16" s="2" t="s">
        <v>53</v>
      </c>
    </row>
    <row r="17" spans="1:2" ht="15.75" customHeight="1" x14ac:dyDescent="0.2">
      <c r="A17" s="8" t="s">
        <v>54</v>
      </c>
      <c r="B17" s="8" t="s">
        <v>55</v>
      </c>
    </row>
    <row r="18" spans="1:2" ht="15.75" customHeight="1" x14ac:dyDescent="0.2"/>
    <row r="19" spans="1:2" ht="15.75" customHeight="1" x14ac:dyDescent="0.2"/>
    <row r="20" spans="1:2" ht="15.75" customHeight="1" x14ac:dyDescent="0.2"/>
    <row r="21" spans="1:2" ht="15.75" customHeight="1" x14ac:dyDescent="0.2"/>
    <row r="22" spans="1:2" ht="15.75" customHeight="1" x14ac:dyDescent="0.2"/>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A66"/>
  <sheetViews>
    <sheetView showGridLines="0" tabSelected="1" zoomScale="90" workbookViewId="0">
      <pane xSplit="12" ySplit="3" topLeftCell="AZ31" activePane="bottomRight" state="frozen"/>
      <selection pane="topRight" activeCell="M1" sqref="M1"/>
      <selection pane="bottomLeft" activeCell="A4" sqref="A4"/>
      <selection pane="bottomRight" activeCell="S12" sqref="S12"/>
    </sheetView>
  </sheetViews>
  <sheetFormatPr baseColWidth="10" defaultColWidth="11.1640625" defaultRowHeight="15" customHeight="1" outlineLevelRow="1" x14ac:dyDescent="0.2"/>
  <cols>
    <col min="1" max="1" width="6.83203125" customWidth="1"/>
    <col min="2" max="2" width="8.1640625" customWidth="1"/>
    <col min="3" max="3" width="7.33203125" customWidth="1"/>
    <col min="4" max="4" width="11.1640625" customWidth="1"/>
    <col min="5" max="5" width="3.83203125" customWidth="1"/>
    <col min="6" max="6" width="32" customWidth="1"/>
    <col min="7" max="7" width="12" customWidth="1"/>
    <col min="8" max="8" width="1.83203125" customWidth="1"/>
    <col min="9" max="9" width="6.83203125" customWidth="1"/>
    <col min="10" max="10" width="11.83203125" customWidth="1"/>
    <col min="11" max="11" width="13.5" customWidth="1"/>
    <col min="12" max="12" width="11.83203125" customWidth="1"/>
    <col min="13" max="13" width="2.6640625" customWidth="1"/>
    <col min="14" max="14" width="6.83203125" customWidth="1"/>
    <col min="15" max="15" width="10.83203125" customWidth="1"/>
    <col min="16" max="16" width="5.6640625" bestFit="1" customWidth="1"/>
    <col min="17" max="17" width="12.83203125" customWidth="1"/>
    <col min="18" max="18" width="5.6640625" bestFit="1" customWidth="1"/>
    <col min="19" max="19" width="11.1640625" customWidth="1"/>
    <col min="20" max="20" width="1.83203125" customWidth="1"/>
    <col min="21" max="21" width="6.83203125" customWidth="1"/>
    <col min="22" max="22" width="10.83203125" customWidth="1"/>
    <col min="23" max="23" width="5.6640625" bestFit="1" customWidth="1"/>
    <col min="24" max="24" width="12.83203125" customWidth="1"/>
    <col min="25" max="25" width="5.6640625" bestFit="1" customWidth="1"/>
    <col min="26" max="26" width="11.1640625" customWidth="1"/>
    <col min="27" max="27" width="1.83203125" customWidth="1"/>
    <col min="28" max="28" width="6.83203125" customWidth="1"/>
    <col min="29" max="29" width="10.83203125" customWidth="1"/>
    <col min="30" max="30" width="5.6640625" bestFit="1" customWidth="1"/>
    <col min="31" max="31" width="12.83203125" customWidth="1"/>
    <col min="32" max="32" width="5.6640625" bestFit="1" customWidth="1"/>
    <col min="33" max="33" width="11.1640625" customWidth="1"/>
    <col min="34" max="34" width="1.83203125" customWidth="1"/>
    <col min="35" max="35" width="6.83203125" customWidth="1"/>
    <col min="36" max="36" width="10.83203125" customWidth="1"/>
    <col min="37" max="37" width="5.6640625" bestFit="1" customWidth="1"/>
    <col min="38" max="38" width="12.83203125" customWidth="1"/>
    <col min="39" max="39" width="5.6640625" bestFit="1" customWidth="1"/>
    <col min="40" max="40" width="11.1640625" customWidth="1"/>
    <col min="41" max="41" width="1.83203125" customWidth="1"/>
    <col min="42" max="42" width="6.83203125" customWidth="1"/>
    <col min="43" max="43" width="10.83203125" customWidth="1"/>
    <col min="44" max="44" width="5.6640625" bestFit="1" customWidth="1"/>
    <col min="45" max="45" width="12.83203125" customWidth="1"/>
    <col min="46" max="46" width="5.6640625" bestFit="1" customWidth="1"/>
    <col min="47" max="47" width="11.1640625" customWidth="1"/>
    <col min="48" max="48" width="1.83203125" customWidth="1"/>
    <col min="49" max="49" width="6.83203125" customWidth="1"/>
    <col min="50" max="50" width="10.83203125" customWidth="1"/>
    <col min="51" max="51" width="5.6640625" bestFit="1" customWidth="1"/>
    <col min="52" max="52" width="12.83203125" customWidth="1"/>
    <col min="53" max="53" width="5.6640625" bestFit="1" customWidth="1"/>
    <col min="54" max="54" width="11.1640625" customWidth="1"/>
    <col min="55" max="55" width="1.83203125" customWidth="1"/>
    <col min="56" max="56" width="6.83203125" customWidth="1"/>
    <col min="57" max="57" width="10.83203125" customWidth="1"/>
    <col min="58" max="58" width="5.6640625" bestFit="1" customWidth="1"/>
    <col min="59" max="59" width="12.83203125" customWidth="1"/>
    <col min="60" max="60" width="5.6640625" bestFit="1" customWidth="1"/>
    <col min="61" max="61" width="11.1640625" customWidth="1"/>
    <col min="62" max="62" width="1.83203125" customWidth="1"/>
    <col min="63" max="63" width="6.83203125" customWidth="1"/>
    <col min="64" max="64" width="10.83203125" customWidth="1"/>
    <col min="65" max="65" width="5.6640625" bestFit="1" customWidth="1"/>
    <col min="66" max="66" width="12.83203125" customWidth="1"/>
    <col min="67" max="67" width="5.6640625" bestFit="1" customWidth="1"/>
    <col min="68" max="68" width="11.1640625" customWidth="1"/>
    <col min="69" max="69" width="1.83203125" customWidth="1"/>
    <col min="70" max="70" width="6.83203125" customWidth="1"/>
    <col min="71" max="71" width="10.83203125" customWidth="1"/>
    <col min="72" max="72" width="5.6640625" bestFit="1" customWidth="1"/>
    <col min="73" max="73" width="12.83203125" customWidth="1"/>
    <col min="74" max="74" width="5.6640625" bestFit="1" customWidth="1"/>
    <col min="75" max="75" width="11.1640625" customWidth="1"/>
    <col min="76" max="76" width="1.83203125" customWidth="1"/>
    <col min="77" max="77" width="6.83203125" customWidth="1"/>
    <col min="78" max="78" width="10.83203125" customWidth="1"/>
    <col min="79" max="79" width="5.6640625" bestFit="1" customWidth="1"/>
    <col min="80" max="80" width="12.83203125" customWidth="1"/>
    <col min="81" max="81" width="5.6640625" bestFit="1" customWidth="1"/>
    <col min="82" max="82" width="11.1640625" customWidth="1"/>
    <col min="83" max="83" width="1.83203125" customWidth="1"/>
    <col min="84" max="84" width="6.83203125" customWidth="1"/>
    <col min="85" max="85" width="10.83203125" customWidth="1"/>
    <col min="86" max="86" width="6.1640625" bestFit="1" customWidth="1"/>
    <col min="87" max="87" width="12.83203125" customWidth="1"/>
    <col min="88" max="88" width="6.1640625" bestFit="1" customWidth="1"/>
    <col min="89" max="89" width="11.1640625" customWidth="1"/>
    <col min="90" max="90" width="1.83203125" customWidth="1"/>
    <col min="91" max="91" width="6.83203125" customWidth="1"/>
    <col min="92" max="92" width="10.83203125" customWidth="1"/>
    <col min="93" max="93" width="6.1640625" bestFit="1" customWidth="1"/>
    <col min="94" max="94" width="12.83203125" customWidth="1"/>
    <col min="95" max="95" width="6.1640625" bestFit="1" customWidth="1"/>
    <col min="96" max="96" width="11.1640625" customWidth="1"/>
    <col min="97" max="97" width="1.83203125" customWidth="1"/>
    <col min="98" max="98" width="6.83203125" customWidth="1"/>
    <col min="99" max="99" width="10.83203125" customWidth="1"/>
    <col min="100" max="100" width="6.1640625" bestFit="1" customWidth="1"/>
    <col min="101" max="101" width="12.83203125" customWidth="1"/>
    <col min="102" max="102" width="6.1640625" bestFit="1" customWidth="1"/>
    <col min="103" max="103" width="11.1640625" customWidth="1"/>
    <col min="104" max="104" width="1.83203125" customWidth="1"/>
    <col min="105" max="105" width="6.83203125" customWidth="1"/>
    <col min="106" max="106" width="10.83203125" customWidth="1"/>
    <col min="107" max="107" width="6.1640625" bestFit="1" customWidth="1"/>
    <col min="108" max="108" width="12.83203125" customWidth="1"/>
    <col min="109" max="109" width="6.1640625" bestFit="1" customWidth="1"/>
    <col min="110" max="110" width="11.1640625" customWidth="1"/>
    <col min="111" max="111" width="1.83203125" customWidth="1"/>
    <col min="112" max="112" width="6.83203125" customWidth="1"/>
    <col min="113" max="113" width="10.83203125" customWidth="1"/>
    <col min="114" max="114" width="6.1640625" bestFit="1" customWidth="1"/>
    <col min="115" max="115" width="12.83203125" customWidth="1"/>
    <col min="116" max="116" width="6.1640625" bestFit="1" customWidth="1"/>
    <col min="117" max="117" width="11.1640625" customWidth="1"/>
    <col min="118" max="118" width="1.83203125" customWidth="1"/>
    <col min="119" max="119" width="6.83203125" customWidth="1"/>
    <col min="120" max="120" width="10.83203125" customWidth="1"/>
    <col min="121" max="121" width="6.1640625" bestFit="1" customWidth="1"/>
    <col min="122" max="122" width="12.83203125" customWidth="1"/>
    <col min="123" max="123" width="6.1640625" bestFit="1" customWidth="1"/>
    <col min="124" max="124" width="11.1640625" customWidth="1"/>
    <col min="125" max="125" width="1.83203125" customWidth="1"/>
    <col min="126" max="126" width="6.83203125" customWidth="1"/>
    <col min="127" max="127" width="10.83203125" customWidth="1"/>
    <col min="128" max="128" width="6.1640625" bestFit="1" customWidth="1"/>
    <col min="129" max="129" width="12.83203125" customWidth="1"/>
    <col min="130" max="130" width="6.1640625" bestFit="1" customWidth="1"/>
  </cols>
  <sheetData>
    <row r="1" spans="1:131" ht="34" customHeight="1" x14ac:dyDescent="0.4">
      <c r="A1" s="9">
        <v>46300</v>
      </c>
      <c r="B1" s="10" t="s">
        <v>19</v>
      </c>
      <c r="D1" s="10"/>
      <c r="G1" s="11" t="s">
        <v>24</v>
      </c>
      <c r="M1" s="12"/>
      <c r="N1" s="26" t="s">
        <v>124</v>
      </c>
      <c r="U1" s="26" t="s">
        <v>125</v>
      </c>
      <c r="AC1" s="26" t="s">
        <v>125</v>
      </c>
      <c r="AJ1" s="26" t="s">
        <v>125</v>
      </c>
      <c r="AQ1" s="26" t="s">
        <v>125</v>
      </c>
      <c r="AX1" s="26" t="s">
        <v>126</v>
      </c>
      <c r="BE1" s="26" t="s">
        <v>127</v>
      </c>
      <c r="BL1" s="26" t="s">
        <v>127</v>
      </c>
      <c r="BS1" s="26" t="s">
        <v>128</v>
      </c>
      <c r="BZ1" s="26" t="s">
        <v>129</v>
      </c>
      <c r="CG1" s="26" t="s">
        <v>129</v>
      </c>
      <c r="CN1" s="28" t="s">
        <v>132</v>
      </c>
      <c r="CU1" s="26" t="s">
        <v>130</v>
      </c>
      <c r="DB1" s="26" t="s">
        <v>128</v>
      </c>
      <c r="DI1" s="26" t="s">
        <v>130</v>
      </c>
      <c r="DP1" s="26" t="s">
        <v>131</v>
      </c>
    </row>
    <row r="2" spans="1:131" ht="15.75" customHeight="1" x14ac:dyDescent="0.2">
      <c r="I2" s="29" t="s">
        <v>43</v>
      </c>
      <c r="J2" s="30"/>
      <c r="K2" s="30"/>
      <c r="L2" s="31"/>
      <c r="M2" s="12"/>
      <c r="N2" s="29" t="s">
        <v>106</v>
      </c>
      <c r="O2" s="30"/>
      <c r="P2" s="30"/>
      <c r="Q2" s="30"/>
      <c r="R2" s="30"/>
      <c r="S2" s="31"/>
      <c r="U2" s="29" t="s">
        <v>107</v>
      </c>
      <c r="V2" s="30"/>
      <c r="W2" s="30"/>
      <c r="X2" s="30"/>
      <c r="Y2" s="30"/>
      <c r="Z2" s="31"/>
      <c r="AB2" s="29" t="s">
        <v>108</v>
      </c>
      <c r="AC2" s="30"/>
      <c r="AD2" s="30"/>
      <c r="AE2" s="30"/>
      <c r="AF2" s="30"/>
      <c r="AG2" s="31"/>
      <c r="AI2" s="29" t="s">
        <v>109</v>
      </c>
      <c r="AJ2" s="30"/>
      <c r="AK2" s="30"/>
      <c r="AL2" s="30"/>
      <c r="AM2" s="30"/>
      <c r="AN2" s="31"/>
      <c r="AP2" s="29" t="s">
        <v>110</v>
      </c>
      <c r="AQ2" s="30"/>
      <c r="AR2" s="30"/>
      <c r="AS2" s="30"/>
      <c r="AT2" s="30"/>
      <c r="AU2" s="31"/>
      <c r="AW2" s="32" t="s">
        <v>111</v>
      </c>
      <c r="AX2" s="30"/>
      <c r="AY2" s="30"/>
      <c r="AZ2" s="30"/>
      <c r="BA2" s="30"/>
      <c r="BB2" s="31"/>
      <c r="BD2" s="29" t="s">
        <v>123</v>
      </c>
      <c r="BE2" s="30"/>
      <c r="BF2" s="30"/>
      <c r="BG2" s="30"/>
      <c r="BH2" s="30"/>
      <c r="BI2" s="31"/>
      <c r="BK2" s="29" t="s">
        <v>122</v>
      </c>
      <c r="BL2" s="30"/>
      <c r="BM2" s="30"/>
      <c r="BN2" s="30"/>
      <c r="BO2" s="30"/>
      <c r="BP2" s="31"/>
      <c r="BR2" s="32" t="s">
        <v>112</v>
      </c>
      <c r="BS2" s="30"/>
      <c r="BT2" s="30"/>
      <c r="BU2" s="30"/>
      <c r="BV2" s="30"/>
      <c r="BW2" s="31"/>
      <c r="BY2" s="29" t="s">
        <v>113</v>
      </c>
      <c r="BZ2" s="30"/>
      <c r="CA2" s="30"/>
      <c r="CB2" s="30"/>
      <c r="CC2" s="30"/>
      <c r="CD2" s="31"/>
      <c r="CF2" s="29" t="s">
        <v>114</v>
      </c>
      <c r="CG2" s="30"/>
      <c r="CH2" s="30"/>
      <c r="CI2" s="30"/>
      <c r="CJ2" s="30"/>
      <c r="CK2" s="31"/>
      <c r="CM2" s="29" t="s">
        <v>121</v>
      </c>
      <c r="CN2" s="30"/>
      <c r="CO2" s="30"/>
      <c r="CP2" s="30"/>
      <c r="CQ2" s="30"/>
      <c r="CR2" s="31"/>
      <c r="CT2" s="29" t="s">
        <v>115</v>
      </c>
      <c r="CU2" s="30"/>
      <c r="CV2" s="30"/>
      <c r="CW2" s="30"/>
      <c r="CX2" s="30"/>
      <c r="CY2" s="31"/>
      <c r="DA2" s="29" t="s">
        <v>116</v>
      </c>
      <c r="DB2" s="30"/>
      <c r="DC2" s="30"/>
      <c r="DD2" s="30"/>
      <c r="DE2" s="30"/>
      <c r="DF2" s="31"/>
      <c r="DH2" s="29" t="s">
        <v>117</v>
      </c>
      <c r="DI2" s="30"/>
      <c r="DJ2" s="30"/>
      <c r="DK2" s="30"/>
      <c r="DL2" s="30"/>
      <c r="DM2" s="31"/>
      <c r="DO2" s="29" t="s">
        <v>118</v>
      </c>
      <c r="DP2" s="30"/>
      <c r="DQ2" s="30"/>
      <c r="DR2" s="30"/>
      <c r="DS2" s="30"/>
      <c r="DT2" s="31"/>
      <c r="DV2" s="29" t="s">
        <v>119</v>
      </c>
      <c r="DW2" s="30"/>
      <c r="DX2" s="30"/>
      <c r="DY2" s="30"/>
      <c r="DZ2" s="30"/>
      <c r="EA2" s="31"/>
    </row>
    <row r="3" spans="1:131" ht="15.75" customHeight="1" x14ac:dyDescent="0.2">
      <c r="B3" s="19" t="s">
        <v>75</v>
      </c>
      <c r="C3" s="19" t="s">
        <v>76</v>
      </c>
      <c r="D3" s="19" t="s">
        <v>77</v>
      </c>
      <c r="E3" s="20" t="s">
        <v>78</v>
      </c>
      <c r="F3" s="19" t="s">
        <v>79</v>
      </c>
      <c r="G3" s="19" t="s">
        <v>80</v>
      </c>
      <c r="I3" s="20" t="s">
        <v>81</v>
      </c>
      <c r="J3" s="20" t="s">
        <v>82</v>
      </c>
      <c r="K3" s="20" t="s">
        <v>83</v>
      </c>
      <c r="L3" s="20" t="s">
        <v>84</v>
      </c>
      <c r="M3" s="12"/>
      <c r="N3" s="19" t="s">
        <v>81</v>
      </c>
      <c r="O3" s="19" t="s">
        <v>82</v>
      </c>
      <c r="P3" s="19" t="s">
        <v>85</v>
      </c>
      <c r="Q3" s="19" t="s">
        <v>83</v>
      </c>
      <c r="R3" s="19" t="s">
        <v>85</v>
      </c>
      <c r="S3" s="19" t="s">
        <v>84</v>
      </c>
      <c r="U3" s="19" t="s">
        <v>81</v>
      </c>
      <c r="V3" s="19" t="s">
        <v>82</v>
      </c>
      <c r="W3" s="19" t="s">
        <v>85</v>
      </c>
      <c r="X3" s="19" t="s">
        <v>83</v>
      </c>
      <c r="Y3" s="19" t="s">
        <v>85</v>
      </c>
      <c r="Z3" s="19" t="s">
        <v>84</v>
      </c>
      <c r="AB3" s="19" t="s">
        <v>81</v>
      </c>
      <c r="AC3" s="19" t="s">
        <v>82</v>
      </c>
      <c r="AD3" s="19" t="s">
        <v>85</v>
      </c>
      <c r="AE3" s="19" t="s">
        <v>83</v>
      </c>
      <c r="AF3" s="19" t="s">
        <v>85</v>
      </c>
      <c r="AG3" s="19" t="s">
        <v>84</v>
      </c>
      <c r="AI3" s="19" t="s">
        <v>81</v>
      </c>
      <c r="AJ3" s="19" t="s">
        <v>82</v>
      </c>
      <c r="AK3" s="19" t="s">
        <v>85</v>
      </c>
      <c r="AL3" s="19" t="s">
        <v>83</v>
      </c>
      <c r="AM3" s="19" t="s">
        <v>85</v>
      </c>
      <c r="AN3" s="19" t="s">
        <v>84</v>
      </c>
      <c r="AP3" s="19" t="s">
        <v>81</v>
      </c>
      <c r="AQ3" s="19" t="s">
        <v>82</v>
      </c>
      <c r="AR3" s="19" t="s">
        <v>85</v>
      </c>
      <c r="AS3" s="19" t="s">
        <v>83</v>
      </c>
      <c r="AT3" s="19" t="s">
        <v>85</v>
      </c>
      <c r="AU3" s="19" t="s">
        <v>84</v>
      </c>
      <c r="AW3" s="19" t="s">
        <v>81</v>
      </c>
      <c r="AX3" s="19" t="s">
        <v>82</v>
      </c>
      <c r="AY3" s="19" t="s">
        <v>85</v>
      </c>
      <c r="AZ3" s="19" t="s">
        <v>83</v>
      </c>
      <c r="BA3" s="19" t="s">
        <v>85</v>
      </c>
      <c r="BB3" s="19" t="s">
        <v>84</v>
      </c>
      <c r="BD3" s="19" t="s">
        <v>81</v>
      </c>
      <c r="BE3" s="19" t="s">
        <v>82</v>
      </c>
      <c r="BF3" s="19" t="s">
        <v>85</v>
      </c>
      <c r="BG3" s="19" t="s">
        <v>83</v>
      </c>
      <c r="BH3" s="19" t="s">
        <v>85</v>
      </c>
      <c r="BI3" s="19" t="s">
        <v>84</v>
      </c>
      <c r="BK3" s="19" t="s">
        <v>81</v>
      </c>
      <c r="BL3" s="19" t="s">
        <v>82</v>
      </c>
      <c r="BM3" s="19" t="s">
        <v>85</v>
      </c>
      <c r="BN3" s="19" t="s">
        <v>83</v>
      </c>
      <c r="BO3" s="19" t="s">
        <v>85</v>
      </c>
      <c r="BP3" s="19" t="s">
        <v>84</v>
      </c>
      <c r="BR3" s="19" t="s">
        <v>81</v>
      </c>
      <c r="BS3" s="19" t="s">
        <v>82</v>
      </c>
      <c r="BT3" s="19" t="s">
        <v>85</v>
      </c>
      <c r="BU3" s="19" t="s">
        <v>83</v>
      </c>
      <c r="BV3" s="19" t="s">
        <v>85</v>
      </c>
      <c r="BW3" s="19" t="s">
        <v>84</v>
      </c>
      <c r="BY3" s="19" t="s">
        <v>81</v>
      </c>
      <c r="BZ3" s="19" t="s">
        <v>82</v>
      </c>
      <c r="CA3" s="19" t="s">
        <v>85</v>
      </c>
      <c r="CB3" s="19" t="s">
        <v>83</v>
      </c>
      <c r="CC3" s="19" t="s">
        <v>85</v>
      </c>
      <c r="CD3" s="19" t="s">
        <v>84</v>
      </c>
      <c r="CF3" s="19" t="s">
        <v>81</v>
      </c>
      <c r="CG3" s="19" t="s">
        <v>82</v>
      </c>
      <c r="CH3" s="19" t="s">
        <v>85</v>
      </c>
      <c r="CI3" s="19" t="s">
        <v>83</v>
      </c>
      <c r="CJ3" s="19" t="s">
        <v>85</v>
      </c>
      <c r="CK3" s="19" t="s">
        <v>84</v>
      </c>
      <c r="CM3" s="19" t="s">
        <v>81</v>
      </c>
      <c r="CN3" s="19" t="s">
        <v>82</v>
      </c>
      <c r="CO3" s="19" t="s">
        <v>85</v>
      </c>
      <c r="CP3" s="19" t="s">
        <v>83</v>
      </c>
      <c r="CQ3" s="19" t="s">
        <v>85</v>
      </c>
      <c r="CR3" s="19" t="s">
        <v>84</v>
      </c>
      <c r="CT3" s="19" t="s">
        <v>81</v>
      </c>
      <c r="CU3" s="19" t="s">
        <v>82</v>
      </c>
      <c r="CV3" s="19" t="s">
        <v>85</v>
      </c>
      <c r="CW3" s="19" t="s">
        <v>83</v>
      </c>
      <c r="CX3" s="19" t="s">
        <v>85</v>
      </c>
      <c r="CY3" s="19" t="s">
        <v>84</v>
      </c>
      <c r="DA3" s="19" t="s">
        <v>81</v>
      </c>
      <c r="DB3" s="19" t="s">
        <v>82</v>
      </c>
      <c r="DC3" s="19" t="s">
        <v>85</v>
      </c>
      <c r="DD3" s="19" t="s">
        <v>83</v>
      </c>
      <c r="DE3" s="19" t="s">
        <v>85</v>
      </c>
      <c r="DF3" s="19" t="s">
        <v>84</v>
      </c>
      <c r="DH3" s="19" t="s">
        <v>81</v>
      </c>
      <c r="DI3" s="19" t="s">
        <v>82</v>
      </c>
      <c r="DJ3" s="19" t="s">
        <v>85</v>
      </c>
      <c r="DK3" s="19" t="s">
        <v>83</v>
      </c>
      <c r="DL3" s="19" t="s">
        <v>85</v>
      </c>
      <c r="DM3" s="19" t="s">
        <v>84</v>
      </c>
      <c r="DO3" s="19" t="s">
        <v>81</v>
      </c>
      <c r="DP3" s="19" t="s">
        <v>82</v>
      </c>
      <c r="DQ3" s="19" t="s">
        <v>85</v>
      </c>
      <c r="DR3" s="19" t="s">
        <v>83</v>
      </c>
      <c r="DS3" s="19" t="s">
        <v>85</v>
      </c>
      <c r="DT3" s="19" t="s">
        <v>84</v>
      </c>
      <c r="DV3" s="19" t="s">
        <v>81</v>
      </c>
      <c r="DW3" s="19" t="s">
        <v>82</v>
      </c>
      <c r="DX3" s="19" t="s">
        <v>85</v>
      </c>
      <c r="DY3" s="19" t="s">
        <v>83</v>
      </c>
      <c r="DZ3" s="19" t="s">
        <v>85</v>
      </c>
      <c r="EA3" s="19" t="s">
        <v>84</v>
      </c>
    </row>
    <row r="4" spans="1:131" ht="15.75" customHeight="1" x14ac:dyDescent="0.2">
      <c r="B4" s="8" t="s">
        <v>43</v>
      </c>
      <c r="C4" s="8" t="s">
        <v>86</v>
      </c>
      <c r="D4" s="21">
        <v>46354</v>
      </c>
      <c r="E4" s="13">
        <v>5</v>
      </c>
      <c r="F4" s="26"/>
      <c r="G4" s="22">
        <f>+SUM(G5:G14)</f>
        <v>0.99999999999999989</v>
      </c>
      <c r="I4" s="23">
        <f>+SUM(I5:I14)</f>
        <v>0</v>
      </c>
      <c r="J4" s="16">
        <f>+SUMPRODUCT(G5:G14,J5:J14)</f>
        <v>0</v>
      </c>
      <c r="K4" s="16">
        <f>+SUMPRODUCT(G5:G14,K5:K14)</f>
        <v>0</v>
      </c>
      <c r="L4" s="13"/>
      <c r="M4" s="12"/>
      <c r="N4" s="23">
        <f>+SUM(N5:N14)</f>
        <v>0</v>
      </c>
      <c r="U4" s="23">
        <f>+SUM(U5:U14)</f>
        <v>0</v>
      </c>
      <c r="AB4" s="23">
        <f>+SUM(AB5:AB14)</f>
        <v>0</v>
      </c>
      <c r="AI4" s="23">
        <f>+SUM(AI5:AI14)</f>
        <v>0</v>
      </c>
      <c r="AP4" s="23">
        <f>+SUM(AP5:AP14)</f>
        <v>0</v>
      </c>
      <c r="AW4" s="23">
        <f>+SUM(AW5:AW14)</f>
        <v>0</v>
      </c>
      <c r="AX4" s="23"/>
      <c r="BD4" s="23">
        <f>+SUM(BD5:BD14)</f>
        <v>0</v>
      </c>
      <c r="BK4" s="23">
        <f>+SUM(BK5:BK14)</f>
        <v>0</v>
      </c>
      <c r="BR4" s="23">
        <f>+SUM(BR5:BR14)</f>
        <v>0</v>
      </c>
      <c r="BY4" s="23">
        <f>+SUM(BY5:BY14)</f>
        <v>0</v>
      </c>
      <c r="CF4" s="23">
        <f>+SUM(CF5:CF14)</f>
        <v>0</v>
      </c>
      <c r="CM4" s="23">
        <f>+SUM(CM5:CM14)</f>
        <v>0</v>
      </c>
      <c r="CT4" s="23">
        <f>+SUM(CT5:CT14)</f>
        <v>0</v>
      </c>
      <c r="DA4" s="23">
        <f>+SUM(DA5:DA14)</f>
        <v>0</v>
      </c>
      <c r="DH4" s="23">
        <f>+SUM(DH5:DH14)</f>
        <v>0</v>
      </c>
      <c r="DO4" s="23">
        <f>+SUM(DO5:DO14)</f>
        <v>0</v>
      </c>
      <c r="DV4" s="23">
        <f>+SUM(DV5:DV14)</f>
        <v>0</v>
      </c>
    </row>
    <row r="5" spans="1:131" ht="15.75" customHeight="1" outlineLevel="1" x14ac:dyDescent="0.2">
      <c r="B5" s="8" t="s">
        <v>87</v>
      </c>
      <c r="C5" s="8" t="str">
        <f>C4</f>
        <v>ABWL</v>
      </c>
      <c r="E5" s="13"/>
      <c r="F5" s="24" t="s">
        <v>88</v>
      </c>
      <c r="G5" s="22">
        <f>1/10</f>
        <v>0.1</v>
      </c>
      <c r="I5" s="13">
        <f t="shared" ref="I5:I14" si="0">+SUMIF($N$3:$AAO$3,I$3,$N5:$AAO5)</f>
        <v>0</v>
      </c>
      <c r="J5" s="16">
        <f t="array" ref="J5">MAX(IF($N$3:$EW$3=$J$3,N5:EW5))</f>
        <v>0</v>
      </c>
      <c r="K5" s="16">
        <f t="array" ref="K5">MAX(IF($N$3:$EW$3=$K$3,N5:EW5))</f>
        <v>0</v>
      </c>
      <c r="L5" s="13"/>
      <c r="M5" s="12"/>
      <c r="O5" s="22"/>
      <c r="P5" s="22">
        <v>0.5</v>
      </c>
      <c r="Q5" s="22"/>
      <c r="R5" s="22">
        <v>0.5</v>
      </c>
      <c r="S5" s="25"/>
      <c r="V5" s="22"/>
      <c r="W5" s="22">
        <v>0.8</v>
      </c>
      <c r="X5" s="22"/>
      <c r="Y5" s="22">
        <v>0.8</v>
      </c>
      <c r="AC5" s="22"/>
      <c r="AD5" s="22">
        <v>0.8</v>
      </c>
      <c r="AE5" s="22"/>
      <c r="AF5" s="22">
        <v>0.8</v>
      </c>
      <c r="AJ5" s="22"/>
      <c r="AK5" s="22">
        <v>1</v>
      </c>
      <c r="AL5" s="22"/>
      <c r="AM5" s="22">
        <v>1</v>
      </c>
      <c r="AQ5" s="22"/>
      <c r="AR5" s="22">
        <v>1</v>
      </c>
      <c r="AS5" s="22"/>
      <c r="AT5" s="22">
        <v>1</v>
      </c>
      <c r="AX5" s="22"/>
      <c r="AY5" s="22">
        <v>1</v>
      </c>
      <c r="AZ5" s="22"/>
      <c r="BA5" s="22">
        <v>1</v>
      </c>
      <c r="BE5" s="22"/>
      <c r="BF5" s="22">
        <v>1</v>
      </c>
      <c r="BG5" s="22"/>
      <c r="BH5" s="22">
        <v>1</v>
      </c>
      <c r="BL5" s="22"/>
      <c r="BM5" s="22"/>
      <c r="BN5" s="22"/>
      <c r="BO5" s="22"/>
      <c r="BS5" s="22"/>
      <c r="BT5" s="22"/>
      <c r="BU5" s="22"/>
      <c r="BV5" s="22"/>
      <c r="BZ5" s="22"/>
      <c r="CA5" s="22"/>
      <c r="CB5" s="22"/>
      <c r="CC5" s="22"/>
      <c r="CG5" s="22"/>
      <c r="CH5" s="22"/>
      <c r="CI5" s="22"/>
      <c r="CJ5" s="22"/>
      <c r="CN5" s="22"/>
      <c r="CO5" s="22"/>
      <c r="CP5" s="22"/>
      <c r="CQ5" s="22"/>
      <c r="CU5" s="22"/>
      <c r="CV5" s="22"/>
      <c r="CW5" s="22"/>
      <c r="CX5" s="22"/>
      <c r="DB5" s="22"/>
      <c r="DC5" s="22"/>
      <c r="DD5" s="22"/>
      <c r="DE5" s="22"/>
      <c r="DI5" s="22"/>
      <c r="DJ5" s="22"/>
      <c r="DK5" s="22"/>
      <c r="DL5" s="22"/>
      <c r="DP5" s="22"/>
      <c r="DQ5" s="22"/>
      <c r="DR5" s="22"/>
      <c r="DS5" s="22"/>
      <c r="DW5" s="22"/>
      <c r="DX5" s="22"/>
      <c r="DY5" s="22"/>
      <c r="DZ5" s="22"/>
    </row>
    <row r="6" spans="1:131" ht="15.75" customHeight="1" outlineLevel="1" x14ac:dyDescent="0.2">
      <c r="B6" s="8" t="s">
        <v>87</v>
      </c>
      <c r="C6" s="8" t="str">
        <f>C4</f>
        <v>ABWL</v>
      </c>
      <c r="E6" s="13"/>
      <c r="F6" s="24" t="s">
        <v>89</v>
      </c>
      <c r="G6" s="22">
        <f>G5</f>
        <v>0.1</v>
      </c>
      <c r="I6" s="13">
        <f t="shared" si="0"/>
        <v>0</v>
      </c>
      <c r="J6" s="16">
        <f t="array" ref="J6">MAX(IF($N$3:$EW$3=$J$3,N6:EW6))</f>
        <v>0</v>
      </c>
      <c r="K6" s="16">
        <f t="array" ref="K6">MAX(IF($N$3:$EW$3=$K$3,N6:EW6))</f>
        <v>0</v>
      </c>
      <c r="L6" s="13"/>
      <c r="M6" s="12"/>
      <c r="O6" s="22"/>
      <c r="P6" s="22">
        <v>0.5</v>
      </c>
      <c r="Q6" s="22"/>
      <c r="R6" s="22">
        <v>0.5</v>
      </c>
      <c r="V6" s="22"/>
      <c r="W6" s="22">
        <v>0.8</v>
      </c>
      <c r="X6" s="22"/>
      <c r="Y6" s="22">
        <v>0.8</v>
      </c>
      <c r="AC6" s="22"/>
      <c r="AD6" s="22">
        <v>0.8</v>
      </c>
      <c r="AE6" s="22"/>
      <c r="AF6" s="22">
        <v>0.8</v>
      </c>
      <c r="AJ6" s="22"/>
      <c r="AK6" s="22">
        <v>1</v>
      </c>
      <c r="AL6" s="22"/>
      <c r="AM6" s="22">
        <v>1</v>
      </c>
      <c r="AQ6" s="22"/>
      <c r="AR6" s="22">
        <v>1</v>
      </c>
      <c r="AS6" s="22"/>
      <c r="AT6" s="22">
        <v>1</v>
      </c>
      <c r="AX6" s="22"/>
      <c r="AY6" s="22">
        <v>1</v>
      </c>
      <c r="AZ6" s="22"/>
      <c r="BA6" s="22">
        <v>1</v>
      </c>
      <c r="BE6" s="22"/>
      <c r="BF6" s="22">
        <v>1</v>
      </c>
      <c r="BG6" s="22"/>
      <c r="BH6" s="22">
        <v>1</v>
      </c>
      <c r="BL6" s="22"/>
      <c r="BM6" s="22"/>
      <c r="BN6" s="22"/>
      <c r="BO6" s="22"/>
      <c r="BS6" s="22"/>
      <c r="BT6" s="22"/>
      <c r="BU6" s="22"/>
      <c r="BV6" s="22"/>
      <c r="BZ6" s="22"/>
      <c r="CA6" s="22"/>
      <c r="CB6" s="22"/>
      <c r="CC6" s="22"/>
      <c r="CG6" s="22"/>
      <c r="CH6" s="22"/>
      <c r="CI6" s="22"/>
      <c r="CJ6" s="22"/>
      <c r="CN6" s="22"/>
      <c r="CO6" s="22"/>
      <c r="CP6" s="22"/>
      <c r="CQ6" s="22"/>
      <c r="CU6" s="22"/>
      <c r="CV6" s="22"/>
      <c r="CW6" s="22"/>
      <c r="CX6" s="22"/>
      <c r="DB6" s="22"/>
      <c r="DC6" s="22"/>
      <c r="DD6" s="22"/>
      <c r="DE6" s="22"/>
      <c r="DI6" s="22"/>
      <c r="DJ6" s="22"/>
      <c r="DK6" s="22"/>
      <c r="DL6" s="22"/>
      <c r="DP6" s="22"/>
      <c r="DQ6" s="22"/>
      <c r="DR6" s="22"/>
      <c r="DS6" s="22"/>
      <c r="DW6" s="22"/>
      <c r="DX6" s="22"/>
      <c r="DY6" s="22"/>
      <c r="DZ6" s="22"/>
    </row>
    <row r="7" spans="1:131" ht="15.75" customHeight="1" outlineLevel="1" x14ac:dyDescent="0.2">
      <c r="B7" s="8" t="s">
        <v>87</v>
      </c>
      <c r="C7" s="8" t="str">
        <f>C6</f>
        <v>ABWL</v>
      </c>
      <c r="E7" s="13"/>
      <c r="F7" s="24" t="s">
        <v>90</v>
      </c>
      <c r="G7" s="22">
        <f>G5</f>
        <v>0.1</v>
      </c>
      <c r="I7" s="13">
        <f t="shared" si="0"/>
        <v>0</v>
      </c>
      <c r="J7" s="16">
        <f t="array" ref="J7">MAX(IF($N$3:$EW$3=$J$3,N7:EW7))</f>
        <v>0</v>
      </c>
      <c r="K7" s="16">
        <f t="array" ref="K7">MAX(IF($N$3:$EW$3=$K$3,N7:EW7))</f>
        <v>0</v>
      </c>
      <c r="L7" s="13"/>
      <c r="M7" s="12"/>
      <c r="O7" s="22"/>
      <c r="P7" s="22">
        <v>0.5</v>
      </c>
      <c r="Q7" s="22"/>
      <c r="R7" s="22">
        <v>0.5</v>
      </c>
      <c r="V7" s="22"/>
      <c r="W7" s="22">
        <v>0.5</v>
      </c>
      <c r="X7" s="22"/>
      <c r="Y7" s="22">
        <v>0.5</v>
      </c>
      <c r="AC7" s="22"/>
      <c r="AD7" s="22">
        <v>0.8</v>
      </c>
      <c r="AE7" s="22"/>
      <c r="AF7" s="22">
        <v>0.8</v>
      </c>
      <c r="AJ7" s="22"/>
      <c r="AK7" s="22">
        <v>0.8</v>
      </c>
      <c r="AL7" s="22"/>
      <c r="AM7" s="22">
        <v>0.8</v>
      </c>
      <c r="AQ7" s="22"/>
      <c r="AR7" s="22">
        <v>1</v>
      </c>
      <c r="AS7" s="22"/>
      <c r="AT7" s="22">
        <v>1</v>
      </c>
      <c r="AX7" s="22"/>
      <c r="AY7" s="22">
        <v>1</v>
      </c>
      <c r="AZ7" s="22"/>
      <c r="BA7" s="22">
        <v>1</v>
      </c>
      <c r="BE7" s="22"/>
      <c r="BF7" s="22">
        <v>1</v>
      </c>
      <c r="BG7" s="22"/>
      <c r="BH7" s="22">
        <v>1</v>
      </c>
      <c r="BL7" s="22"/>
      <c r="BM7" s="22"/>
      <c r="BN7" s="22"/>
      <c r="BO7" s="22"/>
      <c r="BS7" s="22"/>
      <c r="BT7" s="22"/>
      <c r="BU7" s="22"/>
      <c r="BV7" s="22"/>
      <c r="BZ7" s="22"/>
      <c r="CA7" s="22"/>
      <c r="CB7" s="22"/>
      <c r="CC7" s="22"/>
      <c r="CG7" s="22"/>
      <c r="CH7" s="22"/>
      <c r="CI7" s="22"/>
      <c r="CJ7" s="22"/>
      <c r="CN7" s="22"/>
      <c r="CO7" s="22"/>
      <c r="CP7" s="22"/>
      <c r="CQ7" s="22"/>
      <c r="CU7" s="22"/>
      <c r="CV7" s="22"/>
      <c r="CW7" s="22"/>
      <c r="CX7" s="22"/>
      <c r="DB7" s="22"/>
      <c r="DC7" s="22"/>
      <c r="DD7" s="22"/>
      <c r="DE7" s="22"/>
      <c r="DI7" s="22"/>
      <c r="DJ7" s="22"/>
      <c r="DK7" s="22"/>
      <c r="DL7" s="22"/>
      <c r="DP7" s="22"/>
      <c r="DQ7" s="22"/>
      <c r="DR7" s="22"/>
      <c r="DS7" s="22"/>
      <c r="DW7" s="22"/>
      <c r="DX7" s="22"/>
      <c r="DY7" s="22"/>
      <c r="DZ7" s="22"/>
    </row>
    <row r="8" spans="1:131" ht="15.75" customHeight="1" outlineLevel="1" x14ac:dyDescent="0.2">
      <c r="B8" s="8" t="s">
        <v>87</v>
      </c>
      <c r="C8" s="8" t="str">
        <f>C6</f>
        <v>ABWL</v>
      </c>
      <c r="E8" s="13"/>
      <c r="F8" s="24" t="s">
        <v>91</v>
      </c>
      <c r="G8" s="22">
        <f>G5</f>
        <v>0.1</v>
      </c>
      <c r="I8" s="13">
        <f t="shared" si="0"/>
        <v>0</v>
      </c>
      <c r="J8" s="16">
        <f t="array" ref="J8">MAX(IF($N$3:$EW$3=$J$3,N8:EW8))</f>
        <v>0</v>
      </c>
      <c r="K8" s="16">
        <f t="array" ref="K8">MAX(IF($N$3:$EW$3=$K$3,N8:EW8))</f>
        <v>0</v>
      </c>
      <c r="L8" s="13"/>
      <c r="M8" s="12"/>
      <c r="O8" s="22"/>
      <c r="P8" s="22">
        <v>0.5</v>
      </c>
      <c r="Q8" s="22"/>
      <c r="R8" s="22">
        <v>0.5</v>
      </c>
      <c r="V8" s="22"/>
      <c r="W8" s="22">
        <v>0.5</v>
      </c>
      <c r="X8" s="22"/>
      <c r="Y8" s="22">
        <v>0.5</v>
      </c>
      <c r="AC8" s="22"/>
      <c r="AD8" s="22">
        <v>0.8</v>
      </c>
      <c r="AE8" s="22"/>
      <c r="AF8" s="22">
        <v>0.8</v>
      </c>
      <c r="AJ8" s="22"/>
      <c r="AK8" s="22">
        <v>0.8</v>
      </c>
      <c r="AL8" s="22"/>
      <c r="AM8" s="22">
        <v>0.8</v>
      </c>
      <c r="AQ8" s="22"/>
      <c r="AR8" s="22">
        <v>1</v>
      </c>
      <c r="AS8" s="22"/>
      <c r="AT8" s="22">
        <v>1</v>
      </c>
      <c r="AX8" s="22"/>
      <c r="AY8" s="22">
        <v>1</v>
      </c>
      <c r="AZ8" s="22"/>
      <c r="BA8" s="22">
        <v>1</v>
      </c>
      <c r="BE8" s="22"/>
      <c r="BF8" s="22">
        <v>1</v>
      </c>
      <c r="BG8" s="22"/>
      <c r="BH8" s="22">
        <v>1</v>
      </c>
      <c r="BL8" s="22"/>
      <c r="BM8" s="22"/>
      <c r="BN8" s="22"/>
      <c r="BO8" s="22"/>
      <c r="BS8" s="22"/>
      <c r="BT8" s="22"/>
      <c r="BU8" s="22"/>
      <c r="BV8" s="22"/>
      <c r="BZ8" s="22"/>
      <c r="CA8" s="22"/>
      <c r="CB8" s="22"/>
      <c r="CC8" s="22"/>
      <c r="CG8" s="22"/>
      <c r="CH8" s="22"/>
      <c r="CI8" s="22"/>
      <c r="CJ8" s="22"/>
      <c r="CN8" s="22"/>
      <c r="CO8" s="22"/>
      <c r="CP8" s="22"/>
      <c r="CQ8" s="22"/>
      <c r="CU8" s="22"/>
      <c r="CV8" s="22"/>
      <c r="CW8" s="22"/>
      <c r="CX8" s="22"/>
      <c r="DB8" s="22"/>
      <c r="DC8" s="22"/>
      <c r="DD8" s="22"/>
      <c r="DE8" s="22"/>
      <c r="DI8" s="22"/>
      <c r="DJ8" s="22"/>
      <c r="DK8" s="22"/>
      <c r="DL8" s="22"/>
      <c r="DP8" s="22"/>
      <c r="DQ8" s="22"/>
      <c r="DR8" s="22"/>
      <c r="DS8" s="22"/>
      <c r="DW8" s="22"/>
      <c r="DX8" s="22"/>
      <c r="DY8" s="22"/>
      <c r="DZ8" s="22"/>
    </row>
    <row r="9" spans="1:131" ht="15.75" customHeight="1" outlineLevel="1" x14ac:dyDescent="0.2">
      <c r="B9" s="8" t="s">
        <v>87</v>
      </c>
      <c r="C9" s="8" t="str">
        <f>C8</f>
        <v>ABWL</v>
      </c>
      <c r="E9" s="13"/>
      <c r="F9" s="24" t="s">
        <v>92</v>
      </c>
      <c r="G9" s="22">
        <f>G5</f>
        <v>0.1</v>
      </c>
      <c r="I9" s="13">
        <f t="shared" si="0"/>
        <v>0</v>
      </c>
      <c r="J9" s="16">
        <f t="array" ref="J9">MAX(IF($N$3:$EW$3=$J$3,N9:EW9))</f>
        <v>0</v>
      </c>
      <c r="K9" s="16">
        <f t="array" ref="K9">MAX(IF($N$3:$EW$3=$K$3,N9:EW9))</f>
        <v>0</v>
      </c>
      <c r="L9" s="13"/>
      <c r="M9" s="12"/>
      <c r="O9" s="22"/>
      <c r="P9" s="22">
        <v>0.5</v>
      </c>
      <c r="Q9" s="22"/>
      <c r="R9" s="22">
        <v>0.5</v>
      </c>
      <c r="V9" s="22"/>
      <c r="W9" s="22">
        <v>0.5</v>
      </c>
      <c r="X9" s="22"/>
      <c r="Y9" s="22">
        <v>0.5</v>
      </c>
      <c r="AC9" s="22"/>
      <c r="AD9" s="22">
        <v>0.8</v>
      </c>
      <c r="AE9" s="22"/>
      <c r="AF9" s="22">
        <v>0.8</v>
      </c>
      <c r="AJ9" s="22"/>
      <c r="AK9" s="22">
        <v>0.8</v>
      </c>
      <c r="AL9" s="22"/>
      <c r="AM9" s="22">
        <v>0.8</v>
      </c>
      <c r="AQ9" s="22"/>
      <c r="AR9" s="22">
        <v>1</v>
      </c>
      <c r="AS9" s="22"/>
      <c r="AT9" s="22">
        <v>1</v>
      </c>
      <c r="AX9" s="22"/>
      <c r="AY9" s="22">
        <v>1</v>
      </c>
      <c r="AZ9" s="22"/>
      <c r="BA9" s="22">
        <v>1</v>
      </c>
      <c r="BE9" s="22"/>
      <c r="BF9" s="22">
        <v>1</v>
      </c>
      <c r="BG9" s="22"/>
      <c r="BH9" s="22">
        <v>1</v>
      </c>
      <c r="BL9" s="22"/>
      <c r="BM9" s="22"/>
      <c r="BN9" s="22"/>
      <c r="BO9" s="22"/>
      <c r="BS9" s="22"/>
      <c r="BT9" s="22"/>
      <c r="BU9" s="22"/>
      <c r="BV9" s="22"/>
      <c r="BZ9" s="22"/>
      <c r="CA9" s="22"/>
      <c r="CB9" s="22"/>
      <c r="CC9" s="22"/>
      <c r="CG9" s="22"/>
      <c r="CH9" s="22"/>
      <c r="CI9" s="22"/>
      <c r="CJ9" s="22"/>
      <c r="CN9" s="22"/>
      <c r="CO9" s="22"/>
      <c r="CP9" s="22"/>
      <c r="CQ9" s="22"/>
      <c r="CU9" s="22"/>
      <c r="CV9" s="22"/>
      <c r="CW9" s="22"/>
      <c r="CX9" s="22"/>
      <c r="DB9" s="22"/>
      <c r="DC9" s="22"/>
      <c r="DD9" s="22"/>
      <c r="DE9" s="22"/>
      <c r="DI9" s="22"/>
      <c r="DJ9" s="22"/>
      <c r="DK9" s="22"/>
      <c r="DL9" s="22"/>
      <c r="DP9" s="22"/>
      <c r="DQ9" s="22"/>
      <c r="DR9" s="22"/>
      <c r="DS9" s="22"/>
      <c r="DW9" s="22"/>
      <c r="DX9" s="22"/>
      <c r="DY9" s="22"/>
      <c r="DZ9" s="22"/>
    </row>
    <row r="10" spans="1:131" ht="15.75" customHeight="1" outlineLevel="1" x14ac:dyDescent="0.2">
      <c r="B10" s="8" t="s">
        <v>87</v>
      </c>
      <c r="C10" s="8" t="str">
        <f>C8</f>
        <v>ABWL</v>
      </c>
      <c r="E10" s="13"/>
      <c r="F10" s="24" t="s">
        <v>93</v>
      </c>
      <c r="G10" s="22">
        <f>G5</f>
        <v>0.1</v>
      </c>
      <c r="I10" s="13">
        <f t="shared" si="0"/>
        <v>0</v>
      </c>
      <c r="J10" s="16">
        <f t="array" ref="J10">MAX(IF($N$3:$EW$3=$J$3,N10:EW10))</f>
        <v>0</v>
      </c>
      <c r="K10" s="16">
        <f t="array" ref="K10">MAX(IF($N$3:$EW$3=$K$3,N10:EW10))</f>
        <v>0</v>
      </c>
      <c r="L10" s="13"/>
      <c r="M10" s="12"/>
      <c r="O10" s="22"/>
      <c r="P10" s="22"/>
      <c r="Q10" s="22"/>
      <c r="R10" s="22"/>
      <c r="V10" s="22"/>
      <c r="W10" s="22">
        <v>0.5</v>
      </c>
      <c r="X10" s="22"/>
      <c r="Y10" s="22">
        <v>0.5</v>
      </c>
      <c r="AC10" s="22"/>
      <c r="AD10" s="22">
        <v>0.5</v>
      </c>
      <c r="AE10" s="22"/>
      <c r="AF10" s="22">
        <v>0.5</v>
      </c>
      <c r="AJ10" s="22"/>
      <c r="AK10" s="22">
        <v>0.8</v>
      </c>
      <c r="AL10" s="22"/>
      <c r="AM10" s="22">
        <v>0.8</v>
      </c>
      <c r="AQ10" s="22"/>
      <c r="AR10" s="22">
        <v>0.8</v>
      </c>
      <c r="AS10" s="22"/>
      <c r="AT10" s="22">
        <v>0.8</v>
      </c>
      <c r="AX10" s="22"/>
      <c r="AY10" s="22">
        <v>1</v>
      </c>
      <c r="AZ10" s="22"/>
      <c r="BA10" s="22">
        <v>1</v>
      </c>
      <c r="BE10" s="22"/>
      <c r="BF10" s="22">
        <v>1</v>
      </c>
      <c r="BG10" s="22"/>
      <c r="BH10" s="22">
        <v>1</v>
      </c>
      <c r="BL10" s="22"/>
      <c r="BM10" s="22"/>
      <c r="BN10" s="22"/>
      <c r="BO10" s="22"/>
      <c r="BS10" s="22"/>
      <c r="BT10" s="22"/>
      <c r="BU10" s="22"/>
      <c r="BV10" s="22"/>
      <c r="BZ10" s="22"/>
      <c r="CA10" s="22"/>
      <c r="CB10" s="22"/>
      <c r="CC10" s="22"/>
      <c r="CG10" s="22"/>
      <c r="CH10" s="22"/>
      <c r="CI10" s="22"/>
      <c r="CJ10" s="22"/>
      <c r="CN10" s="22"/>
      <c r="CO10" s="22"/>
      <c r="CP10" s="22"/>
      <c r="CQ10" s="22"/>
      <c r="CU10" s="22"/>
      <c r="CV10" s="22"/>
      <c r="CW10" s="22"/>
      <c r="CX10" s="22"/>
      <c r="DB10" s="22"/>
      <c r="DC10" s="22"/>
      <c r="DD10" s="22"/>
      <c r="DE10" s="22"/>
      <c r="DI10" s="22"/>
      <c r="DJ10" s="22"/>
      <c r="DK10" s="22"/>
      <c r="DL10" s="22"/>
      <c r="DP10" s="22"/>
      <c r="DQ10" s="22"/>
      <c r="DR10" s="22"/>
      <c r="DS10" s="22"/>
      <c r="DW10" s="22"/>
      <c r="DX10" s="22"/>
      <c r="DY10" s="22"/>
      <c r="DZ10" s="22"/>
    </row>
    <row r="11" spans="1:131" ht="15.75" customHeight="1" outlineLevel="1" x14ac:dyDescent="0.2">
      <c r="B11" s="8" t="s">
        <v>87</v>
      </c>
      <c r="C11" s="8" t="str">
        <f>C10</f>
        <v>ABWL</v>
      </c>
      <c r="E11" s="13"/>
      <c r="F11" s="24" t="s">
        <v>94</v>
      </c>
      <c r="G11" s="22">
        <f>G5</f>
        <v>0.1</v>
      </c>
      <c r="I11" s="13">
        <f t="shared" si="0"/>
        <v>0</v>
      </c>
      <c r="J11" s="16">
        <f t="array" ref="J11">MAX(IF($N$3:$EW$3=$J$3,N11:EW11))</f>
        <v>0</v>
      </c>
      <c r="K11" s="16">
        <f t="array" ref="K11">MAX(IF($N$3:$EW$3=$K$3,N11:EW11))</f>
        <v>0</v>
      </c>
      <c r="L11" s="13"/>
      <c r="M11" s="12"/>
      <c r="O11" s="22"/>
      <c r="P11" s="22"/>
      <c r="Q11" s="22"/>
      <c r="R11" s="22"/>
      <c r="V11" s="22"/>
      <c r="W11" s="22">
        <v>0.5</v>
      </c>
      <c r="X11" s="22"/>
      <c r="Y11" s="22">
        <v>0.5</v>
      </c>
      <c r="AC11" s="22"/>
      <c r="AD11" s="22">
        <v>0.5</v>
      </c>
      <c r="AE11" s="22"/>
      <c r="AF11" s="22">
        <v>0.5</v>
      </c>
      <c r="AJ11" s="22"/>
      <c r="AK11" s="22">
        <v>0.8</v>
      </c>
      <c r="AL11" s="22"/>
      <c r="AM11" s="22">
        <v>0.8</v>
      </c>
      <c r="AQ11" s="22"/>
      <c r="AR11" s="22">
        <v>0.8</v>
      </c>
      <c r="AS11" s="22"/>
      <c r="AT11" s="22">
        <v>0.8</v>
      </c>
      <c r="AX11" s="22"/>
      <c r="AY11" s="22">
        <v>1</v>
      </c>
      <c r="AZ11" s="22"/>
      <c r="BA11" s="22">
        <v>1</v>
      </c>
      <c r="BE11" s="22"/>
      <c r="BF11" s="22">
        <v>1</v>
      </c>
      <c r="BG11" s="22"/>
      <c r="BH11" s="22">
        <v>1</v>
      </c>
      <c r="BL11" s="22"/>
      <c r="BM11" s="22"/>
      <c r="BN11" s="22"/>
      <c r="BO11" s="22"/>
      <c r="BS11" s="22"/>
      <c r="BT11" s="22"/>
      <c r="BU11" s="22"/>
      <c r="BV11" s="22"/>
      <c r="BZ11" s="22"/>
      <c r="CA11" s="22"/>
      <c r="CB11" s="22"/>
      <c r="CC11" s="22"/>
      <c r="CG11" s="22"/>
      <c r="CH11" s="22"/>
      <c r="CI11" s="22"/>
      <c r="CJ11" s="22"/>
      <c r="CN11" s="22"/>
      <c r="CO11" s="22"/>
      <c r="CP11" s="22"/>
      <c r="CQ11" s="22"/>
      <c r="CU11" s="22"/>
      <c r="CV11" s="22"/>
      <c r="CW11" s="22"/>
      <c r="CX11" s="22"/>
      <c r="DB11" s="22"/>
      <c r="DC11" s="22"/>
      <c r="DD11" s="22"/>
      <c r="DE11" s="22"/>
      <c r="DI11" s="22"/>
      <c r="DJ11" s="22"/>
      <c r="DK11" s="22"/>
      <c r="DL11" s="22"/>
      <c r="DP11" s="22"/>
      <c r="DQ11" s="22"/>
      <c r="DR11" s="22"/>
      <c r="DS11" s="22"/>
      <c r="DW11" s="22"/>
      <c r="DX11" s="22"/>
      <c r="DY11" s="22"/>
      <c r="DZ11" s="22"/>
    </row>
    <row r="12" spans="1:131" ht="15.75" customHeight="1" outlineLevel="1" x14ac:dyDescent="0.2">
      <c r="B12" s="8" t="s">
        <v>87</v>
      </c>
      <c r="C12" s="8" t="str">
        <f>C10</f>
        <v>ABWL</v>
      </c>
      <c r="E12" s="13"/>
      <c r="F12" s="24" t="s">
        <v>95</v>
      </c>
      <c r="G12" s="22">
        <f>G5</f>
        <v>0.1</v>
      </c>
      <c r="I12" s="13">
        <f t="shared" si="0"/>
        <v>0</v>
      </c>
      <c r="J12" s="16">
        <f t="array" ref="J12">MAX(IF($N$3:$EW$3=$J$3,N12:EW12))</f>
        <v>0</v>
      </c>
      <c r="K12" s="16">
        <f t="array" ref="K12">MAX(IF($N$3:$EW$3=$K$3,N12:EW12))</f>
        <v>0</v>
      </c>
      <c r="L12" s="13"/>
      <c r="M12" s="12"/>
      <c r="O12" s="22"/>
      <c r="P12" s="22"/>
      <c r="Q12" s="22"/>
      <c r="R12" s="22"/>
      <c r="V12" s="22"/>
      <c r="W12" s="22">
        <v>0.5</v>
      </c>
      <c r="X12" s="22"/>
      <c r="Y12" s="22">
        <v>0.5</v>
      </c>
      <c r="AC12" s="22"/>
      <c r="AD12" s="22">
        <v>0.5</v>
      </c>
      <c r="AE12" s="22"/>
      <c r="AF12" s="22">
        <v>0.5</v>
      </c>
      <c r="AJ12" s="22"/>
      <c r="AK12" s="22">
        <v>0.8</v>
      </c>
      <c r="AL12" s="22"/>
      <c r="AM12" s="22">
        <v>0.8</v>
      </c>
      <c r="AQ12" s="22"/>
      <c r="AR12" s="22">
        <v>0.8</v>
      </c>
      <c r="AS12" s="22"/>
      <c r="AT12" s="22">
        <v>0.8</v>
      </c>
      <c r="AX12" s="22"/>
      <c r="AY12" s="22">
        <v>1</v>
      </c>
      <c r="AZ12" s="22"/>
      <c r="BA12" s="22">
        <v>1</v>
      </c>
      <c r="BE12" s="22"/>
      <c r="BF12" s="22">
        <v>1</v>
      </c>
      <c r="BG12" s="22"/>
      <c r="BH12" s="22">
        <v>1</v>
      </c>
      <c r="BL12" s="22"/>
      <c r="BM12" s="22"/>
      <c r="BN12" s="22"/>
      <c r="BO12" s="22"/>
      <c r="BS12" s="22"/>
      <c r="BT12" s="22"/>
      <c r="BU12" s="22"/>
      <c r="BV12" s="22"/>
      <c r="BZ12" s="22"/>
      <c r="CA12" s="22"/>
      <c r="CB12" s="22"/>
      <c r="CC12" s="22"/>
      <c r="CG12" s="22"/>
      <c r="CH12" s="22"/>
      <c r="CI12" s="22"/>
      <c r="CJ12" s="22"/>
      <c r="CN12" s="22"/>
      <c r="CO12" s="22"/>
      <c r="CP12" s="22"/>
      <c r="CQ12" s="22"/>
      <c r="CU12" s="22"/>
      <c r="CV12" s="22"/>
      <c r="CW12" s="22"/>
      <c r="CX12" s="22"/>
      <c r="DB12" s="22"/>
      <c r="DC12" s="22"/>
      <c r="DD12" s="22"/>
      <c r="DE12" s="22"/>
      <c r="DI12" s="22"/>
      <c r="DJ12" s="22"/>
      <c r="DK12" s="22"/>
      <c r="DL12" s="22"/>
      <c r="DP12" s="22"/>
      <c r="DQ12" s="22"/>
      <c r="DR12" s="22"/>
      <c r="DS12" s="22"/>
      <c r="DW12" s="22"/>
      <c r="DX12" s="22"/>
      <c r="DY12" s="22"/>
      <c r="DZ12" s="22"/>
    </row>
    <row r="13" spans="1:131" ht="15.75" customHeight="1" outlineLevel="1" x14ac:dyDescent="0.2">
      <c r="B13" s="8" t="s">
        <v>87</v>
      </c>
      <c r="C13" s="8" t="str">
        <f>C12</f>
        <v>ABWL</v>
      </c>
      <c r="E13" s="13"/>
      <c r="F13" s="24" t="s">
        <v>96</v>
      </c>
      <c r="G13" s="22">
        <f>G5</f>
        <v>0.1</v>
      </c>
      <c r="I13" s="13">
        <f t="shared" si="0"/>
        <v>0</v>
      </c>
      <c r="J13" s="16">
        <f t="array" ref="J13">MAX(IF($N$3:$EW$3=$J$3,N13:EW13))</f>
        <v>0</v>
      </c>
      <c r="K13" s="16">
        <f t="array" ref="K13">MAX(IF($N$3:$EW$3=$K$3,N13:EW13))</f>
        <v>0</v>
      </c>
      <c r="L13" s="13"/>
      <c r="M13" s="12"/>
      <c r="O13" s="22"/>
      <c r="P13" s="22"/>
      <c r="Q13" s="22"/>
      <c r="R13" s="22"/>
      <c r="V13" s="22"/>
      <c r="W13" s="22"/>
      <c r="X13" s="22"/>
      <c r="Y13" s="22"/>
      <c r="AC13" s="22"/>
      <c r="AD13" s="22">
        <v>0.5</v>
      </c>
      <c r="AE13" s="22"/>
      <c r="AF13" s="22">
        <v>0.5</v>
      </c>
      <c r="AJ13" s="22"/>
      <c r="AK13" s="22">
        <v>0.5</v>
      </c>
      <c r="AL13" s="22"/>
      <c r="AM13" s="22">
        <v>0.5</v>
      </c>
      <c r="AQ13" s="22"/>
      <c r="AR13" s="22">
        <v>0.8</v>
      </c>
      <c r="AS13" s="22"/>
      <c r="AT13" s="22">
        <v>0.8</v>
      </c>
      <c r="AX13" s="22"/>
      <c r="AY13" s="22">
        <v>1</v>
      </c>
      <c r="AZ13" s="22"/>
      <c r="BA13" s="22">
        <v>1</v>
      </c>
      <c r="BE13" s="22"/>
      <c r="BF13" s="22">
        <v>1</v>
      </c>
      <c r="BG13" s="22"/>
      <c r="BH13" s="22">
        <v>1</v>
      </c>
      <c r="BL13" s="22"/>
      <c r="BM13" s="22"/>
      <c r="BN13" s="22"/>
      <c r="BO13" s="22"/>
      <c r="BS13" s="22"/>
      <c r="BT13" s="22"/>
      <c r="BU13" s="22"/>
      <c r="BV13" s="22"/>
      <c r="BZ13" s="22"/>
      <c r="CA13" s="22"/>
      <c r="CB13" s="22"/>
      <c r="CC13" s="22"/>
      <c r="CG13" s="22"/>
      <c r="CH13" s="22"/>
      <c r="CI13" s="22"/>
      <c r="CJ13" s="22"/>
      <c r="CN13" s="22"/>
      <c r="CO13" s="22"/>
      <c r="CP13" s="22"/>
      <c r="CQ13" s="22"/>
      <c r="CU13" s="22"/>
      <c r="CV13" s="22"/>
      <c r="CW13" s="22"/>
      <c r="CX13" s="22"/>
      <c r="DB13" s="22"/>
      <c r="DC13" s="22"/>
      <c r="DD13" s="22"/>
      <c r="DE13" s="22"/>
      <c r="DI13" s="22"/>
      <c r="DJ13" s="22"/>
      <c r="DK13" s="22"/>
      <c r="DL13" s="22"/>
      <c r="DP13" s="22"/>
      <c r="DQ13" s="22"/>
      <c r="DR13" s="22"/>
      <c r="DS13" s="22"/>
      <c r="DW13" s="22"/>
      <c r="DX13" s="22"/>
      <c r="DY13" s="22"/>
      <c r="DZ13" s="22"/>
    </row>
    <row r="14" spans="1:131" ht="15.75" customHeight="1" outlineLevel="1" x14ac:dyDescent="0.2">
      <c r="B14" s="8" t="s">
        <v>87</v>
      </c>
      <c r="C14" s="8" t="str">
        <f>C12</f>
        <v>ABWL</v>
      </c>
      <c r="E14" s="13"/>
      <c r="F14" s="24" t="s">
        <v>97</v>
      </c>
      <c r="G14" s="22">
        <f>G5</f>
        <v>0.1</v>
      </c>
      <c r="I14" s="13">
        <f t="shared" si="0"/>
        <v>0</v>
      </c>
      <c r="J14" s="16">
        <f t="array" ref="J14">MAX(IF($N$3:$EW$3=$J$3,N14:EW14))</f>
        <v>0</v>
      </c>
      <c r="K14" s="16">
        <f t="array" ref="K14">MAX(IF($N$3:$EW$3=$K$3,N14:EW14))</f>
        <v>0</v>
      </c>
      <c r="L14" s="13"/>
      <c r="M14" s="12"/>
      <c r="O14" s="22"/>
      <c r="P14" s="22"/>
      <c r="Q14" s="22"/>
      <c r="R14" s="22"/>
      <c r="V14" s="22"/>
      <c r="W14" s="22"/>
      <c r="X14" s="22"/>
      <c r="Y14" s="22"/>
      <c r="AC14" s="22"/>
      <c r="AD14" s="22">
        <v>0.5</v>
      </c>
      <c r="AE14" s="22"/>
      <c r="AF14" s="22">
        <v>0.5</v>
      </c>
      <c r="AJ14" s="22"/>
      <c r="AK14" s="22">
        <v>0.5</v>
      </c>
      <c r="AL14" s="22"/>
      <c r="AM14" s="22">
        <v>0.5</v>
      </c>
      <c r="AQ14" s="22"/>
      <c r="AR14" s="22">
        <v>0.8</v>
      </c>
      <c r="AS14" s="22"/>
      <c r="AT14" s="22">
        <v>0.8</v>
      </c>
      <c r="AX14" s="22"/>
      <c r="AY14" s="22">
        <v>1</v>
      </c>
      <c r="AZ14" s="22"/>
      <c r="BA14" s="22">
        <v>1</v>
      </c>
      <c r="BE14" s="22"/>
      <c r="BF14" s="22">
        <v>1</v>
      </c>
      <c r="BG14" s="22"/>
      <c r="BH14" s="22">
        <v>1</v>
      </c>
      <c r="BL14" s="22"/>
      <c r="BM14" s="22"/>
      <c r="BN14" s="22"/>
      <c r="BO14" s="22"/>
      <c r="BS14" s="22"/>
      <c r="BT14" s="22"/>
      <c r="BU14" s="22"/>
      <c r="BV14" s="22"/>
      <c r="BZ14" s="22"/>
      <c r="CA14" s="22"/>
      <c r="CB14" s="22"/>
      <c r="CC14" s="22"/>
      <c r="CG14" s="22"/>
      <c r="CH14" s="22"/>
      <c r="CI14" s="22"/>
      <c r="CJ14" s="22"/>
      <c r="CN14" s="22"/>
      <c r="CO14" s="22"/>
      <c r="CP14" s="22"/>
      <c r="CQ14" s="22"/>
      <c r="CU14" s="22"/>
      <c r="CV14" s="22"/>
      <c r="CW14" s="22"/>
      <c r="CX14" s="22"/>
      <c r="DB14" s="22"/>
      <c r="DC14" s="22"/>
      <c r="DD14" s="22"/>
      <c r="DE14" s="22"/>
      <c r="DI14" s="22"/>
      <c r="DJ14" s="22"/>
      <c r="DK14" s="22"/>
      <c r="DL14" s="22"/>
      <c r="DP14" s="22"/>
      <c r="DQ14" s="22"/>
      <c r="DR14" s="22"/>
      <c r="DS14" s="22"/>
      <c r="DW14" s="22"/>
      <c r="DX14" s="22"/>
      <c r="DY14" s="22"/>
      <c r="DZ14" s="22"/>
    </row>
    <row r="15" spans="1:131" ht="15.75" customHeight="1" x14ac:dyDescent="0.2">
      <c r="M15" s="12"/>
      <c r="O15" s="1"/>
      <c r="V15" s="1"/>
      <c r="AC15" s="1"/>
      <c r="AJ15" s="1"/>
      <c r="AQ15" s="1"/>
      <c r="AX15" s="1"/>
      <c r="BE15" s="1"/>
      <c r="BL15" s="1"/>
      <c r="BS15" s="1"/>
      <c r="BZ15" s="1"/>
      <c r="CG15" s="1"/>
      <c r="CN15" s="1"/>
      <c r="CU15" s="1"/>
      <c r="DB15" s="1"/>
      <c r="DI15" s="1"/>
      <c r="DP15" s="1"/>
      <c r="DW15" s="1"/>
    </row>
    <row r="16" spans="1:131" ht="15.75" customHeight="1" x14ac:dyDescent="0.2">
      <c r="B16" s="8" t="s">
        <v>43</v>
      </c>
      <c r="C16" s="8" t="s">
        <v>98</v>
      </c>
      <c r="D16" s="21">
        <v>46349</v>
      </c>
      <c r="E16" s="13">
        <v>6</v>
      </c>
      <c r="F16" s="27"/>
      <c r="G16" s="22">
        <f>+SUM(G17:G26)</f>
        <v>0.99999999999999989</v>
      </c>
      <c r="I16" s="23">
        <f>+SUM(I17:I26)</f>
        <v>0</v>
      </c>
      <c r="J16" s="16">
        <f>+SUMPRODUCT(G17:G26,J17:J26)</f>
        <v>0</v>
      </c>
      <c r="K16" s="16">
        <f>+SUMPRODUCT(G17:G26,K17:K26)</f>
        <v>0</v>
      </c>
      <c r="L16" s="13"/>
      <c r="M16" s="12"/>
      <c r="N16" s="23">
        <f>+SUM(N17:N26)</f>
        <v>0</v>
      </c>
      <c r="U16" s="23">
        <f>+SUM(U17:U26)</f>
        <v>0</v>
      </c>
      <c r="AB16" s="23">
        <f>+SUM(AB17:AB26)</f>
        <v>0</v>
      </c>
      <c r="AI16" s="23">
        <f>+SUM(AI17:AI26)</f>
        <v>0</v>
      </c>
      <c r="AP16" s="23">
        <f>+SUM(AP17:AP26)</f>
        <v>0</v>
      </c>
      <c r="AW16" s="23">
        <f>+SUM(AW17:AW26)</f>
        <v>0</v>
      </c>
      <c r="AX16" s="23"/>
      <c r="BD16" s="23">
        <f>+SUM(BD17:BD26)</f>
        <v>0</v>
      </c>
      <c r="BK16" s="23">
        <f>+SUM(BK17:BK26)</f>
        <v>0</v>
      </c>
      <c r="BR16" s="23">
        <f>+SUM(BR17:BR26)</f>
        <v>0</v>
      </c>
      <c r="BY16" s="23">
        <f>+SUM(BY17:BY26)</f>
        <v>0</v>
      </c>
      <c r="CF16" s="23">
        <f>+SUM(CF17:CF26)</f>
        <v>0</v>
      </c>
      <c r="CM16" s="23">
        <f>+SUM(CM17:CM26)</f>
        <v>0</v>
      </c>
      <c r="CT16" s="23">
        <f>+SUM(CT17:CT26)</f>
        <v>0</v>
      </c>
      <c r="DA16" s="23">
        <f>+SUM(DA17:DA26)</f>
        <v>0</v>
      </c>
      <c r="DH16" s="23">
        <f>+SUM(DH17:DH26)</f>
        <v>0</v>
      </c>
      <c r="DO16" s="23">
        <f>+SUM(DO17:DO26)</f>
        <v>0</v>
      </c>
      <c r="DV16" s="23">
        <f>+SUM(DV17:DV26)</f>
        <v>0</v>
      </c>
    </row>
    <row r="17" spans="2:130" ht="15.75" customHeight="1" outlineLevel="1" x14ac:dyDescent="0.2">
      <c r="B17" s="8" t="s">
        <v>87</v>
      </c>
      <c r="C17" s="8" t="str">
        <f>C16</f>
        <v>VWL</v>
      </c>
      <c r="E17" s="13"/>
      <c r="F17" s="24" t="s">
        <v>88</v>
      </c>
      <c r="G17" s="22">
        <f>1/10</f>
        <v>0.1</v>
      </c>
      <c r="I17" s="13">
        <f t="shared" ref="I17:I26" si="1">+SUMIF($N$3:$AAO$3,I$3,$N17:$AAO17)</f>
        <v>0</v>
      </c>
      <c r="J17" s="16">
        <f t="array" ref="J17">MAX(IF($N$3:$EW$3=$J$3,N17:EW17))</f>
        <v>0</v>
      </c>
      <c r="K17" s="16">
        <f t="array" ref="K17">MAX(IF($N$3:$EW$3=$K$3,N17:EW17))</f>
        <v>0</v>
      </c>
      <c r="L17" s="13"/>
      <c r="M17" s="12"/>
      <c r="O17" s="22"/>
      <c r="P17" s="22">
        <v>0.5</v>
      </c>
      <c r="Q17" s="22"/>
      <c r="R17" s="22">
        <v>0.5</v>
      </c>
      <c r="V17" s="22"/>
      <c r="W17" s="22">
        <v>0.8</v>
      </c>
      <c r="X17" s="22"/>
      <c r="Y17" s="22">
        <v>0.8</v>
      </c>
      <c r="AC17" s="22"/>
      <c r="AD17" s="22">
        <v>0.8</v>
      </c>
      <c r="AE17" s="22"/>
      <c r="AF17" s="22">
        <v>0.8</v>
      </c>
      <c r="AJ17" s="22"/>
      <c r="AK17" s="22">
        <v>1</v>
      </c>
      <c r="AL17" s="22"/>
      <c r="AM17" s="22">
        <v>1</v>
      </c>
      <c r="AQ17" s="22"/>
      <c r="AR17" s="22">
        <v>1</v>
      </c>
      <c r="AS17" s="22"/>
      <c r="AT17" s="22">
        <v>1</v>
      </c>
      <c r="AX17" s="22"/>
      <c r="AY17" s="22">
        <v>1</v>
      </c>
      <c r="AZ17" s="22"/>
      <c r="BA17" s="22">
        <v>1</v>
      </c>
      <c r="BE17" s="22"/>
      <c r="BF17" s="22">
        <v>1</v>
      </c>
      <c r="BG17" s="22"/>
      <c r="BH17" s="22">
        <v>1</v>
      </c>
      <c r="BL17" s="22"/>
      <c r="BM17" s="22"/>
      <c r="BN17" s="22"/>
      <c r="BO17" s="22"/>
      <c r="BS17" s="22"/>
      <c r="BT17" s="22"/>
      <c r="BU17" s="22"/>
      <c r="BV17" s="22"/>
      <c r="BZ17" s="22"/>
      <c r="CA17" s="22"/>
      <c r="CB17" s="22"/>
      <c r="CC17" s="22"/>
      <c r="CG17" s="22"/>
      <c r="CH17" s="22"/>
      <c r="CI17" s="22"/>
      <c r="CJ17" s="22"/>
      <c r="CN17" s="22"/>
      <c r="CO17" s="22"/>
      <c r="CP17" s="22"/>
      <c r="CQ17" s="22"/>
      <c r="CU17" s="22"/>
      <c r="CV17" s="22"/>
      <c r="CW17" s="22"/>
      <c r="CX17" s="22"/>
      <c r="DB17" s="22"/>
      <c r="DC17" s="22"/>
      <c r="DD17" s="22"/>
      <c r="DE17" s="22"/>
      <c r="DI17" s="22"/>
      <c r="DJ17" s="22"/>
      <c r="DK17" s="22"/>
      <c r="DL17" s="22"/>
      <c r="DP17" s="22"/>
      <c r="DQ17" s="22"/>
      <c r="DR17" s="22"/>
      <c r="DS17" s="22"/>
      <c r="DW17" s="22"/>
      <c r="DX17" s="22"/>
      <c r="DY17" s="22"/>
      <c r="DZ17" s="22"/>
    </row>
    <row r="18" spans="2:130" ht="15.75" customHeight="1" outlineLevel="1" x14ac:dyDescent="0.2">
      <c r="B18" s="8" t="s">
        <v>87</v>
      </c>
      <c r="C18" s="8" t="str">
        <f>C16</f>
        <v>VWL</v>
      </c>
      <c r="E18" s="13"/>
      <c r="F18" s="24" t="s">
        <v>89</v>
      </c>
      <c r="G18" s="22">
        <f>G17</f>
        <v>0.1</v>
      </c>
      <c r="I18" s="13">
        <f t="shared" si="1"/>
        <v>0</v>
      </c>
      <c r="J18" s="16">
        <f t="array" ref="J18">MAX(IF($N$3:$EW$3=$J$3,N18:EW18))</f>
        <v>0</v>
      </c>
      <c r="K18" s="16">
        <f t="array" ref="K18">MAX(IF($N$3:$EW$3=$K$3,N18:EW18))</f>
        <v>0</v>
      </c>
      <c r="L18" s="13"/>
      <c r="M18" s="12"/>
      <c r="O18" s="22"/>
      <c r="P18" s="22">
        <v>0.5</v>
      </c>
      <c r="Q18" s="22"/>
      <c r="R18" s="22">
        <v>0.5</v>
      </c>
      <c r="V18" s="22"/>
      <c r="W18" s="22">
        <v>0.8</v>
      </c>
      <c r="X18" s="22"/>
      <c r="Y18" s="22">
        <v>0.8</v>
      </c>
      <c r="AC18" s="22"/>
      <c r="AD18" s="22">
        <v>0.8</v>
      </c>
      <c r="AE18" s="22"/>
      <c r="AF18" s="22">
        <v>0.8</v>
      </c>
      <c r="AJ18" s="22"/>
      <c r="AK18" s="22">
        <v>1</v>
      </c>
      <c r="AL18" s="22"/>
      <c r="AM18" s="22">
        <v>1</v>
      </c>
      <c r="AQ18" s="22"/>
      <c r="AR18" s="22">
        <v>1</v>
      </c>
      <c r="AS18" s="22"/>
      <c r="AT18" s="22">
        <v>1</v>
      </c>
      <c r="AX18" s="22"/>
      <c r="AY18" s="22">
        <v>1</v>
      </c>
      <c r="AZ18" s="22"/>
      <c r="BA18" s="22">
        <v>1</v>
      </c>
      <c r="BE18" s="22"/>
      <c r="BF18" s="22">
        <v>1</v>
      </c>
      <c r="BG18" s="22"/>
      <c r="BH18" s="22">
        <v>1</v>
      </c>
      <c r="BL18" s="22"/>
      <c r="BM18" s="22"/>
      <c r="BN18" s="22"/>
      <c r="BO18" s="22"/>
      <c r="BS18" s="22"/>
      <c r="BT18" s="22"/>
      <c r="BU18" s="22"/>
      <c r="BV18" s="22"/>
      <c r="BZ18" s="22"/>
      <c r="CA18" s="22"/>
      <c r="CB18" s="22"/>
      <c r="CC18" s="22"/>
      <c r="CG18" s="22"/>
      <c r="CH18" s="22"/>
      <c r="CI18" s="22"/>
      <c r="CJ18" s="22"/>
      <c r="CN18" s="22"/>
      <c r="CO18" s="22"/>
      <c r="CP18" s="22"/>
      <c r="CQ18" s="22"/>
      <c r="CU18" s="22"/>
      <c r="CV18" s="22"/>
      <c r="CW18" s="22"/>
      <c r="CX18" s="22"/>
      <c r="DB18" s="22"/>
      <c r="DC18" s="22"/>
      <c r="DD18" s="22"/>
      <c r="DE18" s="22"/>
      <c r="DI18" s="22"/>
      <c r="DJ18" s="22"/>
      <c r="DK18" s="22"/>
      <c r="DL18" s="22"/>
      <c r="DP18" s="22"/>
      <c r="DQ18" s="22"/>
      <c r="DR18" s="22"/>
      <c r="DS18" s="22"/>
      <c r="DW18" s="22"/>
      <c r="DX18" s="22"/>
      <c r="DY18" s="22"/>
      <c r="DZ18" s="22"/>
    </row>
    <row r="19" spans="2:130" ht="15.75" customHeight="1" outlineLevel="1" x14ac:dyDescent="0.2">
      <c r="B19" s="8" t="s">
        <v>87</v>
      </c>
      <c r="C19" s="8" t="str">
        <f>C18</f>
        <v>VWL</v>
      </c>
      <c r="E19" s="13"/>
      <c r="F19" s="24" t="s">
        <v>90</v>
      </c>
      <c r="G19" s="22">
        <f>G17</f>
        <v>0.1</v>
      </c>
      <c r="I19" s="13">
        <f t="shared" si="1"/>
        <v>0</v>
      </c>
      <c r="J19" s="16">
        <f t="array" ref="J19">MAX(IF($N$3:$EW$3=$J$3,N19:EW19))</f>
        <v>0</v>
      </c>
      <c r="K19" s="16">
        <f t="array" ref="K19">MAX(IF($N$3:$EW$3=$K$3,N19:EW19))</f>
        <v>0</v>
      </c>
      <c r="L19" s="13"/>
      <c r="M19" s="12"/>
      <c r="O19" s="22"/>
      <c r="P19" s="22">
        <v>0.5</v>
      </c>
      <c r="Q19" s="22"/>
      <c r="R19" s="22">
        <v>0.5</v>
      </c>
      <c r="V19" s="22"/>
      <c r="W19" s="22">
        <v>0.5</v>
      </c>
      <c r="X19" s="22"/>
      <c r="Y19" s="22">
        <v>0.5</v>
      </c>
      <c r="AC19" s="22"/>
      <c r="AD19" s="22">
        <v>0.8</v>
      </c>
      <c r="AE19" s="22"/>
      <c r="AF19" s="22">
        <v>0.8</v>
      </c>
      <c r="AJ19" s="22"/>
      <c r="AK19" s="22">
        <v>0.8</v>
      </c>
      <c r="AL19" s="22"/>
      <c r="AM19" s="22">
        <v>0.8</v>
      </c>
      <c r="AQ19" s="22"/>
      <c r="AR19" s="22">
        <v>1</v>
      </c>
      <c r="AS19" s="22"/>
      <c r="AT19" s="22">
        <v>1</v>
      </c>
      <c r="AX19" s="22"/>
      <c r="AY19" s="22">
        <v>1</v>
      </c>
      <c r="AZ19" s="22"/>
      <c r="BA19" s="22">
        <v>1</v>
      </c>
      <c r="BE19" s="22"/>
      <c r="BF19" s="22">
        <v>1</v>
      </c>
      <c r="BG19" s="22"/>
      <c r="BH19" s="22">
        <v>1</v>
      </c>
      <c r="BL19" s="22"/>
      <c r="BM19" s="22"/>
      <c r="BN19" s="22"/>
      <c r="BO19" s="22"/>
      <c r="BS19" s="22"/>
      <c r="BT19" s="22"/>
      <c r="BU19" s="22"/>
      <c r="BV19" s="22"/>
      <c r="BZ19" s="22"/>
      <c r="CA19" s="22"/>
      <c r="CB19" s="22"/>
      <c r="CC19" s="22"/>
      <c r="CG19" s="22"/>
      <c r="CH19" s="22"/>
      <c r="CI19" s="22"/>
      <c r="CJ19" s="22"/>
      <c r="CN19" s="22"/>
      <c r="CO19" s="22"/>
      <c r="CP19" s="22"/>
      <c r="CQ19" s="22"/>
      <c r="CU19" s="22"/>
      <c r="CV19" s="22"/>
      <c r="CW19" s="22"/>
      <c r="CX19" s="22"/>
      <c r="DB19" s="22"/>
      <c r="DC19" s="22"/>
      <c r="DD19" s="22"/>
      <c r="DE19" s="22"/>
      <c r="DI19" s="22"/>
      <c r="DJ19" s="22"/>
      <c r="DK19" s="22"/>
      <c r="DL19" s="22"/>
      <c r="DP19" s="22"/>
      <c r="DQ19" s="22"/>
      <c r="DR19" s="22"/>
      <c r="DS19" s="22"/>
      <c r="DW19" s="22"/>
      <c r="DX19" s="22"/>
      <c r="DY19" s="22"/>
      <c r="DZ19" s="22"/>
    </row>
    <row r="20" spans="2:130" ht="15.75" customHeight="1" outlineLevel="1" x14ac:dyDescent="0.2">
      <c r="B20" s="8" t="s">
        <v>87</v>
      </c>
      <c r="C20" s="8" t="str">
        <f>C18</f>
        <v>VWL</v>
      </c>
      <c r="E20" s="13"/>
      <c r="F20" s="24" t="s">
        <v>91</v>
      </c>
      <c r="G20" s="22">
        <f>G17</f>
        <v>0.1</v>
      </c>
      <c r="I20" s="13">
        <f t="shared" si="1"/>
        <v>0</v>
      </c>
      <c r="J20" s="16">
        <f t="array" ref="J20">MAX(IF($N$3:$EW$3=$J$3,N20:EW20))</f>
        <v>0</v>
      </c>
      <c r="K20" s="16">
        <f t="array" ref="K20">MAX(IF($N$3:$EW$3=$K$3,N20:EW20))</f>
        <v>0</v>
      </c>
      <c r="L20" s="13"/>
      <c r="M20" s="12"/>
      <c r="O20" s="22"/>
      <c r="P20" s="22">
        <v>0.5</v>
      </c>
      <c r="Q20" s="22"/>
      <c r="R20" s="22">
        <v>0.5</v>
      </c>
      <c r="V20" s="22"/>
      <c r="W20" s="22">
        <v>0.5</v>
      </c>
      <c r="X20" s="22"/>
      <c r="Y20" s="22">
        <v>0.5</v>
      </c>
      <c r="AC20" s="22"/>
      <c r="AD20" s="22">
        <v>0.8</v>
      </c>
      <c r="AE20" s="22"/>
      <c r="AF20" s="22">
        <v>0.8</v>
      </c>
      <c r="AJ20" s="22"/>
      <c r="AK20" s="22">
        <v>0.8</v>
      </c>
      <c r="AL20" s="22"/>
      <c r="AM20" s="22">
        <v>0.8</v>
      </c>
      <c r="AQ20" s="22"/>
      <c r="AR20" s="22">
        <v>1</v>
      </c>
      <c r="AS20" s="22"/>
      <c r="AT20" s="22">
        <v>1</v>
      </c>
      <c r="AX20" s="22"/>
      <c r="AY20" s="22">
        <v>1</v>
      </c>
      <c r="AZ20" s="22"/>
      <c r="BA20" s="22">
        <v>1</v>
      </c>
      <c r="BE20" s="22"/>
      <c r="BF20" s="22">
        <v>1</v>
      </c>
      <c r="BG20" s="22"/>
      <c r="BH20" s="22">
        <v>1</v>
      </c>
      <c r="BL20" s="22"/>
      <c r="BM20" s="22"/>
      <c r="BN20" s="22"/>
      <c r="BO20" s="22"/>
      <c r="BS20" s="22"/>
      <c r="BT20" s="22"/>
      <c r="BU20" s="22"/>
      <c r="BV20" s="22"/>
      <c r="BZ20" s="22"/>
      <c r="CA20" s="22"/>
      <c r="CB20" s="22"/>
      <c r="CC20" s="22"/>
      <c r="CG20" s="22"/>
      <c r="CH20" s="22"/>
      <c r="CI20" s="22"/>
      <c r="CJ20" s="22"/>
      <c r="CN20" s="22"/>
      <c r="CO20" s="22"/>
      <c r="CP20" s="22"/>
      <c r="CQ20" s="22"/>
      <c r="CU20" s="22"/>
      <c r="CV20" s="22"/>
      <c r="CW20" s="22"/>
      <c r="CX20" s="22"/>
      <c r="DB20" s="22"/>
      <c r="DC20" s="22"/>
      <c r="DD20" s="22"/>
      <c r="DE20" s="22"/>
      <c r="DI20" s="22"/>
      <c r="DJ20" s="22"/>
      <c r="DK20" s="22"/>
      <c r="DL20" s="22"/>
      <c r="DP20" s="22"/>
      <c r="DQ20" s="22"/>
      <c r="DR20" s="22"/>
      <c r="DS20" s="22"/>
      <c r="DW20" s="22"/>
      <c r="DX20" s="22"/>
      <c r="DY20" s="22"/>
      <c r="DZ20" s="22"/>
    </row>
    <row r="21" spans="2:130" ht="15.75" customHeight="1" outlineLevel="1" x14ac:dyDescent="0.2">
      <c r="B21" s="8" t="s">
        <v>87</v>
      </c>
      <c r="C21" s="8" t="str">
        <f>C20</f>
        <v>VWL</v>
      </c>
      <c r="E21" s="13"/>
      <c r="F21" s="24" t="s">
        <v>92</v>
      </c>
      <c r="G21" s="22">
        <f>G17</f>
        <v>0.1</v>
      </c>
      <c r="I21" s="13">
        <f t="shared" si="1"/>
        <v>0</v>
      </c>
      <c r="J21" s="16">
        <f t="array" ref="J21">MAX(IF($N$3:$EW$3=$J$3,N21:EW21))</f>
        <v>0</v>
      </c>
      <c r="K21" s="16">
        <f t="array" ref="K21">MAX(IF($N$3:$EW$3=$K$3,N21:EW21))</f>
        <v>0</v>
      </c>
      <c r="L21" s="13"/>
      <c r="M21" s="12"/>
      <c r="O21" s="22"/>
      <c r="P21" s="22">
        <v>0.5</v>
      </c>
      <c r="Q21" s="22"/>
      <c r="R21" s="22">
        <v>0.5</v>
      </c>
      <c r="V21" s="22"/>
      <c r="W21" s="22">
        <v>0.5</v>
      </c>
      <c r="X21" s="22"/>
      <c r="Y21" s="22">
        <v>0.5</v>
      </c>
      <c r="AC21" s="22"/>
      <c r="AD21" s="22">
        <v>0.8</v>
      </c>
      <c r="AE21" s="22"/>
      <c r="AF21" s="22">
        <v>0.8</v>
      </c>
      <c r="AJ21" s="22"/>
      <c r="AK21" s="22">
        <v>0.8</v>
      </c>
      <c r="AL21" s="22"/>
      <c r="AM21" s="22">
        <v>0.8</v>
      </c>
      <c r="AQ21" s="22"/>
      <c r="AR21" s="22">
        <v>1</v>
      </c>
      <c r="AS21" s="22"/>
      <c r="AT21" s="22">
        <v>1</v>
      </c>
      <c r="AX21" s="22"/>
      <c r="AY21" s="22">
        <v>1</v>
      </c>
      <c r="AZ21" s="22"/>
      <c r="BA21" s="22">
        <v>1</v>
      </c>
      <c r="BE21" s="22"/>
      <c r="BF21" s="22">
        <v>1</v>
      </c>
      <c r="BG21" s="22"/>
      <c r="BH21" s="22">
        <v>1</v>
      </c>
      <c r="BL21" s="22"/>
      <c r="BM21" s="22"/>
      <c r="BN21" s="22"/>
      <c r="BO21" s="22"/>
      <c r="BS21" s="22"/>
      <c r="BT21" s="22"/>
      <c r="BU21" s="22"/>
      <c r="BV21" s="22"/>
      <c r="BZ21" s="22"/>
      <c r="CA21" s="22"/>
      <c r="CB21" s="22"/>
      <c r="CC21" s="22"/>
      <c r="CG21" s="22"/>
      <c r="CH21" s="22"/>
      <c r="CI21" s="22"/>
      <c r="CJ21" s="22"/>
      <c r="CN21" s="22"/>
      <c r="CO21" s="22"/>
      <c r="CP21" s="22"/>
      <c r="CQ21" s="22"/>
      <c r="CU21" s="22"/>
      <c r="CV21" s="22"/>
      <c r="CW21" s="22"/>
      <c r="CX21" s="22"/>
      <c r="DB21" s="22"/>
      <c r="DC21" s="22"/>
      <c r="DD21" s="22"/>
      <c r="DE21" s="22"/>
      <c r="DI21" s="22"/>
      <c r="DJ21" s="22"/>
      <c r="DK21" s="22"/>
      <c r="DL21" s="22"/>
      <c r="DP21" s="22"/>
      <c r="DQ21" s="22"/>
      <c r="DR21" s="22"/>
      <c r="DS21" s="22"/>
      <c r="DW21" s="22"/>
      <c r="DX21" s="22"/>
      <c r="DY21" s="22"/>
      <c r="DZ21" s="22"/>
    </row>
    <row r="22" spans="2:130" ht="15.75" customHeight="1" outlineLevel="1" x14ac:dyDescent="0.2">
      <c r="B22" s="8" t="s">
        <v>87</v>
      </c>
      <c r="C22" s="8" t="str">
        <f>C20</f>
        <v>VWL</v>
      </c>
      <c r="E22" s="13"/>
      <c r="F22" s="24" t="s">
        <v>93</v>
      </c>
      <c r="G22" s="22">
        <f>G17</f>
        <v>0.1</v>
      </c>
      <c r="I22" s="13">
        <f t="shared" si="1"/>
        <v>0</v>
      </c>
      <c r="J22" s="16">
        <f t="array" ref="J22">MAX(IF($N$3:$EW$3=$J$3,N22:EW22))</f>
        <v>0</v>
      </c>
      <c r="K22" s="16">
        <f t="array" ref="K22">MAX(IF($N$3:$EW$3=$K$3,N22:EW22))</f>
        <v>0</v>
      </c>
      <c r="L22" s="13"/>
      <c r="M22" s="12"/>
      <c r="O22" s="22"/>
      <c r="P22" s="22">
        <v>0.5</v>
      </c>
      <c r="Q22" s="22"/>
      <c r="R22" s="22">
        <v>0.5</v>
      </c>
      <c r="V22" s="22"/>
      <c r="W22" s="22">
        <v>0.5</v>
      </c>
      <c r="X22" s="22"/>
      <c r="Y22" s="22">
        <v>0.5</v>
      </c>
      <c r="AC22" s="22"/>
      <c r="AD22" s="22">
        <v>0.5</v>
      </c>
      <c r="AE22" s="22"/>
      <c r="AF22" s="22">
        <v>0.5</v>
      </c>
      <c r="AJ22" s="22"/>
      <c r="AK22" s="22">
        <v>0.8</v>
      </c>
      <c r="AL22" s="22"/>
      <c r="AM22" s="22">
        <v>0.8</v>
      </c>
      <c r="AQ22" s="22"/>
      <c r="AR22" s="22">
        <v>0.8</v>
      </c>
      <c r="AS22" s="22"/>
      <c r="AT22" s="22">
        <v>0.8</v>
      </c>
      <c r="AX22" s="22"/>
      <c r="AY22" s="22">
        <v>1</v>
      </c>
      <c r="AZ22" s="22"/>
      <c r="BA22" s="22">
        <v>1</v>
      </c>
      <c r="BE22" s="22"/>
      <c r="BF22" s="22">
        <v>1</v>
      </c>
      <c r="BG22" s="22"/>
      <c r="BH22" s="22">
        <v>1</v>
      </c>
      <c r="BL22" s="22"/>
      <c r="BM22" s="22"/>
      <c r="BN22" s="22"/>
      <c r="BO22" s="22"/>
      <c r="BS22" s="22"/>
      <c r="BT22" s="22"/>
      <c r="BU22" s="22"/>
      <c r="BV22" s="22"/>
      <c r="BZ22" s="22"/>
      <c r="CA22" s="22"/>
      <c r="CB22" s="22"/>
      <c r="CC22" s="22"/>
      <c r="CG22" s="22"/>
      <c r="CH22" s="22"/>
      <c r="CI22" s="22"/>
      <c r="CJ22" s="22"/>
      <c r="CN22" s="22"/>
      <c r="CO22" s="22"/>
      <c r="CP22" s="22"/>
      <c r="CQ22" s="22"/>
      <c r="CU22" s="22"/>
      <c r="CV22" s="22"/>
      <c r="CW22" s="22"/>
      <c r="CX22" s="22"/>
      <c r="DB22" s="22"/>
      <c r="DC22" s="22"/>
      <c r="DD22" s="22"/>
      <c r="DE22" s="22"/>
      <c r="DI22" s="22"/>
      <c r="DJ22" s="22"/>
      <c r="DK22" s="22"/>
      <c r="DL22" s="22"/>
      <c r="DP22" s="22"/>
      <c r="DQ22" s="22"/>
      <c r="DR22" s="22"/>
      <c r="DS22" s="22"/>
      <c r="DW22" s="22"/>
      <c r="DX22" s="22"/>
      <c r="DY22" s="22"/>
      <c r="DZ22" s="22"/>
    </row>
    <row r="23" spans="2:130" ht="15.75" customHeight="1" outlineLevel="1" x14ac:dyDescent="0.2">
      <c r="B23" s="8" t="s">
        <v>87</v>
      </c>
      <c r="C23" s="8" t="str">
        <f>C22</f>
        <v>VWL</v>
      </c>
      <c r="E23" s="13"/>
      <c r="F23" s="24" t="s">
        <v>94</v>
      </c>
      <c r="G23" s="22">
        <f>G17</f>
        <v>0.1</v>
      </c>
      <c r="I23" s="13">
        <f t="shared" si="1"/>
        <v>0</v>
      </c>
      <c r="J23" s="16">
        <f t="array" ref="J23">MAX(IF($N$3:$EW$3=$J$3,N23:EW23))</f>
        <v>0</v>
      </c>
      <c r="K23" s="16">
        <f t="array" ref="K23">MAX(IF($N$3:$EW$3=$K$3,N23:EW23))</f>
        <v>0</v>
      </c>
      <c r="L23" s="13"/>
      <c r="M23" s="12"/>
      <c r="O23" s="22"/>
      <c r="P23" s="22"/>
      <c r="Q23" s="22"/>
      <c r="R23" s="22"/>
      <c r="V23" s="22"/>
      <c r="W23" s="22">
        <v>0.5</v>
      </c>
      <c r="X23" s="22"/>
      <c r="Y23" s="22">
        <v>0.5</v>
      </c>
      <c r="AC23" s="22"/>
      <c r="AD23" s="22">
        <v>0.5</v>
      </c>
      <c r="AE23" s="22"/>
      <c r="AF23" s="22">
        <v>0.5</v>
      </c>
      <c r="AJ23" s="22"/>
      <c r="AK23" s="22">
        <v>0.8</v>
      </c>
      <c r="AL23" s="22"/>
      <c r="AM23" s="22">
        <v>0.8</v>
      </c>
      <c r="AQ23" s="22"/>
      <c r="AR23" s="22">
        <v>0.8</v>
      </c>
      <c r="AS23" s="22"/>
      <c r="AT23" s="22">
        <v>0.8</v>
      </c>
      <c r="AX23" s="22"/>
      <c r="AY23" s="22">
        <v>1</v>
      </c>
      <c r="AZ23" s="22"/>
      <c r="BA23" s="22">
        <v>1</v>
      </c>
      <c r="BE23" s="22"/>
      <c r="BF23" s="22">
        <v>1</v>
      </c>
      <c r="BG23" s="22"/>
      <c r="BH23" s="22">
        <v>1</v>
      </c>
      <c r="BL23" s="22"/>
      <c r="BM23" s="22"/>
      <c r="BN23" s="22"/>
      <c r="BO23" s="22"/>
      <c r="BS23" s="22"/>
      <c r="BT23" s="22"/>
      <c r="BU23" s="22"/>
      <c r="BV23" s="22"/>
      <c r="BZ23" s="22"/>
      <c r="CA23" s="22"/>
      <c r="CB23" s="22"/>
      <c r="CC23" s="22"/>
      <c r="CG23" s="22"/>
      <c r="CH23" s="22"/>
      <c r="CI23" s="22"/>
      <c r="CJ23" s="22"/>
      <c r="CN23" s="22"/>
      <c r="CO23" s="22"/>
      <c r="CP23" s="22"/>
      <c r="CQ23" s="22"/>
      <c r="CU23" s="22"/>
      <c r="CV23" s="22"/>
      <c r="CW23" s="22"/>
      <c r="CX23" s="22"/>
      <c r="DB23" s="22"/>
      <c r="DC23" s="22"/>
      <c r="DD23" s="22"/>
      <c r="DE23" s="22"/>
      <c r="DI23" s="22"/>
      <c r="DJ23" s="22"/>
      <c r="DK23" s="22"/>
      <c r="DL23" s="22"/>
      <c r="DP23" s="22"/>
      <c r="DQ23" s="22"/>
      <c r="DR23" s="22"/>
      <c r="DS23" s="22"/>
      <c r="DW23" s="22"/>
      <c r="DX23" s="22"/>
      <c r="DY23" s="22"/>
      <c r="DZ23" s="22"/>
    </row>
    <row r="24" spans="2:130" ht="15.75" customHeight="1" outlineLevel="1" x14ac:dyDescent="0.2">
      <c r="B24" s="8" t="s">
        <v>87</v>
      </c>
      <c r="C24" s="8" t="str">
        <f>C22</f>
        <v>VWL</v>
      </c>
      <c r="E24" s="13"/>
      <c r="F24" s="24" t="s">
        <v>95</v>
      </c>
      <c r="G24" s="22">
        <f>G17</f>
        <v>0.1</v>
      </c>
      <c r="I24" s="13">
        <f t="shared" si="1"/>
        <v>0</v>
      </c>
      <c r="J24" s="16">
        <f t="array" ref="J24">MAX(IF($N$3:$EW$3=$J$3,N24:EW24))</f>
        <v>0</v>
      </c>
      <c r="K24" s="16">
        <f t="array" ref="K24">MAX(IF($N$3:$EW$3=$K$3,N24:EW24))</f>
        <v>0</v>
      </c>
      <c r="L24" s="13"/>
      <c r="M24" s="12"/>
      <c r="O24" s="22"/>
      <c r="P24" s="22"/>
      <c r="Q24" s="22"/>
      <c r="R24" s="22"/>
      <c r="V24" s="22"/>
      <c r="W24" s="22">
        <v>0.5</v>
      </c>
      <c r="X24" s="22"/>
      <c r="Y24" s="22">
        <v>0.5</v>
      </c>
      <c r="AC24" s="22"/>
      <c r="AD24" s="22">
        <v>0.5</v>
      </c>
      <c r="AE24" s="22"/>
      <c r="AF24" s="22">
        <v>0.5</v>
      </c>
      <c r="AJ24" s="22"/>
      <c r="AK24" s="22">
        <v>0.8</v>
      </c>
      <c r="AL24" s="22"/>
      <c r="AM24" s="22">
        <v>0.8</v>
      </c>
      <c r="AQ24" s="22"/>
      <c r="AR24" s="22">
        <v>0.8</v>
      </c>
      <c r="AS24" s="22"/>
      <c r="AT24" s="22">
        <v>0.8</v>
      </c>
      <c r="AX24" s="22"/>
      <c r="AY24" s="22">
        <v>1</v>
      </c>
      <c r="AZ24" s="22"/>
      <c r="BA24" s="22">
        <v>1</v>
      </c>
      <c r="BE24" s="22"/>
      <c r="BF24" s="22">
        <v>1</v>
      </c>
      <c r="BG24" s="22"/>
      <c r="BH24" s="22">
        <v>1</v>
      </c>
      <c r="BL24" s="22"/>
      <c r="BM24" s="22"/>
      <c r="BN24" s="22"/>
      <c r="BO24" s="22"/>
      <c r="BS24" s="22"/>
      <c r="BT24" s="22"/>
      <c r="BU24" s="22"/>
      <c r="BV24" s="22"/>
      <c r="BZ24" s="22"/>
      <c r="CA24" s="22"/>
      <c r="CB24" s="22"/>
      <c r="CC24" s="22"/>
      <c r="CG24" s="22"/>
      <c r="CH24" s="22"/>
      <c r="CI24" s="22"/>
      <c r="CJ24" s="22"/>
      <c r="CN24" s="22"/>
      <c r="CO24" s="22"/>
      <c r="CP24" s="22"/>
      <c r="CQ24" s="22"/>
      <c r="CU24" s="22"/>
      <c r="CV24" s="22"/>
      <c r="CW24" s="22"/>
      <c r="CX24" s="22"/>
      <c r="DB24" s="22"/>
      <c r="DC24" s="22"/>
      <c r="DD24" s="22"/>
      <c r="DE24" s="22"/>
      <c r="DI24" s="22"/>
      <c r="DJ24" s="22"/>
      <c r="DK24" s="22"/>
      <c r="DL24" s="22"/>
      <c r="DP24" s="22"/>
      <c r="DQ24" s="22"/>
      <c r="DR24" s="22"/>
      <c r="DS24" s="22"/>
      <c r="DW24" s="22"/>
      <c r="DX24" s="22"/>
      <c r="DY24" s="22"/>
      <c r="DZ24" s="22"/>
    </row>
    <row r="25" spans="2:130" ht="15.75" customHeight="1" outlineLevel="1" x14ac:dyDescent="0.2">
      <c r="B25" s="8" t="s">
        <v>87</v>
      </c>
      <c r="C25" s="8" t="str">
        <f>C24</f>
        <v>VWL</v>
      </c>
      <c r="E25" s="13"/>
      <c r="F25" s="24" t="s">
        <v>96</v>
      </c>
      <c r="G25" s="22">
        <f>G17</f>
        <v>0.1</v>
      </c>
      <c r="I25" s="13">
        <f t="shared" si="1"/>
        <v>0</v>
      </c>
      <c r="J25" s="16">
        <f t="array" ref="J25">MAX(IF($N$3:$EW$3=$J$3,N25:EW25))</f>
        <v>0</v>
      </c>
      <c r="K25" s="16">
        <f t="array" ref="K25">MAX(IF($N$3:$EW$3=$K$3,N25:EW25))</f>
        <v>0</v>
      </c>
      <c r="L25" s="13"/>
      <c r="M25" s="12"/>
      <c r="O25" s="22"/>
      <c r="P25" s="22"/>
      <c r="Q25" s="22"/>
      <c r="R25" s="22"/>
      <c r="V25" s="22"/>
      <c r="W25" s="22">
        <v>0.5</v>
      </c>
      <c r="X25" s="22"/>
      <c r="Y25" s="22">
        <v>0.5</v>
      </c>
      <c r="AC25" s="22"/>
      <c r="AD25" s="22">
        <v>0.5</v>
      </c>
      <c r="AE25" s="22"/>
      <c r="AF25" s="22">
        <v>0.5</v>
      </c>
      <c r="AJ25" s="22"/>
      <c r="AK25" s="22">
        <v>0.5</v>
      </c>
      <c r="AL25" s="22"/>
      <c r="AM25" s="22">
        <v>0.5</v>
      </c>
      <c r="AQ25" s="22"/>
      <c r="AR25" s="22">
        <v>0.8</v>
      </c>
      <c r="AS25" s="22"/>
      <c r="AT25" s="22">
        <v>0.8</v>
      </c>
      <c r="AX25" s="22"/>
      <c r="AY25" s="22">
        <v>1</v>
      </c>
      <c r="AZ25" s="22"/>
      <c r="BA25" s="22">
        <v>1</v>
      </c>
      <c r="BE25" s="22"/>
      <c r="BF25" s="22">
        <v>1</v>
      </c>
      <c r="BG25" s="22"/>
      <c r="BH25" s="22">
        <v>1</v>
      </c>
      <c r="BL25" s="22"/>
      <c r="BM25" s="22"/>
      <c r="BN25" s="22"/>
      <c r="BO25" s="22"/>
      <c r="BS25" s="22"/>
      <c r="BT25" s="22"/>
      <c r="BU25" s="22"/>
      <c r="BV25" s="22"/>
      <c r="BZ25" s="22"/>
      <c r="CA25" s="22"/>
      <c r="CB25" s="22"/>
      <c r="CC25" s="22"/>
      <c r="CG25" s="22"/>
      <c r="CH25" s="22"/>
      <c r="CI25" s="22"/>
      <c r="CJ25" s="22"/>
      <c r="CN25" s="22"/>
      <c r="CO25" s="22"/>
      <c r="CP25" s="22"/>
      <c r="CQ25" s="22"/>
      <c r="CU25" s="22"/>
      <c r="CV25" s="22"/>
      <c r="CW25" s="22"/>
      <c r="CX25" s="22"/>
      <c r="DB25" s="22"/>
      <c r="DC25" s="22"/>
      <c r="DD25" s="22"/>
      <c r="DE25" s="22"/>
      <c r="DI25" s="22"/>
      <c r="DJ25" s="22"/>
      <c r="DK25" s="22"/>
      <c r="DL25" s="22"/>
      <c r="DP25" s="22"/>
      <c r="DQ25" s="22"/>
      <c r="DR25" s="22"/>
      <c r="DS25" s="22"/>
      <c r="DW25" s="22"/>
      <c r="DX25" s="22"/>
      <c r="DY25" s="22"/>
      <c r="DZ25" s="22"/>
    </row>
    <row r="26" spans="2:130" ht="15.75" customHeight="1" outlineLevel="1" x14ac:dyDescent="0.2">
      <c r="B26" s="8" t="s">
        <v>87</v>
      </c>
      <c r="C26" s="8" t="str">
        <f>C24</f>
        <v>VWL</v>
      </c>
      <c r="E26" s="13"/>
      <c r="F26" s="24" t="s">
        <v>97</v>
      </c>
      <c r="G26" s="22">
        <f>G17</f>
        <v>0.1</v>
      </c>
      <c r="I26" s="13">
        <f t="shared" si="1"/>
        <v>0</v>
      </c>
      <c r="J26" s="16">
        <f t="array" ref="J26">MAX(IF($N$3:$EW$3=$J$3,N26:EW26))</f>
        <v>0</v>
      </c>
      <c r="K26" s="16">
        <f t="array" ref="K26">MAX(IF($N$3:$EW$3=$K$3,N26:EW26))</f>
        <v>0</v>
      </c>
      <c r="L26" s="13"/>
      <c r="M26" s="12"/>
      <c r="O26" s="22"/>
      <c r="P26" s="22"/>
      <c r="Q26" s="22"/>
      <c r="R26" s="22"/>
      <c r="V26" s="22"/>
      <c r="W26" s="22"/>
      <c r="X26" s="22"/>
      <c r="Y26" s="22"/>
      <c r="AC26" s="22"/>
      <c r="AD26" s="22">
        <v>0.5</v>
      </c>
      <c r="AE26" s="22"/>
      <c r="AF26" s="22">
        <v>0.5</v>
      </c>
      <c r="AJ26" s="22"/>
      <c r="AK26" s="22">
        <v>0.5</v>
      </c>
      <c r="AL26" s="22"/>
      <c r="AM26" s="22">
        <v>0.5</v>
      </c>
      <c r="AQ26" s="22"/>
      <c r="AR26" s="22">
        <v>0.8</v>
      </c>
      <c r="AS26" s="22"/>
      <c r="AT26" s="22">
        <v>0.8</v>
      </c>
      <c r="AX26" s="22"/>
      <c r="AY26" s="22">
        <v>1</v>
      </c>
      <c r="AZ26" s="22"/>
      <c r="BA26" s="22">
        <v>1</v>
      </c>
      <c r="BE26" s="22"/>
      <c r="BF26" s="22">
        <v>1</v>
      </c>
      <c r="BG26" s="22"/>
      <c r="BH26" s="22">
        <v>1</v>
      </c>
      <c r="BL26" s="22"/>
      <c r="BM26" s="22"/>
      <c r="BN26" s="22"/>
      <c r="BO26" s="22"/>
      <c r="BS26" s="22"/>
      <c r="BT26" s="22"/>
      <c r="BU26" s="22"/>
      <c r="BV26" s="22"/>
      <c r="BZ26" s="22"/>
      <c r="CA26" s="22"/>
      <c r="CB26" s="22"/>
      <c r="CC26" s="22"/>
      <c r="CG26" s="22"/>
      <c r="CH26" s="22"/>
      <c r="CI26" s="22"/>
      <c r="CJ26" s="22"/>
      <c r="CN26" s="22"/>
      <c r="CO26" s="22"/>
      <c r="CP26" s="22"/>
      <c r="CQ26" s="22"/>
      <c r="CU26" s="22"/>
      <c r="CV26" s="22"/>
      <c r="CW26" s="22"/>
      <c r="CX26" s="22"/>
      <c r="DB26" s="22"/>
      <c r="DC26" s="22"/>
      <c r="DD26" s="22"/>
      <c r="DE26" s="22"/>
      <c r="DI26" s="22"/>
      <c r="DJ26" s="22"/>
      <c r="DK26" s="22"/>
      <c r="DL26" s="22"/>
      <c r="DP26" s="22"/>
      <c r="DQ26" s="22"/>
      <c r="DR26" s="22"/>
      <c r="DS26" s="22"/>
      <c r="DW26" s="22"/>
      <c r="DX26" s="22"/>
      <c r="DY26" s="22"/>
      <c r="DZ26" s="22"/>
    </row>
    <row r="27" spans="2:130" ht="15.75" customHeight="1" x14ac:dyDescent="0.2">
      <c r="M27" s="12"/>
    </row>
    <row r="28" spans="2:130" ht="15.75" customHeight="1" x14ac:dyDescent="0.2">
      <c r="B28" s="8" t="s">
        <v>43</v>
      </c>
      <c r="C28" s="8" t="s">
        <v>99</v>
      </c>
      <c r="D28" s="21">
        <v>46342</v>
      </c>
      <c r="E28" s="13">
        <v>6</v>
      </c>
      <c r="F28" s="27"/>
      <c r="G28" s="22">
        <f>+SUM(G29:G38)</f>
        <v>0.99999999999999989</v>
      </c>
      <c r="I28" s="23">
        <f>+SUM(I29:I38)</f>
        <v>0</v>
      </c>
      <c r="J28" s="16">
        <f>+SUMPRODUCT(G29:G38,J29:J38)</f>
        <v>0</v>
      </c>
      <c r="K28" s="16">
        <f>+SUMPRODUCT(G29:G38,K29:K38)</f>
        <v>0</v>
      </c>
      <c r="L28" s="13"/>
      <c r="M28" s="12"/>
      <c r="N28" s="23">
        <f>+SUM(N29:N38)</f>
        <v>0</v>
      </c>
      <c r="U28" s="23">
        <f>+SUM(U29:U38)</f>
        <v>0</v>
      </c>
      <c r="AB28" s="23">
        <f>+SUM(AB29:AB38)</f>
        <v>0</v>
      </c>
      <c r="AI28" s="23">
        <f>+SUM(AI29:AI38)</f>
        <v>0</v>
      </c>
      <c r="AP28" s="23">
        <f>+SUM(AP29:AP38)</f>
        <v>0</v>
      </c>
      <c r="AW28" s="23">
        <f>+SUM(AW29:AW38)</f>
        <v>0</v>
      </c>
      <c r="AX28" s="23"/>
      <c r="BD28" s="23">
        <f>+SUM(BD29:BD38)</f>
        <v>0</v>
      </c>
      <c r="BK28" s="23">
        <f>+SUM(BK29:BK38)</f>
        <v>0</v>
      </c>
      <c r="BR28" s="23">
        <f>+SUM(BR29:BR38)</f>
        <v>0</v>
      </c>
      <c r="BY28" s="23">
        <f>+SUM(BY29:BY38)</f>
        <v>0</v>
      </c>
      <c r="CF28" s="23">
        <f>+SUM(CF29:CF38)</f>
        <v>0</v>
      </c>
      <c r="CM28" s="23">
        <f>+SUM(CM29:CM38)</f>
        <v>0</v>
      </c>
      <c r="CT28" s="23">
        <f>+SUM(CT29:CT38)</f>
        <v>0</v>
      </c>
      <c r="DA28" s="23">
        <f>+SUM(DA29:DA38)</f>
        <v>0</v>
      </c>
      <c r="DH28" s="23">
        <f>+SUM(DH29:DH38)</f>
        <v>0</v>
      </c>
      <c r="DO28" s="23">
        <f>+SUM(DO29:DO38)</f>
        <v>0</v>
      </c>
      <c r="DV28" s="23">
        <f>+SUM(DV29:DV38)</f>
        <v>0</v>
      </c>
    </row>
    <row r="29" spans="2:130" ht="15.75" customHeight="1" outlineLevel="1" x14ac:dyDescent="0.2">
      <c r="B29" s="8" t="s">
        <v>87</v>
      </c>
      <c r="C29" s="8" t="str">
        <f>C28</f>
        <v>Statistik</v>
      </c>
      <c r="E29" s="13"/>
      <c r="F29" s="24" t="s">
        <v>88</v>
      </c>
      <c r="G29" s="22">
        <f>1/10</f>
        <v>0.1</v>
      </c>
      <c r="I29" s="13">
        <f t="shared" ref="I29:I38" si="2">+SUMIF($N$3:$AAO$3,I$3,$N29:$AAO29)</f>
        <v>0</v>
      </c>
      <c r="J29" s="16">
        <f t="array" ref="J29">MAX(IF($N$3:$EW$3=$J$3,N29:EW29))</f>
        <v>0</v>
      </c>
      <c r="K29" s="16">
        <f t="array" ref="K29">MAX(IF($N$3:$EW$3=$K$3,N29:EW29))</f>
        <v>0</v>
      </c>
      <c r="L29" s="13"/>
      <c r="M29" s="12"/>
      <c r="O29" s="22"/>
      <c r="P29" s="22">
        <v>0.5</v>
      </c>
      <c r="Q29" s="22"/>
      <c r="R29" s="22">
        <v>0.5</v>
      </c>
      <c r="V29" s="22"/>
      <c r="W29" s="22">
        <v>0.8</v>
      </c>
      <c r="X29" s="22"/>
      <c r="Y29" s="22">
        <v>0.8</v>
      </c>
      <c r="AC29" s="22"/>
      <c r="AD29" s="22">
        <v>1</v>
      </c>
      <c r="AE29" s="22"/>
      <c r="AF29" s="22">
        <v>1</v>
      </c>
      <c r="AJ29" s="22"/>
      <c r="AK29" s="22">
        <v>1</v>
      </c>
      <c r="AL29" s="22"/>
      <c r="AM29" s="22">
        <v>1</v>
      </c>
      <c r="AQ29" s="22"/>
      <c r="AR29" s="22">
        <v>1</v>
      </c>
      <c r="AS29" s="22"/>
      <c r="AT29" s="22">
        <v>1</v>
      </c>
      <c r="AX29" s="22"/>
      <c r="AY29" s="22">
        <v>1</v>
      </c>
      <c r="AZ29" s="22"/>
      <c r="BA29" s="22">
        <v>1</v>
      </c>
      <c r="BE29" s="22"/>
      <c r="BF29" s="22"/>
      <c r="BG29" s="22"/>
      <c r="BH29" s="22"/>
      <c r="BL29" s="22"/>
      <c r="BM29" s="22"/>
      <c r="BN29" s="22"/>
      <c r="BO29" s="22"/>
      <c r="BS29" s="22"/>
      <c r="BT29" s="22"/>
      <c r="BU29" s="22"/>
      <c r="BV29" s="22"/>
      <c r="BZ29" s="22"/>
      <c r="CA29" s="22"/>
      <c r="CB29" s="22"/>
      <c r="CC29" s="22"/>
      <c r="CG29" s="22"/>
      <c r="CH29" s="22"/>
      <c r="CI29" s="22"/>
      <c r="CJ29" s="22"/>
      <c r="CN29" s="22"/>
      <c r="CO29" s="22"/>
      <c r="CP29" s="22"/>
      <c r="CQ29" s="22"/>
      <c r="CU29" s="22"/>
      <c r="CV29" s="22"/>
      <c r="CW29" s="22"/>
      <c r="CX29" s="22"/>
      <c r="DB29" s="22"/>
      <c r="DC29" s="22"/>
      <c r="DD29" s="22"/>
      <c r="DE29" s="22"/>
      <c r="DI29" s="22"/>
      <c r="DJ29" s="22"/>
      <c r="DK29" s="22"/>
      <c r="DL29" s="22"/>
      <c r="DP29" s="22"/>
      <c r="DQ29" s="22"/>
      <c r="DR29" s="22"/>
      <c r="DS29" s="22"/>
      <c r="DW29" s="22"/>
      <c r="DX29" s="22"/>
      <c r="DY29" s="22"/>
      <c r="DZ29" s="22"/>
    </row>
    <row r="30" spans="2:130" ht="15.75" customHeight="1" outlineLevel="1" x14ac:dyDescent="0.2">
      <c r="B30" s="8" t="s">
        <v>87</v>
      </c>
      <c r="C30" s="8" t="str">
        <f>C28</f>
        <v>Statistik</v>
      </c>
      <c r="E30" s="13"/>
      <c r="F30" s="24" t="s">
        <v>89</v>
      </c>
      <c r="G30" s="22">
        <f>G29</f>
        <v>0.1</v>
      </c>
      <c r="I30" s="13">
        <f t="shared" si="2"/>
        <v>0</v>
      </c>
      <c r="J30" s="16">
        <f t="array" ref="J30">MAX(IF($N$3:$EW$3=$J$3,N30:EW30))</f>
        <v>0</v>
      </c>
      <c r="K30" s="16">
        <f t="array" ref="K30">MAX(IF($N$3:$EW$3=$K$3,N30:EW30))</f>
        <v>0</v>
      </c>
      <c r="L30" s="13"/>
      <c r="M30" s="12"/>
      <c r="O30" s="22"/>
      <c r="P30" s="22">
        <v>0.5</v>
      </c>
      <c r="Q30" s="22"/>
      <c r="R30" s="22">
        <v>0.5</v>
      </c>
      <c r="V30" s="22"/>
      <c r="W30" s="22">
        <v>0.8</v>
      </c>
      <c r="X30" s="22"/>
      <c r="Y30" s="22">
        <v>0.8</v>
      </c>
      <c r="AC30" s="22"/>
      <c r="AD30" s="22">
        <v>0.8</v>
      </c>
      <c r="AE30" s="22"/>
      <c r="AF30" s="22">
        <v>0.8</v>
      </c>
      <c r="AJ30" s="22"/>
      <c r="AK30" s="22">
        <v>1</v>
      </c>
      <c r="AL30" s="22"/>
      <c r="AM30" s="22">
        <v>1</v>
      </c>
      <c r="AQ30" s="22"/>
      <c r="AR30" s="22">
        <v>1</v>
      </c>
      <c r="AS30" s="22"/>
      <c r="AT30" s="22">
        <v>1</v>
      </c>
      <c r="AX30" s="22"/>
      <c r="AY30" s="22">
        <v>1</v>
      </c>
      <c r="AZ30" s="22"/>
      <c r="BA30" s="22">
        <v>1</v>
      </c>
      <c r="BE30" s="22"/>
      <c r="BF30" s="22"/>
      <c r="BG30" s="22"/>
      <c r="BH30" s="22"/>
      <c r="BL30" s="22"/>
      <c r="BM30" s="22"/>
      <c r="BN30" s="22"/>
      <c r="BO30" s="22"/>
      <c r="BS30" s="22"/>
      <c r="BT30" s="22"/>
      <c r="BU30" s="22"/>
      <c r="BV30" s="22"/>
      <c r="BZ30" s="22"/>
      <c r="CA30" s="22"/>
      <c r="CB30" s="22"/>
      <c r="CC30" s="22"/>
      <c r="CG30" s="22"/>
      <c r="CH30" s="22"/>
      <c r="CI30" s="22"/>
      <c r="CJ30" s="22"/>
      <c r="CN30" s="22"/>
      <c r="CO30" s="22"/>
      <c r="CP30" s="22"/>
      <c r="CQ30" s="22"/>
      <c r="CU30" s="22"/>
      <c r="CV30" s="22"/>
      <c r="CW30" s="22"/>
      <c r="CX30" s="22"/>
      <c r="DB30" s="22"/>
      <c r="DC30" s="22"/>
      <c r="DD30" s="22"/>
      <c r="DE30" s="22"/>
      <c r="DI30" s="22"/>
      <c r="DJ30" s="22"/>
      <c r="DK30" s="22"/>
      <c r="DL30" s="22"/>
      <c r="DP30" s="22"/>
      <c r="DQ30" s="22"/>
      <c r="DR30" s="22"/>
      <c r="DS30" s="22"/>
      <c r="DW30" s="22"/>
      <c r="DX30" s="22"/>
      <c r="DY30" s="22"/>
      <c r="DZ30" s="22"/>
    </row>
    <row r="31" spans="2:130" ht="15.75" customHeight="1" outlineLevel="1" x14ac:dyDescent="0.2">
      <c r="B31" s="8" t="s">
        <v>87</v>
      </c>
      <c r="C31" s="8" t="str">
        <f>C30</f>
        <v>Statistik</v>
      </c>
      <c r="E31" s="13"/>
      <c r="F31" s="24" t="s">
        <v>90</v>
      </c>
      <c r="G31" s="22">
        <f>G29</f>
        <v>0.1</v>
      </c>
      <c r="I31" s="13">
        <f t="shared" si="2"/>
        <v>0</v>
      </c>
      <c r="J31" s="16">
        <f t="array" ref="J31">MAX(IF($N$3:$EW$3=$J$3,N31:EW31))</f>
        <v>0</v>
      </c>
      <c r="K31" s="16">
        <f t="array" ref="K31">MAX(IF($N$3:$EW$3=$K$3,N31:EW31))</f>
        <v>0</v>
      </c>
      <c r="L31" s="13"/>
      <c r="M31" s="12"/>
      <c r="O31" s="22"/>
      <c r="P31" s="22">
        <v>0.5</v>
      </c>
      <c r="Q31" s="22"/>
      <c r="R31" s="22">
        <v>0.5</v>
      </c>
      <c r="V31" s="22"/>
      <c r="W31" s="22">
        <v>0.8</v>
      </c>
      <c r="X31" s="22"/>
      <c r="Y31" s="22">
        <v>0.8</v>
      </c>
      <c r="AC31" s="22"/>
      <c r="AD31" s="22">
        <v>0.8</v>
      </c>
      <c r="AE31" s="22"/>
      <c r="AF31" s="22">
        <v>0.8</v>
      </c>
      <c r="AJ31" s="22"/>
      <c r="AK31" s="22">
        <v>1</v>
      </c>
      <c r="AL31" s="22"/>
      <c r="AM31" s="22">
        <v>1</v>
      </c>
      <c r="AQ31" s="22"/>
      <c r="AR31" s="22">
        <v>1</v>
      </c>
      <c r="AS31" s="22"/>
      <c r="AT31" s="22">
        <v>1</v>
      </c>
      <c r="AX31" s="22"/>
      <c r="AY31" s="22">
        <v>1</v>
      </c>
      <c r="AZ31" s="22"/>
      <c r="BA31" s="22">
        <v>1</v>
      </c>
      <c r="BE31" s="22"/>
      <c r="BF31" s="22"/>
      <c r="BG31" s="22"/>
      <c r="BH31" s="22"/>
      <c r="BL31" s="22"/>
      <c r="BM31" s="22"/>
      <c r="BN31" s="22"/>
      <c r="BO31" s="22"/>
      <c r="BS31" s="22"/>
      <c r="BT31" s="22"/>
      <c r="BU31" s="22"/>
      <c r="BV31" s="22"/>
      <c r="BZ31" s="22"/>
      <c r="CA31" s="22"/>
      <c r="CB31" s="22"/>
      <c r="CC31" s="22"/>
      <c r="CG31" s="22"/>
      <c r="CH31" s="22"/>
      <c r="CI31" s="22"/>
      <c r="CJ31" s="22"/>
      <c r="CN31" s="22"/>
      <c r="CO31" s="22"/>
      <c r="CP31" s="22"/>
      <c r="CQ31" s="22"/>
      <c r="CU31" s="22"/>
      <c r="CV31" s="22"/>
      <c r="CW31" s="22"/>
      <c r="CX31" s="22"/>
      <c r="DB31" s="22"/>
      <c r="DC31" s="22"/>
      <c r="DD31" s="22"/>
      <c r="DE31" s="22"/>
      <c r="DI31" s="22"/>
      <c r="DJ31" s="22"/>
      <c r="DK31" s="22"/>
      <c r="DL31" s="22"/>
      <c r="DP31" s="22"/>
      <c r="DQ31" s="22"/>
      <c r="DR31" s="22"/>
      <c r="DS31" s="22"/>
      <c r="DW31" s="22"/>
      <c r="DX31" s="22"/>
      <c r="DY31" s="22"/>
      <c r="DZ31" s="22"/>
    </row>
    <row r="32" spans="2:130" ht="15.75" customHeight="1" outlineLevel="1" x14ac:dyDescent="0.2">
      <c r="B32" s="8" t="s">
        <v>87</v>
      </c>
      <c r="C32" s="8" t="str">
        <f>C30</f>
        <v>Statistik</v>
      </c>
      <c r="E32" s="13"/>
      <c r="F32" s="24" t="s">
        <v>91</v>
      </c>
      <c r="G32" s="22">
        <f>G29</f>
        <v>0.1</v>
      </c>
      <c r="I32" s="13">
        <f t="shared" si="2"/>
        <v>0</v>
      </c>
      <c r="J32" s="16">
        <f t="array" ref="J32">MAX(IF($N$3:$EW$3=$J$3,N32:EW32))</f>
        <v>0</v>
      </c>
      <c r="K32" s="16">
        <f t="array" ref="K32">MAX(IF($N$3:$EW$3=$K$3,N32:EW32))</f>
        <v>0</v>
      </c>
      <c r="L32" s="13"/>
      <c r="M32" s="12"/>
      <c r="O32" s="22"/>
      <c r="P32" s="22">
        <v>0.5</v>
      </c>
      <c r="Q32" s="22"/>
      <c r="R32" s="22">
        <v>0.5</v>
      </c>
      <c r="V32" s="22"/>
      <c r="W32" s="22">
        <v>0.5</v>
      </c>
      <c r="X32" s="22"/>
      <c r="Y32" s="22">
        <v>0.5</v>
      </c>
      <c r="AC32" s="22"/>
      <c r="AD32" s="22">
        <v>0.8</v>
      </c>
      <c r="AE32" s="22"/>
      <c r="AF32" s="22">
        <v>0.8</v>
      </c>
      <c r="AJ32" s="22"/>
      <c r="AK32" s="22">
        <v>1</v>
      </c>
      <c r="AL32" s="22"/>
      <c r="AM32" s="22">
        <v>1</v>
      </c>
      <c r="AQ32" s="22"/>
      <c r="AR32" s="22">
        <v>1</v>
      </c>
      <c r="AS32" s="22"/>
      <c r="AT32" s="22">
        <v>1</v>
      </c>
      <c r="AX32" s="22"/>
      <c r="AY32" s="22">
        <v>1</v>
      </c>
      <c r="AZ32" s="22"/>
      <c r="BA32" s="22">
        <v>1</v>
      </c>
      <c r="BE32" s="22"/>
      <c r="BF32" s="22"/>
      <c r="BG32" s="22"/>
      <c r="BH32" s="22"/>
      <c r="BL32" s="22"/>
      <c r="BM32" s="22"/>
      <c r="BN32" s="22"/>
      <c r="BO32" s="22"/>
      <c r="BS32" s="22"/>
      <c r="BT32" s="22"/>
      <c r="BU32" s="22"/>
      <c r="BV32" s="22"/>
      <c r="BZ32" s="22"/>
      <c r="CA32" s="22"/>
      <c r="CB32" s="22"/>
      <c r="CC32" s="22"/>
      <c r="CG32" s="22"/>
      <c r="CH32" s="22"/>
      <c r="CI32" s="22"/>
      <c r="CJ32" s="22"/>
      <c r="CN32" s="22"/>
      <c r="CO32" s="22"/>
      <c r="CP32" s="22"/>
      <c r="CQ32" s="22"/>
      <c r="CU32" s="22"/>
      <c r="CV32" s="22"/>
      <c r="CW32" s="22"/>
      <c r="CX32" s="22"/>
      <c r="DB32" s="22"/>
      <c r="DC32" s="22"/>
      <c r="DD32" s="22"/>
      <c r="DE32" s="22"/>
      <c r="DI32" s="22"/>
      <c r="DJ32" s="22"/>
      <c r="DK32" s="22"/>
      <c r="DL32" s="22"/>
      <c r="DP32" s="22"/>
      <c r="DQ32" s="22"/>
      <c r="DR32" s="22"/>
      <c r="DS32" s="22"/>
      <c r="DW32" s="22"/>
      <c r="DX32" s="22"/>
      <c r="DY32" s="22"/>
      <c r="DZ32" s="22"/>
    </row>
    <row r="33" spans="2:130" ht="15.75" customHeight="1" outlineLevel="1" x14ac:dyDescent="0.2">
      <c r="B33" s="8" t="s">
        <v>87</v>
      </c>
      <c r="C33" s="8" t="str">
        <f>C32</f>
        <v>Statistik</v>
      </c>
      <c r="E33" s="13"/>
      <c r="F33" s="24" t="s">
        <v>92</v>
      </c>
      <c r="G33" s="22">
        <f>G29</f>
        <v>0.1</v>
      </c>
      <c r="I33" s="13">
        <f t="shared" si="2"/>
        <v>0</v>
      </c>
      <c r="J33" s="16">
        <f t="array" ref="J33">MAX(IF($N$3:$EW$3=$J$3,N33:EW33))</f>
        <v>0</v>
      </c>
      <c r="K33" s="16">
        <f t="array" ref="K33">MAX(IF($N$3:$EW$3=$K$3,N33:EW33))</f>
        <v>0</v>
      </c>
      <c r="L33" s="13"/>
      <c r="M33" s="12"/>
      <c r="O33" s="22"/>
      <c r="P33" s="22">
        <v>0.5</v>
      </c>
      <c r="Q33" s="22"/>
      <c r="R33" s="22">
        <v>0.5</v>
      </c>
      <c r="V33" s="22"/>
      <c r="W33" s="22">
        <v>0.5</v>
      </c>
      <c r="X33" s="22"/>
      <c r="Y33" s="22">
        <v>0.5</v>
      </c>
      <c r="AC33" s="22"/>
      <c r="AD33" s="22">
        <v>0.8</v>
      </c>
      <c r="AE33" s="22"/>
      <c r="AF33" s="22">
        <v>0.8</v>
      </c>
      <c r="AJ33" s="22"/>
      <c r="AK33" s="22">
        <v>0.8</v>
      </c>
      <c r="AL33" s="22"/>
      <c r="AM33" s="22">
        <v>0.8</v>
      </c>
      <c r="AQ33" s="22"/>
      <c r="AR33" s="22">
        <v>1</v>
      </c>
      <c r="AS33" s="22"/>
      <c r="AT33" s="22">
        <v>1</v>
      </c>
      <c r="AX33" s="22"/>
      <c r="AY33" s="22">
        <v>1</v>
      </c>
      <c r="AZ33" s="22"/>
      <c r="BA33" s="22">
        <v>1</v>
      </c>
      <c r="BE33" s="22"/>
      <c r="BF33" s="22"/>
      <c r="BG33" s="22"/>
      <c r="BH33" s="22"/>
      <c r="BL33" s="22"/>
      <c r="BM33" s="22"/>
      <c r="BN33" s="22"/>
      <c r="BO33" s="22"/>
      <c r="BS33" s="22"/>
      <c r="BT33" s="22"/>
      <c r="BU33" s="22"/>
      <c r="BV33" s="22"/>
      <c r="BZ33" s="22"/>
      <c r="CA33" s="22"/>
      <c r="CB33" s="22"/>
      <c r="CC33" s="22"/>
      <c r="CG33" s="22"/>
      <c r="CH33" s="22"/>
      <c r="CI33" s="22"/>
      <c r="CJ33" s="22"/>
      <c r="CN33" s="22"/>
      <c r="CO33" s="22"/>
      <c r="CP33" s="22"/>
      <c r="CQ33" s="22"/>
      <c r="CU33" s="22"/>
      <c r="CV33" s="22"/>
      <c r="CW33" s="22"/>
      <c r="CX33" s="22"/>
      <c r="DB33" s="22"/>
      <c r="DC33" s="22"/>
      <c r="DD33" s="22"/>
      <c r="DE33" s="22"/>
      <c r="DI33" s="22"/>
      <c r="DJ33" s="22"/>
      <c r="DK33" s="22"/>
      <c r="DL33" s="22"/>
      <c r="DP33" s="22"/>
      <c r="DQ33" s="22"/>
      <c r="DR33" s="22"/>
      <c r="DS33" s="22"/>
      <c r="DW33" s="22"/>
      <c r="DX33" s="22"/>
      <c r="DY33" s="22"/>
      <c r="DZ33" s="22"/>
    </row>
    <row r="34" spans="2:130" ht="15.75" customHeight="1" outlineLevel="1" x14ac:dyDescent="0.2">
      <c r="B34" s="8" t="s">
        <v>87</v>
      </c>
      <c r="C34" s="8" t="str">
        <f>C32</f>
        <v>Statistik</v>
      </c>
      <c r="E34" s="13"/>
      <c r="F34" s="24" t="s">
        <v>93</v>
      </c>
      <c r="G34" s="22">
        <f>G29</f>
        <v>0.1</v>
      </c>
      <c r="I34" s="13">
        <f t="shared" si="2"/>
        <v>0</v>
      </c>
      <c r="J34" s="16">
        <f t="array" ref="J34">MAX(IF($N$3:$EW$3=$J$3,N34:EW34))</f>
        <v>0</v>
      </c>
      <c r="K34" s="16">
        <f t="array" ref="K34">MAX(IF($N$3:$EW$3=$K$3,N34:EW34))</f>
        <v>0</v>
      </c>
      <c r="L34" s="13"/>
      <c r="M34" s="12"/>
      <c r="O34" s="22"/>
      <c r="P34" s="22">
        <v>0.5</v>
      </c>
      <c r="Q34" s="22"/>
      <c r="R34" s="22">
        <v>0.5</v>
      </c>
      <c r="V34" s="22"/>
      <c r="W34" s="22">
        <v>0.5</v>
      </c>
      <c r="X34" s="22"/>
      <c r="Y34" s="22">
        <v>0.5</v>
      </c>
      <c r="AC34" s="22"/>
      <c r="AD34" s="22">
        <v>0.8</v>
      </c>
      <c r="AE34" s="22"/>
      <c r="AF34" s="22">
        <v>0.8</v>
      </c>
      <c r="AJ34" s="22"/>
      <c r="AK34" s="22">
        <v>0.8</v>
      </c>
      <c r="AL34" s="22"/>
      <c r="AM34" s="22">
        <v>0.8</v>
      </c>
      <c r="AQ34" s="22"/>
      <c r="AR34" s="22">
        <v>1</v>
      </c>
      <c r="AS34" s="22"/>
      <c r="AT34" s="22">
        <v>1</v>
      </c>
      <c r="AX34" s="22"/>
      <c r="AY34" s="22">
        <v>1</v>
      </c>
      <c r="AZ34" s="22"/>
      <c r="BA34" s="22">
        <v>1</v>
      </c>
      <c r="BE34" s="22"/>
      <c r="BF34" s="22"/>
      <c r="BG34" s="22"/>
      <c r="BH34" s="22"/>
      <c r="BL34" s="22"/>
      <c r="BM34" s="22"/>
      <c r="BN34" s="22"/>
      <c r="BO34" s="22"/>
      <c r="BS34" s="22"/>
      <c r="BT34" s="22"/>
      <c r="BU34" s="22"/>
      <c r="BV34" s="22"/>
      <c r="BZ34" s="22"/>
      <c r="CA34" s="22"/>
      <c r="CB34" s="22"/>
      <c r="CC34" s="22"/>
      <c r="CG34" s="22"/>
      <c r="CH34" s="22"/>
      <c r="CI34" s="22"/>
      <c r="CJ34" s="22"/>
      <c r="CN34" s="22"/>
      <c r="CO34" s="22"/>
      <c r="CP34" s="22"/>
      <c r="CQ34" s="22"/>
      <c r="CU34" s="22"/>
      <c r="CV34" s="22"/>
      <c r="CW34" s="22"/>
      <c r="CX34" s="22"/>
      <c r="DB34" s="22"/>
      <c r="DC34" s="22"/>
      <c r="DD34" s="22"/>
      <c r="DE34" s="22"/>
      <c r="DI34" s="22"/>
      <c r="DJ34" s="22"/>
      <c r="DK34" s="22"/>
      <c r="DL34" s="22"/>
      <c r="DP34" s="22"/>
      <c r="DQ34" s="22"/>
      <c r="DR34" s="22"/>
      <c r="DS34" s="22"/>
      <c r="DW34" s="22"/>
      <c r="DX34" s="22"/>
      <c r="DY34" s="22"/>
      <c r="DZ34" s="22"/>
    </row>
    <row r="35" spans="2:130" ht="15.75" customHeight="1" outlineLevel="1" x14ac:dyDescent="0.2">
      <c r="B35" s="8" t="s">
        <v>87</v>
      </c>
      <c r="C35" s="8" t="str">
        <f>C34</f>
        <v>Statistik</v>
      </c>
      <c r="E35" s="13"/>
      <c r="F35" s="24" t="s">
        <v>94</v>
      </c>
      <c r="G35" s="22">
        <f>G29</f>
        <v>0.1</v>
      </c>
      <c r="I35" s="13">
        <f t="shared" si="2"/>
        <v>0</v>
      </c>
      <c r="J35" s="16">
        <f t="array" ref="J35">MAX(IF($N$3:$EW$3=$J$3,N35:EW35))</f>
        <v>0</v>
      </c>
      <c r="K35" s="16">
        <f t="array" ref="K35">MAX(IF($N$3:$EW$3=$K$3,N35:EW35))</f>
        <v>0</v>
      </c>
      <c r="L35" s="13"/>
      <c r="M35" s="12"/>
      <c r="O35" s="22"/>
      <c r="P35" s="22"/>
      <c r="Q35" s="22"/>
      <c r="R35" s="22"/>
      <c r="V35" s="22"/>
      <c r="W35" s="22">
        <v>0.5</v>
      </c>
      <c r="X35" s="22"/>
      <c r="Y35" s="22">
        <v>0.5</v>
      </c>
      <c r="AC35" s="22"/>
      <c r="AD35" s="22">
        <v>0.8</v>
      </c>
      <c r="AE35" s="22"/>
      <c r="AF35" s="22">
        <v>0.8</v>
      </c>
      <c r="AJ35" s="22"/>
      <c r="AK35" s="22">
        <v>0.8</v>
      </c>
      <c r="AL35" s="22"/>
      <c r="AM35" s="22">
        <v>0.8</v>
      </c>
      <c r="AQ35" s="22"/>
      <c r="AR35" s="22">
        <v>1</v>
      </c>
      <c r="AS35" s="22"/>
      <c r="AT35" s="22">
        <v>1</v>
      </c>
      <c r="AX35" s="22"/>
      <c r="AY35" s="22">
        <v>1</v>
      </c>
      <c r="AZ35" s="22"/>
      <c r="BA35" s="22">
        <v>1</v>
      </c>
      <c r="BE35" s="22"/>
      <c r="BF35" s="22"/>
      <c r="BG35" s="22"/>
      <c r="BH35" s="22"/>
      <c r="BL35" s="22"/>
      <c r="BM35" s="22"/>
      <c r="BN35" s="22"/>
      <c r="BO35" s="22"/>
      <c r="BS35" s="22"/>
      <c r="BT35" s="22"/>
      <c r="BU35" s="22"/>
      <c r="BV35" s="22"/>
      <c r="BZ35" s="22"/>
      <c r="CA35" s="22"/>
      <c r="CB35" s="22"/>
      <c r="CC35" s="22"/>
      <c r="CG35" s="22"/>
      <c r="CH35" s="22"/>
      <c r="CI35" s="22"/>
      <c r="CJ35" s="22"/>
      <c r="CN35" s="22"/>
      <c r="CO35" s="22"/>
      <c r="CP35" s="22"/>
      <c r="CQ35" s="22"/>
      <c r="CU35" s="22"/>
      <c r="CV35" s="22"/>
      <c r="CW35" s="22"/>
      <c r="CX35" s="22"/>
      <c r="DB35" s="22"/>
      <c r="DC35" s="22"/>
      <c r="DD35" s="22"/>
      <c r="DE35" s="22"/>
      <c r="DI35" s="22"/>
      <c r="DJ35" s="22"/>
      <c r="DK35" s="22"/>
      <c r="DL35" s="22"/>
      <c r="DP35" s="22"/>
      <c r="DQ35" s="22"/>
      <c r="DR35" s="22"/>
      <c r="DS35" s="22"/>
      <c r="DW35" s="22"/>
      <c r="DX35" s="22"/>
      <c r="DY35" s="22"/>
      <c r="DZ35" s="22"/>
    </row>
    <row r="36" spans="2:130" ht="15.75" customHeight="1" outlineLevel="1" x14ac:dyDescent="0.2">
      <c r="B36" s="8" t="s">
        <v>87</v>
      </c>
      <c r="C36" s="8" t="str">
        <f>C34</f>
        <v>Statistik</v>
      </c>
      <c r="E36" s="13"/>
      <c r="F36" s="24" t="s">
        <v>95</v>
      </c>
      <c r="G36" s="22">
        <f>G29</f>
        <v>0.1</v>
      </c>
      <c r="I36" s="13">
        <f t="shared" si="2"/>
        <v>0</v>
      </c>
      <c r="J36" s="16">
        <f t="array" ref="J36">MAX(IF($N$3:$EW$3=$J$3,N36:EW36))</f>
        <v>0</v>
      </c>
      <c r="K36" s="16">
        <f t="array" ref="K36">MAX(IF($N$3:$EW$3=$K$3,N36:EW36))</f>
        <v>0</v>
      </c>
      <c r="L36" s="13"/>
      <c r="M36" s="12"/>
      <c r="O36" s="22"/>
      <c r="P36" s="22"/>
      <c r="Q36" s="22"/>
      <c r="R36" s="22"/>
      <c r="V36" s="22"/>
      <c r="W36" s="22">
        <v>0.5</v>
      </c>
      <c r="X36" s="22"/>
      <c r="Y36" s="22">
        <v>0.5</v>
      </c>
      <c r="AC36" s="22"/>
      <c r="AD36" s="22">
        <v>0.5</v>
      </c>
      <c r="AE36" s="22"/>
      <c r="AF36" s="22">
        <v>0.5</v>
      </c>
      <c r="AJ36" s="22"/>
      <c r="AK36" s="22">
        <v>0.8</v>
      </c>
      <c r="AL36" s="22"/>
      <c r="AM36" s="22">
        <v>0.8</v>
      </c>
      <c r="AQ36" s="22"/>
      <c r="AR36" s="22">
        <v>1</v>
      </c>
      <c r="AS36" s="22"/>
      <c r="AT36" s="22">
        <v>1</v>
      </c>
      <c r="AX36" s="22"/>
      <c r="AY36" s="22">
        <v>1</v>
      </c>
      <c r="AZ36" s="22"/>
      <c r="BA36" s="22">
        <v>1</v>
      </c>
      <c r="BE36" s="22"/>
      <c r="BF36" s="22"/>
      <c r="BG36" s="22"/>
      <c r="BH36" s="22"/>
      <c r="BL36" s="22"/>
      <c r="BM36" s="22"/>
      <c r="BN36" s="22"/>
      <c r="BO36" s="22"/>
      <c r="BS36" s="22"/>
      <c r="BT36" s="22"/>
      <c r="BU36" s="22"/>
      <c r="BV36" s="22"/>
      <c r="BZ36" s="22"/>
      <c r="CA36" s="22"/>
      <c r="CB36" s="22"/>
      <c r="CC36" s="22"/>
      <c r="CG36" s="22"/>
      <c r="CH36" s="22"/>
      <c r="CI36" s="22"/>
      <c r="CJ36" s="22"/>
      <c r="CN36" s="22"/>
      <c r="CO36" s="22"/>
      <c r="CP36" s="22"/>
      <c r="CQ36" s="22"/>
      <c r="CU36" s="22"/>
      <c r="CV36" s="22"/>
      <c r="CW36" s="22"/>
      <c r="CX36" s="22"/>
      <c r="DB36" s="22"/>
      <c r="DC36" s="22"/>
      <c r="DD36" s="22"/>
      <c r="DE36" s="22"/>
      <c r="DI36" s="22"/>
      <c r="DJ36" s="22"/>
      <c r="DK36" s="22"/>
      <c r="DL36" s="22"/>
      <c r="DP36" s="22"/>
      <c r="DQ36" s="22"/>
      <c r="DR36" s="22"/>
      <c r="DS36" s="22"/>
      <c r="DW36" s="22"/>
      <c r="DX36" s="22"/>
      <c r="DY36" s="22"/>
      <c r="DZ36" s="22"/>
    </row>
    <row r="37" spans="2:130" ht="15.75" customHeight="1" outlineLevel="1" x14ac:dyDescent="0.2">
      <c r="B37" s="8" t="s">
        <v>87</v>
      </c>
      <c r="C37" s="8" t="str">
        <f>C36</f>
        <v>Statistik</v>
      </c>
      <c r="E37" s="13"/>
      <c r="F37" s="24" t="s">
        <v>96</v>
      </c>
      <c r="G37" s="22">
        <f>G29</f>
        <v>0.1</v>
      </c>
      <c r="I37" s="13">
        <f t="shared" si="2"/>
        <v>0</v>
      </c>
      <c r="J37" s="16">
        <f t="array" ref="J37">MAX(IF($N$3:$EW$3=$J$3,N37:EW37))</f>
        <v>0</v>
      </c>
      <c r="K37" s="16">
        <f t="array" ref="K37">MAX(IF($N$3:$EW$3=$K$3,N37:EW37))</f>
        <v>0</v>
      </c>
      <c r="L37" s="13"/>
      <c r="M37" s="12"/>
      <c r="O37" s="22"/>
      <c r="P37" s="22"/>
      <c r="Q37" s="22"/>
      <c r="R37" s="22"/>
      <c r="V37" s="22"/>
      <c r="W37" s="22">
        <v>0.5</v>
      </c>
      <c r="X37" s="22"/>
      <c r="Y37" s="22">
        <v>0.5</v>
      </c>
      <c r="AC37" s="22"/>
      <c r="AD37" s="22">
        <v>0.5</v>
      </c>
      <c r="AE37" s="22"/>
      <c r="AF37" s="22">
        <v>0.5</v>
      </c>
      <c r="AJ37" s="22"/>
      <c r="AK37" s="22">
        <v>0.8</v>
      </c>
      <c r="AL37" s="22"/>
      <c r="AM37" s="22">
        <v>0.8</v>
      </c>
      <c r="AQ37" s="22"/>
      <c r="AR37" s="22">
        <v>1</v>
      </c>
      <c r="AS37" s="22"/>
      <c r="AT37" s="22">
        <v>1</v>
      </c>
      <c r="AX37" s="22"/>
      <c r="AY37" s="22">
        <v>1</v>
      </c>
      <c r="AZ37" s="22"/>
      <c r="BA37" s="22">
        <v>1</v>
      </c>
      <c r="BE37" s="22"/>
      <c r="BF37" s="22"/>
      <c r="BG37" s="22"/>
      <c r="BH37" s="22"/>
      <c r="BL37" s="22"/>
      <c r="BM37" s="22"/>
      <c r="BN37" s="22"/>
      <c r="BO37" s="22"/>
      <c r="BS37" s="22"/>
      <c r="BT37" s="22"/>
      <c r="BU37" s="22"/>
      <c r="BV37" s="22"/>
      <c r="BZ37" s="22"/>
      <c r="CA37" s="22"/>
      <c r="CB37" s="22"/>
      <c r="CC37" s="22"/>
      <c r="CG37" s="22"/>
      <c r="CH37" s="22"/>
      <c r="CI37" s="22"/>
      <c r="CJ37" s="22"/>
      <c r="CN37" s="22"/>
      <c r="CO37" s="22"/>
      <c r="CP37" s="22"/>
      <c r="CQ37" s="22"/>
      <c r="CU37" s="22"/>
      <c r="CV37" s="22"/>
      <c r="CW37" s="22"/>
      <c r="CX37" s="22"/>
      <c r="DB37" s="22"/>
      <c r="DC37" s="22"/>
      <c r="DD37" s="22"/>
      <c r="DE37" s="22"/>
      <c r="DI37" s="22"/>
      <c r="DJ37" s="22"/>
      <c r="DK37" s="22"/>
      <c r="DL37" s="22"/>
      <c r="DP37" s="22"/>
      <c r="DQ37" s="22"/>
      <c r="DR37" s="22"/>
      <c r="DS37" s="22"/>
      <c r="DW37" s="22"/>
      <c r="DX37" s="22"/>
      <c r="DY37" s="22"/>
      <c r="DZ37" s="22"/>
    </row>
    <row r="38" spans="2:130" ht="15.75" customHeight="1" outlineLevel="1" x14ac:dyDescent="0.2">
      <c r="B38" s="8" t="s">
        <v>87</v>
      </c>
      <c r="C38" s="8" t="str">
        <f>C36</f>
        <v>Statistik</v>
      </c>
      <c r="E38" s="13"/>
      <c r="F38" s="24" t="s">
        <v>97</v>
      </c>
      <c r="G38" s="22">
        <f>G29</f>
        <v>0.1</v>
      </c>
      <c r="I38" s="13">
        <f t="shared" si="2"/>
        <v>0</v>
      </c>
      <c r="J38" s="16">
        <f t="array" ref="J38">MAX(IF($N$3:$EW$3=$J$3,N38:EW38))</f>
        <v>0</v>
      </c>
      <c r="K38" s="16">
        <f t="array" ref="K38">MAX(IF($N$3:$EW$3=$K$3,N38:EW38))</f>
        <v>0</v>
      </c>
      <c r="L38" s="13"/>
      <c r="M38" s="12"/>
      <c r="O38" s="22"/>
      <c r="P38" s="22"/>
      <c r="Q38" s="22"/>
      <c r="R38" s="22"/>
      <c r="V38" s="22"/>
      <c r="W38" s="22"/>
      <c r="X38" s="22"/>
      <c r="Y38" s="22"/>
      <c r="AC38" s="22"/>
      <c r="AD38" s="22">
        <v>0.5</v>
      </c>
      <c r="AE38" s="22"/>
      <c r="AF38" s="22">
        <v>0.5</v>
      </c>
      <c r="AJ38" s="22"/>
      <c r="AK38" s="22">
        <v>0.8</v>
      </c>
      <c r="AL38" s="22"/>
      <c r="AM38" s="22">
        <v>0.8</v>
      </c>
      <c r="AQ38" s="22"/>
      <c r="AR38" s="22">
        <v>1</v>
      </c>
      <c r="AS38" s="22"/>
      <c r="AT38" s="22">
        <v>1</v>
      </c>
      <c r="AX38" s="22"/>
      <c r="AY38" s="22">
        <v>1</v>
      </c>
      <c r="AZ38" s="22"/>
      <c r="BA38" s="22">
        <v>1</v>
      </c>
      <c r="BE38" s="22"/>
      <c r="BF38" s="22"/>
      <c r="BG38" s="22"/>
      <c r="BH38" s="22"/>
      <c r="BL38" s="22"/>
      <c r="BM38" s="22"/>
      <c r="BN38" s="22"/>
      <c r="BO38" s="22"/>
      <c r="BS38" s="22"/>
      <c r="BT38" s="22"/>
      <c r="BU38" s="22"/>
      <c r="BV38" s="22"/>
      <c r="BZ38" s="22"/>
      <c r="CA38" s="22"/>
      <c r="CB38" s="22"/>
      <c r="CC38" s="22"/>
      <c r="CG38" s="22"/>
      <c r="CH38" s="22"/>
      <c r="CI38" s="22"/>
      <c r="CJ38" s="22"/>
      <c r="CN38" s="22"/>
      <c r="CO38" s="22"/>
      <c r="CP38" s="22"/>
      <c r="CQ38" s="22"/>
      <c r="CU38" s="22"/>
      <c r="CV38" s="22"/>
      <c r="CW38" s="22"/>
      <c r="CX38" s="22"/>
      <c r="DB38" s="22"/>
      <c r="DC38" s="22"/>
      <c r="DD38" s="22"/>
      <c r="DE38" s="22"/>
      <c r="DI38" s="22"/>
      <c r="DJ38" s="22"/>
      <c r="DK38" s="22"/>
      <c r="DL38" s="22"/>
      <c r="DP38" s="22"/>
      <c r="DQ38" s="22"/>
      <c r="DR38" s="22"/>
      <c r="DS38" s="22"/>
      <c r="DW38" s="22"/>
      <c r="DX38" s="22"/>
      <c r="DY38" s="22"/>
      <c r="DZ38" s="22"/>
    </row>
    <row r="39" spans="2:130" ht="15.75" customHeight="1" x14ac:dyDescent="0.2">
      <c r="M39" s="12"/>
    </row>
    <row r="40" spans="2:130" ht="15.75" customHeight="1" x14ac:dyDescent="0.2">
      <c r="B40" s="8" t="s">
        <v>43</v>
      </c>
      <c r="C40" s="8" t="s">
        <v>100</v>
      </c>
      <c r="D40" s="21">
        <v>46051</v>
      </c>
      <c r="E40" s="13">
        <v>10</v>
      </c>
      <c r="G40" s="22">
        <f>+SUM(G41:G54)</f>
        <v>0.99999999999999967</v>
      </c>
      <c r="I40" s="23">
        <f>+SUM(I41:I54)</f>
        <v>0</v>
      </c>
      <c r="J40" s="16">
        <f>+SUMPRODUCT(G41:G54,J41:J54)</f>
        <v>0</v>
      </c>
      <c r="K40" s="16">
        <f>+SUMPRODUCT(G41:G54,K41:K54)</f>
        <v>0</v>
      </c>
      <c r="L40" s="13"/>
      <c r="M40" s="12"/>
      <c r="N40" s="23">
        <f>+SUM(N41:N54)</f>
        <v>0</v>
      </c>
      <c r="U40" s="23">
        <f>+SUM(U41:U54)</f>
        <v>0</v>
      </c>
      <c r="AB40" s="23">
        <f>+SUM(AB41:AB54)</f>
        <v>0</v>
      </c>
      <c r="AI40" s="23">
        <f>+SUM(AI41:AI54)</f>
        <v>0</v>
      </c>
      <c r="AP40" s="23">
        <f>+SUM(AP41:AP54)</f>
        <v>0</v>
      </c>
      <c r="AW40" s="23">
        <f>+SUM(AW41:AW54)</f>
        <v>0</v>
      </c>
      <c r="AX40" s="23"/>
      <c r="BD40" s="23">
        <f>+SUM(BD41:BD54)</f>
        <v>0</v>
      </c>
      <c r="BK40" s="23">
        <f>+SUM(BK41:BK54)</f>
        <v>0</v>
      </c>
      <c r="BR40" s="23">
        <f>+SUM(BR41:BR54)</f>
        <v>0</v>
      </c>
      <c r="BY40" s="23">
        <f>+SUM(BY41:BY54)</f>
        <v>0</v>
      </c>
      <c r="CF40" s="23">
        <f>+SUM(CF41:CF54)</f>
        <v>0</v>
      </c>
      <c r="CM40" s="23">
        <f>+SUM(CM41:CM54)</f>
        <v>0</v>
      </c>
      <c r="CT40" s="23">
        <f>+SUM(CT41:CT54)</f>
        <v>0</v>
      </c>
      <c r="DA40" s="23">
        <f>+SUM(DA41:DA54)</f>
        <v>0</v>
      </c>
      <c r="DH40" s="23">
        <f>+SUM(DH41:DH54)</f>
        <v>0</v>
      </c>
      <c r="DO40" s="23">
        <f>+SUM(DO41:DO54)</f>
        <v>0</v>
      </c>
      <c r="DV40" s="23">
        <f>+SUM(DV41:DV54)</f>
        <v>0</v>
      </c>
    </row>
    <row r="41" spans="2:130" ht="15.75" customHeight="1" outlineLevel="1" x14ac:dyDescent="0.2">
      <c r="B41" s="8" t="s">
        <v>87</v>
      </c>
      <c r="C41" s="8" t="str">
        <f>C40</f>
        <v>Mathe 1</v>
      </c>
      <c r="E41" s="13"/>
      <c r="F41" s="24" t="s">
        <v>88</v>
      </c>
      <c r="G41" s="22">
        <f>1/14</f>
        <v>7.1428571428571425E-2</v>
      </c>
      <c r="I41" s="13">
        <f t="shared" ref="I41:I54" si="3">+SUMIF($N$3:$AAO$3,I$3,$N41:$AAO41)</f>
        <v>0</v>
      </c>
      <c r="J41" s="16">
        <f t="array" ref="J41">MAX(IF($N$3:$EW$3=$J$3,N41:EW41))</f>
        <v>0</v>
      </c>
      <c r="K41" s="16">
        <f t="array" ref="K41">MAX(IF($N$3:$EW$3=$K$3,N41:EW41))</f>
        <v>0</v>
      </c>
      <c r="L41" s="13"/>
      <c r="M41" s="12"/>
      <c r="O41" s="22"/>
      <c r="P41" s="22">
        <v>1</v>
      </c>
      <c r="Q41" s="22"/>
      <c r="R41" s="22">
        <v>1</v>
      </c>
      <c r="V41" s="22"/>
      <c r="W41" s="22">
        <v>1</v>
      </c>
      <c r="X41" s="22"/>
      <c r="Y41" s="22">
        <v>1</v>
      </c>
      <c r="AC41" s="22"/>
      <c r="AD41" s="22">
        <v>1</v>
      </c>
      <c r="AE41" s="22"/>
      <c r="AF41" s="22">
        <v>1</v>
      </c>
      <c r="AJ41" s="22"/>
      <c r="AK41" s="22">
        <v>1</v>
      </c>
      <c r="AL41" s="22"/>
      <c r="AM41" s="22">
        <v>1</v>
      </c>
      <c r="AQ41" s="22"/>
      <c r="AR41" s="22">
        <v>1</v>
      </c>
      <c r="AS41" s="22"/>
      <c r="AT41" s="22">
        <v>1</v>
      </c>
      <c r="AX41" s="22"/>
      <c r="AY41" s="22">
        <v>1</v>
      </c>
      <c r="AZ41" s="22"/>
      <c r="BA41" s="22">
        <v>1</v>
      </c>
      <c r="BE41" s="22"/>
      <c r="BF41" s="22">
        <v>1</v>
      </c>
      <c r="BG41" s="22"/>
      <c r="BH41" s="22">
        <v>1</v>
      </c>
      <c r="BL41" s="22"/>
      <c r="BM41" s="22">
        <v>1</v>
      </c>
      <c r="BN41" s="22"/>
      <c r="BO41" s="22">
        <v>1</v>
      </c>
      <c r="BS41" s="22"/>
      <c r="BT41" s="22">
        <v>1</v>
      </c>
      <c r="BU41" s="22"/>
      <c r="BV41" s="22">
        <v>1</v>
      </c>
      <c r="BZ41" s="22"/>
      <c r="CA41" s="22">
        <v>1</v>
      </c>
      <c r="CB41" s="22"/>
      <c r="CC41" s="22">
        <v>1</v>
      </c>
      <c r="CG41" s="22"/>
      <c r="CH41" s="22">
        <v>1</v>
      </c>
      <c r="CI41" s="22"/>
      <c r="CJ41" s="22">
        <v>1</v>
      </c>
      <c r="CN41" s="22"/>
      <c r="CO41" s="22">
        <v>1</v>
      </c>
      <c r="CP41" s="22"/>
      <c r="CQ41" s="22">
        <v>1</v>
      </c>
      <c r="CU41" s="22"/>
      <c r="CV41" s="22">
        <v>1</v>
      </c>
      <c r="CW41" s="22"/>
      <c r="CX41" s="22">
        <v>1</v>
      </c>
      <c r="DB41" s="22"/>
      <c r="DC41" s="22">
        <v>1</v>
      </c>
      <c r="DD41" s="22"/>
      <c r="DE41" s="22">
        <v>1</v>
      </c>
      <c r="DI41" s="22"/>
      <c r="DJ41" s="22">
        <v>1</v>
      </c>
      <c r="DK41" s="22"/>
      <c r="DL41" s="22">
        <v>1</v>
      </c>
      <c r="DP41" s="22"/>
      <c r="DQ41" s="22">
        <v>1</v>
      </c>
      <c r="DR41" s="22"/>
      <c r="DS41" s="22">
        <v>1</v>
      </c>
      <c r="DW41" s="22"/>
      <c r="DX41" s="22">
        <v>1</v>
      </c>
      <c r="DY41" s="22"/>
      <c r="DZ41" s="22">
        <v>1</v>
      </c>
    </row>
    <row r="42" spans="2:130" ht="15.75" customHeight="1" outlineLevel="1" x14ac:dyDescent="0.2">
      <c r="B42" s="8" t="s">
        <v>87</v>
      </c>
      <c r="C42" s="8" t="str">
        <f>C40</f>
        <v>Mathe 1</v>
      </c>
      <c r="E42" s="13"/>
      <c r="F42" s="24" t="s">
        <v>89</v>
      </c>
      <c r="G42" s="22">
        <f>G41</f>
        <v>7.1428571428571425E-2</v>
      </c>
      <c r="I42" s="13">
        <f t="shared" si="3"/>
        <v>0</v>
      </c>
      <c r="J42" s="16">
        <f t="array" ref="J42">MAX(IF($N$3:$EW$3=$J$3,N42:EW42))</f>
        <v>0</v>
      </c>
      <c r="K42" s="16">
        <f t="array" ref="K42">MAX(IF($N$3:$EW$3=$K$3,N42:EW42))</f>
        <v>0</v>
      </c>
      <c r="L42" s="13"/>
      <c r="M42" s="12"/>
      <c r="O42" s="22"/>
      <c r="P42" s="22"/>
      <c r="Q42" s="22"/>
      <c r="R42" s="22"/>
      <c r="V42" s="22"/>
      <c r="W42" s="22">
        <v>1</v>
      </c>
      <c r="X42" s="22"/>
      <c r="Y42" s="22">
        <v>1</v>
      </c>
      <c r="AC42" s="22"/>
      <c r="AD42" s="22">
        <v>1</v>
      </c>
      <c r="AE42" s="22"/>
      <c r="AF42" s="22">
        <v>1</v>
      </c>
      <c r="AJ42" s="22"/>
      <c r="AK42" s="22">
        <v>1</v>
      </c>
      <c r="AL42" s="22"/>
      <c r="AM42" s="22">
        <v>1</v>
      </c>
      <c r="AQ42" s="22"/>
      <c r="AR42" s="22">
        <v>1</v>
      </c>
      <c r="AS42" s="22"/>
      <c r="AT42" s="22">
        <v>1</v>
      </c>
      <c r="AX42" s="22"/>
      <c r="AY42" s="22">
        <v>1</v>
      </c>
      <c r="AZ42" s="22"/>
      <c r="BA42" s="22">
        <v>1</v>
      </c>
      <c r="BE42" s="22"/>
      <c r="BF42" s="22">
        <v>1</v>
      </c>
      <c r="BG42" s="22"/>
      <c r="BH42" s="22">
        <v>1</v>
      </c>
      <c r="BL42" s="22"/>
      <c r="BM42" s="22">
        <v>1</v>
      </c>
      <c r="BN42" s="22"/>
      <c r="BO42" s="22">
        <v>1</v>
      </c>
      <c r="BS42" s="22"/>
      <c r="BT42" s="22">
        <v>1</v>
      </c>
      <c r="BU42" s="22"/>
      <c r="BV42" s="22">
        <v>1</v>
      </c>
      <c r="BZ42" s="22"/>
      <c r="CA42" s="22">
        <v>1</v>
      </c>
      <c r="CB42" s="22"/>
      <c r="CC42" s="22">
        <v>1</v>
      </c>
      <c r="CG42" s="22"/>
      <c r="CH42" s="22">
        <v>1</v>
      </c>
      <c r="CI42" s="22"/>
      <c r="CJ42" s="22">
        <v>1</v>
      </c>
      <c r="CN42" s="22"/>
      <c r="CO42" s="22">
        <v>1</v>
      </c>
      <c r="CP42" s="22"/>
      <c r="CQ42" s="22">
        <v>1</v>
      </c>
      <c r="CU42" s="22"/>
      <c r="CV42" s="22">
        <v>1</v>
      </c>
      <c r="CW42" s="22"/>
      <c r="CX42" s="22">
        <v>1</v>
      </c>
      <c r="DB42" s="22"/>
      <c r="DC42" s="22">
        <v>1</v>
      </c>
      <c r="DD42" s="22"/>
      <c r="DE42" s="22">
        <v>1</v>
      </c>
      <c r="DI42" s="22"/>
      <c r="DJ42" s="22">
        <v>1</v>
      </c>
      <c r="DK42" s="22"/>
      <c r="DL42" s="22">
        <v>1</v>
      </c>
      <c r="DP42" s="22"/>
      <c r="DQ42" s="22">
        <v>1</v>
      </c>
      <c r="DR42" s="22"/>
      <c r="DS42" s="22">
        <v>1</v>
      </c>
      <c r="DW42" s="22"/>
      <c r="DX42" s="22">
        <v>1</v>
      </c>
      <c r="DY42" s="22"/>
      <c r="DZ42" s="22">
        <v>1</v>
      </c>
    </row>
    <row r="43" spans="2:130" ht="15.75" customHeight="1" outlineLevel="1" x14ac:dyDescent="0.2">
      <c r="B43" s="8" t="s">
        <v>87</v>
      </c>
      <c r="C43" s="8" t="str">
        <f>C42</f>
        <v>Mathe 1</v>
      </c>
      <c r="E43" s="13"/>
      <c r="F43" s="24" t="s">
        <v>90</v>
      </c>
      <c r="G43" s="22">
        <f>G41</f>
        <v>7.1428571428571425E-2</v>
      </c>
      <c r="I43" s="13">
        <f t="shared" si="3"/>
        <v>0</v>
      </c>
      <c r="J43" s="16">
        <f t="array" ref="J43">MAX(IF($N$3:$EW$3=$J$3,N43:EW43))</f>
        <v>0</v>
      </c>
      <c r="K43" s="16">
        <f t="array" ref="K43">MAX(IF($N$3:$EW$3=$K$3,N43:EW43))</f>
        <v>0</v>
      </c>
      <c r="L43" s="13"/>
      <c r="M43" s="12"/>
      <c r="O43" s="22"/>
      <c r="P43" s="22"/>
      <c r="Q43" s="22"/>
      <c r="R43" s="22"/>
      <c r="V43" s="22"/>
      <c r="W43" s="22"/>
      <c r="X43" s="22"/>
      <c r="Y43" s="22"/>
      <c r="AC43" s="22"/>
      <c r="AD43" s="22">
        <v>1</v>
      </c>
      <c r="AE43" s="22"/>
      <c r="AF43" s="22">
        <v>1</v>
      </c>
      <c r="AJ43" s="22"/>
      <c r="AK43" s="22">
        <v>1</v>
      </c>
      <c r="AL43" s="22"/>
      <c r="AM43" s="22">
        <v>1</v>
      </c>
      <c r="AQ43" s="22"/>
      <c r="AR43" s="22">
        <v>1</v>
      </c>
      <c r="AS43" s="22"/>
      <c r="AT43" s="22">
        <v>1</v>
      </c>
      <c r="AX43" s="22"/>
      <c r="AY43" s="22">
        <v>1</v>
      </c>
      <c r="AZ43" s="22"/>
      <c r="BA43" s="22">
        <v>1</v>
      </c>
      <c r="BE43" s="22"/>
      <c r="BF43" s="22">
        <v>1</v>
      </c>
      <c r="BG43" s="22"/>
      <c r="BH43" s="22">
        <v>1</v>
      </c>
      <c r="BL43" s="22"/>
      <c r="BM43" s="22">
        <v>1</v>
      </c>
      <c r="BN43" s="22"/>
      <c r="BO43" s="22">
        <v>1</v>
      </c>
      <c r="BS43" s="22"/>
      <c r="BT43" s="22">
        <v>1</v>
      </c>
      <c r="BU43" s="22"/>
      <c r="BV43" s="22">
        <v>1</v>
      </c>
      <c r="BZ43" s="22"/>
      <c r="CA43" s="22">
        <v>1</v>
      </c>
      <c r="CB43" s="22"/>
      <c r="CC43" s="22">
        <v>1</v>
      </c>
      <c r="CG43" s="22"/>
      <c r="CH43" s="22">
        <v>1</v>
      </c>
      <c r="CI43" s="22"/>
      <c r="CJ43" s="22">
        <v>1</v>
      </c>
      <c r="CN43" s="22"/>
      <c r="CO43" s="22">
        <v>1</v>
      </c>
      <c r="CP43" s="22"/>
      <c r="CQ43" s="22">
        <v>1</v>
      </c>
      <c r="CU43" s="22"/>
      <c r="CV43" s="22">
        <v>1</v>
      </c>
      <c r="CW43" s="22"/>
      <c r="CX43" s="22">
        <v>1</v>
      </c>
      <c r="DB43" s="22"/>
      <c r="DC43" s="22">
        <v>1</v>
      </c>
      <c r="DD43" s="22"/>
      <c r="DE43" s="22">
        <v>1</v>
      </c>
      <c r="DI43" s="22"/>
      <c r="DJ43" s="22">
        <v>1</v>
      </c>
      <c r="DK43" s="22"/>
      <c r="DL43" s="22">
        <v>1</v>
      </c>
      <c r="DP43" s="22"/>
      <c r="DQ43" s="22">
        <v>1</v>
      </c>
      <c r="DR43" s="22"/>
      <c r="DS43" s="22">
        <v>1</v>
      </c>
      <c r="DW43" s="22"/>
      <c r="DX43" s="22">
        <v>1</v>
      </c>
      <c r="DY43" s="22"/>
      <c r="DZ43" s="22">
        <v>1</v>
      </c>
    </row>
    <row r="44" spans="2:130" ht="15.75" customHeight="1" outlineLevel="1" x14ac:dyDescent="0.2">
      <c r="B44" s="8" t="s">
        <v>87</v>
      </c>
      <c r="C44" s="8" t="str">
        <f>C42</f>
        <v>Mathe 1</v>
      </c>
      <c r="E44" s="13"/>
      <c r="F44" s="24" t="s">
        <v>91</v>
      </c>
      <c r="G44" s="22">
        <f>G41</f>
        <v>7.1428571428571425E-2</v>
      </c>
      <c r="I44" s="13">
        <f t="shared" si="3"/>
        <v>0</v>
      </c>
      <c r="J44" s="16">
        <f t="array" ref="J44">MAX(IF($N$3:$EW$3=$J$3,N44:EW44))</f>
        <v>0</v>
      </c>
      <c r="K44" s="16">
        <f t="array" ref="K44">MAX(IF($N$3:$EW$3=$K$3,N44:EW44))</f>
        <v>0</v>
      </c>
      <c r="L44" s="13"/>
      <c r="M44" s="12"/>
      <c r="O44" s="22"/>
      <c r="P44" s="22"/>
      <c r="Q44" s="22"/>
      <c r="R44" s="22"/>
      <c r="V44" s="22"/>
      <c r="W44" s="22"/>
      <c r="X44" s="22"/>
      <c r="Y44" s="22"/>
      <c r="AC44" s="22"/>
      <c r="AD44" s="22"/>
      <c r="AE44" s="22"/>
      <c r="AF44" s="22"/>
      <c r="AJ44" s="22"/>
      <c r="AK44" s="22">
        <v>1</v>
      </c>
      <c r="AL44" s="22"/>
      <c r="AM44" s="22">
        <v>1</v>
      </c>
      <c r="AQ44" s="22"/>
      <c r="AR44" s="22">
        <v>1</v>
      </c>
      <c r="AS44" s="22"/>
      <c r="AT44" s="22">
        <v>1</v>
      </c>
      <c r="AX44" s="22"/>
      <c r="AY44" s="22">
        <v>1</v>
      </c>
      <c r="AZ44" s="22"/>
      <c r="BA44" s="22">
        <v>1</v>
      </c>
      <c r="BE44" s="22"/>
      <c r="BF44" s="22">
        <v>1</v>
      </c>
      <c r="BG44" s="22"/>
      <c r="BH44" s="22">
        <v>1</v>
      </c>
      <c r="BL44" s="22"/>
      <c r="BM44" s="22">
        <v>1</v>
      </c>
      <c r="BN44" s="22"/>
      <c r="BO44" s="22">
        <v>1</v>
      </c>
      <c r="BS44" s="22"/>
      <c r="BT44" s="22">
        <v>1</v>
      </c>
      <c r="BU44" s="22"/>
      <c r="BV44" s="22">
        <v>1</v>
      </c>
      <c r="BZ44" s="22"/>
      <c r="CA44" s="22">
        <v>1</v>
      </c>
      <c r="CB44" s="22"/>
      <c r="CC44" s="22">
        <v>1</v>
      </c>
      <c r="CG44" s="22"/>
      <c r="CH44" s="22">
        <v>1</v>
      </c>
      <c r="CI44" s="22"/>
      <c r="CJ44" s="22">
        <v>1</v>
      </c>
      <c r="CN44" s="22"/>
      <c r="CO44" s="22">
        <v>1</v>
      </c>
      <c r="CP44" s="22"/>
      <c r="CQ44" s="22">
        <v>1</v>
      </c>
      <c r="CU44" s="22"/>
      <c r="CV44" s="22">
        <v>1</v>
      </c>
      <c r="CW44" s="22"/>
      <c r="CX44" s="22">
        <v>1</v>
      </c>
      <c r="DB44" s="22"/>
      <c r="DC44" s="22">
        <v>1</v>
      </c>
      <c r="DD44" s="22"/>
      <c r="DE44" s="22">
        <v>1</v>
      </c>
      <c r="DI44" s="22"/>
      <c r="DJ44" s="22">
        <v>1</v>
      </c>
      <c r="DK44" s="22"/>
      <c r="DL44" s="22">
        <v>1</v>
      </c>
      <c r="DP44" s="22"/>
      <c r="DQ44" s="22">
        <v>1</v>
      </c>
      <c r="DR44" s="22"/>
      <c r="DS44" s="22">
        <v>1</v>
      </c>
      <c r="DW44" s="22"/>
      <c r="DX44" s="22">
        <v>1</v>
      </c>
      <c r="DY44" s="22"/>
      <c r="DZ44" s="22">
        <v>1</v>
      </c>
    </row>
    <row r="45" spans="2:130" ht="15.75" customHeight="1" outlineLevel="1" x14ac:dyDescent="0.2">
      <c r="B45" s="8" t="s">
        <v>87</v>
      </c>
      <c r="C45" s="8" t="str">
        <f>C44</f>
        <v>Mathe 1</v>
      </c>
      <c r="E45" s="13"/>
      <c r="F45" s="24" t="s">
        <v>92</v>
      </c>
      <c r="G45" s="22">
        <f>G41</f>
        <v>7.1428571428571425E-2</v>
      </c>
      <c r="I45" s="13">
        <f t="shared" si="3"/>
        <v>0</v>
      </c>
      <c r="J45" s="16">
        <f t="array" ref="J45">MAX(IF($N$3:$EW$3=$J$3,N45:EW45))</f>
        <v>0</v>
      </c>
      <c r="K45" s="16">
        <f t="array" ref="K45">MAX(IF($N$3:$EW$3=$K$3,N45:EW45))</f>
        <v>0</v>
      </c>
      <c r="L45" s="13"/>
      <c r="M45" s="12"/>
      <c r="O45" s="22"/>
      <c r="P45" s="22"/>
      <c r="Q45" s="22"/>
      <c r="R45" s="22"/>
      <c r="V45" s="22"/>
      <c r="W45" s="22"/>
      <c r="X45" s="22"/>
      <c r="Y45" s="22"/>
      <c r="AC45" s="22"/>
      <c r="AD45" s="22"/>
      <c r="AE45" s="22"/>
      <c r="AF45" s="22"/>
      <c r="AJ45" s="22"/>
      <c r="AK45" s="22"/>
      <c r="AL45" s="22"/>
      <c r="AM45" s="22"/>
      <c r="AQ45" s="22"/>
      <c r="AR45" s="22">
        <v>1</v>
      </c>
      <c r="AS45" s="22"/>
      <c r="AT45" s="22">
        <v>1</v>
      </c>
      <c r="AX45" s="22"/>
      <c r="AY45" s="22">
        <v>1</v>
      </c>
      <c r="AZ45" s="22"/>
      <c r="BA45" s="22">
        <v>1</v>
      </c>
      <c r="BE45" s="22"/>
      <c r="BF45" s="22">
        <v>1</v>
      </c>
      <c r="BG45" s="22"/>
      <c r="BH45" s="22">
        <v>1</v>
      </c>
      <c r="BL45" s="22"/>
      <c r="BM45" s="22">
        <v>1</v>
      </c>
      <c r="BN45" s="22"/>
      <c r="BO45" s="22">
        <v>1</v>
      </c>
      <c r="BS45" s="22"/>
      <c r="BT45" s="22">
        <v>1</v>
      </c>
      <c r="BU45" s="22"/>
      <c r="BV45" s="22">
        <v>1</v>
      </c>
      <c r="BZ45" s="22"/>
      <c r="CA45" s="22">
        <v>1</v>
      </c>
      <c r="CB45" s="22"/>
      <c r="CC45" s="22">
        <v>1</v>
      </c>
      <c r="CG45" s="22"/>
      <c r="CH45" s="22">
        <v>1</v>
      </c>
      <c r="CI45" s="22"/>
      <c r="CJ45" s="22">
        <v>1</v>
      </c>
      <c r="CN45" s="22"/>
      <c r="CO45" s="22">
        <v>1</v>
      </c>
      <c r="CP45" s="22"/>
      <c r="CQ45" s="22">
        <v>1</v>
      </c>
      <c r="CU45" s="22"/>
      <c r="CV45" s="22">
        <v>1</v>
      </c>
      <c r="CW45" s="22"/>
      <c r="CX45" s="22">
        <v>1</v>
      </c>
      <c r="DB45" s="22"/>
      <c r="DC45" s="22">
        <v>1</v>
      </c>
      <c r="DD45" s="22"/>
      <c r="DE45" s="22">
        <v>1</v>
      </c>
      <c r="DI45" s="22"/>
      <c r="DJ45" s="22">
        <v>1</v>
      </c>
      <c r="DK45" s="22"/>
      <c r="DL45" s="22">
        <v>1</v>
      </c>
      <c r="DP45" s="22"/>
      <c r="DQ45" s="22">
        <v>1</v>
      </c>
      <c r="DR45" s="22"/>
      <c r="DS45" s="22">
        <v>1</v>
      </c>
      <c r="DW45" s="22"/>
      <c r="DX45" s="22">
        <v>1</v>
      </c>
      <c r="DY45" s="22"/>
      <c r="DZ45" s="22">
        <v>1</v>
      </c>
    </row>
    <row r="46" spans="2:130" ht="16" customHeight="1" outlineLevel="1" x14ac:dyDescent="0.2">
      <c r="B46" s="8" t="s">
        <v>87</v>
      </c>
      <c r="C46" s="8" t="str">
        <f>C44</f>
        <v>Mathe 1</v>
      </c>
      <c r="E46" s="13"/>
      <c r="F46" s="24" t="s">
        <v>93</v>
      </c>
      <c r="G46" s="22">
        <f>G41</f>
        <v>7.1428571428571425E-2</v>
      </c>
      <c r="I46" s="13">
        <f t="shared" si="3"/>
        <v>0</v>
      </c>
      <c r="J46" s="16">
        <f t="array" ref="J46">MAX(IF($N$3:$EW$3=$J$3,N46:EW46))</f>
        <v>0</v>
      </c>
      <c r="K46" s="16">
        <f t="array" ref="K46">MAX(IF($N$3:$EW$3=$K$3,N46:EW46))</f>
        <v>0</v>
      </c>
      <c r="L46" s="13"/>
      <c r="M46" s="12"/>
      <c r="O46" s="22"/>
      <c r="P46" s="22"/>
      <c r="Q46" s="22"/>
      <c r="R46" s="22"/>
      <c r="V46" s="22"/>
      <c r="W46" s="22"/>
      <c r="X46" s="22"/>
      <c r="Y46" s="22"/>
      <c r="AC46" s="22"/>
      <c r="AD46" s="22"/>
      <c r="AE46" s="22"/>
      <c r="AF46" s="22"/>
      <c r="AJ46" s="22"/>
      <c r="AK46" s="22"/>
      <c r="AL46" s="22"/>
      <c r="AM46" s="22"/>
      <c r="AQ46" s="22"/>
      <c r="AR46" s="22"/>
      <c r="AS46" s="22"/>
      <c r="AT46" s="22"/>
      <c r="AX46" s="22"/>
      <c r="AY46" s="22">
        <v>1</v>
      </c>
      <c r="AZ46" s="22"/>
      <c r="BA46" s="22">
        <v>1</v>
      </c>
      <c r="BE46" s="22"/>
      <c r="BF46" s="22">
        <v>1</v>
      </c>
      <c r="BG46" s="22"/>
      <c r="BH46" s="22">
        <v>1</v>
      </c>
      <c r="BL46" s="22"/>
      <c r="BM46" s="22">
        <v>1</v>
      </c>
      <c r="BN46" s="22"/>
      <c r="BO46" s="22">
        <v>1</v>
      </c>
      <c r="BS46" s="22"/>
      <c r="BT46" s="22">
        <v>1</v>
      </c>
      <c r="BU46" s="22"/>
      <c r="BV46" s="22">
        <v>1</v>
      </c>
      <c r="BZ46" s="22"/>
      <c r="CA46" s="22">
        <v>1</v>
      </c>
      <c r="CB46" s="22"/>
      <c r="CC46" s="22">
        <v>1</v>
      </c>
      <c r="CG46" s="22"/>
      <c r="CH46" s="22">
        <v>1</v>
      </c>
      <c r="CI46" s="22"/>
      <c r="CJ46" s="22">
        <v>1</v>
      </c>
      <c r="CN46" s="22"/>
      <c r="CO46" s="22">
        <v>1</v>
      </c>
      <c r="CP46" s="22"/>
      <c r="CQ46" s="22">
        <v>1</v>
      </c>
      <c r="CU46" s="22"/>
      <c r="CV46" s="22">
        <v>1</v>
      </c>
      <c r="CW46" s="22"/>
      <c r="CX46" s="22">
        <v>1</v>
      </c>
      <c r="DB46" s="22"/>
      <c r="DC46" s="22">
        <v>1</v>
      </c>
      <c r="DD46" s="22"/>
      <c r="DE46" s="22">
        <v>1</v>
      </c>
      <c r="DI46" s="22"/>
      <c r="DJ46" s="22">
        <v>1</v>
      </c>
      <c r="DK46" s="22"/>
      <c r="DL46" s="22">
        <v>1</v>
      </c>
      <c r="DP46" s="22"/>
      <c r="DQ46" s="22">
        <v>1</v>
      </c>
      <c r="DR46" s="22"/>
      <c r="DS46" s="22">
        <v>1</v>
      </c>
      <c r="DW46" s="22"/>
      <c r="DX46" s="22">
        <v>1</v>
      </c>
      <c r="DY46" s="22"/>
      <c r="DZ46" s="22">
        <v>1</v>
      </c>
    </row>
    <row r="47" spans="2:130" ht="15.75" customHeight="1" outlineLevel="1" x14ac:dyDescent="0.2">
      <c r="B47" s="8" t="s">
        <v>87</v>
      </c>
      <c r="C47" s="8" t="str">
        <f>C46</f>
        <v>Mathe 1</v>
      </c>
      <c r="E47" s="13"/>
      <c r="F47" s="24" t="s">
        <v>94</v>
      </c>
      <c r="G47" s="22">
        <f>G41</f>
        <v>7.1428571428571425E-2</v>
      </c>
      <c r="I47" s="13">
        <f t="shared" si="3"/>
        <v>0</v>
      </c>
      <c r="J47" s="16">
        <f t="array" ref="J47">MAX(IF($N$3:$EW$3=$J$3,N47:EW47))</f>
        <v>0</v>
      </c>
      <c r="K47" s="16">
        <f t="array" ref="K47">MAX(IF($N$3:$EW$3=$K$3,N47:EW47))</f>
        <v>0</v>
      </c>
      <c r="L47" s="13"/>
      <c r="M47" s="12"/>
      <c r="O47" s="22"/>
      <c r="P47" s="22"/>
      <c r="Q47" s="22"/>
      <c r="R47" s="22"/>
      <c r="V47" s="22"/>
      <c r="W47" s="22"/>
      <c r="X47" s="22"/>
      <c r="Y47" s="22"/>
      <c r="AC47" s="22"/>
      <c r="AD47" s="22"/>
      <c r="AE47" s="22"/>
      <c r="AF47" s="22"/>
      <c r="AJ47" s="22"/>
      <c r="AK47" s="22"/>
      <c r="AL47" s="22"/>
      <c r="AM47" s="22"/>
      <c r="AQ47" s="22"/>
      <c r="AR47" s="22"/>
      <c r="AS47" s="22"/>
      <c r="AT47" s="22"/>
      <c r="AX47" s="22"/>
      <c r="AY47" s="22"/>
      <c r="AZ47" s="22"/>
      <c r="BA47" s="22"/>
      <c r="BE47" s="22"/>
      <c r="BF47" s="22">
        <v>1</v>
      </c>
      <c r="BG47" s="22"/>
      <c r="BH47" s="22">
        <v>1</v>
      </c>
      <c r="BL47" s="22"/>
      <c r="BM47" s="22">
        <v>1</v>
      </c>
      <c r="BN47" s="22"/>
      <c r="BO47" s="22">
        <v>1</v>
      </c>
      <c r="BS47" s="22"/>
      <c r="BT47" s="22">
        <v>1</v>
      </c>
      <c r="BU47" s="22"/>
      <c r="BV47" s="22">
        <v>1</v>
      </c>
      <c r="BZ47" s="22"/>
      <c r="CA47" s="22">
        <v>1</v>
      </c>
      <c r="CB47" s="22"/>
      <c r="CC47" s="22">
        <v>1</v>
      </c>
      <c r="CG47" s="22"/>
      <c r="CH47" s="22">
        <v>1</v>
      </c>
      <c r="CI47" s="22"/>
      <c r="CJ47" s="22">
        <v>1</v>
      </c>
      <c r="CN47" s="22"/>
      <c r="CO47" s="22">
        <v>1</v>
      </c>
      <c r="CP47" s="22"/>
      <c r="CQ47" s="22">
        <v>1</v>
      </c>
      <c r="CU47" s="22"/>
      <c r="CV47" s="22">
        <v>1</v>
      </c>
      <c r="CW47" s="22"/>
      <c r="CX47" s="22">
        <v>1</v>
      </c>
      <c r="DB47" s="22"/>
      <c r="DC47" s="22">
        <v>1</v>
      </c>
      <c r="DD47" s="22"/>
      <c r="DE47" s="22">
        <v>1</v>
      </c>
      <c r="DI47" s="22"/>
      <c r="DJ47" s="22">
        <v>1</v>
      </c>
      <c r="DK47" s="22"/>
      <c r="DL47" s="22">
        <v>1</v>
      </c>
      <c r="DP47" s="22"/>
      <c r="DQ47" s="22">
        <v>1</v>
      </c>
      <c r="DR47" s="22"/>
      <c r="DS47" s="22">
        <v>1</v>
      </c>
      <c r="DW47" s="22"/>
      <c r="DX47" s="22">
        <v>1</v>
      </c>
      <c r="DY47" s="22"/>
      <c r="DZ47" s="22">
        <v>1</v>
      </c>
    </row>
    <row r="48" spans="2:130" ht="15.75" customHeight="1" outlineLevel="1" x14ac:dyDescent="0.2">
      <c r="B48" s="8" t="s">
        <v>87</v>
      </c>
      <c r="C48" s="8" t="str">
        <f>C46</f>
        <v>Mathe 1</v>
      </c>
      <c r="E48" s="13"/>
      <c r="F48" s="24" t="s">
        <v>95</v>
      </c>
      <c r="G48" s="22">
        <f>G41</f>
        <v>7.1428571428571425E-2</v>
      </c>
      <c r="I48" s="13">
        <f t="shared" si="3"/>
        <v>0</v>
      </c>
      <c r="J48" s="16">
        <f t="array" ref="J48">MAX(IF($N$3:$EW$3=$J$3,N48:EW48))</f>
        <v>0</v>
      </c>
      <c r="K48" s="16">
        <f t="array" ref="K48">MAX(IF($N$3:$EW$3=$K$3,N48:EW48))</f>
        <v>0</v>
      </c>
      <c r="L48" s="13"/>
      <c r="M48" s="12"/>
      <c r="O48" s="22"/>
      <c r="P48" s="22"/>
      <c r="Q48" s="22"/>
      <c r="R48" s="22"/>
      <c r="V48" s="22"/>
      <c r="W48" s="22"/>
      <c r="X48" s="22"/>
      <c r="Y48" s="22"/>
      <c r="AC48" s="22"/>
      <c r="AD48" s="22"/>
      <c r="AE48" s="22"/>
      <c r="AF48" s="22"/>
      <c r="AJ48" s="22"/>
      <c r="AK48" s="22"/>
      <c r="AL48" s="22"/>
      <c r="AM48" s="22"/>
      <c r="AQ48" s="22"/>
      <c r="AR48" s="22"/>
      <c r="AS48" s="22"/>
      <c r="AT48" s="22"/>
      <c r="AX48" s="22"/>
      <c r="AY48" s="22"/>
      <c r="AZ48" s="22"/>
      <c r="BA48" s="22"/>
      <c r="BE48" s="22"/>
      <c r="BF48" s="22"/>
      <c r="BG48" s="22"/>
      <c r="BH48" s="22"/>
      <c r="BL48" s="22"/>
      <c r="BM48" s="22">
        <v>1</v>
      </c>
      <c r="BN48" s="22"/>
      <c r="BO48" s="22">
        <v>1</v>
      </c>
      <c r="BS48" s="22"/>
      <c r="BT48" s="22">
        <v>1</v>
      </c>
      <c r="BU48" s="22"/>
      <c r="BV48" s="22">
        <v>1</v>
      </c>
      <c r="BZ48" s="22"/>
      <c r="CA48" s="22">
        <v>1</v>
      </c>
      <c r="CB48" s="22"/>
      <c r="CC48" s="22">
        <v>1</v>
      </c>
      <c r="CG48" s="22"/>
      <c r="CH48" s="22">
        <v>1</v>
      </c>
      <c r="CI48" s="22"/>
      <c r="CJ48" s="22">
        <v>1</v>
      </c>
      <c r="CN48" s="22"/>
      <c r="CO48" s="22">
        <v>1</v>
      </c>
      <c r="CP48" s="22"/>
      <c r="CQ48" s="22">
        <v>1</v>
      </c>
      <c r="CU48" s="22"/>
      <c r="CV48" s="22">
        <v>1</v>
      </c>
      <c r="CW48" s="22"/>
      <c r="CX48" s="22">
        <v>1</v>
      </c>
      <c r="DB48" s="22"/>
      <c r="DC48" s="22">
        <v>1</v>
      </c>
      <c r="DD48" s="22"/>
      <c r="DE48" s="22">
        <v>1</v>
      </c>
      <c r="DI48" s="22"/>
      <c r="DJ48" s="22">
        <v>1</v>
      </c>
      <c r="DK48" s="22"/>
      <c r="DL48" s="22">
        <v>1</v>
      </c>
      <c r="DP48" s="22"/>
      <c r="DQ48" s="22">
        <v>1</v>
      </c>
      <c r="DR48" s="22"/>
      <c r="DS48" s="22">
        <v>1</v>
      </c>
      <c r="DW48" s="22"/>
      <c r="DX48" s="22">
        <v>1</v>
      </c>
      <c r="DY48" s="22"/>
      <c r="DZ48" s="22">
        <v>1</v>
      </c>
    </row>
    <row r="49" spans="2:130" ht="15.75" customHeight="1" outlineLevel="1" x14ac:dyDescent="0.2">
      <c r="B49" s="8" t="s">
        <v>87</v>
      </c>
      <c r="C49" s="8" t="str">
        <f>C48</f>
        <v>Mathe 1</v>
      </c>
      <c r="E49" s="13"/>
      <c r="F49" s="24" t="s">
        <v>96</v>
      </c>
      <c r="G49" s="22">
        <f>G41</f>
        <v>7.1428571428571425E-2</v>
      </c>
      <c r="I49" s="13">
        <f t="shared" si="3"/>
        <v>0</v>
      </c>
      <c r="J49" s="16">
        <f t="array" ref="J49">MAX(IF($N$3:$EW$3=$J$3,N49:EW49))</f>
        <v>0</v>
      </c>
      <c r="K49" s="16">
        <f t="array" ref="K49">MAX(IF($N$3:$EW$3=$K$3,N49:EW49))</f>
        <v>0</v>
      </c>
      <c r="L49" s="13"/>
      <c r="M49" s="12"/>
      <c r="O49" s="22"/>
      <c r="P49" s="22"/>
      <c r="Q49" s="22"/>
      <c r="R49" s="22"/>
      <c r="V49" s="22"/>
      <c r="W49" s="22"/>
      <c r="X49" s="22"/>
      <c r="Y49" s="22"/>
      <c r="AC49" s="22"/>
      <c r="AD49" s="22"/>
      <c r="AE49" s="22"/>
      <c r="AF49" s="22"/>
      <c r="AJ49" s="22"/>
      <c r="AK49" s="22"/>
      <c r="AL49" s="22"/>
      <c r="AM49" s="22"/>
      <c r="AQ49" s="22"/>
      <c r="AR49" s="22"/>
      <c r="AS49" s="22"/>
      <c r="AT49" s="22"/>
      <c r="AX49" s="22"/>
      <c r="AY49" s="22"/>
      <c r="AZ49" s="22"/>
      <c r="BA49" s="22"/>
      <c r="BE49" s="22"/>
      <c r="BF49" s="22"/>
      <c r="BG49" s="22"/>
      <c r="BH49" s="22"/>
      <c r="BL49" s="22"/>
      <c r="BM49" s="22"/>
      <c r="BN49" s="22"/>
      <c r="BO49" s="22"/>
      <c r="BS49" s="22"/>
      <c r="BT49" s="22">
        <v>1</v>
      </c>
      <c r="BU49" s="22"/>
      <c r="BV49" s="22">
        <v>1</v>
      </c>
      <c r="BZ49" s="22"/>
      <c r="CA49" s="22">
        <v>1</v>
      </c>
      <c r="CB49" s="22"/>
      <c r="CC49" s="22">
        <v>1</v>
      </c>
      <c r="CG49" s="22"/>
      <c r="CH49" s="22">
        <v>1</v>
      </c>
      <c r="CI49" s="22"/>
      <c r="CJ49" s="22">
        <v>1</v>
      </c>
      <c r="CN49" s="22"/>
      <c r="CO49" s="22">
        <v>1</v>
      </c>
      <c r="CP49" s="22"/>
      <c r="CQ49" s="22">
        <v>1</v>
      </c>
      <c r="CU49" s="22"/>
      <c r="CV49" s="22">
        <v>1</v>
      </c>
      <c r="CW49" s="22"/>
      <c r="CX49" s="22">
        <v>1</v>
      </c>
      <c r="DB49" s="22"/>
      <c r="DC49" s="22">
        <v>1</v>
      </c>
      <c r="DD49" s="22"/>
      <c r="DE49" s="22">
        <v>1</v>
      </c>
      <c r="DI49" s="22"/>
      <c r="DJ49" s="22">
        <v>1</v>
      </c>
      <c r="DK49" s="22"/>
      <c r="DL49" s="22">
        <v>1</v>
      </c>
      <c r="DP49" s="22"/>
      <c r="DQ49" s="22">
        <v>1</v>
      </c>
      <c r="DR49" s="22"/>
      <c r="DS49" s="22">
        <v>1</v>
      </c>
      <c r="DW49" s="22"/>
      <c r="DX49" s="22">
        <v>1</v>
      </c>
      <c r="DY49" s="22"/>
      <c r="DZ49" s="22">
        <v>1</v>
      </c>
    </row>
    <row r="50" spans="2:130" ht="15.75" customHeight="1" outlineLevel="1" x14ac:dyDescent="0.2">
      <c r="B50" s="8" t="s">
        <v>87</v>
      </c>
      <c r="C50" s="8" t="str">
        <f>C48</f>
        <v>Mathe 1</v>
      </c>
      <c r="E50" s="13"/>
      <c r="F50" s="24" t="s">
        <v>97</v>
      </c>
      <c r="G50" s="22">
        <f>G41</f>
        <v>7.1428571428571425E-2</v>
      </c>
      <c r="I50" s="13">
        <f t="shared" si="3"/>
        <v>0</v>
      </c>
      <c r="J50" s="16">
        <f t="array" ref="J50">MAX(IF($N$3:$EW$3=$J$3,N50:EW50))</f>
        <v>0</v>
      </c>
      <c r="K50" s="16">
        <f t="array" ref="K50">MAX(IF($N$3:$EW$3=$K$3,N50:EW50))</f>
        <v>0</v>
      </c>
      <c r="L50" s="13"/>
      <c r="M50" s="12"/>
      <c r="O50" s="22"/>
      <c r="P50" s="22"/>
      <c r="Q50" s="22"/>
      <c r="R50" s="22"/>
      <c r="V50" s="22"/>
      <c r="W50" s="22"/>
      <c r="X50" s="22"/>
      <c r="Y50" s="22"/>
      <c r="AC50" s="22"/>
      <c r="AD50" s="22"/>
      <c r="AE50" s="22"/>
      <c r="AF50" s="22"/>
      <c r="AJ50" s="22"/>
      <c r="AK50" s="22"/>
      <c r="AL50" s="22"/>
      <c r="AM50" s="22"/>
      <c r="AQ50" s="22"/>
      <c r="AR50" s="22"/>
      <c r="AS50" s="22"/>
      <c r="AT50" s="22"/>
      <c r="AX50" s="22"/>
      <c r="AY50" s="22"/>
      <c r="AZ50" s="22"/>
      <c r="BA50" s="22"/>
      <c r="BE50" s="22"/>
      <c r="BF50" s="22"/>
      <c r="BG50" s="22"/>
      <c r="BH50" s="22"/>
      <c r="BL50" s="22"/>
      <c r="BM50" s="22"/>
      <c r="BN50" s="22"/>
      <c r="BO50" s="22"/>
      <c r="BS50" s="22"/>
      <c r="BT50" s="22"/>
      <c r="BU50" s="22"/>
      <c r="BV50" s="22"/>
      <c r="BZ50" s="22"/>
      <c r="CA50" s="22">
        <v>1</v>
      </c>
      <c r="CB50" s="22"/>
      <c r="CC50" s="22">
        <v>1</v>
      </c>
      <c r="CG50" s="22"/>
      <c r="CH50" s="22">
        <v>1</v>
      </c>
      <c r="CI50" s="22"/>
      <c r="CJ50" s="22">
        <v>1</v>
      </c>
      <c r="CN50" s="22"/>
      <c r="CO50" s="22">
        <v>1</v>
      </c>
      <c r="CP50" s="22"/>
      <c r="CQ50" s="22">
        <v>1</v>
      </c>
      <c r="CU50" s="22"/>
      <c r="CV50" s="22">
        <v>1</v>
      </c>
      <c r="CW50" s="22"/>
      <c r="CX50" s="22">
        <v>1</v>
      </c>
      <c r="DB50" s="22"/>
      <c r="DC50" s="22">
        <v>1</v>
      </c>
      <c r="DD50" s="22"/>
      <c r="DE50" s="22">
        <v>1</v>
      </c>
      <c r="DI50" s="22"/>
      <c r="DJ50" s="22">
        <v>1</v>
      </c>
      <c r="DK50" s="22"/>
      <c r="DL50" s="22">
        <v>1</v>
      </c>
      <c r="DP50" s="22"/>
      <c r="DQ50" s="22">
        <v>1</v>
      </c>
      <c r="DR50" s="22"/>
      <c r="DS50" s="22">
        <v>1</v>
      </c>
      <c r="DW50" s="22"/>
      <c r="DX50" s="22">
        <v>1</v>
      </c>
      <c r="DY50" s="22"/>
      <c r="DZ50" s="22">
        <v>1</v>
      </c>
    </row>
    <row r="51" spans="2:130" ht="15.75" customHeight="1" outlineLevel="1" x14ac:dyDescent="0.2">
      <c r="B51" s="8" t="s">
        <v>87</v>
      </c>
      <c r="C51" s="8" t="str">
        <f>C50</f>
        <v>Mathe 1</v>
      </c>
      <c r="E51" s="13"/>
      <c r="F51" s="24" t="s">
        <v>101</v>
      </c>
      <c r="G51" s="22">
        <f>G41</f>
        <v>7.1428571428571425E-2</v>
      </c>
      <c r="I51" s="13">
        <f t="shared" si="3"/>
        <v>0</v>
      </c>
      <c r="J51" s="16">
        <f t="array" ref="J51">MAX(IF($N$3:$EW$3=$J$3,N51:EW51))</f>
        <v>0</v>
      </c>
      <c r="K51" s="16">
        <f t="array" ref="K51">MAX(IF($N$3:$EW$3=$K$3,N51:EW51))</f>
        <v>0</v>
      </c>
      <c r="L51" s="13"/>
      <c r="M51" s="12"/>
      <c r="O51" s="22"/>
      <c r="P51" s="22"/>
      <c r="Q51" s="22"/>
      <c r="R51" s="22"/>
      <c r="V51" s="22"/>
      <c r="W51" s="22"/>
      <c r="X51" s="22"/>
      <c r="Y51" s="22"/>
      <c r="AC51" s="22"/>
      <c r="AD51" s="22"/>
      <c r="AE51" s="22"/>
      <c r="AF51" s="22"/>
      <c r="AJ51" s="22"/>
      <c r="AK51" s="22"/>
      <c r="AL51" s="22"/>
      <c r="AM51" s="22"/>
      <c r="AQ51" s="22"/>
      <c r="AR51" s="22"/>
      <c r="AS51" s="22"/>
      <c r="AT51" s="22"/>
      <c r="AX51" s="22"/>
      <c r="AY51" s="22"/>
      <c r="AZ51" s="22"/>
      <c r="BA51" s="22"/>
      <c r="BE51" s="22"/>
      <c r="BF51" s="22"/>
      <c r="BG51" s="22"/>
      <c r="BH51" s="22"/>
      <c r="BL51" s="22"/>
      <c r="BM51" s="22"/>
      <c r="BN51" s="22"/>
      <c r="BO51" s="22"/>
      <c r="BS51" s="22"/>
      <c r="BT51" s="22"/>
      <c r="BU51" s="22"/>
      <c r="BV51" s="22"/>
      <c r="BZ51" s="22"/>
      <c r="CA51" s="22"/>
      <c r="CB51" s="22"/>
      <c r="CC51" s="22"/>
      <c r="CG51" s="22"/>
      <c r="CH51" s="22">
        <v>1</v>
      </c>
      <c r="CI51" s="22"/>
      <c r="CJ51" s="22">
        <v>1</v>
      </c>
      <c r="CN51" s="22"/>
      <c r="CO51" s="22">
        <v>1</v>
      </c>
      <c r="CP51" s="22"/>
      <c r="CQ51" s="22">
        <v>1</v>
      </c>
      <c r="CU51" s="22"/>
      <c r="CV51" s="22">
        <v>1</v>
      </c>
      <c r="CW51" s="22"/>
      <c r="CX51" s="22">
        <v>1</v>
      </c>
      <c r="DB51" s="22"/>
      <c r="DC51" s="22">
        <v>1</v>
      </c>
      <c r="DD51" s="22"/>
      <c r="DE51" s="22">
        <v>1</v>
      </c>
      <c r="DI51" s="22"/>
      <c r="DJ51" s="22">
        <v>1</v>
      </c>
      <c r="DK51" s="22"/>
      <c r="DL51" s="22">
        <v>1</v>
      </c>
      <c r="DP51" s="22"/>
      <c r="DQ51" s="22">
        <v>1</v>
      </c>
      <c r="DR51" s="22"/>
      <c r="DS51" s="22">
        <v>1</v>
      </c>
      <c r="DW51" s="22"/>
      <c r="DX51" s="22">
        <v>1</v>
      </c>
      <c r="DY51" s="22"/>
      <c r="DZ51" s="22">
        <v>1</v>
      </c>
    </row>
    <row r="52" spans="2:130" ht="15.75" customHeight="1" outlineLevel="1" x14ac:dyDescent="0.2">
      <c r="B52" s="8" t="s">
        <v>87</v>
      </c>
      <c r="C52" s="8" t="str">
        <f>C50</f>
        <v>Mathe 1</v>
      </c>
      <c r="E52" s="13"/>
      <c r="F52" s="24" t="s">
        <v>102</v>
      </c>
      <c r="G52" s="22">
        <f>G41</f>
        <v>7.1428571428571425E-2</v>
      </c>
      <c r="I52" s="13">
        <f t="shared" si="3"/>
        <v>0</v>
      </c>
      <c r="J52" s="16">
        <f t="array" ref="J52">MAX(IF($N$3:$EW$3=$J$3,N52:EW52))</f>
        <v>0</v>
      </c>
      <c r="K52" s="16">
        <f t="array" ref="K52">MAX(IF($N$3:$EW$3=$K$3,N52:EW52))</f>
        <v>0</v>
      </c>
      <c r="L52" s="13"/>
      <c r="M52" s="12"/>
      <c r="O52" s="22"/>
      <c r="P52" s="22"/>
      <c r="Q52" s="22"/>
      <c r="R52" s="22"/>
      <c r="V52" s="22"/>
      <c r="W52" s="22"/>
      <c r="X52" s="22"/>
      <c r="Y52" s="22"/>
      <c r="AC52" s="22"/>
      <c r="AD52" s="22"/>
      <c r="AE52" s="22"/>
      <c r="AF52" s="22"/>
      <c r="AJ52" s="22"/>
      <c r="AK52" s="22"/>
      <c r="AL52" s="22"/>
      <c r="AM52" s="22"/>
      <c r="AQ52" s="22"/>
      <c r="AR52" s="22"/>
      <c r="AS52" s="22"/>
      <c r="AT52" s="22"/>
      <c r="AX52" s="22"/>
      <c r="AY52" s="22"/>
      <c r="AZ52" s="22"/>
      <c r="BA52" s="22"/>
      <c r="BE52" s="22"/>
      <c r="BF52" s="22"/>
      <c r="BG52" s="22"/>
      <c r="BH52" s="22"/>
      <c r="BL52" s="22"/>
      <c r="BM52" s="22"/>
      <c r="BN52" s="22"/>
      <c r="BO52" s="22"/>
      <c r="BS52" s="22"/>
      <c r="BT52" s="22"/>
      <c r="BU52" s="22"/>
      <c r="BV52" s="22"/>
      <c r="BZ52" s="22"/>
      <c r="CA52" s="22"/>
      <c r="CB52" s="22"/>
      <c r="CC52" s="22"/>
      <c r="CG52" s="22"/>
      <c r="CH52" s="22"/>
      <c r="CI52" s="22"/>
      <c r="CJ52" s="22"/>
      <c r="CN52" s="22"/>
      <c r="CO52" s="22"/>
      <c r="CP52" s="22"/>
      <c r="CQ52" s="22"/>
      <c r="CU52" s="22"/>
      <c r="CV52" s="22">
        <v>1</v>
      </c>
      <c r="CW52" s="22"/>
      <c r="CX52" s="22">
        <v>1</v>
      </c>
      <c r="DB52" s="22"/>
      <c r="DC52" s="22">
        <v>1</v>
      </c>
      <c r="DD52" s="22"/>
      <c r="DE52" s="22">
        <v>1</v>
      </c>
      <c r="DI52" s="22"/>
      <c r="DJ52" s="22">
        <v>1</v>
      </c>
      <c r="DK52" s="22"/>
      <c r="DL52" s="22">
        <v>1</v>
      </c>
      <c r="DP52" s="22"/>
      <c r="DQ52" s="22">
        <v>1</v>
      </c>
      <c r="DR52" s="22"/>
      <c r="DS52" s="22">
        <v>1</v>
      </c>
      <c r="DW52" s="22"/>
      <c r="DX52" s="22">
        <v>1</v>
      </c>
      <c r="DY52" s="22"/>
      <c r="DZ52" s="22">
        <v>1</v>
      </c>
    </row>
    <row r="53" spans="2:130" ht="15.75" customHeight="1" outlineLevel="1" x14ac:dyDescent="0.2">
      <c r="B53" s="8" t="s">
        <v>87</v>
      </c>
      <c r="C53" s="8" t="str">
        <f>C52</f>
        <v>Mathe 1</v>
      </c>
      <c r="E53" s="13"/>
      <c r="F53" s="24" t="s">
        <v>103</v>
      </c>
      <c r="G53" s="22">
        <f>G41</f>
        <v>7.1428571428571425E-2</v>
      </c>
      <c r="I53" s="13">
        <f t="shared" si="3"/>
        <v>0</v>
      </c>
      <c r="J53" s="16">
        <f t="array" ref="J53">MAX(IF($N$3:$EW$3=$J$3,N53:EW53))</f>
        <v>0</v>
      </c>
      <c r="K53" s="16">
        <f t="array" ref="K53">MAX(IF($N$3:$EW$3=$K$3,N53:EW53))</f>
        <v>0</v>
      </c>
      <c r="L53" s="13"/>
      <c r="M53" s="12"/>
      <c r="O53" s="22"/>
      <c r="P53" s="22"/>
      <c r="Q53" s="22"/>
      <c r="R53" s="22"/>
      <c r="V53" s="22"/>
      <c r="W53" s="22"/>
      <c r="X53" s="22"/>
      <c r="Y53" s="22"/>
      <c r="AC53" s="22"/>
      <c r="AD53" s="22"/>
      <c r="AE53" s="22"/>
      <c r="AF53" s="22"/>
      <c r="AJ53" s="22"/>
      <c r="AK53" s="22"/>
      <c r="AL53" s="22"/>
      <c r="AM53" s="22"/>
      <c r="AQ53" s="22"/>
      <c r="AR53" s="22"/>
      <c r="AS53" s="22"/>
      <c r="AT53" s="22"/>
      <c r="AX53" s="22"/>
      <c r="AY53" s="22"/>
      <c r="AZ53" s="22"/>
      <c r="BA53" s="22"/>
      <c r="BE53" s="22"/>
      <c r="BF53" s="22"/>
      <c r="BG53" s="22"/>
      <c r="BH53" s="22"/>
      <c r="BL53" s="22"/>
      <c r="BM53" s="22"/>
      <c r="BN53" s="22"/>
      <c r="BO53" s="22"/>
      <c r="BS53" s="22"/>
      <c r="BT53" s="22"/>
      <c r="BU53" s="22"/>
      <c r="BV53" s="22"/>
      <c r="BZ53" s="22"/>
      <c r="CA53" s="22"/>
      <c r="CB53" s="22"/>
      <c r="CC53" s="22"/>
      <c r="CG53" s="22"/>
      <c r="CH53" s="22"/>
      <c r="CI53" s="22"/>
      <c r="CJ53" s="22"/>
      <c r="CN53" s="22"/>
      <c r="CO53" s="22"/>
      <c r="CP53" s="22"/>
      <c r="CQ53" s="22"/>
      <c r="CU53" s="22"/>
      <c r="CV53" s="22"/>
      <c r="CW53" s="22"/>
      <c r="CX53" s="22"/>
      <c r="DB53" s="22"/>
      <c r="DC53" s="22">
        <v>1</v>
      </c>
      <c r="DD53" s="22"/>
      <c r="DE53" s="22">
        <v>1</v>
      </c>
      <c r="DI53" s="22"/>
      <c r="DJ53" s="22">
        <v>1</v>
      </c>
      <c r="DK53" s="22"/>
      <c r="DL53" s="22">
        <v>1</v>
      </c>
      <c r="DP53" s="22"/>
      <c r="DQ53" s="22">
        <v>1</v>
      </c>
      <c r="DR53" s="22"/>
      <c r="DS53" s="22">
        <v>1</v>
      </c>
      <c r="DW53" s="22"/>
      <c r="DX53" s="22">
        <v>1</v>
      </c>
      <c r="DY53" s="22"/>
      <c r="DZ53" s="22">
        <v>1</v>
      </c>
    </row>
    <row r="54" spans="2:130" ht="15.75" customHeight="1" outlineLevel="1" x14ac:dyDescent="0.2">
      <c r="B54" s="8" t="s">
        <v>87</v>
      </c>
      <c r="C54" s="8" t="str">
        <f>C52</f>
        <v>Mathe 1</v>
      </c>
      <c r="E54" s="13"/>
      <c r="F54" s="24" t="s">
        <v>104</v>
      </c>
      <c r="G54" s="22">
        <f>G41</f>
        <v>7.1428571428571425E-2</v>
      </c>
      <c r="I54" s="13">
        <f t="shared" si="3"/>
        <v>0</v>
      </c>
      <c r="J54" s="16">
        <f t="array" ref="J54">MAX(IF($N$3:$EW$3=$J$3,N54:EW54))</f>
        <v>0</v>
      </c>
      <c r="K54" s="16">
        <f t="array" ref="K54">MAX(IF($N$3:$EW$3=$K$3,N54:EW54))</f>
        <v>0</v>
      </c>
      <c r="L54" s="13"/>
      <c r="M54" s="12"/>
      <c r="O54" s="22"/>
      <c r="P54" s="22"/>
      <c r="Q54" s="22"/>
      <c r="R54" s="22"/>
      <c r="V54" s="22"/>
      <c r="W54" s="22"/>
      <c r="X54" s="22"/>
      <c r="Y54" s="22"/>
      <c r="AC54" s="22"/>
      <c r="AD54" s="22"/>
      <c r="AE54" s="22"/>
      <c r="AF54" s="22"/>
      <c r="AJ54" s="22"/>
      <c r="AK54" s="22"/>
      <c r="AL54" s="22"/>
      <c r="AM54" s="22"/>
      <c r="AQ54" s="22"/>
      <c r="AR54" s="22"/>
      <c r="AS54" s="22"/>
      <c r="AT54" s="22"/>
      <c r="AX54" s="22"/>
      <c r="AY54" s="22"/>
      <c r="AZ54" s="22"/>
      <c r="BA54" s="22"/>
      <c r="BE54" s="22"/>
      <c r="BF54" s="22"/>
      <c r="BG54" s="22"/>
      <c r="BH54" s="22"/>
      <c r="BL54" s="22"/>
      <c r="BM54" s="22"/>
      <c r="BN54" s="22"/>
      <c r="BO54" s="22"/>
      <c r="BS54" s="22"/>
      <c r="BT54" s="22"/>
      <c r="BU54" s="22"/>
      <c r="BV54" s="22"/>
      <c r="BZ54" s="22"/>
      <c r="CA54" s="22"/>
      <c r="CB54" s="22"/>
      <c r="CC54" s="22"/>
      <c r="CG54" s="22"/>
      <c r="CH54" s="22"/>
      <c r="CI54" s="22"/>
      <c r="CJ54" s="22"/>
      <c r="CN54" s="22"/>
      <c r="CO54" s="22"/>
      <c r="CP54" s="22"/>
      <c r="CQ54" s="22"/>
      <c r="CU54" s="22"/>
      <c r="CV54" s="22"/>
      <c r="CW54" s="22"/>
      <c r="CX54" s="22"/>
      <c r="DB54" s="22"/>
      <c r="DC54" s="22"/>
      <c r="DD54" s="22"/>
      <c r="DE54" s="22"/>
      <c r="DI54" s="22"/>
      <c r="DJ54" s="22">
        <v>1</v>
      </c>
      <c r="DK54" s="22"/>
      <c r="DL54" s="22">
        <v>1</v>
      </c>
      <c r="DP54" s="22"/>
      <c r="DQ54" s="22">
        <v>1</v>
      </c>
      <c r="DR54" s="22"/>
      <c r="DS54" s="22">
        <v>1</v>
      </c>
      <c r="DW54" s="22"/>
      <c r="DX54" s="22">
        <v>1</v>
      </c>
      <c r="DY54" s="22"/>
      <c r="DZ54" s="22">
        <v>1</v>
      </c>
    </row>
    <row r="55" spans="2:130" ht="15.75" customHeight="1" x14ac:dyDescent="0.2">
      <c r="M55" s="12"/>
    </row>
    <row r="56" spans="2:130" ht="15.75" customHeight="1" x14ac:dyDescent="0.2">
      <c r="B56" s="8" t="s">
        <v>43</v>
      </c>
      <c r="C56" s="8" t="s">
        <v>105</v>
      </c>
      <c r="D56" s="21">
        <v>46049</v>
      </c>
      <c r="E56" s="13">
        <v>4</v>
      </c>
      <c r="F56" s="27" t="s">
        <v>120</v>
      </c>
      <c r="G56" s="22">
        <f>+SUM(G57:G66)</f>
        <v>0.99999999999999989</v>
      </c>
      <c r="I56" s="23">
        <f>+SUM(I57:I66)</f>
        <v>0</v>
      </c>
      <c r="J56" s="16">
        <f>+SUMPRODUCT(G57:G66,J57:J66)</f>
        <v>0</v>
      </c>
      <c r="K56" s="16">
        <f>+SUMPRODUCT(G57:G66,K57:K66)</f>
        <v>0</v>
      </c>
      <c r="L56" s="13"/>
      <c r="M56" s="12"/>
      <c r="N56" s="23">
        <f>+SUM(N57:N66)</f>
        <v>0</v>
      </c>
      <c r="U56" s="23">
        <f>+SUM(U57:U66)</f>
        <v>0</v>
      </c>
      <c r="AB56" s="23">
        <f>+SUM(AB57:AB66)</f>
        <v>0</v>
      </c>
      <c r="AI56" s="23">
        <f>+SUM(AI57:AI66)</f>
        <v>0</v>
      </c>
      <c r="AP56" s="23">
        <f>+SUM(AP57:AP66)</f>
        <v>0</v>
      </c>
      <c r="AW56" s="23">
        <f>+SUM(AW57:AW66)</f>
        <v>0</v>
      </c>
      <c r="AX56" s="23"/>
      <c r="BD56" s="23">
        <f>+SUM(BD57:BD66)</f>
        <v>0</v>
      </c>
      <c r="BK56" s="23">
        <f>+SUM(BK57:BK66)</f>
        <v>0</v>
      </c>
      <c r="BR56" s="23">
        <f>+SUM(BR57:BR66)</f>
        <v>0</v>
      </c>
      <c r="BY56" s="23">
        <f>+SUM(BY57:BY66)</f>
        <v>0</v>
      </c>
      <c r="CF56" s="23">
        <f>+SUM(CF57:CF66)</f>
        <v>0</v>
      </c>
      <c r="CM56" s="23">
        <f>+SUM(CM57:CM66)</f>
        <v>0</v>
      </c>
      <c r="CT56" s="23">
        <f>+SUM(CT57:CT66)</f>
        <v>0</v>
      </c>
      <c r="DA56" s="23">
        <f>+SUM(DA57:DA66)</f>
        <v>0</v>
      </c>
      <c r="DH56" s="23">
        <f>+SUM(DH57:DH66)</f>
        <v>0</v>
      </c>
      <c r="DO56" s="23">
        <f>+SUM(DO57:DO66)</f>
        <v>0</v>
      </c>
      <c r="DV56" s="23">
        <f>+SUM(DV57:DV66)</f>
        <v>0</v>
      </c>
    </row>
    <row r="57" spans="2:130" ht="15.75" customHeight="1" outlineLevel="1" x14ac:dyDescent="0.2">
      <c r="B57" s="8" t="s">
        <v>87</v>
      </c>
      <c r="C57" s="8" t="str">
        <f>C56</f>
        <v>Buchhaltung</v>
      </c>
      <c r="E57" s="13"/>
      <c r="F57" s="24" t="s">
        <v>88</v>
      </c>
      <c r="G57" s="22">
        <v>0.1</v>
      </c>
      <c r="I57" s="13">
        <f t="shared" ref="I57:I66" si="4">+SUMIF($N$3:$AAO$3,I$3,$N57:$AAO57)</f>
        <v>0</v>
      </c>
      <c r="J57" s="16">
        <f t="array" ref="J57">MAX(IF($N$3:$EW$3=$J$3,N57:EW57))</f>
        <v>0</v>
      </c>
      <c r="K57" s="16">
        <f t="array" ref="K57">MAX(IF($N$3:$EW$3=$K$3,N57:EW57))</f>
        <v>0</v>
      </c>
      <c r="L57" s="13"/>
      <c r="M57" s="12"/>
      <c r="O57" s="22"/>
      <c r="P57" s="22"/>
      <c r="Q57" s="22"/>
      <c r="R57" s="22"/>
      <c r="V57" s="22"/>
      <c r="W57" s="22"/>
      <c r="X57" s="22"/>
      <c r="Y57" s="22"/>
      <c r="AC57" s="22"/>
      <c r="AD57" s="22"/>
      <c r="AE57" s="22"/>
      <c r="AF57" s="22"/>
      <c r="AJ57" s="22"/>
      <c r="AK57" s="22"/>
      <c r="AL57" s="22"/>
      <c r="AM57" s="22"/>
      <c r="AQ57" s="22"/>
      <c r="AR57" s="22"/>
      <c r="AS57" s="22"/>
      <c r="AT57" s="22"/>
      <c r="AX57" s="22"/>
      <c r="AY57" s="22"/>
      <c r="AZ57" s="22"/>
      <c r="BA57" s="22"/>
      <c r="BE57" s="22"/>
      <c r="BF57" s="22">
        <v>0.5</v>
      </c>
      <c r="BG57" s="22"/>
      <c r="BH57" s="22">
        <v>0.5</v>
      </c>
      <c r="BL57" s="22"/>
      <c r="BM57" s="22">
        <v>0.5</v>
      </c>
      <c r="BN57" s="22"/>
      <c r="BO57" s="22">
        <v>0.5</v>
      </c>
      <c r="BS57" s="22"/>
      <c r="BT57" s="22">
        <v>0.5</v>
      </c>
      <c r="BU57" s="22"/>
      <c r="BV57" s="22">
        <v>0.5</v>
      </c>
      <c r="BZ57" s="22"/>
      <c r="CA57" s="22">
        <v>0.8</v>
      </c>
      <c r="CB57" s="22"/>
      <c r="CC57" s="22">
        <v>0.8</v>
      </c>
      <c r="CG57" s="22"/>
      <c r="CH57" s="22">
        <v>1</v>
      </c>
      <c r="CI57" s="22"/>
      <c r="CJ57" s="22">
        <v>1</v>
      </c>
      <c r="CN57" s="22"/>
      <c r="CO57" s="22">
        <v>1</v>
      </c>
      <c r="CP57" s="22"/>
      <c r="CQ57" s="22">
        <v>1</v>
      </c>
      <c r="CU57" s="22"/>
      <c r="CV57" s="22">
        <v>1</v>
      </c>
      <c r="CW57" s="22"/>
      <c r="CX57" s="22">
        <v>1</v>
      </c>
      <c r="DB57" s="22"/>
      <c r="DC57" s="22">
        <v>1</v>
      </c>
      <c r="DD57" s="22"/>
      <c r="DE57" s="22">
        <v>1</v>
      </c>
      <c r="DI57" s="22"/>
      <c r="DJ57" s="22">
        <v>1</v>
      </c>
      <c r="DK57" s="22"/>
      <c r="DL57" s="22">
        <v>1</v>
      </c>
      <c r="DP57" s="22"/>
      <c r="DQ57" s="22">
        <v>1</v>
      </c>
      <c r="DR57" s="22"/>
      <c r="DS57" s="22">
        <v>1</v>
      </c>
      <c r="DW57" s="22"/>
      <c r="DX57" s="22">
        <v>1</v>
      </c>
      <c r="DY57" s="22"/>
      <c r="DZ57" s="22">
        <v>1</v>
      </c>
    </row>
    <row r="58" spans="2:130" ht="15.75" customHeight="1" outlineLevel="1" x14ac:dyDescent="0.2">
      <c r="B58" s="8" t="s">
        <v>87</v>
      </c>
      <c r="C58" s="8" t="str">
        <f>C56</f>
        <v>Buchhaltung</v>
      </c>
      <c r="E58" s="13"/>
      <c r="F58" s="24" t="s">
        <v>89</v>
      </c>
      <c r="G58" s="22">
        <f>G57</f>
        <v>0.1</v>
      </c>
      <c r="I58" s="13">
        <f t="shared" si="4"/>
        <v>0</v>
      </c>
      <c r="J58" s="16">
        <f t="array" ref="J58">MAX(IF($N$3:$EW$3=$J$3,N58:EW58))</f>
        <v>0</v>
      </c>
      <c r="K58" s="16">
        <f t="array" ref="K58">MAX(IF($N$3:$EW$3=$K$3,N58:EW58))</f>
        <v>0</v>
      </c>
      <c r="L58" s="13"/>
      <c r="M58" s="12"/>
      <c r="O58" s="22"/>
      <c r="P58" s="22"/>
      <c r="Q58" s="22"/>
      <c r="R58" s="22"/>
      <c r="V58" s="22"/>
      <c r="W58" s="22"/>
      <c r="X58" s="22"/>
      <c r="Y58" s="22"/>
      <c r="AC58" s="22"/>
      <c r="AD58" s="22"/>
      <c r="AE58" s="22"/>
      <c r="AF58" s="22"/>
      <c r="AJ58" s="22"/>
      <c r="AK58" s="22"/>
      <c r="AL58" s="22"/>
      <c r="AM58" s="22"/>
      <c r="AQ58" s="22"/>
      <c r="AR58" s="22"/>
      <c r="AS58" s="22"/>
      <c r="AT58" s="22"/>
      <c r="AX58" s="22"/>
      <c r="AY58" s="22"/>
      <c r="AZ58" s="22"/>
      <c r="BA58" s="22"/>
      <c r="BE58" s="22"/>
      <c r="BF58" s="22">
        <v>0.5</v>
      </c>
      <c r="BG58" s="22"/>
      <c r="BH58" s="22">
        <v>0.5</v>
      </c>
      <c r="BL58" s="22"/>
      <c r="BM58" s="22">
        <v>0.5</v>
      </c>
      <c r="BN58" s="22"/>
      <c r="BO58" s="22">
        <v>0.5</v>
      </c>
      <c r="BS58" s="22"/>
      <c r="BT58" s="22">
        <v>0.5</v>
      </c>
      <c r="BU58" s="22"/>
      <c r="BV58" s="22">
        <v>0.5</v>
      </c>
      <c r="BZ58" s="22"/>
      <c r="CA58" s="22">
        <v>0.8</v>
      </c>
      <c r="CB58" s="22"/>
      <c r="CC58" s="22">
        <v>0.8</v>
      </c>
      <c r="CG58" s="22"/>
      <c r="CH58" s="22">
        <v>0.8</v>
      </c>
      <c r="CI58" s="22"/>
      <c r="CJ58" s="22">
        <v>0.8</v>
      </c>
      <c r="CN58" s="22"/>
      <c r="CO58" s="22">
        <v>0.8</v>
      </c>
      <c r="CP58" s="22"/>
      <c r="CQ58" s="22">
        <v>0.8</v>
      </c>
      <c r="CU58" s="22"/>
      <c r="CV58" s="22">
        <v>1</v>
      </c>
      <c r="CW58" s="22"/>
      <c r="CX58" s="22">
        <v>1</v>
      </c>
      <c r="DB58" s="22"/>
      <c r="DC58" s="22">
        <v>1</v>
      </c>
      <c r="DD58" s="22"/>
      <c r="DE58" s="22">
        <v>1</v>
      </c>
      <c r="DI58" s="22"/>
      <c r="DJ58" s="22">
        <v>1</v>
      </c>
      <c r="DK58" s="22"/>
      <c r="DL58" s="22">
        <v>1</v>
      </c>
      <c r="DP58" s="22"/>
      <c r="DQ58" s="22">
        <v>1</v>
      </c>
      <c r="DR58" s="22"/>
      <c r="DS58" s="22">
        <v>1</v>
      </c>
      <c r="DW58" s="22"/>
      <c r="DX58" s="22">
        <v>1</v>
      </c>
      <c r="DY58" s="22"/>
      <c r="DZ58" s="22">
        <v>1</v>
      </c>
    </row>
    <row r="59" spans="2:130" ht="15.75" customHeight="1" outlineLevel="1" x14ac:dyDescent="0.2">
      <c r="B59" s="8" t="s">
        <v>87</v>
      </c>
      <c r="C59" s="8" t="str">
        <f>C58</f>
        <v>Buchhaltung</v>
      </c>
      <c r="E59" s="13"/>
      <c r="F59" s="24" t="s">
        <v>90</v>
      </c>
      <c r="G59" s="22">
        <f>G57</f>
        <v>0.1</v>
      </c>
      <c r="I59" s="13">
        <f t="shared" si="4"/>
        <v>0</v>
      </c>
      <c r="J59" s="16">
        <f t="array" ref="J59">MAX(IF($N$3:$EW$3=$J$3,N59:EW59))</f>
        <v>0</v>
      </c>
      <c r="K59" s="16">
        <f t="array" ref="K59">MAX(IF($N$3:$EW$3=$K$3,N59:EW59))</f>
        <v>0</v>
      </c>
      <c r="L59" s="13"/>
      <c r="M59" s="12"/>
      <c r="O59" s="22"/>
      <c r="P59" s="22"/>
      <c r="Q59" s="22"/>
      <c r="R59" s="22"/>
      <c r="V59" s="22"/>
      <c r="W59" s="22"/>
      <c r="X59" s="22"/>
      <c r="Y59" s="22"/>
      <c r="AC59" s="22"/>
      <c r="AD59" s="22"/>
      <c r="AE59" s="22"/>
      <c r="AF59" s="22"/>
      <c r="AJ59" s="22"/>
      <c r="AK59" s="22"/>
      <c r="AL59" s="22"/>
      <c r="AM59" s="22"/>
      <c r="AQ59" s="22"/>
      <c r="AR59" s="22"/>
      <c r="AS59" s="22"/>
      <c r="AT59" s="22"/>
      <c r="AX59" s="22"/>
      <c r="AY59" s="22"/>
      <c r="AZ59" s="22"/>
      <c r="BA59" s="22"/>
      <c r="BE59" s="22"/>
      <c r="BF59" s="22"/>
      <c r="BG59" s="22"/>
      <c r="BH59" s="22"/>
      <c r="BL59" s="22"/>
      <c r="BM59" s="22">
        <v>0.5</v>
      </c>
      <c r="BN59" s="22"/>
      <c r="BO59" s="22">
        <v>0.5</v>
      </c>
      <c r="BS59" s="22"/>
      <c r="BT59" s="22">
        <v>0.5</v>
      </c>
      <c r="BU59" s="22"/>
      <c r="BV59" s="22">
        <v>0.5</v>
      </c>
      <c r="BZ59" s="22"/>
      <c r="CA59" s="22">
        <v>0.8</v>
      </c>
      <c r="CB59" s="22"/>
      <c r="CC59" s="22">
        <v>0.8</v>
      </c>
      <c r="CG59" s="22"/>
      <c r="CH59" s="22">
        <v>0.8</v>
      </c>
      <c r="CI59" s="22"/>
      <c r="CJ59" s="22">
        <v>0.8</v>
      </c>
      <c r="CN59" s="22"/>
      <c r="CO59" s="22">
        <v>0.8</v>
      </c>
      <c r="CP59" s="22"/>
      <c r="CQ59" s="22">
        <v>0.8</v>
      </c>
      <c r="CU59" s="22"/>
      <c r="CV59" s="22">
        <v>1</v>
      </c>
      <c r="CW59" s="22"/>
      <c r="CX59" s="22">
        <v>1</v>
      </c>
      <c r="DB59" s="22"/>
      <c r="DC59" s="22">
        <v>1</v>
      </c>
      <c r="DD59" s="22"/>
      <c r="DE59" s="22">
        <v>1</v>
      </c>
      <c r="DI59" s="22"/>
      <c r="DJ59" s="22">
        <v>1</v>
      </c>
      <c r="DK59" s="22"/>
      <c r="DL59" s="22">
        <v>1</v>
      </c>
      <c r="DP59" s="22"/>
      <c r="DQ59" s="22">
        <v>1</v>
      </c>
      <c r="DR59" s="22"/>
      <c r="DS59" s="22">
        <v>1</v>
      </c>
      <c r="DW59" s="22"/>
      <c r="DX59" s="22">
        <v>1</v>
      </c>
      <c r="DY59" s="22"/>
      <c r="DZ59" s="22">
        <v>1</v>
      </c>
    </row>
    <row r="60" spans="2:130" ht="15.75" customHeight="1" outlineLevel="1" x14ac:dyDescent="0.2">
      <c r="B60" s="8" t="s">
        <v>87</v>
      </c>
      <c r="C60" s="8" t="str">
        <f>C58</f>
        <v>Buchhaltung</v>
      </c>
      <c r="E60" s="13"/>
      <c r="F60" s="24" t="s">
        <v>91</v>
      </c>
      <c r="G60" s="22">
        <f>G57</f>
        <v>0.1</v>
      </c>
      <c r="I60" s="13">
        <f t="shared" si="4"/>
        <v>0</v>
      </c>
      <c r="J60" s="16">
        <f t="array" ref="J60">MAX(IF($N$3:$EW$3=$J$3,N60:EW60))</f>
        <v>0</v>
      </c>
      <c r="K60" s="16">
        <f t="array" ref="K60">MAX(IF($N$3:$EW$3=$K$3,N60:EW60))</f>
        <v>0</v>
      </c>
      <c r="L60" s="13"/>
      <c r="M60" s="12"/>
      <c r="O60" s="22"/>
      <c r="P60" s="22"/>
      <c r="Q60" s="22"/>
      <c r="R60" s="22"/>
      <c r="V60" s="22"/>
      <c r="W60" s="22"/>
      <c r="X60" s="22"/>
      <c r="Y60" s="22"/>
      <c r="AC60" s="22"/>
      <c r="AD60" s="22"/>
      <c r="AE60" s="22"/>
      <c r="AF60" s="22"/>
      <c r="AJ60" s="22"/>
      <c r="AK60" s="22"/>
      <c r="AL60" s="22"/>
      <c r="AM60" s="22"/>
      <c r="AQ60" s="22"/>
      <c r="AR60" s="22"/>
      <c r="AS60" s="22"/>
      <c r="AT60" s="22"/>
      <c r="AX60" s="22"/>
      <c r="AY60" s="22"/>
      <c r="AZ60" s="22"/>
      <c r="BA60" s="22"/>
      <c r="BE60" s="22"/>
      <c r="BF60" s="22"/>
      <c r="BG60" s="22"/>
      <c r="BH60" s="22"/>
      <c r="BL60" s="22"/>
      <c r="BM60" s="22">
        <v>0.5</v>
      </c>
      <c r="BN60" s="22"/>
      <c r="BO60" s="22">
        <v>0.5</v>
      </c>
      <c r="BS60" s="22"/>
      <c r="BT60" s="22">
        <v>0.5</v>
      </c>
      <c r="BU60" s="22"/>
      <c r="BV60" s="22">
        <v>0.5</v>
      </c>
      <c r="BZ60" s="22"/>
      <c r="CA60" s="22">
        <v>0.5</v>
      </c>
      <c r="CB60" s="22"/>
      <c r="CC60" s="22">
        <v>0.5</v>
      </c>
      <c r="CG60" s="22"/>
      <c r="CH60" s="22">
        <v>0.8</v>
      </c>
      <c r="CI60" s="22"/>
      <c r="CJ60" s="22">
        <v>0.8</v>
      </c>
      <c r="CN60" s="22"/>
      <c r="CO60" s="22">
        <v>0.8</v>
      </c>
      <c r="CP60" s="22"/>
      <c r="CQ60" s="22">
        <v>0.8</v>
      </c>
      <c r="CU60" s="22"/>
      <c r="CV60" s="22">
        <v>0.8</v>
      </c>
      <c r="CW60" s="22"/>
      <c r="CX60" s="22">
        <v>0.8</v>
      </c>
      <c r="DB60" s="22"/>
      <c r="DC60" s="22">
        <v>1</v>
      </c>
      <c r="DD60" s="22"/>
      <c r="DE60" s="22">
        <v>1</v>
      </c>
      <c r="DI60" s="22"/>
      <c r="DJ60" s="22">
        <v>1</v>
      </c>
      <c r="DK60" s="22"/>
      <c r="DL60" s="22">
        <v>1</v>
      </c>
      <c r="DP60" s="22"/>
      <c r="DQ60" s="22">
        <v>1</v>
      </c>
      <c r="DR60" s="22"/>
      <c r="DS60" s="22">
        <v>1</v>
      </c>
      <c r="DW60" s="22"/>
      <c r="DX60" s="22">
        <v>1</v>
      </c>
      <c r="DY60" s="22"/>
      <c r="DZ60" s="22">
        <v>1</v>
      </c>
    </row>
    <row r="61" spans="2:130" ht="15.75" customHeight="1" outlineLevel="1" x14ac:dyDescent="0.2">
      <c r="B61" s="8" t="s">
        <v>87</v>
      </c>
      <c r="C61" s="8" t="str">
        <f>C60</f>
        <v>Buchhaltung</v>
      </c>
      <c r="E61" s="13"/>
      <c r="F61" s="24" t="s">
        <v>92</v>
      </c>
      <c r="G61" s="22">
        <f>G57</f>
        <v>0.1</v>
      </c>
      <c r="I61" s="13">
        <f t="shared" si="4"/>
        <v>0</v>
      </c>
      <c r="J61" s="16">
        <f t="array" ref="J61">MAX(IF($N$3:$EW$3=$J$3,N61:EW61))</f>
        <v>0</v>
      </c>
      <c r="K61" s="16">
        <f t="array" ref="K61">MAX(IF($N$3:$EW$3=$K$3,N61:EW61))</f>
        <v>0</v>
      </c>
      <c r="L61" s="13"/>
      <c r="M61" s="12"/>
      <c r="O61" s="22"/>
      <c r="P61" s="22"/>
      <c r="Q61" s="22"/>
      <c r="R61" s="22"/>
      <c r="V61" s="22"/>
      <c r="W61" s="22"/>
      <c r="X61" s="22"/>
      <c r="Y61" s="22"/>
      <c r="AC61" s="22"/>
      <c r="AD61" s="22"/>
      <c r="AE61" s="22"/>
      <c r="AF61" s="22"/>
      <c r="AJ61" s="22"/>
      <c r="AK61" s="22"/>
      <c r="AL61" s="22"/>
      <c r="AM61" s="22"/>
      <c r="AQ61" s="22"/>
      <c r="AR61" s="22"/>
      <c r="AS61" s="22"/>
      <c r="AT61" s="22"/>
      <c r="AX61" s="22"/>
      <c r="AY61" s="22"/>
      <c r="AZ61" s="22"/>
      <c r="BA61" s="22"/>
      <c r="BE61" s="22"/>
      <c r="BF61" s="22"/>
      <c r="BG61" s="22"/>
      <c r="BH61" s="22"/>
      <c r="BL61" s="22"/>
      <c r="BM61" s="22"/>
      <c r="BN61" s="22"/>
      <c r="BO61" s="22"/>
      <c r="BS61" s="22"/>
      <c r="BT61" s="22">
        <v>0.5</v>
      </c>
      <c r="BU61" s="22"/>
      <c r="BV61" s="22">
        <v>0.5</v>
      </c>
      <c r="BZ61" s="22"/>
      <c r="CA61" s="22">
        <v>0.5</v>
      </c>
      <c r="CB61" s="22"/>
      <c r="CC61" s="22">
        <v>0.5</v>
      </c>
      <c r="CG61" s="22"/>
      <c r="CH61" s="22">
        <v>0.8</v>
      </c>
      <c r="CI61" s="22"/>
      <c r="CJ61" s="22">
        <v>0.8</v>
      </c>
      <c r="CN61" s="22"/>
      <c r="CO61" s="22">
        <v>0.8</v>
      </c>
      <c r="CP61" s="22"/>
      <c r="CQ61" s="22">
        <v>0.8</v>
      </c>
      <c r="CU61" s="22"/>
      <c r="CV61" s="22">
        <v>0.8</v>
      </c>
      <c r="CW61" s="22"/>
      <c r="CX61" s="22">
        <v>0.8</v>
      </c>
      <c r="DB61" s="22"/>
      <c r="DC61" s="22">
        <v>1</v>
      </c>
      <c r="DD61" s="22"/>
      <c r="DE61" s="22">
        <v>1</v>
      </c>
      <c r="DI61" s="22"/>
      <c r="DJ61" s="22">
        <v>1</v>
      </c>
      <c r="DK61" s="22"/>
      <c r="DL61" s="22">
        <v>1</v>
      </c>
      <c r="DP61" s="22"/>
      <c r="DQ61" s="22">
        <v>1</v>
      </c>
      <c r="DR61" s="22"/>
      <c r="DS61" s="22">
        <v>1</v>
      </c>
      <c r="DW61" s="22"/>
      <c r="DX61" s="22">
        <v>1</v>
      </c>
      <c r="DY61" s="22"/>
      <c r="DZ61" s="22">
        <v>1</v>
      </c>
    </row>
    <row r="62" spans="2:130" ht="15.75" customHeight="1" outlineLevel="1" x14ac:dyDescent="0.2">
      <c r="B62" s="8" t="s">
        <v>87</v>
      </c>
      <c r="C62" s="8" t="str">
        <f>C60</f>
        <v>Buchhaltung</v>
      </c>
      <c r="E62" s="13"/>
      <c r="F62" s="24" t="s">
        <v>93</v>
      </c>
      <c r="G62" s="22">
        <f>G57</f>
        <v>0.1</v>
      </c>
      <c r="I62" s="13">
        <f t="shared" si="4"/>
        <v>0</v>
      </c>
      <c r="J62" s="16">
        <f t="array" ref="J62">MAX(IF($N$3:$EW$3=$J$3,N62:EW62))</f>
        <v>0</v>
      </c>
      <c r="K62" s="16">
        <f t="array" ref="K62">MAX(IF($N$3:$EW$3=$K$3,N62:EW62))</f>
        <v>0</v>
      </c>
      <c r="L62" s="13"/>
      <c r="M62" s="12"/>
      <c r="O62" s="22"/>
      <c r="P62" s="22"/>
      <c r="Q62" s="22"/>
      <c r="R62" s="22"/>
      <c r="V62" s="22"/>
      <c r="W62" s="22"/>
      <c r="X62" s="22"/>
      <c r="Y62" s="22"/>
      <c r="AC62" s="22"/>
      <c r="AD62" s="22"/>
      <c r="AE62" s="22"/>
      <c r="AF62" s="22"/>
      <c r="AJ62" s="22"/>
      <c r="AK62" s="22"/>
      <c r="AL62" s="22"/>
      <c r="AM62" s="22"/>
      <c r="AQ62" s="22"/>
      <c r="AR62" s="22"/>
      <c r="AS62" s="22"/>
      <c r="AT62" s="22"/>
      <c r="AX62" s="22"/>
      <c r="AY62" s="22"/>
      <c r="AZ62" s="22"/>
      <c r="BA62" s="22"/>
      <c r="BE62" s="22"/>
      <c r="BF62" s="22"/>
      <c r="BG62" s="22"/>
      <c r="BH62" s="22"/>
      <c r="BL62" s="22"/>
      <c r="BM62" s="22"/>
      <c r="BN62" s="22"/>
      <c r="BO62" s="22"/>
      <c r="BS62" s="22"/>
      <c r="BT62" s="22">
        <v>0.5</v>
      </c>
      <c r="BU62" s="22"/>
      <c r="BV62" s="22">
        <v>0.5</v>
      </c>
      <c r="BZ62" s="22"/>
      <c r="CA62" s="22">
        <v>0.5</v>
      </c>
      <c r="CB62" s="22"/>
      <c r="CC62" s="22">
        <v>0.5</v>
      </c>
      <c r="CG62" s="22"/>
      <c r="CH62" s="22">
        <v>0.8</v>
      </c>
      <c r="CI62" s="22"/>
      <c r="CJ62" s="22">
        <v>0.8</v>
      </c>
      <c r="CN62" s="22"/>
      <c r="CO62" s="22">
        <v>0.8</v>
      </c>
      <c r="CP62" s="22"/>
      <c r="CQ62" s="22">
        <v>0.8</v>
      </c>
      <c r="CU62" s="22"/>
      <c r="CV62" s="22">
        <v>0.8</v>
      </c>
      <c r="CW62" s="22"/>
      <c r="CX62" s="22">
        <v>0.8</v>
      </c>
      <c r="DB62" s="22"/>
      <c r="DC62" s="22">
        <v>1</v>
      </c>
      <c r="DD62" s="22"/>
      <c r="DE62" s="22">
        <v>1</v>
      </c>
      <c r="DI62" s="22"/>
      <c r="DJ62" s="22">
        <v>1</v>
      </c>
      <c r="DK62" s="22"/>
      <c r="DL62" s="22">
        <v>1</v>
      </c>
      <c r="DP62" s="22"/>
      <c r="DQ62" s="22">
        <v>1</v>
      </c>
      <c r="DR62" s="22"/>
      <c r="DS62" s="22">
        <v>1</v>
      </c>
      <c r="DW62" s="22"/>
      <c r="DX62" s="22">
        <v>1</v>
      </c>
      <c r="DY62" s="22"/>
      <c r="DZ62" s="22">
        <v>1</v>
      </c>
    </row>
    <row r="63" spans="2:130" ht="15.75" customHeight="1" outlineLevel="1" x14ac:dyDescent="0.2">
      <c r="B63" s="8" t="s">
        <v>87</v>
      </c>
      <c r="C63" s="8" t="str">
        <f>C62</f>
        <v>Buchhaltung</v>
      </c>
      <c r="E63" s="13"/>
      <c r="F63" s="24" t="s">
        <v>94</v>
      </c>
      <c r="G63" s="22">
        <f>G57</f>
        <v>0.1</v>
      </c>
      <c r="I63" s="13">
        <f t="shared" si="4"/>
        <v>0</v>
      </c>
      <c r="J63" s="16">
        <f t="array" ref="J63">MAX(IF($N$3:$EW$3=$J$3,N63:EW63))</f>
        <v>0</v>
      </c>
      <c r="K63" s="16">
        <f t="array" ref="K63">MAX(IF($N$3:$EW$3=$K$3,N63:EW63))</f>
        <v>0</v>
      </c>
      <c r="L63" s="13"/>
      <c r="M63" s="12"/>
      <c r="O63" s="22"/>
      <c r="P63" s="22"/>
      <c r="Q63" s="22"/>
      <c r="R63" s="22"/>
      <c r="V63" s="22"/>
      <c r="W63" s="22"/>
      <c r="X63" s="22"/>
      <c r="Y63" s="22"/>
      <c r="AC63" s="22"/>
      <c r="AD63" s="22"/>
      <c r="AE63" s="22"/>
      <c r="AF63" s="22"/>
      <c r="AJ63" s="22"/>
      <c r="AK63" s="22"/>
      <c r="AL63" s="22"/>
      <c r="AM63" s="22"/>
      <c r="AQ63" s="22"/>
      <c r="AR63" s="22"/>
      <c r="AS63" s="22"/>
      <c r="AT63" s="22"/>
      <c r="AX63" s="22"/>
      <c r="AY63" s="22"/>
      <c r="AZ63" s="22"/>
      <c r="BA63" s="22"/>
      <c r="BE63" s="22"/>
      <c r="BF63" s="22"/>
      <c r="BG63" s="22"/>
      <c r="BH63" s="22"/>
      <c r="BL63" s="22"/>
      <c r="BM63" s="22"/>
      <c r="BN63" s="22"/>
      <c r="BO63" s="22"/>
      <c r="BS63" s="22"/>
      <c r="BT63" s="22">
        <v>0.5</v>
      </c>
      <c r="BU63" s="22"/>
      <c r="BV63" s="22">
        <v>0.5</v>
      </c>
      <c r="BZ63" s="22"/>
      <c r="CA63" s="22">
        <v>0.5</v>
      </c>
      <c r="CB63" s="22"/>
      <c r="CC63" s="22">
        <v>0.5</v>
      </c>
      <c r="CG63" s="22"/>
      <c r="CH63" s="22">
        <v>0.5</v>
      </c>
      <c r="CI63" s="22"/>
      <c r="CJ63" s="22">
        <v>0.5</v>
      </c>
      <c r="CN63" s="22"/>
      <c r="CO63" s="22">
        <v>0.5</v>
      </c>
      <c r="CP63" s="22"/>
      <c r="CQ63" s="22">
        <v>0.5</v>
      </c>
      <c r="CU63" s="22"/>
      <c r="CV63" s="22">
        <v>0.8</v>
      </c>
      <c r="CW63" s="22"/>
      <c r="CX63" s="22">
        <v>0.8</v>
      </c>
      <c r="DB63" s="22"/>
      <c r="DC63" s="22">
        <v>0.8</v>
      </c>
      <c r="DD63" s="22"/>
      <c r="DE63" s="22">
        <v>0.8</v>
      </c>
      <c r="DI63" s="22"/>
      <c r="DJ63" s="22">
        <v>1</v>
      </c>
      <c r="DK63" s="22"/>
      <c r="DL63" s="22">
        <v>1</v>
      </c>
      <c r="DP63" s="22"/>
      <c r="DQ63" s="22">
        <v>1</v>
      </c>
      <c r="DR63" s="22"/>
      <c r="DS63" s="22">
        <v>1</v>
      </c>
      <c r="DW63" s="22"/>
      <c r="DX63" s="22">
        <v>1</v>
      </c>
      <c r="DY63" s="22"/>
      <c r="DZ63" s="22">
        <v>1</v>
      </c>
    </row>
    <row r="64" spans="2:130" ht="15.75" customHeight="1" outlineLevel="1" x14ac:dyDescent="0.2">
      <c r="B64" s="8" t="s">
        <v>87</v>
      </c>
      <c r="C64" s="8" t="str">
        <f>C63</f>
        <v>Buchhaltung</v>
      </c>
      <c r="E64" s="13"/>
      <c r="F64" s="27" t="s">
        <v>95</v>
      </c>
      <c r="G64" s="22">
        <v>0.1</v>
      </c>
      <c r="I64" s="13">
        <f t="shared" si="4"/>
        <v>0</v>
      </c>
      <c r="J64" s="16">
        <f t="array" ref="J64">MAX(IF($N$3:$EW$3=$J$3,N64:EW64))</f>
        <v>0</v>
      </c>
      <c r="K64" s="16">
        <f t="array" ref="K64">MAX(IF($N$3:$EW$3=$K$3,N64:EW64))</f>
        <v>0</v>
      </c>
      <c r="L64" s="13"/>
      <c r="M64" s="12"/>
      <c r="O64" s="22"/>
      <c r="P64" s="22"/>
      <c r="Q64" s="22"/>
      <c r="R64" s="22"/>
      <c r="V64" s="22"/>
      <c r="W64" s="22"/>
      <c r="X64" s="22"/>
      <c r="Y64" s="22"/>
      <c r="AC64" s="22"/>
      <c r="AD64" s="22"/>
      <c r="AE64" s="22"/>
      <c r="AF64" s="22"/>
      <c r="AJ64" s="22"/>
      <c r="AK64" s="22"/>
      <c r="AL64" s="22"/>
      <c r="AM64" s="22"/>
      <c r="AQ64" s="22"/>
      <c r="AR64" s="22"/>
      <c r="AS64" s="22"/>
      <c r="AT64" s="22"/>
      <c r="AX64" s="22"/>
      <c r="AY64" s="22"/>
      <c r="AZ64" s="22"/>
      <c r="BA64" s="22"/>
      <c r="BE64" s="22"/>
      <c r="BF64" s="22"/>
      <c r="BG64" s="22"/>
      <c r="BH64" s="22"/>
      <c r="BL64" s="22"/>
      <c r="BM64" s="22"/>
      <c r="BN64" s="22"/>
      <c r="BO64" s="22"/>
      <c r="BS64" s="22"/>
      <c r="BT64" s="22">
        <v>0.5</v>
      </c>
      <c r="BU64" s="22"/>
      <c r="BV64" s="22">
        <v>0.5</v>
      </c>
      <c r="BZ64" s="22"/>
      <c r="CA64" s="22">
        <v>0.5</v>
      </c>
      <c r="CB64" s="22"/>
      <c r="CC64" s="22">
        <v>0.5</v>
      </c>
      <c r="CG64" s="22"/>
      <c r="CH64" s="22">
        <v>0.5</v>
      </c>
      <c r="CI64" s="22"/>
      <c r="CJ64" s="22">
        <v>0.5</v>
      </c>
      <c r="CN64" s="22"/>
      <c r="CO64" s="22">
        <v>0.5</v>
      </c>
      <c r="CP64" s="22"/>
      <c r="CQ64" s="22">
        <v>0.5</v>
      </c>
      <c r="CU64" s="22"/>
      <c r="CV64" s="22">
        <v>0.8</v>
      </c>
      <c r="CW64" s="22"/>
      <c r="CX64" s="22">
        <v>0.8</v>
      </c>
      <c r="DB64" s="22"/>
      <c r="DC64" s="22">
        <v>0.8</v>
      </c>
      <c r="DD64" s="22"/>
      <c r="DE64" s="22">
        <v>0.8</v>
      </c>
      <c r="DI64" s="22"/>
      <c r="DJ64" s="22">
        <v>1</v>
      </c>
      <c r="DK64" s="22"/>
      <c r="DL64" s="22">
        <v>1</v>
      </c>
      <c r="DP64" s="22"/>
      <c r="DQ64" s="22">
        <v>1</v>
      </c>
      <c r="DR64" s="22"/>
      <c r="DS64" s="22">
        <v>1</v>
      </c>
      <c r="DW64" s="22"/>
      <c r="DX64" s="22">
        <v>1</v>
      </c>
      <c r="DY64" s="22"/>
      <c r="DZ64" s="22">
        <v>1</v>
      </c>
    </row>
    <row r="65" spans="2:130" ht="15" customHeight="1" outlineLevel="1" x14ac:dyDescent="0.2">
      <c r="B65" s="8" t="s">
        <v>87</v>
      </c>
      <c r="C65" s="8" t="str">
        <f>C62</f>
        <v>Buchhaltung</v>
      </c>
      <c r="E65" s="13"/>
      <c r="F65" s="27" t="s">
        <v>96</v>
      </c>
      <c r="G65" s="22">
        <f>G57</f>
        <v>0.1</v>
      </c>
      <c r="I65" s="13">
        <f t="shared" si="4"/>
        <v>0</v>
      </c>
      <c r="J65" s="16">
        <f t="array" ref="J65">MAX(IF($N$3:$EW$3=$J$3,N65:EW65))</f>
        <v>0</v>
      </c>
      <c r="K65" s="16">
        <f t="array" ref="K65">MAX(IF($N$3:$EW$3=$K$3,N65:EW65))</f>
        <v>0</v>
      </c>
      <c r="L65" s="13"/>
      <c r="M65" s="12"/>
      <c r="O65" s="22"/>
      <c r="P65" s="22"/>
      <c r="Q65" s="22"/>
      <c r="R65" s="22"/>
      <c r="V65" s="22"/>
      <c r="W65" s="22"/>
      <c r="X65" s="22"/>
      <c r="Y65" s="22"/>
      <c r="AC65" s="22"/>
      <c r="AD65" s="22"/>
      <c r="AE65" s="22"/>
      <c r="AF65" s="22"/>
      <c r="AJ65" s="22"/>
      <c r="AK65" s="22"/>
      <c r="AL65" s="22"/>
      <c r="AM65" s="22"/>
      <c r="AQ65" s="22"/>
      <c r="AR65" s="22"/>
      <c r="AS65" s="22"/>
      <c r="AT65" s="22"/>
      <c r="AX65" s="22"/>
      <c r="AY65" s="22"/>
      <c r="AZ65" s="22"/>
      <c r="BA65" s="22"/>
      <c r="BE65" s="22"/>
      <c r="BF65" s="22"/>
      <c r="BG65" s="22"/>
      <c r="BH65" s="22"/>
      <c r="BL65" s="22"/>
      <c r="BM65" s="22"/>
      <c r="BN65" s="22"/>
      <c r="BO65" s="22"/>
      <c r="BS65" s="22"/>
      <c r="BT65" s="22">
        <v>0.5</v>
      </c>
      <c r="BU65" s="22"/>
      <c r="BV65" s="22">
        <v>0.5</v>
      </c>
      <c r="BZ65" s="22"/>
      <c r="CA65" s="22">
        <v>0.5</v>
      </c>
      <c r="CB65" s="22"/>
      <c r="CC65" s="22">
        <v>0.5</v>
      </c>
      <c r="CG65" s="22"/>
      <c r="CH65" s="22">
        <v>0.5</v>
      </c>
      <c r="CI65" s="22"/>
      <c r="CJ65" s="22">
        <v>0.5</v>
      </c>
      <c r="CN65" s="22"/>
      <c r="CO65" s="22">
        <v>0.5</v>
      </c>
      <c r="CP65" s="22"/>
      <c r="CQ65" s="22">
        <v>0.5</v>
      </c>
      <c r="CU65" s="22"/>
      <c r="CV65" s="22">
        <v>0.5</v>
      </c>
      <c r="CW65" s="22"/>
      <c r="CX65" s="22">
        <v>0.5</v>
      </c>
      <c r="DB65" s="22"/>
      <c r="DC65" s="22">
        <v>0.8</v>
      </c>
      <c r="DD65" s="22"/>
      <c r="DE65" s="22">
        <v>0.8</v>
      </c>
      <c r="DI65" s="22"/>
      <c r="DJ65" s="22">
        <v>1</v>
      </c>
      <c r="DK65" s="22"/>
      <c r="DL65" s="22">
        <v>1</v>
      </c>
      <c r="DP65" s="22"/>
      <c r="DQ65" s="22">
        <v>1</v>
      </c>
      <c r="DR65" s="22"/>
      <c r="DS65" s="22">
        <v>1</v>
      </c>
      <c r="DW65" s="22"/>
      <c r="DX65" s="22">
        <v>1</v>
      </c>
      <c r="DY65" s="22"/>
      <c r="DZ65" s="22">
        <v>1</v>
      </c>
    </row>
    <row r="66" spans="2:130" ht="15.75" customHeight="1" outlineLevel="1" x14ac:dyDescent="0.2">
      <c r="B66" s="8" t="s">
        <v>87</v>
      </c>
      <c r="C66" s="8" t="str">
        <f>C65</f>
        <v>Buchhaltung</v>
      </c>
      <c r="E66" s="13"/>
      <c r="F66" s="27" t="s">
        <v>97</v>
      </c>
      <c r="G66" s="22">
        <f>G57</f>
        <v>0.1</v>
      </c>
      <c r="I66" s="13">
        <f t="shared" si="4"/>
        <v>0</v>
      </c>
      <c r="J66" s="16">
        <f t="array" ref="J66">MAX(IF($N$3:$EW$3=$J$3,N66:EW66))</f>
        <v>0</v>
      </c>
      <c r="K66" s="16">
        <f t="array" ref="K66">MAX(IF($N$3:$EW$3=$K$3,N66:EW66))</f>
        <v>0</v>
      </c>
      <c r="L66" s="13"/>
      <c r="M66" s="12"/>
      <c r="O66" s="22"/>
      <c r="P66" s="22"/>
      <c r="Q66" s="22"/>
      <c r="R66" s="22"/>
      <c r="V66" s="22"/>
      <c r="W66" s="22"/>
      <c r="X66" s="22"/>
      <c r="Y66" s="22"/>
      <c r="AC66" s="22"/>
      <c r="AD66" s="22"/>
      <c r="AE66" s="22"/>
      <c r="AF66" s="22"/>
      <c r="AJ66" s="22"/>
      <c r="AK66" s="22"/>
      <c r="AL66" s="22"/>
      <c r="AM66" s="22"/>
      <c r="AQ66" s="22"/>
      <c r="AR66" s="22"/>
      <c r="AS66" s="22"/>
      <c r="AT66" s="22"/>
      <c r="AX66" s="22"/>
      <c r="AY66" s="22"/>
      <c r="AZ66" s="22"/>
      <c r="BA66" s="22"/>
      <c r="BE66" s="22"/>
      <c r="BF66" s="22"/>
      <c r="BG66" s="22"/>
      <c r="BH66" s="22"/>
      <c r="BL66" s="22"/>
      <c r="BM66" s="22"/>
      <c r="BN66" s="22"/>
      <c r="BO66" s="22"/>
      <c r="BS66" s="22"/>
      <c r="BT66" s="22"/>
      <c r="BU66" s="22"/>
      <c r="BV66" s="22"/>
      <c r="BZ66" s="22"/>
      <c r="CA66" s="22">
        <v>0.5</v>
      </c>
      <c r="CB66" s="22"/>
      <c r="CC66" s="22">
        <v>0.5</v>
      </c>
      <c r="CG66" s="22"/>
      <c r="CH66" s="22">
        <v>0.5</v>
      </c>
      <c r="CI66" s="22"/>
      <c r="CJ66" s="22">
        <v>0.5</v>
      </c>
      <c r="CN66" s="22"/>
      <c r="CO66" s="22">
        <v>0.5</v>
      </c>
      <c r="CP66" s="22"/>
      <c r="CQ66" s="22">
        <v>0.5</v>
      </c>
      <c r="CU66" s="22"/>
      <c r="CV66" s="22">
        <v>0.5</v>
      </c>
      <c r="CW66" s="22"/>
      <c r="CX66" s="22">
        <v>0.5</v>
      </c>
      <c r="DB66" s="22"/>
      <c r="DC66" s="22">
        <v>0.8</v>
      </c>
      <c r="DD66" s="22"/>
      <c r="DE66" s="22">
        <v>0.8</v>
      </c>
      <c r="DI66" s="22"/>
      <c r="DJ66" s="22">
        <v>1</v>
      </c>
      <c r="DK66" s="22"/>
      <c r="DL66" s="22">
        <v>1</v>
      </c>
      <c r="DP66" s="22"/>
      <c r="DQ66" s="22">
        <v>1</v>
      </c>
      <c r="DR66" s="22"/>
      <c r="DS66" s="22">
        <v>1</v>
      </c>
      <c r="DW66" s="22"/>
      <c r="DX66" s="22">
        <v>1</v>
      </c>
      <c r="DY66" s="22"/>
      <c r="DZ66" s="22">
        <v>1</v>
      </c>
    </row>
  </sheetData>
  <mergeCells count="18">
    <mergeCell ref="I2:L2"/>
    <mergeCell ref="N2:S2"/>
    <mergeCell ref="U2:Z2"/>
    <mergeCell ref="AB2:AG2"/>
    <mergeCell ref="AI2:AN2"/>
    <mergeCell ref="DV2:EA2"/>
    <mergeCell ref="AP2:AU2"/>
    <mergeCell ref="AW2:BB2"/>
    <mergeCell ref="DA2:DF2"/>
    <mergeCell ref="DH2:DM2"/>
    <mergeCell ref="DO2:DT2"/>
    <mergeCell ref="BD2:BI2"/>
    <mergeCell ref="BK2:BP2"/>
    <mergeCell ref="BR2:BW2"/>
    <mergeCell ref="BY2:CD2"/>
    <mergeCell ref="CF2:CK2"/>
    <mergeCell ref="CM2:CR2"/>
    <mergeCell ref="CT2:CY2"/>
  </mergeCells>
  <conditionalFormatting sqref="J5:J14 J17:J26 J29:J38 J41:J54 J57:J66">
    <cfRule type="colorScale" priority="292">
      <colorScale>
        <cfvo type="percent" val="0"/>
        <cfvo type="percent" val="100"/>
        <color rgb="FFFF231B"/>
        <color rgb="FF10FF07"/>
      </colorScale>
    </cfRule>
  </conditionalFormatting>
  <conditionalFormatting sqref="J5:J14">
    <cfRule type="colorScale" priority="245">
      <colorScale>
        <cfvo type="percent" val="0"/>
        <cfvo type="percent" val="100"/>
        <color rgb="FFFF231B"/>
        <color rgb="FF10FF07"/>
      </colorScale>
    </cfRule>
  </conditionalFormatting>
  <conditionalFormatting sqref="J18">
    <cfRule type="colorScale" priority="262">
      <colorScale>
        <cfvo type="percent" val="0"/>
        <cfvo type="percent" val="100"/>
        <color rgb="FFFF231B"/>
        <color rgb="FF10FF07"/>
      </colorScale>
    </cfRule>
  </conditionalFormatting>
  <conditionalFormatting sqref="J19">
    <cfRule type="colorScale" priority="281">
      <colorScale>
        <cfvo type="percent" val="0"/>
        <cfvo type="percent" val="100"/>
        <color rgb="FFFF231B"/>
        <color rgb="FF10FF07"/>
      </colorScale>
    </cfRule>
  </conditionalFormatting>
  <conditionalFormatting sqref="J20:J26 J17">
    <cfRule type="colorScale" priority="204">
      <colorScale>
        <cfvo type="percent" val="0"/>
        <cfvo type="percent" val="100"/>
        <color rgb="FFFF231B"/>
        <color rgb="FF10FF07"/>
      </colorScale>
    </cfRule>
  </conditionalFormatting>
  <conditionalFormatting sqref="J29:J38">
    <cfRule type="colorScale" priority="286">
      <colorScale>
        <cfvo type="percent" val="0"/>
        <cfvo type="percent" val="100"/>
        <color rgb="FFFF231B"/>
        <color rgb="FF10FF07"/>
      </colorScale>
    </cfRule>
  </conditionalFormatting>
  <conditionalFormatting sqref="J41:J54 J57:J66">
    <cfRule type="colorScale" priority="289">
      <colorScale>
        <cfvo type="percent" val="0"/>
        <cfvo type="percent" val="100"/>
        <color rgb="FFFF231B"/>
        <color rgb="FF10FF07"/>
      </colorScale>
    </cfRule>
  </conditionalFormatting>
  <conditionalFormatting sqref="J6:K14 J18:K26 J30:K38 J42:K54 J58:K66">
    <cfRule type="colorScale" priority="291">
      <colorScale>
        <cfvo type="percent" val="0"/>
        <cfvo type="percent" val="100"/>
        <color rgb="FFFF231B"/>
        <color rgb="FF10FF07"/>
      </colorScale>
    </cfRule>
  </conditionalFormatting>
  <conditionalFormatting sqref="J6:K14">
    <cfRule type="colorScale" priority="244">
      <colorScale>
        <cfvo type="percent" val="0"/>
        <cfvo type="percent" val="100"/>
        <color rgb="FFFF231B"/>
        <color rgb="FF10FF07"/>
      </colorScale>
    </cfRule>
  </conditionalFormatting>
  <conditionalFormatting sqref="J18:K18">
    <cfRule type="colorScale" priority="261">
      <colorScale>
        <cfvo type="percent" val="0"/>
        <cfvo type="percent" val="100"/>
        <color rgb="FFFF231B"/>
        <color rgb="FF10FF07"/>
      </colorScale>
    </cfRule>
  </conditionalFormatting>
  <conditionalFormatting sqref="J19:K19">
    <cfRule type="colorScale" priority="280">
      <colorScale>
        <cfvo type="percent" val="0"/>
        <cfvo type="percent" val="100"/>
        <color rgb="FFFF231B"/>
        <color rgb="FF10FF07"/>
      </colorScale>
    </cfRule>
  </conditionalFormatting>
  <conditionalFormatting sqref="J20:K26">
    <cfRule type="colorScale" priority="203">
      <colorScale>
        <cfvo type="percent" val="0"/>
        <cfvo type="percent" val="100"/>
        <color rgb="FFFF231B"/>
        <color rgb="FF10FF07"/>
      </colorScale>
    </cfRule>
  </conditionalFormatting>
  <conditionalFormatting sqref="J30:K38">
    <cfRule type="colorScale" priority="285">
      <colorScale>
        <cfvo type="percent" val="0"/>
        <cfvo type="percent" val="100"/>
        <color rgb="FFFF231B"/>
        <color rgb="FF10FF07"/>
      </colorScale>
    </cfRule>
  </conditionalFormatting>
  <conditionalFormatting sqref="J42:K54 J58:K66">
    <cfRule type="colorScale" priority="288">
      <colorScale>
        <cfvo type="percent" val="0"/>
        <cfvo type="percent" val="100"/>
        <color rgb="FFFF231B"/>
        <color rgb="FF10FF07"/>
      </colorScale>
    </cfRule>
  </conditionalFormatting>
  <conditionalFormatting sqref="K5:K14 K17:K26 K29:K38 K41:K54 K57:K66">
    <cfRule type="colorScale" priority="293">
      <colorScale>
        <cfvo type="percent" val="0"/>
        <cfvo type="percent" val="100"/>
        <color rgb="FFFF231B"/>
        <color rgb="FF10FF07"/>
      </colorScale>
    </cfRule>
  </conditionalFormatting>
  <conditionalFormatting sqref="K5:K14">
    <cfRule type="colorScale" priority="246">
      <colorScale>
        <cfvo type="percent" val="0"/>
        <cfvo type="percent" val="100"/>
        <color rgb="FFFF231B"/>
        <color rgb="FF10FF07"/>
      </colorScale>
    </cfRule>
  </conditionalFormatting>
  <conditionalFormatting sqref="K17:K26">
    <cfRule type="colorScale" priority="205">
      <colorScale>
        <cfvo type="percent" val="0"/>
        <cfvo type="percent" val="100"/>
        <color rgb="FFFF231B"/>
        <color rgb="FF10FF07"/>
      </colorScale>
    </cfRule>
  </conditionalFormatting>
  <conditionalFormatting sqref="K18">
    <cfRule type="colorScale" priority="263">
      <colorScale>
        <cfvo type="percent" val="0"/>
        <cfvo type="percent" val="100"/>
        <color rgb="FFFF231B"/>
        <color rgb="FF10FF07"/>
      </colorScale>
    </cfRule>
  </conditionalFormatting>
  <conditionalFormatting sqref="K19">
    <cfRule type="colorScale" priority="282">
      <colorScale>
        <cfvo type="percent" val="0"/>
        <cfvo type="percent" val="100"/>
        <color rgb="FFFF231B"/>
        <color rgb="FF10FF07"/>
      </colorScale>
    </cfRule>
  </conditionalFormatting>
  <conditionalFormatting sqref="K29:K38">
    <cfRule type="colorScale" priority="287">
      <colorScale>
        <cfvo type="percent" val="0"/>
        <cfvo type="percent" val="100"/>
        <color rgb="FFFF231B"/>
        <color rgb="FF10FF07"/>
      </colorScale>
    </cfRule>
  </conditionalFormatting>
  <conditionalFormatting sqref="K41:K54 K57:K66">
    <cfRule type="colorScale" priority="290">
      <colorScale>
        <cfvo type="percent" val="0"/>
        <cfvo type="percent" val="100"/>
        <color rgb="FFFF231B"/>
        <color rgb="FF10FF07"/>
      </colorScale>
    </cfRule>
  </conditionalFormatting>
  <conditionalFormatting sqref="O18:O19 Q18:Q19">
    <cfRule type="expression" dxfId="250" priority="247">
      <formula>OR(IF(O18&lt;P18,TRUE),IF(AND(P18="",O18&lt;&gt;""),TRUE))</formula>
    </cfRule>
    <cfRule type="expression" dxfId="249" priority="248">
      <formula>IF(O18&gt;=P18,IF(O18="",FALSE,TRUE))</formula>
    </cfRule>
  </conditionalFormatting>
  <conditionalFormatting sqref="O29:O30">
    <cfRule type="expression" dxfId="248" priority="166">
      <formula>IF(O29&gt;=P29,IF(O29="",FALSE,TRUE))</formula>
    </cfRule>
    <cfRule type="expression" dxfId="247" priority="165">
      <formula>OR(IF(O29&lt;P29,TRUE),IF(AND(P29="",O29&lt;&gt;""),TRUE))</formula>
    </cfRule>
  </conditionalFormatting>
  <conditionalFormatting sqref="O41 O57:O58">
    <cfRule type="expression" dxfId="246" priority="212">
      <formula>OR(IF(O41&lt;P41,TRUE),IF(AND(P41="",O41&lt;&gt;""),TRUE))</formula>
    </cfRule>
    <cfRule type="expression" dxfId="245" priority="213">
      <formula>IF(O41&gt;=P41,IF(O41="",FALSE,TRUE))</formula>
    </cfRule>
  </conditionalFormatting>
  <conditionalFormatting sqref="Q29:Q30">
    <cfRule type="expression" dxfId="244" priority="167">
      <formula>OR(IF(Q29&lt;R29,TRUE),IF(AND(R29="",Q29&lt;&gt;""),TRUE))</formula>
    </cfRule>
    <cfRule type="expression" dxfId="243" priority="168">
      <formula>IF(Q29&gt;=R29,IF(Q29="",FALSE,TRUE))</formula>
    </cfRule>
  </conditionalFormatting>
  <conditionalFormatting sqref="Q41 Q57:Q58">
    <cfRule type="expression" dxfId="242" priority="215">
      <formula>IF(Q41&gt;=R41,IF(Q41="",FALSE,TRUE))</formula>
    </cfRule>
    <cfRule type="expression" dxfId="241" priority="214">
      <formula>OR(IF(Q41&lt;R41,TRUE),IF(AND(R41="",Q41&lt;&gt;""),TRUE))</formula>
    </cfRule>
  </conditionalFormatting>
  <conditionalFormatting sqref="V26 X26">
    <cfRule type="expression" dxfId="240" priority="173">
      <formula>OR(IF(V26&lt;W26,TRUE),IF(AND(W26="",V26&lt;&gt;""),TRUE))</formula>
    </cfRule>
    <cfRule type="expression" dxfId="239" priority="174">
      <formula>IF(V26&gt;=W26,IF(V26="",FALSE,TRUE))</formula>
    </cfRule>
  </conditionalFormatting>
  <conditionalFormatting sqref="V29:V30">
    <cfRule type="expression" dxfId="238" priority="175">
      <formula>OR(IF(V29&lt;W29,TRUE),IF(AND(W29="",V29&lt;&gt;""),TRUE))</formula>
    </cfRule>
    <cfRule type="expression" dxfId="237" priority="176">
      <formula>IF(V29&gt;=W29,IF(V29="",FALSE,TRUE))</formula>
    </cfRule>
  </conditionalFormatting>
  <conditionalFormatting sqref="V41:V42 V57:V58">
    <cfRule type="expression" dxfId="236" priority="219">
      <formula>IF(V41&gt;=W41,IF(V41="",FALSE,TRUE))</formula>
    </cfRule>
    <cfRule type="expression" dxfId="235" priority="218">
      <formula>OR(IF(V41&lt;W41,TRUE),IF(AND(W41="",V41&lt;&gt;""),TRUE))</formula>
    </cfRule>
  </conditionalFormatting>
  <conditionalFormatting sqref="X29:X30">
    <cfRule type="expression" dxfId="234" priority="178">
      <formula>IF(X29&gt;=Y29,IF(X29="",FALSE,TRUE))</formula>
    </cfRule>
    <cfRule type="expression" dxfId="233" priority="177">
      <formula>OR(IF(X29&lt;Y29,TRUE),IF(AND(Y29="",X29&lt;&gt;""),TRUE))</formula>
    </cfRule>
  </conditionalFormatting>
  <conditionalFormatting sqref="X41:X42 X57:X58">
    <cfRule type="expression" dxfId="232" priority="221">
      <formula>IF(X41&gt;=Y41,IF(X41="",FALSE,TRUE))</formula>
    </cfRule>
    <cfRule type="expression" dxfId="231" priority="220">
      <formula>OR(IF(X41&lt;Y41,TRUE),IF(AND(Y41="",X41&lt;&gt;""),TRUE))</formula>
    </cfRule>
  </conditionalFormatting>
  <conditionalFormatting sqref="AC29:AC30">
    <cfRule type="expression" dxfId="230" priority="182">
      <formula>IF(AC29&gt;=AD29,IF(AC29="",FALSE,TRUE))</formula>
    </cfRule>
    <cfRule type="expression" dxfId="229" priority="181">
      <formula>OR(IF(AC29&lt;AD29,TRUE),IF(AND(AD29="",AC29&lt;&gt;""),TRUE))</formula>
    </cfRule>
  </conditionalFormatting>
  <conditionalFormatting sqref="AC41:AC43 AC57:AC58">
    <cfRule type="expression" dxfId="228" priority="223">
      <formula>IF(AC41&gt;=AD41,IF(AC41="",FALSE,TRUE))</formula>
    </cfRule>
    <cfRule type="expression" dxfId="227" priority="222">
      <formula>OR(IF(AC41&lt;AD41,TRUE),IF(AND(AD41="",AC41&lt;&gt;""),TRUE))</formula>
    </cfRule>
  </conditionalFormatting>
  <conditionalFormatting sqref="AE29:AE30">
    <cfRule type="expression" dxfId="226" priority="183">
      <formula>OR(IF(AE29&lt;AF29,TRUE),IF(AND(AF29="",AE29&lt;&gt;""),TRUE))</formula>
    </cfRule>
    <cfRule type="expression" dxfId="225" priority="184">
      <formula>IF(AE29&gt;=AF29,IF(AE29="",FALSE,TRUE))</formula>
    </cfRule>
  </conditionalFormatting>
  <conditionalFormatting sqref="AE41:AE43 AE57:AE58">
    <cfRule type="expression" dxfId="224" priority="225">
      <formula>IF(AE41&gt;=AF41,IF(AE41="",FALSE,TRUE))</formula>
    </cfRule>
    <cfRule type="expression" dxfId="223" priority="224">
      <formula>OR(IF(AE41&lt;AF41,TRUE),IF(AND(AF41="",AE41&lt;&gt;""),TRUE))</formula>
    </cfRule>
  </conditionalFormatting>
  <conditionalFormatting sqref="AJ29:AJ32">
    <cfRule type="expression" dxfId="222" priority="6">
      <formula>IF(AJ29&gt;=AK29,IF(AJ29="",FALSE,TRUE))</formula>
    </cfRule>
    <cfRule type="expression" dxfId="221" priority="5">
      <formula>OR(IF(AJ29&lt;AK29,TRUE),IF(AND(AK29="",AJ29&lt;&gt;""),TRUE))</formula>
    </cfRule>
  </conditionalFormatting>
  <conditionalFormatting sqref="AJ41:AJ44 AQ41:AQ45 AX41:AX46 AJ57:AJ58">
    <cfRule type="expression" dxfId="220" priority="227">
      <formula>IF(AJ41&gt;=AK41,IF(AJ41="",FALSE,TRUE))</formula>
    </cfRule>
    <cfRule type="expression" dxfId="219" priority="226">
      <formula>OR(IF(AJ41&lt;AK41,TRUE),IF(AND(AK41="",AJ41&lt;&gt;""),TRUE))</formula>
    </cfRule>
  </conditionalFormatting>
  <conditionalFormatting sqref="AL29:AL32">
    <cfRule type="expression" dxfId="218" priority="7">
      <formula>OR(IF(AL29&lt;AM29,TRUE),IF(AND(AM29="",AL29&lt;&gt;""),TRUE))</formula>
    </cfRule>
    <cfRule type="expression" dxfId="217" priority="8">
      <formula>IF(AL29&gt;=AM29,IF(AL29="",FALSE,TRUE))</formula>
    </cfRule>
  </conditionalFormatting>
  <conditionalFormatting sqref="AL41:AL44 AS41:AS45 AZ41:AZ46 AL57:AL58">
    <cfRule type="expression" dxfId="216" priority="229">
      <formula>IF(AL41&gt;=AM41,IF(AL41="",FALSE,TRUE))</formula>
    </cfRule>
    <cfRule type="expression" dxfId="215" priority="228">
      <formula>OR(IF(AL41&lt;AM41,TRUE),IF(AND(AM41="",AL41&lt;&gt;""),TRUE))</formula>
    </cfRule>
  </conditionalFormatting>
  <conditionalFormatting sqref="AQ29:AQ38">
    <cfRule type="expression" dxfId="214" priority="1">
      <formula>OR(IF(AQ29&lt;AR29,TRUE),IF(AND(AR29="",AQ29&lt;&gt;""),TRUE))</formula>
    </cfRule>
    <cfRule type="expression" dxfId="213" priority="2">
      <formula>IF(AQ29&gt;=AR29,IF(AQ29="",FALSE,TRUE))</formula>
    </cfRule>
  </conditionalFormatting>
  <conditionalFormatting sqref="AQ41:AQ45 AQ57:AQ58">
    <cfRule type="expression" dxfId="212" priority="231">
      <formula>IF(AQ41&gt;=AR41,IF(AQ41="",FALSE,TRUE))</formula>
    </cfRule>
    <cfRule type="expression" dxfId="211" priority="230">
      <formula>OR(IF(AQ41&lt;AR41,TRUE),IF(AND(AR41="",AQ41&lt;&gt;""),TRUE))</formula>
    </cfRule>
  </conditionalFormatting>
  <conditionalFormatting sqref="AS29:AS38">
    <cfRule type="expression" dxfId="210" priority="4">
      <formula>IF(AS29&gt;=AT29,IF(AS29="",FALSE,TRUE))</formula>
    </cfRule>
    <cfRule type="expression" dxfId="209" priority="3">
      <formula>OR(IF(AS29&lt;AT29,TRUE),IF(AND(AT29="",AS29&lt;&gt;""),TRUE))</formula>
    </cfRule>
  </conditionalFormatting>
  <conditionalFormatting sqref="AS41:AS45 AS57:AS58">
    <cfRule type="expression" dxfId="208" priority="232">
      <formula>OR(IF(AS41&lt;AT41,TRUE),IF(AND(AT41="",AS41&lt;&gt;""),TRUE))</formula>
    </cfRule>
    <cfRule type="expression" dxfId="207" priority="233">
      <formula>IF(AS41&gt;=AT41,IF(AS41="",FALSE,TRUE))</formula>
    </cfRule>
  </conditionalFormatting>
  <conditionalFormatting sqref="AX17:AX26 AZ17:AZ26">
    <cfRule type="expression" dxfId="206" priority="196">
      <formula>IF(AX17&gt;=AY17,IF(AX17="",FALSE,TRUE))</formula>
    </cfRule>
    <cfRule type="expression" dxfId="205" priority="195">
      <formula>OR(IF(AX17&lt;AY17,TRUE),IF(AND(AY17="",AX17&lt;&gt;""),TRUE))</formula>
    </cfRule>
  </conditionalFormatting>
  <conditionalFormatting sqref="AX29:AX30">
    <cfRule type="expression" dxfId="204" priority="198">
      <formula>IF(AX29&gt;=AY29,IF(AX29="",FALSE,TRUE))</formula>
    </cfRule>
    <cfRule type="expression" dxfId="203" priority="197">
      <formula>OR(IF(AX29&lt;AY29,TRUE),IF(AND(AY29="",AX29&lt;&gt;""),TRUE))</formula>
    </cfRule>
  </conditionalFormatting>
  <conditionalFormatting sqref="AX41:AX46 AX57:AX58">
    <cfRule type="expression" dxfId="202" priority="234">
      <formula>OR(IF(AX41&lt;AY41,TRUE),IF(AND(AY41="",AX41&lt;&gt;""),TRUE))</formula>
    </cfRule>
    <cfRule type="expression" dxfId="201" priority="235">
      <formula>IF(AX41&gt;=AY41,IF(AX41="",FALSE,TRUE))</formula>
    </cfRule>
  </conditionalFormatting>
  <conditionalFormatting sqref="AZ29:AZ30">
    <cfRule type="expression" dxfId="200" priority="200">
      <formula>IF(AZ29&gt;=BA29,IF(AZ29="",FALSE,TRUE))</formula>
    </cfRule>
    <cfRule type="expression" dxfId="199" priority="199">
      <formula>OR(IF(AZ29&lt;BA29,TRUE),IF(AND(BA29="",AZ29&lt;&gt;""),TRUE))</formula>
    </cfRule>
  </conditionalFormatting>
  <conditionalFormatting sqref="AZ41:AZ46 AZ57:AZ58">
    <cfRule type="expression" dxfId="198" priority="236">
      <formula>OR(IF(AZ41&lt;BA41,TRUE),IF(AND(BA41="",AZ41&lt;&gt;""),TRUE))</formula>
    </cfRule>
    <cfRule type="expression" dxfId="197" priority="237">
      <formula>IF(AZ41&gt;=BA41,IF(AZ41="",FALSE,TRUE))</formula>
    </cfRule>
  </conditionalFormatting>
  <conditionalFormatting sqref="BE17:BE26 BG17:BG26">
    <cfRule type="expression" dxfId="196" priority="13">
      <formula>OR(IF(BE17&lt;BF17,TRUE),IF(AND(BF17="",BE17&lt;&gt;""),TRUE))</formula>
    </cfRule>
    <cfRule type="expression" dxfId="195" priority="14">
      <formula>IF(BE17&gt;=BF17,IF(BE17="",FALSE,TRUE))</formula>
    </cfRule>
  </conditionalFormatting>
  <conditionalFormatting sqref="BE29:BE30">
    <cfRule type="expression" dxfId="194" priority="171">
      <formula>OR(IF(BE29&lt;BF29,TRUE),IF(AND(BF29="",BE29&lt;&gt;""),TRUE))</formula>
    </cfRule>
    <cfRule type="expression" dxfId="193" priority="172">
      <formula>IF(BE29&gt;=BF29,IF(BE29="",FALSE,TRUE))</formula>
    </cfRule>
  </conditionalFormatting>
  <conditionalFormatting sqref="BE41:BE47">
    <cfRule type="expression" dxfId="192" priority="217">
      <formula>IF(BE41&gt;=BF41,IF(BE41="",FALSE,TRUE))</formula>
    </cfRule>
    <cfRule type="expression" dxfId="191" priority="216">
      <formula>OR(IF(BE41&lt;BF41,TRUE),IF(AND(BF41="",BE41&lt;&gt;""),TRUE))</formula>
    </cfRule>
  </conditionalFormatting>
  <conditionalFormatting sqref="BE57:BE58">
    <cfRule type="expression" dxfId="190" priority="15">
      <formula>OR(IF(BE57&lt;BF57,TRUE),IF(AND(BF57="",BE57&lt;&gt;""),TRUE))</formula>
    </cfRule>
    <cfRule type="expression" dxfId="189" priority="16">
      <formula>IF(BE57&gt;=BF57,IF(BE57="",FALSE,TRUE))</formula>
    </cfRule>
    <cfRule type="expression" dxfId="188" priority="19">
      <formula>OR(IF(BE57&lt;BF57,TRUE),IF(AND(BF57="",BE57&lt;&gt;""),TRUE))</formula>
    </cfRule>
    <cfRule type="expression" dxfId="187" priority="20">
      <formula>IF(BE57&gt;=BF57,IF(BE57="",FALSE,TRUE))</formula>
    </cfRule>
  </conditionalFormatting>
  <conditionalFormatting sqref="BG29:BG30">
    <cfRule type="expression" dxfId="186" priority="201">
      <formula>OR(IF(BG29&lt;BH29,TRUE),IF(AND(BH29="",BG29&lt;&gt;""),TRUE))</formula>
    </cfRule>
    <cfRule type="expression" dxfId="185" priority="202">
      <formula>IF(BG29&gt;=BH29,IF(BG29="",FALSE,TRUE))</formula>
    </cfRule>
  </conditionalFormatting>
  <conditionalFormatting sqref="BG41:BG47">
    <cfRule type="expression" dxfId="184" priority="239">
      <formula>IF(BG41&gt;=BH41,IF(BG41="",FALSE,TRUE))</formula>
    </cfRule>
    <cfRule type="expression" dxfId="183" priority="238">
      <formula>OR(IF(BG41&lt;BH41,TRUE),IF(AND(BH41="",BG41&lt;&gt;""),TRUE))</formula>
    </cfRule>
  </conditionalFormatting>
  <conditionalFormatting sqref="BG57:BG58">
    <cfRule type="expression" dxfId="182" priority="17">
      <formula>OR(IF(BG57&lt;BH57,TRUE),IF(AND(BH57="",BG57&lt;&gt;""),TRUE))</formula>
    </cfRule>
    <cfRule type="expression" dxfId="181" priority="18">
      <formula>IF(BG57&gt;=BH57,IF(BG57="",FALSE,TRUE))</formula>
    </cfRule>
    <cfRule type="expression" dxfId="180" priority="21">
      <formula>OR(IF(BG57&lt;BH57,TRUE),IF(AND(BH57="",BG57&lt;&gt;""),TRUE))</formula>
    </cfRule>
    <cfRule type="expression" dxfId="179" priority="22">
      <formula>IF(BG57&gt;=BH57,IF(BG57="",FALSE,TRUE))</formula>
    </cfRule>
  </conditionalFormatting>
  <conditionalFormatting sqref="BL17:BL26 BN17:BN26 BS17:BS26 BU17:BU26">
    <cfRule type="expression" dxfId="178" priority="206">
      <formula>OR(IF(BL17&lt;BM17,TRUE),IF(AND(BM17="",BL17&lt;&gt;""),TRUE))</formula>
    </cfRule>
    <cfRule type="expression" dxfId="177" priority="207">
      <formula>IF(BL17&gt;=BM17,IF(BL17="",FALSE,TRUE))</formula>
    </cfRule>
  </conditionalFormatting>
  <conditionalFormatting sqref="BL29:BL30 BS29:BS30">
    <cfRule type="expression" dxfId="176" priority="209">
      <formula>IF(BL29&gt;=BM29,IF(BL29="",FALSE,TRUE))</formula>
    </cfRule>
    <cfRule type="expression" dxfId="175" priority="208">
      <formula>OR(IF(BL29&lt;BM29,TRUE),IF(AND(BM29="",BL29&lt;&gt;""),TRUE))</formula>
    </cfRule>
  </conditionalFormatting>
  <conditionalFormatting sqref="BL57:BL58">
    <cfRule type="expression" dxfId="174" priority="28">
      <formula>IF(BL57&gt;=BM57,IF(BL57="",FALSE,TRUE))</formula>
    </cfRule>
    <cfRule type="expression" dxfId="173" priority="27">
      <formula>OR(IF(BL57&lt;BM57,TRUE),IF(AND(BM57="",BL57&lt;&gt;""),TRUE))</formula>
    </cfRule>
    <cfRule type="expression" dxfId="172" priority="24">
      <formula>IF(BL57&gt;=BM57,IF(BL57="",FALSE,TRUE))</formula>
    </cfRule>
    <cfRule type="expression" dxfId="171" priority="23">
      <formula>OR(IF(BL57&lt;BM57,TRUE),IF(AND(BM57="",BL57&lt;&gt;""),TRUE))</formula>
    </cfRule>
  </conditionalFormatting>
  <conditionalFormatting sqref="BN29:BN30 BU29:BU30">
    <cfRule type="expression" dxfId="170" priority="211">
      <formula>IF(BN29&gt;=BO29,IF(BN29="",FALSE,TRUE))</formula>
    </cfRule>
    <cfRule type="expression" dxfId="169" priority="210">
      <formula>OR(IF(BN29&lt;BO29,TRUE),IF(AND(BO29="",BN29&lt;&gt;""),TRUE))</formula>
    </cfRule>
  </conditionalFormatting>
  <conditionalFormatting sqref="BN57:BN58">
    <cfRule type="expression" dxfId="168" priority="30">
      <formula>IF(BN57&gt;=BO57,IF(BN57="",FALSE,TRUE))</formula>
    </cfRule>
    <cfRule type="expression" dxfId="167" priority="29">
      <formula>OR(IF(BN57&lt;BO57,TRUE),IF(AND(BO57="",BN57&lt;&gt;""),TRUE))</formula>
    </cfRule>
    <cfRule type="expression" dxfId="166" priority="26">
      <formula>IF(BN57&gt;=BO57,IF(BN57="",FALSE,TRUE))</formula>
    </cfRule>
    <cfRule type="expression" dxfId="165" priority="25">
      <formula>OR(IF(BN57&lt;BO57,TRUE),IF(AND(BO57="",BN57&lt;&gt;""),TRUE))</formula>
    </cfRule>
  </conditionalFormatting>
  <conditionalFormatting sqref="BS5:BS14 BU5:BU14 BS17:BS26 BU17:BU26 BS29:BS38 BU29:BU38 BS41:BS49 BU41:BU49">
    <cfRule type="expression" dxfId="164" priority="295">
      <formula>IF(BS5&gt;=BT5,IF(BS5="",FALSE,TRUE))</formula>
    </cfRule>
  </conditionalFormatting>
  <conditionalFormatting sqref="BS17:BS26 BU17:BU26">
    <cfRule type="expression" dxfId="163" priority="296">
      <formula>OR(IF(BS17&lt;BT17,TRUE),IF(AND(BT17="",BS17&lt;&gt;""),TRUE))</formula>
    </cfRule>
    <cfRule type="expression" dxfId="162" priority="297">
      <formula>IF(BS17&gt;=BT17,IF(BS17="",FALSE,TRUE))</formula>
    </cfRule>
  </conditionalFormatting>
  <conditionalFormatting sqref="BS29:BS30">
    <cfRule type="expression" dxfId="161" priority="299">
      <formula>IF(BS29&gt;=BT29,IF(BS29="",FALSE,TRUE))</formula>
    </cfRule>
    <cfRule type="expression" dxfId="160" priority="298">
      <formula>OR(IF(BS29&lt;BT29,TRUE),IF(AND(BT29="",BS29&lt;&gt;""),TRUE))</formula>
    </cfRule>
  </conditionalFormatting>
  <conditionalFormatting sqref="BS41:BS42 BL41:BL48 BS57:BS58">
    <cfRule type="expression" dxfId="159" priority="240">
      <formula>OR(IF(BL41&lt;BM41,TRUE),IF(AND(BM41="",BL41&lt;&gt;""),TRUE))</formula>
    </cfRule>
    <cfRule type="expression" dxfId="158" priority="241">
      <formula>IF(BL41&gt;=BM41,IF(BL41="",FALSE,TRUE))</formula>
    </cfRule>
  </conditionalFormatting>
  <conditionalFormatting sqref="BS41:BS42">
    <cfRule type="expression" dxfId="157" priority="302">
      <formula>OR(IF(BS41&lt;BT41,TRUE),IF(AND(BT41="",BS41&lt;&gt;""),TRUE))</formula>
    </cfRule>
    <cfRule type="expression" dxfId="156" priority="303">
      <formula>IF(BS41&gt;=BT41,IF(BS41="",FALSE,TRUE))</formula>
    </cfRule>
  </conditionalFormatting>
  <conditionalFormatting sqref="BS57:BS58">
    <cfRule type="expression" dxfId="155" priority="31">
      <formula>OR(IF(BS57&lt;BT57,TRUE),IF(AND(BT57="",BS57&lt;&gt;""),TRUE))</formula>
    </cfRule>
    <cfRule type="expression" dxfId="154" priority="32">
      <formula>IF(BS57&gt;=BT57,IF(BS57="",FALSE,TRUE))</formula>
    </cfRule>
  </conditionalFormatting>
  <conditionalFormatting sqref="BU29:BU30">
    <cfRule type="expression" dxfId="153" priority="301">
      <formula>IF(BU29&gt;=BV29,IF(BU29="",FALSE,TRUE))</formula>
    </cfRule>
    <cfRule type="expression" dxfId="152" priority="300">
      <formula>OR(IF(BU29&lt;BV29,TRUE),IF(AND(BV29="",BU29&lt;&gt;""),TRUE))</formula>
    </cfRule>
  </conditionalFormatting>
  <conditionalFormatting sqref="BU41:BU42 BN41:BN48 BU57:BU58">
    <cfRule type="expression" dxfId="151" priority="242">
      <formula>OR(IF(BN41&lt;BO41,TRUE),IF(AND(BO41="",BN41&lt;&gt;""),TRUE))</formula>
    </cfRule>
    <cfRule type="expression" dxfId="150" priority="243">
      <formula>IF(BN41&gt;=BO41,IF(BN41="",FALSE,TRUE))</formula>
    </cfRule>
  </conditionalFormatting>
  <conditionalFormatting sqref="BU41:BU42">
    <cfRule type="expression" dxfId="149" priority="305">
      <formula>IF(BU41&gt;=BV41,IF(BU41="",FALSE,TRUE))</formula>
    </cfRule>
    <cfRule type="expression" dxfId="148" priority="304">
      <formula>OR(IF(BU41&lt;BV41,TRUE),IF(AND(BV41="",BU41&lt;&gt;""),TRUE))</formula>
    </cfRule>
  </conditionalFormatting>
  <conditionalFormatting sqref="BU41:BU49 BS41:BS49 BU29:BU38 BS29:BS38 BS17:BS26 BU17:BU26 BS5:BS14 BU5:BU14">
    <cfRule type="expression" dxfId="147" priority="294">
      <formula>OR(IF(BS5&lt;BT5,TRUE),IF(AND(BT5="",BS5&lt;&gt;""),TRUE))</formula>
    </cfRule>
  </conditionalFormatting>
  <conditionalFormatting sqref="BU57:BU58">
    <cfRule type="expression" dxfId="146" priority="33">
      <formula>OR(IF(BU57&lt;BV57,TRUE),IF(AND(BV57="",BU57&lt;&gt;""),TRUE))</formula>
    </cfRule>
    <cfRule type="expression" dxfId="145" priority="34">
      <formula>IF(BU57&gt;=BV57,IF(BU57="",FALSE,TRUE))</formula>
    </cfRule>
  </conditionalFormatting>
  <conditionalFormatting sqref="BU57:BU66 BS57:BS66 BN57:BN66 BL57:BL66 BG57:BG66 BE57:BE66 BE17:BE26 BG17:BG26 AL29:AL38 AJ29:AJ38 AS29:AS38 AQ29:AQ38 CB5:CB8 O5:O14 Q5:Q14 V5:V14 X5:X14 AC5:AC14 AE5:AE14 AJ5:AJ14 AL5:AL14 AQ5:AQ14 AS5:AS14 AX5:AX14 AZ5:AZ14 BE5:BE14 BG5:BG14 BL5:BL14 BN5:BN14 BS5:BS14 BU5:BU14 O17:O26 Q17:Q26 V17:V26 X17:X26 AC17:AC26 AE17:AE26 AJ17:AJ26 AL17:AL26 AQ17:AQ26 AS17:AS26 AX17:AX26 AZ17:AZ26 BL17:BL26 BN17:BN26 BS17:BS26 BU17:BU26 O29:O38 Q29:Q38 V29:V38 X29:X38 AC29:AC38 AE29:AE38 AX29:AX38 AZ29:AZ38 BE29:BE38 BG29:BG38 BL29:BL38 BN29:BN38 BS29:BS38 BU29:BU38 O41:O54 Q41:Q54 V41:V54 X41:X54 AC41:AC54 AE41:AE54 AJ41:AJ54 AL41:AL54 AQ41:AQ54 AS41:AS54 AX41:AX54 AZ41:AZ54 BE41:BE54 BG41:BG54 BL41:BL54 BN41:BN54 BS41:BS54 BU41:BU54 O57:O66 Q57:Q66 V57:V66 X57:X66 AC57:AC66 AE57:AE66 AJ57:AJ66 AL57:AL66 AQ57:AQ66 AS57:AS66 AX57:AX66 AZ57:AZ66">
    <cfRule type="expression" dxfId="144" priority="161">
      <formula>OR(IF(O5&lt;P5,TRUE),IF(AND(P5="",O5&lt;&gt;""),TRUE))</formula>
    </cfRule>
  </conditionalFormatting>
  <conditionalFormatting sqref="BZ5:BZ14 CB5:CB14 BZ17:BZ26 CB17:CB26 BZ29:BZ38 CB29:CB38">
    <cfRule type="expression" dxfId="143" priority="311">
      <formula>IF(BZ5&gt;=CA5,IF(BZ5="",FALSE,TRUE))</formula>
    </cfRule>
  </conditionalFormatting>
  <conditionalFormatting sqref="BZ17:BZ26 CB17:CB26">
    <cfRule type="expression" dxfId="142" priority="312">
      <formula>OR(IF(BZ17&lt;CA17,TRUE),IF(AND(CA17="",BZ17&lt;&gt;""),TRUE))</formula>
    </cfRule>
    <cfRule type="expression" dxfId="141" priority="313">
      <formula>IF(BZ17&gt;=CA17,IF(BZ17="",FALSE,TRUE))</formula>
    </cfRule>
  </conditionalFormatting>
  <conditionalFormatting sqref="BZ29:BZ30">
    <cfRule type="expression" dxfId="140" priority="314">
      <formula>OR(IF(BZ29&lt;CA29,TRUE),IF(AND(CA29="",BZ29&lt;&gt;""),TRUE))</formula>
    </cfRule>
    <cfRule type="expression" dxfId="139" priority="315">
      <formula>IF(BZ29&gt;=CA29,IF(BZ29="",FALSE,TRUE))</formula>
    </cfRule>
  </conditionalFormatting>
  <conditionalFormatting sqref="BZ41:BZ42">
    <cfRule type="expression" dxfId="138" priority="318">
      <formula>OR(IF(BZ41&lt;CA41,TRUE),IF(AND(CA41="",BZ41&lt;&gt;""),TRUE))</formula>
    </cfRule>
    <cfRule type="expression" dxfId="137" priority="319">
      <formula>IF(BZ41&gt;=CA41,IF(BZ41="",FALSE,TRUE))</formula>
    </cfRule>
  </conditionalFormatting>
  <conditionalFormatting sqref="BZ41:BZ54 CB41:CB54">
    <cfRule type="expression" dxfId="136" priority="147">
      <formula>OR(IF(BZ41&lt;CA41,TRUE),IF(AND(CA41="",BZ41&lt;&gt;""),TRUE))</formula>
    </cfRule>
    <cfRule type="expression" dxfId="135" priority="148">
      <formula>IF(BZ41&gt;=CA41,IF(BZ41="",FALSE,TRUE))</formula>
    </cfRule>
  </conditionalFormatting>
  <conditionalFormatting sqref="BZ57:BZ58">
    <cfRule type="expression" dxfId="134" priority="107">
      <formula>OR(IF(BZ57&lt;CA57,TRUE),IF(AND(CA57="",BZ57&lt;&gt;""),TRUE))</formula>
    </cfRule>
    <cfRule type="expression" dxfId="133" priority="108">
      <formula>IF(BZ57&gt;=CA57,IF(BZ57="",FALSE,TRUE))</formula>
    </cfRule>
    <cfRule type="expression" dxfId="132" priority="113">
      <formula>OR(IF(BZ57&lt;CA57,TRUE),IF(AND(CA57="",BZ57&lt;&gt;""),TRUE))</formula>
    </cfRule>
    <cfRule type="expression" dxfId="131" priority="114">
      <formula>IF(BZ57&gt;=CA57,IF(BZ57="",FALSE,TRUE))</formula>
    </cfRule>
  </conditionalFormatting>
  <conditionalFormatting sqref="BZ57:BZ66 CB57:CB66">
    <cfRule type="expression" dxfId="130" priority="112">
      <formula>IF(BZ57&gt;=CA57,IF(BZ57="",FALSE,TRUE))</formula>
    </cfRule>
  </conditionalFormatting>
  <conditionalFormatting sqref="CB5:CB8 O5:O14 Q5:Q14 V5:V14 X5:X14 AC5:AC14 AE5:AE14 AJ5:AJ14 AL5:AL14 AQ5:AQ14 AS5:AS14 AX5:AX14 AZ5:AZ14 BE5:BE14 BG5:BG14 BL5:BL14 BN5:BN14 BS5:BS14 BU5:BU14 O17:O26 Q17:Q26 V17:V26 X17:X26 AC17:AC26 AE17:AE26 AJ17:AJ26 AL17:AL26 AQ17:AQ26 AS17:AS26 AX17:AX26 AZ17:AZ26 BE17:BE26 BG17:BG26 BL17:BL26 BN17:BN26 BS17:BS26 BU17:BU26 O29:O38 Q29:Q38 V29:V38 X29:X38 AC29:AC38 AE29:AE38 AJ29:AJ38 AL29:AL38 AQ29:AQ38 AS29:AS38 AX29:AX38 AZ29:AZ38 BE29:BE38 BG29:BG38 BL29:BL38 BN29:BN38 BS29:BS38 BU29:BU38 O41:O54 Q41:Q54 V41:V54 X41:X54 AC41:AC54 AE41:AE54 AJ41:AJ54 AL41:AL54 AQ41:AQ54 AS41:AS54 AX41:AX54 AZ41:AZ54 BE41:BE54 BG41:BG54 BL41:BL54 BN41:BN54 BS41:BS54 BU41:BU54 O57:O66 Q57:Q66 V57:V66 X57:X66 AC57:AC66 AE57:AE66 AJ57:AJ66 AL57:AL66 AQ57:AQ66 AS57:AS66 AX57:AX66 AZ57:AZ66 BE57:BE66 BG57:BG66 BL57:BL66 BN57:BN66 BS57:BS66 BU57:BU66">
    <cfRule type="expression" dxfId="129" priority="162">
      <formula>IF(O5&gt;=P5,IF(O5="",FALSE,TRUE))</formula>
    </cfRule>
  </conditionalFormatting>
  <conditionalFormatting sqref="CB5:CB14 BZ5:BZ14 BZ17:BZ26 CB17:CB26 BZ29:BZ38 CB29:CB38">
    <cfRule type="expression" dxfId="128" priority="310">
      <formula>OR(IF(BZ5&lt;CA5,TRUE),IF(AND(CA5="",BZ5&lt;&gt;""),TRUE))</formula>
    </cfRule>
  </conditionalFormatting>
  <conditionalFormatting sqref="CB9:CB14">
    <cfRule type="expression" dxfId="127" priority="391">
      <formula>IF(CB9&gt;=CC9,IF(CB9="",FALSE,TRUE))</formula>
    </cfRule>
    <cfRule type="expression" dxfId="126" priority="390">
      <formula>OR(IF(CB9&lt;CC9,TRUE),IF(AND(CC9="",CB9&lt;&gt;""),TRUE))</formula>
    </cfRule>
  </conditionalFormatting>
  <conditionalFormatting sqref="CB29:CB30">
    <cfRule type="expression" dxfId="125" priority="317">
      <formula>IF(CB29&gt;=CC29,IF(CB29="",FALSE,TRUE))</formula>
    </cfRule>
    <cfRule type="expression" dxfId="124" priority="316">
      <formula>OR(IF(CB29&lt;CC29,TRUE),IF(AND(CC29="",CB29&lt;&gt;""),TRUE))</formula>
    </cfRule>
  </conditionalFormatting>
  <conditionalFormatting sqref="CB41:CB42">
    <cfRule type="expression" dxfId="123" priority="321">
      <formula>IF(CB41&gt;=CC41,IF(CB41="",FALSE,TRUE))</formula>
    </cfRule>
    <cfRule type="expression" dxfId="122" priority="320">
      <formula>OR(IF(CB41&lt;CC41,TRUE),IF(AND(CC41="",CB41&lt;&gt;""),TRUE))</formula>
    </cfRule>
  </conditionalFormatting>
  <conditionalFormatting sqref="CB57:CB58">
    <cfRule type="expression" dxfId="121" priority="109">
      <formula>OR(IF(CB57&lt;CC57,TRUE),IF(AND(CC57="",CB57&lt;&gt;""),TRUE))</formula>
    </cfRule>
    <cfRule type="expression" dxfId="120" priority="115">
      <formula>OR(IF(CB57&lt;CC57,TRUE),IF(AND(CC57="",CB57&lt;&gt;""),TRUE))</formula>
    </cfRule>
    <cfRule type="expression" dxfId="119" priority="116">
      <formula>IF(CB57&gt;=CC57,IF(CB57="",FALSE,TRUE))</formula>
    </cfRule>
    <cfRule type="expression" dxfId="118" priority="110">
      <formula>IF(CB57&gt;=CC57,IF(CB57="",FALSE,TRUE))</formula>
    </cfRule>
  </conditionalFormatting>
  <conditionalFormatting sqref="CB57:CB66 BZ57:BZ66">
    <cfRule type="expression" dxfId="117" priority="111">
      <formula>OR(IF(BZ57&lt;CA57,TRUE),IF(AND(CA57="",BZ57&lt;&gt;""),TRUE))</formula>
    </cfRule>
  </conditionalFormatting>
  <conditionalFormatting sqref="CG5:CG14 CI5:CI14 CG17:CG26 CI17:CI26 CG29:CG38 CI29:CI38">
    <cfRule type="expression" dxfId="116" priority="327">
      <formula>IF(CG5&gt;=CH5,IF(CG5="",FALSE,TRUE))</formula>
    </cfRule>
    <cfRule type="expression" dxfId="115" priority="326">
      <formula>OR(IF(CG5&lt;CH5,TRUE),IF(AND(CH5="",CG5&lt;&gt;""),TRUE))</formula>
    </cfRule>
  </conditionalFormatting>
  <conditionalFormatting sqref="CG17:CG26 CI17:CI26">
    <cfRule type="expression" dxfId="114" priority="328">
      <formula>OR(IF(CG17&lt;CH17,TRUE),IF(AND(CH17="",CG17&lt;&gt;""),TRUE))</formula>
    </cfRule>
    <cfRule type="expression" dxfId="113" priority="329">
      <formula>IF(CG17&gt;=CH17,IF(CG17="",FALSE,TRUE))</formula>
    </cfRule>
  </conditionalFormatting>
  <conditionalFormatting sqref="CG29:CG30">
    <cfRule type="expression" dxfId="112" priority="331">
      <formula>IF(CG29&gt;=CH29,IF(CG29="",FALSE,TRUE))</formula>
    </cfRule>
    <cfRule type="expression" dxfId="111" priority="330">
      <formula>OR(IF(CG29&lt;CH29,TRUE),IF(AND(CH29="",CG29&lt;&gt;""),TRUE))</formula>
    </cfRule>
  </conditionalFormatting>
  <conditionalFormatting sqref="CG41:CG42">
    <cfRule type="expression" dxfId="110" priority="335">
      <formula>IF(CG41&gt;=CH41,IF(CG41="",FALSE,TRUE))</formula>
    </cfRule>
    <cfRule type="expression" dxfId="109" priority="334">
      <formula>OR(IF(CG41&lt;CH41,TRUE),IF(AND(CH41="",CG41&lt;&gt;""),TRUE))</formula>
    </cfRule>
  </conditionalFormatting>
  <conditionalFormatting sqref="CG41:CG54 CI41:CI54">
    <cfRule type="expression" dxfId="108" priority="146">
      <formula>IF(CG41&gt;=CH41,IF(CG41="",FALSE,TRUE))</formula>
    </cfRule>
    <cfRule type="expression" dxfId="107" priority="145">
      <formula>OR(IF(CG41&lt;CH41,TRUE),IF(AND(CH41="",CG41&lt;&gt;""),TRUE))</formula>
    </cfRule>
  </conditionalFormatting>
  <conditionalFormatting sqref="CG57:CG58">
    <cfRule type="expression" dxfId="106" priority="95">
      <formula>OR(IF(CG57&lt;CH57,TRUE),IF(AND(CH57="",CG57&lt;&gt;""),TRUE))</formula>
    </cfRule>
    <cfRule type="expression" dxfId="105" priority="96">
      <formula>IF(CG57&gt;=CH57,IF(CG57="",FALSE,TRUE))</formula>
    </cfRule>
    <cfRule type="expression" dxfId="104" priority="101">
      <formula>OR(IF(CG57&lt;CH57,TRUE),IF(AND(CH57="",CG57&lt;&gt;""),TRUE))</formula>
    </cfRule>
    <cfRule type="expression" dxfId="103" priority="102">
      <formula>IF(CG57&gt;=CH57,IF(CG57="",FALSE,TRUE))</formula>
    </cfRule>
  </conditionalFormatting>
  <conditionalFormatting sqref="CG57:CG66 CI57:CI66">
    <cfRule type="expression" dxfId="102" priority="100">
      <formula>IF(CG57&gt;=CH57,IF(CG57="",FALSE,TRUE))</formula>
    </cfRule>
  </conditionalFormatting>
  <conditionalFormatting sqref="CI29:CI30">
    <cfRule type="expression" dxfId="101" priority="332">
      <formula>OR(IF(CI29&lt;CJ29,TRUE),IF(AND(CJ29="",CI29&lt;&gt;""),TRUE))</formula>
    </cfRule>
    <cfRule type="expression" dxfId="100" priority="333">
      <formula>IF(CI29&gt;=CJ29,IF(CI29="",FALSE,TRUE))</formula>
    </cfRule>
  </conditionalFormatting>
  <conditionalFormatting sqref="CI41:CI42">
    <cfRule type="expression" dxfId="99" priority="337">
      <formula>IF(CI41&gt;=CJ41,IF(CI41="",FALSE,TRUE))</formula>
    </cfRule>
    <cfRule type="expression" dxfId="98" priority="336">
      <formula>OR(IF(CI41&lt;CJ41,TRUE),IF(AND(CJ41="",CI41&lt;&gt;""),TRUE))</formula>
    </cfRule>
  </conditionalFormatting>
  <conditionalFormatting sqref="CI57:CI58">
    <cfRule type="expression" dxfId="97" priority="104">
      <formula>IF(CI57&gt;=CJ57,IF(CI57="",FALSE,TRUE))</formula>
    </cfRule>
    <cfRule type="expression" dxfId="96" priority="97">
      <formula>OR(IF(CI57&lt;CJ57,TRUE),IF(AND(CJ57="",CI57&lt;&gt;""),TRUE))</formula>
    </cfRule>
    <cfRule type="expression" dxfId="95" priority="98">
      <formula>IF(CI57&gt;=CJ57,IF(CI57="",FALSE,TRUE))</formula>
    </cfRule>
    <cfRule type="expression" dxfId="94" priority="103">
      <formula>OR(IF(CI57&lt;CJ57,TRUE),IF(AND(CJ57="",CI57&lt;&gt;""),TRUE))</formula>
    </cfRule>
  </conditionalFormatting>
  <conditionalFormatting sqref="CI57:CI66 CG57:CG66">
    <cfRule type="expression" dxfId="93" priority="99">
      <formula>OR(IF(CG57&lt;CH57,TRUE),IF(AND(CH57="",CG57&lt;&gt;""),TRUE))</formula>
    </cfRule>
  </conditionalFormatting>
  <conditionalFormatting sqref="CN5:CN14 CP5:CP14 DI5:DI14 DK5:DK14 CN17:CN26 CP17:CP26 DI17:DI26 DK17:DK26 CN29:CN38 CP29:CP38 DI29:DI38 DK29:DK38 DI41:DI54 DK41:DK54 DI57:DI66 DK57:DK66">
    <cfRule type="expression" dxfId="92" priority="342">
      <formula>OR(IF(CN5&lt;CO5,TRUE),IF(AND(CO5="",CN5&lt;&gt;""),TRUE))</formula>
    </cfRule>
    <cfRule type="expression" dxfId="91" priority="343">
      <formula>IF(CN5&gt;=CO5,IF(CN5="",FALSE,TRUE))</formula>
    </cfRule>
  </conditionalFormatting>
  <conditionalFormatting sqref="CN17:CN26 CP17:CP26 DI17:DI26 DK17:DK26">
    <cfRule type="expression" dxfId="90" priority="344">
      <formula>OR(IF(CN17&lt;CO17,TRUE),IF(AND(CO17="",CN17&lt;&gt;""),TRUE))</formula>
    </cfRule>
    <cfRule type="expression" dxfId="89" priority="345">
      <formula>IF(CN17&gt;=CO17,IF(CN17="",FALSE,TRUE))</formula>
    </cfRule>
  </conditionalFormatting>
  <conditionalFormatting sqref="CN29:CN30 DI29:DI30">
    <cfRule type="expression" dxfId="88" priority="346">
      <formula>OR(IF(CN29&lt;CO29,TRUE),IF(AND(CO29="",CN29&lt;&gt;""),TRUE))</formula>
    </cfRule>
    <cfRule type="expression" dxfId="87" priority="347">
      <formula>IF(CN29&gt;=CO29,IF(CN29="",FALSE,TRUE))</formula>
    </cfRule>
  </conditionalFormatting>
  <conditionalFormatting sqref="CN41:CN42 DI41:DI42 DI57:DI58">
    <cfRule type="expression" dxfId="86" priority="351">
      <formula>IF(CN41&gt;=CO41,IF(CN41="",FALSE,TRUE))</formula>
    </cfRule>
  </conditionalFormatting>
  <conditionalFormatting sqref="CN41:CN54 CP41:CP54">
    <cfRule type="expression" dxfId="85" priority="143">
      <formula>OR(IF(CN41&lt;CO41,TRUE),IF(AND(CO41="",CN41&lt;&gt;""),TRUE))</formula>
    </cfRule>
    <cfRule type="expression" dxfId="84" priority="144">
      <formula>IF(CN41&gt;=CO41,IF(CN41="",FALSE,TRUE))</formula>
    </cfRule>
  </conditionalFormatting>
  <conditionalFormatting sqref="CN57:CN58">
    <cfRule type="expression" dxfId="83" priority="35">
      <formula>OR(IF(CN57&lt;CO57,TRUE),IF(AND(CO57="",CN57&lt;&gt;""),TRUE))</formula>
    </cfRule>
    <cfRule type="expression" dxfId="82" priority="36">
      <formula>IF(CN57&gt;=CO57,IF(CN57="",FALSE,TRUE))</formula>
    </cfRule>
    <cfRule type="expression" dxfId="81" priority="41">
      <formula>OR(IF(CN57&lt;CO57,TRUE),IF(AND(CO57="",CN57&lt;&gt;""),TRUE))</formula>
    </cfRule>
    <cfRule type="expression" dxfId="80" priority="42">
      <formula>IF(CN57&gt;=CO57,IF(CN57="",FALSE,TRUE))</formula>
    </cfRule>
  </conditionalFormatting>
  <conditionalFormatting sqref="CN57:CN66 CP57:CP66">
    <cfRule type="expression" dxfId="79" priority="40">
      <formula>IF(CN57&gt;=CO57,IF(CN57="",FALSE,TRUE))</formula>
    </cfRule>
  </conditionalFormatting>
  <conditionalFormatting sqref="CP29:CP30 DK29:DK30">
    <cfRule type="expression" dxfId="78" priority="348">
      <formula>OR(IF(CP29&lt;CQ29,TRUE),IF(AND(CQ29="",CP29&lt;&gt;""),TRUE))</formula>
    </cfRule>
    <cfRule type="expression" dxfId="77" priority="349">
      <formula>IF(CP29&gt;=CQ29,IF(CP29="",FALSE,TRUE))</formula>
    </cfRule>
  </conditionalFormatting>
  <conditionalFormatting sqref="CP41:CP42 DK41:DK42 DK57:DK58">
    <cfRule type="expression" dxfId="76" priority="353">
      <formula>IF(CP41&gt;=CQ41,IF(CP41="",FALSE,TRUE))</formula>
    </cfRule>
  </conditionalFormatting>
  <conditionalFormatting sqref="CP57:CP58">
    <cfRule type="expression" dxfId="75" priority="37">
      <formula>OR(IF(CP57&lt;CQ57,TRUE),IF(AND(CQ57="",CP57&lt;&gt;""),TRUE))</formula>
    </cfRule>
    <cfRule type="expression" dxfId="74" priority="43">
      <formula>OR(IF(CP57&lt;CQ57,TRUE),IF(AND(CQ57="",CP57&lt;&gt;""),TRUE))</formula>
    </cfRule>
    <cfRule type="expression" dxfId="73" priority="44">
      <formula>IF(CP57&gt;=CQ57,IF(CP57="",FALSE,TRUE))</formula>
    </cfRule>
    <cfRule type="expression" dxfId="72" priority="38">
      <formula>IF(CP57&gt;=CQ57,IF(CP57="",FALSE,TRUE))</formula>
    </cfRule>
  </conditionalFormatting>
  <conditionalFormatting sqref="CP57:CP66 CN57:CN66">
    <cfRule type="expression" dxfId="71" priority="39">
      <formula>OR(IF(CN57&lt;CO57,TRUE),IF(AND(CO57="",CN57&lt;&gt;""),TRUE))</formula>
    </cfRule>
  </conditionalFormatting>
  <conditionalFormatting sqref="CU5:CU14 CW5:CW14 DP5:DP14 DR5:DR14 CU17:CU26 CW17:CW26 DP17:DP26 DR17:DR26 CU29:CU38 CW29:CW38 DP29:DP38 DR29:DR38 DP41:DP54 DR41:DR54 DP57:DP66 DR57:DR66">
    <cfRule type="expression" dxfId="70" priority="359">
      <formula>IF(CU5&gt;=CV5,IF(CU5="",FALSE,TRUE))</formula>
    </cfRule>
    <cfRule type="expression" dxfId="69" priority="358">
      <formula>OR(IF(CU5&lt;CV5,TRUE),IF(AND(CV5="",CU5&lt;&gt;""),TRUE))</formula>
    </cfRule>
  </conditionalFormatting>
  <conditionalFormatting sqref="CU17:CU26 CW17:CW26 DP17:DP26 DR17:DR26">
    <cfRule type="expression" dxfId="68" priority="360">
      <formula>OR(IF(CU17&lt;CV17,TRUE),IF(AND(CV17="",CU17&lt;&gt;""),TRUE))</formula>
    </cfRule>
    <cfRule type="expression" dxfId="67" priority="361">
      <formula>IF(CU17&gt;=CV17,IF(CU17="",FALSE,TRUE))</formula>
    </cfRule>
  </conditionalFormatting>
  <conditionalFormatting sqref="CU29:CU30 DP29:DP30">
    <cfRule type="expression" dxfId="66" priority="363">
      <formula>IF(CU29&gt;=CV29,IF(CU29="",FALSE,TRUE))</formula>
    </cfRule>
    <cfRule type="expression" dxfId="65" priority="362">
      <formula>OR(IF(CU29&lt;CV29,TRUE),IF(AND(CV29="",CU29&lt;&gt;""),TRUE))</formula>
    </cfRule>
  </conditionalFormatting>
  <conditionalFormatting sqref="CU41:CU42 DP41:DP42 DP57:DP58">
    <cfRule type="expression" dxfId="64" priority="367">
      <formula>IF(CU41&gt;=CV41,IF(CU41="",FALSE,TRUE))</formula>
    </cfRule>
  </conditionalFormatting>
  <conditionalFormatting sqref="CU41:CU54 CW41:CW54">
    <cfRule type="expression" dxfId="63" priority="140">
      <formula>IF(CU41&gt;=CV41,IF(CU41="",FALSE,TRUE))</formula>
    </cfRule>
    <cfRule type="expression" dxfId="62" priority="139">
      <formula>OR(IF(CU41&lt;CV41,TRUE),IF(AND(CV41="",CU41&lt;&gt;""),TRUE))</formula>
    </cfRule>
  </conditionalFormatting>
  <conditionalFormatting sqref="CU57:CU58">
    <cfRule type="expression" dxfId="61" priority="47">
      <formula>OR(IF(CU57&lt;CV57,TRUE),IF(AND(CV57="",CU57&lt;&gt;""),TRUE))</formula>
    </cfRule>
    <cfRule type="expression" dxfId="60" priority="54">
      <formula>IF(CU57&gt;=CV57,IF(CU57="",FALSE,TRUE))</formula>
    </cfRule>
    <cfRule type="expression" dxfId="59" priority="53">
      <formula>OR(IF(CU57&lt;CV57,TRUE),IF(AND(CV57="",CU57&lt;&gt;""),TRUE))</formula>
    </cfRule>
    <cfRule type="expression" dxfId="58" priority="48">
      <formula>IF(CU57&gt;=CV57,IF(CU57="",FALSE,TRUE))</formula>
    </cfRule>
  </conditionalFormatting>
  <conditionalFormatting sqref="CU57:CU66 CW57:CW66">
    <cfRule type="expression" dxfId="57" priority="52">
      <formula>IF(CU57&gt;=CV57,IF(CU57="",FALSE,TRUE))</formula>
    </cfRule>
  </conditionalFormatting>
  <conditionalFormatting sqref="CW29:CW30 DR29:DR30">
    <cfRule type="expression" dxfId="56" priority="365">
      <formula>IF(CW29&gt;=CX29,IF(CW29="",FALSE,TRUE))</formula>
    </cfRule>
    <cfRule type="expression" dxfId="55" priority="364">
      <formula>OR(IF(CW29&lt;CX29,TRUE),IF(AND(CX29="",CW29&lt;&gt;""),TRUE))</formula>
    </cfRule>
  </conditionalFormatting>
  <conditionalFormatting sqref="CW41:CW42 DR41:DR42 DR57:DR58">
    <cfRule type="expression" dxfId="54" priority="369">
      <formula>IF(CW41&gt;=CX41,IF(CW41="",FALSE,TRUE))</formula>
    </cfRule>
  </conditionalFormatting>
  <conditionalFormatting sqref="CW57:CW58">
    <cfRule type="expression" dxfId="53" priority="50">
      <formula>IF(CW57&gt;=CX57,IF(CW57="",FALSE,TRUE))</formula>
    </cfRule>
    <cfRule type="expression" dxfId="52" priority="55">
      <formula>OR(IF(CW57&lt;CX57,TRUE),IF(AND(CX57="",CW57&lt;&gt;""),TRUE))</formula>
    </cfRule>
    <cfRule type="expression" dxfId="51" priority="56">
      <formula>IF(CW57&gt;=CX57,IF(CW57="",FALSE,TRUE))</formula>
    </cfRule>
    <cfRule type="expression" dxfId="50" priority="49">
      <formula>OR(IF(CW57&lt;CX57,TRUE),IF(AND(CX57="",CW57&lt;&gt;""),TRUE))</formula>
    </cfRule>
  </conditionalFormatting>
  <conditionalFormatting sqref="CW57:CW66 CU57:CU66">
    <cfRule type="expression" dxfId="49" priority="51">
      <formula>OR(IF(CU57&lt;CV57,TRUE),IF(AND(CV57="",CU57&lt;&gt;""),TRUE))</formula>
    </cfRule>
  </conditionalFormatting>
  <conditionalFormatting sqref="DB5:DB14 DD5:DD14 DB17:DB26 DD17:DD26 DB29:DB38 DD29:DD38">
    <cfRule type="expression" dxfId="48" priority="374">
      <formula>OR(IF(DB5&lt;DC5,TRUE),IF(AND(DC5="",DB5&lt;&gt;""),TRUE))</formula>
    </cfRule>
    <cfRule type="expression" dxfId="47" priority="375">
      <formula>IF(DB5&gt;=DC5,IF(DB5="",FALSE,TRUE))</formula>
    </cfRule>
  </conditionalFormatting>
  <conditionalFormatting sqref="DB17:DB26 DD17:DD26">
    <cfRule type="expression" dxfId="46" priority="376">
      <formula>OR(IF(DB17&lt;DC17,TRUE),IF(AND(DC17="",DB17&lt;&gt;""),TRUE))</formula>
    </cfRule>
    <cfRule type="expression" dxfId="45" priority="377">
      <formula>IF(DB17&gt;=DC17,IF(DB17="",FALSE,TRUE))</formula>
    </cfRule>
  </conditionalFormatting>
  <conditionalFormatting sqref="DB29:DB30">
    <cfRule type="expression" dxfId="44" priority="379">
      <formula>IF(DB29&gt;=DC29,IF(DB29="",FALSE,TRUE))</formula>
    </cfRule>
    <cfRule type="expression" dxfId="43" priority="378">
      <formula>OR(IF(DB29&lt;DC29,TRUE),IF(AND(DC29="",DB29&lt;&gt;""),TRUE))</formula>
    </cfRule>
  </conditionalFormatting>
  <conditionalFormatting sqref="DB41:DB42">
    <cfRule type="expression" dxfId="42" priority="382">
      <formula>OR(IF(DB41&lt;DC41,TRUE),IF(AND(DC41="",DB41&lt;&gt;""),TRUE))</formula>
    </cfRule>
    <cfRule type="expression" dxfId="41" priority="383">
      <formula>IF(DB41&gt;=DC41,IF(DB41="",FALSE,TRUE))</formula>
    </cfRule>
  </conditionalFormatting>
  <conditionalFormatting sqref="DB41:DB54 DD41:DD54">
    <cfRule type="expression" dxfId="40" priority="137">
      <formula>OR(IF(DB41&lt;DC41,TRUE),IF(AND(DC41="",DB41&lt;&gt;""),TRUE))</formula>
    </cfRule>
    <cfRule type="expression" dxfId="39" priority="138">
      <formula>IF(DB41&gt;=DC41,IF(DB41="",FALSE,TRUE))</formula>
    </cfRule>
  </conditionalFormatting>
  <conditionalFormatting sqref="DB57:DB58">
    <cfRule type="expression" dxfId="38" priority="59">
      <formula>OR(IF(DB57&lt;DC57,TRUE),IF(AND(DC57="",DB57&lt;&gt;""),TRUE))</formula>
    </cfRule>
    <cfRule type="expression" dxfId="37" priority="60">
      <formula>IF(DB57&gt;=DC57,IF(DB57="",FALSE,TRUE))</formula>
    </cfRule>
    <cfRule type="expression" dxfId="36" priority="66">
      <formula>IF(DB57&gt;=DC57,IF(DB57="",FALSE,TRUE))</formula>
    </cfRule>
    <cfRule type="expression" dxfId="35" priority="65">
      <formula>OR(IF(DB57&lt;DC57,TRUE),IF(AND(DC57="",DB57&lt;&gt;""),TRUE))</formula>
    </cfRule>
  </conditionalFormatting>
  <conditionalFormatting sqref="DB57:DB66 DD57:DD66">
    <cfRule type="expression" dxfId="34" priority="64">
      <formula>IF(DB57&gt;=DC57,IF(DB57="",FALSE,TRUE))</formula>
    </cfRule>
  </conditionalFormatting>
  <conditionalFormatting sqref="DD29:DD30">
    <cfRule type="expression" dxfId="33" priority="380">
      <formula>OR(IF(DD29&lt;DE29,TRUE),IF(AND(DE29="",DD29&lt;&gt;""),TRUE))</formula>
    </cfRule>
    <cfRule type="expression" dxfId="32" priority="381">
      <formula>IF(DD29&gt;=DE29,IF(DD29="",FALSE,TRUE))</formula>
    </cfRule>
  </conditionalFormatting>
  <conditionalFormatting sqref="DD41:DD42">
    <cfRule type="expression" dxfId="31" priority="384">
      <formula>OR(IF(DD41&lt;DE41,TRUE),IF(AND(DE41="",DD41&lt;&gt;""),TRUE))</formula>
    </cfRule>
    <cfRule type="expression" dxfId="30" priority="385">
      <formula>IF(DD41&gt;=DE41,IF(DD41="",FALSE,TRUE))</formula>
    </cfRule>
  </conditionalFormatting>
  <conditionalFormatting sqref="DD57:DD58">
    <cfRule type="expression" dxfId="29" priority="68">
      <formula>IF(DD57&gt;=DE57,IF(DD57="",FALSE,TRUE))</formula>
    </cfRule>
    <cfRule type="expression" dxfId="28" priority="67">
      <formula>OR(IF(DD57&lt;DE57,TRUE),IF(AND(DE57="",DD57&lt;&gt;""),TRUE))</formula>
    </cfRule>
    <cfRule type="expression" dxfId="27" priority="61">
      <formula>OR(IF(DD57&lt;DE57,TRUE),IF(AND(DE57="",DD57&lt;&gt;""),TRUE))</formula>
    </cfRule>
    <cfRule type="expression" dxfId="26" priority="62">
      <formula>IF(DD57&gt;=DE57,IF(DD57="",FALSE,TRUE))</formula>
    </cfRule>
  </conditionalFormatting>
  <conditionalFormatting sqref="DD57:DD66 DB57:DB66">
    <cfRule type="expression" dxfId="25" priority="63">
      <formula>OR(IF(DB57&lt;DC57,TRUE),IF(AND(DC57="",DB57&lt;&gt;""),TRUE))</formula>
    </cfRule>
  </conditionalFormatting>
  <conditionalFormatting sqref="DI41:DI42 DI57:DI58 CN41:CN42">
    <cfRule type="expression" dxfId="24" priority="350">
      <formula>OR(IF(CN41&lt;CO41,TRUE),IF(AND(CO41="",CN41&lt;&gt;""),TRUE))</formula>
    </cfRule>
  </conditionalFormatting>
  <conditionalFormatting sqref="DK41:DK42 DK57:DK58 CP41:CP42">
    <cfRule type="expression" dxfId="23" priority="352">
      <formula>OR(IF(CP41&lt;CQ41,TRUE),IF(AND(CQ41="",CP41&lt;&gt;""),TRUE))</formula>
    </cfRule>
  </conditionalFormatting>
  <conditionalFormatting sqref="DP41:DP42 DP57:DP58 CU41:CU42">
    <cfRule type="expression" dxfId="22" priority="366">
      <formula>OR(IF(CU41&lt;CV41,TRUE),IF(AND(CV41="",CU41&lt;&gt;""),TRUE))</formula>
    </cfRule>
  </conditionalFormatting>
  <conditionalFormatting sqref="DR41:DR42 DR57:DR58 CW41:CW42">
    <cfRule type="expression" dxfId="21" priority="368">
      <formula>OR(IF(CW41&lt;CX41,TRUE),IF(AND(CX41="",CW41&lt;&gt;""),TRUE))</formula>
    </cfRule>
  </conditionalFormatting>
  <conditionalFormatting sqref="DW5:DW14 DY5:DY14 DW17:DW26 DY17:DY26 DW29:DW38 DY29:DY38 DW41:DW54 DY41:DY54 DW57:DW66 DY57:DY66">
    <cfRule type="expression" dxfId="20" priority="150">
      <formula>IF(DW5&gt;=DX5,IF(DW5="",FALSE,TRUE))</formula>
    </cfRule>
    <cfRule type="expression" dxfId="19" priority="149">
      <formula>OR(IF(DW5&lt;DX5,TRUE),IF(AND(DX5="",DW5&lt;&gt;""),TRUE))</formula>
    </cfRule>
  </conditionalFormatting>
  <conditionalFormatting sqref="DW17:DW26 DY17:DY26">
    <cfRule type="expression" dxfId="18" priority="152">
      <formula>IF(DW17&gt;=DX17,IF(DW17="",FALSE,TRUE))</formula>
    </cfRule>
    <cfRule type="expression" dxfId="17" priority="151">
      <formula>OR(IF(DW17&lt;DX17,TRUE),IF(AND(DX17="",DW17&lt;&gt;""),TRUE))</formula>
    </cfRule>
  </conditionalFormatting>
  <conditionalFormatting sqref="DW29:DW30">
    <cfRule type="expression" dxfId="16" priority="153">
      <formula>OR(IF(DW29&lt;DX29,TRUE),IF(AND(DX29="",DW29&lt;&gt;""),TRUE))</formula>
    </cfRule>
    <cfRule type="expression" dxfId="15" priority="154">
      <formula>IF(DW29&gt;=DX29,IF(DW29="",FALSE,TRUE))</formula>
    </cfRule>
  </conditionalFormatting>
  <conditionalFormatting sqref="DW41:DW42 DW57:DW58">
    <cfRule type="expression" dxfId="14" priority="157">
      <formula>OR(IF(DW41&lt;DX41,TRUE),IF(AND(DX41="",DW41&lt;&gt;""),TRUE))</formula>
    </cfRule>
    <cfRule type="expression" dxfId="13" priority="158">
      <formula>IF(DW41&gt;=DX41,IF(DW41="",FALSE,TRUE))</formula>
    </cfRule>
  </conditionalFormatting>
  <conditionalFormatting sqref="DY29:DY30">
    <cfRule type="expression" dxfId="12" priority="156">
      <formula>IF(DY29&gt;=DZ29,IF(DY29="",FALSE,TRUE))</formula>
    </cfRule>
    <cfRule type="expression" dxfId="11" priority="155">
      <formula>OR(IF(DY29&lt;DZ29,TRUE),IF(AND(DZ29="",DY29&lt;&gt;""),TRUE))</formula>
    </cfRule>
  </conditionalFormatting>
  <conditionalFormatting sqref="DY41:DY42 DY57:DY58">
    <cfRule type="expression" dxfId="10" priority="159">
      <formula>OR(IF(DY41&lt;DZ41,TRUE),IF(AND(DZ41="",DY41&lt;&gt;""),TRUE))</formula>
    </cfRule>
    <cfRule type="expression" dxfId="9" priority="160">
      <formula>IF(DY41&gt;=DZ41,IF(DY41="",FALSE,TRUE))</formula>
    </cfRule>
  </conditionalFormatting>
  <dataValidations count="1">
    <dataValidation type="list" allowBlank="1" showErrorMessage="1" sqref="AQ29:AT38 O5:R14 V5:Y14 AC5:AF14 AJ5:AM14 AQ5:AT14 BL5:BO14 BS5:BV14 BZ5:CC14 CG5:CJ14 CN5:CQ14 CU5:CX14 DB5:DE14 DI5:DL14 DP5:DS14 O17:R26 AX5:BA14 V17:Y26 AC17:AF26 AJ17:AM26 AX17:BA26 BE5:BH14 BL17:BO26 BS17:BV26 BZ17:CC26 CG17:CJ26 CN17:CQ26 CU17:CX26 DB17:DE26 DI17:DL26 DP17:DS26 O29:R38 BS57:BV66 V29:Y38 AC29:AF38 BE17:BH26 AX29:BA38 BE29:BH38 BL29:BO38 BS29:BV38 BZ29:CC38 CG29:CJ38 CN29:CQ38 CU29:CX38 DB29:DE38 DI29:DL38 DP29:DS38 O41:R54 V41:Y54 AC41:AF54 AQ41:AT54 AX41:BA54 BE41:BH54 BL41:BO54 BS41:BV54 BZ41:CC54 CG41:CJ54 CN41:CQ54 CU41:CX54 DI41:DL54 DP41:DS54 AJ41:AM54 AJ29:AM38 DB41:DE54 DW5:DZ14 DW17:DZ26 DW29:DZ38 DW41:DZ54 BE57:BH66 DP57:DS66 DI57:DL66 DB57:DE66 CU57:CX66 CG57:CJ66 BZ57:CC66 BL57:BO66 AX57:BA66 AQ57:AT66 AJ57:AM66 AC57:AF66 V57:Y66 O57:R66 CN57:CQ66 DW57:DZ66 AQ17:AT26" xr:uid="{00000000-0002-0000-0100-000000000000}">
      <formula1>"10%,20%,30%,40%,50%,60%,70%,80%,90%,100%"</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000"/>
  <sheetViews>
    <sheetView workbookViewId="0"/>
  </sheetViews>
  <sheetFormatPr baseColWidth="10" defaultColWidth="11.1640625" defaultRowHeight="15" customHeight="1" x14ac:dyDescent="0.2"/>
  <cols>
    <col min="1" max="1" width="8.33203125" customWidth="1"/>
    <col min="2" max="2" width="125.1640625" customWidth="1"/>
    <col min="3" max="3" width="8.5" customWidth="1"/>
    <col min="4" max="26" width="8.33203125" customWidth="1"/>
  </cols>
  <sheetData>
    <row r="1" spans="2:3" ht="15.75" customHeight="1" x14ac:dyDescent="0.2">
      <c r="C1" s="1"/>
    </row>
    <row r="2" spans="2:3" ht="15.75" customHeight="1" x14ac:dyDescent="0.2">
      <c r="C2" s="1"/>
    </row>
    <row r="3" spans="2:3" ht="15.75" customHeight="1" x14ac:dyDescent="0.2">
      <c r="C3" s="1"/>
    </row>
    <row r="4" spans="2:3" ht="15.75" customHeight="1" x14ac:dyDescent="0.25">
      <c r="B4" s="3" t="s">
        <v>1</v>
      </c>
      <c r="C4" s="1"/>
    </row>
    <row r="5" spans="2:3" ht="15.75" customHeight="1" x14ac:dyDescent="0.2">
      <c r="C5" s="1"/>
    </row>
    <row r="6" spans="2:3" ht="15.75" customHeight="1" x14ac:dyDescent="0.2">
      <c r="B6" s="5" t="s">
        <v>3</v>
      </c>
      <c r="C6" s="1"/>
    </row>
    <row r="7" spans="2:3" ht="15.75" customHeight="1" x14ac:dyDescent="0.2">
      <c r="B7" s="7" t="s">
        <v>5</v>
      </c>
      <c r="C7" s="1"/>
    </row>
    <row r="8" spans="2:3" ht="15.75" customHeight="1" x14ac:dyDescent="0.2">
      <c r="C8" s="1"/>
    </row>
    <row r="9" spans="2:3" ht="15.75" customHeight="1" x14ac:dyDescent="0.2">
      <c r="B9" s="5" t="s">
        <v>7</v>
      </c>
      <c r="C9" s="1"/>
    </row>
    <row r="10" spans="2:3" ht="15.75" customHeight="1" x14ac:dyDescent="0.2">
      <c r="B10" s="7" t="s">
        <v>11</v>
      </c>
      <c r="C10" s="1"/>
    </row>
    <row r="11" spans="2:3" ht="15.75" customHeight="1" x14ac:dyDescent="0.2">
      <c r="C11" s="1"/>
    </row>
    <row r="12" spans="2:3" ht="15.75" customHeight="1" x14ac:dyDescent="0.2">
      <c r="B12" s="5" t="s">
        <v>13</v>
      </c>
      <c r="C12" s="1"/>
    </row>
    <row r="13" spans="2:3" ht="15.75" customHeight="1" x14ac:dyDescent="0.2">
      <c r="B13" s="7" t="s">
        <v>17</v>
      </c>
      <c r="C13" s="1"/>
    </row>
    <row r="14" spans="2:3" ht="15.75" customHeight="1" x14ac:dyDescent="0.2">
      <c r="C14" s="1"/>
    </row>
    <row r="15" spans="2:3" ht="15.75" customHeight="1" x14ac:dyDescent="0.2">
      <c r="B15" s="5" t="s">
        <v>20</v>
      </c>
      <c r="C15" s="1"/>
    </row>
    <row r="16" spans="2:3" ht="15.75" customHeight="1" x14ac:dyDescent="0.2">
      <c r="B16" s="7" t="s">
        <v>21</v>
      </c>
      <c r="C16" s="1"/>
    </row>
    <row r="17" spans="2:3" ht="15.75" customHeight="1" x14ac:dyDescent="0.2">
      <c r="B17" s="7"/>
      <c r="C17" s="1"/>
    </row>
    <row r="18" spans="2:3" ht="15.75" customHeight="1" x14ac:dyDescent="0.2">
      <c r="B18" s="5" t="s">
        <v>25</v>
      </c>
      <c r="C18" s="1"/>
    </row>
    <row r="19" spans="2:3" ht="15.75" customHeight="1" x14ac:dyDescent="0.2">
      <c r="B19" s="7" t="s">
        <v>30</v>
      </c>
      <c r="C19" s="1"/>
    </row>
    <row r="20" spans="2:3" ht="15.75" customHeight="1" x14ac:dyDescent="0.2">
      <c r="C20" s="1"/>
    </row>
    <row r="21" spans="2:3" ht="15.75" customHeight="1" x14ac:dyDescent="0.2">
      <c r="B21" s="5" t="s">
        <v>35</v>
      </c>
      <c r="C21" s="1"/>
    </row>
    <row r="22" spans="2:3" ht="15.75" customHeight="1" x14ac:dyDescent="0.2">
      <c r="B22" s="7" t="s">
        <v>39</v>
      </c>
      <c r="C22" s="1"/>
    </row>
    <row r="23" spans="2:3" ht="15.75" customHeight="1" x14ac:dyDescent="0.2">
      <c r="C23" s="1"/>
    </row>
    <row r="24" spans="2:3" ht="15.75" customHeight="1" x14ac:dyDescent="0.2">
      <c r="B24" s="5" t="s">
        <v>41</v>
      </c>
      <c r="C24" s="1"/>
    </row>
    <row r="25" spans="2:3" ht="15.75" customHeight="1" x14ac:dyDescent="0.2">
      <c r="B25" s="7" t="s">
        <v>42</v>
      </c>
      <c r="C25" s="1"/>
    </row>
    <row r="26" spans="2:3" ht="15.75" customHeight="1" x14ac:dyDescent="0.2">
      <c r="C26" s="1"/>
    </row>
    <row r="27" spans="2:3" ht="15.75" customHeight="1" x14ac:dyDescent="0.2">
      <c r="C27" s="1"/>
    </row>
    <row r="28" spans="2:3" ht="15.75" customHeight="1" x14ac:dyDescent="0.2">
      <c r="C28" s="1"/>
    </row>
    <row r="29" spans="2:3" ht="15.75" customHeight="1" x14ac:dyDescent="0.2">
      <c r="C29" s="1"/>
    </row>
    <row r="30" spans="2:3" ht="15.75" customHeight="1" x14ac:dyDescent="0.2">
      <c r="C30" s="1"/>
    </row>
    <row r="31" spans="2:3" ht="15.75" customHeight="1" x14ac:dyDescent="0.2">
      <c r="C31" s="1"/>
    </row>
    <row r="32" spans="2:3" ht="15.75" customHeight="1" x14ac:dyDescent="0.2">
      <c r="C32" s="1"/>
    </row>
    <row r="33" spans="3:3" ht="15.75" customHeight="1" x14ac:dyDescent="0.2">
      <c r="C33" s="1"/>
    </row>
    <row r="34" spans="3:3" ht="15.75" customHeight="1" x14ac:dyDescent="0.2">
      <c r="C34" s="1"/>
    </row>
    <row r="35" spans="3:3" ht="15.75" customHeight="1" x14ac:dyDescent="0.2">
      <c r="C35" s="1"/>
    </row>
    <row r="36" spans="3:3" ht="15.75" customHeight="1" x14ac:dyDescent="0.2">
      <c r="C36" s="1"/>
    </row>
    <row r="37" spans="3:3" ht="15.75" customHeight="1" x14ac:dyDescent="0.2">
      <c r="C37" s="1"/>
    </row>
    <row r="38" spans="3:3" ht="15.75" customHeight="1" x14ac:dyDescent="0.2">
      <c r="C38" s="1"/>
    </row>
    <row r="39" spans="3:3" ht="15.75" customHeight="1" x14ac:dyDescent="0.2">
      <c r="C39" s="1"/>
    </row>
    <row r="40" spans="3:3" ht="15.75" customHeight="1" x14ac:dyDescent="0.2">
      <c r="C40" s="1"/>
    </row>
    <row r="41" spans="3:3" ht="15.75" customHeight="1" x14ac:dyDescent="0.2">
      <c r="C41" s="1"/>
    </row>
    <row r="42" spans="3:3" ht="15.75" customHeight="1" x14ac:dyDescent="0.2">
      <c r="C42" s="1"/>
    </row>
    <row r="43" spans="3:3" ht="15.75" customHeight="1" x14ac:dyDescent="0.2">
      <c r="C43" s="1"/>
    </row>
    <row r="44" spans="3:3" ht="15.75" customHeight="1" x14ac:dyDescent="0.2">
      <c r="C44" s="1"/>
    </row>
    <row r="45" spans="3:3" ht="15.75" customHeight="1" x14ac:dyDescent="0.2">
      <c r="C45" s="1"/>
    </row>
    <row r="46" spans="3:3" ht="15.75" customHeight="1" x14ac:dyDescent="0.2">
      <c r="C46" s="1"/>
    </row>
    <row r="47" spans="3:3" ht="15.75" customHeight="1" x14ac:dyDescent="0.2">
      <c r="C47" s="1"/>
    </row>
    <row r="48" spans="3:3" ht="15.75" customHeight="1" x14ac:dyDescent="0.2">
      <c r="C48" s="1"/>
    </row>
    <row r="49" spans="3:3" ht="15.75" customHeight="1" x14ac:dyDescent="0.2">
      <c r="C49" s="1"/>
    </row>
    <row r="50" spans="3:3" ht="15.75" customHeight="1" x14ac:dyDescent="0.2">
      <c r="C50" s="1"/>
    </row>
    <row r="51" spans="3:3" ht="15.75" customHeight="1" x14ac:dyDescent="0.2">
      <c r="C51" s="1"/>
    </row>
    <row r="52" spans="3:3" ht="15.75" customHeight="1" x14ac:dyDescent="0.2">
      <c r="C52" s="1"/>
    </row>
    <row r="53" spans="3:3" ht="15.75" customHeight="1" x14ac:dyDescent="0.2">
      <c r="C53" s="1"/>
    </row>
    <row r="54" spans="3:3" ht="15.75" customHeight="1" x14ac:dyDescent="0.2">
      <c r="C54" s="1"/>
    </row>
    <row r="55" spans="3:3" ht="15.75" customHeight="1" x14ac:dyDescent="0.2">
      <c r="C55" s="1"/>
    </row>
    <row r="56" spans="3:3" ht="15.75" customHeight="1" x14ac:dyDescent="0.2">
      <c r="C56" s="1"/>
    </row>
    <row r="57" spans="3:3" ht="15.75" customHeight="1" x14ac:dyDescent="0.2">
      <c r="C57" s="1"/>
    </row>
    <row r="58" spans="3:3" ht="15.75" customHeight="1" x14ac:dyDescent="0.2">
      <c r="C58" s="1"/>
    </row>
    <row r="59" spans="3:3" ht="15.75" customHeight="1" x14ac:dyDescent="0.2">
      <c r="C59" s="1"/>
    </row>
    <row r="60" spans="3:3" ht="15.75" customHeight="1" x14ac:dyDescent="0.2">
      <c r="C60" s="1"/>
    </row>
    <row r="61" spans="3:3" ht="15.75" customHeight="1" x14ac:dyDescent="0.2">
      <c r="C61" s="1"/>
    </row>
    <row r="62" spans="3:3" ht="15.75" customHeight="1" x14ac:dyDescent="0.2">
      <c r="C62" s="1"/>
    </row>
    <row r="63" spans="3:3" ht="15.75" customHeight="1" x14ac:dyDescent="0.2">
      <c r="C63" s="1"/>
    </row>
    <row r="64" spans="3:3" ht="15.75" customHeight="1" x14ac:dyDescent="0.2">
      <c r="C64" s="1"/>
    </row>
    <row r="65" spans="3:3" ht="15.75" customHeight="1" x14ac:dyDescent="0.2">
      <c r="C65" s="1"/>
    </row>
    <row r="66" spans="3:3" ht="15.75" customHeight="1" x14ac:dyDescent="0.2">
      <c r="C66" s="1"/>
    </row>
    <row r="67" spans="3:3" ht="15.75" customHeight="1" x14ac:dyDescent="0.2">
      <c r="C67" s="1"/>
    </row>
    <row r="68" spans="3:3" ht="15.75" customHeight="1" x14ac:dyDescent="0.2">
      <c r="C68" s="1"/>
    </row>
    <row r="69" spans="3:3" ht="15.75" customHeight="1" x14ac:dyDescent="0.2">
      <c r="C69" s="1"/>
    </row>
    <row r="70" spans="3:3" ht="15.75" customHeight="1" x14ac:dyDescent="0.2">
      <c r="C70" s="1"/>
    </row>
    <row r="71" spans="3:3" ht="15.75" customHeight="1" x14ac:dyDescent="0.2">
      <c r="C71" s="1"/>
    </row>
    <row r="72" spans="3:3" ht="15.75" customHeight="1" x14ac:dyDescent="0.2">
      <c r="C72" s="1"/>
    </row>
    <row r="73" spans="3:3" ht="15.75" customHeight="1" x14ac:dyDescent="0.2">
      <c r="C73" s="1"/>
    </row>
    <row r="74" spans="3:3" ht="15.75" customHeight="1" x14ac:dyDescent="0.2">
      <c r="C74" s="1"/>
    </row>
    <row r="75" spans="3:3" ht="15.75" customHeight="1" x14ac:dyDescent="0.2">
      <c r="C75" s="1"/>
    </row>
    <row r="76" spans="3:3" ht="15.75" customHeight="1" x14ac:dyDescent="0.2">
      <c r="C76" s="1"/>
    </row>
    <row r="77" spans="3:3" ht="15.75" customHeight="1" x14ac:dyDescent="0.2">
      <c r="C77" s="1"/>
    </row>
    <row r="78" spans="3:3" ht="15.75" customHeight="1" x14ac:dyDescent="0.2">
      <c r="C78" s="1"/>
    </row>
    <row r="79" spans="3:3" ht="15.75" customHeight="1" x14ac:dyDescent="0.2">
      <c r="C79" s="1"/>
    </row>
    <row r="80" spans="3:3" ht="15.75" customHeight="1" x14ac:dyDescent="0.2">
      <c r="C80" s="1"/>
    </row>
    <row r="81" spans="3:3" ht="15.75" customHeight="1" x14ac:dyDescent="0.2">
      <c r="C81" s="1"/>
    </row>
    <row r="82" spans="3:3" ht="15.75" customHeight="1" x14ac:dyDescent="0.2">
      <c r="C82" s="1"/>
    </row>
    <row r="83" spans="3:3" ht="15.75" customHeight="1" x14ac:dyDescent="0.2">
      <c r="C83" s="1"/>
    </row>
    <row r="84" spans="3:3" ht="15.75" customHeight="1" x14ac:dyDescent="0.2">
      <c r="C84" s="1"/>
    </row>
    <row r="85" spans="3:3" ht="15.75" customHeight="1" x14ac:dyDescent="0.2">
      <c r="C85" s="1"/>
    </row>
    <row r="86" spans="3:3" ht="15.75" customHeight="1" x14ac:dyDescent="0.2">
      <c r="C86" s="1"/>
    </row>
    <row r="87" spans="3:3" ht="15.75" customHeight="1" x14ac:dyDescent="0.2">
      <c r="C87" s="1"/>
    </row>
    <row r="88" spans="3:3" ht="15.75" customHeight="1" x14ac:dyDescent="0.2">
      <c r="C88" s="1"/>
    </row>
    <row r="89" spans="3:3" ht="15.75" customHeight="1" x14ac:dyDescent="0.2">
      <c r="C89" s="1"/>
    </row>
    <row r="90" spans="3:3" ht="15.75" customHeight="1" x14ac:dyDescent="0.2">
      <c r="C90" s="1"/>
    </row>
    <row r="91" spans="3:3" ht="15.75" customHeight="1" x14ac:dyDescent="0.2">
      <c r="C91" s="1"/>
    </row>
    <row r="92" spans="3:3" ht="15.75" customHeight="1" x14ac:dyDescent="0.2">
      <c r="C92" s="1"/>
    </row>
    <row r="93" spans="3:3" ht="15.75" customHeight="1" x14ac:dyDescent="0.2">
      <c r="C93" s="1"/>
    </row>
    <row r="94" spans="3:3" ht="15.75" customHeight="1" x14ac:dyDescent="0.2">
      <c r="C94" s="1"/>
    </row>
    <row r="95" spans="3:3" ht="15.75" customHeight="1" x14ac:dyDescent="0.2">
      <c r="C95" s="1"/>
    </row>
    <row r="96" spans="3:3" ht="15.75" customHeight="1" x14ac:dyDescent="0.2">
      <c r="C96" s="1"/>
    </row>
    <row r="97" spans="3:3" ht="15.75" customHeight="1" x14ac:dyDescent="0.2">
      <c r="C97" s="1"/>
    </row>
    <row r="98" spans="3:3" ht="15.75" customHeight="1" x14ac:dyDescent="0.2">
      <c r="C98" s="1"/>
    </row>
    <row r="99" spans="3:3" ht="15.75" customHeight="1" x14ac:dyDescent="0.2">
      <c r="C99" s="1"/>
    </row>
    <row r="100" spans="3:3" ht="15.75" customHeight="1" x14ac:dyDescent="0.2">
      <c r="C100" s="1"/>
    </row>
    <row r="101" spans="3:3" ht="15.75" customHeight="1" x14ac:dyDescent="0.2">
      <c r="C101" s="1"/>
    </row>
    <row r="102" spans="3:3" ht="15.75" customHeight="1" x14ac:dyDescent="0.2">
      <c r="C102" s="1"/>
    </row>
    <row r="103" spans="3:3" ht="15.75" customHeight="1" x14ac:dyDescent="0.2">
      <c r="C103" s="1"/>
    </row>
    <row r="104" spans="3:3" ht="15.75" customHeight="1" x14ac:dyDescent="0.2">
      <c r="C104" s="1"/>
    </row>
    <row r="105" spans="3:3" ht="15.75" customHeight="1" x14ac:dyDescent="0.2">
      <c r="C105" s="1"/>
    </row>
    <row r="106" spans="3:3" ht="15.75" customHeight="1" x14ac:dyDescent="0.2">
      <c r="C106" s="1"/>
    </row>
    <row r="107" spans="3:3" ht="15.75" customHeight="1" x14ac:dyDescent="0.2">
      <c r="C107" s="1"/>
    </row>
    <row r="108" spans="3:3" ht="15.75" customHeight="1" x14ac:dyDescent="0.2">
      <c r="C108" s="1"/>
    </row>
    <row r="109" spans="3:3" ht="15.75" customHeight="1" x14ac:dyDescent="0.2">
      <c r="C109" s="1"/>
    </row>
    <row r="110" spans="3:3" ht="15.75" customHeight="1" x14ac:dyDescent="0.2">
      <c r="C110" s="1"/>
    </row>
    <row r="111" spans="3:3" ht="15.75" customHeight="1" x14ac:dyDescent="0.2">
      <c r="C111" s="1"/>
    </row>
    <row r="112" spans="3:3" ht="15.75" customHeight="1" x14ac:dyDescent="0.2">
      <c r="C112" s="1"/>
    </row>
    <row r="113" spans="3:3" ht="15.75" customHeight="1" x14ac:dyDescent="0.2">
      <c r="C113" s="1"/>
    </row>
    <row r="114" spans="3:3" ht="15.75" customHeight="1" x14ac:dyDescent="0.2">
      <c r="C114" s="1"/>
    </row>
    <row r="115" spans="3:3" ht="15.75" customHeight="1" x14ac:dyDescent="0.2">
      <c r="C115" s="1"/>
    </row>
    <row r="116" spans="3:3" ht="15.75" customHeight="1" x14ac:dyDescent="0.2">
      <c r="C116" s="1"/>
    </row>
    <row r="117" spans="3:3" ht="15.75" customHeight="1" x14ac:dyDescent="0.2">
      <c r="C117" s="1"/>
    </row>
    <row r="118" spans="3:3" ht="15.75" customHeight="1" x14ac:dyDescent="0.2">
      <c r="C118" s="1"/>
    </row>
    <row r="119" spans="3:3" ht="15.75" customHeight="1" x14ac:dyDescent="0.2">
      <c r="C119" s="1"/>
    </row>
    <row r="120" spans="3:3" ht="15.75" customHeight="1" x14ac:dyDescent="0.2">
      <c r="C120" s="1"/>
    </row>
    <row r="121" spans="3:3" ht="15.75" customHeight="1" x14ac:dyDescent="0.2">
      <c r="C121" s="1"/>
    </row>
    <row r="122" spans="3:3" ht="15.75" customHeight="1" x14ac:dyDescent="0.2">
      <c r="C122" s="1"/>
    </row>
    <row r="123" spans="3:3" ht="15.75" customHeight="1" x14ac:dyDescent="0.2">
      <c r="C123" s="1"/>
    </row>
    <row r="124" spans="3:3" ht="15.75" customHeight="1" x14ac:dyDescent="0.2">
      <c r="C124" s="1"/>
    </row>
    <row r="125" spans="3:3" ht="15.75" customHeight="1" x14ac:dyDescent="0.2">
      <c r="C125" s="1"/>
    </row>
    <row r="126" spans="3:3" ht="15.75" customHeight="1" x14ac:dyDescent="0.2">
      <c r="C126" s="1"/>
    </row>
    <row r="127" spans="3:3" ht="15.75" customHeight="1" x14ac:dyDescent="0.2">
      <c r="C127" s="1"/>
    </row>
    <row r="128" spans="3:3" ht="15.75" customHeight="1" x14ac:dyDescent="0.2">
      <c r="C128" s="1"/>
    </row>
    <row r="129" spans="3:3" ht="15.75" customHeight="1" x14ac:dyDescent="0.2">
      <c r="C129" s="1"/>
    </row>
    <row r="130" spans="3:3" ht="15.75" customHeight="1" x14ac:dyDescent="0.2">
      <c r="C130" s="1"/>
    </row>
    <row r="131" spans="3:3" ht="15.75" customHeight="1" x14ac:dyDescent="0.2">
      <c r="C131" s="1"/>
    </row>
    <row r="132" spans="3:3" ht="15.75" customHeight="1" x14ac:dyDescent="0.2">
      <c r="C132" s="1"/>
    </row>
    <row r="133" spans="3:3" ht="15.75" customHeight="1" x14ac:dyDescent="0.2">
      <c r="C133" s="1"/>
    </row>
    <row r="134" spans="3:3" ht="15.75" customHeight="1" x14ac:dyDescent="0.2">
      <c r="C134" s="1"/>
    </row>
    <row r="135" spans="3:3" ht="15.75" customHeight="1" x14ac:dyDescent="0.2">
      <c r="C135" s="1"/>
    </row>
    <row r="136" spans="3:3" ht="15.75" customHeight="1" x14ac:dyDescent="0.2">
      <c r="C136" s="1"/>
    </row>
    <row r="137" spans="3:3" ht="15.75" customHeight="1" x14ac:dyDescent="0.2">
      <c r="C137" s="1"/>
    </row>
    <row r="138" spans="3:3" ht="15.75" customHeight="1" x14ac:dyDescent="0.2">
      <c r="C138" s="1"/>
    </row>
    <row r="139" spans="3:3" ht="15.75" customHeight="1" x14ac:dyDescent="0.2">
      <c r="C139" s="1"/>
    </row>
    <row r="140" spans="3:3" ht="15.75" customHeight="1" x14ac:dyDescent="0.2">
      <c r="C140" s="1"/>
    </row>
    <row r="141" spans="3:3" ht="15.75" customHeight="1" x14ac:dyDescent="0.2">
      <c r="C141" s="1"/>
    </row>
    <row r="142" spans="3:3" ht="15.75" customHeight="1" x14ac:dyDescent="0.2">
      <c r="C142" s="1"/>
    </row>
    <row r="143" spans="3:3" ht="15.75" customHeight="1" x14ac:dyDescent="0.2">
      <c r="C143" s="1"/>
    </row>
    <row r="144" spans="3:3" ht="15.75" customHeight="1" x14ac:dyDescent="0.2">
      <c r="C144" s="1"/>
    </row>
    <row r="145" spans="3:3" ht="15.75" customHeight="1" x14ac:dyDescent="0.2">
      <c r="C145" s="1"/>
    </row>
    <row r="146" spans="3:3" ht="15.75" customHeight="1" x14ac:dyDescent="0.2">
      <c r="C146" s="1"/>
    </row>
    <row r="147" spans="3:3" ht="15.75" customHeight="1" x14ac:dyDescent="0.2">
      <c r="C147" s="1"/>
    </row>
    <row r="148" spans="3:3" ht="15.75" customHeight="1" x14ac:dyDescent="0.2">
      <c r="C148" s="1"/>
    </row>
    <row r="149" spans="3:3" ht="15.75" customHeight="1" x14ac:dyDescent="0.2">
      <c r="C149" s="1"/>
    </row>
    <row r="150" spans="3:3" ht="15.75" customHeight="1" x14ac:dyDescent="0.2">
      <c r="C150" s="1"/>
    </row>
    <row r="151" spans="3:3" ht="15.75" customHeight="1" x14ac:dyDescent="0.2">
      <c r="C151" s="1"/>
    </row>
    <row r="152" spans="3:3" ht="15.75" customHeight="1" x14ac:dyDescent="0.2">
      <c r="C152" s="1"/>
    </row>
    <row r="153" spans="3:3" ht="15.75" customHeight="1" x14ac:dyDescent="0.2">
      <c r="C153" s="1"/>
    </row>
    <row r="154" spans="3:3" ht="15.75" customHeight="1" x14ac:dyDescent="0.2">
      <c r="C154" s="1"/>
    </row>
    <row r="155" spans="3:3" ht="15.75" customHeight="1" x14ac:dyDescent="0.2">
      <c r="C155" s="1"/>
    </row>
    <row r="156" spans="3:3" ht="15.75" customHeight="1" x14ac:dyDescent="0.2">
      <c r="C156" s="1"/>
    </row>
    <row r="157" spans="3:3" ht="15.75" customHeight="1" x14ac:dyDescent="0.2">
      <c r="C157" s="1"/>
    </row>
    <row r="158" spans="3:3" ht="15.75" customHeight="1" x14ac:dyDescent="0.2">
      <c r="C158" s="1"/>
    </row>
    <row r="159" spans="3:3" ht="15.75" customHeight="1" x14ac:dyDescent="0.2">
      <c r="C159" s="1"/>
    </row>
    <row r="160" spans="3:3" ht="15.75" customHeight="1" x14ac:dyDescent="0.2">
      <c r="C160" s="1"/>
    </row>
    <row r="161" spans="3:3" ht="15.75" customHeight="1" x14ac:dyDescent="0.2">
      <c r="C161" s="1"/>
    </row>
    <row r="162" spans="3:3" ht="15.75" customHeight="1" x14ac:dyDescent="0.2">
      <c r="C162" s="1"/>
    </row>
    <row r="163" spans="3:3" ht="15.75" customHeight="1" x14ac:dyDescent="0.2">
      <c r="C163" s="1"/>
    </row>
    <row r="164" spans="3:3" ht="15.75" customHeight="1" x14ac:dyDescent="0.2">
      <c r="C164" s="1"/>
    </row>
    <row r="165" spans="3:3" ht="15.75" customHeight="1" x14ac:dyDescent="0.2">
      <c r="C165" s="1"/>
    </row>
    <row r="166" spans="3:3" ht="15.75" customHeight="1" x14ac:dyDescent="0.2">
      <c r="C166" s="1"/>
    </row>
    <row r="167" spans="3:3" ht="15.75" customHeight="1" x14ac:dyDescent="0.2">
      <c r="C167" s="1"/>
    </row>
    <row r="168" spans="3:3" ht="15.75" customHeight="1" x14ac:dyDescent="0.2">
      <c r="C168" s="1"/>
    </row>
    <row r="169" spans="3:3" ht="15.75" customHeight="1" x14ac:dyDescent="0.2">
      <c r="C169" s="1"/>
    </row>
    <row r="170" spans="3:3" ht="15.75" customHeight="1" x14ac:dyDescent="0.2">
      <c r="C170" s="1"/>
    </row>
    <row r="171" spans="3:3" ht="15.75" customHeight="1" x14ac:dyDescent="0.2">
      <c r="C171" s="1"/>
    </row>
    <row r="172" spans="3:3" ht="15.75" customHeight="1" x14ac:dyDescent="0.2">
      <c r="C172" s="1"/>
    </row>
    <row r="173" spans="3:3" ht="15.75" customHeight="1" x14ac:dyDescent="0.2">
      <c r="C173" s="1"/>
    </row>
    <row r="174" spans="3:3" ht="15.75" customHeight="1" x14ac:dyDescent="0.2">
      <c r="C174" s="1"/>
    </row>
    <row r="175" spans="3:3" ht="15.75" customHeight="1" x14ac:dyDescent="0.2">
      <c r="C175" s="1"/>
    </row>
    <row r="176" spans="3:3" ht="15.75" customHeight="1" x14ac:dyDescent="0.2">
      <c r="C176" s="1"/>
    </row>
    <row r="177" spans="3:3" ht="15.75" customHeight="1" x14ac:dyDescent="0.2">
      <c r="C177" s="1"/>
    </row>
    <row r="178" spans="3:3" ht="15.75" customHeight="1" x14ac:dyDescent="0.2">
      <c r="C178" s="1"/>
    </row>
    <row r="179" spans="3:3" ht="15.75" customHeight="1" x14ac:dyDescent="0.2">
      <c r="C179" s="1"/>
    </row>
    <row r="180" spans="3:3" ht="15.75" customHeight="1" x14ac:dyDescent="0.2">
      <c r="C180" s="1"/>
    </row>
    <row r="181" spans="3:3" ht="15.75" customHeight="1" x14ac:dyDescent="0.2">
      <c r="C181" s="1"/>
    </row>
    <row r="182" spans="3:3" ht="15.75" customHeight="1" x14ac:dyDescent="0.2">
      <c r="C182" s="1"/>
    </row>
    <row r="183" spans="3:3" ht="15.75" customHeight="1" x14ac:dyDescent="0.2">
      <c r="C183" s="1"/>
    </row>
    <row r="184" spans="3:3" ht="15.75" customHeight="1" x14ac:dyDescent="0.2">
      <c r="C184" s="1"/>
    </row>
    <row r="185" spans="3:3" ht="15.75" customHeight="1" x14ac:dyDescent="0.2">
      <c r="C185" s="1"/>
    </row>
    <row r="186" spans="3:3" ht="15.75" customHeight="1" x14ac:dyDescent="0.2">
      <c r="C186" s="1"/>
    </row>
    <row r="187" spans="3:3" ht="15.75" customHeight="1" x14ac:dyDescent="0.2">
      <c r="C187" s="1"/>
    </row>
    <row r="188" spans="3:3" ht="15.75" customHeight="1" x14ac:dyDescent="0.2">
      <c r="C188" s="1"/>
    </row>
    <row r="189" spans="3:3" ht="15.75" customHeight="1" x14ac:dyDescent="0.2">
      <c r="C189" s="1"/>
    </row>
    <row r="190" spans="3:3" ht="15.75" customHeight="1" x14ac:dyDescent="0.2">
      <c r="C190" s="1"/>
    </row>
    <row r="191" spans="3:3" ht="15.75" customHeight="1" x14ac:dyDescent="0.2">
      <c r="C191" s="1"/>
    </row>
    <row r="192" spans="3:3" ht="15.75" customHeight="1" x14ac:dyDescent="0.2">
      <c r="C192" s="1"/>
    </row>
    <row r="193" spans="3:3" ht="15.75" customHeight="1" x14ac:dyDescent="0.2">
      <c r="C193" s="1"/>
    </row>
    <row r="194" spans="3:3" ht="15.75" customHeight="1" x14ac:dyDescent="0.2">
      <c r="C194" s="1"/>
    </row>
    <row r="195" spans="3:3" ht="15.75" customHeight="1" x14ac:dyDescent="0.2">
      <c r="C195" s="1"/>
    </row>
    <row r="196" spans="3:3" ht="15.75" customHeight="1" x14ac:dyDescent="0.2">
      <c r="C196" s="1"/>
    </row>
    <row r="197" spans="3:3" ht="15.75" customHeight="1" x14ac:dyDescent="0.2">
      <c r="C197" s="1"/>
    </row>
    <row r="198" spans="3:3" ht="15.75" customHeight="1" x14ac:dyDescent="0.2">
      <c r="C198" s="1"/>
    </row>
    <row r="199" spans="3:3" ht="15.75" customHeight="1" x14ac:dyDescent="0.2">
      <c r="C199" s="1"/>
    </row>
    <row r="200" spans="3:3" ht="15.75" customHeight="1" x14ac:dyDescent="0.2">
      <c r="C200" s="1"/>
    </row>
    <row r="201" spans="3:3" ht="15.75" customHeight="1" x14ac:dyDescent="0.2">
      <c r="C201" s="1"/>
    </row>
    <row r="202" spans="3:3" ht="15.75" customHeight="1" x14ac:dyDescent="0.2">
      <c r="C202" s="1"/>
    </row>
    <row r="203" spans="3:3" ht="15.75" customHeight="1" x14ac:dyDescent="0.2">
      <c r="C203" s="1"/>
    </row>
    <row r="204" spans="3:3" ht="15.75" customHeight="1" x14ac:dyDescent="0.2">
      <c r="C204" s="1"/>
    </row>
    <row r="205" spans="3:3" ht="15.75" customHeight="1" x14ac:dyDescent="0.2">
      <c r="C205" s="1"/>
    </row>
    <row r="206" spans="3:3" ht="15.75" customHeight="1" x14ac:dyDescent="0.2">
      <c r="C206" s="1"/>
    </row>
    <row r="207" spans="3:3" ht="15.75" customHeight="1" x14ac:dyDescent="0.2">
      <c r="C207" s="1"/>
    </row>
    <row r="208" spans="3:3" ht="15.75" customHeight="1" x14ac:dyDescent="0.2">
      <c r="C208" s="1"/>
    </row>
    <row r="209" spans="3:3" ht="15.75" customHeight="1" x14ac:dyDescent="0.2">
      <c r="C209" s="1"/>
    </row>
    <row r="210" spans="3:3" ht="15.75" customHeight="1" x14ac:dyDescent="0.2">
      <c r="C210" s="1"/>
    </row>
    <row r="211" spans="3:3" ht="15.75" customHeight="1" x14ac:dyDescent="0.2">
      <c r="C211" s="1"/>
    </row>
    <row r="212" spans="3:3" ht="15.75" customHeight="1" x14ac:dyDescent="0.2">
      <c r="C212" s="1"/>
    </row>
    <row r="213" spans="3:3" ht="15.75" customHeight="1" x14ac:dyDescent="0.2">
      <c r="C213" s="1"/>
    </row>
    <row r="214" spans="3:3" ht="15.75" customHeight="1" x14ac:dyDescent="0.2">
      <c r="C214" s="1"/>
    </row>
    <row r="215" spans="3:3" ht="15.75" customHeight="1" x14ac:dyDescent="0.2">
      <c r="C215" s="1"/>
    </row>
    <row r="216" spans="3:3" ht="15.75" customHeight="1" x14ac:dyDescent="0.2">
      <c r="C216" s="1"/>
    </row>
    <row r="217" spans="3:3" ht="15.75" customHeight="1" x14ac:dyDescent="0.2">
      <c r="C217" s="1"/>
    </row>
    <row r="218" spans="3:3" ht="15.75" customHeight="1" x14ac:dyDescent="0.2">
      <c r="C218" s="1"/>
    </row>
    <row r="219" spans="3:3" ht="15.75" customHeight="1" x14ac:dyDescent="0.2">
      <c r="C219" s="1"/>
    </row>
    <row r="220" spans="3:3" ht="15.75" customHeight="1" x14ac:dyDescent="0.2">
      <c r="C220" s="1"/>
    </row>
    <row r="221" spans="3:3" ht="15.75" customHeight="1" x14ac:dyDescent="0.2">
      <c r="C221" s="1"/>
    </row>
    <row r="222" spans="3:3" ht="15.75" customHeight="1" x14ac:dyDescent="0.2">
      <c r="C222" s="1"/>
    </row>
    <row r="223" spans="3:3" ht="15.75" customHeight="1" x14ac:dyDescent="0.2">
      <c r="C223" s="1"/>
    </row>
    <row r="224" spans="3:3" ht="15.75" customHeight="1" x14ac:dyDescent="0.2">
      <c r="C224" s="1"/>
    </row>
    <row r="225" spans="3:3" ht="15.75" customHeight="1" x14ac:dyDescent="0.2">
      <c r="C225" s="1"/>
    </row>
    <row r="226" spans="3:3" ht="15.75" customHeight="1" x14ac:dyDescent="0.2">
      <c r="C226" s="1"/>
    </row>
    <row r="227" spans="3:3" ht="15.75" customHeight="1" x14ac:dyDescent="0.2">
      <c r="C227" s="1"/>
    </row>
    <row r="228" spans="3:3" ht="15.75" customHeight="1" x14ac:dyDescent="0.2">
      <c r="C228" s="1"/>
    </row>
    <row r="229" spans="3:3" ht="15.75" customHeight="1" x14ac:dyDescent="0.2">
      <c r="C229" s="1"/>
    </row>
    <row r="230" spans="3:3" ht="15.75" customHeight="1" x14ac:dyDescent="0.2">
      <c r="C230" s="1"/>
    </row>
    <row r="231" spans="3:3" ht="15.75" customHeight="1" x14ac:dyDescent="0.2">
      <c r="C231" s="1"/>
    </row>
    <row r="232" spans="3:3" ht="15.75" customHeight="1" x14ac:dyDescent="0.2">
      <c r="C232" s="1"/>
    </row>
    <row r="233" spans="3:3" ht="15.75" customHeight="1" x14ac:dyDescent="0.2">
      <c r="C233" s="1"/>
    </row>
    <row r="234" spans="3:3" ht="15.75" customHeight="1" x14ac:dyDescent="0.2">
      <c r="C234" s="1"/>
    </row>
    <row r="235" spans="3:3" ht="15.75" customHeight="1" x14ac:dyDescent="0.2">
      <c r="C235" s="1"/>
    </row>
    <row r="236" spans="3:3" ht="15.75" customHeight="1" x14ac:dyDescent="0.2">
      <c r="C236" s="1"/>
    </row>
    <row r="237" spans="3:3" ht="15.75" customHeight="1" x14ac:dyDescent="0.2">
      <c r="C237" s="1"/>
    </row>
    <row r="238" spans="3:3" ht="15.75" customHeight="1" x14ac:dyDescent="0.2">
      <c r="C238" s="1"/>
    </row>
    <row r="239" spans="3:3" ht="15.75" customHeight="1" x14ac:dyDescent="0.2">
      <c r="C239" s="1"/>
    </row>
    <row r="240" spans="3:3" ht="15.75" customHeight="1" x14ac:dyDescent="0.2">
      <c r="C240" s="1"/>
    </row>
    <row r="241" spans="3:3" ht="15.75" customHeight="1" x14ac:dyDescent="0.2">
      <c r="C241" s="1"/>
    </row>
    <row r="242" spans="3:3" ht="15.75" customHeight="1" x14ac:dyDescent="0.2">
      <c r="C242" s="1"/>
    </row>
    <row r="243" spans="3:3" ht="15.75" customHeight="1" x14ac:dyDescent="0.2">
      <c r="C243" s="1"/>
    </row>
    <row r="244" spans="3:3" ht="15.75" customHeight="1" x14ac:dyDescent="0.2">
      <c r="C244" s="1"/>
    </row>
    <row r="245" spans="3:3" ht="15.75" customHeight="1" x14ac:dyDescent="0.2">
      <c r="C245" s="1"/>
    </row>
    <row r="246" spans="3:3" ht="15.75" customHeight="1" x14ac:dyDescent="0.2">
      <c r="C246" s="1"/>
    </row>
    <row r="247" spans="3:3" ht="15.75" customHeight="1" x14ac:dyDescent="0.2">
      <c r="C247" s="1"/>
    </row>
    <row r="248" spans="3:3" ht="15.75" customHeight="1" x14ac:dyDescent="0.2">
      <c r="C248" s="1"/>
    </row>
    <row r="249" spans="3:3" ht="15.75" customHeight="1" x14ac:dyDescent="0.2">
      <c r="C249" s="1"/>
    </row>
    <row r="250" spans="3:3" ht="15.75" customHeight="1" x14ac:dyDescent="0.2">
      <c r="C250" s="1"/>
    </row>
    <row r="251" spans="3:3" ht="15.75" customHeight="1" x14ac:dyDescent="0.2">
      <c r="C251" s="1"/>
    </row>
    <row r="252" spans="3:3" ht="15.75" customHeight="1" x14ac:dyDescent="0.2">
      <c r="C252" s="1"/>
    </row>
    <row r="253" spans="3:3" ht="15.75" customHeight="1" x14ac:dyDescent="0.2">
      <c r="C253" s="1"/>
    </row>
    <row r="254" spans="3:3" ht="15.75" customHeight="1" x14ac:dyDescent="0.2">
      <c r="C254" s="1"/>
    </row>
    <row r="255" spans="3:3" ht="15.75" customHeight="1" x14ac:dyDescent="0.2">
      <c r="C255" s="1"/>
    </row>
    <row r="256" spans="3:3" ht="15.75" customHeight="1" x14ac:dyDescent="0.2">
      <c r="C256" s="1"/>
    </row>
    <row r="257" spans="3:3" ht="15.75" customHeight="1" x14ac:dyDescent="0.2">
      <c r="C257" s="1"/>
    </row>
    <row r="258" spans="3:3" ht="15.75" customHeight="1" x14ac:dyDescent="0.2">
      <c r="C258" s="1"/>
    </row>
    <row r="259" spans="3:3" ht="15.75" customHeight="1" x14ac:dyDescent="0.2">
      <c r="C259" s="1"/>
    </row>
    <row r="260" spans="3:3" ht="15.75" customHeight="1" x14ac:dyDescent="0.2">
      <c r="C260" s="1"/>
    </row>
    <row r="261" spans="3:3" ht="15.75" customHeight="1" x14ac:dyDescent="0.2">
      <c r="C261" s="1"/>
    </row>
    <row r="262" spans="3:3" ht="15.75" customHeight="1" x14ac:dyDescent="0.2">
      <c r="C262" s="1"/>
    </row>
    <row r="263" spans="3:3" ht="15.75" customHeight="1" x14ac:dyDescent="0.2">
      <c r="C263" s="1"/>
    </row>
    <row r="264" spans="3:3" ht="15.75" customHeight="1" x14ac:dyDescent="0.2">
      <c r="C264" s="1"/>
    </row>
    <row r="265" spans="3:3" ht="15.75" customHeight="1" x14ac:dyDescent="0.2">
      <c r="C265" s="1"/>
    </row>
    <row r="266" spans="3:3" ht="15.75" customHeight="1" x14ac:dyDescent="0.2">
      <c r="C266" s="1"/>
    </row>
    <row r="267" spans="3:3" ht="15.75" customHeight="1" x14ac:dyDescent="0.2">
      <c r="C267" s="1"/>
    </row>
    <row r="268" spans="3:3" ht="15.75" customHeight="1" x14ac:dyDescent="0.2">
      <c r="C268" s="1"/>
    </row>
    <row r="269" spans="3:3" ht="15.75" customHeight="1" x14ac:dyDescent="0.2">
      <c r="C269" s="1"/>
    </row>
    <row r="270" spans="3:3" ht="15.75" customHeight="1" x14ac:dyDescent="0.2">
      <c r="C270" s="1"/>
    </row>
    <row r="271" spans="3:3" ht="15.75" customHeight="1" x14ac:dyDescent="0.2">
      <c r="C271" s="1"/>
    </row>
    <row r="272" spans="3:3" ht="15.75" customHeight="1" x14ac:dyDescent="0.2">
      <c r="C272" s="1"/>
    </row>
    <row r="273" spans="3:3" ht="15.75" customHeight="1" x14ac:dyDescent="0.2">
      <c r="C273" s="1"/>
    </row>
    <row r="274" spans="3:3" ht="15.75" customHeight="1" x14ac:dyDescent="0.2">
      <c r="C274" s="1"/>
    </row>
    <row r="275" spans="3:3" ht="15.75" customHeight="1" x14ac:dyDescent="0.2">
      <c r="C275" s="1"/>
    </row>
    <row r="276" spans="3:3" ht="15.75" customHeight="1" x14ac:dyDescent="0.2">
      <c r="C276" s="1"/>
    </row>
    <row r="277" spans="3:3" ht="15.75" customHeight="1" x14ac:dyDescent="0.2">
      <c r="C277" s="1"/>
    </row>
    <row r="278" spans="3:3" ht="15.75" customHeight="1" x14ac:dyDescent="0.2">
      <c r="C278" s="1"/>
    </row>
    <row r="279" spans="3:3" ht="15.75" customHeight="1" x14ac:dyDescent="0.2">
      <c r="C279" s="1"/>
    </row>
    <row r="280" spans="3:3" ht="15.75" customHeight="1" x14ac:dyDescent="0.2">
      <c r="C280" s="1"/>
    </row>
    <row r="281" spans="3:3" ht="15.75" customHeight="1" x14ac:dyDescent="0.2">
      <c r="C281" s="1"/>
    </row>
    <row r="282" spans="3:3" ht="15.75" customHeight="1" x14ac:dyDescent="0.2">
      <c r="C282" s="1"/>
    </row>
    <row r="283" spans="3:3" ht="15.75" customHeight="1" x14ac:dyDescent="0.2">
      <c r="C283" s="1"/>
    </row>
    <row r="284" spans="3:3" ht="15.75" customHeight="1" x14ac:dyDescent="0.2">
      <c r="C284" s="1"/>
    </row>
    <row r="285" spans="3:3" ht="15.75" customHeight="1" x14ac:dyDescent="0.2">
      <c r="C285" s="1"/>
    </row>
    <row r="286" spans="3:3" ht="15.75" customHeight="1" x14ac:dyDescent="0.2">
      <c r="C286" s="1"/>
    </row>
    <row r="287" spans="3:3" ht="15.75" customHeight="1" x14ac:dyDescent="0.2">
      <c r="C287" s="1"/>
    </row>
    <row r="288" spans="3:3" ht="15.75" customHeight="1" x14ac:dyDescent="0.2">
      <c r="C288" s="1"/>
    </row>
    <row r="289" spans="3:3" ht="15.75" customHeight="1" x14ac:dyDescent="0.2">
      <c r="C289" s="1"/>
    </row>
    <row r="290" spans="3:3" ht="15.75" customHeight="1" x14ac:dyDescent="0.2">
      <c r="C290" s="1"/>
    </row>
    <row r="291" spans="3:3" ht="15.75" customHeight="1" x14ac:dyDescent="0.2">
      <c r="C291" s="1"/>
    </row>
    <row r="292" spans="3:3" ht="15.75" customHeight="1" x14ac:dyDescent="0.2">
      <c r="C292" s="1"/>
    </row>
    <row r="293" spans="3:3" ht="15.75" customHeight="1" x14ac:dyDescent="0.2">
      <c r="C293" s="1"/>
    </row>
    <row r="294" spans="3:3" ht="15.75" customHeight="1" x14ac:dyDescent="0.2">
      <c r="C294" s="1"/>
    </row>
    <row r="295" spans="3:3" ht="15.75" customHeight="1" x14ac:dyDescent="0.2">
      <c r="C295" s="1"/>
    </row>
    <row r="296" spans="3:3" ht="15.75" customHeight="1" x14ac:dyDescent="0.2">
      <c r="C296" s="1"/>
    </row>
    <row r="297" spans="3:3" ht="15.75" customHeight="1" x14ac:dyDescent="0.2">
      <c r="C297" s="1"/>
    </row>
    <row r="298" spans="3:3" ht="15.75" customHeight="1" x14ac:dyDescent="0.2">
      <c r="C298" s="1"/>
    </row>
    <row r="299" spans="3:3" ht="15.75" customHeight="1" x14ac:dyDescent="0.2">
      <c r="C299" s="1"/>
    </row>
    <row r="300" spans="3:3" ht="15.75" customHeight="1" x14ac:dyDescent="0.2">
      <c r="C300" s="1"/>
    </row>
    <row r="301" spans="3:3" ht="15.75" customHeight="1" x14ac:dyDescent="0.2">
      <c r="C301" s="1"/>
    </row>
    <row r="302" spans="3:3" ht="15.75" customHeight="1" x14ac:dyDescent="0.2">
      <c r="C302" s="1"/>
    </row>
    <row r="303" spans="3:3" ht="15.75" customHeight="1" x14ac:dyDescent="0.2">
      <c r="C303" s="1"/>
    </row>
    <row r="304" spans="3:3" ht="15.75" customHeight="1" x14ac:dyDescent="0.2">
      <c r="C304" s="1"/>
    </row>
    <row r="305" spans="3:3" ht="15.75" customHeight="1" x14ac:dyDescent="0.2">
      <c r="C305" s="1"/>
    </row>
    <row r="306" spans="3:3" ht="15.75" customHeight="1" x14ac:dyDescent="0.2">
      <c r="C306" s="1"/>
    </row>
    <row r="307" spans="3:3" ht="15.75" customHeight="1" x14ac:dyDescent="0.2">
      <c r="C307" s="1"/>
    </row>
    <row r="308" spans="3:3" ht="15.75" customHeight="1" x14ac:dyDescent="0.2">
      <c r="C308" s="1"/>
    </row>
    <row r="309" spans="3:3" ht="15.75" customHeight="1" x14ac:dyDescent="0.2">
      <c r="C309" s="1"/>
    </row>
    <row r="310" spans="3:3" ht="15.75" customHeight="1" x14ac:dyDescent="0.2">
      <c r="C310" s="1"/>
    </row>
    <row r="311" spans="3:3" ht="15.75" customHeight="1" x14ac:dyDescent="0.2">
      <c r="C311" s="1"/>
    </row>
    <row r="312" spans="3:3" ht="15.75" customHeight="1" x14ac:dyDescent="0.2">
      <c r="C312" s="1"/>
    </row>
    <row r="313" spans="3:3" ht="15.75" customHeight="1" x14ac:dyDescent="0.2">
      <c r="C313" s="1"/>
    </row>
    <row r="314" spans="3:3" ht="15.75" customHeight="1" x14ac:dyDescent="0.2">
      <c r="C314" s="1"/>
    </row>
    <row r="315" spans="3:3" ht="15.75" customHeight="1" x14ac:dyDescent="0.2">
      <c r="C315" s="1"/>
    </row>
    <row r="316" spans="3:3" ht="15.75" customHeight="1" x14ac:dyDescent="0.2">
      <c r="C316" s="1"/>
    </row>
    <row r="317" spans="3:3" ht="15.75" customHeight="1" x14ac:dyDescent="0.2">
      <c r="C317" s="1"/>
    </row>
    <row r="318" spans="3:3" ht="15.75" customHeight="1" x14ac:dyDescent="0.2">
      <c r="C318" s="1"/>
    </row>
    <row r="319" spans="3:3" ht="15.75" customHeight="1" x14ac:dyDescent="0.2">
      <c r="C319" s="1"/>
    </row>
    <row r="320" spans="3:3" ht="15.75" customHeight="1" x14ac:dyDescent="0.2">
      <c r="C320" s="1"/>
    </row>
    <row r="321" spans="3:3" ht="15.75" customHeight="1" x14ac:dyDescent="0.2">
      <c r="C321" s="1"/>
    </row>
    <row r="322" spans="3:3" ht="15.75" customHeight="1" x14ac:dyDescent="0.2">
      <c r="C322" s="1"/>
    </row>
    <row r="323" spans="3:3" ht="15.75" customHeight="1" x14ac:dyDescent="0.2">
      <c r="C323" s="1"/>
    </row>
    <row r="324" spans="3:3" ht="15.75" customHeight="1" x14ac:dyDescent="0.2">
      <c r="C324" s="1"/>
    </row>
    <row r="325" spans="3:3" ht="15.75" customHeight="1" x14ac:dyDescent="0.2">
      <c r="C325" s="1"/>
    </row>
    <row r="326" spans="3:3" ht="15.75" customHeight="1" x14ac:dyDescent="0.2">
      <c r="C326" s="1"/>
    </row>
    <row r="327" spans="3:3" ht="15.75" customHeight="1" x14ac:dyDescent="0.2">
      <c r="C327" s="1"/>
    </row>
    <row r="328" spans="3:3" ht="15.75" customHeight="1" x14ac:dyDescent="0.2">
      <c r="C328" s="1"/>
    </row>
    <row r="329" spans="3:3" ht="15.75" customHeight="1" x14ac:dyDescent="0.2">
      <c r="C329" s="1"/>
    </row>
    <row r="330" spans="3:3" ht="15.75" customHeight="1" x14ac:dyDescent="0.2">
      <c r="C330" s="1"/>
    </row>
    <row r="331" spans="3:3" ht="15.75" customHeight="1" x14ac:dyDescent="0.2">
      <c r="C331" s="1"/>
    </row>
    <row r="332" spans="3:3" ht="15.75" customHeight="1" x14ac:dyDescent="0.2">
      <c r="C332" s="1"/>
    </row>
    <row r="333" spans="3:3" ht="15.75" customHeight="1" x14ac:dyDescent="0.2">
      <c r="C333" s="1"/>
    </row>
    <row r="334" spans="3:3" ht="15.75" customHeight="1" x14ac:dyDescent="0.2">
      <c r="C334" s="1"/>
    </row>
    <row r="335" spans="3:3" ht="15.75" customHeight="1" x14ac:dyDescent="0.2">
      <c r="C335" s="1"/>
    </row>
    <row r="336" spans="3:3" ht="15.75" customHeight="1" x14ac:dyDescent="0.2">
      <c r="C336" s="1"/>
    </row>
    <row r="337" spans="3:3" ht="15.75" customHeight="1" x14ac:dyDescent="0.2">
      <c r="C337" s="1"/>
    </row>
    <row r="338" spans="3:3" ht="15.75" customHeight="1" x14ac:dyDescent="0.2">
      <c r="C338" s="1"/>
    </row>
    <row r="339" spans="3:3" ht="15.75" customHeight="1" x14ac:dyDescent="0.2">
      <c r="C339" s="1"/>
    </row>
    <row r="340" spans="3:3" ht="15.75" customHeight="1" x14ac:dyDescent="0.2">
      <c r="C340" s="1"/>
    </row>
    <row r="341" spans="3:3" ht="15.75" customHeight="1" x14ac:dyDescent="0.2">
      <c r="C341" s="1"/>
    </row>
    <row r="342" spans="3:3" ht="15.75" customHeight="1" x14ac:dyDescent="0.2">
      <c r="C342" s="1"/>
    </row>
    <row r="343" spans="3:3" ht="15.75" customHeight="1" x14ac:dyDescent="0.2">
      <c r="C343" s="1"/>
    </row>
    <row r="344" spans="3:3" ht="15.75" customHeight="1" x14ac:dyDescent="0.2">
      <c r="C344" s="1"/>
    </row>
    <row r="345" spans="3:3" ht="15.75" customHeight="1" x14ac:dyDescent="0.2">
      <c r="C345" s="1"/>
    </row>
    <row r="346" spans="3:3" ht="15.75" customHeight="1" x14ac:dyDescent="0.2">
      <c r="C346" s="1"/>
    </row>
    <row r="347" spans="3:3" ht="15.75" customHeight="1" x14ac:dyDescent="0.2">
      <c r="C347" s="1"/>
    </row>
    <row r="348" spans="3:3" ht="15.75" customHeight="1" x14ac:dyDescent="0.2">
      <c r="C348" s="1"/>
    </row>
    <row r="349" spans="3:3" ht="15.75" customHeight="1" x14ac:dyDescent="0.2">
      <c r="C349" s="1"/>
    </row>
    <row r="350" spans="3:3" ht="15.75" customHeight="1" x14ac:dyDescent="0.2">
      <c r="C350" s="1"/>
    </row>
    <row r="351" spans="3:3" ht="15.75" customHeight="1" x14ac:dyDescent="0.2">
      <c r="C351" s="1"/>
    </row>
    <row r="352" spans="3:3" ht="15.75" customHeight="1" x14ac:dyDescent="0.2">
      <c r="C352" s="1"/>
    </row>
    <row r="353" spans="3:3" ht="15.75" customHeight="1" x14ac:dyDescent="0.2">
      <c r="C353" s="1"/>
    </row>
    <row r="354" spans="3:3" ht="15.75" customHeight="1" x14ac:dyDescent="0.2">
      <c r="C354" s="1"/>
    </row>
    <row r="355" spans="3:3" ht="15.75" customHeight="1" x14ac:dyDescent="0.2">
      <c r="C355" s="1"/>
    </row>
    <row r="356" spans="3:3" ht="15.75" customHeight="1" x14ac:dyDescent="0.2">
      <c r="C356" s="1"/>
    </row>
    <row r="357" spans="3:3" ht="15.75" customHeight="1" x14ac:dyDescent="0.2">
      <c r="C357" s="1"/>
    </row>
    <row r="358" spans="3:3" ht="15.75" customHeight="1" x14ac:dyDescent="0.2">
      <c r="C358" s="1"/>
    </row>
    <row r="359" spans="3:3" ht="15.75" customHeight="1" x14ac:dyDescent="0.2">
      <c r="C359" s="1"/>
    </row>
    <row r="360" spans="3:3" ht="15.75" customHeight="1" x14ac:dyDescent="0.2">
      <c r="C360" s="1"/>
    </row>
    <row r="361" spans="3:3" ht="15.75" customHeight="1" x14ac:dyDescent="0.2">
      <c r="C361" s="1"/>
    </row>
    <row r="362" spans="3:3" ht="15.75" customHeight="1" x14ac:dyDescent="0.2">
      <c r="C362" s="1"/>
    </row>
    <row r="363" spans="3:3" ht="15.75" customHeight="1" x14ac:dyDescent="0.2">
      <c r="C363" s="1"/>
    </row>
    <row r="364" spans="3:3" ht="15.75" customHeight="1" x14ac:dyDescent="0.2">
      <c r="C364" s="1"/>
    </row>
    <row r="365" spans="3:3" ht="15.75" customHeight="1" x14ac:dyDescent="0.2">
      <c r="C365" s="1"/>
    </row>
    <row r="366" spans="3:3" ht="15.75" customHeight="1" x14ac:dyDescent="0.2">
      <c r="C366" s="1"/>
    </row>
    <row r="367" spans="3:3" ht="15.75" customHeight="1" x14ac:dyDescent="0.2">
      <c r="C367" s="1"/>
    </row>
    <row r="368" spans="3:3" ht="15.75" customHeight="1" x14ac:dyDescent="0.2">
      <c r="C368" s="1"/>
    </row>
    <row r="369" spans="3:3" ht="15.75" customHeight="1" x14ac:dyDescent="0.2">
      <c r="C369" s="1"/>
    </row>
    <row r="370" spans="3:3" ht="15.75" customHeight="1" x14ac:dyDescent="0.2">
      <c r="C370" s="1"/>
    </row>
    <row r="371" spans="3:3" ht="15.75" customHeight="1" x14ac:dyDescent="0.2">
      <c r="C371" s="1"/>
    </row>
    <row r="372" spans="3:3" ht="15.75" customHeight="1" x14ac:dyDescent="0.2">
      <c r="C372" s="1"/>
    </row>
    <row r="373" spans="3:3" ht="15.75" customHeight="1" x14ac:dyDescent="0.2">
      <c r="C373" s="1"/>
    </row>
    <row r="374" spans="3:3" ht="15.75" customHeight="1" x14ac:dyDescent="0.2">
      <c r="C374" s="1"/>
    </row>
    <row r="375" spans="3:3" ht="15.75" customHeight="1" x14ac:dyDescent="0.2">
      <c r="C375" s="1"/>
    </row>
    <row r="376" spans="3:3" ht="15.75" customHeight="1" x14ac:dyDescent="0.2">
      <c r="C376" s="1"/>
    </row>
    <row r="377" spans="3:3" ht="15.75" customHeight="1" x14ac:dyDescent="0.2">
      <c r="C377" s="1"/>
    </row>
    <row r="378" spans="3:3" ht="15.75" customHeight="1" x14ac:dyDescent="0.2">
      <c r="C378" s="1"/>
    </row>
    <row r="379" spans="3:3" ht="15.75" customHeight="1" x14ac:dyDescent="0.2">
      <c r="C379" s="1"/>
    </row>
    <row r="380" spans="3:3" ht="15.75" customHeight="1" x14ac:dyDescent="0.2">
      <c r="C380" s="1"/>
    </row>
    <row r="381" spans="3:3" ht="15.75" customHeight="1" x14ac:dyDescent="0.2">
      <c r="C381" s="1"/>
    </row>
    <row r="382" spans="3:3" ht="15.75" customHeight="1" x14ac:dyDescent="0.2">
      <c r="C382" s="1"/>
    </row>
    <row r="383" spans="3:3" ht="15.75" customHeight="1" x14ac:dyDescent="0.2">
      <c r="C383" s="1"/>
    </row>
    <row r="384" spans="3:3" ht="15.75" customHeight="1" x14ac:dyDescent="0.2">
      <c r="C384" s="1"/>
    </row>
    <row r="385" spans="3:3" ht="15.75" customHeight="1" x14ac:dyDescent="0.2">
      <c r="C385" s="1"/>
    </row>
    <row r="386" spans="3:3" ht="15.75" customHeight="1" x14ac:dyDescent="0.2">
      <c r="C386" s="1"/>
    </row>
    <row r="387" spans="3:3" ht="15.75" customHeight="1" x14ac:dyDescent="0.2">
      <c r="C387" s="1"/>
    </row>
    <row r="388" spans="3:3" ht="15.75" customHeight="1" x14ac:dyDescent="0.2">
      <c r="C388" s="1"/>
    </row>
    <row r="389" spans="3:3" ht="15.75" customHeight="1" x14ac:dyDescent="0.2">
      <c r="C389" s="1"/>
    </row>
    <row r="390" spans="3:3" ht="15.75" customHeight="1" x14ac:dyDescent="0.2">
      <c r="C390" s="1"/>
    </row>
    <row r="391" spans="3:3" ht="15.75" customHeight="1" x14ac:dyDescent="0.2">
      <c r="C391" s="1"/>
    </row>
    <row r="392" spans="3:3" ht="15.75" customHeight="1" x14ac:dyDescent="0.2">
      <c r="C392" s="1"/>
    </row>
    <row r="393" spans="3:3" ht="15.75" customHeight="1" x14ac:dyDescent="0.2">
      <c r="C393" s="1"/>
    </row>
    <row r="394" spans="3:3" ht="15.75" customHeight="1" x14ac:dyDescent="0.2">
      <c r="C394" s="1"/>
    </row>
    <row r="395" spans="3:3" ht="15.75" customHeight="1" x14ac:dyDescent="0.2">
      <c r="C395" s="1"/>
    </row>
    <row r="396" spans="3:3" ht="15.75" customHeight="1" x14ac:dyDescent="0.2">
      <c r="C396" s="1"/>
    </row>
    <row r="397" spans="3:3" ht="15.75" customHeight="1" x14ac:dyDescent="0.2">
      <c r="C397" s="1"/>
    </row>
    <row r="398" spans="3:3" ht="15.75" customHeight="1" x14ac:dyDescent="0.2">
      <c r="C398" s="1"/>
    </row>
    <row r="399" spans="3:3" ht="15.75" customHeight="1" x14ac:dyDescent="0.2">
      <c r="C399" s="1"/>
    </row>
    <row r="400" spans="3:3" ht="15.75" customHeight="1" x14ac:dyDescent="0.2">
      <c r="C400" s="1"/>
    </row>
    <row r="401" spans="3:3" ht="15.75" customHeight="1" x14ac:dyDescent="0.2">
      <c r="C401" s="1"/>
    </row>
    <row r="402" spans="3:3" ht="15.75" customHeight="1" x14ac:dyDescent="0.2">
      <c r="C402" s="1"/>
    </row>
    <row r="403" spans="3:3" ht="15.75" customHeight="1" x14ac:dyDescent="0.2">
      <c r="C403" s="1"/>
    </row>
    <row r="404" spans="3:3" ht="15.75" customHeight="1" x14ac:dyDescent="0.2">
      <c r="C404" s="1"/>
    </row>
    <row r="405" spans="3:3" ht="15.75" customHeight="1" x14ac:dyDescent="0.2">
      <c r="C405" s="1"/>
    </row>
    <row r="406" spans="3:3" ht="15.75" customHeight="1" x14ac:dyDescent="0.2">
      <c r="C406" s="1"/>
    </row>
    <row r="407" spans="3:3" ht="15.75" customHeight="1" x14ac:dyDescent="0.2">
      <c r="C407" s="1"/>
    </row>
    <row r="408" spans="3:3" ht="15.75" customHeight="1" x14ac:dyDescent="0.2">
      <c r="C408" s="1"/>
    </row>
    <row r="409" spans="3:3" ht="15.75" customHeight="1" x14ac:dyDescent="0.2">
      <c r="C409" s="1"/>
    </row>
    <row r="410" spans="3:3" ht="15.75" customHeight="1" x14ac:dyDescent="0.2">
      <c r="C410" s="1"/>
    </row>
    <row r="411" spans="3:3" ht="15.75" customHeight="1" x14ac:dyDescent="0.2">
      <c r="C411" s="1"/>
    </row>
    <row r="412" spans="3:3" ht="15.75" customHeight="1" x14ac:dyDescent="0.2">
      <c r="C412" s="1"/>
    </row>
    <row r="413" spans="3:3" ht="15.75" customHeight="1" x14ac:dyDescent="0.2">
      <c r="C413" s="1"/>
    </row>
    <row r="414" spans="3:3" ht="15.75" customHeight="1" x14ac:dyDescent="0.2">
      <c r="C414" s="1"/>
    </row>
    <row r="415" spans="3:3" ht="15.75" customHeight="1" x14ac:dyDescent="0.2">
      <c r="C415" s="1"/>
    </row>
    <row r="416" spans="3:3" ht="15.75" customHeight="1" x14ac:dyDescent="0.2">
      <c r="C416" s="1"/>
    </row>
    <row r="417" spans="3:3" ht="15.75" customHeight="1" x14ac:dyDescent="0.2">
      <c r="C417" s="1"/>
    </row>
    <row r="418" spans="3:3" ht="15.75" customHeight="1" x14ac:dyDescent="0.2">
      <c r="C418" s="1"/>
    </row>
    <row r="419" spans="3:3" ht="15.75" customHeight="1" x14ac:dyDescent="0.2">
      <c r="C419" s="1"/>
    </row>
    <row r="420" spans="3:3" ht="15.75" customHeight="1" x14ac:dyDescent="0.2">
      <c r="C420" s="1"/>
    </row>
    <row r="421" spans="3:3" ht="15.75" customHeight="1" x14ac:dyDescent="0.2">
      <c r="C421" s="1"/>
    </row>
    <row r="422" spans="3:3" ht="15.75" customHeight="1" x14ac:dyDescent="0.2">
      <c r="C422" s="1"/>
    </row>
    <row r="423" spans="3:3" ht="15.75" customHeight="1" x14ac:dyDescent="0.2">
      <c r="C423" s="1"/>
    </row>
    <row r="424" spans="3:3" ht="15.75" customHeight="1" x14ac:dyDescent="0.2">
      <c r="C424" s="1"/>
    </row>
    <row r="425" spans="3:3" ht="15.75" customHeight="1" x14ac:dyDescent="0.2">
      <c r="C425" s="1"/>
    </row>
    <row r="426" spans="3:3" ht="15.75" customHeight="1" x14ac:dyDescent="0.2">
      <c r="C426" s="1"/>
    </row>
    <row r="427" spans="3:3" ht="15.75" customHeight="1" x14ac:dyDescent="0.2">
      <c r="C427" s="1"/>
    </row>
    <row r="428" spans="3:3" ht="15.75" customHeight="1" x14ac:dyDescent="0.2">
      <c r="C428" s="1"/>
    </row>
    <row r="429" spans="3:3" ht="15.75" customHeight="1" x14ac:dyDescent="0.2">
      <c r="C429" s="1"/>
    </row>
    <row r="430" spans="3:3" ht="15.75" customHeight="1" x14ac:dyDescent="0.2">
      <c r="C430" s="1"/>
    </row>
    <row r="431" spans="3:3" ht="15.75" customHeight="1" x14ac:dyDescent="0.2">
      <c r="C431" s="1"/>
    </row>
    <row r="432" spans="3:3" ht="15.75" customHeight="1" x14ac:dyDescent="0.2">
      <c r="C432" s="1"/>
    </row>
    <row r="433" spans="3:3" ht="15.75" customHeight="1" x14ac:dyDescent="0.2">
      <c r="C433" s="1"/>
    </row>
    <row r="434" spans="3:3" ht="15.75" customHeight="1" x14ac:dyDescent="0.2">
      <c r="C434" s="1"/>
    </row>
    <row r="435" spans="3:3" ht="15.75" customHeight="1" x14ac:dyDescent="0.2">
      <c r="C435" s="1"/>
    </row>
    <row r="436" spans="3:3" ht="15.75" customHeight="1" x14ac:dyDescent="0.2">
      <c r="C436" s="1"/>
    </row>
    <row r="437" spans="3:3" ht="15.75" customHeight="1" x14ac:dyDescent="0.2">
      <c r="C437" s="1"/>
    </row>
    <row r="438" spans="3:3" ht="15.75" customHeight="1" x14ac:dyDescent="0.2">
      <c r="C438" s="1"/>
    </row>
    <row r="439" spans="3:3" ht="15.75" customHeight="1" x14ac:dyDescent="0.2">
      <c r="C439" s="1"/>
    </row>
    <row r="440" spans="3:3" ht="15.75" customHeight="1" x14ac:dyDescent="0.2">
      <c r="C440" s="1"/>
    </row>
    <row r="441" spans="3:3" ht="15.75" customHeight="1" x14ac:dyDescent="0.2">
      <c r="C441" s="1"/>
    </row>
    <row r="442" spans="3:3" ht="15.75" customHeight="1" x14ac:dyDescent="0.2">
      <c r="C442" s="1"/>
    </row>
    <row r="443" spans="3:3" ht="15.75" customHeight="1" x14ac:dyDescent="0.2">
      <c r="C443" s="1"/>
    </row>
    <row r="444" spans="3:3" ht="15.75" customHeight="1" x14ac:dyDescent="0.2">
      <c r="C444" s="1"/>
    </row>
    <row r="445" spans="3:3" ht="15.75" customHeight="1" x14ac:dyDescent="0.2">
      <c r="C445" s="1"/>
    </row>
    <row r="446" spans="3:3" ht="15.75" customHeight="1" x14ac:dyDescent="0.2">
      <c r="C446" s="1"/>
    </row>
    <row r="447" spans="3:3" ht="15.75" customHeight="1" x14ac:dyDescent="0.2">
      <c r="C447" s="1"/>
    </row>
    <row r="448" spans="3:3" ht="15.75" customHeight="1" x14ac:dyDescent="0.2">
      <c r="C448" s="1"/>
    </row>
    <row r="449" spans="3:3" ht="15.75" customHeight="1" x14ac:dyDescent="0.2">
      <c r="C449" s="1"/>
    </row>
    <row r="450" spans="3:3" ht="15.75" customHeight="1" x14ac:dyDescent="0.2">
      <c r="C450" s="1"/>
    </row>
    <row r="451" spans="3:3" ht="15.75" customHeight="1" x14ac:dyDescent="0.2">
      <c r="C451" s="1"/>
    </row>
    <row r="452" spans="3:3" ht="15.75" customHeight="1" x14ac:dyDescent="0.2">
      <c r="C452" s="1"/>
    </row>
    <row r="453" spans="3:3" ht="15.75" customHeight="1" x14ac:dyDescent="0.2">
      <c r="C453" s="1"/>
    </row>
    <row r="454" spans="3:3" ht="15.75" customHeight="1" x14ac:dyDescent="0.2">
      <c r="C454" s="1"/>
    </row>
    <row r="455" spans="3:3" ht="15.75" customHeight="1" x14ac:dyDescent="0.2">
      <c r="C455" s="1"/>
    </row>
    <row r="456" spans="3:3" ht="15.75" customHeight="1" x14ac:dyDescent="0.2">
      <c r="C456" s="1"/>
    </row>
    <row r="457" spans="3:3" ht="15.75" customHeight="1" x14ac:dyDescent="0.2">
      <c r="C457" s="1"/>
    </row>
    <row r="458" spans="3:3" ht="15.75" customHeight="1" x14ac:dyDescent="0.2">
      <c r="C458" s="1"/>
    </row>
    <row r="459" spans="3:3" ht="15.75" customHeight="1" x14ac:dyDescent="0.2">
      <c r="C459" s="1"/>
    </row>
    <row r="460" spans="3:3" ht="15.75" customHeight="1" x14ac:dyDescent="0.2">
      <c r="C460" s="1"/>
    </row>
    <row r="461" spans="3:3" ht="15.75" customHeight="1" x14ac:dyDescent="0.2">
      <c r="C461" s="1"/>
    </row>
    <row r="462" spans="3:3" ht="15.75" customHeight="1" x14ac:dyDescent="0.2">
      <c r="C462" s="1"/>
    </row>
    <row r="463" spans="3:3" ht="15.75" customHeight="1" x14ac:dyDescent="0.2">
      <c r="C463" s="1"/>
    </row>
    <row r="464" spans="3:3" ht="15.75" customHeight="1" x14ac:dyDescent="0.2">
      <c r="C464" s="1"/>
    </row>
    <row r="465" spans="3:3" ht="15.75" customHeight="1" x14ac:dyDescent="0.2">
      <c r="C465" s="1"/>
    </row>
    <row r="466" spans="3:3" ht="15.75" customHeight="1" x14ac:dyDescent="0.2">
      <c r="C466" s="1"/>
    </row>
    <row r="467" spans="3:3" ht="15.75" customHeight="1" x14ac:dyDescent="0.2">
      <c r="C467" s="1"/>
    </row>
    <row r="468" spans="3:3" ht="15.75" customHeight="1" x14ac:dyDescent="0.2">
      <c r="C468" s="1"/>
    </row>
    <row r="469" spans="3:3" ht="15.75" customHeight="1" x14ac:dyDescent="0.2">
      <c r="C469" s="1"/>
    </row>
    <row r="470" spans="3:3" ht="15.75" customHeight="1" x14ac:dyDescent="0.2">
      <c r="C470" s="1"/>
    </row>
    <row r="471" spans="3:3" ht="15.75" customHeight="1" x14ac:dyDescent="0.2">
      <c r="C471" s="1"/>
    </row>
    <row r="472" spans="3:3" ht="15.75" customHeight="1" x14ac:dyDescent="0.2">
      <c r="C472" s="1"/>
    </row>
    <row r="473" spans="3:3" ht="15.75" customHeight="1" x14ac:dyDescent="0.2">
      <c r="C473" s="1"/>
    </row>
    <row r="474" spans="3:3" ht="15.75" customHeight="1" x14ac:dyDescent="0.2">
      <c r="C474" s="1"/>
    </row>
    <row r="475" spans="3:3" ht="15.75" customHeight="1" x14ac:dyDescent="0.2">
      <c r="C475" s="1"/>
    </row>
    <row r="476" spans="3:3" ht="15.75" customHeight="1" x14ac:dyDescent="0.2">
      <c r="C476" s="1"/>
    </row>
    <row r="477" spans="3:3" ht="15.75" customHeight="1" x14ac:dyDescent="0.2">
      <c r="C477" s="1"/>
    </row>
    <row r="478" spans="3:3" ht="15.75" customHeight="1" x14ac:dyDescent="0.2">
      <c r="C478" s="1"/>
    </row>
    <row r="479" spans="3:3" ht="15.75" customHeight="1" x14ac:dyDescent="0.2">
      <c r="C479" s="1"/>
    </row>
    <row r="480" spans="3:3" ht="15.75" customHeight="1" x14ac:dyDescent="0.2">
      <c r="C480" s="1"/>
    </row>
    <row r="481" spans="3:3" ht="15.75" customHeight="1" x14ac:dyDescent="0.2">
      <c r="C481" s="1"/>
    </row>
    <row r="482" spans="3:3" ht="15.75" customHeight="1" x14ac:dyDescent="0.2">
      <c r="C482" s="1"/>
    </row>
    <row r="483" spans="3:3" ht="15.75" customHeight="1" x14ac:dyDescent="0.2">
      <c r="C483" s="1"/>
    </row>
    <row r="484" spans="3:3" ht="15.75" customHeight="1" x14ac:dyDescent="0.2">
      <c r="C484" s="1"/>
    </row>
    <row r="485" spans="3:3" ht="15.75" customHeight="1" x14ac:dyDescent="0.2">
      <c r="C485" s="1"/>
    </row>
    <row r="486" spans="3:3" ht="15.75" customHeight="1" x14ac:dyDescent="0.2">
      <c r="C486" s="1"/>
    </row>
    <row r="487" spans="3:3" ht="15.75" customHeight="1" x14ac:dyDescent="0.2">
      <c r="C487" s="1"/>
    </row>
    <row r="488" spans="3:3" ht="15.75" customHeight="1" x14ac:dyDescent="0.2">
      <c r="C488" s="1"/>
    </row>
    <row r="489" spans="3:3" ht="15.75" customHeight="1" x14ac:dyDescent="0.2">
      <c r="C489" s="1"/>
    </row>
    <row r="490" spans="3:3" ht="15.75" customHeight="1" x14ac:dyDescent="0.2">
      <c r="C490" s="1"/>
    </row>
    <row r="491" spans="3:3" ht="15.75" customHeight="1" x14ac:dyDescent="0.2">
      <c r="C491" s="1"/>
    </row>
    <row r="492" spans="3:3" ht="15.75" customHeight="1" x14ac:dyDescent="0.2">
      <c r="C492" s="1"/>
    </row>
    <row r="493" spans="3:3" ht="15.75" customHeight="1" x14ac:dyDescent="0.2">
      <c r="C493" s="1"/>
    </row>
    <row r="494" spans="3:3" ht="15.75" customHeight="1" x14ac:dyDescent="0.2">
      <c r="C494" s="1"/>
    </row>
    <row r="495" spans="3:3" ht="15.75" customHeight="1" x14ac:dyDescent="0.2">
      <c r="C495" s="1"/>
    </row>
    <row r="496" spans="3:3" ht="15.75" customHeight="1" x14ac:dyDescent="0.2">
      <c r="C496" s="1"/>
    </row>
    <row r="497" spans="3:3" ht="15.75" customHeight="1" x14ac:dyDescent="0.2">
      <c r="C497" s="1"/>
    </row>
    <row r="498" spans="3:3" ht="15.75" customHeight="1" x14ac:dyDescent="0.2">
      <c r="C498" s="1"/>
    </row>
    <row r="499" spans="3:3" ht="15.75" customHeight="1" x14ac:dyDescent="0.2">
      <c r="C499" s="1"/>
    </row>
    <row r="500" spans="3:3" ht="15.75" customHeight="1" x14ac:dyDescent="0.2">
      <c r="C500" s="1"/>
    </row>
    <row r="501" spans="3:3" ht="15.75" customHeight="1" x14ac:dyDescent="0.2">
      <c r="C501" s="1"/>
    </row>
    <row r="502" spans="3:3" ht="15.75" customHeight="1" x14ac:dyDescent="0.2">
      <c r="C502" s="1"/>
    </row>
    <row r="503" spans="3:3" ht="15.75" customHeight="1" x14ac:dyDescent="0.2">
      <c r="C503" s="1"/>
    </row>
    <row r="504" spans="3:3" ht="15.75" customHeight="1" x14ac:dyDescent="0.2">
      <c r="C504" s="1"/>
    </row>
    <row r="505" spans="3:3" ht="15.75" customHeight="1" x14ac:dyDescent="0.2">
      <c r="C505" s="1"/>
    </row>
    <row r="506" spans="3:3" ht="15.75" customHeight="1" x14ac:dyDescent="0.2">
      <c r="C506" s="1"/>
    </row>
    <row r="507" spans="3:3" ht="15.75" customHeight="1" x14ac:dyDescent="0.2">
      <c r="C507" s="1"/>
    </row>
    <row r="508" spans="3:3" ht="15.75" customHeight="1" x14ac:dyDescent="0.2">
      <c r="C508" s="1"/>
    </row>
    <row r="509" spans="3:3" ht="15.75" customHeight="1" x14ac:dyDescent="0.2">
      <c r="C509" s="1"/>
    </row>
    <row r="510" spans="3:3" ht="15.75" customHeight="1" x14ac:dyDescent="0.2">
      <c r="C510" s="1"/>
    </row>
    <row r="511" spans="3:3" ht="15.75" customHeight="1" x14ac:dyDescent="0.2">
      <c r="C511" s="1"/>
    </row>
    <row r="512" spans="3:3" ht="15.75" customHeight="1" x14ac:dyDescent="0.2">
      <c r="C512" s="1"/>
    </row>
    <row r="513" spans="3:3" ht="15.75" customHeight="1" x14ac:dyDescent="0.2">
      <c r="C513" s="1"/>
    </row>
    <row r="514" spans="3:3" ht="15.75" customHeight="1" x14ac:dyDescent="0.2">
      <c r="C514" s="1"/>
    </row>
    <row r="515" spans="3:3" ht="15.75" customHeight="1" x14ac:dyDescent="0.2">
      <c r="C515" s="1"/>
    </row>
    <row r="516" spans="3:3" ht="15.75" customHeight="1" x14ac:dyDescent="0.2">
      <c r="C516" s="1"/>
    </row>
    <row r="517" spans="3:3" ht="15.75" customHeight="1" x14ac:dyDescent="0.2">
      <c r="C517" s="1"/>
    </row>
    <row r="518" spans="3:3" ht="15.75" customHeight="1" x14ac:dyDescent="0.2">
      <c r="C518" s="1"/>
    </row>
    <row r="519" spans="3:3" ht="15.75" customHeight="1" x14ac:dyDescent="0.2">
      <c r="C519" s="1"/>
    </row>
    <row r="520" spans="3:3" ht="15.75" customHeight="1" x14ac:dyDescent="0.2">
      <c r="C520" s="1"/>
    </row>
    <row r="521" spans="3:3" ht="15.75" customHeight="1" x14ac:dyDescent="0.2">
      <c r="C521" s="1"/>
    </row>
    <row r="522" spans="3:3" ht="15.75" customHeight="1" x14ac:dyDescent="0.2">
      <c r="C522" s="1"/>
    </row>
    <row r="523" spans="3:3" ht="15.75" customHeight="1" x14ac:dyDescent="0.2">
      <c r="C523" s="1"/>
    </row>
    <row r="524" spans="3:3" ht="15.75" customHeight="1" x14ac:dyDescent="0.2">
      <c r="C524" s="1"/>
    </row>
    <row r="525" spans="3:3" ht="15.75" customHeight="1" x14ac:dyDescent="0.2">
      <c r="C525" s="1"/>
    </row>
    <row r="526" spans="3:3" ht="15.75" customHeight="1" x14ac:dyDescent="0.2">
      <c r="C526" s="1"/>
    </row>
    <row r="527" spans="3:3" ht="15.75" customHeight="1" x14ac:dyDescent="0.2">
      <c r="C527" s="1"/>
    </row>
    <row r="528" spans="3:3" ht="15.75" customHeight="1" x14ac:dyDescent="0.2">
      <c r="C528" s="1"/>
    </row>
    <row r="529" spans="3:3" ht="15.75" customHeight="1" x14ac:dyDescent="0.2">
      <c r="C529" s="1"/>
    </row>
    <row r="530" spans="3:3" ht="15.75" customHeight="1" x14ac:dyDescent="0.2">
      <c r="C530" s="1"/>
    </row>
    <row r="531" spans="3:3" ht="15.75" customHeight="1" x14ac:dyDescent="0.2">
      <c r="C531" s="1"/>
    </row>
    <row r="532" spans="3:3" ht="15.75" customHeight="1" x14ac:dyDescent="0.2">
      <c r="C532" s="1"/>
    </row>
    <row r="533" spans="3:3" ht="15.75" customHeight="1" x14ac:dyDescent="0.2">
      <c r="C533" s="1"/>
    </row>
    <row r="534" spans="3:3" ht="15.75" customHeight="1" x14ac:dyDescent="0.2">
      <c r="C534" s="1"/>
    </row>
    <row r="535" spans="3:3" ht="15.75" customHeight="1" x14ac:dyDescent="0.2">
      <c r="C535" s="1"/>
    </row>
    <row r="536" spans="3:3" ht="15.75" customHeight="1" x14ac:dyDescent="0.2">
      <c r="C536" s="1"/>
    </row>
    <row r="537" spans="3:3" ht="15.75" customHeight="1" x14ac:dyDescent="0.2">
      <c r="C537" s="1"/>
    </row>
    <row r="538" spans="3:3" ht="15.75" customHeight="1" x14ac:dyDescent="0.2">
      <c r="C538" s="1"/>
    </row>
    <row r="539" spans="3:3" ht="15.75" customHeight="1" x14ac:dyDescent="0.2">
      <c r="C539" s="1"/>
    </row>
    <row r="540" spans="3:3" ht="15.75" customHeight="1" x14ac:dyDescent="0.2">
      <c r="C540" s="1"/>
    </row>
    <row r="541" spans="3:3" ht="15.75" customHeight="1" x14ac:dyDescent="0.2">
      <c r="C541" s="1"/>
    </row>
    <row r="542" spans="3:3" ht="15.75" customHeight="1" x14ac:dyDescent="0.2">
      <c r="C542" s="1"/>
    </row>
    <row r="543" spans="3:3" ht="15.75" customHeight="1" x14ac:dyDescent="0.2">
      <c r="C543" s="1"/>
    </row>
    <row r="544" spans="3:3" ht="15.75" customHeight="1" x14ac:dyDescent="0.2">
      <c r="C544" s="1"/>
    </row>
    <row r="545" spans="3:3" ht="15.75" customHeight="1" x14ac:dyDescent="0.2">
      <c r="C545" s="1"/>
    </row>
    <row r="546" spans="3:3" ht="15.75" customHeight="1" x14ac:dyDescent="0.2">
      <c r="C546" s="1"/>
    </row>
    <row r="547" spans="3:3" ht="15.75" customHeight="1" x14ac:dyDescent="0.2">
      <c r="C547" s="1"/>
    </row>
    <row r="548" spans="3:3" ht="15.75" customHeight="1" x14ac:dyDescent="0.2">
      <c r="C548" s="1"/>
    </row>
    <row r="549" spans="3:3" ht="15.75" customHeight="1" x14ac:dyDescent="0.2">
      <c r="C549" s="1"/>
    </row>
    <row r="550" spans="3:3" ht="15.75" customHeight="1" x14ac:dyDescent="0.2">
      <c r="C550" s="1"/>
    </row>
    <row r="551" spans="3:3" ht="15.75" customHeight="1" x14ac:dyDescent="0.2">
      <c r="C551" s="1"/>
    </row>
    <row r="552" spans="3:3" ht="15.75" customHeight="1" x14ac:dyDescent="0.2">
      <c r="C552" s="1"/>
    </row>
    <row r="553" spans="3:3" ht="15.75" customHeight="1" x14ac:dyDescent="0.2">
      <c r="C553" s="1"/>
    </row>
    <row r="554" spans="3:3" ht="15.75" customHeight="1" x14ac:dyDescent="0.2">
      <c r="C554" s="1"/>
    </row>
    <row r="555" spans="3:3" ht="15.75" customHeight="1" x14ac:dyDescent="0.2">
      <c r="C555" s="1"/>
    </row>
    <row r="556" spans="3:3" ht="15.75" customHeight="1" x14ac:dyDescent="0.2">
      <c r="C556" s="1"/>
    </row>
    <row r="557" spans="3:3" ht="15.75" customHeight="1" x14ac:dyDescent="0.2">
      <c r="C557" s="1"/>
    </row>
    <row r="558" spans="3:3" ht="15.75" customHeight="1" x14ac:dyDescent="0.2">
      <c r="C558" s="1"/>
    </row>
    <row r="559" spans="3:3" ht="15.75" customHeight="1" x14ac:dyDescent="0.2">
      <c r="C559" s="1"/>
    </row>
    <row r="560" spans="3:3" ht="15.75" customHeight="1" x14ac:dyDescent="0.2">
      <c r="C560" s="1"/>
    </row>
    <row r="561" spans="3:3" ht="15.75" customHeight="1" x14ac:dyDescent="0.2">
      <c r="C561" s="1"/>
    </row>
    <row r="562" spans="3:3" ht="15.75" customHeight="1" x14ac:dyDescent="0.2">
      <c r="C562" s="1"/>
    </row>
    <row r="563" spans="3:3" ht="15.75" customHeight="1" x14ac:dyDescent="0.2">
      <c r="C563" s="1"/>
    </row>
    <row r="564" spans="3:3" ht="15.75" customHeight="1" x14ac:dyDescent="0.2">
      <c r="C564" s="1"/>
    </row>
    <row r="565" spans="3:3" ht="15.75" customHeight="1" x14ac:dyDescent="0.2">
      <c r="C565" s="1"/>
    </row>
    <row r="566" spans="3:3" ht="15.75" customHeight="1" x14ac:dyDescent="0.2">
      <c r="C566" s="1"/>
    </row>
    <row r="567" spans="3:3" ht="15.75" customHeight="1" x14ac:dyDescent="0.2">
      <c r="C567" s="1"/>
    </row>
    <row r="568" spans="3:3" ht="15.75" customHeight="1" x14ac:dyDescent="0.2">
      <c r="C568" s="1"/>
    </row>
    <row r="569" spans="3:3" ht="15.75" customHeight="1" x14ac:dyDescent="0.2">
      <c r="C569" s="1"/>
    </row>
    <row r="570" spans="3:3" ht="15.75" customHeight="1" x14ac:dyDescent="0.2">
      <c r="C570" s="1"/>
    </row>
    <row r="571" spans="3:3" ht="15.75" customHeight="1" x14ac:dyDescent="0.2">
      <c r="C571" s="1"/>
    </row>
    <row r="572" spans="3:3" ht="15.75" customHeight="1" x14ac:dyDescent="0.2">
      <c r="C572" s="1"/>
    </row>
    <row r="573" spans="3:3" ht="15.75" customHeight="1" x14ac:dyDescent="0.2">
      <c r="C573" s="1"/>
    </row>
    <row r="574" spans="3:3" ht="15.75" customHeight="1" x14ac:dyDescent="0.2">
      <c r="C574" s="1"/>
    </row>
    <row r="575" spans="3:3" ht="15.75" customHeight="1" x14ac:dyDescent="0.2">
      <c r="C575" s="1"/>
    </row>
    <row r="576" spans="3:3" ht="15.75" customHeight="1" x14ac:dyDescent="0.2">
      <c r="C576" s="1"/>
    </row>
    <row r="577" spans="3:3" ht="15.75" customHeight="1" x14ac:dyDescent="0.2">
      <c r="C577" s="1"/>
    </row>
    <row r="578" spans="3:3" ht="15.75" customHeight="1" x14ac:dyDescent="0.2">
      <c r="C578" s="1"/>
    </row>
    <row r="579" spans="3:3" ht="15.75" customHeight="1" x14ac:dyDescent="0.2">
      <c r="C579" s="1"/>
    </row>
    <row r="580" spans="3:3" ht="15.75" customHeight="1" x14ac:dyDescent="0.2">
      <c r="C580" s="1"/>
    </row>
    <row r="581" spans="3:3" ht="15.75" customHeight="1" x14ac:dyDescent="0.2">
      <c r="C581" s="1"/>
    </row>
    <row r="582" spans="3:3" ht="15.75" customHeight="1" x14ac:dyDescent="0.2">
      <c r="C582" s="1"/>
    </row>
    <row r="583" spans="3:3" ht="15.75" customHeight="1" x14ac:dyDescent="0.2">
      <c r="C583" s="1"/>
    </row>
    <row r="584" spans="3:3" ht="15.75" customHeight="1" x14ac:dyDescent="0.2">
      <c r="C584" s="1"/>
    </row>
    <row r="585" spans="3:3" ht="15.75" customHeight="1" x14ac:dyDescent="0.2">
      <c r="C585" s="1"/>
    </row>
    <row r="586" spans="3:3" ht="15.75" customHeight="1" x14ac:dyDescent="0.2">
      <c r="C586" s="1"/>
    </row>
    <row r="587" spans="3:3" ht="15.75" customHeight="1" x14ac:dyDescent="0.2">
      <c r="C587" s="1"/>
    </row>
    <row r="588" spans="3:3" ht="15.75" customHeight="1" x14ac:dyDescent="0.2">
      <c r="C588" s="1"/>
    </row>
    <row r="589" spans="3:3" ht="15.75" customHeight="1" x14ac:dyDescent="0.2">
      <c r="C589" s="1"/>
    </row>
    <row r="590" spans="3:3" ht="15.75" customHeight="1" x14ac:dyDescent="0.2">
      <c r="C590" s="1"/>
    </row>
    <row r="591" spans="3:3" ht="15.75" customHeight="1" x14ac:dyDescent="0.2">
      <c r="C591" s="1"/>
    </row>
    <row r="592" spans="3:3" ht="15.75" customHeight="1" x14ac:dyDescent="0.2">
      <c r="C592" s="1"/>
    </row>
    <row r="593" spans="3:3" ht="15.75" customHeight="1" x14ac:dyDescent="0.2">
      <c r="C593" s="1"/>
    </row>
    <row r="594" spans="3:3" ht="15.75" customHeight="1" x14ac:dyDescent="0.2">
      <c r="C594" s="1"/>
    </row>
    <row r="595" spans="3:3" ht="15.75" customHeight="1" x14ac:dyDescent="0.2">
      <c r="C595" s="1"/>
    </row>
    <row r="596" spans="3:3" ht="15.75" customHeight="1" x14ac:dyDescent="0.2">
      <c r="C596" s="1"/>
    </row>
    <row r="597" spans="3:3" ht="15.75" customHeight="1" x14ac:dyDescent="0.2">
      <c r="C597" s="1"/>
    </row>
    <row r="598" spans="3:3" ht="15.75" customHeight="1" x14ac:dyDescent="0.2">
      <c r="C598" s="1"/>
    </row>
    <row r="599" spans="3:3" ht="15.75" customHeight="1" x14ac:dyDescent="0.2">
      <c r="C599" s="1"/>
    </row>
    <row r="600" spans="3:3" ht="15.75" customHeight="1" x14ac:dyDescent="0.2">
      <c r="C600" s="1"/>
    </row>
    <row r="601" spans="3:3" ht="15.75" customHeight="1" x14ac:dyDescent="0.2">
      <c r="C601" s="1"/>
    </row>
    <row r="602" spans="3:3" ht="15.75" customHeight="1" x14ac:dyDescent="0.2">
      <c r="C602" s="1"/>
    </row>
    <row r="603" spans="3:3" ht="15.75" customHeight="1" x14ac:dyDescent="0.2">
      <c r="C603" s="1"/>
    </row>
    <row r="604" spans="3:3" ht="15.75" customHeight="1" x14ac:dyDescent="0.2">
      <c r="C604" s="1"/>
    </row>
    <row r="605" spans="3:3" ht="15.75" customHeight="1" x14ac:dyDescent="0.2">
      <c r="C605" s="1"/>
    </row>
    <row r="606" spans="3:3" ht="15.75" customHeight="1" x14ac:dyDescent="0.2">
      <c r="C606" s="1"/>
    </row>
    <row r="607" spans="3:3" ht="15.75" customHeight="1" x14ac:dyDescent="0.2">
      <c r="C607" s="1"/>
    </row>
    <row r="608" spans="3:3" ht="15.75" customHeight="1" x14ac:dyDescent="0.2">
      <c r="C608" s="1"/>
    </row>
    <row r="609" spans="3:3" ht="15.75" customHeight="1" x14ac:dyDescent="0.2">
      <c r="C609" s="1"/>
    </row>
    <row r="610" spans="3:3" ht="15.75" customHeight="1" x14ac:dyDescent="0.2">
      <c r="C610" s="1"/>
    </row>
    <row r="611" spans="3:3" ht="15.75" customHeight="1" x14ac:dyDescent="0.2">
      <c r="C611" s="1"/>
    </row>
    <row r="612" spans="3:3" ht="15.75" customHeight="1" x14ac:dyDescent="0.2">
      <c r="C612" s="1"/>
    </row>
    <row r="613" spans="3:3" ht="15.75" customHeight="1" x14ac:dyDescent="0.2">
      <c r="C613" s="1"/>
    </row>
    <row r="614" spans="3:3" ht="15.75" customHeight="1" x14ac:dyDescent="0.2">
      <c r="C614" s="1"/>
    </row>
    <row r="615" spans="3:3" ht="15.75" customHeight="1" x14ac:dyDescent="0.2">
      <c r="C615" s="1"/>
    </row>
    <row r="616" spans="3:3" ht="15.75" customHeight="1" x14ac:dyDescent="0.2">
      <c r="C616" s="1"/>
    </row>
    <row r="617" spans="3:3" ht="15.75" customHeight="1" x14ac:dyDescent="0.2">
      <c r="C617" s="1"/>
    </row>
    <row r="618" spans="3:3" ht="15.75" customHeight="1" x14ac:dyDescent="0.2">
      <c r="C618" s="1"/>
    </row>
    <row r="619" spans="3:3" ht="15.75" customHeight="1" x14ac:dyDescent="0.2">
      <c r="C619" s="1"/>
    </row>
    <row r="620" spans="3:3" ht="15.75" customHeight="1" x14ac:dyDescent="0.2">
      <c r="C620" s="1"/>
    </row>
    <row r="621" spans="3:3" ht="15.75" customHeight="1" x14ac:dyDescent="0.2">
      <c r="C621" s="1"/>
    </row>
    <row r="622" spans="3:3" ht="15.75" customHeight="1" x14ac:dyDescent="0.2">
      <c r="C622" s="1"/>
    </row>
    <row r="623" spans="3:3" ht="15.75" customHeight="1" x14ac:dyDescent="0.2">
      <c r="C623" s="1"/>
    </row>
    <row r="624" spans="3:3" ht="15.75" customHeight="1" x14ac:dyDescent="0.2">
      <c r="C624" s="1"/>
    </row>
    <row r="625" spans="3:3" ht="15.75" customHeight="1" x14ac:dyDescent="0.2">
      <c r="C625" s="1"/>
    </row>
    <row r="626" spans="3:3" ht="15.75" customHeight="1" x14ac:dyDescent="0.2">
      <c r="C626" s="1"/>
    </row>
    <row r="627" spans="3:3" ht="15.75" customHeight="1" x14ac:dyDescent="0.2">
      <c r="C627" s="1"/>
    </row>
    <row r="628" spans="3:3" ht="15.75" customHeight="1" x14ac:dyDescent="0.2">
      <c r="C628" s="1"/>
    </row>
    <row r="629" spans="3:3" ht="15.75" customHeight="1" x14ac:dyDescent="0.2">
      <c r="C629" s="1"/>
    </row>
    <row r="630" spans="3:3" ht="15.75" customHeight="1" x14ac:dyDescent="0.2">
      <c r="C630" s="1"/>
    </row>
    <row r="631" spans="3:3" ht="15.75" customHeight="1" x14ac:dyDescent="0.2">
      <c r="C631" s="1"/>
    </row>
    <row r="632" spans="3:3" ht="15.75" customHeight="1" x14ac:dyDescent="0.2">
      <c r="C632" s="1"/>
    </row>
    <row r="633" spans="3:3" ht="15.75" customHeight="1" x14ac:dyDescent="0.2">
      <c r="C633" s="1"/>
    </row>
    <row r="634" spans="3:3" ht="15.75" customHeight="1" x14ac:dyDescent="0.2">
      <c r="C634" s="1"/>
    </row>
    <row r="635" spans="3:3" ht="15.75" customHeight="1" x14ac:dyDescent="0.2">
      <c r="C635" s="1"/>
    </row>
    <row r="636" spans="3:3" ht="15.75" customHeight="1" x14ac:dyDescent="0.2">
      <c r="C636" s="1"/>
    </row>
    <row r="637" spans="3:3" ht="15.75" customHeight="1" x14ac:dyDescent="0.2">
      <c r="C637" s="1"/>
    </row>
    <row r="638" spans="3:3" ht="15.75" customHeight="1" x14ac:dyDescent="0.2">
      <c r="C638" s="1"/>
    </row>
    <row r="639" spans="3:3" ht="15.75" customHeight="1" x14ac:dyDescent="0.2">
      <c r="C639" s="1"/>
    </row>
    <row r="640" spans="3:3" ht="15.75" customHeight="1" x14ac:dyDescent="0.2">
      <c r="C640" s="1"/>
    </row>
    <row r="641" spans="3:3" ht="15.75" customHeight="1" x14ac:dyDescent="0.2">
      <c r="C641" s="1"/>
    </row>
    <row r="642" spans="3:3" ht="15.75" customHeight="1" x14ac:dyDescent="0.2">
      <c r="C642" s="1"/>
    </row>
    <row r="643" spans="3:3" ht="15.75" customHeight="1" x14ac:dyDescent="0.2">
      <c r="C643" s="1"/>
    </row>
    <row r="644" spans="3:3" ht="15.75" customHeight="1" x14ac:dyDescent="0.2">
      <c r="C644" s="1"/>
    </row>
    <row r="645" spans="3:3" ht="15.75" customHeight="1" x14ac:dyDescent="0.2">
      <c r="C645" s="1"/>
    </row>
    <row r="646" spans="3:3" ht="15.75" customHeight="1" x14ac:dyDescent="0.2">
      <c r="C646" s="1"/>
    </row>
    <row r="647" spans="3:3" ht="15.75" customHeight="1" x14ac:dyDescent="0.2">
      <c r="C647" s="1"/>
    </row>
    <row r="648" spans="3:3" ht="15.75" customHeight="1" x14ac:dyDescent="0.2">
      <c r="C648" s="1"/>
    </row>
    <row r="649" spans="3:3" ht="15.75" customHeight="1" x14ac:dyDescent="0.2">
      <c r="C649" s="1"/>
    </row>
    <row r="650" spans="3:3" ht="15.75" customHeight="1" x14ac:dyDescent="0.2">
      <c r="C650" s="1"/>
    </row>
    <row r="651" spans="3:3" ht="15.75" customHeight="1" x14ac:dyDescent="0.2">
      <c r="C651" s="1"/>
    </row>
    <row r="652" spans="3:3" ht="15.75" customHeight="1" x14ac:dyDescent="0.2">
      <c r="C652" s="1"/>
    </row>
    <row r="653" spans="3:3" ht="15.75" customHeight="1" x14ac:dyDescent="0.2">
      <c r="C653" s="1"/>
    </row>
    <row r="654" spans="3:3" ht="15.75" customHeight="1" x14ac:dyDescent="0.2">
      <c r="C654" s="1"/>
    </row>
    <row r="655" spans="3:3" ht="15.75" customHeight="1" x14ac:dyDescent="0.2">
      <c r="C655" s="1"/>
    </row>
    <row r="656" spans="3:3" ht="15.75" customHeight="1" x14ac:dyDescent="0.2">
      <c r="C656" s="1"/>
    </row>
    <row r="657" spans="3:3" ht="15.75" customHeight="1" x14ac:dyDescent="0.2">
      <c r="C657" s="1"/>
    </row>
    <row r="658" spans="3:3" ht="15.75" customHeight="1" x14ac:dyDescent="0.2">
      <c r="C658" s="1"/>
    </row>
    <row r="659" spans="3:3" ht="15.75" customHeight="1" x14ac:dyDescent="0.2">
      <c r="C659" s="1"/>
    </row>
    <row r="660" spans="3:3" ht="15.75" customHeight="1" x14ac:dyDescent="0.2">
      <c r="C660" s="1"/>
    </row>
    <row r="661" spans="3:3" ht="15.75" customHeight="1" x14ac:dyDescent="0.2">
      <c r="C661" s="1"/>
    </row>
    <row r="662" spans="3:3" ht="15.75" customHeight="1" x14ac:dyDescent="0.2">
      <c r="C662" s="1"/>
    </row>
    <row r="663" spans="3:3" ht="15.75" customHeight="1" x14ac:dyDescent="0.2">
      <c r="C663" s="1"/>
    </row>
    <row r="664" spans="3:3" ht="15.75" customHeight="1" x14ac:dyDescent="0.2">
      <c r="C664" s="1"/>
    </row>
    <row r="665" spans="3:3" ht="15.75" customHeight="1" x14ac:dyDescent="0.2">
      <c r="C665" s="1"/>
    </row>
    <row r="666" spans="3:3" ht="15.75" customHeight="1" x14ac:dyDescent="0.2">
      <c r="C666" s="1"/>
    </row>
    <row r="667" spans="3:3" ht="15.75" customHeight="1" x14ac:dyDescent="0.2">
      <c r="C667" s="1"/>
    </row>
    <row r="668" spans="3:3" ht="15.75" customHeight="1" x14ac:dyDescent="0.2">
      <c r="C668" s="1"/>
    </row>
    <row r="669" spans="3:3" ht="15.75" customHeight="1" x14ac:dyDescent="0.2">
      <c r="C669" s="1"/>
    </row>
    <row r="670" spans="3:3" ht="15.75" customHeight="1" x14ac:dyDescent="0.2">
      <c r="C670" s="1"/>
    </row>
    <row r="671" spans="3:3" ht="15.75" customHeight="1" x14ac:dyDescent="0.2">
      <c r="C671" s="1"/>
    </row>
    <row r="672" spans="3:3" ht="15.75" customHeight="1" x14ac:dyDescent="0.2">
      <c r="C672" s="1"/>
    </row>
    <row r="673" spans="3:3" ht="15.75" customHeight="1" x14ac:dyDescent="0.2">
      <c r="C673" s="1"/>
    </row>
    <row r="674" spans="3:3" ht="15.75" customHeight="1" x14ac:dyDescent="0.2">
      <c r="C674" s="1"/>
    </row>
    <row r="675" spans="3:3" ht="15.75" customHeight="1" x14ac:dyDescent="0.2">
      <c r="C675" s="1"/>
    </row>
    <row r="676" spans="3:3" ht="15.75" customHeight="1" x14ac:dyDescent="0.2">
      <c r="C676" s="1"/>
    </row>
    <row r="677" spans="3:3" ht="15.75" customHeight="1" x14ac:dyDescent="0.2">
      <c r="C677" s="1"/>
    </row>
    <row r="678" spans="3:3" ht="15.75" customHeight="1" x14ac:dyDescent="0.2">
      <c r="C678" s="1"/>
    </row>
    <row r="679" spans="3:3" ht="15.75" customHeight="1" x14ac:dyDescent="0.2">
      <c r="C679" s="1"/>
    </row>
    <row r="680" spans="3:3" ht="15.75" customHeight="1" x14ac:dyDescent="0.2">
      <c r="C680" s="1"/>
    </row>
    <row r="681" spans="3:3" ht="15.75" customHeight="1" x14ac:dyDescent="0.2">
      <c r="C681" s="1"/>
    </row>
    <row r="682" spans="3:3" ht="15.75" customHeight="1" x14ac:dyDescent="0.2">
      <c r="C682" s="1"/>
    </row>
    <row r="683" spans="3:3" ht="15.75" customHeight="1" x14ac:dyDescent="0.2">
      <c r="C683" s="1"/>
    </row>
    <row r="684" spans="3:3" ht="15.75" customHeight="1" x14ac:dyDescent="0.2">
      <c r="C684" s="1"/>
    </row>
    <row r="685" spans="3:3" ht="15.75" customHeight="1" x14ac:dyDescent="0.2">
      <c r="C685" s="1"/>
    </row>
    <row r="686" spans="3:3" ht="15.75" customHeight="1" x14ac:dyDescent="0.2">
      <c r="C686" s="1"/>
    </row>
    <row r="687" spans="3:3" ht="15.75" customHeight="1" x14ac:dyDescent="0.2">
      <c r="C687" s="1"/>
    </row>
    <row r="688" spans="3:3" ht="15.75" customHeight="1" x14ac:dyDescent="0.2">
      <c r="C688" s="1"/>
    </row>
    <row r="689" spans="3:3" ht="15.75" customHeight="1" x14ac:dyDescent="0.2">
      <c r="C689" s="1"/>
    </row>
    <row r="690" spans="3:3" ht="15.75" customHeight="1" x14ac:dyDescent="0.2">
      <c r="C690" s="1"/>
    </row>
    <row r="691" spans="3:3" ht="15.75" customHeight="1" x14ac:dyDescent="0.2">
      <c r="C691" s="1"/>
    </row>
    <row r="692" spans="3:3" ht="15.75" customHeight="1" x14ac:dyDescent="0.2">
      <c r="C692" s="1"/>
    </row>
    <row r="693" spans="3:3" ht="15.75" customHeight="1" x14ac:dyDescent="0.2">
      <c r="C693" s="1"/>
    </row>
    <row r="694" spans="3:3" ht="15.75" customHeight="1" x14ac:dyDescent="0.2">
      <c r="C694" s="1"/>
    </row>
    <row r="695" spans="3:3" ht="15.75" customHeight="1" x14ac:dyDescent="0.2">
      <c r="C695" s="1"/>
    </row>
    <row r="696" spans="3:3" ht="15.75" customHeight="1" x14ac:dyDescent="0.2">
      <c r="C696" s="1"/>
    </row>
    <row r="697" spans="3:3" ht="15.75" customHeight="1" x14ac:dyDescent="0.2">
      <c r="C697" s="1"/>
    </row>
    <row r="698" spans="3:3" ht="15.75" customHeight="1" x14ac:dyDescent="0.2">
      <c r="C698" s="1"/>
    </row>
    <row r="699" spans="3:3" ht="15.75" customHeight="1" x14ac:dyDescent="0.2">
      <c r="C699" s="1"/>
    </row>
    <row r="700" spans="3:3" ht="15.75" customHeight="1" x14ac:dyDescent="0.2">
      <c r="C700" s="1"/>
    </row>
    <row r="701" spans="3:3" ht="15.75" customHeight="1" x14ac:dyDescent="0.2">
      <c r="C701" s="1"/>
    </row>
    <row r="702" spans="3:3" ht="15.75" customHeight="1" x14ac:dyDescent="0.2">
      <c r="C702" s="1"/>
    </row>
    <row r="703" spans="3:3" ht="15.75" customHeight="1" x14ac:dyDescent="0.2">
      <c r="C703" s="1"/>
    </row>
    <row r="704" spans="3:3" ht="15.75" customHeight="1" x14ac:dyDescent="0.2">
      <c r="C704" s="1"/>
    </row>
    <row r="705" spans="3:3" ht="15.75" customHeight="1" x14ac:dyDescent="0.2">
      <c r="C705" s="1"/>
    </row>
    <row r="706" spans="3:3" ht="15.75" customHeight="1" x14ac:dyDescent="0.2">
      <c r="C706" s="1"/>
    </row>
    <row r="707" spans="3:3" ht="15.75" customHeight="1" x14ac:dyDescent="0.2">
      <c r="C707" s="1"/>
    </row>
    <row r="708" spans="3:3" ht="15.75" customHeight="1" x14ac:dyDescent="0.2">
      <c r="C708" s="1"/>
    </row>
    <row r="709" spans="3:3" ht="15.75" customHeight="1" x14ac:dyDescent="0.2">
      <c r="C709" s="1"/>
    </row>
    <row r="710" spans="3:3" ht="15.75" customHeight="1" x14ac:dyDescent="0.2">
      <c r="C710" s="1"/>
    </row>
    <row r="711" spans="3:3" ht="15.75" customHeight="1" x14ac:dyDescent="0.2">
      <c r="C711" s="1"/>
    </row>
    <row r="712" spans="3:3" ht="15.75" customHeight="1" x14ac:dyDescent="0.2">
      <c r="C712" s="1"/>
    </row>
    <row r="713" spans="3:3" ht="15.75" customHeight="1" x14ac:dyDescent="0.2">
      <c r="C713" s="1"/>
    </row>
    <row r="714" spans="3:3" ht="15.75" customHeight="1" x14ac:dyDescent="0.2">
      <c r="C714" s="1"/>
    </row>
    <row r="715" spans="3:3" ht="15.75" customHeight="1" x14ac:dyDescent="0.2">
      <c r="C715" s="1"/>
    </row>
    <row r="716" spans="3:3" ht="15.75" customHeight="1" x14ac:dyDescent="0.2">
      <c r="C716" s="1"/>
    </row>
    <row r="717" spans="3:3" ht="15.75" customHeight="1" x14ac:dyDescent="0.2">
      <c r="C717" s="1"/>
    </row>
    <row r="718" spans="3:3" ht="15.75" customHeight="1" x14ac:dyDescent="0.2">
      <c r="C718" s="1"/>
    </row>
    <row r="719" spans="3:3" ht="15.75" customHeight="1" x14ac:dyDescent="0.2">
      <c r="C719" s="1"/>
    </row>
    <row r="720" spans="3:3" ht="15.75" customHeight="1" x14ac:dyDescent="0.2">
      <c r="C720" s="1"/>
    </row>
    <row r="721" spans="3:3" ht="15.75" customHeight="1" x14ac:dyDescent="0.2">
      <c r="C721" s="1"/>
    </row>
    <row r="722" spans="3:3" ht="15.75" customHeight="1" x14ac:dyDescent="0.2">
      <c r="C722" s="1"/>
    </row>
    <row r="723" spans="3:3" ht="15.75" customHeight="1" x14ac:dyDescent="0.2">
      <c r="C723" s="1"/>
    </row>
    <row r="724" spans="3:3" ht="15.75" customHeight="1" x14ac:dyDescent="0.2">
      <c r="C724" s="1"/>
    </row>
    <row r="725" spans="3:3" ht="15.75" customHeight="1" x14ac:dyDescent="0.2">
      <c r="C725" s="1"/>
    </row>
    <row r="726" spans="3:3" ht="15.75" customHeight="1" x14ac:dyDescent="0.2">
      <c r="C726" s="1"/>
    </row>
    <row r="727" spans="3:3" ht="15.75" customHeight="1" x14ac:dyDescent="0.2">
      <c r="C727" s="1"/>
    </row>
    <row r="728" spans="3:3" ht="15.75" customHeight="1" x14ac:dyDescent="0.2">
      <c r="C728" s="1"/>
    </row>
    <row r="729" spans="3:3" ht="15.75" customHeight="1" x14ac:dyDescent="0.2">
      <c r="C729" s="1"/>
    </row>
    <row r="730" spans="3:3" ht="15.75" customHeight="1" x14ac:dyDescent="0.2">
      <c r="C730" s="1"/>
    </row>
    <row r="731" spans="3:3" ht="15.75" customHeight="1" x14ac:dyDescent="0.2">
      <c r="C731" s="1"/>
    </row>
    <row r="732" spans="3:3" ht="15.75" customHeight="1" x14ac:dyDescent="0.2">
      <c r="C732" s="1"/>
    </row>
    <row r="733" spans="3:3" ht="15.75" customHeight="1" x14ac:dyDescent="0.2">
      <c r="C733" s="1"/>
    </row>
    <row r="734" spans="3:3" ht="15.75" customHeight="1" x14ac:dyDescent="0.2">
      <c r="C734" s="1"/>
    </row>
    <row r="735" spans="3:3" ht="15.75" customHeight="1" x14ac:dyDescent="0.2">
      <c r="C735" s="1"/>
    </row>
    <row r="736" spans="3:3" ht="15.75" customHeight="1" x14ac:dyDescent="0.2">
      <c r="C736" s="1"/>
    </row>
    <row r="737" spans="3:3" ht="15.75" customHeight="1" x14ac:dyDescent="0.2">
      <c r="C737" s="1"/>
    </row>
    <row r="738" spans="3:3" ht="15.75" customHeight="1" x14ac:dyDescent="0.2">
      <c r="C738" s="1"/>
    </row>
    <row r="739" spans="3:3" ht="15.75" customHeight="1" x14ac:dyDescent="0.2">
      <c r="C739" s="1"/>
    </row>
    <row r="740" spans="3:3" ht="15.75" customHeight="1" x14ac:dyDescent="0.2">
      <c r="C740" s="1"/>
    </row>
    <row r="741" spans="3:3" ht="15.75" customHeight="1" x14ac:dyDescent="0.2">
      <c r="C741" s="1"/>
    </row>
    <row r="742" spans="3:3" ht="15.75" customHeight="1" x14ac:dyDescent="0.2">
      <c r="C742" s="1"/>
    </row>
    <row r="743" spans="3:3" ht="15.75" customHeight="1" x14ac:dyDescent="0.2">
      <c r="C743" s="1"/>
    </row>
    <row r="744" spans="3:3" ht="15.75" customHeight="1" x14ac:dyDescent="0.2">
      <c r="C744" s="1"/>
    </row>
    <row r="745" spans="3:3" ht="15.75" customHeight="1" x14ac:dyDescent="0.2">
      <c r="C745" s="1"/>
    </row>
    <row r="746" spans="3:3" ht="15.75" customHeight="1" x14ac:dyDescent="0.2">
      <c r="C746" s="1"/>
    </row>
    <row r="747" spans="3:3" ht="15.75" customHeight="1" x14ac:dyDescent="0.2">
      <c r="C747" s="1"/>
    </row>
    <row r="748" spans="3:3" ht="15.75" customHeight="1" x14ac:dyDescent="0.2">
      <c r="C748" s="1"/>
    </row>
    <row r="749" spans="3:3" ht="15.75" customHeight="1" x14ac:dyDescent="0.2">
      <c r="C749" s="1"/>
    </row>
    <row r="750" spans="3:3" ht="15.75" customHeight="1" x14ac:dyDescent="0.2">
      <c r="C750" s="1"/>
    </row>
    <row r="751" spans="3:3" ht="15.75" customHeight="1" x14ac:dyDescent="0.2">
      <c r="C751" s="1"/>
    </row>
    <row r="752" spans="3:3" ht="15.75" customHeight="1" x14ac:dyDescent="0.2">
      <c r="C752" s="1"/>
    </row>
    <row r="753" spans="3:3" ht="15.75" customHeight="1" x14ac:dyDescent="0.2">
      <c r="C753" s="1"/>
    </row>
    <row r="754" spans="3:3" ht="15.75" customHeight="1" x14ac:dyDescent="0.2">
      <c r="C754" s="1"/>
    </row>
    <row r="755" spans="3:3" ht="15.75" customHeight="1" x14ac:dyDescent="0.2">
      <c r="C755" s="1"/>
    </row>
    <row r="756" spans="3:3" ht="15.75" customHeight="1" x14ac:dyDescent="0.2">
      <c r="C756" s="1"/>
    </row>
    <row r="757" spans="3:3" ht="15.75" customHeight="1" x14ac:dyDescent="0.2">
      <c r="C757" s="1"/>
    </row>
    <row r="758" spans="3:3" ht="15.75" customHeight="1" x14ac:dyDescent="0.2">
      <c r="C758" s="1"/>
    </row>
    <row r="759" spans="3:3" ht="15.75" customHeight="1" x14ac:dyDescent="0.2">
      <c r="C759" s="1"/>
    </row>
    <row r="760" spans="3:3" ht="15.75" customHeight="1" x14ac:dyDescent="0.2">
      <c r="C760" s="1"/>
    </row>
    <row r="761" spans="3:3" ht="15.75" customHeight="1" x14ac:dyDescent="0.2">
      <c r="C761" s="1"/>
    </row>
    <row r="762" spans="3:3" ht="15.75" customHeight="1" x14ac:dyDescent="0.2">
      <c r="C762" s="1"/>
    </row>
    <row r="763" spans="3:3" ht="15.75" customHeight="1" x14ac:dyDescent="0.2">
      <c r="C763" s="1"/>
    </row>
    <row r="764" spans="3:3" ht="15.75" customHeight="1" x14ac:dyDescent="0.2">
      <c r="C764" s="1"/>
    </row>
    <row r="765" spans="3:3" ht="15.75" customHeight="1" x14ac:dyDescent="0.2">
      <c r="C765" s="1"/>
    </row>
    <row r="766" spans="3:3" ht="15.75" customHeight="1" x14ac:dyDescent="0.2">
      <c r="C766" s="1"/>
    </row>
    <row r="767" spans="3:3" ht="15.75" customHeight="1" x14ac:dyDescent="0.2">
      <c r="C767" s="1"/>
    </row>
    <row r="768" spans="3:3" ht="15.75" customHeight="1" x14ac:dyDescent="0.2">
      <c r="C768" s="1"/>
    </row>
    <row r="769" spans="3:3" ht="15.75" customHeight="1" x14ac:dyDescent="0.2">
      <c r="C769" s="1"/>
    </row>
    <row r="770" spans="3:3" ht="15.75" customHeight="1" x14ac:dyDescent="0.2">
      <c r="C770" s="1"/>
    </row>
    <row r="771" spans="3:3" ht="15.75" customHeight="1" x14ac:dyDescent="0.2">
      <c r="C771" s="1"/>
    </row>
    <row r="772" spans="3:3" ht="15.75" customHeight="1" x14ac:dyDescent="0.2">
      <c r="C772" s="1"/>
    </row>
    <row r="773" spans="3:3" ht="15.75" customHeight="1" x14ac:dyDescent="0.2">
      <c r="C773" s="1"/>
    </row>
    <row r="774" spans="3:3" ht="15.75" customHeight="1" x14ac:dyDescent="0.2">
      <c r="C774" s="1"/>
    </row>
    <row r="775" spans="3:3" ht="15.75" customHeight="1" x14ac:dyDescent="0.2">
      <c r="C775" s="1"/>
    </row>
    <row r="776" spans="3:3" ht="15.75" customHeight="1" x14ac:dyDescent="0.2">
      <c r="C776" s="1"/>
    </row>
    <row r="777" spans="3:3" ht="15.75" customHeight="1" x14ac:dyDescent="0.2">
      <c r="C777" s="1"/>
    </row>
    <row r="778" spans="3:3" ht="15.75" customHeight="1" x14ac:dyDescent="0.2">
      <c r="C778" s="1"/>
    </row>
    <row r="779" spans="3:3" ht="15.75" customHeight="1" x14ac:dyDescent="0.2">
      <c r="C779" s="1"/>
    </row>
    <row r="780" spans="3:3" ht="15.75" customHeight="1" x14ac:dyDescent="0.2">
      <c r="C780" s="1"/>
    </row>
    <row r="781" spans="3:3" ht="15.75" customHeight="1" x14ac:dyDescent="0.2">
      <c r="C781" s="1"/>
    </row>
    <row r="782" spans="3:3" ht="15.75" customHeight="1" x14ac:dyDescent="0.2">
      <c r="C782" s="1"/>
    </row>
    <row r="783" spans="3:3" ht="15.75" customHeight="1" x14ac:dyDescent="0.2">
      <c r="C783" s="1"/>
    </row>
    <row r="784" spans="3:3" ht="15.75" customHeight="1" x14ac:dyDescent="0.2">
      <c r="C784" s="1"/>
    </row>
    <row r="785" spans="3:3" ht="15.75" customHeight="1" x14ac:dyDescent="0.2">
      <c r="C785" s="1"/>
    </row>
    <row r="786" spans="3:3" ht="15.75" customHeight="1" x14ac:dyDescent="0.2">
      <c r="C786" s="1"/>
    </row>
    <row r="787" spans="3:3" ht="15.75" customHeight="1" x14ac:dyDescent="0.2">
      <c r="C787" s="1"/>
    </row>
    <row r="788" spans="3:3" ht="15.75" customHeight="1" x14ac:dyDescent="0.2">
      <c r="C788" s="1"/>
    </row>
    <row r="789" spans="3:3" ht="15.75" customHeight="1" x14ac:dyDescent="0.2">
      <c r="C789" s="1"/>
    </row>
    <row r="790" spans="3:3" ht="15.75" customHeight="1" x14ac:dyDescent="0.2">
      <c r="C790" s="1"/>
    </row>
    <row r="791" spans="3:3" ht="15.75" customHeight="1" x14ac:dyDescent="0.2">
      <c r="C791" s="1"/>
    </row>
    <row r="792" spans="3:3" ht="15.75" customHeight="1" x14ac:dyDescent="0.2">
      <c r="C792" s="1"/>
    </row>
    <row r="793" spans="3:3" ht="15.75" customHeight="1" x14ac:dyDescent="0.2">
      <c r="C793" s="1"/>
    </row>
    <row r="794" spans="3:3" ht="15.75" customHeight="1" x14ac:dyDescent="0.2">
      <c r="C794" s="1"/>
    </row>
    <row r="795" spans="3:3" ht="15.75" customHeight="1" x14ac:dyDescent="0.2">
      <c r="C795" s="1"/>
    </row>
    <row r="796" spans="3:3" ht="15.75" customHeight="1" x14ac:dyDescent="0.2">
      <c r="C796" s="1"/>
    </row>
    <row r="797" spans="3:3" ht="15.75" customHeight="1" x14ac:dyDescent="0.2">
      <c r="C797" s="1"/>
    </row>
    <row r="798" spans="3:3" ht="15.75" customHeight="1" x14ac:dyDescent="0.2">
      <c r="C798" s="1"/>
    </row>
    <row r="799" spans="3:3" ht="15.75" customHeight="1" x14ac:dyDescent="0.2">
      <c r="C799" s="1"/>
    </row>
    <row r="800" spans="3:3" ht="15.75" customHeight="1" x14ac:dyDescent="0.2">
      <c r="C800" s="1"/>
    </row>
    <row r="801" spans="3:3" ht="15.75" customHeight="1" x14ac:dyDescent="0.2">
      <c r="C801" s="1"/>
    </row>
    <row r="802" spans="3:3" ht="15.75" customHeight="1" x14ac:dyDescent="0.2">
      <c r="C802" s="1"/>
    </row>
    <row r="803" spans="3:3" ht="15.75" customHeight="1" x14ac:dyDescent="0.2">
      <c r="C803" s="1"/>
    </row>
    <row r="804" spans="3:3" ht="15.75" customHeight="1" x14ac:dyDescent="0.2">
      <c r="C804" s="1"/>
    </row>
    <row r="805" spans="3:3" ht="15.75" customHeight="1" x14ac:dyDescent="0.2">
      <c r="C805" s="1"/>
    </row>
    <row r="806" spans="3:3" ht="15.75" customHeight="1" x14ac:dyDescent="0.2">
      <c r="C806" s="1"/>
    </row>
    <row r="807" spans="3:3" ht="15.75" customHeight="1" x14ac:dyDescent="0.2">
      <c r="C807" s="1"/>
    </row>
    <row r="808" spans="3:3" ht="15.75" customHeight="1" x14ac:dyDescent="0.2">
      <c r="C808" s="1"/>
    </row>
    <row r="809" spans="3:3" ht="15.75" customHeight="1" x14ac:dyDescent="0.2">
      <c r="C809" s="1"/>
    </row>
    <row r="810" spans="3:3" ht="15.75" customHeight="1" x14ac:dyDescent="0.2">
      <c r="C810" s="1"/>
    </row>
    <row r="811" spans="3:3" ht="15.75" customHeight="1" x14ac:dyDescent="0.2">
      <c r="C811" s="1"/>
    </row>
    <row r="812" spans="3:3" ht="15.75" customHeight="1" x14ac:dyDescent="0.2">
      <c r="C812" s="1"/>
    </row>
    <row r="813" spans="3:3" ht="15.75" customHeight="1" x14ac:dyDescent="0.2">
      <c r="C813" s="1"/>
    </row>
    <row r="814" spans="3:3" ht="15.75" customHeight="1" x14ac:dyDescent="0.2">
      <c r="C814" s="1"/>
    </row>
    <row r="815" spans="3:3" ht="15.75" customHeight="1" x14ac:dyDescent="0.2">
      <c r="C815" s="1"/>
    </row>
    <row r="816" spans="3:3" ht="15.75" customHeight="1" x14ac:dyDescent="0.2">
      <c r="C816" s="1"/>
    </row>
    <row r="817" spans="3:3" ht="15.75" customHeight="1" x14ac:dyDescent="0.2">
      <c r="C817" s="1"/>
    </row>
    <row r="818" spans="3:3" ht="15.75" customHeight="1" x14ac:dyDescent="0.2">
      <c r="C818" s="1"/>
    </row>
    <row r="819" spans="3:3" ht="15.75" customHeight="1" x14ac:dyDescent="0.2">
      <c r="C819" s="1"/>
    </row>
    <row r="820" spans="3:3" ht="15.75" customHeight="1" x14ac:dyDescent="0.2">
      <c r="C820" s="1"/>
    </row>
    <row r="821" spans="3:3" ht="15.75" customHeight="1" x14ac:dyDescent="0.2">
      <c r="C821" s="1"/>
    </row>
    <row r="822" spans="3:3" ht="15.75" customHeight="1" x14ac:dyDescent="0.2">
      <c r="C822" s="1"/>
    </row>
    <row r="823" spans="3:3" ht="15.75" customHeight="1" x14ac:dyDescent="0.2">
      <c r="C823" s="1"/>
    </row>
    <row r="824" spans="3:3" ht="15.75" customHeight="1" x14ac:dyDescent="0.2">
      <c r="C824" s="1"/>
    </row>
    <row r="825" spans="3:3" ht="15.75" customHeight="1" x14ac:dyDescent="0.2">
      <c r="C825" s="1"/>
    </row>
    <row r="826" spans="3:3" ht="15.75" customHeight="1" x14ac:dyDescent="0.2">
      <c r="C826" s="1"/>
    </row>
    <row r="827" spans="3:3" ht="15.75" customHeight="1" x14ac:dyDescent="0.2">
      <c r="C827" s="1"/>
    </row>
    <row r="828" spans="3:3" ht="15.75" customHeight="1" x14ac:dyDescent="0.2">
      <c r="C828" s="1"/>
    </row>
    <row r="829" spans="3:3" ht="15.75" customHeight="1" x14ac:dyDescent="0.2">
      <c r="C829" s="1"/>
    </row>
    <row r="830" spans="3:3" ht="15.75" customHeight="1" x14ac:dyDescent="0.2">
      <c r="C830" s="1"/>
    </row>
    <row r="831" spans="3:3" ht="15.75" customHeight="1" x14ac:dyDescent="0.2">
      <c r="C831" s="1"/>
    </row>
    <row r="832" spans="3:3" ht="15.75" customHeight="1" x14ac:dyDescent="0.2">
      <c r="C832" s="1"/>
    </row>
    <row r="833" spans="3:3" ht="15.75" customHeight="1" x14ac:dyDescent="0.2">
      <c r="C833" s="1"/>
    </row>
    <row r="834" spans="3:3" ht="15.75" customHeight="1" x14ac:dyDescent="0.2">
      <c r="C834" s="1"/>
    </row>
    <row r="835" spans="3:3" ht="15.75" customHeight="1" x14ac:dyDescent="0.2">
      <c r="C835" s="1"/>
    </row>
    <row r="836" spans="3:3" ht="15.75" customHeight="1" x14ac:dyDescent="0.2">
      <c r="C836" s="1"/>
    </row>
    <row r="837" spans="3:3" ht="15.75" customHeight="1" x14ac:dyDescent="0.2">
      <c r="C837" s="1"/>
    </row>
    <row r="838" spans="3:3" ht="15.75" customHeight="1" x14ac:dyDescent="0.2">
      <c r="C838" s="1"/>
    </row>
    <row r="839" spans="3:3" ht="15.75" customHeight="1" x14ac:dyDescent="0.2">
      <c r="C839" s="1"/>
    </row>
    <row r="840" spans="3:3" ht="15.75" customHeight="1" x14ac:dyDescent="0.2">
      <c r="C840" s="1"/>
    </row>
    <row r="841" spans="3:3" ht="15.75" customHeight="1" x14ac:dyDescent="0.2">
      <c r="C841" s="1"/>
    </row>
    <row r="842" spans="3:3" ht="15.75" customHeight="1" x14ac:dyDescent="0.2">
      <c r="C842" s="1"/>
    </row>
    <row r="843" spans="3:3" ht="15.75" customHeight="1" x14ac:dyDescent="0.2">
      <c r="C843" s="1"/>
    </row>
    <row r="844" spans="3:3" ht="15.75" customHeight="1" x14ac:dyDescent="0.2">
      <c r="C844" s="1"/>
    </row>
    <row r="845" spans="3:3" ht="15.75" customHeight="1" x14ac:dyDescent="0.2">
      <c r="C845" s="1"/>
    </row>
    <row r="846" spans="3:3" ht="15.75" customHeight="1" x14ac:dyDescent="0.2">
      <c r="C846" s="1"/>
    </row>
    <row r="847" spans="3:3" ht="15.75" customHeight="1" x14ac:dyDescent="0.2">
      <c r="C847" s="1"/>
    </row>
    <row r="848" spans="3:3" ht="15.75" customHeight="1" x14ac:dyDescent="0.2">
      <c r="C848" s="1"/>
    </row>
    <row r="849" spans="3:3" ht="15.75" customHeight="1" x14ac:dyDescent="0.2">
      <c r="C849" s="1"/>
    </row>
    <row r="850" spans="3:3" ht="15.75" customHeight="1" x14ac:dyDescent="0.2">
      <c r="C850" s="1"/>
    </row>
    <row r="851" spans="3:3" ht="15.75" customHeight="1" x14ac:dyDescent="0.2">
      <c r="C851" s="1"/>
    </row>
    <row r="852" spans="3:3" ht="15.75" customHeight="1" x14ac:dyDescent="0.2">
      <c r="C852" s="1"/>
    </row>
    <row r="853" spans="3:3" ht="15.75" customHeight="1" x14ac:dyDescent="0.2">
      <c r="C853" s="1"/>
    </row>
    <row r="854" spans="3:3" ht="15.75" customHeight="1" x14ac:dyDescent="0.2">
      <c r="C854" s="1"/>
    </row>
    <row r="855" spans="3:3" ht="15.75" customHeight="1" x14ac:dyDescent="0.2">
      <c r="C855" s="1"/>
    </row>
    <row r="856" spans="3:3" ht="15.75" customHeight="1" x14ac:dyDescent="0.2">
      <c r="C856" s="1"/>
    </row>
    <row r="857" spans="3:3" ht="15.75" customHeight="1" x14ac:dyDescent="0.2">
      <c r="C857" s="1"/>
    </row>
    <row r="858" spans="3:3" ht="15.75" customHeight="1" x14ac:dyDescent="0.2">
      <c r="C858" s="1"/>
    </row>
    <row r="859" spans="3:3" ht="15.75" customHeight="1" x14ac:dyDescent="0.2">
      <c r="C859" s="1"/>
    </row>
    <row r="860" spans="3:3" ht="15.75" customHeight="1" x14ac:dyDescent="0.2">
      <c r="C860" s="1"/>
    </row>
    <row r="861" spans="3:3" ht="15.75" customHeight="1" x14ac:dyDescent="0.2">
      <c r="C861" s="1"/>
    </row>
    <row r="862" spans="3:3" ht="15.75" customHeight="1" x14ac:dyDescent="0.2">
      <c r="C862" s="1"/>
    </row>
    <row r="863" spans="3:3" ht="15.75" customHeight="1" x14ac:dyDescent="0.2">
      <c r="C863" s="1"/>
    </row>
    <row r="864" spans="3:3" ht="15.75" customHeight="1" x14ac:dyDescent="0.2">
      <c r="C864" s="1"/>
    </row>
    <row r="865" spans="3:3" ht="15.75" customHeight="1" x14ac:dyDescent="0.2">
      <c r="C865" s="1"/>
    </row>
    <row r="866" spans="3:3" ht="15.75" customHeight="1" x14ac:dyDescent="0.2">
      <c r="C866" s="1"/>
    </row>
    <row r="867" spans="3:3" ht="15.75" customHeight="1" x14ac:dyDescent="0.2">
      <c r="C867" s="1"/>
    </row>
    <row r="868" spans="3:3" ht="15.75" customHeight="1" x14ac:dyDescent="0.2">
      <c r="C868" s="1"/>
    </row>
    <row r="869" spans="3:3" ht="15.75" customHeight="1" x14ac:dyDescent="0.2">
      <c r="C869" s="1"/>
    </row>
    <row r="870" spans="3:3" ht="15.75" customHeight="1" x14ac:dyDescent="0.2">
      <c r="C870" s="1"/>
    </row>
    <row r="871" spans="3:3" ht="15.75" customHeight="1" x14ac:dyDescent="0.2">
      <c r="C871" s="1"/>
    </row>
    <row r="872" spans="3:3" ht="15.75" customHeight="1" x14ac:dyDescent="0.2">
      <c r="C872" s="1"/>
    </row>
    <row r="873" spans="3:3" ht="15.75" customHeight="1" x14ac:dyDescent="0.2">
      <c r="C873" s="1"/>
    </row>
    <row r="874" spans="3:3" ht="15.75" customHeight="1" x14ac:dyDescent="0.2">
      <c r="C874" s="1"/>
    </row>
    <row r="875" spans="3:3" ht="15.75" customHeight="1" x14ac:dyDescent="0.2">
      <c r="C875" s="1"/>
    </row>
    <row r="876" spans="3:3" ht="15.75" customHeight="1" x14ac:dyDescent="0.2">
      <c r="C876" s="1"/>
    </row>
    <row r="877" spans="3:3" ht="15.75" customHeight="1" x14ac:dyDescent="0.2">
      <c r="C877" s="1"/>
    </row>
    <row r="878" spans="3:3" ht="15.75" customHeight="1" x14ac:dyDescent="0.2">
      <c r="C878" s="1"/>
    </row>
    <row r="879" spans="3:3" ht="15.75" customHeight="1" x14ac:dyDescent="0.2">
      <c r="C879" s="1"/>
    </row>
    <row r="880" spans="3:3" ht="15.75" customHeight="1" x14ac:dyDescent="0.2">
      <c r="C880" s="1"/>
    </row>
    <row r="881" spans="3:3" ht="15.75" customHeight="1" x14ac:dyDescent="0.2">
      <c r="C881" s="1"/>
    </row>
    <row r="882" spans="3:3" ht="15.75" customHeight="1" x14ac:dyDescent="0.2">
      <c r="C882" s="1"/>
    </row>
    <row r="883" spans="3:3" ht="15.75" customHeight="1" x14ac:dyDescent="0.2">
      <c r="C883" s="1"/>
    </row>
    <row r="884" spans="3:3" ht="15.75" customHeight="1" x14ac:dyDescent="0.2">
      <c r="C884" s="1"/>
    </row>
    <row r="885" spans="3:3" ht="15.75" customHeight="1" x14ac:dyDescent="0.2">
      <c r="C885" s="1"/>
    </row>
    <row r="886" spans="3:3" ht="15.75" customHeight="1" x14ac:dyDescent="0.2">
      <c r="C886" s="1"/>
    </row>
    <row r="887" spans="3:3" ht="15.75" customHeight="1" x14ac:dyDescent="0.2">
      <c r="C887" s="1"/>
    </row>
    <row r="888" spans="3:3" ht="15.75" customHeight="1" x14ac:dyDescent="0.2">
      <c r="C888" s="1"/>
    </row>
    <row r="889" spans="3:3" ht="15.75" customHeight="1" x14ac:dyDescent="0.2">
      <c r="C889" s="1"/>
    </row>
    <row r="890" spans="3:3" ht="15.75" customHeight="1" x14ac:dyDescent="0.2">
      <c r="C890" s="1"/>
    </row>
    <row r="891" spans="3:3" ht="15.75" customHeight="1" x14ac:dyDescent="0.2">
      <c r="C891" s="1"/>
    </row>
    <row r="892" spans="3:3" ht="15.75" customHeight="1" x14ac:dyDescent="0.2">
      <c r="C892" s="1"/>
    </row>
    <row r="893" spans="3:3" ht="15.75" customHeight="1" x14ac:dyDescent="0.2">
      <c r="C893" s="1"/>
    </row>
    <row r="894" spans="3:3" ht="15.75" customHeight="1" x14ac:dyDescent="0.2">
      <c r="C894" s="1"/>
    </row>
    <row r="895" spans="3:3" ht="15.75" customHeight="1" x14ac:dyDescent="0.2">
      <c r="C895" s="1"/>
    </row>
    <row r="896" spans="3:3" ht="15.75" customHeight="1" x14ac:dyDescent="0.2">
      <c r="C896" s="1"/>
    </row>
    <row r="897" spans="3:3" ht="15.75" customHeight="1" x14ac:dyDescent="0.2">
      <c r="C897" s="1"/>
    </row>
    <row r="898" spans="3:3" ht="15.75" customHeight="1" x14ac:dyDescent="0.2">
      <c r="C898" s="1"/>
    </row>
    <row r="899" spans="3:3" ht="15.75" customHeight="1" x14ac:dyDescent="0.2">
      <c r="C899" s="1"/>
    </row>
    <row r="900" spans="3:3" ht="15.75" customHeight="1" x14ac:dyDescent="0.2">
      <c r="C900" s="1"/>
    </row>
    <row r="901" spans="3:3" ht="15.75" customHeight="1" x14ac:dyDescent="0.2">
      <c r="C901" s="1"/>
    </row>
    <row r="902" spans="3:3" ht="15.75" customHeight="1" x14ac:dyDescent="0.2">
      <c r="C902" s="1"/>
    </row>
    <row r="903" spans="3:3" ht="15.75" customHeight="1" x14ac:dyDescent="0.2">
      <c r="C903" s="1"/>
    </row>
    <row r="904" spans="3:3" ht="15.75" customHeight="1" x14ac:dyDescent="0.2">
      <c r="C904" s="1"/>
    </row>
    <row r="905" spans="3:3" ht="15.75" customHeight="1" x14ac:dyDescent="0.2">
      <c r="C905" s="1"/>
    </row>
    <row r="906" spans="3:3" ht="15.75" customHeight="1" x14ac:dyDescent="0.2">
      <c r="C906" s="1"/>
    </row>
    <row r="907" spans="3:3" ht="15.75" customHeight="1" x14ac:dyDescent="0.2">
      <c r="C907" s="1"/>
    </row>
    <row r="908" spans="3:3" ht="15.75" customHeight="1" x14ac:dyDescent="0.2">
      <c r="C908" s="1"/>
    </row>
    <row r="909" spans="3:3" ht="15.75" customHeight="1" x14ac:dyDescent="0.2">
      <c r="C909" s="1"/>
    </row>
    <row r="910" spans="3:3" ht="15.75" customHeight="1" x14ac:dyDescent="0.2">
      <c r="C910" s="1"/>
    </row>
    <row r="911" spans="3:3" ht="15.75" customHeight="1" x14ac:dyDescent="0.2">
      <c r="C911" s="1"/>
    </row>
    <row r="912" spans="3:3" ht="15.75" customHeight="1" x14ac:dyDescent="0.2">
      <c r="C912" s="1"/>
    </row>
    <row r="913" spans="3:3" ht="15.75" customHeight="1" x14ac:dyDescent="0.2">
      <c r="C913" s="1"/>
    </row>
    <row r="914" spans="3:3" ht="15.75" customHeight="1" x14ac:dyDescent="0.2">
      <c r="C914" s="1"/>
    </row>
    <row r="915" spans="3:3" ht="15.75" customHeight="1" x14ac:dyDescent="0.2">
      <c r="C915" s="1"/>
    </row>
    <row r="916" spans="3:3" ht="15.75" customHeight="1" x14ac:dyDescent="0.2">
      <c r="C916" s="1"/>
    </row>
    <row r="917" spans="3:3" ht="15.75" customHeight="1" x14ac:dyDescent="0.2">
      <c r="C917" s="1"/>
    </row>
    <row r="918" spans="3:3" ht="15.75" customHeight="1" x14ac:dyDescent="0.2">
      <c r="C918" s="1"/>
    </row>
    <row r="919" spans="3:3" ht="15.75" customHeight="1" x14ac:dyDescent="0.2">
      <c r="C919" s="1"/>
    </row>
    <row r="920" spans="3:3" ht="15.75" customHeight="1" x14ac:dyDescent="0.2">
      <c r="C920" s="1"/>
    </row>
    <row r="921" spans="3:3" ht="15.75" customHeight="1" x14ac:dyDescent="0.2">
      <c r="C921" s="1"/>
    </row>
    <row r="922" spans="3:3" ht="15.75" customHeight="1" x14ac:dyDescent="0.2">
      <c r="C922" s="1"/>
    </row>
    <row r="923" spans="3:3" ht="15.75" customHeight="1" x14ac:dyDescent="0.2">
      <c r="C923" s="1"/>
    </row>
    <row r="924" spans="3:3" ht="15.75" customHeight="1" x14ac:dyDescent="0.2">
      <c r="C924" s="1"/>
    </row>
    <row r="925" spans="3:3" ht="15.75" customHeight="1" x14ac:dyDescent="0.2">
      <c r="C925" s="1"/>
    </row>
    <row r="926" spans="3:3" ht="15.75" customHeight="1" x14ac:dyDescent="0.2">
      <c r="C926" s="1"/>
    </row>
    <row r="927" spans="3:3" ht="15.75" customHeight="1" x14ac:dyDescent="0.2">
      <c r="C927" s="1"/>
    </row>
    <row r="928" spans="3:3" ht="15.75" customHeight="1" x14ac:dyDescent="0.2">
      <c r="C928" s="1"/>
    </row>
    <row r="929" spans="3:3" ht="15.75" customHeight="1" x14ac:dyDescent="0.2">
      <c r="C929" s="1"/>
    </row>
    <row r="930" spans="3:3" ht="15.75" customHeight="1" x14ac:dyDescent="0.2">
      <c r="C930" s="1"/>
    </row>
    <row r="931" spans="3:3" ht="15.75" customHeight="1" x14ac:dyDescent="0.2">
      <c r="C931" s="1"/>
    </row>
    <row r="932" spans="3:3" ht="15.75" customHeight="1" x14ac:dyDescent="0.2">
      <c r="C932" s="1"/>
    </row>
    <row r="933" spans="3:3" ht="15.75" customHeight="1" x14ac:dyDescent="0.2">
      <c r="C933" s="1"/>
    </row>
    <row r="934" spans="3:3" ht="15.75" customHeight="1" x14ac:dyDescent="0.2">
      <c r="C934" s="1"/>
    </row>
    <row r="935" spans="3:3" ht="15.75" customHeight="1" x14ac:dyDescent="0.2">
      <c r="C935" s="1"/>
    </row>
    <row r="936" spans="3:3" ht="15.75" customHeight="1" x14ac:dyDescent="0.2">
      <c r="C936" s="1"/>
    </row>
    <row r="937" spans="3:3" ht="15.75" customHeight="1" x14ac:dyDescent="0.2">
      <c r="C937" s="1"/>
    </row>
    <row r="938" spans="3:3" ht="15.75" customHeight="1" x14ac:dyDescent="0.2">
      <c r="C938" s="1"/>
    </row>
    <row r="939" spans="3:3" ht="15.75" customHeight="1" x14ac:dyDescent="0.2">
      <c r="C939" s="1"/>
    </row>
    <row r="940" spans="3:3" ht="15.75" customHeight="1" x14ac:dyDescent="0.2">
      <c r="C940" s="1"/>
    </row>
    <row r="941" spans="3:3" ht="15.75" customHeight="1" x14ac:dyDescent="0.2">
      <c r="C941" s="1"/>
    </row>
    <row r="942" spans="3:3" ht="15.75" customHeight="1" x14ac:dyDescent="0.2">
      <c r="C942" s="1"/>
    </row>
    <row r="943" spans="3:3" ht="15.75" customHeight="1" x14ac:dyDescent="0.2">
      <c r="C943" s="1"/>
    </row>
    <row r="944" spans="3:3" ht="15.75" customHeight="1" x14ac:dyDescent="0.2">
      <c r="C944" s="1"/>
    </row>
    <row r="945" spans="3:3" ht="15.75" customHeight="1" x14ac:dyDescent="0.2">
      <c r="C945" s="1"/>
    </row>
    <row r="946" spans="3:3" ht="15.75" customHeight="1" x14ac:dyDescent="0.2">
      <c r="C946" s="1"/>
    </row>
    <row r="947" spans="3:3" ht="15.75" customHeight="1" x14ac:dyDescent="0.2">
      <c r="C947" s="1"/>
    </row>
    <row r="948" spans="3:3" ht="15.75" customHeight="1" x14ac:dyDescent="0.2">
      <c r="C948" s="1"/>
    </row>
    <row r="949" spans="3:3" ht="15.75" customHeight="1" x14ac:dyDescent="0.2">
      <c r="C949" s="1"/>
    </row>
    <row r="950" spans="3:3" ht="15.75" customHeight="1" x14ac:dyDescent="0.2">
      <c r="C950" s="1"/>
    </row>
    <row r="951" spans="3:3" ht="15.75" customHeight="1" x14ac:dyDescent="0.2">
      <c r="C951" s="1"/>
    </row>
    <row r="952" spans="3:3" ht="15.75" customHeight="1" x14ac:dyDescent="0.2">
      <c r="C952" s="1"/>
    </row>
    <row r="953" spans="3:3" ht="15.75" customHeight="1" x14ac:dyDescent="0.2">
      <c r="C953" s="1"/>
    </row>
    <row r="954" spans="3:3" ht="15.75" customHeight="1" x14ac:dyDescent="0.2">
      <c r="C954" s="1"/>
    </row>
    <row r="955" spans="3:3" ht="15.75" customHeight="1" x14ac:dyDescent="0.2">
      <c r="C955" s="1"/>
    </row>
    <row r="956" spans="3:3" ht="15.75" customHeight="1" x14ac:dyDescent="0.2">
      <c r="C956" s="1"/>
    </row>
    <row r="957" spans="3:3" ht="15.75" customHeight="1" x14ac:dyDescent="0.2">
      <c r="C957" s="1"/>
    </row>
    <row r="958" spans="3:3" ht="15.75" customHeight="1" x14ac:dyDescent="0.2">
      <c r="C958" s="1"/>
    </row>
    <row r="959" spans="3:3" ht="15.75" customHeight="1" x14ac:dyDescent="0.2">
      <c r="C959" s="1"/>
    </row>
    <row r="960" spans="3:3" ht="15.75" customHeight="1" x14ac:dyDescent="0.2">
      <c r="C960" s="1"/>
    </row>
    <row r="961" spans="3:3" ht="15.75" customHeight="1" x14ac:dyDescent="0.2">
      <c r="C961" s="1"/>
    </row>
    <row r="962" spans="3:3" ht="15.75" customHeight="1" x14ac:dyDescent="0.2">
      <c r="C962" s="1"/>
    </row>
    <row r="963" spans="3:3" ht="15.75" customHeight="1" x14ac:dyDescent="0.2">
      <c r="C963" s="1"/>
    </row>
    <row r="964" spans="3:3" ht="15.75" customHeight="1" x14ac:dyDescent="0.2">
      <c r="C964" s="1"/>
    </row>
    <row r="965" spans="3:3" ht="15.75" customHeight="1" x14ac:dyDescent="0.2">
      <c r="C965" s="1"/>
    </row>
    <row r="966" spans="3:3" ht="15.75" customHeight="1" x14ac:dyDescent="0.2">
      <c r="C966" s="1"/>
    </row>
    <row r="967" spans="3:3" ht="15.75" customHeight="1" x14ac:dyDescent="0.2">
      <c r="C967" s="1"/>
    </row>
    <row r="968" spans="3:3" ht="15.75" customHeight="1" x14ac:dyDescent="0.2">
      <c r="C968" s="1"/>
    </row>
    <row r="969" spans="3:3" ht="15.75" customHeight="1" x14ac:dyDescent="0.2">
      <c r="C969" s="1"/>
    </row>
    <row r="970" spans="3:3" ht="15.75" customHeight="1" x14ac:dyDescent="0.2">
      <c r="C970" s="1"/>
    </row>
    <row r="971" spans="3:3" ht="15.75" customHeight="1" x14ac:dyDescent="0.2">
      <c r="C971" s="1"/>
    </row>
    <row r="972" spans="3:3" ht="15.75" customHeight="1" x14ac:dyDescent="0.2">
      <c r="C972" s="1"/>
    </row>
    <row r="973" spans="3:3" ht="15.75" customHeight="1" x14ac:dyDescent="0.2">
      <c r="C973" s="1"/>
    </row>
    <row r="974" spans="3:3" ht="15.75" customHeight="1" x14ac:dyDescent="0.2">
      <c r="C974" s="1"/>
    </row>
    <row r="975" spans="3:3" ht="15.75" customHeight="1" x14ac:dyDescent="0.2">
      <c r="C975" s="1"/>
    </row>
    <row r="976" spans="3:3" ht="15.75" customHeight="1" x14ac:dyDescent="0.2">
      <c r="C976" s="1"/>
    </row>
    <row r="977" spans="3:3" ht="15.75" customHeight="1" x14ac:dyDescent="0.2">
      <c r="C977" s="1"/>
    </row>
    <row r="978" spans="3:3" ht="15.75" customHeight="1" x14ac:dyDescent="0.2">
      <c r="C978" s="1"/>
    </row>
    <row r="979" spans="3:3" ht="15.75" customHeight="1" x14ac:dyDescent="0.2">
      <c r="C979" s="1"/>
    </row>
    <row r="980" spans="3:3" ht="15.75" customHeight="1" x14ac:dyDescent="0.2">
      <c r="C980" s="1"/>
    </row>
    <row r="981" spans="3:3" ht="15.75" customHeight="1" x14ac:dyDescent="0.2">
      <c r="C981" s="1"/>
    </row>
    <row r="982" spans="3:3" ht="15.75" customHeight="1" x14ac:dyDescent="0.2">
      <c r="C982" s="1"/>
    </row>
    <row r="983" spans="3:3" ht="15.75" customHeight="1" x14ac:dyDescent="0.2">
      <c r="C983" s="1"/>
    </row>
    <row r="984" spans="3:3" ht="15.75" customHeight="1" x14ac:dyDescent="0.2">
      <c r="C984" s="1"/>
    </row>
    <row r="985" spans="3:3" ht="15.75" customHeight="1" x14ac:dyDescent="0.2">
      <c r="C985" s="1"/>
    </row>
    <row r="986" spans="3:3" ht="15.75" customHeight="1" x14ac:dyDescent="0.2">
      <c r="C986" s="1"/>
    </row>
    <row r="987" spans="3:3" ht="15.75" customHeight="1" x14ac:dyDescent="0.2">
      <c r="C987" s="1"/>
    </row>
    <row r="988" spans="3:3" ht="15.75" customHeight="1" x14ac:dyDescent="0.2">
      <c r="C988" s="1"/>
    </row>
    <row r="989" spans="3:3" ht="15.75" customHeight="1" x14ac:dyDescent="0.2">
      <c r="C989" s="1"/>
    </row>
    <row r="990" spans="3:3" ht="15.75" customHeight="1" x14ac:dyDescent="0.2">
      <c r="C990" s="1"/>
    </row>
    <row r="991" spans="3:3" ht="15.75" customHeight="1" x14ac:dyDescent="0.2">
      <c r="C991" s="1"/>
    </row>
    <row r="992" spans="3:3" ht="15.75" customHeight="1" x14ac:dyDescent="0.2">
      <c r="C992" s="1"/>
    </row>
    <row r="993" spans="3:3" ht="15.75" customHeight="1" x14ac:dyDescent="0.2">
      <c r="C993" s="1"/>
    </row>
    <row r="994" spans="3:3" ht="15.75" customHeight="1" x14ac:dyDescent="0.2">
      <c r="C994" s="1"/>
    </row>
    <row r="995" spans="3:3" ht="15.75" customHeight="1" x14ac:dyDescent="0.2">
      <c r="C995" s="1"/>
    </row>
    <row r="996" spans="3:3" ht="15.75" customHeight="1" x14ac:dyDescent="0.2">
      <c r="C996" s="1"/>
    </row>
    <row r="997" spans="3:3" ht="15.75" customHeight="1" x14ac:dyDescent="0.2">
      <c r="C997" s="1"/>
    </row>
    <row r="998" spans="3:3" ht="15.75" customHeight="1" x14ac:dyDescent="0.2">
      <c r="C998" s="1"/>
    </row>
    <row r="999" spans="3:3" ht="15.75" customHeight="1" x14ac:dyDescent="0.2">
      <c r="C999" s="1"/>
    </row>
    <row r="1000" spans="3:3" ht="15.75" customHeight="1" x14ac:dyDescent="0.2">
      <c r="C1000" s="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69"/>
  <sheetViews>
    <sheetView zoomScale="110" workbookViewId="0">
      <selection activeCell="A2" sqref="A2"/>
    </sheetView>
  </sheetViews>
  <sheetFormatPr baseColWidth="10" defaultColWidth="11.1640625" defaultRowHeight="15" customHeight="1" x14ac:dyDescent="0.2"/>
  <cols>
    <col min="1" max="1" width="13.1640625" customWidth="1"/>
    <col min="2" max="2" width="14.83203125" customWidth="1"/>
    <col min="3" max="3" width="14.1640625" customWidth="1"/>
    <col min="4" max="4" width="15.1640625" customWidth="1"/>
    <col min="5" max="7" width="8.33203125" customWidth="1"/>
    <col min="8" max="8" width="11.83203125" customWidth="1"/>
    <col min="9" max="9" width="8.33203125" customWidth="1"/>
    <col min="10" max="10" width="32.6640625" customWidth="1"/>
    <col min="11" max="11" width="22.1640625" customWidth="1"/>
    <col min="12" max="26" width="8.33203125" customWidth="1"/>
  </cols>
  <sheetData>
    <row r="1" spans="1:13" ht="15.75" customHeight="1" x14ac:dyDescent="0.2">
      <c r="A1" s="13" t="s">
        <v>56</v>
      </c>
      <c r="B1" s="14" t="s">
        <v>57</v>
      </c>
      <c r="C1" s="14" t="s">
        <v>58</v>
      </c>
      <c r="D1" s="14" t="s">
        <v>59</v>
      </c>
      <c r="E1" s="7" t="s">
        <v>60</v>
      </c>
      <c r="F1" s="7" t="s">
        <v>61</v>
      </c>
      <c r="G1" s="7" t="s">
        <v>62</v>
      </c>
      <c r="H1" s="7" t="s">
        <v>63</v>
      </c>
      <c r="I1" s="7" t="s">
        <v>64</v>
      </c>
      <c r="J1" s="7" t="s">
        <v>65</v>
      </c>
      <c r="K1" s="7" t="s">
        <v>66</v>
      </c>
      <c r="M1" s="9">
        <f>Semesterplan!A1 + (8 - WEEKDAY(Semesterplan!A1, 2))</f>
        <v>46307</v>
      </c>
    </row>
    <row r="2" spans="1:13" ht="15.75" customHeight="1" x14ac:dyDescent="0.2">
      <c r="A2" s="15" t="str">
        <f>TEXT(M1,"mm/dd/yyyy")</f>
        <v>00/dd/yyyy</v>
      </c>
      <c r="B2" s="13"/>
      <c r="C2" s="13"/>
      <c r="D2" s="16">
        <v>0</v>
      </c>
      <c r="E2" s="8"/>
      <c r="F2" s="8"/>
      <c r="G2" s="8"/>
      <c r="H2" s="8"/>
      <c r="I2" s="8"/>
      <c r="J2" s="8"/>
      <c r="K2" s="8"/>
      <c r="M2" s="12"/>
    </row>
    <row r="3" spans="1:13" ht="15.75" customHeight="1" x14ac:dyDescent="0.2">
      <c r="A3" s="15" t="str">
        <f>TEXT($M$1+1,"mm/dd/yyyy")</f>
        <v>00/dd/yyyy</v>
      </c>
      <c r="B3" s="13"/>
      <c r="C3" s="13"/>
      <c r="D3" s="13"/>
      <c r="E3" s="8"/>
      <c r="F3" s="8"/>
      <c r="G3" s="8"/>
      <c r="H3" s="8"/>
      <c r="I3" s="8"/>
      <c r="J3" s="8"/>
      <c r="K3" s="8"/>
      <c r="M3" s="12"/>
    </row>
    <row r="4" spans="1:13" ht="15.75" customHeight="1" x14ac:dyDescent="0.2">
      <c r="A4" s="15" t="str">
        <f t="shared" ref="A4:A51" si="0">TEXT($M$1 + ROW(A1) + 1, "mm/dd/yyyy")</f>
        <v>00/dd/yyyy</v>
      </c>
      <c r="B4" s="13"/>
      <c r="C4" s="13"/>
      <c r="D4" s="13"/>
      <c r="E4" s="8"/>
      <c r="F4" s="8"/>
      <c r="G4" s="8"/>
      <c r="H4" s="8"/>
      <c r="I4" s="8"/>
      <c r="J4" s="8"/>
      <c r="K4" s="8"/>
      <c r="M4" s="12"/>
    </row>
    <row r="5" spans="1:13" ht="15.75" customHeight="1" x14ac:dyDescent="0.2">
      <c r="A5" s="15" t="str">
        <f t="shared" si="0"/>
        <v>00/dd/yyyy</v>
      </c>
      <c r="B5" s="13"/>
      <c r="C5" s="13"/>
      <c r="D5" s="13"/>
      <c r="E5" s="8"/>
      <c r="F5" s="8"/>
      <c r="G5" s="8"/>
      <c r="H5" s="8"/>
      <c r="I5" s="8"/>
      <c r="J5" s="8"/>
      <c r="K5" s="8"/>
      <c r="M5" s="12"/>
    </row>
    <row r="6" spans="1:13" ht="15.75" customHeight="1" x14ac:dyDescent="0.2">
      <c r="A6" s="15" t="str">
        <f t="shared" si="0"/>
        <v>00/dd/yyyy</v>
      </c>
      <c r="B6" s="13"/>
      <c r="C6" s="13"/>
      <c r="D6" s="13"/>
      <c r="E6" s="8"/>
      <c r="F6" s="8"/>
      <c r="G6" s="8"/>
      <c r="H6" s="8"/>
      <c r="I6" s="8"/>
      <c r="J6" s="8"/>
      <c r="K6" s="8"/>
      <c r="M6" s="12"/>
    </row>
    <row r="7" spans="1:13" ht="15.75" customHeight="1" x14ac:dyDescent="0.2">
      <c r="A7" s="15" t="str">
        <f t="shared" si="0"/>
        <v>00/dd/yyyy</v>
      </c>
      <c r="B7" s="13"/>
      <c r="C7" s="13"/>
      <c r="D7" s="13"/>
      <c r="E7" s="8"/>
      <c r="F7" s="8"/>
      <c r="G7" s="8"/>
      <c r="H7" s="8"/>
      <c r="I7" s="8"/>
      <c r="J7" s="8"/>
      <c r="K7" s="8"/>
      <c r="M7" s="12"/>
    </row>
    <row r="8" spans="1:13" ht="15.75" customHeight="1" x14ac:dyDescent="0.2">
      <c r="A8" s="15" t="str">
        <f t="shared" si="0"/>
        <v>00/dd/yyyy</v>
      </c>
      <c r="B8" s="13"/>
      <c r="C8" s="13"/>
      <c r="D8" s="13"/>
      <c r="E8" s="8"/>
      <c r="F8" s="8"/>
      <c r="G8" s="8"/>
      <c r="H8" s="8"/>
      <c r="I8" s="8"/>
      <c r="J8" s="8"/>
      <c r="K8" s="8"/>
      <c r="M8" s="12"/>
    </row>
    <row r="9" spans="1:13" ht="15.75" customHeight="1" x14ac:dyDescent="0.2">
      <c r="A9" s="15" t="str">
        <f t="shared" si="0"/>
        <v>00/dd/yyyy</v>
      </c>
      <c r="B9" s="13"/>
      <c r="C9" s="13"/>
      <c r="D9" s="13"/>
      <c r="E9" s="8"/>
      <c r="F9" s="8"/>
      <c r="G9" s="8"/>
      <c r="H9" s="8"/>
      <c r="I9" s="8"/>
      <c r="J9" s="8"/>
      <c r="K9" s="8"/>
      <c r="M9" s="12"/>
    </row>
    <row r="10" spans="1:13" ht="15.75" customHeight="1" x14ac:dyDescent="0.2">
      <c r="A10" s="15" t="str">
        <f t="shared" si="0"/>
        <v>00/dd/yyyy</v>
      </c>
      <c r="B10" s="13"/>
      <c r="C10" s="13"/>
      <c r="D10" s="13"/>
      <c r="E10" s="8"/>
      <c r="F10" s="8"/>
      <c r="G10" s="8"/>
      <c r="H10" s="8"/>
      <c r="I10" s="8"/>
      <c r="J10" s="8"/>
      <c r="K10" s="8"/>
      <c r="M10" s="12"/>
    </row>
    <row r="11" spans="1:13" ht="15.75" customHeight="1" x14ac:dyDescent="0.2">
      <c r="A11" s="15" t="str">
        <f t="shared" si="0"/>
        <v>00/dd/yyyy</v>
      </c>
      <c r="B11" s="13"/>
      <c r="C11" s="13"/>
      <c r="D11" s="13"/>
      <c r="E11" s="8"/>
      <c r="F11" s="8"/>
      <c r="G11" s="8"/>
      <c r="H11" s="8"/>
      <c r="I11" s="8"/>
      <c r="J11" s="8"/>
      <c r="K11" s="8"/>
      <c r="M11" s="12"/>
    </row>
    <row r="12" spans="1:13" ht="15.75" customHeight="1" x14ac:dyDescent="0.2">
      <c r="A12" s="15" t="str">
        <f t="shared" si="0"/>
        <v>00/dd/yyyy</v>
      </c>
      <c r="B12" s="13"/>
      <c r="C12" s="13"/>
      <c r="D12" s="13"/>
      <c r="E12" s="8"/>
      <c r="F12" s="8"/>
      <c r="G12" s="8"/>
      <c r="H12" s="8"/>
      <c r="I12" s="8"/>
      <c r="J12" s="8"/>
      <c r="K12" s="8"/>
      <c r="M12" s="12"/>
    </row>
    <row r="13" spans="1:13" ht="15.75" customHeight="1" x14ac:dyDescent="0.2">
      <c r="A13" s="15" t="str">
        <f t="shared" si="0"/>
        <v>00/dd/yyyy</v>
      </c>
      <c r="B13" s="13"/>
      <c r="C13" s="13"/>
      <c r="D13" s="13"/>
      <c r="E13" s="8"/>
      <c r="F13" s="8"/>
      <c r="G13" s="8"/>
      <c r="H13" s="8"/>
      <c r="I13" s="8"/>
      <c r="J13" s="8"/>
      <c r="K13" s="8"/>
      <c r="M13" s="12"/>
    </row>
    <row r="14" spans="1:13" ht="15.75" customHeight="1" x14ac:dyDescent="0.2">
      <c r="A14" s="15" t="str">
        <f t="shared" si="0"/>
        <v>00/dd/yyyy</v>
      </c>
      <c r="B14" s="13"/>
      <c r="C14" s="13"/>
      <c r="D14" s="13"/>
      <c r="E14" s="8"/>
      <c r="F14" s="8"/>
      <c r="G14" s="8"/>
      <c r="H14" s="8"/>
      <c r="I14" s="8"/>
      <c r="J14" s="8"/>
      <c r="K14" s="8"/>
      <c r="M14" s="12"/>
    </row>
    <row r="15" spans="1:13" ht="15.75" customHeight="1" x14ac:dyDescent="0.2">
      <c r="A15" s="15" t="str">
        <f t="shared" si="0"/>
        <v>00/dd/yyyy</v>
      </c>
      <c r="B15" s="13"/>
      <c r="C15" s="13"/>
      <c r="D15" s="13"/>
      <c r="E15" s="8"/>
      <c r="F15" s="8"/>
      <c r="G15" s="8"/>
      <c r="H15" s="8"/>
      <c r="I15" s="8"/>
      <c r="J15" s="8"/>
      <c r="K15" s="8"/>
      <c r="M15" s="12"/>
    </row>
    <row r="16" spans="1:13" ht="15.75" customHeight="1" x14ac:dyDescent="0.2">
      <c r="A16" s="15" t="str">
        <f t="shared" si="0"/>
        <v>00/dd/yyyy</v>
      </c>
      <c r="B16" s="13"/>
      <c r="C16" s="13"/>
      <c r="D16" s="13"/>
      <c r="E16" s="8"/>
      <c r="F16" s="8"/>
      <c r="G16" s="8"/>
      <c r="H16" s="8"/>
      <c r="I16" s="8"/>
      <c r="J16" s="8"/>
      <c r="K16" s="8"/>
      <c r="M16" s="12"/>
    </row>
    <row r="17" spans="1:13" ht="15.75" customHeight="1" x14ac:dyDescent="0.2">
      <c r="A17" s="15" t="str">
        <f t="shared" si="0"/>
        <v>00/dd/yyyy</v>
      </c>
      <c r="B17" s="13"/>
      <c r="C17" s="13"/>
      <c r="D17" s="13"/>
      <c r="E17" s="8"/>
      <c r="F17" s="8"/>
      <c r="G17" s="8"/>
      <c r="H17" s="8"/>
      <c r="I17" s="8"/>
      <c r="J17" s="8"/>
      <c r="K17" s="8"/>
      <c r="M17" s="12"/>
    </row>
    <row r="18" spans="1:13" ht="15.75" customHeight="1" x14ac:dyDescent="0.2">
      <c r="A18" s="15" t="str">
        <f t="shared" si="0"/>
        <v>00/dd/yyyy</v>
      </c>
      <c r="B18" s="13"/>
      <c r="C18" s="13"/>
      <c r="D18" s="13"/>
      <c r="E18" s="8"/>
      <c r="F18" s="8"/>
      <c r="G18" s="8"/>
      <c r="H18" s="8"/>
      <c r="I18" s="8"/>
      <c r="J18" s="8"/>
      <c r="K18" s="8"/>
      <c r="M18" s="12"/>
    </row>
    <row r="19" spans="1:13" ht="15.75" customHeight="1" x14ac:dyDescent="0.2">
      <c r="A19" s="15" t="str">
        <f t="shared" si="0"/>
        <v>00/dd/yyyy</v>
      </c>
      <c r="B19" s="13"/>
      <c r="C19" s="13"/>
      <c r="D19" s="13"/>
      <c r="E19" s="8"/>
      <c r="F19" s="8"/>
      <c r="G19" s="8"/>
      <c r="H19" s="8"/>
      <c r="I19" s="8"/>
      <c r="J19" s="8"/>
      <c r="K19" s="8"/>
      <c r="M19" s="12"/>
    </row>
    <row r="20" spans="1:13" ht="15.75" customHeight="1" x14ac:dyDescent="0.2">
      <c r="A20" s="15" t="str">
        <f t="shared" si="0"/>
        <v>00/dd/yyyy</v>
      </c>
      <c r="B20" s="13"/>
      <c r="C20" s="13"/>
      <c r="D20" s="13"/>
      <c r="E20" s="8"/>
      <c r="F20" s="8"/>
      <c r="G20" s="8"/>
      <c r="H20" s="8"/>
      <c r="I20" s="8"/>
      <c r="J20" s="8"/>
      <c r="K20" s="8"/>
      <c r="M20" s="12"/>
    </row>
    <row r="21" spans="1:13" ht="15.75" customHeight="1" x14ac:dyDescent="0.2">
      <c r="A21" s="15" t="str">
        <f t="shared" si="0"/>
        <v>00/dd/yyyy</v>
      </c>
      <c r="B21" s="13"/>
      <c r="C21" s="13"/>
      <c r="D21" s="13"/>
      <c r="E21" s="8"/>
      <c r="F21" s="8"/>
      <c r="G21" s="8"/>
      <c r="H21" s="8"/>
      <c r="I21" s="8"/>
      <c r="J21" s="8"/>
      <c r="K21" s="8"/>
      <c r="M21" s="12"/>
    </row>
    <row r="22" spans="1:13" ht="15.75" customHeight="1" x14ac:dyDescent="0.2">
      <c r="A22" s="15" t="str">
        <f t="shared" si="0"/>
        <v>00/dd/yyyy</v>
      </c>
      <c r="B22" s="13"/>
      <c r="C22" s="13"/>
      <c r="D22" s="13"/>
      <c r="E22" s="8"/>
      <c r="F22" s="8"/>
      <c r="G22" s="8"/>
      <c r="H22" s="8"/>
      <c r="I22" s="8"/>
      <c r="J22" s="8"/>
      <c r="K22" s="8"/>
      <c r="M22" s="12"/>
    </row>
    <row r="23" spans="1:13" ht="15.75" customHeight="1" x14ac:dyDescent="0.2">
      <c r="A23" s="15" t="str">
        <f t="shared" si="0"/>
        <v>00/dd/yyyy</v>
      </c>
      <c r="B23" s="13"/>
      <c r="C23" s="13"/>
      <c r="D23" s="13"/>
      <c r="E23" s="8"/>
      <c r="F23" s="8"/>
      <c r="G23" s="8"/>
      <c r="H23" s="8"/>
      <c r="I23" s="8"/>
      <c r="J23" s="8"/>
      <c r="K23" s="8"/>
      <c r="M23" s="12"/>
    </row>
    <row r="24" spans="1:13" ht="15.75" customHeight="1" x14ac:dyDescent="0.2">
      <c r="A24" s="15" t="str">
        <f t="shared" si="0"/>
        <v>00/dd/yyyy</v>
      </c>
      <c r="B24" s="13"/>
      <c r="C24" s="13"/>
      <c r="D24" s="13"/>
      <c r="E24" s="8"/>
      <c r="F24" s="8"/>
      <c r="G24" s="8"/>
      <c r="H24" s="8"/>
      <c r="I24" s="8"/>
      <c r="J24" s="8"/>
      <c r="K24" s="8"/>
      <c r="M24" s="12"/>
    </row>
    <row r="25" spans="1:13" ht="15.75" customHeight="1" x14ac:dyDescent="0.2">
      <c r="A25" s="15" t="str">
        <f t="shared" si="0"/>
        <v>00/dd/yyyy</v>
      </c>
      <c r="B25" s="13"/>
      <c r="C25" s="13"/>
      <c r="D25" s="13"/>
      <c r="E25" s="8"/>
      <c r="F25" s="8"/>
      <c r="G25" s="8"/>
      <c r="H25" s="8"/>
      <c r="I25" s="8"/>
      <c r="J25" s="8"/>
      <c r="K25" s="8"/>
      <c r="M25" s="12"/>
    </row>
    <row r="26" spans="1:13" ht="15.75" customHeight="1" x14ac:dyDescent="0.2">
      <c r="A26" s="15" t="str">
        <f t="shared" si="0"/>
        <v>00/dd/yyyy</v>
      </c>
      <c r="B26" s="13"/>
      <c r="C26" s="13"/>
      <c r="D26" s="13"/>
      <c r="E26" s="8"/>
      <c r="F26" s="8"/>
      <c r="G26" s="8"/>
      <c r="H26" s="8"/>
      <c r="I26" s="8"/>
      <c r="J26" s="8"/>
      <c r="K26" s="8"/>
      <c r="M26" s="12"/>
    </row>
    <row r="27" spans="1:13" ht="15.75" customHeight="1" x14ac:dyDescent="0.2">
      <c r="A27" s="15" t="str">
        <f t="shared" si="0"/>
        <v>00/dd/yyyy</v>
      </c>
      <c r="B27" s="13"/>
      <c r="C27" s="13"/>
      <c r="D27" s="13"/>
      <c r="E27" s="8"/>
      <c r="F27" s="8"/>
      <c r="G27" s="8"/>
      <c r="H27" s="8"/>
      <c r="I27" s="8"/>
      <c r="J27" s="8"/>
      <c r="K27" s="8"/>
      <c r="M27" s="12"/>
    </row>
    <row r="28" spans="1:13" ht="15.75" customHeight="1" x14ac:dyDescent="0.2">
      <c r="A28" s="15" t="str">
        <f t="shared" si="0"/>
        <v>00/dd/yyyy</v>
      </c>
      <c r="B28" s="13"/>
      <c r="C28" s="13"/>
      <c r="D28" s="13"/>
      <c r="E28" s="8"/>
      <c r="F28" s="8"/>
      <c r="G28" s="8"/>
      <c r="H28" s="8"/>
      <c r="I28" s="8"/>
      <c r="J28" s="8"/>
      <c r="K28" s="8"/>
      <c r="M28" s="12"/>
    </row>
    <row r="29" spans="1:13" ht="15.75" customHeight="1" x14ac:dyDescent="0.2">
      <c r="A29" s="15" t="str">
        <f t="shared" si="0"/>
        <v>00/dd/yyyy</v>
      </c>
      <c r="B29" s="13"/>
      <c r="C29" s="13"/>
      <c r="D29" s="13"/>
      <c r="E29" s="8"/>
      <c r="F29" s="8"/>
      <c r="G29" s="8"/>
      <c r="H29" s="8"/>
      <c r="I29" s="8"/>
      <c r="J29" s="8"/>
      <c r="K29" s="8"/>
      <c r="M29" s="12"/>
    </row>
    <row r="30" spans="1:13" ht="15.75" customHeight="1" x14ac:dyDescent="0.2">
      <c r="A30" s="15" t="str">
        <f t="shared" si="0"/>
        <v>00/dd/yyyy</v>
      </c>
      <c r="B30" s="13"/>
      <c r="C30" s="13"/>
      <c r="D30" s="13"/>
      <c r="E30" s="8"/>
      <c r="F30" s="8"/>
      <c r="G30" s="8"/>
      <c r="H30" s="8"/>
      <c r="I30" s="8"/>
      <c r="J30" s="8"/>
      <c r="K30" s="8"/>
      <c r="M30" s="12"/>
    </row>
    <row r="31" spans="1:13" ht="15.75" customHeight="1" x14ac:dyDescent="0.2">
      <c r="A31" s="15" t="str">
        <f t="shared" si="0"/>
        <v>00/dd/yyyy</v>
      </c>
      <c r="B31" s="13"/>
      <c r="C31" s="13"/>
      <c r="D31" s="13"/>
      <c r="E31" s="8"/>
      <c r="F31" s="8"/>
      <c r="G31" s="8"/>
      <c r="H31" s="8"/>
      <c r="I31" s="8"/>
      <c r="J31" s="8"/>
      <c r="K31" s="8"/>
      <c r="M31" s="12"/>
    </row>
    <row r="32" spans="1:13" ht="15.75" customHeight="1" x14ac:dyDescent="0.2">
      <c r="A32" s="15" t="str">
        <f t="shared" si="0"/>
        <v>00/dd/yyyy</v>
      </c>
      <c r="B32" s="13"/>
      <c r="C32" s="13"/>
      <c r="D32" s="13"/>
      <c r="E32" s="8"/>
      <c r="F32" s="8"/>
      <c r="G32" s="8"/>
      <c r="H32" s="8"/>
      <c r="I32" s="8"/>
      <c r="J32" s="8"/>
      <c r="K32" s="8"/>
      <c r="M32" s="12"/>
    </row>
    <row r="33" spans="1:13" ht="15.75" customHeight="1" x14ac:dyDescent="0.2">
      <c r="A33" s="15" t="str">
        <f t="shared" si="0"/>
        <v>00/dd/yyyy</v>
      </c>
      <c r="B33" s="13"/>
      <c r="C33" s="13"/>
      <c r="D33" s="13"/>
      <c r="E33" s="8"/>
      <c r="F33" s="8"/>
      <c r="G33" s="8"/>
      <c r="H33" s="8"/>
      <c r="I33" s="8"/>
      <c r="J33" s="8"/>
      <c r="K33" s="8"/>
      <c r="M33" s="12"/>
    </row>
    <row r="34" spans="1:13" ht="15.75" customHeight="1" x14ac:dyDescent="0.2">
      <c r="A34" s="15" t="str">
        <f t="shared" si="0"/>
        <v>00/dd/yyyy</v>
      </c>
      <c r="B34" s="13"/>
      <c r="C34" s="13"/>
      <c r="D34" s="13"/>
      <c r="E34" s="8"/>
      <c r="F34" s="8"/>
      <c r="G34" s="8"/>
      <c r="H34" s="8"/>
      <c r="I34" s="8"/>
      <c r="J34" s="8"/>
      <c r="K34" s="8"/>
      <c r="M34" s="12"/>
    </row>
    <row r="35" spans="1:13" ht="15.75" customHeight="1" x14ac:dyDescent="0.2">
      <c r="A35" s="15" t="str">
        <f t="shared" si="0"/>
        <v>00/dd/yyyy</v>
      </c>
      <c r="B35" s="13"/>
      <c r="C35" s="13"/>
      <c r="D35" s="13"/>
      <c r="E35" s="8"/>
      <c r="F35" s="8"/>
      <c r="G35" s="8"/>
      <c r="H35" s="8"/>
      <c r="I35" s="8"/>
      <c r="J35" s="8"/>
      <c r="K35" s="8"/>
      <c r="M35" s="12"/>
    </row>
    <row r="36" spans="1:13" ht="15.75" customHeight="1" x14ac:dyDescent="0.2">
      <c r="A36" s="15" t="str">
        <f t="shared" si="0"/>
        <v>00/dd/yyyy</v>
      </c>
      <c r="B36" s="13"/>
      <c r="C36" s="13"/>
      <c r="D36" s="13"/>
      <c r="E36" s="8"/>
      <c r="F36" s="8"/>
      <c r="G36" s="8"/>
      <c r="H36" s="8"/>
      <c r="I36" s="8"/>
      <c r="J36" s="8"/>
      <c r="K36" s="8"/>
      <c r="M36" s="12"/>
    </row>
    <row r="37" spans="1:13" ht="15.75" customHeight="1" x14ac:dyDescent="0.2">
      <c r="A37" s="15" t="str">
        <f t="shared" si="0"/>
        <v>00/dd/yyyy</v>
      </c>
      <c r="B37" s="13"/>
      <c r="C37" s="13"/>
      <c r="D37" s="13"/>
      <c r="E37" s="8"/>
      <c r="F37" s="8"/>
      <c r="G37" s="8"/>
      <c r="H37" s="8"/>
      <c r="I37" s="8"/>
      <c r="J37" s="8"/>
      <c r="K37" s="8"/>
      <c r="M37" s="12"/>
    </row>
    <row r="38" spans="1:13" ht="15.75" customHeight="1" x14ac:dyDescent="0.2">
      <c r="A38" s="15" t="str">
        <f t="shared" si="0"/>
        <v>00/dd/yyyy</v>
      </c>
      <c r="B38" s="13"/>
      <c r="C38" s="13"/>
      <c r="D38" s="13"/>
      <c r="E38" s="8"/>
      <c r="F38" s="8"/>
      <c r="G38" s="8"/>
      <c r="H38" s="8"/>
      <c r="I38" s="8"/>
      <c r="J38" s="8"/>
      <c r="K38" s="8"/>
      <c r="M38" s="12"/>
    </row>
    <row r="39" spans="1:13" ht="15.75" customHeight="1" x14ac:dyDescent="0.2">
      <c r="A39" s="15" t="str">
        <f t="shared" si="0"/>
        <v>00/dd/yyyy</v>
      </c>
      <c r="B39" s="13"/>
      <c r="C39" s="13"/>
      <c r="D39" s="13"/>
      <c r="E39" s="8"/>
      <c r="F39" s="8"/>
      <c r="G39" s="8"/>
      <c r="H39" s="8"/>
      <c r="I39" s="8"/>
      <c r="J39" s="8"/>
      <c r="K39" s="8"/>
      <c r="M39" s="12"/>
    </row>
    <row r="40" spans="1:13" ht="15.75" customHeight="1" x14ac:dyDescent="0.2">
      <c r="A40" s="15" t="str">
        <f t="shared" si="0"/>
        <v>00/dd/yyyy</v>
      </c>
      <c r="B40" s="13"/>
      <c r="C40" s="13"/>
      <c r="D40" s="13"/>
      <c r="E40" s="8"/>
      <c r="F40" s="8"/>
      <c r="G40" s="8"/>
      <c r="H40" s="8"/>
      <c r="I40" s="8"/>
      <c r="J40" s="8"/>
      <c r="K40" s="8"/>
      <c r="M40" s="12"/>
    </row>
    <row r="41" spans="1:13" ht="15.75" customHeight="1" x14ac:dyDescent="0.2">
      <c r="A41" s="15" t="str">
        <f t="shared" si="0"/>
        <v>00/dd/yyyy</v>
      </c>
      <c r="B41" s="13"/>
      <c r="C41" s="13"/>
      <c r="D41" s="13"/>
      <c r="E41" s="8"/>
      <c r="F41" s="8"/>
      <c r="G41" s="8"/>
      <c r="H41" s="8"/>
      <c r="I41" s="8"/>
      <c r="J41" s="8"/>
      <c r="K41" s="8"/>
      <c r="M41" s="12"/>
    </row>
    <row r="42" spans="1:13" ht="15.75" customHeight="1" x14ac:dyDescent="0.2">
      <c r="A42" s="15" t="str">
        <f t="shared" si="0"/>
        <v>00/dd/yyyy</v>
      </c>
      <c r="B42" s="13"/>
      <c r="C42" s="13"/>
      <c r="D42" s="13"/>
      <c r="E42" s="8"/>
      <c r="F42" s="8"/>
      <c r="G42" s="8"/>
      <c r="H42" s="8"/>
      <c r="I42" s="8"/>
      <c r="J42" s="8"/>
      <c r="K42" s="8"/>
      <c r="M42" s="12"/>
    </row>
    <row r="43" spans="1:13" ht="15.75" customHeight="1" x14ac:dyDescent="0.2">
      <c r="A43" s="15" t="str">
        <f t="shared" si="0"/>
        <v>00/dd/yyyy</v>
      </c>
      <c r="B43" s="13"/>
      <c r="C43" s="13"/>
      <c r="D43" s="13"/>
      <c r="E43" s="8"/>
      <c r="F43" s="8"/>
      <c r="G43" s="8"/>
      <c r="H43" s="8"/>
      <c r="I43" s="8"/>
      <c r="J43" s="8"/>
      <c r="K43" s="8"/>
      <c r="M43" s="12"/>
    </row>
    <row r="44" spans="1:13" ht="15.75" customHeight="1" x14ac:dyDescent="0.2">
      <c r="A44" s="15" t="str">
        <f t="shared" si="0"/>
        <v>00/dd/yyyy</v>
      </c>
      <c r="B44" s="13"/>
      <c r="C44" s="13"/>
      <c r="D44" s="13"/>
      <c r="E44" s="8"/>
      <c r="F44" s="8"/>
      <c r="G44" s="8"/>
      <c r="H44" s="8"/>
      <c r="I44" s="8"/>
      <c r="J44" s="8"/>
      <c r="K44" s="8"/>
      <c r="M44" s="12"/>
    </row>
    <row r="45" spans="1:13" ht="15.75" customHeight="1" x14ac:dyDescent="0.2">
      <c r="A45" s="15" t="str">
        <f t="shared" si="0"/>
        <v>00/dd/yyyy</v>
      </c>
      <c r="B45" s="13"/>
      <c r="C45" s="13"/>
      <c r="D45" s="13"/>
      <c r="E45" s="8"/>
      <c r="F45" s="8"/>
      <c r="G45" s="8"/>
      <c r="H45" s="8"/>
      <c r="I45" s="8"/>
      <c r="J45" s="8"/>
      <c r="K45" s="8"/>
      <c r="M45" s="12"/>
    </row>
    <row r="46" spans="1:13" ht="15.75" customHeight="1" x14ac:dyDescent="0.2">
      <c r="A46" s="15" t="str">
        <f t="shared" si="0"/>
        <v>00/dd/yyyy</v>
      </c>
      <c r="B46" s="13"/>
      <c r="C46" s="13"/>
      <c r="D46" s="13"/>
      <c r="E46" s="8"/>
      <c r="F46" s="8"/>
      <c r="G46" s="8"/>
      <c r="H46" s="8"/>
      <c r="I46" s="8"/>
      <c r="J46" s="8"/>
      <c r="K46" s="8"/>
      <c r="M46" s="12"/>
    </row>
    <row r="47" spans="1:13" ht="15.75" customHeight="1" x14ac:dyDescent="0.2">
      <c r="A47" s="15" t="str">
        <f t="shared" si="0"/>
        <v>00/dd/yyyy</v>
      </c>
      <c r="B47" s="13"/>
      <c r="C47" s="13"/>
      <c r="D47" s="13"/>
      <c r="E47" s="8"/>
      <c r="F47" s="8"/>
      <c r="G47" s="8"/>
      <c r="H47" s="8"/>
      <c r="I47" s="8"/>
      <c r="J47" s="8"/>
      <c r="K47" s="8"/>
      <c r="M47" s="12"/>
    </row>
    <row r="48" spans="1:13" ht="15.75" customHeight="1" x14ac:dyDescent="0.2">
      <c r="A48" s="15" t="str">
        <f t="shared" si="0"/>
        <v>00/dd/yyyy</v>
      </c>
      <c r="B48" s="13"/>
      <c r="C48" s="13"/>
      <c r="D48" s="13"/>
      <c r="E48" s="8"/>
      <c r="F48" s="8"/>
      <c r="G48" s="8"/>
      <c r="H48" s="8"/>
      <c r="I48" s="8"/>
      <c r="J48" s="8"/>
      <c r="K48" s="8"/>
      <c r="M48" s="12"/>
    </row>
    <row r="49" spans="1:13" ht="15.75" customHeight="1" x14ac:dyDescent="0.2">
      <c r="A49" s="15" t="str">
        <f t="shared" si="0"/>
        <v>00/dd/yyyy</v>
      </c>
      <c r="B49" s="13"/>
      <c r="C49" s="13"/>
      <c r="D49" s="13"/>
      <c r="E49" s="8"/>
      <c r="F49" s="8"/>
      <c r="G49" s="8"/>
      <c r="H49" s="8"/>
      <c r="I49" s="8"/>
      <c r="J49" s="8"/>
      <c r="K49" s="8"/>
      <c r="M49" s="12"/>
    </row>
    <row r="50" spans="1:13" ht="15.75" customHeight="1" x14ac:dyDescent="0.2">
      <c r="A50" s="15" t="str">
        <f t="shared" si="0"/>
        <v>00/dd/yyyy</v>
      </c>
      <c r="B50" s="13"/>
      <c r="C50" s="13"/>
      <c r="D50" s="13"/>
      <c r="E50" s="8"/>
      <c r="F50" s="8"/>
      <c r="G50" s="8"/>
      <c r="H50" s="8"/>
      <c r="I50" s="8"/>
      <c r="J50" s="8"/>
      <c r="K50" s="8"/>
      <c r="M50" s="12"/>
    </row>
    <row r="51" spans="1:13" ht="15.75" customHeight="1" x14ac:dyDescent="0.2">
      <c r="A51" s="15" t="str">
        <f t="shared" si="0"/>
        <v>00/dd/yyyy</v>
      </c>
      <c r="B51" s="13"/>
      <c r="C51" s="13"/>
      <c r="D51" s="16"/>
      <c r="E51" s="8"/>
      <c r="F51" s="8"/>
      <c r="G51" s="8"/>
      <c r="H51" s="8"/>
      <c r="I51" s="8"/>
      <c r="J51" s="8"/>
      <c r="K51" s="8"/>
      <c r="M51" s="12"/>
    </row>
    <row r="52" spans="1:13" ht="15.75" customHeight="1" x14ac:dyDescent="0.2">
      <c r="A52" s="13"/>
      <c r="B52" s="13"/>
      <c r="C52" s="13"/>
      <c r="D52" s="13"/>
      <c r="M52" s="12"/>
    </row>
    <row r="53" spans="1:13" ht="15.75" customHeight="1" x14ac:dyDescent="0.2">
      <c r="A53" s="13"/>
      <c r="B53" s="13"/>
      <c r="C53" s="13"/>
      <c r="D53" s="13"/>
      <c r="M53" s="12"/>
    </row>
    <row r="54" spans="1:13" ht="15.75" customHeight="1" x14ac:dyDescent="0.2">
      <c r="A54" s="13"/>
      <c r="B54" s="13"/>
      <c r="C54" s="13"/>
      <c r="D54" s="13"/>
      <c r="M54" s="12"/>
    </row>
    <row r="55" spans="1:13" ht="15.75" customHeight="1" x14ac:dyDescent="0.2">
      <c r="A55" s="13"/>
      <c r="B55" s="13"/>
      <c r="C55" s="13"/>
      <c r="D55" s="13"/>
      <c r="M55" s="12"/>
    </row>
    <row r="56" spans="1:13" ht="15.75" customHeight="1" x14ac:dyDescent="0.2">
      <c r="A56" s="13"/>
      <c r="B56" s="13"/>
      <c r="C56" s="13"/>
      <c r="D56" s="13"/>
      <c r="M56" s="12"/>
    </row>
    <row r="57" spans="1:13" ht="15.75" customHeight="1" x14ac:dyDescent="0.2">
      <c r="A57" s="13"/>
      <c r="B57" s="13"/>
      <c r="C57" s="13"/>
      <c r="D57" s="13"/>
      <c r="M57" s="12"/>
    </row>
    <row r="58" spans="1:13" ht="15.75" customHeight="1" x14ac:dyDescent="0.2">
      <c r="A58" s="13"/>
      <c r="B58" s="13"/>
      <c r="C58" s="13"/>
      <c r="D58" s="13"/>
      <c r="M58" s="12"/>
    </row>
    <row r="59" spans="1:13" ht="15.75" customHeight="1" x14ac:dyDescent="0.2">
      <c r="A59" s="13"/>
      <c r="B59" s="13"/>
      <c r="C59" s="13"/>
      <c r="D59" s="13"/>
      <c r="M59" s="12"/>
    </row>
    <row r="60" spans="1:13" ht="15.75" customHeight="1" x14ac:dyDescent="0.2">
      <c r="A60" s="13"/>
      <c r="B60" s="13"/>
      <c r="C60" s="13"/>
      <c r="D60" s="13"/>
      <c r="M60" s="12"/>
    </row>
    <row r="61" spans="1:13" ht="15.75" customHeight="1" x14ac:dyDescent="0.2">
      <c r="A61" s="13"/>
      <c r="B61" s="13"/>
      <c r="C61" s="13"/>
      <c r="D61" s="13"/>
      <c r="M61" s="12"/>
    </row>
    <row r="62" spans="1:13" ht="15.75" customHeight="1" x14ac:dyDescent="0.2">
      <c r="A62" s="13"/>
      <c r="B62" s="13"/>
      <c r="C62" s="13"/>
      <c r="D62" s="13"/>
      <c r="M62" s="12"/>
    </row>
    <row r="63" spans="1:13" ht="15.75" customHeight="1" x14ac:dyDescent="0.2">
      <c r="A63" s="13"/>
      <c r="B63" s="13"/>
      <c r="C63" s="13"/>
      <c r="D63" s="13"/>
      <c r="M63" s="12"/>
    </row>
    <row r="64" spans="1:13" ht="15.75" customHeight="1" x14ac:dyDescent="0.2">
      <c r="A64" s="13"/>
      <c r="B64" s="13"/>
      <c r="C64" s="13"/>
      <c r="D64" s="13"/>
      <c r="M64" s="12"/>
    </row>
    <row r="65" spans="1:13" ht="15.75" customHeight="1" x14ac:dyDescent="0.2">
      <c r="A65" s="13"/>
      <c r="B65" s="13"/>
      <c r="C65" s="13"/>
      <c r="D65" s="13"/>
      <c r="M65" s="12"/>
    </row>
    <row r="66" spans="1:13" ht="15.75" customHeight="1" x14ac:dyDescent="0.2">
      <c r="A66" s="13"/>
      <c r="B66" s="13"/>
      <c r="C66" s="13"/>
      <c r="D66" s="13"/>
      <c r="M66" s="12"/>
    </row>
    <row r="67" spans="1:13" ht="15.75" customHeight="1" x14ac:dyDescent="0.2">
      <c r="A67" s="13"/>
      <c r="B67" s="13"/>
      <c r="C67" s="13"/>
      <c r="D67" s="13"/>
      <c r="M67" s="12"/>
    </row>
    <row r="68" spans="1:13" ht="15.75" customHeight="1" x14ac:dyDescent="0.2">
      <c r="A68" s="13"/>
      <c r="B68" s="13"/>
      <c r="C68" s="13"/>
      <c r="D68" s="13"/>
      <c r="M68" s="12"/>
    </row>
    <row r="69" spans="1:13" ht="15.75" customHeight="1" x14ac:dyDescent="0.2">
      <c r="A69" s="13"/>
      <c r="B69" s="13"/>
      <c r="C69" s="13"/>
      <c r="D69" s="13"/>
      <c r="M69" s="12"/>
    </row>
    <row r="70" spans="1:13" ht="15.75" customHeight="1" x14ac:dyDescent="0.2">
      <c r="A70" s="13"/>
      <c r="B70" s="13"/>
      <c r="C70" s="13"/>
      <c r="D70" s="13"/>
      <c r="M70" s="12"/>
    </row>
    <row r="71" spans="1:13" ht="15.75" customHeight="1" x14ac:dyDescent="0.2">
      <c r="A71" s="13"/>
      <c r="B71" s="13"/>
      <c r="C71" s="13"/>
      <c r="D71" s="13"/>
      <c r="M71" s="12"/>
    </row>
    <row r="72" spans="1:13" ht="15.75" customHeight="1" x14ac:dyDescent="0.2">
      <c r="A72" s="13"/>
      <c r="B72" s="13"/>
      <c r="C72" s="13"/>
      <c r="D72" s="13"/>
      <c r="M72" s="12"/>
    </row>
    <row r="73" spans="1:13" ht="15.75" customHeight="1" x14ac:dyDescent="0.2">
      <c r="A73" s="13"/>
      <c r="B73" s="13"/>
      <c r="C73" s="13"/>
      <c r="D73" s="13"/>
      <c r="M73" s="12"/>
    </row>
    <row r="74" spans="1:13" ht="15.75" customHeight="1" x14ac:dyDescent="0.2">
      <c r="A74" s="13"/>
      <c r="B74" s="13"/>
      <c r="C74" s="13"/>
      <c r="D74" s="13"/>
      <c r="M74" s="12"/>
    </row>
    <row r="75" spans="1:13" ht="15.75" customHeight="1" x14ac:dyDescent="0.2">
      <c r="A75" s="13"/>
      <c r="B75" s="13"/>
      <c r="C75" s="13"/>
      <c r="D75" s="13"/>
      <c r="M75" s="12"/>
    </row>
    <row r="76" spans="1:13" ht="15.75" customHeight="1" x14ac:dyDescent="0.2">
      <c r="A76" s="13"/>
      <c r="B76" s="13"/>
      <c r="C76" s="13"/>
      <c r="D76" s="13"/>
      <c r="M76" s="12"/>
    </row>
    <row r="77" spans="1:13" ht="15.75" customHeight="1" x14ac:dyDescent="0.2">
      <c r="A77" s="13"/>
      <c r="B77" s="13"/>
      <c r="C77" s="13"/>
      <c r="D77" s="13"/>
      <c r="M77" s="12"/>
    </row>
    <row r="78" spans="1:13" ht="15.75" customHeight="1" x14ac:dyDescent="0.2">
      <c r="A78" s="13"/>
      <c r="B78" s="13"/>
      <c r="C78" s="13"/>
      <c r="D78" s="13"/>
      <c r="M78" s="12"/>
    </row>
    <row r="79" spans="1:13" ht="15.75" customHeight="1" x14ac:dyDescent="0.2">
      <c r="A79" s="13"/>
      <c r="B79" s="13"/>
      <c r="C79" s="13"/>
      <c r="D79" s="13"/>
      <c r="M79" s="12"/>
    </row>
    <row r="80" spans="1:13" ht="15.75" customHeight="1" x14ac:dyDescent="0.2">
      <c r="A80" s="13"/>
      <c r="B80" s="13"/>
      <c r="C80" s="13"/>
      <c r="D80" s="13"/>
      <c r="M80" s="12"/>
    </row>
    <row r="81" spans="1:13" ht="15.75" customHeight="1" x14ac:dyDescent="0.2">
      <c r="A81" s="13"/>
      <c r="B81" s="13"/>
      <c r="C81" s="13"/>
      <c r="D81" s="13"/>
      <c r="M81" s="12"/>
    </row>
    <row r="82" spans="1:13" ht="15.75" customHeight="1" x14ac:dyDescent="0.2">
      <c r="A82" s="13"/>
      <c r="B82" s="13"/>
      <c r="C82" s="13"/>
      <c r="D82" s="13"/>
      <c r="M82" s="12"/>
    </row>
    <row r="83" spans="1:13" ht="15.75" customHeight="1" x14ac:dyDescent="0.2">
      <c r="A83" s="13"/>
      <c r="B83" s="13"/>
      <c r="C83" s="13"/>
      <c r="D83" s="13"/>
      <c r="M83" s="12"/>
    </row>
    <row r="84" spans="1:13" ht="15.75" customHeight="1" x14ac:dyDescent="0.2">
      <c r="A84" s="13"/>
      <c r="B84" s="13"/>
      <c r="C84" s="13"/>
      <c r="D84" s="13"/>
      <c r="M84" s="12"/>
    </row>
    <row r="85" spans="1:13" ht="15.75" customHeight="1" x14ac:dyDescent="0.2">
      <c r="A85" s="13"/>
      <c r="B85" s="13"/>
      <c r="C85" s="13"/>
      <c r="D85" s="13"/>
      <c r="M85" s="12"/>
    </row>
    <row r="86" spans="1:13" ht="15.75" customHeight="1" x14ac:dyDescent="0.2">
      <c r="A86" s="13"/>
      <c r="B86" s="13"/>
      <c r="C86" s="13"/>
      <c r="D86" s="13"/>
      <c r="M86" s="12"/>
    </row>
    <row r="87" spans="1:13" ht="15.75" customHeight="1" x14ac:dyDescent="0.2">
      <c r="A87" s="13"/>
      <c r="B87" s="13"/>
      <c r="C87" s="13"/>
      <c r="D87" s="13"/>
      <c r="M87" s="12"/>
    </row>
    <row r="88" spans="1:13" ht="15.75" customHeight="1" x14ac:dyDescent="0.2">
      <c r="A88" s="13"/>
      <c r="B88" s="13"/>
      <c r="C88" s="13"/>
      <c r="D88" s="13"/>
      <c r="M88" s="12"/>
    </row>
    <row r="89" spans="1:13" ht="15.75" customHeight="1" x14ac:dyDescent="0.2">
      <c r="A89" s="13"/>
      <c r="B89" s="13"/>
      <c r="C89" s="13"/>
      <c r="D89" s="13"/>
      <c r="M89" s="12"/>
    </row>
    <row r="90" spans="1:13" ht="15.75" customHeight="1" x14ac:dyDescent="0.2">
      <c r="A90" s="13"/>
      <c r="B90" s="13"/>
      <c r="C90" s="13"/>
      <c r="D90" s="13"/>
      <c r="M90" s="12"/>
    </row>
    <row r="91" spans="1:13" ht="15.75" customHeight="1" x14ac:dyDescent="0.2">
      <c r="A91" s="13"/>
      <c r="B91" s="13"/>
      <c r="C91" s="13"/>
      <c r="D91" s="13"/>
      <c r="M91" s="12"/>
    </row>
    <row r="92" spans="1:13" ht="15.75" customHeight="1" x14ac:dyDescent="0.2">
      <c r="A92" s="13"/>
      <c r="B92" s="13"/>
      <c r="C92" s="13"/>
      <c r="D92" s="13"/>
      <c r="M92" s="12"/>
    </row>
    <row r="93" spans="1:13" ht="15.75" customHeight="1" x14ac:dyDescent="0.2">
      <c r="A93" s="13"/>
      <c r="B93" s="13"/>
      <c r="C93" s="13"/>
      <c r="D93" s="13"/>
      <c r="M93" s="12"/>
    </row>
    <row r="94" spans="1:13" ht="15.75" customHeight="1" x14ac:dyDescent="0.2">
      <c r="A94" s="13"/>
      <c r="B94" s="13"/>
      <c r="C94" s="13"/>
      <c r="D94" s="13"/>
      <c r="M94" s="12"/>
    </row>
    <row r="95" spans="1:13" ht="15.75" customHeight="1" x14ac:dyDescent="0.2">
      <c r="A95" s="13"/>
      <c r="B95" s="13"/>
      <c r="C95" s="13"/>
      <c r="D95" s="13"/>
      <c r="M95" s="12"/>
    </row>
    <row r="96" spans="1:13" ht="15.75" customHeight="1" x14ac:dyDescent="0.2">
      <c r="A96" s="13"/>
      <c r="B96" s="13"/>
      <c r="C96" s="13"/>
      <c r="D96" s="13"/>
      <c r="M96" s="12"/>
    </row>
    <row r="97" spans="1:13" ht="15.75" customHeight="1" x14ac:dyDescent="0.2">
      <c r="A97" s="13"/>
      <c r="B97" s="13"/>
      <c r="C97" s="13"/>
      <c r="D97" s="13"/>
      <c r="M97" s="12"/>
    </row>
    <row r="98" spans="1:13" ht="15.75" customHeight="1" x14ac:dyDescent="0.2">
      <c r="A98" s="13"/>
      <c r="B98" s="13"/>
      <c r="C98" s="13"/>
      <c r="D98" s="13"/>
      <c r="M98" s="12"/>
    </row>
    <row r="99" spans="1:13" ht="15.75" customHeight="1" x14ac:dyDescent="0.2">
      <c r="A99" s="13"/>
      <c r="B99" s="13"/>
      <c r="C99" s="13"/>
      <c r="D99" s="13"/>
      <c r="M99" s="12"/>
    </row>
    <row r="100" spans="1:13" ht="15.75" customHeight="1" x14ac:dyDescent="0.2">
      <c r="A100" s="13"/>
      <c r="B100" s="13"/>
      <c r="C100" s="13"/>
      <c r="D100" s="13"/>
      <c r="M100" s="12"/>
    </row>
    <row r="101" spans="1:13" ht="15.75" customHeight="1" x14ac:dyDescent="0.2">
      <c r="A101" s="13"/>
      <c r="B101" s="13"/>
      <c r="C101" s="13"/>
      <c r="D101" s="13"/>
      <c r="M101" s="12"/>
    </row>
    <row r="102" spans="1:13" ht="15.75" customHeight="1" x14ac:dyDescent="0.2">
      <c r="A102" s="13"/>
      <c r="B102" s="13"/>
      <c r="C102" s="13"/>
      <c r="D102" s="13"/>
      <c r="M102" s="12"/>
    </row>
    <row r="103" spans="1:13" ht="15.75" customHeight="1" x14ac:dyDescent="0.2">
      <c r="A103" s="13"/>
      <c r="B103" s="13"/>
      <c r="C103" s="13"/>
      <c r="D103" s="13"/>
      <c r="M103" s="12"/>
    </row>
    <row r="104" spans="1:13" ht="15.75" customHeight="1" x14ac:dyDescent="0.2">
      <c r="A104" s="13"/>
      <c r="B104" s="13"/>
      <c r="C104" s="13"/>
      <c r="D104" s="13"/>
      <c r="M104" s="12"/>
    </row>
    <row r="105" spans="1:13" ht="15.75" customHeight="1" x14ac:dyDescent="0.2">
      <c r="A105" s="13"/>
      <c r="B105" s="13"/>
      <c r="C105" s="13"/>
      <c r="D105" s="13"/>
      <c r="M105" s="12"/>
    </row>
    <row r="106" spans="1:13" ht="15.75" customHeight="1" x14ac:dyDescent="0.2">
      <c r="A106" s="13"/>
      <c r="B106" s="13"/>
      <c r="C106" s="13"/>
      <c r="D106" s="13"/>
      <c r="M106" s="12"/>
    </row>
    <row r="107" spans="1:13" ht="15.75" customHeight="1" x14ac:dyDescent="0.2">
      <c r="A107" s="13"/>
      <c r="B107" s="13"/>
      <c r="C107" s="13"/>
      <c r="D107" s="13"/>
      <c r="M107" s="12"/>
    </row>
    <row r="108" spans="1:13" ht="15.75" customHeight="1" x14ac:dyDescent="0.2">
      <c r="A108" s="13"/>
      <c r="B108" s="13"/>
      <c r="C108" s="13"/>
      <c r="D108" s="13"/>
      <c r="M108" s="12"/>
    </row>
    <row r="109" spans="1:13" ht="15.75" customHeight="1" x14ac:dyDescent="0.2">
      <c r="A109" s="13"/>
      <c r="B109" s="13"/>
      <c r="C109" s="13"/>
      <c r="D109" s="13"/>
      <c r="M109" s="12"/>
    </row>
    <row r="110" spans="1:13" ht="15.75" customHeight="1" x14ac:dyDescent="0.2">
      <c r="A110" s="13"/>
      <c r="B110" s="13"/>
      <c r="C110" s="13"/>
      <c r="D110" s="13"/>
      <c r="M110" s="12"/>
    </row>
    <row r="111" spans="1:13" ht="15.75" customHeight="1" x14ac:dyDescent="0.2">
      <c r="A111" s="13"/>
      <c r="B111" s="13"/>
      <c r="C111" s="13"/>
      <c r="D111" s="13"/>
      <c r="M111" s="12"/>
    </row>
    <row r="112" spans="1:13" ht="15.75" customHeight="1" x14ac:dyDescent="0.2">
      <c r="A112" s="13"/>
      <c r="B112" s="13"/>
      <c r="C112" s="13"/>
      <c r="D112" s="13"/>
      <c r="M112" s="12"/>
    </row>
    <row r="113" spans="1:13" ht="15.75" customHeight="1" x14ac:dyDescent="0.2">
      <c r="A113" s="13"/>
      <c r="B113" s="13"/>
      <c r="C113" s="13"/>
      <c r="D113" s="13"/>
      <c r="M113" s="12"/>
    </row>
    <row r="114" spans="1:13" ht="15.75" customHeight="1" x14ac:dyDescent="0.2">
      <c r="A114" s="13"/>
      <c r="B114" s="13"/>
      <c r="C114" s="13"/>
      <c r="D114" s="13"/>
      <c r="M114" s="12"/>
    </row>
    <row r="115" spans="1:13" ht="15.75" customHeight="1" x14ac:dyDescent="0.2">
      <c r="A115" s="13"/>
      <c r="B115" s="13"/>
      <c r="C115" s="13"/>
      <c r="D115" s="13"/>
      <c r="M115" s="12"/>
    </row>
    <row r="116" spans="1:13" ht="15.75" customHeight="1" x14ac:dyDescent="0.2">
      <c r="A116" s="13"/>
      <c r="B116" s="13"/>
      <c r="C116" s="13"/>
      <c r="D116" s="13"/>
      <c r="M116" s="12"/>
    </row>
    <row r="117" spans="1:13" ht="15.75" customHeight="1" x14ac:dyDescent="0.2">
      <c r="A117" s="13"/>
      <c r="B117" s="13"/>
      <c r="C117" s="13"/>
      <c r="D117" s="13"/>
      <c r="M117" s="12"/>
    </row>
    <row r="118" spans="1:13" ht="15.75" customHeight="1" x14ac:dyDescent="0.2">
      <c r="A118" s="13"/>
      <c r="B118" s="13"/>
      <c r="C118" s="13"/>
      <c r="D118" s="13"/>
      <c r="M118" s="12"/>
    </row>
    <row r="119" spans="1:13" ht="15.75" customHeight="1" x14ac:dyDescent="0.2">
      <c r="A119" s="13"/>
      <c r="B119" s="13"/>
      <c r="C119" s="13"/>
      <c r="D119" s="13"/>
      <c r="M119" s="12"/>
    </row>
    <row r="120" spans="1:13" ht="15.75" customHeight="1" x14ac:dyDescent="0.2">
      <c r="A120" s="13"/>
      <c r="B120" s="13"/>
      <c r="C120" s="13"/>
      <c r="D120" s="13"/>
      <c r="M120" s="12"/>
    </row>
    <row r="121" spans="1:13" ht="15.75" customHeight="1" x14ac:dyDescent="0.2">
      <c r="A121" s="13"/>
      <c r="B121" s="13"/>
      <c r="C121" s="13"/>
      <c r="D121" s="13"/>
      <c r="M121" s="12"/>
    </row>
    <row r="122" spans="1:13" ht="15.75" customHeight="1" x14ac:dyDescent="0.2">
      <c r="A122" s="13"/>
      <c r="B122" s="13"/>
      <c r="C122" s="13"/>
      <c r="D122" s="13"/>
      <c r="M122" s="12"/>
    </row>
    <row r="123" spans="1:13" ht="15.75" customHeight="1" x14ac:dyDescent="0.2">
      <c r="A123" s="13"/>
      <c r="B123" s="13"/>
      <c r="C123" s="13"/>
      <c r="D123" s="13"/>
      <c r="M123" s="12"/>
    </row>
    <row r="124" spans="1:13" ht="15.75" customHeight="1" x14ac:dyDescent="0.2">
      <c r="A124" s="13"/>
      <c r="B124" s="13"/>
      <c r="C124" s="13"/>
      <c r="D124" s="13"/>
      <c r="M124" s="12"/>
    </row>
    <row r="125" spans="1:13" ht="15.75" customHeight="1" x14ac:dyDescent="0.2">
      <c r="A125" s="13"/>
      <c r="B125" s="13"/>
      <c r="C125" s="13"/>
      <c r="D125" s="13"/>
      <c r="M125" s="12"/>
    </row>
    <row r="126" spans="1:13" ht="15.75" customHeight="1" x14ac:dyDescent="0.2">
      <c r="A126" s="13"/>
      <c r="B126" s="13"/>
      <c r="C126" s="13"/>
      <c r="D126" s="13"/>
      <c r="M126" s="12"/>
    </row>
    <row r="127" spans="1:13" ht="15.75" customHeight="1" x14ac:dyDescent="0.2">
      <c r="A127" s="13"/>
      <c r="B127" s="13"/>
      <c r="C127" s="13"/>
      <c r="D127" s="13"/>
      <c r="M127" s="12"/>
    </row>
    <row r="128" spans="1:13" ht="15.75" customHeight="1" x14ac:dyDescent="0.2">
      <c r="A128" s="13"/>
      <c r="B128" s="13"/>
      <c r="C128" s="13"/>
      <c r="D128" s="13"/>
      <c r="M128" s="12"/>
    </row>
    <row r="129" spans="1:13" ht="15.75" customHeight="1" x14ac:dyDescent="0.2">
      <c r="A129" s="13"/>
      <c r="B129" s="13"/>
      <c r="C129" s="13"/>
      <c r="D129" s="13"/>
      <c r="M129" s="12"/>
    </row>
    <row r="130" spans="1:13" ht="15.75" customHeight="1" x14ac:dyDescent="0.2">
      <c r="A130" s="13"/>
      <c r="B130" s="13"/>
      <c r="C130" s="13"/>
      <c r="D130" s="13"/>
      <c r="M130" s="12"/>
    </row>
    <row r="131" spans="1:13" ht="15.75" customHeight="1" x14ac:dyDescent="0.2">
      <c r="A131" s="13"/>
      <c r="B131" s="13"/>
      <c r="C131" s="13"/>
      <c r="D131" s="13"/>
      <c r="M131" s="12"/>
    </row>
    <row r="132" spans="1:13" ht="15.75" customHeight="1" x14ac:dyDescent="0.2">
      <c r="A132" s="13"/>
      <c r="B132" s="13"/>
      <c r="C132" s="13"/>
      <c r="D132" s="13"/>
      <c r="M132" s="12"/>
    </row>
    <row r="133" spans="1:13" ht="15.75" customHeight="1" x14ac:dyDescent="0.2">
      <c r="A133" s="13"/>
      <c r="B133" s="13"/>
      <c r="C133" s="13"/>
      <c r="D133" s="13"/>
      <c r="M133" s="12"/>
    </row>
    <row r="134" spans="1:13" ht="15.75" customHeight="1" x14ac:dyDescent="0.2">
      <c r="A134" s="13"/>
      <c r="B134" s="13"/>
      <c r="C134" s="13"/>
      <c r="D134" s="13"/>
      <c r="M134" s="12"/>
    </row>
    <row r="135" spans="1:13" ht="15.75" customHeight="1" x14ac:dyDescent="0.2">
      <c r="A135" s="13"/>
      <c r="B135" s="13"/>
      <c r="C135" s="13"/>
      <c r="D135" s="13"/>
      <c r="M135" s="12"/>
    </row>
    <row r="136" spans="1:13" ht="15.75" customHeight="1" x14ac:dyDescent="0.2">
      <c r="A136" s="13"/>
      <c r="B136" s="13"/>
      <c r="C136" s="13"/>
      <c r="D136" s="13"/>
      <c r="M136" s="12"/>
    </row>
    <row r="137" spans="1:13" ht="15.75" customHeight="1" x14ac:dyDescent="0.2">
      <c r="A137" s="13"/>
      <c r="B137" s="13"/>
      <c r="C137" s="13"/>
      <c r="D137" s="13"/>
      <c r="M137" s="12"/>
    </row>
    <row r="138" spans="1:13" ht="15.75" customHeight="1" x14ac:dyDescent="0.2">
      <c r="A138" s="13"/>
      <c r="B138" s="13"/>
      <c r="C138" s="13"/>
      <c r="D138" s="13"/>
      <c r="M138" s="12"/>
    </row>
    <row r="139" spans="1:13" ht="15.75" customHeight="1" x14ac:dyDescent="0.2">
      <c r="A139" s="13"/>
      <c r="B139" s="13"/>
      <c r="C139" s="13"/>
      <c r="D139" s="13"/>
      <c r="M139" s="12"/>
    </row>
    <row r="140" spans="1:13" ht="15.75" customHeight="1" x14ac:dyDescent="0.2">
      <c r="A140" s="13"/>
      <c r="B140" s="13"/>
      <c r="C140" s="13"/>
      <c r="D140" s="13"/>
      <c r="M140" s="12"/>
    </row>
    <row r="141" spans="1:13" ht="15.75" customHeight="1" x14ac:dyDescent="0.2">
      <c r="A141" s="13"/>
      <c r="B141" s="13"/>
      <c r="C141" s="13"/>
      <c r="D141" s="13"/>
      <c r="M141" s="12"/>
    </row>
    <row r="142" spans="1:13" ht="15.75" customHeight="1" x14ac:dyDescent="0.2">
      <c r="A142" s="13"/>
      <c r="B142" s="13"/>
      <c r="C142" s="13"/>
      <c r="D142" s="13"/>
      <c r="M142" s="12"/>
    </row>
    <row r="143" spans="1:13" ht="15.75" customHeight="1" x14ac:dyDescent="0.2">
      <c r="A143" s="13"/>
      <c r="B143" s="13"/>
      <c r="C143" s="13"/>
      <c r="D143" s="13"/>
      <c r="M143" s="12"/>
    </row>
    <row r="144" spans="1:13" ht="15.75" customHeight="1" x14ac:dyDescent="0.2">
      <c r="A144" s="13"/>
      <c r="B144" s="13"/>
      <c r="C144" s="13"/>
      <c r="D144" s="13"/>
      <c r="M144" s="12"/>
    </row>
    <row r="145" spans="1:13" ht="15.75" customHeight="1" x14ac:dyDescent="0.2">
      <c r="A145" s="13"/>
      <c r="B145" s="13"/>
      <c r="C145" s="13"/>
      <c r="D145" s="13"/>
      <c r="M145" s="12"/>
    </row>
    <row r="146" spans="1:13" ht="15.75" customHeight="1" x14ac:dyDescent="0.2">
      <c r="A146" s="13"/>
      <c r="B146" s="13"/>
      <c r="C146" s="13"/>
      <c r="D146" s="13"/>
      <c r="M146" s="12"/>
    </row>
    <row r="147" spans="1:13" ht="15.75" customHeight="1" x14ac:dyDescent="0.2">
      <c r="A147" s="13"/>
      <c r="B147" s="13"/>
      <c r="C147" s="13"/>
      <c r="D147" s="13"/>
      <c r="M147" s="12"/>
    </row>
    <row r="148" spans="1:13" ht="15.75" customHeight="1" x14ac:dyDescent="0.2">
      <c r="A148" s="13"/>
      <c r="B148" s="13"/>
      <c r="C148" s="13"/>
      <c r="D148" s="13"/>
      <c r="M148" s="12"/>
    </row>
    <row r="149" spans="1:13" ht="15.75" customHeight="1" x14ac:dyDescent="0.2">
      <c r="A149" s="13"/>
      <c r="B149" s="13"/>
      <c r="C149" s="13"/>
      <c r="D149" s="13"/>
      <c r="M149" s="12"/>
    </row>
    <row r="150" spans="1:13" ht="15.75" customHeight="1" x14ac:dyDescent="0.2">
      <c r="A150" s="13"/>
      <c r="B150" s="13"/>
      <c r="C150" s="13"/>
      <c r="D150" s="13"/>
      <c r="M150" s="12"/>
    </row>
    <row r="151" spans="1:13" ht="15.75" customHeight="1" x14ac:dyDescent="0.2">
      <c r="A151" s="13"/>
      <c r="B151" s="13"/>
      <c r="C151" s="13"/>
      <c r="D151" s="13"/>
      <c r="M151" s="12"/>
    </row>
    <row r="152" spans="1:13" ht="15.75" customHeight="1" x14ac:dyDescent="0.2">
      <c r="A152" s="13"/>
      <c r="B152" s="13"/>
      <c r="C152" s="13"/>
      <c r="D152" s="13"/>
      <c r="M152" s="12"/>
    </row>
    <row r="153" spans="1:13" ht="15.75" customHeight="1" x14ac:dyDescent="0.2">
      <c r="A153" s="13"/>
      <c r="B153" s="13"/>
      <c r="C153" s="13"/>
      <c r="D153" s="13"/>
      <c r="M153" s="12"/>
    </row>
    <row r="154" spans="1:13" ht="15.75" customHeight="1" x14ac:dyDescent="0.2">
      <c r="A154" s="13"/>
      <c r="B154" s="13"/>
      <c r="C154" s="13"/>
      <c r="D154" s="13"/>
      <c r="M154" s="12"/>
    </row>
    <row r="155" spans="1:13" ht="15.75" customHeight="1" x14ac:dyDescent="0.2">
      <c r="A155" s="13"/>
      <c r="B155" s="13"/>
      <c r="C155" s="13"/>
      <c r="D155" s="13"/>
      <c r="M155" s="12"/>
    </row>
    <row r="156" spans="1:13" ht="15.75" customHeight="1" x14ac:dyDescent="0.2">
      <c r="A156" s="13"/>
      <c r="B156" s="13"/>
      <c r="C156" s="13"/>
      <c r="D156" s="13"/>
      <c r="M156" s="12"/>
    </row>
    <row r="157" spans="1:13" ht="15.75" customHeight="1" x14ac:dyDescent="0.2">
      <c r="A157" s="13"/>
      <c r="B157" s="13"/>
      <c r="C157" s="13"/>
      <c r="D157" s="13"/>
      <c r="M157" s="12"/>
    </row>
    <row r="158" spans="1:13" ht="15.75" customHeight="1" x14ac:dyDescent="0.2">
      <c r="A158" s="13"/>
      <c r="B158" s="13"/>
      <c r="C158" s="13"/>
      <c r="D158" s="13"/>
      <c r="M158" s="12"/>
    </row>
    <row r="159" spans="1:13" ht="15.75" customHeight="1" x14ac:dyDescent="0.2">
      <c r="A159" s="13"/>
      <c r="B159" s="13"/>
      <c r="C159" s="13"/>
      <c r="D159" s="13"/>
      <c r="M159" s="12"/>
    </row>
    <row r="160" spans="1:13" ht="15.75" customHeight="1" x14ac:dyDescent="0.2">
      <c r="A160" s="13"/>
      <c r="B160" s="13"/>
      <c r="C160" s="13"/>
      <c r="D160" s="13"/>
      <c r="M160" s="12"/>
    </row>
    <row r="161" spans="1:13" ht="15.75" customHeight="1" x14ac:dyDescent="0.2">
      <c r="A161" s="13"/>
      <c r="B161" s="13"/>
      <c r="C161" s="13"/>
      <c r="D161" s="13"/>
      <c r="M161" s="12"/>
    </row>
    <row r="162" spans="1:13" ht="15.75" customHeight="1" x14ac:dyDescent="0.2">
      <c r="A162" s="13"/>
      <c r="B162" s="13"/>
      <c r="C162" s="13"/>
      <c r="D162" s="13"/>
      <c r="M162" s="12"/>
    </row>
    <row r="163" spans="1:13" ht="15.75" customHeight="1" x14ac:dyDescent="0.2">
      <c r="A163" s="13"/>
      <c r="B163" s="13"/>
      <c r="C163" s="13"/>
      <c r="D163" s="13"/>
      <c r="M163" s="12"/>
    </row>
    <row r="164" spans="1:13" ht="15.75" customHeight="1" x14ac:dyDescent="0.2">
      <c r="A164" s="13"/>
      <c r="B164" s="13"/>
      <c r="C164" s="13"/>
      <c r="D164" s="13"/>
      <c r="M164" s="12"/>
    </row>
    <row r="165" spans="1:13" ht="15.75" customHeight="1" x14ac:dyDescent="0.2">
      <c r="A165" s="13"/>
      <c r="B165" s="13"/>
      <c r="C165" s="13"/>
      <c r="D165" s="13"/>
      <c r="M165" s="12"/>
    </row>
    <row r="166" spans="1:13" ht="15.75" customHeight="1" x14ac:dyDescent="0.2">
      <c r="A166" s="13"/>
      <c r="B166" s="13"/>
      <c r="C166" s="13"/>
      <c r="D166" s="13"/>
      <c r="M166" s="12"/>
    </row>
    <row r="167" spans="1:13" ht="15.75" customHeight="1" x14ac:dyDescent="0.2">
      <c r="A167" s="13"/>
      <c r="B167" s="13"/>
      <c r="C167" s="13"/>
      <c r="D167" s="13"/>
      <c r="M167" s="12"/>
    </row>
    <row r="168" spans="1:13" ht="15.75" customHeight="1" x14ac:dyDescent="0.2">
      <c r="A168" s="13"/>
      <c r="B168" s="13"/>
      <c r="C168" s="13"/>
      <c r="D168" s="13"/>
      <c r="M168" s="12"/>
    </row>
    <row r="169" spans="1:13" ht="15.75" customHeight="1" x14ac:dyDescent="0.2">
      <c r="A169" s="13"/>
      <c r="B169" s="13"/>
      <c r="C169" s="13"/>
      <c r="D169" s="13"/>
      <c r="M169" s="12"/>
    </row>
    <row r="170" spans="1:13" ht="15.75" customHeight="1" x14ac:dyDescent="0.2">
      <c r="A170" s="13"/>
      <c r="B170" s="13"/>
      <c r="C170" s="13"/>
      <c r="D170" s="13"/>
      <c r="M170" s="12"/>
    </row>
    <row r="171" spans="1:13" ht="15.75" customHeight="1" x14ac:dyDescent="0.2">
      <c r="A171" s="13"/>
      <c r="B171" s="13"/>
      <c r="C171" s="13"/>
      <c r="D171" s="13"/>
      <c r="M171" s="12"/>
    </row>
    <row r="172" spans="1:13" ht="15.75" customHeight="1" x14ac:dyDescent="0.2">
      <c r="A172" s="13"/>
      <c r="B172" s="13"/>
      <c r="C172" s="13"/>
      <c r="D172" s="13"/>
      <c r="M172" s="12"/>
    </row>
    <row r="173" spans="1:13" ht="15.75" customHeight="1" x14ac:dyDescent="0.2">
      <c r="A173" s="13"/>
      <c r="B173" s="13"/>
      <c r="C173" s="13"/>
      <c r="D173" s="13"/>
      <c r="M173" s="12"/>
    </row>
    <row r="174" spans="1:13" ht="15.75" customHeight="1" x14ac:dyDescent="0.2">
      <c r="A174" s="13"/>
      <c r="B174" s="13"/>
      <c r="C174" s="13"/>
      <c r="D174" s="13"/>
      <c r="M174" s="12"/>
    </row>
    <row r="175" spans="1:13" ht="15.75" customHeight="1" x14ac:dyDescent="0.2">
      <c r="A175" s="13"/>
      <c r="B175" s="13"/>
      <c r="C175" s="13"/>
      <c r="D175" s="13"/>
      <c r="M175" s="12"/>
    </row>
    <row r="176" spans="1:13" ht="15.75" customHeight="1" x14ac:dyDescent="0.2">
      <c r="A176" s="13"/>
      <c r="B176" s="13"/>
      <c r="C176" s="13"/>
      <c r="D176" s="13"/>
      <c r="M176" s="12"/>
    </row>
    <row r="177" spans="1:13" ht="15.75" customHeight="1" x14ac:dyDescent="0.2">
      <c r="A177" s="13"/>
      <c r="B177" s="13"/>
      <c r="C177" s="13"/>
      <c r="D177" s="13"/>
      <c r="M177" s="12"/>
    </row>
    <row r="178" spans="1:13" ht="15.75" customHeight="1" x14ac:dyDescent="0.2">
      <c r="A178" s="13"/>
      <c r="B178" s="13"/>
      <c r="C178" s="13"/>
      <c r="D178" s="13"/>
      <c r="M178" s="12"/>
    </row>
    <row r="179" spans="1:13" ht="15.75" customHeight="1" x14ac:dyDescent="0.2">
      <c r="A179" s="13"/>
      <c r="B179" s="13"/>
      <c r="C179" s="13"/>
      <c r="D179" s="13"/>
      <c r="M179" s="12"/>
    </row>
    <row r="180" spans="1:13" ht="15.75" customHeight="1" x14ac:dyDescent="0.2">
      <c r="A180" s="13"/>
      <c r="B180" s="13"/>
      <c r="C180" s="13"/>
      <c r="D180" s="13"/>
      <c r="M180" s="12"/>
    </row>
    <row r="181" spans="1:13" ht="15.75" customHeight="1" x14ac:dyDescent="0.2">
      <c r="A181" s="13"/>
      <c r="B181" s="13"/>
      <c r="C181" s="13"/>
      <c r="D181" s="13"/>
      <c r="M181" s="12"/>
    </row>
    <row r="182" spans="1:13" ht="15.75" customHeight="1" x14ac:dyDescent="0.2">
      <c r="A182" s="13"/>
      <c r="B182" s="13"/>
      <c r="C182" s="13"/>
      <c r="D182" s="13"/>
      <c r="M182" s="12"/>
    </row>
    <row r="183" spans="1:13" ht="15.75" customHeight="1" x14ac:dyDescent="0.2">
      <c r="A183" s="13"/>
      <c r="B183" s="13"/>
      <c r="C183" s="13"/>
      <c r="D183" s="13"/>
      <c r="M183" s="12"/>
    </row>
    <row r="184" spans="1:13" ht="15.75" customHeight="1" x14ac:dyDescent="0.2">
      <c r="A184" s="13"/>
      <c r="B184" s="13"/>
      <c r="C184" s="13"/>
      <c r="D184" s="13"/>
      <c r="M184" s="12"/>
    </row>
    <row r="185" spans="1:13" ht="15.75" customHeight="1" x14ac:dyDescent="0.2">
      <c r="A185" s="13"/>
      <c r="B185" s="13"/>
      <c r="C185" s="13"/>
      <c r="D185" s="13"/>
      <c r="M185" s="12"/>
    </row>
    <row r="186" spans="1:13" ht="15.75" customHeight="1" x14ac:dyDescent="0.2">
      <c r="A186" s="13"/>
      <c r="B186" s="13"/>
      <c r="C186" s="13"/>
      <c r="D186" s="13"/>
      <c r="M186" s="12"/>
    </row>
    <row r="187" spans="1:13" ht="15.75" customHeight="1" x14ac:dyDescent="0.2">
      <c r="A187" s="13"/>
      <c r="B187" s="13"/>
      <c r="C187" s="13"/>
      <c r="D187" s="13"/>
      <c r="M187" s="12"/>
    </row>
    <row r="188" spans="1:13" ht="15.75" customHeight="1" x14ac:dyDescent="0.2">
      <c r="A188" s="13"/>
      <c r="B188" s="13"/>
      <c r="C188" s="13"/>
      <c r="D188" s="13"/>
      <c r="M188" s="12"/>
    </row>
    <row r="189" spans="1:13" ht="15.75" customHeight="1" x14ac:dyDescent="0.2">
      <c r="A189" s="13"/>
      <c r="B189" s="13"/>
      <c r="C189" s="13"/>
      <c r="D189" s="13"/>
      <c r="M189" s="12"/>
    </row>
    <row r="190" spans="1:13" ht="15.75" customHeight="1" x14ac:dyDescent="0.2">
      <c r="A190" s="13"/>
      <c r="B190" s="13"/>
      <c r="C190" s="13"/>
      <c r="D190" s="13"/>
      <c r="M190" s="12"/>
    </row>
    <row r="191" spans="1:13" ht="15.75" customHeight="1" x14ac:dyDescent="0.2">
      <c r="A191" s="13"/>
      <c r="B191" s="13"/>
      <c r="C191" s="13"/>
      <c r="D191" s="13"/>
      <c r="M191" s="12"/>
    </row>
    <row r="192" spans="1:13" ht="15.75" customHeight="1" x14ac:dyDescent="0.2">
      <c r="A192" s="13"/>
      <c r="B192" s="13"/>
      <c r="C192" s="13"/>
      <c r="D192" s="13"/>
      <c r="M192" s="12"/>
    </row>
    <row r="193" spans="1:13" ht="15.75" customHeight="1" x14ac:dyDescent="0.2">
      <c r="A193" s="13"/>
      <c r="B193" s="13"/>
      <c r="C193" s="13"/>
      <c r="D193" s="13"/>
      <c r="M193" s="12"/>
    </row>
    <row r="194" spans="1:13" ht="15.75" customHeight="1" x14ac:dyDescent="0.2">
      <c r="A194" s="13"/>
      <c r="B194" s="13"/>
      <c r="C194" s="13"/>
      <c r="D194" s="13"/>
      <c r="M194" s="12"/>
    </row>
    <row r="195" spans="1:13" ht="15.75" customHeight="1" x14ac:dyDescent="0.2">
      <c r="A195" s="13"/>
      <c r="B195" s="13"/>
      <c r="C195" s="13"/>
      <c r="D195" s="13"/>
      <c r="M195" s="12"/>
    </row>
    <row r="196" spans="1:13" ht="15.75" customHeight="1" x14ac:dyDescent="0.2">
      <c r="A196" s="13"/>
      <c r="B196" s="13"/>
      <c r="C196" s="13"/>
      <c r="D196" s="13"/>
      <c r="M196" s="12"/>
    </row>
    <row r="197" spans="1:13" ht="15.75" customHeight="1" x14ac:dyDescent="0.2">
      <c r="A197" s="13"/>
      <c r="B197" s="13"/>
      <c r="C197" s="13"/>
      <c r="D197" s="13"/>
      <c r="M197" s="12"/>
    </row>
    <row r="198" spans="1:13" ht="15.75" customHeight="1" x14ac:dyDescent="0.2">
      <c r="A198" s="13"/>
      <c r="B198" s="13"/>
      <c r="C198" s="13"/>
      <c r="D198" s="13"/>
      <c r="M198" s="12"/>
    </row>
    <row r="199" spans="1:13" ht="15.75" customHeight="1" x14ac:dyDescent="0.2">
      <c r="A199" s="13"/>
      <c r="B199" s="13"/>
      <c r="C199" s="13"/>
      <c r="D199" s="13"/>
      <c r="M199" s="12"/>
    </row>
    <row r="200" spans="1:13" ht="15.75" customHeight="1" x14ac:dyDescent="0.2">
      <c r="A200" s="13"/>
      <c r="B200" s="13"/>
      <c r="C200" s="13"/>
      <c r="D200" s="13"/>
      <c r="M200" s="12"/>
    </row>
    <row r="201" spans="1:13" ht="15.75" customHeight="1" x14ac:dyDescent="0.2">
      <c r="A201" s="13"/>
      <c r="B201" s="13"/>
      <c r="C201" s="13"/>
      <c r="D201" s="13"/>
      <c r="M201" s="12"/>
    </row>
    <row r="202" spans="1:13" ht="15.75" customHeight="1" x14ac:dyDescent="0.2">
      <c r="A202" s="13"/>
      <c r="B202" s="13"/>
      <c r="C202" s="13"/>
      <c r="D202" s="13"/>
      <c r="M202" s="12"/>
    </row>
    <row r="203" spans="1:13" ht="15.75" customHeight="1" x14ac:dyDescent="0.2">
      <c r="A203" s="13"/>
      <c r="B203" s="13"/>
      <c r="C203" s="13"/>
      <c r="D203" s="13"/>
      <c r="M203" s="12"/>
    </row>
    <row r="204" spans="1:13" ht="15.75" customHeight="1" x14ac:dyDescent="0.2">
      <c r="A204" s="13"/>
      <c r="B204" s="13"/>
      <c r="C204" s="13"/>
      <c r="D204" s="13"/>
      <c r="M204" s="12"/>
    </row>
    <row r="205" spans="1:13" ht="15.75" customHeight="1" x14ac:dyDescent="0.2">
      <c r="A205" s="13"/>
      <c r="B205" s="13"/>
      <c r="C205" s="13"/>
      <c r="D205" s="13"/>
      <c r="M205" s="12"/>
    </row>
    <row r="206" spans="1:13" ht="15.75" customHeight="1" x14ac:dyDescent="0.2">
      <c r="A206" s="13"/>
      <c r="B206" s="13"/>
      <c r="C206" s="13"/>
      <c r="D206" s="13"/>
      <c r="M206" s="12"/>
    </row>
    <row r="207" spans="1:13" ht="15.75" customHeight="1" x14ac:dyDescent="0.2">
      <c r="A207" s="13"/>
      <c r="B207" s="13"/>
      <c r="C207" s="13"/>
      <c r="D207" s="13"/>
      <c r="M207" s="12"/>
    </row>
    <row r="208" spans="1:13" ht="15.75" customHeight="1" x14ac:dyDescent="0.2">
      <c r="A208" s="13"/>
      <c r="B208" s="13"/>
      <c r="C208" s="13"/>
      <c r="D208" s="13"/>
      <c r="M208" s="12"/>
    </row>
    <row r="209" spans="1:13" ht="15.75" customHeight="1" x14ac:dyDescent="0.2">
      <c r="A209" s="13"/>
      <c r="B209" s="13"/>
      <c r="C209" s="13"/>
      <c r="D209" s="13"/>
      <c r="M209" s="12"/>
    </row>
    <row r="210" spans="1:13" ht="15.75" customHeight="1" x14ac:dyDescent="0.2">
      <c r="A210" s="13"/>
      <c r="B210" s="13"/>
      <c r="C210" s="13"/>
      <c r="D210" s="13"/>
      <c r="M210" s="12"/>
    </row>
    <row r="211" spans="1:13" ht="15.75" customHeight="1" x14ac:dyDescent="0.2">
      <c r="A211" s="13"/>
      <c r="B211" s="13"/>
      <c r="C211" s="13"/>
      <c r="D211" s="13"/>
      <c r="M211" s="12"/>
    </row>
    <row r="212" spans="1:13" ht="15.75" customHeight="1" x14ac:dyDescent="0.2">
      <c r="A212" s="13"/>
      <c r="B212" s="13"/>
      <c r="C212" s="13"/>
      <c r="D212" s="13"/>
      <c r="M212" s="12"/>
    </row>
    <row r="213" spans="1:13" ht="15.75" customHeight="1" x14ac:dyDescent="0.2">
      <c r="A213" s="13"/>
      <c r="B213" s="13"/>
      <c r="C213" s="13"/>
      <c r="D213" s="13"/>
      <c r="M213" s="12"/>
    </row>
    <row r="214" spans="1:13" ht="15.75" customHeight="1" x14ac:dyDescent="0.2">
      <c r="A214" s="13"/>
      <c r="B214" s="13"/>
      <c r="C214" s="13"/>
      <c r="D214" s="13"/>
      <c r="M214" s="12"/>
    </row>
    <row r="215" spans="1:13" ht="15.75" customHeight="1" x14ac:dyDescent="0.2">
      <c r="A215" s="13"/>
      <c r="B215" s="13"/>
      <c r="C215" s="13"/>
      <c r="D215" s="13"/>
      <c r="M215" s="12"/>
    </row>
    <row r="216" spans="1:13" ht="15.75" customHeight="1" x14ac:dyDescent="0.2">
      <c r="A216" s="13"/>
      <c r="B216" s="13"/>
      <c r="C216" s="13"/>
      <c r="D216" s="13"/>
      <c r="M216" s="12"/>
    </row>
    <row r="217" spans="1:13" ht="15.75" customHeight="1" x14ac:dyDescent="0.2">
      <c r="A217" s="13"/>
      <c r="B217" s="13"/>
      <c r="C217" s="13"/>
      <c r="D217" s="13"/>
      <c r="M217" s="12"/>
    </row>
    <row r="218" spans="1:13" ht="15.75" customHeight="1" x14ac:dyDescent="0.2">
      <c r="A218" s="13"/>
      <c r="B218" s="13"/>
      <c r="C218" s="13"/>
      <c r="D218" s="13"/>
      <c r="M218" s="12"/>
    </row>
    <row r="219" spans="1:13" ht="15.75" customHeight="1" x14ac:dyDescent="0.2">
      <c r="A219" s="13"/>
      <c r="B219" s="13"/>
      <c r="C219" s="13"/>
      <c r="D219" s="13"/>
      <c r="M219" s="12"/>
    </row>
    <row r="220" spans="1:13" ht="15.75" customHeight="1" x14ac:dyDescent="0.2">
      <c r="A220" s="13"/>
      <c r="B220" s="13"/>
      <c r="C220" s="13"/>
      <c r="D220" s="13"/>
      <c r="M220" s="12"/>
    </row>
    <row r="221" spans="1:13" ht="15.75" customHeight="1" x14ac:dyDescent="0.2">
      <c r="A221" s="13"/>
      <c r="B221" s="13"/>
      <c r="C221" s="13"/>
      <c r="D221" s="13"/>
      <c r="M221" s="12"/>
    </row>
    <row r="222" spans="1:13" ht="15.75" customHeight="1" x14ac:dyDescent="0.2">
      <c r="A222" s="13"/>
      <c r="B222" s="13"/>
      <c r="C222" s="13"/>
      <c r="D222" s="13"/>
      <c r="M222" s="12"/>
    </row>
    <row r="223" spans="1:13" ht="15.75" customHeight="1" x14ac:dyDescent="0.2">
      <c r="A223" s="13"/>
      <c r="B223" s="13"/>
      <c r="C223" s="13"/>
      <c r="D223" s="13"/>
      <c r="M223" s="12"/>
    </row>
    <row r="224" spans="1:13" ht="15.75" customHeight="1" x14ac:dyDescent="0.2">
      <c r="A224" s="13"/>
      <c r="B224" s="13"/>
      <c r="C224" s="13"/>
      <c r="D224" s="13"/>
      <c r="M224" s="12"/>
    </row>
    <row r="225" spans="1:13" ht="15.75" customHeight="1" x14ac:dyDescent="0.2">
      <c r="A225" s="13"/>
      <c r="B225" s="13"/>
      <c r="C225" s="13"/>
      <c r="D225" s="13"/>
      <c r="M225" s="12"/>
    </row>
    <row r="226" spans="1:13" ht="15.75" customHeight="1" x14ac:dyDescent="0.2">
      <c r="A226" s="13"/>
      <c r="B226" s="13"/>
      <c r="C226" s="13"/>
      <c r="D226" s="13"/>
      <c r="M226" s="12"/>
    </row>
    <row r="227" spans="1:13" ht="15.75" customHeight="1" x14ac:dyDescent="0.2">
      <c r="A227" s="13"/>
      <c r="B227" s="13"/>
      <c r="C227" s="13"/>
      <c r="D227" s="13"/>
      <c r="M227" s="12"/>
    </row>
    <row r="228" spans="1:13" ht="15.75" customHeight="1" x14ac:dyDescent="0.2">
      <c r="A228" s="13"/>
      <c r="B228" s="13"/>
      <c r="C228" s="13"/>
      <c r="D228" s="13"/>
      <c r="M228" s="12"/>
    </row>
    <row r="229" spans="1:13" ht="15.75" customHeight="1" x14ac:dyDescent="0.2">
      <c r="A229" s="13"/>
      <c r="B229" s="13"/>
      <c r="C229" s="13"/>
      <c r="D229" s="13"/>
      <c r="M229" s="12"/>
    </row>
    <row r="230" spans="1:13" ht="15.75" customHeight="1" x14ac:dyDescent="0.2">
      <c r="A230" s="13"/>
      <c r="B230" s="13"/>
      <c r="C230" s="13"/>
      <c r="D230" s="13"/>
      <c r="M230" s="12"/>
    </row>
    <row r="231" spans="1:13" ht="15.75" customHeight="1" x14ac:dyDescent="0.2">
      <c r="A231" s="13"/>
      <c r="B231" s="13"/>
      <c r="C231" s="13"/>
      <c r="D231" s="13"/>
      <c r="M231" s="12"/>
    </row>
    <row r="232" spans="1:13" ht="15.75" customHeight="1" x14ac:dyDescent="0.2">
      <c r="A232" s="13"/>
      <c r="B232" s="13"/>
      <c r="C232" s="13"/>
      <c r="D232" s="13"/>
      <c r="M232" s="12"/>
    </row>
    <row r="233" spans="1:13" ht="15.75" customHeight="1" x14ac:dyDescent="0.2">
      <c r="A233" s="13"/>
      <c r="B233" s="13"/>
      <c r="C233" s="13"/>
      <c r="D233" s="13"/>
      <c r="M233" s="12"/>
    </row>
    <row r="234" spans="1:13" ht="15.75" customHeight="1" x14ac:dyDescent="0.2">
      <c r="A234" s="13"/>
      <c r="B234" s="13"/>
      <c r="C234" s="13"/>
      <c r="D234" s="13"/>
      <c r="M234" s="12"/>
    </row>
    <row r="235" spans="1:13" ht="15.75" customHeight="1" x14ac:dyDescent="0.2">
      <c r="A235" s="13"/>
      <c r="B235" s="13"/>
      <c r="C235" s="13"/>
      <c r="D235" s="13"/>
      <c r="M235" s="12"/>
    </row>
    <row r="236" spans="1:13" ht="15.75" customHeight="1" x14ac:dyDescent="0.2">
      <c r="A236" s="13"/>
      <c r="B236" s="13"/>
      <c r="C236" s="13"/>
      <c r="D236" s="13"/>
      <c r="M236" s="12"/>
    </row>
    <row r="237" spans="1:13" ht="15.75" customHeight="1" x14ac:dyDescent="0.2">
      <c r="A237" s="13"/>
      <c r="B237" s="13"/>
      <c r="C237" s="13"/>
      <c r="D237" s="13"/>
      <c r="M237" s="12"/>
    </row>
    <row r="238" spans="1:13" ht="15.75" customHeight="1" x14ac:dyDescent="0.2">
      <c r="A238" s="13"/>
      <c r="B238" s="13"/>
      <c r="C238" s="13"/>
      <c r="D238" s="13"/>
      <c r="M238" s="12"/>
    </row>
    <row r="239" spans="1:13" ht="15.75" customHeight="1" x14ac:dyDescent="0.2">
      <c r="A239" s="13"/>
      <c r="B239" s="13"/>
      <c r="C239" s="13"/>
      <c r="D239" s="13"/>
      <c r="M239" s="12"/>
    </row>
    <row r="240" spans="1:13" ht="15.75" customHeight="1" x14ac:dyDescent="0.2">
      <c r="A240" s="13"/>
      <c r="B240" s="13"/>
      <c r="C240" s="13"/>
      <c r="D240" s="13"/>
      <c r="M240" s="12"/>
    </row>
    <row r="241" spans="1:13" ht="15.75" customHeight="1" x14ac:dyDescent="0.2">
      <c r="A241" s="13"/>
      <c r="B241" s="13"/>
      <c r="C241" s="13"/>
      <c r="D241" s="13"/>
      <c r="M241" s="12"/>
    </row>
    <row r="242" spans="1:13" ht="15.75" customHeight="1" x14ac:dyDescent="0.2">
      <c r="A242" s="13"/>
      <c r="B242" s="13"/>
      <c r="C242" s="13"/>
      <c r="D242" s="13"/>
      <c r="M242" s="12"/>
    </row>
    <row r="243" spans="1:13" ht="15.75" customHeight="1" x14ac:dyDescent="0.2">
      <c r="A243" s="13"/>
      <c r="B243" s="13"/>
      <c r="C243" s="13"/>
      <c r="D243" s="13"/>
      <c r="M243" s="12"/>
    </row>
    <row r="244" spans="1:13" ht="15.75" customHeight="1" x14ac:dyDescent="0.2">
      <c r="A244" s="13"/>
      <c r="B244" s="13"/>
      <c r="C244" s="13"/>
      <c r="D244" s="13"/>
      <c r="M244" s="12"/>
    </row>
    <row r="245" spans="1:13" ht="15.75" customHeight="1" x14ac:dyDescent="0.2">
      <c r="A245" s="13"/>
      <c r="B245" s="13"/>
      <c r="C245" s="13"/>
      <c r="D245" s="13"/>
      <c r="M245" s="12"/>
    </row>
    <row r="246" spans="1:13" ht="15.75" customHeight="1" x14ac:dyDescent="0.2">
      <c r="A246" s="13"/>
      <c r="B246" s="13"/>
      <c r="C246" s="13"/>
      <c r="D246" s="13"/>
      <c r="M246" s="12"/>
    </row>
    <row r="247" spans="1:13" ht="15.75" customHeight="1" x14ac:dyDescent="0.2">
      <c r="A247" s="13"/>
      <c r="B247" s="13"/>
      <c r="C247" s="13"/>
      <c r="D247" s="13"/>
      <c r="M247" s="12"/>
    </row>
    <row r="248" spans="1:13" ht="15.75" customHeight="1" x14ac:dyDescent="0.2">
      <c r="A248" s="13"/>
      <c r="B248" s="13"/>
      <c r="C248" s="13"/>
      <c r="D248" s="13"/>
      <c r="M248" s="12"/>
    </row>
    <row r="249" spans="1:13" ht="15.75" customHeight="1" x14ac:dyDescent="0.2">
      <c r="A249" s="13"/>
      <c r="B249" s="13"/>
      <c r="C249" s="13"/>
      <c r="D249" s="13"/>
      <c r="M249" s="12"/>
    </row>
    <row r="250" spans="1:13" ht="15.75" customHeight="1" x14ac:dyDescent="0.2">
      <c r="A250" s="13"/>
      <c r="B250" s="13"/>
      <c r="C250" s="13"/>
      <c r="D250" s="13"/>
      <c r="M250" s="12"/>
    </row>
    <row r="251" spans="1:13" ht="15.75" customHeight="1" x14ac:dyDescent="0.2">
      <c r="A251" s="13"/>
      <c r="B251" s="13"/>
      <c r="C251" s="13"/>
      <c r="D251" s="13"/>
      <c r="M251" s="12"/>
    </row>
    <row r="252" spans="1:13" ht="15.75" customHeight="1" x14ac:dyDescent="0.2">
      <c r="A252" s="13"/>
      <c r="B252" s="13"/>
      <c r="C252" s="13"/>
      <c r="D252" s="13"/>
      <c r="M252" s="12"/>
    </row>
    <row r="253" spans="1:13" ht="15.75" customHeight="1" x14ac:dyDescent="0.2">
      <c r="A253" s="13"/>
      <c r="B253" s="13"/>
      <c r="C253" s="13"/>
      <c r="D253" s="13"/>
      <c r="M253" s="12"/>
    </row>
    <row r="254" spans="1:13" ht="15.75" customHeight="1" x14ac:dyDescent="0.2">
      <c r="A254" s="13"/>
      <c r="B254" s="13"/>
      <c r="C254" s="13"/>
      <c r="D254" s="13"/>
      <c r="M254" s="12"/>
    </row>
    <row r="255" spans="1:13" ht="15.75" customHeight="1" x14ac:dyDescent="0.2">
      <c r="A255" s="13"/>
      <c r="B255" s="13"/>
      <c r="C255" s="13"/>
      <c r="D255" s="13"/>
      <c r="M255" s="12"/>
    </row>
    <row r="256" spans="1:13" ht="15.75" customHeight="1" x14ac:dyDescent="0.2">
      <c r="A256" s="13"/>
      <c r="B256" s="13"/>
      <c r="C256" s="13"/>
      <c r="D256" s="13"/>
      <c r="M256" s="12"/>
    </row>
    <row r="257" spans="1:13" ht="15.75" customHeight="1" x14ac:dyDescent="0.2">
      <c r="A257" s="13"/>
      <c r="B257" s="13"/>
      <c r="C257" s="13"/>
      <c r="D257" s="13"/>
      <c r="M257" s="12"/>
    </row>
    <row r="258" spans="1:13" ht="15.75" customHeight="1" x14ac:dyDescent="0.2">
      <c r="A258" s="13"/>
      <c r="B258" s="13"/>
      <c r="C258" s="13"/>
      <c r="D258" s="13"/>
      <c r="M258" s="12"/>
    </row>
    <row r="259" spans="1:13" ht="15.75" customHeight="1" x14ac:dyDescent="0.2">
      <c r="A259" s="13"/>
      <c r="B259" s="13"/>
      <c r="C259" s="13"/>
      <c r="D259" s="13"/>
      <c r="M259" s="12"/>
    </row>
    <row r="260" spans="1:13" ht="15.75" customHeight="1" x14ac:dyDescent="0.2">
      <c r="A260" s="13"/>
      <c r="B260" s="13"/>
      <c r="C260" s="13"/>
      <c r="D260" s="13"/>
      <c r="M260" s="12"/>
    </row>
    <row r="261" spans="1:13" ht="15.75" customHeight="1" x14ac:dyDescent="0.2">
      <c r="A261" s="13"/>
      <c r="B261" s="13"/>
      <c r="C261" s="13"/>
      <c r="D261" s="13"/>
      <c r="M261" s="12"/>
    </row>
    <row r="262" spans="1:13" ht="15.75" customHeight="1" x14ac:dyDescent="0.2">
      <c r="A262" s="13"/>
      <c r="B262" s="13"/>
      <c r="C262" s="13"/>
      <c r="D262" s="13"/>
      <c r="M262" s="12"/>
    </row>
    <row r="263" spans="1:13" ht="15.75" customHeight="1" x14ac:dyDescent="0.2">
      <c r="A263" s="13"/>
      <c r="B263" s="13"/>
      <c r="C263" s="13"/>
      <c r="D263" s="13"/>
      <c r="M263" s="12"/>
    </row>
    <row r="264" spans="1:13" ht="15.75" customHeight="1" x14ac:dyDescent="0.2">
      <c r="A264" s="13"/>
      <c r="B264" s="13"/>
      <c r="C264" s="13"/>
      <c r="D264" s="13"/>
      <c r="M264" s="12"/>
    </row>
    <row r="265" spans="1:13" ht="15.75" customHeight="1" x14ac:dyDescent="0.2">
      <c r="A265" s="13"/>
      <c r="B265" s="13"/>
      <c r="C265" s="13"/>
      <c r="D265" s="13"/>
      <c r="M265" s="12"/>
    </row>
    <row r="266" spans="1:13" ht="15.75" customHeight="1" x14ac:dyDescent="0.2">
      <c r="A266" s="13"/>
      <c r="B266" s="13"/>
      <c r="C266" s="13"/>
      <c r="D266" s="13"/>
      <c r="M266" s="12"/>
    </row>
    <row r="267" spans="1:13" ht="15.75" customHeight="1" x14ac:dyDescent="0.2">
      <c r="A267" s="13"/>
      <c r="B267" s="13"/>
      <c r="C267" s="13"/>
      <c r="D267" s="13"/>
      <c r="M267" s="12"/>
    </row>
    <row r="268" spans="1:13" ht="15.75" customHeight="1" x14ac:dyDescent="0.2">
      <c r="A268" s="13"/>
      <c r="B268" s="13"/>
      <c r="C268" s="13"/>
      <c r="D268" s="13"/>
      <c r="M268" s="12"/>
    </row>
    <row r="269" spans="1:13" ht="15.75" customHeight="1" x14ac:dyDescent="0.2">
      <c r="A269" s="13"/>
      <c r="B269" s="13"/>
      <c r="C269" s="13"/>
      <c r="D269" s="13"/>
      <c r="M269" s="12"/>
    </row>
    <row r="270" spans="1:13" ht="15.75" customHeight="1" x14ac:dyDescent="0.2">
      <c r="A270" s="13"/>
      <c r="B270" s="13"/>
      <c r="C270" s="13"/>
      <c r="D270" s="13"/>
      <c r="M270" s="12"/>
    </row>
    <row r="271" spans="1:13" ht="15.75" customHeight="1" x14ac:dyDescent="0.2">
      <c r="A271" s="13"/>
      <c r="B271" s="13"/>
      <c r="C271" s="13"/>
      <c r="D271" s="13"/>
      <c r="M271" s="12"/>
    </row>
    <row r="272" spans="1:13" ht="15.75" customHeight="1" x14ac:dyDescent="0.2">
      <c r="A272" s="13"/>
      <c r="B272" s="13"/>
      <c r="C272" s="13"/>
      <c r="D272" s="13"/>
      <c r="M272" s="12"/>
    </row>
    <row r="273" spans="1:13" ht="15.75" customHeight="1" x14ac:dyDescent="0.2">
      <c r="A273" s="13"/>
      <c r="B273" s="13"/>
      <c r="C273" s="13"/>
      <c r="D273" s="13"/>
      <c r="M273" s="12"/>
    </row>
    <row r="274" spans="1:13" ht="15.75" customHeight="1" x14ac:dyDescent="0.2">
      <c r="A274" s="13"/>
      <c r="B274" s="13"/>
      <c r="C274" s="13"/>
      <c r="D274" s="13"/>
      <c r="M274" s="12"/>
    </row>
    <row r="275" spans="1:13" ht="15.75" customHeight="1" x14ac:dyDescent="0.2">
      <c r="A275" s="13"/>
      <c r="B275" s="13"/>
      <c r="C275" s="13"/>
      <c r="D275" s="13"/>
      <c r="M275" s="12"/>
    </row>
    <row r="276" spans="1:13" ht="15.75" customHeight="1" x14ac:dyDescent="0.2">
      <c r="A276" s="13"/>
      <c r="B276" s="13"/>
      <c r="C276" s="13"/>
      <c r="D276" s="13"/>
      <c r="M276" s="12"/>
    </row>
    <row r="277" spans="1:13" ht="15.75" customHeight="1" x14ac:dyDescent="0.2">
      <c r="A277" s="13"/>
      <c r="B277" s="13"/>
      <c r="C277" s="13"/>
      <c r="D277" s="13"/>
      <c r="M277" s="12"/>
    </row>
    <row r="278" spans="1:13" ht="15.75" customHeight="1" x14ac:dyDescent="0.2">
      <c r="A278" s="13"/>
      <c r="B278" s="13"/>
      <c r="C278" s="13"/>
      <c r="D278" s="13"/>
      <c r="M278" s="12"/>
    </row>
    <row r="279" spans="1:13" ht="15.75" customHeight="1" x14ac:dyDescent="0.2">
      <c r="A279" s="13"/>
      <c r="B279" s="13"/>
      <c r="C279" s="13"/>
      <c r="D279" s="13"/>
      <c r="M279" s="12"/>
    </row>
    <row r="280" spans="1:13" ht="15.75" customHeight="1" x14ac:dyDescent="0.2">
      <c r="A280" s="13"/>
      <c r="B280" s="13"/>
      <c r="C280" s="13"/>
      <c r="D280" s="13"/>
      <c r="M280" s="12"/>
    </row>
    <row r="281" spans="1:13" ht="15.75" customHeight="1" x14ac:dyDescent="0.2">
      <c r="A281" s="13"/>
      <c r="B281" s="13"/>
      <c r="C281" s="13"/>
      <c r="D281" s="13"/>
      <c r="M281" s="12"/>
    </row>
    <row r="282" spans="1:13" ht="15.75" customHeight="1" x14ac:dyDescent="0.2">
      <c r="A282" s="13"/>
      <c r="B282" s="13"/>
      <c r="C282" s="13"/>
      <c r="D282" s="13"/>
      <c r="M282" s="12"/>
    </row>
    <row r="283" spans="1:13" ht="15.75" customHeight="1" x14ac:dyDescent="0.2">
      <c r="A283" s="13"/>
      <c r="B283" s="13"/>
      <c r="C283" s="13"/>
      <c r="D283" s="13"/>
      <c r="M283" s="12"/>
    </row>
    <row r="284" spans="1:13" ht="15.75" customHeight="1" x14ac:dyDescent="0.2">
      <c r="A284" s="13"/>
      <c r="B284" s="13"/>
      <c r="C284" s="13"/>
      <c r="D284" s="13"/>
      <c r="M284" s="12"/>
    </row>
    <row r="285" spans="1:13" ht="15.75" customHeight="1" x14ac:dyDescent="0.2">
      <c r="A285" s="13"/>
      <c r="B285" s="13"/>
      <c r="C285" s="13"/>
      <c r="D285" s="13"/>
      <c r="M285" s="12"/>
    </row>
    <row r="286" spans="1:13" ht="15.75" customHeight="1" x14ac:dyDescent="0.2">
      <c r="A286" s="13"/>
      <c r="B286" s="13"/>
      <c r="C286" s="13"/>
      <c r="D286" s="13"/>
      <c r="M286" s="12"/>
    </row>
    <row r="287" spans="1:13" ht="15.75" customHeight="1" x14ac:dyDescent="0.2">
      <c r="A287" s="13"/>
      <c r="B287" s="13"/>
      <c r="C287" s="13"/>
      <c r="D287" s="13"/>
      <c r="M287" s="12"/>
    </row>
    <row r="288" spans="1:13" ht="15.75" customHeight="1" x14ac:dyDescent="0.2">
      <c r="A288" s="13"/>
      <c r="B288" s="13"/>
      <c r="C288" s="13"/>
      <c r="D288" s="13"/>
      <c r="M288" s="12"/>
    </row>
    <row r="289" spans="1:13" ht="15.75" customHeight="1" x14ac:dyDescent="0.2">
      <c r="A289" s="13"/>
      <c r="B289" s="13"/>
      <c r="C289" s="13"/>
      <c r="D289" s="13"/>
      <c r="M289" s="12"/>
    </row>
    <row r="290" spans="1:13" ht="15.75" customHeight="1" x14ac:dyDescent="0.2">
      <c r="A290" s="13"/>
      <c r="B290" s="13"/>
      <c r="C290" s="13"/>
      <c r="D290" s="13"/>
      <c r="M290" s="12"/>
    </row>
    <row r="291" spans="1:13" ht="15.75" customHeight="1" x14ac:dyDescent="0.2">
      <c r="A291" s="13"/>
      <c r="B291" s="13"/>
      <c r="C291" s="13"/>
      <c r="D291" s="13"/>
      <c r="M291" s="12"/>
    </row>
    <row r="292" spans="1:13" ht="15.75" customHeight="1" x14ac:dyDescent="0.2">
      <c r="A292" s="13"/>
      <c r="B292" s="13"/>
      <c r="C292" s="13"/>
      <c r="D292" s="13"/>
      <c r="M292" s="12"/>
    </row>
    <row r="293" spans="1:13" ht="15.75" customHeight="1" x14ac:dyDescent="0.2">
      <c r="A293" s="13"/>
      <c r="B293" s="13"/>
      <c r="C293" s="13"/>
      <c r="D293" s="13"/>
      <c r="M293" s="12"/>
    </row>
    <row r="294" spans="1:13" ht="15.75" customHeight="1" x14ac:dyDescent="0.2">
      <c r="A294" s="13"/>
      <c r="B294" s="13"/>
      <c r="C294" s="13"/>
      <c r="D294" s="13"/>
      <c r="M294" s="12"/>
    </row>
    <row r="295" spans="1:13" ht="15.75" customHeight="1" x14ac:dyDescent="0.2">
      <c r="A295" s="13"/>
      <c r="B295" s="13"/>
      <c r="C295" s="13"/>
      <c r="D295" s="13"/>
      <c r="M295" s="12"/>
    </row>
    <row r="296" spans="1:13" ht="15.75" customHeight="1" x14ac:dyDescent="0.2">
      <c r="A296" s="13"/>
      <c r="B296" s="13"/>
      <c r="C296" s="13"/>
      <c r="D296" s="13"/>
      <c r="M296" s="12"/>
    </row>
    <row r="297" spans="1:13" ht="15.75" customHeight="1" x14ac:dyDescent="0.2">
      <c r="A297" s="13"/>
      <c r="B297" s="13"/>
      <c r="C297" s="13"/>
      <c r="D297" s="13"/>
      <c r="M297" s="12"/>
    </row>
    <row r="298" spans="1:13" ht="15.75" customHeight="1" x14ac:dyDescent="0.2">
      <c r="A298" s="13"/>
      <c r="B298" s="13"/>
      <c r="C298" s="13"/>
      <c r="D298" s="13"/>
      <c r="M298" s="12"/>
    </row>
    <row r="299" spans="1:13" ht="15.75" customHeight="1" x14ac:dyDescent="0.2">
      <c r="A299" s="13"/>
      <c r="B299" s="13"/>
      <c r="C299" s="13"/>
      <c r="D299" s="13"/>
      <c r="M299" s="12"/>
    </row>
    <row r="300" spans="1:13" ht="15.75" customHeight="1" x14ac:dyDescent="0.2">
      <c r="A300" s="13"/>
      <c r="B300" s="13"/>
      <c r="C300" s="13"/>
      <c r="D300" s="13"/>
      <c r="M300" s="12"/>
    </row>
    <row r="301" spans="1:13" ht="15.75" customHeight="1" x14ac:dyDescent="0.2">
      <c r="A301" s="13"/>
      <c r="B301" s="13"/>
      <c r="C301" s="13"/>
      <c r="D301" s="13"/>
      <c r="M301" s="12"/>
    </row>
    <row r="302" spans="1:13" ht="15.75" customHeight="1" x14ac:dyDescent="0.2">
      <c r="A302" s="13"/>
      <c r="B302" s="13"/>
      <c r="C302" s="13"/>
      <c r="D302" s="13"/>
      <c r="M302" s="12"/>
    </row>
    <row r="303" spans="1:13" ht="15.75" customHeight="1" x14ac:dyDescent="0.2">
      <c r="A303" s="13"/>
      <c r="B303" s="13"/>
      <c r="C303" s="13"/>
      <c r="D303" s="13"/>
      <c r="M303" s="12"/>
    </row>
    <row r="304" spans="1:13" ht="15.75" customHeight="1" x14ac:dyDescent="0.2">
      <c r="A304" s="13"/>
      <c r="B304" s="13"/>
      <c r="C304" s="13"/>
      <c r="D304" s="13"/>
      <c r="M304" s="12"/>
    </row>
    <row r="305" spans="1:13" ht="15.75" customHeight="1" x14ac:dyDescent="0.2">
      <c r="A305" s="13"/>
      <c r="B305" s="13"/>
      <c r="C305" s="13"/>
      <c r="D305" s="13"/>
      <c r="M305" s="12"/>
    </row>
    <row r="306" spans="1:13" ht="15.75" customHeight="1" x14ac:dyDescent="0.2">
      <c r="A306" s="13"/>
      <c r="B306" s="13"/>
      <c r="C306" s="13"/>
      <c r="D306" s="13"/>
      <c r="M306" s="12"/>
    </row>
    <row r="307" spans="1:13" ht="15.75" customHeight="1" x14ac:dyDescent="0.2">
      <c r="A307" s="13"/>
      <c r="B307" s="13"/>
      <c r="C307" s="13"/>
      <c r="D307" s="13"/>
      <c r="M307" s="12"/>
    </row>
    <row r="308" spans="1:13" ht="15.75" customHeight="1" x14ac:dyDescent="0.2">
      <c r="A308" s="13"/>
      <c r="B308" s="13"/>
      <c r="C308" s="13"/>
      <c r="D308" s="13"/>
      <c r="M308" s="12"/>
    </row>
    <row r="309" spans="1:13" ht="15.75" customHeight="1" x14ac:dyDescent="0.2">
      <c r="A309" s="13"/>
      <c r="B309" s="13"/>
      <c r="C309" s="13"/>
      <c r="D309" s="13"/>
      <c r="M309" s="12"/>
    </row>
    <row r="310" spans="1:13" ht="15.75" customHeight="1" x14ac:dyDescent="0.2">
      <c r="A310" s="13"/>
      <c r="B310" s="13"/>
      <c r="C310" s="13"/>
      <c r="D310" s="13"/>
      <c r="M310" s="12"/>
    </row>
    <row r="311" spans="1:13" ht="15.75" customHeight="1" x14ac:dyDescent="0.2">
      <c r="A311" s="13"/>
      <c r="B311" s="13"/>
      <c r="C311" s="13"/>
      <c r="D311" s="13"/>
      <c r="M311" s="12"/>
    </row>
    <row r="312" spans="1:13" ht="15.75" customHeight="1" x14ac:dyDescent="0.2">
      <c r="A312" s="13"/>
      <c r="B312" s="13"/>
      <c r="C312" s="13"/>
      <c r="D312" s="13"/>
      <c r="M312" s="12"/>
    </row>
    <row r="313" spans="1:13" ht="15.75" customHeight="1" x14ac:dyDescent="0.2">
      <c r="A313" s="13"/>
      <c r="B313" s="13"/>
      <c r="C313" s="13"/>
      <c r="D313" s="13"/>
      <c r="M313" s="12"/>
    </row>
    <row r="314" spans="1:13" ht="15.75" customHeight="1" x14ac:dyDescent="0.2">
      <c r="A314" s="13"/>
      <c r="B314" s="13"/>
      <c r="C314" s="13"/>
      <c r="D314" s="13"/>
      <c r="M314" s="12"/>
    </row>
    <row r="315" spans="1:13" ht="15.75" customHeight="1" x14ac:dyDescent="0.2">
      <c r="A315" s="13"/>
      <c r="B315" s="13"/>
      <c r="C315" s="13"/>
      <c r="D315" s="13"/>
      <c r="M315" s="12"/>
    </row>
    <row r="316" spans="1:13" ht="15.75" customHeight="1" x14ac:dyDescent="0.2">
      <c r="A316" s="13"/>
      <c r="B316" s="13"/>
      <c r="C316" s="13"/>
      <c r="D316" s="13"/>
      <c r="M316" s="12"/>
    </row>
    <row r="317" spans="1:13" ht="15.75" customHeight="1" x14ac:dyDescent="0.2">
      <c r="A317" s="13"/>
      <c r="B317" s="13"/>
      <c r="C317" s="13"/>
      <c r="D317" s="13"/>
      <c r="M317" s="12"/>
    </row>
    <row r="318" spans="1:13" ht="15.75" customHeight="1" x14ac:dyDescent="0.2">
      <c r="A318" s="13"/>
      <c r="B318" s="13"/>
      <c r="C318" s="13"/>
      <c r="D318" s="13"/>
      <c r="M318" s="12"/>
    </row>
    <row r="319" spans="1:13" ht="15.75" customHeight="1" x14ac:dyDescent="0.2">
      <c r="A319" s="13"/>
      <c r="B319" s="13"/>
      <c r="C319" s="13"/>
      <c r="D319" s="13"/>
      <c r="M319" s="12"/>
    </row>
    <row r="320" spans="1:13" ht="15.75" customHeight="1" x14ac:dyDescent="0.2">
      <c r="A320" s="13"/>
      <c r="B320" s="13"/>
      <c r="C320" s="13"/>
      <c r="D320" s="13"/>
      <c r="M320" s="12"/>
    </row>
    <row r="321" spans="1:13" ht="15.75" customHeight="1" x14ac:dyDescent="0.2">
      <c r="A321" s="13"/>
      <c r="B321" s="13"/>
      <c r="C321" s="13"/>
      <c r="D321" s="13"/>
      <c r="M321" s="12"/>
    </row>
    <row r="322" spans="1:13" ht="15.75" customHeight="1" x14ac:dyDescent="0.2">
      <c r="A322" s="13"/>
      <c r="B322" s="13"/>
      <c r="C322" s="13"/>
      <c r="D322" s="13"/>
      <c r="M322" s="12"/>
    </row>
    <row r="323" spans="1:13" ht="15.75" customHeight="1" x14ac:dyDescent="0.2">
      <c r="A323" s="13"/>
      <c r="B323" s="13"/>
      <c r="C323" s="13"/>
      <c r="D323" s="13"/>
      <c r="M323" s="12"/>
    </row>
    <row r="324" spans="1:13" ht="15.75" customHeight="1" x14ac:dyDescent="0.2">
      <c r="A324" s="13"/>
      <c r="B324" s="13"/>
      <c r="C324" s="13"/>
      <c r="D324" s="13"/>
      <c r="M324" s="12"/>
    </row>
    <row r="325" spans="1:13" ht="15.75" customHeight="1" x14ac:dyDescent="0.2">
      <c r="A325" s="13"/>
      <c r="B325" s="13"/>
      <c r="C325" s="13"/>
      <c r="D325" s="13"/>
      <c r="M325" s="12"/>
    </row>
    <row r="326" spans="1:13" ht="15.75" customHeight="1" x14ac:dyDescent="0.2">
      <c r="A326" s="13"/>
      <c r="B326" s="13"/>
      <c r="C326" s="13"/>
      <c r="D326" s="13"/>
      <c r="M326" s="12"/>
    </row>
    <row r="327" spans="1:13" ht="15.75" customHeight="1" x14ac:dyDescent="0.2">
      <c r="A327" s="13"/>
      <c r="B327" s="13"/>
      <c r="C327" s="13"/>
      <c r="D327" s="13"/>
      <c r="M327" s="12"/>
    </row>
    <row r="328" spans="1:13" ht="15.75" customHeight="1" x14ac:dyDescent="0.2">
      <c r="A328" s="13"/>
      <c r="B328" s="13"/>
      <c r="C328" s="13"/>
      <c r="D328" s="13"/>
      <c r="M328" s="12"/>
    </row>
    <row r="329" spans="1:13" ht="15.75" customHeight="1" x14ac:dyDescent="0.2">
      <c r="A329" s="13"/>
      <c r="B329" s="13"/>
      <c r="C329" s="13"/>
      <c r="D329" s="13"/>
      <c r="M329" s="12"/>
    </row>
    <row r="330" spans="1:13" ht="15.75" customHeight="1" x14ac:dyDescent="0.2">
      <c r="A330" s="13"/>
      <c r="B330" s="13"/>
      <c r="C330" s="13"/>
      <c r="D330" s="13"/>
      <c r="M330" s="12"/>
    </row>
    <row r="331" spans="1:13" ht="15.75" customHeight="1" x14ac:dyDescent="0.2">
      <c r="A331" s="13"/>
      <c r="B331" s="13"/>
      <c r="C331" s="13"/>
      <c r="D331" s="13"/>
      <c r="M331" s="12"/>
    </row>
    <row r="332" spans="1:13" ht="15.75" customHeight="1" x14ac:dyDescent="0.2">
      <c r="A332" s="13"/>
      <c r="B332" s="13"/>
      <c r="C332" s="13"/>
      <c r="D332" s="13"/>
      <c r="M332" s="12"/>
    </row>
    <row r="333" spans="1:13" ht="15.75" customHeight="1" x14ac:dyDescent="0.2">
      <c r="A333" s="13"/>
      <c r="B333" s="13"/>
      <c r="C333" s="13"/>
      <c r="D333" s="13"/>
      <c r="M333" s="12"/>
    </row>
    <row r="334" spans="1:13" ht="15.75" customHeight="1" x14ac:dyDescent="0.2">
      <c r="A334" s="13"/>
      <c r="B334" s="13"/>
      <c r="C334" s="13"/>
      <c r="D334" s="13"/>
      <c r="M334" s="12"/>
    </row>
    <row r="335" spans="1:13" ht="15.75" customHeight="1" x14ac:dyDescent="0.2">
      <c r="A335" s="13"/>
      <c r="B335" s="13"/>
      <c r="C335" s="13"/>
      <c r="D335" s="13"/>
      <c r="M335" s="12"/>
    </row>
    <row r="336" spans="1:13" ht="15.75" customHeight="1" x14ac:dyDescent="0.2">
      <c r="A336" s="13"/>
      <c r="B336" s="13"/>
      <c r="C336" s="13"/>
      <c r="D336" s="13"/>
      <c r="M336" s="12"/>
    </row>
    <row r="337" spans="1:13" ht="15.75" customHeight="1" x14ac:dyDescent="0.2">
      <c r="A337" s="13"/>
      <c r="B337" s="13"/>
      <c r="C337" s="13"/>
      <c r="D337" s="13"/>
      <c r="M337" s="12"/>
    </row>
    <row r="338" spans="1:13" ht="15.75" customHeight="1" x14ac:dyDescent="0.2">
      <c r="A338" s="13"/>
      <c r="B338" s="13"/>
      <c r="C338" s="13"/>
      <c r="D338" s="13"/>
      <c r="M338" s="12"/>
    </row>
    <row r="339" spans="1:13" ht="15.75" customHeight="1" x14ac:dyDescent="0.2">
      <c r="A339" s="13"/>
      <c r="B339" s="13"/>
      <c r="C339" s="13"/>
      <c r="D339" s="13"/>
      <c r="M339" s="12"/>
    </row>
    <row r="340" spans="1:13" ht="15.75" customHeight="1" x14ac:dyDescent="0.2">
      <c r="A340" s="13"/>
      <c r="B340" s="13"/>
      <c r="C340" s="13"/>
      <c r="D340" s="13"/>
      <c r="M340" s="12"/>
    </row>
    <row r="341" spans="1:13" ht="15.75" customHeight="1" x14ac:dyDescent="0.2">
      <c r="A341" s="13"/>
      <c r="B341" s="13"/>
      <c r="C341" s="13"/>
      <c r="D341" s="13"/>
      <c r="M341" s="12"/>
    </row>
    <row r="342" spans="1:13" ht="15.75" customHeight="1" x14ac:dyDescent="0.2">
      <c r="A342" s="13"/>
      <c r="B342" s="13"/>
      <c r="C342" s="13"/>
      <c r="D342" s="13"/>
      <c r="M342" s="12"/>
    </row>
    <row r="343" spans="1:13" ht="15.75" customHeight="1" x14ac:dyDescent="0.2">
      <c r="A343" s="13"/>
      <c r="B343" s="13"/>
      <c r="C343" s="13"/>
      <c r="D343" s="13"/>
      <c r="M343" s="12"/>
    </row>
    <row r="344" spans="1:13" ht="15.75" customHeight="1" x14ac:dyDescent="0.2">
      <c r="A344" s="13"/>
      <c r="B344" s="13"/>
      <c r="C344" s="13"/>
      <c r="D344" s="13"/>
      <c r="M344" s="12"/>
    </row>
    <row r="345" spans="1:13" ht="15.75" customHeight="1" x14ac:dyDescent="0.2">
      <c r="A345" s="13"/>
      <c r="B345" s="13"/>
      <c r="C345" s="13"/>
      <c r="D345" s="13"/>
      <c r="M345" s="12"/>
    </row>
    <row r="346" spans="1:13" ht="15.75" customHeight="1" x14ac:dyDescent="0.2">
      <c r="A346" s="13"/>
      <c r="B346" s="13"/>
      <c r="C346" s="13"/>
      <c r="D346" s="13"/>
      <c r="M346" s="12"/>
    </row>
    <row r="347" spans="1:13" ht="15.75" customHeight="1" x14ac:dyDescent="0.2">
      <c r="A347" s="13"/>
      <c r="B347" s="13"/>
      <c r="C347" s="13"/>
      <c r="D347" s="13"/>
      <c r="M347" s="12"/>
    </row>
    <row r="348" spans="1:13" ht="15.75" customHeight="1" x14ac:dyDescent="0.2">
      <c r="A348" s="13"/>
      <c r="B348" s="13"/>
      <c r="C348" s="13"/>
      <c r="D348" s="13"/>
      <c r="M348" s="12"/>
    </row>
    <row r="349" spans="1:13" ht="15.75" customHeight="1" x14ac:dyDescent="0.2">
      <c r="A349" s="13"/>
      <c r="B349" s="13"/>
      <c r="C349" s="13"/>
      <c r="D349" s="13"/>
      <c r="M349" s="12"/>
    </row>
    <row r="350" spans="1:13" ht="15.75" customHeight="1" x14ac:dyDescent="0.2">
      <c r="A350" s="13"/>
      <c r="B350" s="13"/>
      <c r="C350" s="13"/>
      <c r="D350" s="13"/>
      <c r="M350" s="12"/>
    </row>
    <row r="351" spans="1:13" ht="15.75" customHeight="1" x14ac:dyDescent="0.2">
      <c r="A351" s="13"/>
      <c r="B351" s="13"/>
      <c r="C351" s="13"/>
      <c r="D351" s="13"/>
      <c r="M351" s="12"/>
    </row>
    <row r="352" spans="1:13" ht="15.75" customHeight="1" x14ac:dyDescent="0.2">
      <c r="A352" s="13"/>
      <c r="B352" s="13"/>
      <c r="C352" s="13"/>
      <c r="D352" s="13"/>
      <c r="M352" s="12"/>
    </row>
    <row r="353" spans="1:13" ht="15.75" customHeight="1" x14ac:dyDescent="0.2">
      <c r="A353" s="13"/>
      <c r="B353" s="13"/>
      <c r="C353" s="13"/>
      <c r="D353" s="13"/>
      <c r="M353" s="12"/>
    </row>
    <row r="354" spans="1:13" ht="15.75" customHeight="1" x14ac:dyDescent="0.2">
      <c r="A354" s="13"/>
      <c r="B354" s="13"/>
      <c r="C354" s="13"/>
      <c r="D354" s="13"/>
      <c r="M354" s="12"/>
    </row>
    <row r="355" spans="1:13" ht="15.75" customHeight="1" x14ac:dyDescent="0.2">
      <c r="A355" s="13"/>
      <c r="B355" s="13"/>
      <c r="C355" s="13"/>
      <c r="D355" s="13"/>
      <c r="M355" s="12"/>
    </row>
    <row r="356" spans="1:13" ht="15.75" customHeight="1" x14ac:dyDescent="0.2">
      <c r="A356" s="13"/>
      <c r="B356" s="13"/>
      <c r="C356" s="13"/>
      <c r="D356" s="13"/>
      <c r="M356" s="12"/>
    </row>
    <row r="357" spans="1:13" ht="15.75" customHeight="1" x14ac:dyDescent="0.2">
      <c r="A357" s="13"/>
      <c r="B357" s="13"/>
      <c r="C357" s="13"/>
      <c r="D357" s="13"/>
      <c r="M357" s="12"/>
    </row>
    <row r="358" spans="1:13" ht="15.75" customHeight="1" x14ac:dyDescent="0.2">
      <c r="A358" s="13"/>
      <c r="B358" s="13"/>
      <c r="C358" s="13"/>
      <c r="D358" s="13"/>
      <c r="M358" s="12"/>
    </row>
    <row r="359" spans="1:13" ht="15.75" customHeight="1" x14ac:dyDescent="0.2">
      <c r="A359" s="13"/>
      <c r="B359" s="13"/>
      <c r="C359" s="13"/>
      <c r="D359" s="13"/>
      <c r="M359" s="12"/>
    </row>
    <row r="360" spans="1:13" ht="15.75" customHeight="1" x14ac:dyDescent="0.2">
      <c r="A360" s="13"/>
      <c r="B360" s="13"/>
      <c r="C360" s="13"/>
      <c r="D360" s="13"/>
      <c r="M360" s="12"/>
    </row>
    <row r="361" spans="1:13" ht="15.75" customHeight="1" x14ac:dyDescent="0.2">
      <c r="A361" s="13"/>
      <c r="B361" s="13"/>
      <c r="C361" s="13"/>
      <c r="D361" s="13"/>
      <c r="M361" s="12"/>
    </row>
    <row r="362" spans="1:13" ht="15.75" customHeight="1" x14ac:dyDescent="0.2">
      <c r="A362" s="13"/>
      <c r="B362" s="13"/>
      <c r="C362" s="13"/>
      <c r="D362" s="13"/>
      <c r="M362" s="12"/>
    </row>
    <row r="363" spans="1:13" ht="15.75" customHeight="1" x14ac:dyDescent="0.2">
      <c r="A363" s="13"/>
      <c r="B363" s="13"/>
      <c r="C363" s="13"/>
      <c r="D363" s="13"/>
      <c r="M363" s="12"/>
    </row>
    <row r="364" spans="1:13" ht="15.75" customHeight="1" x14ac:dyDescent="0.2">
      <c r="A364" s="13"/>
      <c r="B364" s="13"/>
      <c r="C364" s="13"/>
      <c r="D364" s="13"/>
      <c r="M364" s="12"/>
    </row>
    <row r="365" spans="1:13" ht="15.75" customHeight="1" x14ac:dyDescent="0.2">
      <c r="A365" s="13"/>
      <c r="B365" s="13"/>
      <c r="C365" s="13"/>
      <c r="D365" s="13"/>
      <c r="M365" s="12"/>
    </row>
    <row r="366" spans="1:13" ht="15.75" customHeight="1" x14ac:dyDescent="0.2">
      <c r="A366" s="13"/>
      <c r="B366" s="13"/>
      <c r="C366" s="13"/>
      <c r="D366" s="13"/>
      <c r="M366" s="12"/>
    </row>
    <row r="367" spans="1:13" ht="15.75" customHeight="1" x14ac:dyDescent="0.2">
      <c r="A367" s="13"/>
      <c r="B367" s="13"/>
      <c r="C367" s="13"/>
      <c r="D367" s="13"/>
      <c r="M367" s="12"/>
    </row>
    <row r="368" spans="1:13" ht="15.75" customHeight="1" x14ac:dyDescent="0.2">
      <c r="A368" s="13"/>
      <c r="B368" s="13"/>
      <c r="C368" s="13"/>
      <c r="D368" s="13"/>
      <c r="M368" s="12"/>
    </row>
    <row r="369" spans="1:13" ht="15.75" customHeight="1" x14ac:dyDescent="0.2">
      <c r="A369" s="13"/>
      <c r="B369" s="13"/>
      <c r="C369" s="13"/>
      <c r="D369" s="13"/>
      <c r="M369" s="12"/>
    </row>
    <row r="370" spans="1:13" ht="15.75" customHeight="1" x14ac:dyDescent="0.2">
      <c r="A370" s="13"/>
      <c r="B370" s="13"/>
      <c r="C370" s="13"/>
      <c r="D370" s="13"/>
      <c r="M370" s="12"/>
    </row>
    <row r="371" spans="1:13" ht="15.75" customHeight="1" x14ac:dyDescent="0.2">
      <c r="A371" s="13"/>
      <c r="B371" s="13"/>
      <c r="C371" s="13"/>
      <c r="D371" s="13"/>
      <c r="M371" s="12"/>
    </row>
    <row r="372" spans="1:13" ht="15.75" customHeight="1" x14ac:dyDescent="0.2">
      <c r="A372" s="13"/>
      <c r="B372" s="13"/>
      <c r="C372" s="13"/>
      <c r="D372" s="13"/>
      <c r="M372" s="12"/>
    </row>
    <row r="373" spans="1:13" ht="15.75" customHeight="1" x14ac:dyDescent="0.2">
      <c r="A373" s="13"/>
      <c r="B373" s="13"/>
      <c r="C373" s="13"/>
      <c r="D373" s="13"/>
      <c r="M373" s="12"/>
    </row>
    <row r="374" spans="1:13" ht="15.75" customHeight="1" x14ac:dyDescent="0.2">
      <c r="A374" s="13"/>
      <c r="B374" s="13"/>
      <c r="C374" s="13"/>
      <c r="D374" s="13"/>
      <c r="M374" s="12"/>
    </row>
    <row r="375" spans="1:13" ht="15.75" customHeight="1" x14ac:dyDescent="0.2">
      <c r="A375" s="13"/>
      <c r="B375" s="13"/>
      <c r="C375" s="13"/>
      <c r="D375" s="13"/>
      <c r="M375" s="12"/>
    </row>
    <row r="376" spans="1:13" ht="15.75" customHeight="1" x14ac:dyDescent="0.2">
      <c r="A376" s="13"/>
      <c r="B376" s="13"/>
      <c r="C376" s="13"/>
      <c r="D376" s="13"/>
      <c r="M376" s="12"/>
    </row>
    <row r="377" spans="1:13" ht="15.75" customHeight="1" x14ac:dyDescent="0.2">
      <c r="A377" s="13"/>
      <c r="B377" s="13"/>
      <c r="C377" s="13"/>
      <c r="D377" s="13"/>
      <c r="M377" s="12"/>
    </row>
    <row r="378" spans="1:13" ht="15.75" customHeight="1" x14ac:dyDescent="0.2">
      <c r="A378" s="13"/>
      <c r="B378" s="13"/>
      <c r="C378" s="13"/>
      <c r="D378" s="13"/>
      <c r="M378" s="12"/>
    </row>
    <row r="379" spans="1:13" ht="15.75" customHeight="1" x14ac:dyDescent="0.2">
      <c r="A379" s="13"/>
      <c r="B379" s="13"/>
      <c r="C379" s="13"/>
      <c r="D379" s="13"/>
      <c r="M379" s="12"/>
    </row>
    <row r="380" spans="1:13" ht="15.75" customHeight="1" x14ac:dyDescent="0.2">
      <c r="A380" s="13"/>
      <c r="B380" s="13"/>
      <c r="C380" s="13"/>
      <c r="D380" s="13"/>
      <c r="M380" s="12"/>
    </row>
    <row r="381" spans="1:13" ht="15.75" customHeight="1" x14ac:dyDescent="0.2">
      <c r="A381" s="13"/>
      <c r="B381" s="13"/>
      <c r="C381" s="13"/>
      <c r="D381" s="13"/>
      <c r="M381" s="12"/>
    </row>
    <row r="382" spans="1:13" ht="15.75" customHeight="1" x14ac:dyDescent="0.2">
      <c r="A382" s="13"/>
      <c r="B382" s="13"/>
      <c r="C382" s="13"/>
      <c r="D382" s="13"/>
      <c r="M382" s="12"/>
    </row>
    <row r="383" spans="1:13" ht="15.75" customHeight="1" x14ac:dyDescent="0.2">
      <c r="A383" s="13"/>
      <c r="B383" s="13"/>
      <c r="C383" s="13"/>
      <c r="D383" s="13"/>
      <c r="M383" s="12"/>
    </row>
    <row r="384" spans="1:13" ht="15.75" customHeight="1" x14ac:dyDescent="0.2">
      <c r="A384" s="13"/>
      <c r="B384" s="13"/>
      <c r="C384" s="13"/>
      <c r="D384" s="13"/>
      <c r="M384" s="12"/>
    </row>
    <row r="385" spans="1:13" ht="15.75" customHeight="1" x14ac:dyDescent="0.2">
      <c r="A385" s="13"/>
      <c r="B385" s="13"/>
      <c r="C385" s="13"/>
      <c r="D385" s="13"/>
      <c r="M385" s="12"/>
    </row>
    <row r="386" spans="1:13" ht="15.75" customHeight="1" x14ac:dyDescent="0.2">
      <c r="A386" s="13"/>
      <c r="B386" s="13"/>
      <c r="C386" s="13"/>
      <c r="D386" s="13"/>
      <c r="M386" s="12"/>
    </row>
    <row r="387" spans="1:13" ht="15.75" customHeight="1" x14ac:dyDescent="0.2">
      <c r="A387" s="13"/>
      <c r="B387" s="13"/>
      <c r="C387" s="13"/>
      <c r="D387" s="13"/>
      <c r="M387" s="12"/>
    </row>
    <row r="388" spans="1:13" ht="15.75" customHeight="1" x14ac:dyDescent="0.2">
      <c r="A388" s="13"/>
      <c r="B388" s="13"/>
      <c r="C388" s="13"/>
      <c r="D388" s="13"/>
      <c r="M388" s="12"/>
    </row>
    <row r="389" spans="1:13" ht="15.75" customHeight="1" x14ac:dyDescent="0.2">
      <c r="A389" s="13"/>
      <c r="B389" s="13"/>
      <c r="C389" s="13"/>
      <c r="D389" s="13"/>
      <c r="M389" s="12"/>
    </row>
    <row r="390" spans="1:13" ht="15.75" customHeight="1" x14ac:dyDescent="0.2">
      <c r="A390" s="13"/>
      <c r="B390" s="13"/>
      <c r="C390" s="13"/>
      <c r="D390" s="13"/>
      <c r="M390" s="12"/>
    </row>
    <row r="391" spans="1:13" ht="15.75" customHeight="1" x14ac:dyDescent="0.2">
      <c r="A391" s="13"/>
      <c r="B391" s="13"/>
      <c r="C391" s="13"/>
      <c r="D391" s="13"/>
      <c r="M391" s="12"/>
    </row>
    <row r="392" spans="1:13" ht="15.75" customHeight="1" x14ac:dyDescent="0.2">
      <c r="A392" s="13"/>
      <c r="B392" s="13"/>
      <c r="C392" s="13"/>
      <c r="D392" s="13"/>
      <c r="M392" s="12"/>
    </row>
    <row r="393" spans="1:13" ht="15.75" customHeight="1" x14ac:dyDescent="0.2">
      <c r="A393" s="13"/>
      <c r="B393" s="13"/>
      <c r="C393" s="13"/>
      <c r="D393" s="13"/>
      <c r="M393" s="12"/>
    </row>
    <row r="394" spans="1:13" ht="15.75" customHeight="1" x14ac:dyDescent="0.2">
      <c r="A394" s="13"/>
      <c r="B394" s="13"/>
      <c r="C394" s="13"/>
      <c r="D394" s="13"/>
      <c r="M394" s="12"/>
    </row>
    <row r="395" spans="1:13" ht="15.75" customHeight="1" x14ac:dyDescent="0.2">
      <c r="A395" s="13"/>
      <c r="B395" s="13"/>
      <c r="C395" s="13"/>
      <c r="D395" s="13"/>
      <c r="M395" s="12"/>
    </row>
    <row r="396" spans="1:13" ht="15.75" customHeight="1" x14ac:dyDescent="0.2">
      <c r="A396" s="13"/>
      <c r="B396" s="13"/>
      <c r="C396" s="13"/>
      <c r="D396" s="13"/>
      <c r="M396" s="12"/>
    </row>
    <row r="397" spans="1:13" ht="15.75" customHeight="1" x14ac:dyDescent="0.2">
      <c r="A397" s="13"/>
      <c r="B397" s="13"/>
      <c r="C397" s="13"/>
      <c r="D397" s="13"/>
      <c r="M397" s="12"/>
    </row>
    <row r="398" spans="1:13" ht="15.75" customHeight="1" x14ac:dyDescent="0.2">
      <c r="A398" s="13"/>
      <c r="B398" s="13"/>
      <c r="C398" s="13"/>
      <c r="D398" s="13"/>
      <c r="M398" s="12"/>
    </row>
    <row r="399" spans="1:13" ht="15.75" customHeight="1" x14ac:dyDescent="0.2">
      <c r="A399" s="13"/>
      <c r="B399" s="13"/>
      <c r="C399" s="13"/>
      <c r="D399" s="13"/>
      <c r="M399" s="12"/>
    </row>
    <row r="400" spans="1:13" ht="15.75" customHeight="1" x14ac:dyDescent="0.2">
      <c r="A400" s="13"/>
      <c r="B400" s="13"/>
      <c r="C400" s="13"/>
      <c r="D400" s="13"/>
      <c r="M400" s="12"/>
    </row>
    <row r="401" spans="1:13" ht="15.75" customHeight="1" x14ac:dyDescent="0.2">
      <c r="A401" s="13"/>
      <c r="B401" s="13"/>
      <c r="C401" s="13"/>
      <c r="D401" s="13"/>
      <c r="M401" s="12"/>
    </row>
    <row r="402" spans="1:13" ht="15.75" customHeight="1" x14ac:dyDescent="0.2">
      <c r="A402" s="13"/>
      <c r="B402" s="13"/>
      <c r="C402" s="13"/>
      <c r="D402" s="13"/>
      <c r="M402" s="12"/>
    </row>
    <row r="403" spans="1:13" ht="15.75" customHeight="1" x14ac:dyDescent="0.2">
      <c r="A403" s="13"/>
      <c r="B403" s="13"/>
      <c r="C403" s="13"/>
      <c r="D403" s="13"/>
      <c r="M403" s="12"/>
    </row>
    <row r="404" spans="1:13" ht="15.75" customHeight="1" x14ac:dyDescent="0.2">
      <c r="A404" s="13"/>
      <c r="B404" s="13"/>
      <c r="C404" s="13"/>
      <c r="D404" s="13"/>
      <c r="M404" s="12"/>
    </row>
    <row r="405" spans="1:13" ht="15.75" customHeight="1" x14ac:dyDescent="0.2">
      <c r="A405" s="13"/>
      <c r="B405" s="13"/>
      <c r="C405" s="13"/>
      <c r="D405" s="13"/>
      <c r="M405" s="12"/>
    </row>
    <row r="406" spans="1:13" ht="15.75" customHeight="1" x14ac:dyDescent="0.2">
      <c r="A406" s="13"/>
      <c r="B406" s="13"/>
      <c r="C406" s="13"/>
      <c r="D406" s="13"/>
      <c r="M406" s="12"/>
    </row>
    <row r="407" spans="1:13" ht="15.75" customHeight="1" x14ac:dyDescent="0.2">
      <c r="A407" s="13"/>
      <c r="B407" s="13"/>
      <c r="C407" s="13"/>
      <c r="D407" s="13"/>
      <c r="M407" s="12"/>
    </row>
    <row r="408" spans="1:13" ht="15.75" customHeight="1" x14ac:dyDescent="0.2">
      <c r="A408" s="13"/>
      <c r="B408" s="13"/>
      <c r="C408" s="13"/>
      <c r="D408" s="13"/>
      <c r="M408" s="12"/>
    </row>
    <row r="409" spans="1:13" ht="15.75" customHeight="1" x14ac:dyDescent="0.2">
      <c r="A409" s="13"/>
      <c r="B409" s="13"/>
      <c r="C409" s="13"/>
      <c r="D409" s="13"/>
      <c r="M409" s="12"/>
    </row>
    <row r="410" spans="1:13" ht="15.75" customHeight="1" x14ac:dyDescent="0.2">
      <c r="A410" s="13"/>
      <c r="B410" s="13"/>
      <c r="C410" s="13"/>
      <c r="D410" s="13"/>
      <c r="M410" s="12"/>
    </row>
    <row r="411" spans="1:13" ht="15.75" customHeight="1" x14ac:dyDescent="0.2">
      <c r="A411" s="13"/>
      <c r="B411" s="13"/>
      <c r="C411" s="13"/>
      <c r="D411" s="13"/>
      <c r="M411" s="12"/>
    </row>
    <row r="412" spans="1:13" ht="15.75" customHeight="1" x14ac:dyDescent="0.2">
      <c r="A412" s="13"/>
      <c r="B412" s="13"/>
      <c r="C412" s="13"/>
      <c r="D412" s="13"/>
      <c r="M412" s="12"/>
    </row>
    <row r="413" spans="1:13" ht="15.75" customHeight="1" x14ac:dyDescent="0.2">
      <c r="A413" s="13"/>
      <c r="B413" s="13"/>
      <c r="C413" s="13"/>
      <c r="D413" s="13"/>
      <c r="M413" s="12"/>
    </row>
    <row r="414" spans="1:13" ht="15.75" customHeight="1" x14ac:dyDescent="0.2">
      <c r="A414" s="13"/>
      <c r="B414" s="13"/>
      <c r="C414" s="13"/>
      <c r="D414" s="13"/>
      <c r="M414" s="12"/>
    </row>
    <row r="415" spans="1:13" ht="15.75" customHeight="1" x14ac:dyDescent="0.2">
      <c r="A415" s="13"/>
      <c r="B415" s="13"/>
      <c r="C415" s="13"/>
      <c r="D415" s="13"/>
      <c r="M415" s="12"/>
    </row>
    <row r="416" spans="1:13" ht="15.75" customHeight="1" x14ac:dyDescent="0.2">
      <c r="A416" s="13"/>
      <c r="B416" s="13"/>
      <c r="C416" s="13"/>
      <c r="D416" s="13"/>
      <c r="M416" s="12"/>
    </row>
    <row r="417" spans="1:13" ht="15.75" customHeight="1" x14ac:dyDescent="0.2">
      <c r="A417" s="13"/>
      <c r="B417" s="13"/>
      <c r="C417" s="13"/>
      <c r="D417" s="13"/>
      <c r="M417" s="12"/>
    </row>
    <row r="418" spans="1:13" ht="15.75" customHeight="1" x14ac:dyDescent="0.2">
      <c r="A418" s="13"/>
      <c r="B418" s="13"/>
      <c r="C418" s="13"/>
      <c r="D418" s="13"/>
      <c r="M418" s="12"/>
    </row>
    <row r="419" spans="1:13" ht="15.75" customHeight="1" x14ac:dyDescent="0.2">
      <c r="A419" s="13"/>
      <c r="B419" s="13"/>
      <c r="C419" s="13"/>
      <c r="D419" s="13"/>
      <c r="M419" s="12"/>
    </row>
    <row r="420" spans="1:13" ht="15.75" customHeight="1" x14ac:dyDescent="0.2">
      <c r="A420" s="13"/>
      <c r="B420" s="13"/>
      <c r="C420" s="13"/>
      <c r="D420" s="13"/>
      <c r="M420" s="12"/>
    </row>
    <row r="421" spans="1:13" ht="15.75" customHeight="1" x14ac:dyDescent="0.2">
      <c r="A421" s="13"/>
      <c r="B421" s="13"/>
      <c r="C421" s="13"/>
      <c r="D421" s="13"/>
      <c r="M421" s="12"/>
    </row>
    <row r="422" spans="1:13" ht="15.75" customHeight="1" x14ac:dyDescent="0.2">
      <c r="A422" s="13"/>
      <c r="B422" s="13"/>
      <c r="C422" s="13"/>
      <c r="D422" s="13"/>
      <c r="M422" s="12"/>
    </row>
    <row r="423" spans="1:13" ht="15.75" customHeight="1" x14ac:dyDescent="0.2">
      <c r="A423" s="13"/>
      <c r="B423" s="13"/>
      <c r="C423" s="13"/>
      <c r="D423" s="13"/>
      <c r="M423" s="12"/>
    </row>
    <row r="424" spans="1:13" ht="15.75" customHeight="1" x14ac:dyDescent="0.2">
      <c r="A424" s="13"/>
      <c r="B424" s="13"/>
      <c r="C424" s="13"/>
      <c r="D424" s="13"/>
      <c r="M424" s="12"/>
    </row>
    <row r="425" spans="1:13" ht="15.75" customHeight="1" x14ac:dyDescent="0.2">
      <c r="A425" s="13"/>
      <c r="B425" s="13"/>
      <c r="C425" s="13"/>
      <c r="D425" s="13"/>
      <c r="M425" s="12"/>
    </row>
    <row r="426" spans="1:13" ht="15.75" customHeight="1" x14ac:dyDescent="0.2">
      <c r="A426" s="13"/>
      <c r="B426" s="13"/>
      <c r="C426" s="13"/>
      <c r="D426" s="13"/>
      <c r="M426" s="12"/>
    </row>
    <row r="427" spans="1:13" ht="15.75" customHeight="1" x14ac:dyDescent="0.2">
      <c r="A427" s="13"/>
      <c r="B427" s="13"/>
      <c r="C427" s="13"/>
      <c r="D427" s="13"/>
      <c r="M427" s="12"/>
    </row>
    <row r="428" spans="1:13" ht="15.75" customHeight="1" x14ac:dyDescent="0.2">
      <c r="A428" s="13"/>
      <c r="B428" s="13"/>
      <c r="C428" s="13"/>
      <c r="D428" s="13"/>
      <c r="M428" s="12"/>
    </row>
    <row r="429" spans="1:13" ht="15.75" customHeight="1" x14ac:dyDescent="0.2">
      <c r="A429" s="13"/>
      <c r="B429" s="13"/>
      <c r="C429" s="13"/>
      <c r="D429" s="13"/>
      <c r="M429" s="12"/>
    </row>
    <row r="430" spans="1:13" ht="15.75" customHeight="1" x14ac:dyDescent="0.2">
      <c r="A430" s="13"/>
      <c r="B430" s="13"/>
      <c r="C430" s="13"/>
      <c r="D430" s="13"/>
      <c r="M430" s="12"/>
    </row>
    <row r="431" spans="1:13" ht="15.75" customHeight="1" x14ac:dyDescent="0.2">
      <c r="A431" s="13"/>
      <c r="B431" s="13"/>
      <c r="C431" s="13"/>
      <c r="D431" s="13"/>
      <c r="M431" s="12"/>
    </row>
    <row r="432" spans="1:13" ht="15.75" customHeight="1" x14ac:dyDescent="0.2">
      <c r="A432" s="13"/>
      <c r="B432" s="13"/>
      <c r="C432" s="13"/>
      <c r="D432" s="13"/>
      <c r="M432" s="12"/>
    </row>
    <row r="433" spans="1:13" ht="15.75" customHeight="1" x14ac:dyDescent="0.2">
      <c r="A433" s="13"/>
      <c r="B433" s="13"/>
      <c r="C433" s="13"/>
      <c r="D433" s="13"/>
      <c r="M433" s="12"/>
    </row>
    <row r="434" spans="1:13" ht="15.75" customHeight="1" x14ac:dyDescent="0.2">
      <c r="A434" s="13"/>
      <c r="B434" s="13"/>
      <c r="C434" s="13"/>
      <c r="D434" s="13"/>
      <c r="M434" s="12"/>
    </row>
    <row r="435" spans="1:13" ht="15.75" customHeight="1" x14ac:dyDescent="0.2">
      <c r="A435" s="13"/>
      <c r="B435" s="13"/>
      <c r="C435" s="13"/>
      <c r="D435" s="13"/>
      <c r="M435" s="12"/>
    </row>
    <row r="436" spans="1:13" ht="15.75" customHeight="1" x14ac:dyDescent="0.2">
      <c r="A436" s="13"/>
      <c r="B436" s="13"/>
      <c r="C436" s="13"/>
      <c r="D436" s="13"/>
      <c r="M436" s="12"/>
    </row>
    <row r="437" spans="1:13" ht="15.75" customHeight="1" x14ac:dyDescent="0.2">
      <c r="A437" s="13"/>
      <c r="B437" s="13"/>
      <c r="C437" s="13"/>
      <c r="D437" s="13"/>
      <c r="M437" s="12"/>
    </row>
    <row r="438" spans="1:13" ht="15.75" customHeight="1" x14ac:dyDescent="0.2">
      <c r="A438" s="13"/>
      <c r="B438" s="13"/>
      <c r="C438" s="13"/>
      <c r="D438" s="13"/>
      <c r="M438" s="12"/>
    </row>
    <row r="439" spans="1:13" ht="15.75" customHeight="1" x14ac:dyDescent="0.2">
      <c r="A439" s="13"/>
      <c r="B439" s="13"/>
      <c r="C439" s="13"/>
      <c r="D439" s="13"/>
      <c r="M439" s="12"/>
    </row>
    <row r="440" spans="1:13" ht="15.75" customHeight="1" x14ac:dyDescent="0.2">
      <c r="A440" s="13"/>
      <c r="B440" s="13"/>
      <c r="C440" s="13"/>
      <c r="D440" s="13"/>
      <c r="M440" s="12"/>
    </row>
    <row r="441" spans="1:13" ht="15.75" customHeight="1" x14ac:dyDescent="0.2">
      <c r="A441" s="13"/>
      <c r="B441" s="13"/>
      <c r="C441" s="13"/>
      <c r="D441" s="13"/>
      <c r="M441" s="12"/>
    </row>
    <row r="442" spans="1:13" ht="15.75" customHeight="1" x14ac:dyDescent="0.2">
      <c r="A442" s="13"/>
      <c r="B442" s="13"/>
      <c r="C442" s="13"/>
      <c r="D442" s="13"/>
      <c r="M442" s="12"/>
    </row>
    <row r="443" spans="1:13" ht="15.75" customHeight="1" x14ac:dyDescent="0.2">
      <c r="A443" s="13"/>
      <c r="B443" s="13"/>
      <c r="C443" s="13"/>
      <c r="D443" s="13"/>
      <c r="M443" s="12"/>
    </row>
    <row r="444" spans="1:13" ht="15.75" customHeight="1" x14ac:dyDescent="0.2">
      <c r="A444" s="13"/>
      <c r="B444" s="13"/>
      <c r="C444" s="13"/>
      <c r="D444" s="13"/>
      <c r="M444" s="12"/>
    </row>
    <row r="445" spans="1:13" ht="15.75" customHeight="1" x14ac:dyDescent="0.2">
      <c r="A445" s="13"/>
      <c r="B445" s="13"/>
      <c r="C445" s="13"/>
      <c r="D445" s="13"/>
      <c r="M445" s="12"/>
    </row>
    <row r="446" spans="1:13" ht="15.75" customHeight="1" x14ac:dyDescent="0.2">
      <c r="A446" s="13"/>
      <c r="B446" s="13"/>
      <c r="C446" s="13"/>
      <c r="D446" s="13"/>
      <c r="M446" s="12"/>
    </row>
    <row r="447" spans="1:13" ht="15.75" customHeight="1" x14ac:dyDescent="0.2">
      <c r="A447" s="13"/>
      <c r="B447" s="13"/>
      <c r="C447" s="13"/>
      <c r="D447" s="13"/>
      <c r="M447" s="12"/>
    </row>
    <row r="448" spans="1:13" ht="15.75" customHeight="1" x14ac:dyDescent="0.2">
      <c r="A448" s="13"/>
      <c r="B448" s="13"/>
      <c r="C448" s="13"/>
      <c r="D448" s="13"/>
      <c r="M448" s="12"/>
    </row>
    <row r="449" spans="1:13" ht="15.75" customHeight="1" x14ac:dyDescent="0.2">
      <c r="A449" s="13"/>
      <c r="B449" s="13"/>
      <c r="C449" s="13"/>
      <c r="D449" s="13"/>
      <c r="M449" s="12"/>
    </row>
    <row r="450" spans="1:13" ht="15.75" customHeight="1" x14ac:dyDescent="0.2">
      <c r="A450" s="13"/>
      <c r="B450" s="13"/>
      <c r="C450" s="13"/>
      <c r="D450" s="13"/>
      <c r="M450" s="12"/>
    </row>
    <row r="451" spans="1:13" ht="15.75" customHeight="1" x14ac:dyDescent="0.2">
      <c r="A451" s="13"/>
      <c r="B451" s="13"/>
      <c r="C451" s="13"/>
      <c r="D451" s="13"/>
      <c r="M451" s="12"/>
    </row>
    <row r="452" spans="1:13" ht="15.75" customHeight="1" x14ac:dyDescent="0.2">
      <c r="A452" s="13"/>
      <c r="B452" s="13"/>
      <c r="C452" s="13"/>
      <c r="D452" s="13"/>
      <c r="M452" s="12"/>
    </row>
    <row r="453" spans="1:13" ht="15.75" customHeight="1" x14ac:dyDescent="0.2">
      <c r="A453" s="13"/>
      <c r="B453" s="13"/>
      <c r="C453" s="13"/>
      <c r="D453" s="13"/>
      <c r="M453" s="12"/>
    </row>
    <row r="454" spans="1:13" ht="15.75" customHeight="1" x14ac:dyDescent="0.2">
      <c r="A454" s="13"/>
      <c r="B454" s="13"/>
      <c r="C454" s="13"/>
      <c r="D454" s="13"/>
      <c r="M454" s="12"/>
    </row>
    <row r="455" spans="1:13" ht="15.75" customHeight="1" x14ac:dyDescent="0.2">
      <c r="A455" s="13"/>
      <c r="B455" s="13"/>
      <c r="C455" s="13"/>
      <c r="D455" s="13"/>
      <c r="M455" s="12"/>
    </row>
    <row r="456" spans="1:13" ht="15.75" customHeight="1" x14ac:dyDescent="0.2">
      <c r="A456" s="13"/>
      <c r="B456" s="13"/>
      <c r="C456" s="13"/>
      <c r="D456" s="13"/>
      <c r="M456" s="12"/>
    </row>
    <row r="457" spans="1:13" ht="15.75" customHeight="1" x14ac:dyDescent="0.2">
      <c r="A457" s="13"/>
      <c r="B457" s="13"/>
      <c r="C457" s="13"/>
      <c r="D457" s="13"/>
      <c r="M457" s="12"/>
    </row>
    <row r="458" spans="1:13" ht="15.75" customHeight="1" x14ac:dyDescent="0.2">
      <c r="A458" s="13"/>
      <c r="B458" s="13"/>
      <c r="C458" s="13"/>
      <c r="D458" s="13"/>
      <c r="M458" s="12"/>
    </row>
    <row r="459" spans="1:13" ht="15.75" customHeight="1" x14ac:dyDescent="0.2">
      <c r="A459" s="13"/>
      <c r="B459" s="13"/>
      <c r="C459" s="13"/>
      <c r="D459" s="13"/>
      <c r="M459" s="12"/>
    </row>
    <row r="460" spans="1:13" ht="15.75" customHeight="1" x14ac:dyDescent="0.2">
      <c r="A460" s="13"/>
      <c r="B460" s="13"/>
      <c r="C460" s="13"/>
      <c r="D460" s="13"/>
      <c r="M460" s="12"/>
    </row>
    <row r="461" spans="1:13" ht="15.75" customHeight="1" x14ac:dyDescent="0.2">
      <c r="A461" s="13"/>
      <c r="B461" s="13"/>
      <c r="C461" s="13"/>
      <c r="D461" s="13"/>
      <c r="M461" s="12"/>
    </row>
    <row r="462" spans="1:13" ht="15.75" customHeight="1" x14ac:dyDescent="0.2">
      <c r="A462" s="13"/>
      <c r="B462" s="13"/>
      <c r="C462" s="13"/>
      <c r="D462" s="13"/>
      <c r="M462" s="12"/>
    </row>
    <row r="463" spans="1:13" ht="15.75" customHeight="1" x14ac:dyDescent="0.2">
      <c r="A463" s="13"/>
      <c r="B463" s="13"/>
      <c r="C463" s="13"/>
      <c r="D463" s="13"/>
      <c r="M463" s="12"/>
    </row>
    <row r="464" spans="1:13" ht="15.75" customHeight="1" x14ac:dyDescent="0.2">
      <c r="A464" s="13"/>
      <c r="B464" s="13"/>
      <c r="C464" s="13"/>
      <c r="D464" s="13"/>
      <c r="M464" s="12"/>
    </row>
    <row r="465" spans="1:13" ht="15.75" customHeight="1" x14ac:dyDescent="0.2">
      <c r="A465" s="13"/>
      <c r="B465" s="13"/>
      <c r="C465" s="13"/>
      <c r="D465" s="13"/>
      <c r="M465" s="12"/>
    </row>
    <row r="466" spans="1:13" ht="15.75" customHeight="1" x14ac:dyDescent="0.2">
      <c r="A466" s="13"/>
      <c r="B466" s="13"/>
      <c r="C466" s="13"/>
      <c r="D466" s="13"/>
      <c r="M466" s="12"/>
    </row>
    <row r="467" spans="1:13" ht="15.75" customHeight="1" x14ac:dyDescent="0.2">
      <c r="A467" s="13"/>
      <c r="B467" s="13"/>
      <c r="C467" s="13"/>
      <c r="D467" s="13"/>
      <c r="M467" s="12"/>
    </row>
    <row r="468" spans="1:13" ht="15.75" customHeight="1" x14ac:dyDescent="0.2">
      <c r="A468" s="13"/>
      <c r="B468" s="13"/>
      <c r="C468" s="13"/>
      <c r="D468" s="13"/>
      <c r="M468" s="12"/>
    </row>
    <row r="469" spans="1:13" ht="15.75" customHeight="1" x14ac:dyDescent="0.2">
      <c r="A469" s="13"/>
      <c r="B469" s="13"/>
      <c r="C469" s="13"/>
      <c r="D469" s="13"/>
      <c r="M469" s="12"/>
    </row>
    <row r="470" spans="1:13" ht="15.75" customHeight="1" x14ac:dyDescent="0.2">
      <c r="A470" s="13"/>
      <c r="B470" s="13"/>
      <c r="C470" s="13"/>
      <c r="D470" s="13"/>
      <c r="M470" s="12"/>
    </row>
    <row r="471" spans="1:13" ht="15.75" customHeight="1" x14ac:dyDescent="0.2">
      <c r="A471" s="13"/>
      <c r="B471" s="13"/>
      <c r="C471" s="13"/>
      <c r="D471" s="13"/>
      <c r="M471" s="12"/>
    </row>
    <row r="472" spans="1:13" ht="15.75" customHeight="1" x14ac:dyDescent="0.2">
      <c r="A472" s="13"/>
      <c r="B472" s="13"/>
      <c r="C472" s="13"/>
      <c r="D472" s="13"/>
      <c r="M472" s="12"/>
    </row>
    <row r="473" spans="1:13" ht="15.75" customHeight="1" x14ac:dyDescent="0.2">
      <c r="A473" s="13"/>
      <c r="B473" s="13"/>
      <c r="C473" s="13"/>
      <c r="D473" s="13"/>
      <c r="M473" s="12"/>
    </row>
    <row r="474" spans="1:13" ht="15.75" customHeight="1" x14ac:dyDescent="0.2">
      <c r="A474" s="13"/>
      <c r="B474" s="13"/>
      <c r="C474" s="13"/>
      <c r="D474" s="13"/>
      <c r="M474" s="12"/>
    </row>
    <row r="475" spans="1:13" ht="15.75" customHeight="1" x14ac:dyDescent="0.2">
      <c r="A475" s="13"/>
      <c r="B475" s="13"/>
      <c r="C475" s="13"/>
      <c r="D475" s="13"/>
      <c r="M475" s="12"/>
    </row>
    <row r="476" spans="1:13" ht="15.75" customHeight="1" x14ac:dyDescent="0.2">
      <c r="A476" s="13"/>
      <c r="B476" s="13"/>
      <c r="C476" s="13"/>
      <c r="D476" s="13"/>
      <c r="M476" s="12"/>
    </row>
    <row r="477" spans="1:13" ht="15.75" customHeight="1" x14ac:dyDescent="0.2">
      <c r="A477" s="13"/>
      <c r="B477" s="13"/>
      <c r="C477" s="13"/>
      <c r="D477" s="13"/>
      <c r="M477" s="12"/>
    </row>
    <row r="478" spans="1:13" ht="15.75" customHeight="1" x14ac:dyDescent="0.2">
      <c r="A478" s="13"/>
      <c r="B478" s="13"/>
      <c r="C478" s="13"/>
      <c r="D478" s="13"/>
      <c r="M478" s="12"/>
    </row>
    <row r="479" spans="1:13" ht="15.75" customHeight="1" x14ac:dyDescent="0.2">
      <c r="A479" s="13"/>
      <c r="B479" s="13"/>
      <c r="C479" s="13"/>
      <c r="D479" s="13"/>
      <c r="M479" s="12"/>
    </row>
    <row r="480" spans="1:13" ht="15.75" customHeight="1" x14ac:dyDescent="0.2">
      <c r="A480" s="13"/>
      <c r="B480" s="13"/>
      <c r="C480" s="13"/>
      <c r="D480" s="13"/>
      <c r="M480" s="12"/>
    </row>
    <row r="481" spans="1:13" ht="15.75" customHeight="1" x14ac:dyDescent="0.2">
      <c r="A481" s="13"/>
      <c r="B481" s="13"/>
      <c r="C481" s="13"/>
      <c r="D481" s="13"/>
      <c r="M481" s="12"/>
    </row>
    <row r="482" spans="1:13" ht="15.75" customHeight="1" x14ac:dyDescent="0.2">
      <c r="A482" s="13"/>
      <c r="B482" s="13"/>
      <c r="C482" s="13"/>
      <c r="D482" s="13"/>
      <c r="M482" s="12"/>
    </row>
    <row r="483" spans="1:13" ht="15.75" customHeight="1" x14ac:dyDescent="0.2">
      <c r="A483" s="13"/>
      <c r="B483" s="13"/>
      <c r="C483" s="13"/>
      <c r="D483" s="13"/>
      <c r="M483" s="12"/>
    </row>
    <row r="484" spans="1:13" ht="15.75" customHeight="1" x14ac:dyDescent="0.2">
      <c r="A484" s="13"/>
      <c r="B484" s="13"/>
      <c r="C484" s="13"/>
      <c r="D484" s="13"/>
      <c r="M484" s="12"/>
    </row>
    <row r="485" spans="1:13" ht="15.75" customHeight="1" x14ac:dyDescent="0.2">
      <c r="A485" s="13"/>
      <c r="B485" s="13"/>
      <c r="C485" s="13"/>
      <c r="D485" s="13"/>
      <c r="M485" s="12"/>
    </row>
    <row r="486" spans="1:13" ht="15.75" customHeight="1" x14ac:dyDescent="0.2">
      <c r="A486" s="13"/>
      <c r="B486" s="13"/>
      <c r="C486" s="13"/>
      <c r="D486" s="13"/>
      <c r="M486" s="12"/>
    </row>
    <row r="487" spans="1:13" ht="15.75" customHeight="1" x14ac:dyDescent="0.2">
      <c r="A487" s="13"/>
      <c r="B487" s="13"/>
      <c r="C487" s="13"/>
      <c r="D487" s="13"/>
      <c r="M487" s="12"/>
    </row>
    <row r="488" spans="1:13" ht="15.75" customHeight="1" x14ac:dyDescent="0.2">
      <c r="A488" s="13"/>
      <c r="B488" s="13"/>
      <c r="C488" s="13"/>
      <c r="D488" s="13"/>
      <c r="M488" s="12"/>
    </row>
    <row r="489" spans="1:13" ht="15.75" customHeight="1" x14ac:dyDescent="0.2">
      <c r="A489" s="13"/>
      <c r="B489" s="13"/>
      <c r="C489" s="13"/>
      <c r="D489" s="13"/>
      <c r="M489" s="12"/>
    </row>
    <row r="490" spans="1:13" ht="15.75" customHeight="1" x14ac:dyDescent="0.2">
      <c r="A490" s="13"/>
      <c r="B490" s="13"/>
      <c r="C490" s="13"/>
      <c r="D490" s="13"/>
      <c r="M490" s="12"/>
    </row>
    <row r="491" spans="1:13" ht="15.75" customHeight="1" x14ac:dyDescent="0.2">
      <c r="A491" s="13"/>
      <c r="B491" s="13"/>
      <c r="C491" s="13"/>
      <c r="D491" s="13"/>
      <c r="M491" s="12"/>
    </row>
    <row r="492" spans="1:13" ht="15.75" customHeight="1" x14ac:dyDescent="0.2">
      <c r="A492" s="13"/>
      <c r="B492" s="13"/>
      <c r="C492" s="13"/>
      <c r="D492" s="13"/>
      <c r="M492" s="12"/>
    </row>
    <row r="493" spans="1:13" ht="15.75" customHeight="1" x14ac:dyDescent="0.2">
      <c r="A493" s="13"/>
      <c r="B493" s="13"/>
      <c r="C493" s="13"/>
      <c r="D493" s="13"/>
      <c r="M493" s="12"/>
    </row>
    <row r="494" spans="1:13" ht="15.75" customHeight="1" x14ac:dyDescent="0.2">
      <c r="A494" s="13"/>
      <c r="B494" s="13"/>
      <c r="C494" s="13"/>
      <c r="D494" s="13"/>
      <c r="M494" s="12"/>
    </row>
    <row r="495" spans="1:13" ht="15.75" customHeight="1" x14ac:dyDescent="0.2">
      <c r="A495" s="13"/>
      <c r="B495" s="13"/>
      <c r="C495" s="13"/>
      <c r="D495" s="13"/>
      <c r="M495" s="12"/>
    </row>
    <row r="496" spans="1:13" ht="15.75" customHeight="1" x14ac:dyDescent="0.2">
      <c r="A496" s="13"/>
      <c r="B496" s="13"/>
      <c r="C496" s="13"/>
      <c r="D496" s="13"/>
      <c r="M496" s="12"/>
    </row>
    <row r="497" spans="1:13" ht="15.75" customHeight="1" x14ac:dyDescent="0.2">
      <c r="A497" s="13"/>
      <c r="B497" s="13"/>
      <c r="C497" s="13"/>
      <c r="D497" s="13"/>
      <c r="M497" s="12"/>
    </row>
    <row r="498" spans="1:13" ht="15.75" customHeight="1" x14ac:dyDescent="0.2">
      <c r="A498" s="13"/>
      <c r="B498" s="13"/>
      <c r="C498" s="13"/>
      <c r="D498" s="13"/>
      <c r="M498" s="12"/>
    </row>
    <row r="499" spans="1:13" ht="15.75" customHeight="1" x14ac:dyDescent="0.2">
      <c r="A499" s="13"/>
      <c r="B499" s="13"/>
      <c r="C499" s="13"/>
      <c r="D499" s="13"/>
      <c r="M499" s="12"/>
    </row>
    <row r="500" spans="1:13" ht="15.75" customHeight="1" x14ac:dyDescent="0.2">
      <c r="A500" s="13"/>
      <c r="B500" s="13"/>
      <c r="C500" s="13"/>
      <c r="D500" s="13"/>
      <c r="M500" s="12"/>
    </row>
    <row r="501" spans="1:13" ht="15.75" customHeight="1" x14ac:dyDescent="0.2">
      <c r="A501" s="13"/>
      <c r="B501" s="13"/>
      <c r="C501" s="13"/>
      <c r="D501" s="13"/>
      <c r="M501" s="12"/>
    </row>
    <row r="502" spans="1:13" ht="15.75" customHeight="1" x14ac:dyDescent="0.2">
      <c r="A502" s="13"/>
      <c r="B502" s="13"/>
      <c r="C502" s="13"/>
      <c r="D502" s="13"/>
      <c r="M502" s="12"/>
    </row>
    <row r="503" spans="1:13" ht="15.75" customHeight="1" x14ac:dyDescent="0.2">
      <c r="A503" s="13"/>
      <c r="B503" s="13"/>
      <c r="C503" s="13"/>
      <c r="D503" s="13"/>
      <c r="M503" s="12"/>
    </row>
    <row r="504" spans="1:13" ht="15.75" customHeight="1" x14ac:dyDescent="0.2">
      <c r="A504" s="13"/>
      <c r="B504" s="13"/>
      <c r="C504" s="13"/>
      <c r="D504" s="13"/>
      <c r="M504" s="12"/>
    </row>
    <row r="505" spans="1:13" ht="15.75" customHeight="1" x14ac:dyDescent="0.2">
      <c r="A505" s="13"/>
      <c r="B505" s="13"/>
      <c r="C505" s="13"/>
      <c r="D505" s="13"/>
      <c r="M505" s="12"/>
    </row>
    <row r="506" spans="1:13" ht="15.75" customHeight="1" x14ac:dyDescent="0.2">
      <c r="A506" s="13"/>
      <c r="B506" s="13"/>
      <c r="C506" s="13"/>
      <c r="D506" s="13"/>
      <c r="M506" s="12"/>
    </row>
    <row r="507" spans="1:13" ht="15.75" customHeight="1" x14ac:dyDescent="0.2">
      <c r="A507" s="13"/>
      <c r="B507" s="13"/>
      <c r="C507" s="13"/>
      <c r="D507" s="13"/>
      <c r="M507" s="12"/>
    </row>
    <row r="508" spans="1:13" ht="15.75" customHeight="1" x14ac:dyDescent="0.2">
      <c r="A508" s="13"/>
      <c r="B508" s="13"/>
      <c r="C508" s="13"/>
      <c r="D508" s="13"/>
      <c r="M508" s="12"/>
    </row>
    <row r="509" spans="1:13" ht="15.75" customHeight="1" x14ac:dyDescent="0.2">
      <c r="A509" s="13"/>
      <c r="B509" s="13"/>
      <c r="C509" s="13"/>
      <c r="D509" s="13"/>
      <c r="M509" s="12"/>
    </row>
    <row r="510" spans="1:13" ht="15.75" customHeight="1" x14ac:dyDescent="0.2">
      <c r="A510" s="13"/>
      <c r="B510" s="13"/>
      <c r="C510" s="13"/>
      <c r="D510" s="13"/>
      <c r="M510" s="12"/>
    </row>
    <row r="511" spans="1:13" ht="15.75" customHeight="1" x14ac:dyDescent="0.2">
      <c r="A511" s="13"/>
      <c r="B511" s="13"/>
      <c r="C511" s="13"/>
      <c r="D511" s="13"/>
      <c r="M511" s="12"/>
    </row>
    <row r="512" spans="1:13" ht="15.75" customHeight="1" x14ac:dyDescent="0.2">
      <c r="A512" s="13"/>
      <c r="B512" s="13"/>
      <c r="C512" s="13"/>
      <c r="D512" s="13"/>
      <c r="M512" s="12"/>
    </row>
    <row r="513" spans="1:13" ht="15.75" customHeight="1" x14ac:dyDescent="0.2">
      <c r="A513" s="13"/>
      <c r="B513" s="13"/>
      <c r="C513" s="13"/>
      <c r="D513" s="13"/>
      <c r="M513" s="12"/>
    </row>
    <row r="514" spans="1:13" ht="15.75" customHeight="1" x14ac:dyDescent="0.2">
      <c r="A514" s="13"/>
      <c r="B514" s="13"/>
      <c r="C514" s="13"/>
      <c r="D514" s="13"/>
      <c r="M514" s="12"/>
    </row>
    <row r="515" spans="1:13" ht="15.75" customHeight="1" x14ac:dyDescent="0.2">
      <c r="A515" s="13"/>
      <c r="B515" s="13"/>
      <c r="C515" s="13"/>
      <c r="D515" s="13"/>
      <c r="M515" s="12"/>
    </row>
    <row r="516" spans="1:13" ht="15.75" customHeight="1" x14ac:dyDescent="0.2">
      <c r="A516" s="13"/>
      <c r="B516" s="13"/>
      <c r="C516" s="13"/>
      <c r="D516" s="13"/>
      <c r="M516" s="12"/>
    </row>
    <row r="517" spans="1:13" ht="15.75" customHeight="1" x14ac:dyDescent="0.2">
      <c r="A517" s="13"/>
      <c r="B517" s="13"/>
      <c r="C517" s="13"/>
      <c r="D517" s="13"/>
      <c r="M517" s="12"/>
    </row>
    <row r="518" spans="1:13" ht="15.75" customHeight="1" x14ac:dyDescent="0.2">
      <c r="A518" s="13"/>
      <c r="B518" s="13"/>
      <c r="C518" s="13"/>
      <c r="D518" s="13"/>
      <c r="M518" s="12"/>
    </row>
    <row r="519" spans="1:13" ht="15.75" customHeight="1" x14ac:dyDescent="0.2">
      <c r="A519" s="13"/>
      <c r="B519" s="13"/>
      <c r="C519" s="13"/>
      <c r="D519" s="13"/>
      <c r="M519" s="12"/>
    </row>
    <row r="520" spans="1:13" ht="15.75" customHeight="1" x14ac:dyDescent="0.2">
      <c r="A520" s="13"/>
      <c r="B520" s="13"/>
      <c r="C520" s="13"/>
      <c r="D520" s="13"/>
      <c r="M520" s="12"/>
    </row>
    <row r="521" spans="1:13" ht="15.75" customHeight="1" x14ac:dyDescent="0.2">
      <c r="A521" s="13"/>
      <c r="B521" s="13"/>
      <c r="C521" s="13"/>
      <c r="D521" s="13"/>
      <c r="M521" s="12"/>
    </row>
    <row r="522" spans="1:13" ht="15.75" customHeight="1" x14ac:dyDescent="0.2">
      <c r="A522" s="13"/>
      <c r="B522" s="13"/>
      <c r="C522" s="13"/>
      <c r="D522" s="13"/>
      <c r="M522" s="12"/>
    </row>
    <row r="523" spans="1:13" ht="15.75" customHeight="1" x14ac:dyDescent="0.2">
      <c r="A523" s="13"/>
      <c r="B523" s="13"/>
      <c r="C523" s="13"/>
      <c r="D523" s="13"/>
      <c r="M523" s="12"/>
    </row>
    <row r="524" spans="1:13" ht="15.75" customHeight="1" x14ac:dyDescent="0.2">
      <c r="A524" s="13"/>
      <c r="B524" s="13"/>
      <c r="C524" s="13"/>
      <c r="D524" s="13"/>
      <c r="M524" s="12"/>
    </row>
    <row r="525" spans="1:13" ht="15.75" customHeight="1" x14ac:dyDescent="0.2">
      <c r="A525" s="13"/>
      <c r="B525" s="13"/>
      <c r="C525" s="13"/>
      <c r="D525" s="13"/>
      <c r="M525" s="12"/>
    </row>
    <row r="526" spans="1:13" ht="15.75" customHeight="1" x14ac:dyDescent="0.2">
      <c r="A526" s="13"/>
      <c r="B526" s="13"/>
      <c r="C526" s="13"/>
      <c r="D526" s="13"/>
      <c r="M526" s="12"/>
    </row>
    <row r="527" spans="1:13" ht="15.75" customHeight="1" x14ac:dyDescent="0.2">
      <c r="A527" s="13"/>
      <c r="B527" s="13"/>
      <c r="C527" s="13"/>
      <c r="D527" s="13"/>
      <c r="M527" s="12"/>
    </row>
    <row r="528" spans="1:13" ht="15.75" customHeight="1" x14ac:dyDescent="0.2">
      <c r="A528" s="13"/>
      <c r="B528" s="13"/>
      <c r="C528" s="13"/>
      <c r="D528" s="13"/>
      <c r="M528" s="12"/>
    </row>
    <row r="529" spans="1:13" ht="15.75" customHeight="1" x14ac:dyDescent="0.2">
      <c r="A529" s="13"/>
      <c r="B529" s="13"/>
      <c r="C529" s="13"/>
      <c r="D529" s="13"/>
      <c r="M529" s="12"/>
    </row>
    <row r="530" spans="1:13" ht="15.75" customHeight="1" x14ac:dyDescent="0.2">
      <c r="A530" s="13"/>
      <c r="B530" s="13"/>
      <c r="C530" s="13"/>
      <c r="D530" s="13"/>
      <c r="M530" s="12"/>
    </row>
    <row r="531" spans="1:13" ht="15.75" customHeight="1" x14ac:dyDescent="0.2">
      <c r="A531" s="13"/>
      <c r="B531" s="13"/>
      <c r="C531" s="13"/>
      <c r="D531" s="13"/>
      <c r="M531" s="12"/>
    </row>
    <row r="532" spans="1:13" ht="15.75" customHeight="1" x14ac:dyDescent="0.2">
      <c r="A532" s="13"/>
      <c r="B532" s="13"/>
      <c r="C532" s="13"/>
      <c r="D532" s="13"/>
      <c r="M532" s="12"/>
    </row>
    <row r="533" spans="1:13" ht="15.75" customHeight="1" x14ac:dyDescent="0.2">
      <c r="A533" s="13"/>
      <c r="B533" s="13"/>
      <c r="C533" s="13"/>
      <c r="D533" s="13"/>
      <c r="M533" s="12"/>
    </row>
    <row r="534" spans="1:13" ht="15.75" customHeight="1" x14ac:dyDescent="0.2">
      <c r="A534" s="13"/>
      <c r="B534" s="13"/>
      <c r="C534" s="13"/>
      <c r="D534" s="13"/>
      <c r="M534" s="12"/>
    </row>
    <row r="535" spans="1:13" ht="15.75" customHeight="1" x14ac:dyDescent="0.2">
      <c r="A535" s="13"/>
      <c r="B535" s="13"/>
      <c r="C535" s="13"/>
      <c r="D535" s="13"/>
      <c r="M535" s="12"/>
    </row>
    <row r="536" spans="1:13" ht="15.75" customHeight="1" x14ac:dyDescent="0.2">
      <c r="A536" s="13"/>
      <c r="B536" s="13"/>
      <c r="C536" s="13"/>
      <c r="D536" s="13"/>
      <c r="M536" s="12"/>
    </row>
    <row r="537" spans="1:13" ht="15.75" customHeight="1" x14ac:dyDescent="0.2">
      <c r="A537" s="13"/>
      <c r="B537" s="13"/>
      <c r="C537" s="13"/>
      <c r="D537" s="13"/>
      <c r="M537" s="12"/>
    </row>
    <row r="538" spans="1:13" ht="15.75" customHeight="1" x14ac:dyDescent="0.2">
      <c r="A538" s="13"/>
      <c r="B538" s="13"/>
      <c r="C538" s="13"/>
      <c r="D538" s="13"/>
      <c r="M538" s="12"/>
    </row>
    <row r="539" spans="1:13" ht="15.75" customHeight="1" x14ac:dyDescent="0.2">
      <c r="A539" s="13"/>
      <c r="B539" s="13"/>
      <c r="C539" s="13"/>
      <c r="D539" s="13"/>
      <c r="M539" s="12"/>
    </row>
    <row r="540" spans="1:13" ht="15.75" customHeight="1" x14ac:dyDescent="0.2">
      <c r="A540" s="13"/>
      <c r="B540" s="13"/>
      <c r="C540" s="13"/>
      <c r="D540" s="13"/>
      <c r="M540" s="12"/>
    </row>
    <row r="541" spans="1:13" ht="15.75" customHeight="1" x14ac:dyDescent="0.2">
      <c r="A541" s="13"/>
      <c r="B541" s="13"/>
      <c r="C541" s="13"/>
      <c r="D541" s="13"/>
      <c r="M541" s="12"/>
    </row>
    <row r="542" spans="1:13" ht="15.75" customHeight="1" x14ac:dyDescent="0.2">
      <c r="A542" s="13"/>
      <c r="B542" s="13"/>
      <c r="C542" s="13"/>
      <c r="D542" s="13"/>
      <c r="M542" s="12"/>
    </row>
    <row r="543" spans="1:13" ht="15.75" customHeight="1" x14ac:dyDescent="0.2">
      <c r="A543" s="13"/>
      <c r="B543" s="13"/>
      <c r="C543" s="13"/>
      <c r="D543" s="13"/>
      <c r="M543" s="12"/>
    </row>
    <row r="544" spans="1:13" ht="15.75" customHeight="1" x14ac:dyDescent="0.2">
      <c r="A544" s="13"/>
      <c r="B544" s="13"/>
      <c r="C544" s="13"/>
      <c r="D544" s="13"/>
      <c r="M544" s="12"/>
    </row>
    <row r="545" spans="1:13" ht="15.75" customHeight="1" x14ac:dyDescent="0.2">
      <c r="A545" s="13"/>
      <c r="B545" s="13"/>
      <c r="C545" s="13"/>
      <c r="D545" s="13"/>
      <c r="M545" s="12"/>
    </row>
    <row r="546" spans="1:13" ht="15.75" customHeight="1" x14ac:dyDescent="0.2">
      <c r="A546" s="13"/>
      <c r="B546" s="13"/>
      <c r="C546" s="13"/>
      <c r="D546" s="13"/>
      <c r="M546" s="12"/>
    </row>
    <row r="547" spans="1:13" ht="15.75" customHeight="1" x14ac:dyDescent="0.2">
      <c r="A547" s="13"/>
      <c r="B547" s="13"/>
      <c r="C547" s="13"/>
      <c r="D547" s="13"/>
      <c r="M547" s="12"/>
    </row>
    <row r="548" spans="1:13" ht="15.75" customHeight="1" x14ac:dyDescent="0.2">
      <c r="A548" s="13"/>
      <c r="B548" s="13"/>
      <c r="C548" s="13"/>
      <c r="D548" s="13"/>
      <c r="M548" s="12"/>
    </row>
    <row r="549" spans="1:13" ht="15.75" customHeight="1" x14ac:dyDescent="0.2">
      <c r="A549" s="13"/>
      <c r="B549" s="13"/>
      <c r="C549" s="13"/>
      <c r="D549" s="13"/>
      <c r="M549" s="12"/>
    </row>
    <row r="550" spans="1:13" ht="15.75" customHeight="1" x14ac:dyDescent="0.2">
      <c r="A550" s="13"/>
      <c r="B550" s="13"/>
      <c r="C550" s="13"/>
      <c r="D550" s="13"/>
      <c r="M550" s="12"/>
    </row>
    <row r="551" spans="1:13" ht="15.75" customHeight="1" x14ac:dyDescent="0.2">
      <c r="A551" s="13"/>
      <c r="B551" s="13"/>
      <c r="C551" s="13"/>
      <c r="D551" s="13"/>
      <c r="M551" s="12"/>
    </row>
    <row r="552" spans="1:13" ht="15.75" customHeight="1" x14ac:dyDescent="0.2">
      <c r="A552" s="13"/>
      <c r="B552" s="13"/>
      <c r="C552" s="13"/>
      <c r="D552" s="13"/>
      <c r="M552" s="12"/>
    </row>
    <row r="553" spans="1:13" ht="15.75" customHeight="1" x14ac:dyDescent="0.2">
      <c r="A553" s="13"/>
      <c r="B553" s="13"/>
      <c r="C553" s="13"/>
      <c r="D553" s="13"/>
      <c r="M553" s="12"/>
    </row>
    <row r="554" spans="1:13" ht="15.75" customHeight="1" x14ac:dyDescent="0.2">
      <c r="A554" s="13"/>
      <c r="B554" s="13"/>
      <c r="C554" s="13"/>
      <c r="D554" s="13"/>
      <c r="M554" s="12"/>
    </row>
    <row r="555" spans="1:13" ht="15.75" customHeight="1" x14ac:dyDescent="0.2">
      <c r="A555" s="13"/>
      <c r="B555" s="13"/>
      <c r="C555" s="13"/>
      <c r="D555" s="13"/>
      <c r="M555" s="12"/>
    </row>
    <row r="556" spans="1:13" ht="15.75" customHeight="1" x14ac:dyDescent="0.2">
      <c r="A556" s="13"/>
      <c r="B556" s="13"/>
      <c r="C556" s="13"/>
      <c r="D556" s="13"/>
      <c r="M556" s="12"/>
    </row>
    <row r="557" spans="1:13" ht="15.75" customHeight="1" x14ac:dyDescent="0.2">
      <c r="A557" s="13"/>
      <c r="B557" s="13"/>
      <c r="C557" s="13"/>
      <c r="D557" s="13"/>
      <c r="M557" s="12"/>
    </row>
    <row r="558" spans="1:13" ht="15.75" customHeight="1" x14ac:dyDescent="0.2">
      <c r="A558" s="13"/>
      <c r="B558" s="13"/>
      <c r="C558" s="13"/>
      <c r="D558" s="13"/>
      <c r="M558" s="12"/>
    </row>
    <row r="559" spans="1:13" ht="15.75" customHeight="1" x14ac:dyDescent="0.2">
      <c r="A559" s="13"/>
      <c r="B559" s="13"/>
      <c r="C559" s="13"/>
      <c r="D559" s="13"/>
      <c r="M559" s="12"/>
    </row>
    <row r="560" spans="1:13" ht="15.75" customHeight="1" x14ac:dyDescent="0.2">
      <c r="A560" s="13"/>
      <c r="B560" s="13"/>
      <c r="C560" s="13"/>
      <c r="D560" s="13"/>
      <c r="M560" s="12"/>
    </row>
    <row r="561" spans="1:13" ht="15.75" customHeight="1" x14ac:dyDescent="0.2">
      <c r="A561" s="13"/>
      <c r="B561" s="13"/>
      <c r="C561" s="13"/>
      <c r="D561" s="13"/>
      <c r="M561" s="12"/>
    </row>
    <row r="562" spans="1:13" ht="15.75" customHeight="1" x14ac:dyDescent="0.2">
      <c r="A562" s="13"/>
      <c r="B562" s="13"/>
      <c r="C562" s="13"/>
      <c r="D562" s="13"/>
      <c r="M562" s="12"/>
    </row>
    <row r="563" spans="1:13" ht="15.75" customHeight="1" x14ac:dyDescent="0.2">
      <c r="A563" s="13"/>
      <c r="B563" s="13"/>
      <c r="C563" s="13"/>
      <c r="D563" s="13"/>
      <c r="M563" s="12"/>
    </row>
    <row r="564" spans="1:13" ht="15.75" customHeight="1" x14ac:dyDescent="0.2">
      <c r="A564" s="13"/>
      <c r="B564" s="13"/>
      <c r="C564" s="13"/>
      <c r="D564" s="13"/>
      <c r="M564" s="12"/>
    </row>
    <row r="565" spans="1:13" ht="15.75" customHeight="1" x14ac:dyDescent="0.2">
      <c r="A565" s="13"/>
      <c r="B565" s="13"/>
      <c r="C565" s="13"/>
      <c r="D565" s="13"/>
      <c r="M565" s="12"/>
    </row>
    <row r="566" spans="1:13" ht="15.75" customHeight="1" x14ac:dyDescent="0.2">
      <c r="A566" s="13"/>
      <c r="B566" s="13"/>
      <c r="C566" s="13"/>
      <c r="D566" s="13"/>
      <c r="M566" s="12"/>
    </row>
    <row r="567" spans="1:13" ht="15.75" customHeight="1" x14ac:dyDescent="0.2">
      <c r="A567" s="13"/>
      <c r="B567" s="13"/>
      <c r="C567" s="13"/>
      <c r="D567" s="13"/>
      <c r="M567" s="12"/>
    </row>
    <row r="568" spans="1:13" ht="15.75" customHeight="1" x14ac:dyDescent="0.2">
      <c r="A568" s="13"/>
      <c r="B568" s="13"/>
      <c r="C568" s="13"/>
      <c r="D568" s="13"/>
      <c r="M568" s="12"/>
    </row>
    <row r="569" spans="1:13" ht="15.75" customHeight="1" x14ac:dyDescent="0.2">
      <c r="A569" s="13"/>
      <c r="B569" s="13"/>
      <c r="C569" s="13"/>
      <c r="D569" s="13"/>
      <c r="M569" s="12"/>
    </row>
    <row r="570" spans="1:13" ht="15.75" customHeight="1" x14ac:dyDescent="0.2">
      <c r="A570" s="13"/>
      <c r="B570" s="13"/>
      <c r="C570" s="13"/>
      <c r="D570" s="13"/>
      <c r="M570" s="12"/>
    </row>
    <row r="571" spans="1:13" ht="15.75" customHeight="1" x14ac:dyDescent="0.2">
      <c r="A571" s="13"/>
      <c r="B571" s="13"/>
      <c r="C571" s="13"/>
      <c r="D571" s="13"/>
      <c r="M571" s="12"/>
    </row>
    <row r="572" spans="1:13" ht="15.75" customHeight="1" x14ac:dyDescent="0.2">
      <c r="A572" s="13"/>
      <c r="B572" s="13"/>
      <c r="C572" s="13"/>
      <c r="D572" s="13"/>
      <c r="M572" s="12"/>
    </row>
    <row r="573" spans="1:13" ht="15.75" customHeight="1" x14ac:dyDescent="0.2">
      <c r="A573" s="13"/>
      <c r="B573" s="13"/>
      <c r="C573" s="13"/>
      <c r="D573" s="13"/>
      <c r="M573" s="12"/>
    </row>
    <row r="574" spans="1:13" ht="15.75" customHeight="1" x14ac:dyDescent="0.2">
      <c r="A574" s="13"/>
      <c r="B574" s="13"/>
      <c r="C574" s="13"/>
      <c r="D574" s="13"/>
      <c r="M574" s="12"/>
    </row>
    <row r="575" spans="1:13" ht="15.75" customHeight="1" x14ac:dyDescent="0.2">
      <c r="A575" s="13"/>
      <c r="B575" s="13"/>
      <c r="C575" s="13"/>
      <c r="D575" s="13"/>
      <c r="M575" s="12"/>
    </row>
    <row r="576" spans="1:13" ht="15.75" customHeight="1" x14ac:dyDescent="0.2">
      <c r="A576" s="13"/>
      <c r="B576" s="13"/>
      <c r="C576" s="13"/>
      <c r="D576" s="13"/>
      <c r="M576" s="12"/>
    </row>
    <row r="577" spans="1:13" ht="15.75" customHeight="1" x14ac:dyDescent="0.2">
      <c r="A577" s="13"/>
      <c r="B577" s="13"/>
      <c r="C577" s="13"/>
      <c r="D577" s="13"/>
      <c r="M577" s="12"/>
    </row>
    <row r="578" spans="1:13" ht="15.75" customHeight="1" x14ac:dyDescent="0.2">
      <c r="A578" s="13"/>
      <c r="B578" s="13"/>
      <c r="C578" s="13"/>
      <c r="D578" s="13"/>
      <c r="M578" s="12"/>
    </row>
    <row r="579" spans="1:13" ht="15.75" customHeight="1" x14ac:dyDescent="0.2">
      <c r="A579" s="13"/>
      <c r="B579" s="13"/>
      <c r="C579" s="13"/>
      <c r="D579" s="13"/>
      <c r="M579" s="12"/>
    </row>
    <row r="580" spans="1:13" ht="15.75" customHeight="1" x14ac:dyDescent="0.2">
      <c r="A580" s="13"/>
      <c r="B580" s="13"/>
      <c r="C580" s="13"/>
      <c r="D580" s="13"/>
      <c r="M580" s="12"/>
    </row>
    <row r="581" spans="1:13" ht="15.75" customHeight="1" x14ac:dyDescent="0.2">
      <c r="A581" s="13"/>
      <c r="B581" s="13"/>
      <c r="C581" s="13"/>
      <c r="D581" s="13"/>
      <c r="M581" s="12"/>
    </row>
    <row r="582" spans="1:13" ht="15.75" customHeight="1" x14ac:dyDescent="0.2">
      <c r="A582" s="13"/>
      <c r="B582" s="13"/>
      <c r="C582" s="13"/>
      <c r="D582" s="13"/>
      <c r="M582" s="12"/>
    </row>
    <row r="583" spans="1:13" ht="15.75" customHeight="1" x14ac:dyDescent="0.2">
      <c r="A583" s="13"/>
      <c r="B583" s="13"/>
      <c r="C583" s="13"/>
      <c r="D583" s="13"/>
      <c r="M583" s="12"/>
    </row>
    <row r="584" spans="1:13" ht="15.75" customHeight="1" x14ac:dyDescent="0.2">
      <c r="A584" s="13"/>
      <c r="B584" s="13"/>
      <c r="C584" s="13"/>
      <c r="D584" s="13"/>
      <c r="M584" s="12"/>
    </row>
    <row r="585" spans="1:13" ht="15.75" customHeight="1" x14ac:dyDescent="0.2">
      <c r="A585" s="13"/>
      <c r="B585" s="13"/>
      <c r="C585" s="13"/>
      <c r="D585" s="13"/>
      <c r="M585" s="12"/>
    </row>
    <row r="586" spans="1:13" ht="15.75" customHeight="1" x14ac:dyDescent="0.2">
      <c r="A586" s="13"/>
      <c r="B586" s="13"/>
      <c r="C586" s="13"/>
      <c r="D586" s="13"/>
      <c r="M586" s="12"/>
    </row>
    <row r="587" spans="1:13" ht="15.75" customHeight="1" x14ac:dyDescent="0.2">
      <c r="A587" s="13"/>
      <c r="B587" s="13"/>
      <c r="C587" s="13"/>
      <c r="D587" s="13"/>
      <c r="M587" s="12"/>
    </row>
    <row r="588" spans="1:13" ht="15.75" customHeight="1" x14ac:dyDescent="0.2">
      <c r="A588" s="13"/>
      <c r="B588" s="13"/>
      <c r="C588" s="13"/>
      <c r="D588" s="13"/>
      <c r="M588" s="12"/>
    </row>
    <row r="589" spans="1:13" ht="15.75" customHeight="1" x14ac:dyDescent="0.2">
      <c r="A589" s="13"/>
      <c r="B589" s="13"/>
      <c r="C589" s="13"/>
      <c r="D589" s="13"/>
      <c r="M589" s="12"/>
    </row>
    <row r="590" spans="1:13" ht="15.75" customHeight="1" x14ac:dyDescent="0.2">
      <c r="A590" s="13"/>
      <c r="B590" s="13"/>
      <c r="C590" s="13"/>
      <c r="D590" s="13"/>
      <c r="M590" s="12"/>
    </row>
    <row r="591" spans="1:13" ht="15.75" customHeight="1" x14ac:dyDescent="0.2">
      <c r="A591" s="13"/>
      <c r="B591" s="13"/>
      <c r="C591" s="13"/>
      <c r="D591" s="13"/>
      <c r="M591" s="12"/>
    </row>
    <row r="592" spans="1:13" ht="15.75" customHeight="1" x14ac:dyDescent="0.2">
      <c r="A592" s="13"/>
      <c r="B592" s="13"/>
      <c r="C592" s="13"/>
      <c r="D592" s="13"/>
      <c r="M592" s="12"/>
    </row>
    <row r="593" spans="1:13" ht="15.75" customHeight="1" x14ac:dyDescent="0.2">
      <c r="A593" s="13"/>
      <c r="B593" s="13"/>
      <c r="C593" s="13"/>
      <c r="D593" s="13"/>
      <c r="M593" s="12"/>
    </row>
    <row r="594" spans="1:13" ht="15.75" customHeight="1" x14ac:dyDescent="0.2">
      <c r="A594" s="13"/>
      <c r="B594" s="13"/>
      <c r="C594" s="13"/>
      <c r="D594" s="13"/>
      <c r="M594" s="12"/>
    </row>
    <row r="595" spans="1:13" ht="15.75" customHeight="1" x14ac:dyDescent="0.2">
      <c r="A595" s="13"/>
      <c r="B595" s="13"/>
      <c r="C595" s="13"/>
      <c r="D595" s="13"/>
      <c r="M595" s="12"/>
    </row>
    <row r="596" spans="1:13" ht="15.75" customHeight="1" x14ac:dyDescent="0.2">
      <c r="A596" s="13"/>
      <c r="B596" s="13"/>
      <c r="C596" s="13"/>
      <c r="D596" s="13"/>
      <c r="M596" s="12"/>
    </row>
    <row r="597" spans="1:13" ht="15.75" customHeight="1" x14ac:dyDescent="0.2">
      <c r="A597" s="13"/>
      <c r="B597" s="13"/>
      <c r="C597" s="13"/>
      <c r="D597" s="13"/>
      <c r="M597" s="12"/>
    </row>
    <row r="598" spans="1:13" ht="15.75" customHeight="1" x14ac:dyDescent="0.2">
      <c r="A598" s="13"/>
      <c r="B598" s="13"/>
      <c r="C598" s="13"/>
      <c r="D598" s="13"/>
      <c r="M598" s="12"/>
    </row>
    <row r="599" spans="1:13" ht="15.75" customHeight="1" x14ac:dyDescent="0.2">
      <c r="A599" s="13"/>
      <c r="B599" s="13"/>
      <c r="C599" s="13"/>
      <c r="D599" s="13"/>
      <c r="M599" s="12"/>
    </row>
    <row r="600" spans="1:13" ht="15.75" customHeight="1" x14ac:dyDescent="0.2">
      <c r="A600" s="13"/>
      <c r="B600" s="13"/>
      <c r="C600" s="13"/>
      <c r="D600" s="13"/>
      <c r="M600" s="12"/>
    </row>
    <row r="601" spans="1:13" ht="15.75" customHeight="1" x14ac:dyDescent="0.2">
      <c r="A601" s="13"/>
      <c r="B601" s="13"/>
      <c r="C601" s="13"/>
      <c r="D601" s="13"/>
      <c r="M601" s="12"/>
    </row>
    <row r="602" spans="1:13" ht="15.75" customHeight="1" x14ac:dyDescent="0.2">
      <c r="A602" s="13"/>
      <c r="B602" s="13"/>
      <c r="C602" s="13"/>
      <c r="D602" s="13"/>
      <c r="M602" s="12"/>
    </row>
    <row r="603" spans="1:13" ht="15.75" customHeight="1" x14ac:dyDescent="0.2">
      <c r="A603" s="13"/>
      <c r="B603" s="13"/>
      <c r="C603" s="13"/>
      <c r="D603" s="13"/>
      <c r="M603" s="12"/>
    </row>
    <row r="604" spans="1:13" ht="15.75" customHeight="1" x14ac:dyDescent="0.2">
      <c r="A604" s="13"/>
      <c r="B604" s="13"/>
      <c r="C604" s="13"/>
      <c r="D604" s="13"/>
      <c r="M604" s="12"/>
    </row>
    <row r="605" spans="1:13" ht="15.75" customHeight="1" x14ac:dyDescent="0.2">
      <c r="A605" s="13"/>
      <c r="B605" s="13"/>
      <c r="C605" s="13"/>
      <c r="D605" s="13"/>
      <c r="M605" s="12"/>
    </row>
    <row r="606" spans="1:13" ht="15.75" customHeight="1" x14ac:dyDescent="0.2">
      <c r="A606" s="13"/>
      <c r="B606" s="13"/>
      <c r="C606" s="13"/>
      <c r="D606" s="13"/>
      <c r="M606" s="12"/>
    </row>
    <row r="607" spans="1:13" ht="15.75" customHeight="1" x14ac:dyDescent="0.2">
      <c r="A607" s="13"/>
      <c r="B607" s="13"/>
      <c r="C607" s="13"/>
      <c r="D607" s="13"/>
      <c r="M607" s="12"/>
    </row>
    <row r="608" spans="1:13" ht="15.75" customHeight="1" x14ac:dyDescent="0.2">
      <c r="A608" s="13"/>
      <c r="B608" s="13"/>
      <c r="C608" s="13"/>
      <c r="D608" s="13"/>
      <c r="M608" s="12"/>
    </row>
    <row r="609" spans="1:13" ht="15.75" customHeight="1" x14ac:dyDescent="0.2">
      <c r="A609" s="13"/>
      <c r="B609" s="13"/>
      <c r="C609" s="13"/>
      <c r="D609" s="13"/>
      <c r="M609" s="12"/>
    </row>
    <row r="610" spans="1:13" ht="15.75" customHeight="1" x14ac:dyDescent="0.2">
      <c r="A610" s="13"/>
      <c r="B610" s="13"/>
      <c r="C610" s="13"/>
      <c r="D610" s="13"/>
      <c r="M610" s="12"/>
    </row>
    <row r="611" spans="1:13" ht="15.75" customHeight="1" x14ac:dyDescent="0.2">
      <c r="A611" s="13"/>
      <c r="B611" s="13"/>
      <c r="C611" s="13"/>
      <c r="D611" s="13"/>
      <c r="M611" s="12"/>
    </row>
    <row r="612" spans="1:13" ht="15.75" customHeight="1" x14ac:dyDescent="0.2">
      <c r="A612" s="13"/>
      <c r="B612" s="13"/>
      <c r="C612" s="13"/>
      <c r="D612" s="13"/>
      <c r="M612" s="12"/>
    </row>
    <row r="613" spans="1:13" ht="15.75" customHeight="1" x14ac:dyDescent="0.2">
      <c r="A613" s="13"/>
      <c r="B613" s="13"/>
      <c r="C613" s="13"/>
      <c r="D613" s="13"/>
      <c r="M613" s="12"/>
    </row>
    <row r="614" spans="1:13" ht="15.75" customHeight="1" x14ac:dyDescent="0.2">
      <c r="A614" s="13"/>
      <c r="B614" s="13"/>
      <c r="C614" s="13"/>
      <c r="D614" s="13"/>
      <c r="M614" s="12"/>
    </row>
    <row r="615" spans="1:13" ht="15.75" customHeight="1" x14ac:dyDescent="0.2">
      <c r="A615" s="13"/>
      <c r="B615" s="13"/>
      <c r="C615" s="13"/>
      <c r="D615" s="13"/>
      <c r="M615" s="12"/>
    </row>
    <row r="616" spans="1:13" ht="15.75" customHeight="1" x14ac:dyDescent="0.2">
      <c r="A616" s="13"/>
      <c r="B616" s="13"/>
      <c r="C616" s="13"/>
      <c r="D616" s="13"/>
      <c r="M616" s="12"/>
    </row>
    <row r="617" spans="1:13" ht="15.75" customHeight="1" x14ac:dyDescent="0.2">
      <c r="A617" s="13"/>
      <c r="B617" s="13"/>
      <c r="C617" s="13"/>
      <c r="D617" s="13"/>
      <c r="M617" s="12"/>
    </row>
    <row r="618" spans="1:13" ht="15.75" customHeight="1" x14ac:dyDescent="0.2">
      <c r="A618" s="13"/>
      <c r="B618" s="13"/>
      <c r="C618" s="13"/>
      <c r="D618" s="13"/>
      <c r="M618" s="12"/>
    </row>
    <row r="619" spans="1:13" ht="15.75" customHeight="1" x14ac:dyDescent="0.2">
      <c r="A619" s="13"/>
      <c r="B619" s="13"/>
      <c r="C619" s="13"/>
      <c r="D619" s="13"/>
      <c r="M619" s="12"/>
    </row>
    <row r="620" spans="1:13" ht="15.75" customHeight="1" x14ac:dyDescent="0.2">
      <c r="A620" s="13"/>
      <c r="B620" s="13"/>
      <c r="C620" s="13"/>
      <c r="D620" s="13"/>
      <c r="M620" s="12"/>
    </row>
    <row r="621" spans="1:13" ht="15.75" customHeight="1" x14ac:dyDescent="0.2">
      <c r="A621" s="13"/>
      <c r="B621" s="13"/>
      <c r="C621" s="13"/>
      <c r="D621" s="13"/>
      <c r="M621" s="12"/>
    </row>
    <row r="622" spans="1:13" ht="15.75" customHeight="1" x14ac:dyDescent="0.2">
      <c r="A622" s="13"/>
      <c r="B622" s="13"/>
      <c r="C622" s="13"/>
      <c r="D622" s="13"/>
      <c r="M622" s="12"/>
    </row>
    <row r="623" spans="1:13" ht="15.75" customHeight="1" x14ac:dyDescent="0.2">
      <c r="A623" s="13"/>
      <c r="B623" s="13"/>
      <c r="C623" s="13"/>
      <c r="D623" s="13"/>
      <c r="M623" s="12"/>
    </row>
    <row r="624" spans="1:13" ht="15.75" customHeight="1" x14ac:dyDescent="0.2">
      <c r="A624" s="13"/>
      <c r="B624" s="13"/>
      <c r="C624" s="13"/>
      <c r="D624" s="13"/>
      <c r="M624" s="12"/>
    </row>
    <row r="625" spans="1:13" ht="15.75" customHeight="1" x14ac:dyDescent="0.2">
      <c r="A625" s="13"/>
      <c r="B625" s="13"/>
      <c r="C625" s="13"/>
      <c r="D625" s="13"/>
      <c r="M625" s="12"/>
    </row>
    <row r="626" spans="1:13" ht="15.75" customHeight="1" x14ac:dyDescent="0.2">
      <c r="A626" s="13"/>
      <c r="B626" s="13"/>
      <c r="C626" s="13"/>
      <c r="D626" s="13"/>
      <c r="M626" s="12"/>
    </row>
    <row r="627" spans="1:13" ht="15.75" customHeight="1" x14ac:dyDescent="0.2">
      <c r="A627" s="13"/>
      <c r="B627" s="13"/>
      <c r="C627" s="13"/>
      <c r="D627" s="13"/>
      <c r="M627" s="12"/>
    </row>
    <row r="628" spans="1:13" ht="15.75" customHeight="1" x14ac:dyDescent="0.2">
      <c r="A628" s="13"/>
      <c r="B628" s="13"/>
      <c r="C628" s="13"/>
      <c r="D628" s="13"/>
      <c r="M628" s="12"/>
    </row>
    <row r="629" spans="1:13" ht="15.75" customHeight="1" x14ac:dyDescent="0.2">
      <c r="A629" s="13"/>
      <c r="B629" s="13"/>
      <c r="C629" s="13"/>
      <c r="D629" s="13"/>
      <c r="M629" s="12"/>
    </row>
    <row r="630" spans="1:13" ht="15.75" customHeight="1" x14ac:dyDescent="0.2">
      <c r="A630" s="13"/>
      <c r="B630" s="13"/>
      <c r="C630" s="13"/>
      <c r="D630" s="13"/>
      <c r="M630" s="12"/>
    </row>
    <row r="631" spans="1:13" ht="15.75" customHeight="1" x14ac:dyDescent="0.2">
      <c r="A631" s="13"/>
      <c r="B631" s="13"/>
      <c r="C631" s="13"/>
      <c r="D631" s="13"/>
      <c r="M631" s="12"/>
    </row>
    <row r="632" spans="1:13" ht="15.75" customHeight="1" x14ac:dyDescent="0.2">
      <c r="A632" s="13"/>
      <c r="B632" s="13"/>
      <c r="C632" s="13"/>
      <c r="D632" s="13"/>
      <c r="M632" s="12"/>
    </row>
    <row r="633" spans="1:13" ht="15.75" customHeight="1" x14ac:dyDescent="0.2">
      <c r="A633" s="13"/>
      <c r="B633" s="13"/>
      <c r="C633" s="13"/>
      <c r="D633" s="13"/>
      <c r="M633" s="12"/>
    </row>
    <row r="634" spans="1:13" ht="15.75" customHeight="1" x14ac:dyDescent="0.2">
      <c r="A634" s="13"/>
      <c r="B634" s="13"/>
      <c r="C634" s="13"/>
      <c r="D634" s="13"/>
      <c r="M634" s="12"/>
    </row>
    <row r="635" spans="1:13" ht="15.75" customHeight="1" x14ac:dyDescent="0.2">
      <c r="A635" s="13"/>
      <c r="B635" s="13"/>
      <c r="C635" s="13"/>
      <c r="D635" s="13"/>
      <c r="M635" s="12"/>
    </row>
    <row r="636" spans="1:13" ht="15.75" customHeight="1" x14ac:dyDescent="0.2">
      <c r="A636" s="13"/>
      <c r="B636" s="13"/>
      <c r="C636" s="13"/>
      <c r="D636" s="13"/>
      <c r="M636" s="12"/>
    </row>
    <row r="637" spans="1:13" ht="15.75" customHeight="1" x14ac:dyDescent="0.2">
      <c r="A637" s="13"/>
      <c r="B637" s="13"/>
      <c r="C637" s="13"/>
      <c r="D637" s="13"/>
      <c r="M637" s="12"/>
    </row>
    <row r="638" spans="1:13" ht="15.75" customHeight="1" x14ac:dyDescent="0.2">
      <c r="A638" s="13"/>
      <c r="B638" s="13"/>
      <c r="C638" s="13"/>
      <c r="D638" s="13"/>
      <c r="M638" s="12"/>
    </row>
    <row r="639" spans="1:13" ht="15.75" customHeight="1" x14ac:dyDescent="0.2">
      <c r="A639" s="13"/>
      <c r="B639" s="13"/>
      <c r="C639" s="13"/>
      <c r="D639" s="13"/>
      <c r="M639" s="12"/>
    </row>
    <row r="640" spans="1:13" ht="15.75" customHeight="1" x14ac:dyDescent="0.2">
      <c r="A640" s="13"/>
      <c r="B640" s="13"/>
      <c r="C640" s="13"/>
      <c r="D640" s="13"/>
      <c r="M640" s="12"/>
    </row>
    <row r="641" spans="1:13" ht="15.75" customHeight="1" x14ac:dyDescent="0.2">
      <c r="A641" s="13"/>
      <c r="B641" s="13"/>
      <c r="C641" s="13"/>
      <c r="D641" s="13"/>
      <c r="M641" s="12"/>
    </row>
    <row r="642" spans="1:13" ht="15.75" customHeight="1" x14ac:dyDescent="0.2">
      <c r="A642" s="13"/>
      <c r="B642" s="13"/>
      <c r="C642" s="13"/>
      <c r="D642" s="13"/>
      <c r="M642" s="12"/>
    </row>
    <row r="643" spans="1:13" ht="15.75" customHeight="1" x14ac:dyDescent="0.2">
      <c r="A643" s="13"/>
      <c r="B643" s="13"/>
      <c r="C643" s="13"/>
      <c r="D643" s="13"/>
      <c r="M643" s="12"/>
    </row>
    <row r="644" spans="1:13" ht="15.75" customHeight="1" x14ac:dyDescent="0.2">
      <c r="A644" s="13"/>
      <c r="B644" s="13"/>
      <c r="C644" s="13"/>
      <c r="D644" s="13"/>
      <c r="M644" s="12"/>
    </row>
    <row r="645" spans="1:13" ht="15.75" customHeight="1" x14ac:dyDescent="0.2">
      <c r="A645" s="13"/>
      <c r="B645" s="13"/>
      <c r="C645" s="13"/>
      <c r="D645" s="13"/>
      <c r="M645" s="12"/>
    </row>
    <row r="646" spans="1:13" ht="15.75" customHeight="1" x14ac:dyDescent="0.2">
      <c r="A646" s="13"/>
      <c r="B646" s="13"/>
      <c r="C646" s="13"/>
      <c r="D646" s="13"/>
      <c r="M646" s="12"/>
    </row>
    <row r="647" spans="1:13" ht="15.75" customHeight="1" x14ac:dyDescent="0.2">
      <c r="A647" s="13"/>
      <c r="B647" s="13"/>
      <c r="C647" s="13"/>
      <c r="D647" s="13"/>
      <c r="M647" s="12"/>
    </row>
    <row r="648" spans="1:13" ht="15.75" customHeight="1" x14ac:dyDescent="0.2">
      <c r="A648" s="13"/>
      <c r="B648" s="13"/>
      <c r="C648" s="13"/>
      <c r="D648" s="13"/>
      <c r="M648" s="12"/>
    </row>
    <row r="649" spans="1:13" ht="15.75" customHeight="1" x14ac:dyDescent="0.2">
      <c r="A649" s="13"/>
      <c r="B649" s="13"/>
      <c r="C649" s="13"/>
      <c r="D649" s="13"/>
      <c r="M649" s="12"/>
    </row>
    <row r="650" spans="1:13" ht="15.75" customHeight="1" x14ac:dyDescent="0.2">
      <c r="A650" s="13"/>
      <c r="B650" s="13"/>
      <c r="C650" s="13"/>
      <c r="D650" s="13"/>
      <c r="M650" s="12"/>
    </row>
    <row r="651" spans="1:13" ht="15.75" customHeight="1" x14ac:dyDescent="0.2">
      <c r="A651" s="13"/>
      <c r="B651" s="13"/>
      <c r="C651" s="13"/>
      <c r="D651" s="13"/>
      <c r="M651" s="12"/>
    </row>
    <row r="652" spans="1:13" ht="15.75" customHeight="1" x14ac:dyDescent="0.2">
      <c r="A652" s="13"/>
      <c r="B652" s="13"/>
      <c r="C652" s="13"/>
      <c r="D652" s="13"/>
      <c r="M652" s="12"/>
    </row>
    <row r="653" spans="1:13" ht="15.75" customHeight="1" x14ac:dyDescent="0.2">
      <c r="A653" s="13"/>
      <c r="B653" s="13"/>
      <c r="C653" s="13"/>
      <c r="D653" s="13"/>
      <c r="M653" s="12"/>
    </row>
    <row r="654" spans="1:13" ht="15.75" customHeight="1" x14ac:dyDescent="0.2">
      <c r="A654" s="13"/>
      <c r="B654" s="13"/>
      <c r="C654" s="13"/>
      <c r="D654" s="13"/>
      <c r="M654" s="12"/>
    </row>
    <row r="655" spans="1:13" ht="15.75" customHeight="1" x14ac:dyDescent="0.2">
      <c r="A655" s="13"/>
      <c r="B655" s="13"/>
      <c r="C655" s="13"/>
      <c r="D655" s="13"/>
      <c r="M655" s="12"/>
    </row>
    <row r="656" spans="1:13" ht="15.75" customHeight="1" x14ac:dyDescent="0.2">
      <c r="A656" s="13"/>
      <c r="B656" s="13"/>
      <c r="C656" s="13"/>
      <c r="D656" s="13"/>
      <c r="M656" s="12"/>
    </row>
    <row r="657" spans="1:13" ht="15.75" customHeight="1" x14ac:dyDescent="0.2">
      <c r="A657" s="13"/>
      <c r="B657" s="13"/>
      <c r="C657" s="13"/>
      <c r="D657" s="13"/>
      <c r="M657" s="12"/>
    </row>
    <row r="658" spans="1:13" ht="15.75" customHeight="1" x14ac:dyDescent="0.2">
      <c r="A658" s="13"/>
      <c r="B658" s="13"/>
      <c r="C658" s="13"/>
      <c r="D658" s="13"/>
      <c r="M658" s="12"/>
    </row>
    <row r="659" spans="1:13" ht="15.75" customHeight="1" x14ac:dyDescent="0.2">
      <c r="A659" s="13"/>
      <c r="B659" s="13"/>
      <c r="C659" s="13"/>
      <c r="D659" s="13"/>
      <c r="M659" s="12"/>
    </row>
    <row r="660" spans="1:13" ht="15.75" customHeight="1" x14ac:dyDescent="0.2">
      <c r="A660" s="13"/>
      <c r="B660" s="13"/>
      <c r="C660" s="13"/>
      <c r="D660" s="13"/>
      <c r="M660" s="12"/>
    </row>
    <row r="661" spans="1:13" ht="15.75" customHeight="1" x14ac:dyDescent="0.2">
      <c r="A661" s="13"/>
      <c r="B661" s="13"/>
      <c r="C661" s="13"/>
      <c r="D661" s="13"/>
      <c r="M661" s="12"/>
    </row>
    <row r="662" spans="1:13" ht="15.75" customHeight="1" x14ac:dyDescent="0.2">
      <c r="A662" s="13"/>
      <c r="B662" s="13"/>
      <c r="C662" s="13"/>
      <c r="D662" s="13"/>
      <c r="M662" s="12"/>
    </row>
    <row r="663" spans="1:13" ht="15.75" customHeight="1" x14ac:dyDescent="0.2">
      <c r="A663" s="13"/>
      <c r="B663" s="13"/>
      <c r="C663" s="13"/>
      <c r="D663" s="13"/>
      <c r="M663" s="12"/>
    </row>
    <row r="664" spans="1:13" ht="15.75" customHeight="1" x14ac:dyDescent="0.2">
      <c r="A664" s="13"/>
      <c r="B664" s="13"/>
      <c r="C664" s="13"/>
      <c r="D664" s="13"/>
      <c r="M664" s="12"/>
    </row>
    <row r="665" spans="1:13" ht="15.75" customHeight="1" x14ac:dyDescent="0.2">
      <c r="A665" s="13"/>
      <c r="B665" s="13"/>
      <c r="C665" s="13"/>
      <c r="D665" s="13"/>
      <c r="M665" s="12"/>
    </row>
    <row r="666" spans="1:13" ht="15.75" customHeight="1" x14ac:dyDescent="0.2">
      <c r="A666" s="13"/>
      <c r="B666" s="13"/>
      <c r="C666" s="13"/>
      <c r="D666" s="13"/>
      <c r="M666" s="12"/>
    </row>
    <row r="667" spans="1:13" ht="15.75" customHeight="1" x14ac:dyDescent="0.2">
      <c r="A667" s="13"/>
      <c r="B667" s="13"/>
      <c r="C667" s="13"/>
      <c r="D667" s="13"/>
      <c r="M667" s="12"/>
    </row>
    <row r="668" spans="1:13" ht="15.75" customHeight="1" x14ac:dyDescent="0.2">
      <c r="A668" s="13"/>
      <c r="B668" s="13"/>
      <c r="C668" s="13"/>
      <c r="D668" s="13"/>
      <c r="M668" s="12"/>
    </row>
    <row r="669" spans="1:13" ht="15.75" customHeight="1" x14ac:dyDescent="0.2">
      <c r="A669" s="13"/>
      <c r="B669" s="13"/>
      <c r="C669" s="13"/>
      <c r="D669" s="13"/>
      <c r="M669" s="12"/>
    </row>
    <row r="670" spans="1:13" ht="15.75" customHeight="1" x14ac:dyDescent="0.2">
      <c r="A670" s="13"/>
      <c r="B670" s="13"/>
      <c r="C670" s="13"/>
      <c r="D670" s="13"/>
      <c r="M670" s="12"/>
    </row>
    <row r="671" spans="1:13" ht="15.75" customHeight="1" x14ac:dyDescent="0.2">
      <c r="A671" s="13"/>
      <c r="B671" s="13"/>
      <c r="C671" s="13"/>
      <c r="D671" s="13"/>
      <c r="M671" s="12"/>
    </row>
    <row r="672" spans="1:13" ht="15.75" customHeight="1" x14ac:dyDescent="0.2">
      <c r="A672" s="13"/>
      <c r="B672" s="13"/>
      <c r="C672" s="13"/>
      <c r="D672" s="13"/>
      <c r="M672" s="12"/>
    </row>
    <row r="673" spans="1:13" ht="15.75" customHeight="1" x14ac:dyDescent="0.2">
      <c r="A673" s="13"/>
      <c r="B673" s="13"/>
      <c r="C673" s="13"/>
      <c r="D673" s="13"/>
      <c r="M673" s="12"/>
    </row>
    <row r="674" spans="1:13" ht="15.75" customHeight="1" x14ac:dyDescent="0.2">
      <c r="A674" s="13"/>
      <c r="B674" s="13"/>
      <c r="C674" s="13"/>
      <c r="D674" s="13"/>
      <c r="M674" s="12"/>
    </row>
    <row r="675" spans="1:13" ht="15.75" customHeight="1" x14ac:dyDescent="0.2">
      <c r="A675" s="13"/>
      <c r="B675" s="13"/>
      <c r="C675" s="13"/>
      <c r="D675" s="13"/>
      <c r="M675" s="12"/>
    </row>
    <row r="676" spans="1:13" ht="15.75" customHeight="1" x14ac:dyDescent="0.2">
      <c r="A676" s="13"/>
      <c r="B676" s="13"/>
      <c r="C676" s="13"/>
      <c r="D676" s="13"/>
      <c r="M676" s="12"/>
    </row>
    <row r="677" spans="1:13" ht="15.75" customHeight="1" x14ac:dyDescent="0.2">
      <c r="A677" s="13"/>
      <c r="B677" s="13"/>
      <c r="C677" s="13"/>
      <c r="D677" s="13"/>
      <c r="M677" s="12"/>
    </row>
    <row r="678" spans="1:13" ht="15.75" customHeight="1" x14ac:dyDescent="0.2">
      <c r="A678" s="13"/>
      <c r="B678" s="13"/>
      <c r="C678" s="13"/>
      <c r="D678" s="13"/>
      <c r="M678" s="12"/>
    </row>
    <row r="679" spans="1:13" ht="15.75" customHeight="1" x14ac:dyDescent="0.2">
      <c r="A679" s="13"/>
      <c r="B679" s="13"/>
      <c r="C679" s="13"/>
      <c r="D679" s="13"/>
      <c r="M679" s="12"/>
    </row>
    <row r="680" spans="1:13" ht="15.75" customHeight="1" x14ac:dyDescent="0.2">
      <c r="A680" s="13"/>
      <c r="B680" s="13"/>
      <c r="C680" s="13"/>
      <c r="D680" s="13"/>
      <c r="M680" s="12"/>
    </row>
    <row r="681" spans="1:13" ht="15.75" customHeight="1" x14ac:dyDescent="0.2">
      <c r="A681" s="13"/>
      <c r="B681" s="13"/>
      <c r="C681" s="13"/>
      <c r="D681" s="13"/>
      <c r="M681" s="12"/>
    </row>
    <row r="682" spans="1:13" ht="15.75" customHeight="1" x14ac:dyDescent="0.2">
      <c r="A682" s="13"/>
      <c r="B682" s="13"/>
      <c r="C682" s="13"/>
      <c r="D682" s="13"/>
      <c r="M682" s="12"/>
    </row>
    <row r="683" spans="1:13" ht="15.75" customHeight="1" x14ac:dyDescent="0.2">
      <c r="A683" s="13"/>
      <c r="B683" s="13"/>
      <c r="C683" s="13"/>
      <c r="D683" s="13"/>
      <c r="M683" s="12"/>
    </row>
    <row r="684" spans="1:13" ht="15.75" customHeight="1" x14ac:dyDescent="0.2">
      <c r="A684" s="13"/>
      <c r="B684" s="13"/>
      <c r="C684" s="13"/>
      <c r="D684" s="13"/>
      <c r="M684" s="12"/>
    </row>
    <row r="685" spans="1:13" ht="15.75" customHeight="1" x14ac:dyDescent="0.2">
      <c r="A685" s="13"/>
      <c r="B685" s="13"/>
      <c r="C685" s="13"/>
      <c r="D685" s="13"/>
      <c r="M685" s="12"/>
    </row>
    <row r="686" spans="1:13" ht="15.75" customHeight="1" x14ac:dyDescent="0.2">
      <c r="A686" s="13"/>
      <c r="B686" s="13"/>
      <c r="C686" s="13"/>
      <c r="D686" s="13"/>
      <c r="M686" s="12"/>
    </row>
    <row r="687" spans="1:13" ht="15.75" customHeight="1" x14ac:dyDescent="0.2">
      <c r="A687" s="13"/>
      <c r="B687" s="13"/>
      <c r="C687" s="13"/>
      <c r="D687" s="13"/>
      <c r="M687" s="12"/>
    </row>
    <row r="688" spans="1:13" ht="15.75" customHeight="1" x14ac:dyDescent="0.2">
      <c r="A688" s="13"/>
      <c r="B688" s="13"/>
      <c r="C688" s="13"/>
      <c r="D688" s="13"/>
      <c r="M688" s="12"/>
    </row>
    <row r="689" spans="1:13" ht="15.75" customHeight="1" x14ac:dyDescent="0.2">
      <c r="A689" s="13"/>
      <c r="B689" s="13"/>
      <c r="C689" s="13"/>
      <c r="D689" s="13"/>
      <c r="M689" s="12"/>
    </row>
    <row r="690" spans="1:13" ht="15.75" customHeight="1" x14ac:dyDescent="0.2">
      <c r="A690" s="13"/>
      <c r="B690" s="13"/>
      <c r="C690" s="13"/>
      <c r="D690" s="13"/>
      <c r="M690" s="12"/>
    </row>
    <row r="691" spans="1:13" ht="15.75" customHeight="1" x14ac:dyDescent="0.2">
      <c r="A691" s="13"/>
      <c r="B691" s="13"/>
      <c r="C691" s="13"/>
      <c r="D691" s="13"/>
      <c r="M691" s="12"/>
    </row>
    <row r="692" spans="1:13" ht="15.75" customHeight="1" x14ac:dyDescent="0.2">
      <c r="A692" s="13"/>
      <c r="B692" s="13"/>
      <c r="C692" s="13"/>
      <c r="D692" s="13"/>
      <c r="M692" s="12"/>
    </row>
    <row r="693" spans="1:13" ht="15.75" customHeight="1" x14ac:dyDescent="0.2">
      <c r="A693" s="13"/>
      <c r="B693" s="13"/>
      <c r="C693" s="13"/>
      <c r="D693" s="13"/>
      <c r="M693" s="12"/>
    </row>
    <row r="694" spans="1:13" ht="15.75" customHeight="1" x14ac:dyDescent="0.2">
      <c r="A694" s="13"/>
      <c r="B694" s="13"/>
      <c r="C694" s="13"/>
      <c r="D694" s="13"/>
      <c r="M694" s="12"/>
    </row>
    <row r="695" spans="1:13" ht="15.75" customHeight="1" x14ac:dyDescent="0.2">
      <c r="A695" s="13"/>
      <c r="B695" s="13"/>
      <c r="C695" s="13"/>
      <c r="D695" s="13"/>
      <c r="M695" s="12"/>
    </row>
    <row r="696" spans="1:13" ht="15.75" customHeight="1" x14ac:dyDescent="0.2">
      <c r="A696" s="13"/>
      <c r="B696" s="13"/>
      <c r="C696" s="13"/>
      <c r="D696" s="13"/>
      <c r="M696" s="12"/>
    </row>
    <row r="697" spans="1:13" ht="15.75" customHeight="1" x14ac:dyDescent="0.2">
      <c r="A697" s="13"/>
      <c r="B697" s="13"/>
      <c r="C697" s="13"/>
      <c r="D697" s="13"/>
      <c r="M697" s="12"/>
    </row>
    <row r="698" spans="1:13" ht="15.75" customHeight="1" x14ac:dyDescent="0.2">
      <c r="A698" s="13"/>
      <c r="B698" s="13"/>
      <c r="C698" s="13"/>
      <c r="D698" s="13"/>
      <c r="M698" s="12"/>
    </row>
    <row r="699" spans="1:13" ht="15.75" customHeight="1" x14ac:dyDescent="0.2">
      <c r="A699" s="13"/>
      <c r="B699" s="13"/>
      <c r="C699" s="13"/>
      <c r="D699" s="13"/>
      <c r="M699" s="12"/>
    </row>
    <row r="700" spans="1:13" ht="15.75" customHeight="1" x14ac:dyDescent="0.2">
      <c r="A700" s="13"/>
      <c r="B700" s="13"/>
      <c r="C700" s="13"/>
      <c r="D700" s="13"/>
      <c r="M700" s="12"/>
    </row>
    <row r="701" spans="1:13" ht="15.75" customHeight="1" x14ac:dyDescent="0.2">
      <c r="A701" s="13"/>
      <c r="B701" s="13"/>
      <c r="C701" s="13"/>
      <c r="D701" s="13"/>
      <c r="M701" s="12"/>
    </row>
    <row r="702" spans="1:13" ht="15.75" customHeight="1" x14ac:dyDescent="0.2">
      <c r="A702" s="13"/>
      <c r="B702" s="13"/>
      <c r="C702" s="13"/>
      <c r="D702" s="13"/>
      <c r="M702" s="12"/>
    </row>
    <row r="703" spans="1:13" ht="15.75" customHeight="1" x14ac:dyDescent="0.2">
      <c r="A703" s="13"/>
      <c r="B703" s="13"/>
      <c r="C703" s="13"/>
      <c r="D703" s="13"/>
      <c r="M703" s="12"/>
    </row>
    <row r="704" spans="1:13" ht="15.75" customHeight="1" x14ac:dyDescent="0.2">
      <c r="A704" s="13"/>
      <c r="B704" s="13"/>
      <c r="C704" s="13"/>
      <c r="D704" s="13"/>
      <c r="M704" s="12"/>
    </row>
    <row r="705" spans="1:13" ht="15.75" customHeight="1" x14ac:dyDescent="0.2">
      <c r="A705" s="13"/>
      <c r="B705" s="13"/>
      <c r="C705" s="13"/>
      <c r="D705" s="13"/>
      <c r="M705" s="12"/>
    </row>
    <row r="706" spans="1:13" ht="15.75" customHeight="1" x14ac:dyDescent="0.2">
      <c r="A706" s="13"/>
      <c r="B706" s="13"/>
      <c r="C706" s="13"/>
      <c r="D706" s="13"/>
      <c r="M706" s="12"/>
    </row>
    <row r="707" spans="1:13" ht="15.75" customHeight="1" x14ac:dyDescent="0.2">
      <c r="A707" s="13"/>
      <c r="B707" s="13"/>
      <c r="C707" s="13"/>
      <c r="D707" s="13"/>
      <c r="M707" s="12"/>
    </row>
    <row r="708" spans="1:13" ht="15.75" customHeight="1" x14ac:dyDescent="0.2">
      <c r="A708" s="13"/>
      <c r="B708" s="13"/>
      <c r="C708" s="13"/>
      <c r="D708" s="13"/>
      <c r="M708" s="12"/>
    </row>
    <row r="709" spans="1:13" ht="15.75" customHeight="1" x14ac:dyDescent="0.2">
      <c r="A709" s="13"/>
      <c r="B709" s="13"/>
      <c r="C709" s="13"/>
      <c r="D709" s="13"/>
      <c r="M709" s="12"/>
    </row>
    <row r="710" spans="1:13" ht="15.75" customHeight="1" x14ac:dyDescent="0.2">
      <c r="A710" s="13"/>
      <c r="B710" s="13"/>
      <c r="C710" s="13"/>
      <c r="D710" s="13"/>
      <c r="M710" s="12"/>
    </row>
    <row r="711" spans="1:13" ht="15.75" customHeight="1" x14ac:dyDescent="0.2">
      <c r="A711" s="13"/>
      <c r="B711" s="13"/>
      <c r="C711" s="13"/>
      <c r="D711" s="13"/>
      <c r="M711" s="12"/>
    </row>
    <row r="712" spans="1:13" ht="15.75" customHeight="1" x14ac:dyDescent="0.2">
      <c r="A712" s="13"/>
      <c r="B712" s="13"/>
      <c r="C712" s="13"/>
      <c r="D712" s="13"/>
      <c r="M712" s="12"/>
    </row>
    <row r="713" spans="1:13" ht="15.75" customHeight="1" x14ac:dyDescent="0.2">
      <c r="A713" s="13"/>
      <c r="B713" s="13"/>
      <c r="C713" s="13"/>
      <c r="D713" s="13"/>
      <c r="M713" s="12"/>
    </row>
    <row r="714" spans="1:13" ht="15.75" customHeight="1" x14ac:dyDescent="0.2">
      <c r="A714" s="13"/>
      <c r="B714" s="13"/>
      <c r="C714" s="13"/>
      <c r="D714" s="13"/>
      <c r="M714" s="12"/>
    </row>
    <row r="715" spans="1:13" ht="15.75" customHeight="1" x14ac:dyDescent="0.2">
      <c r="A715" s="13"/>
      <c r="B715" s="13"/>
      <c r="C715" s="13"/>
      <c r="D715" s="13"/>
      <c r="M715" s="12"/>
    </row>
    <row r="716" spans="1:13" ht="15.75" customHeight="1" x14ac:dyDescent="0.2">
      <c r="A716" s="13"/>
      <c r="B716" s="13"/>
      <c r="C716" s="13"/>
      <c r="D716" s="13"/>
      <c r="M716" s="12"/>
    </row>
    <row r="717" spans="1:13" ht="15.75" customHeight="1" x14ac:dyDescent="0.2">
      <c r="A717" s="13"/>
      <c r="B717" s="13"/>
      <c r="C717" s="13"/>
      <c r="D717" s="13"/>
      <c r="M717" s="12"/>
    </row>
    <row r="718" spans="1:13" ht="15.75" customHeight="1" x14ac:dyDescent="0.2">
      <c r="A718" s="13"/>
      <c r="B718" s="13"/>
      <c r="C718" s="13"/>
      <c r="D718" s="13"/>
      <c r="M718" s="12"/>
    </row>
    <row r="719" spans="1:13" ht="15.75" customHeight="1" x14ac:dyDescent="0.2">
      <c r="A719" s="13"/>
      <c r="B719" s="13"/>
      <c r="C719" s="13"/>
      <c r="D719" s="13"/>
      <c r="M719" s="12"/>
    </row>
    <row r="720" spans="1:13" ht="15.75" customHeight="1" x14ac:dyDescent="0.2">
      <c r="A720" s="13"/>
      <c r="B720" s="13"/>
      <c r="C720" s="13"/>
      <c r="D720" s="13"/>
      <c r="M720" s="12"/>
    </row>
    <row r="721" spans="1:13" ht="15.75" customHeight="1" x14ac:dyDescent="0.2">
      <c r="A721" s="13"/>
      <c r="B721" s="13"/>
      <c r="C721" s="13"/>
      <c r="D721" s="13"/>
      <c r="M721" s="12"/>
    </row>
    <row r="722" spans="1:13" ht="15.75" customHeight="1" x14ac:dyDescent="0.2">
      <c r="A722" s="13"/>
      <c r="B722" s="13"/>
      <c r="C722" s="13"/>
      <c r="D722" s="13"/>
      <c r="M722" s="12"/>
    </row>
    <row r="723" spans="1:13" ht="15.75" customHeight="1" x14ac:dyDescent="0.2">
      <c r="A723" s="13"/>
      <c r="B723" s="13"/>
      <c r="C723" s="13"/>
      <c r="D723" s="13"/>
      <c r="M723" s="12"/>
    </row>
    <row r="724" spans="1:13" ht="15.75" customHeight="1" x14ac:dyDescent="0.2">
      <c r="A724" s="13"/>
      <c r="B724" s="13"/>
      <c r="C724" s="13"/>
      <c r="D724" s="13"/>
      <c r="M724" s="12"/>
    </row>
    <row r="725" spans="1:13" ht="15.75" customHeight="1" x14ac:dyDescent="0.2">
      <c r="A725" s="13"/>
      <c r="B725" s="13"/>
      <c r="C725" s="13"/>
      <c r="D725" s="13"/>
      <c r="M725" s="12"/>
    </row>
    <row r="726" spans="1:13" ht="15.75" customHeight="1" x14ac:dyDescent="0.2">
      <c r="A726" s="13"/>
      <c r="B726" s="13"/>
      <c r="C726" s="13"/>
      <c r="D726" s="13"/>
      <c r="M726" s="12"/>
    </row>
    <row r="727" spans="1:13" ht="15.75" customHeight="1" x14ac:dyDescent="0.2">
      <c r="A727" s="13"/>
      <c r="B727" s="13"/>
      <c r="C727" s="13"/>
      <c r="D727" s="13"/>
      <c r="M727" s="12"/>
    </row>
    <row r="728" spans="1:13" ht="15.75" customHeight="1" x14ac:dyDescent="0.2">
      <c r="A728" s="13"/>
      <c r="B728" s="13"/>
      <c r="C728" s="13"/>
      <c r="D728" s="13"/>
      <c r="M728" s="12"/>
    </row>
    <row r="729" spans="1:13" ht="15.75" customHeight="1" x14ac:dyDescent="0.2">
      <c r="A729" s="13"/>
      <c r="B729" s="13"/>
      <c r="C729" s="13"/>
      <c r="D729" s="13"/>
      <c r="M729" s="12"/>
    </row>
    <row r="730" spans="1:13" ht="15.75" customHeight="1" x14ac:dyDescent="0.2">
      <c r="A730" s="13"/>
      <c r="B730" s="13"/>
      <c r="C730" s="13"/>
      <c r="D730" s="13"/>
      <c r="M730" s="12"/>
    </row>
    <row r="731" spans="1:13" ht="15.75" customHeight="1" x14ac:dyDescent="0.2">
      <c r="A731" s="13"/>
      <c r="B731" s="13"/>
      <c r="C731" s="13"/>
      <c r="D731" s="13"/>
      <c r="M731" s="12"/>
    </row>
    <row r="732" spans="1:13" ht="15.75" customHeight="1" x14ac:dyDescent="0.2">
      <c r="A732" s="13"/>
      <c r="B732" s="13"/>
      <c r="C732" s="13"/>
      <c r="D732" s="13"/>
      <c r="M732" s="12"/>
    </row>
    <row r="733" spans="1:13" ht="15.75" customHeight="1" x14ac:dyDescent="0.2">
      <c r="A733" s="13"/>
      <c r="B733" s="13"/>
      <c r="C733" s="13"/>
      <c r="D733" s="13"/>
      <c r="M733" s="12"/>
    </row>
    <row r="734" spans="1:13" ht="15.75" customHeight="1" x14ac:dyDescent="0.2">
      <c r="A734" s="13"/>
      <c r="B734" s="13"/>
      <c r="C734" s="13"/>
      <c r="D734" s="13"/>
      <c r="M734" s="12"/>
    </row>
    <row r="735" spans="1:13" ht="15.75" customHeight="1" x14ac:dyDescent="0.2">
      <c r="A735" s="13"/>
      <c r="B735" s="13"/>
      <c r="C735" s="13"/>
      <c r="D735" s="13"/>
      <c r="M735" s="12"/>
    </row>
    <row r="736" spans="1:13" ht="15.75" customHeight="1" x14ac:dyDescent="0.2">
      <c r="A736" s="13"/>
      <c r="B736" s="13"/>
      <c r="C736" s="13"/>
      <c r="D736" s="13"/>
      <c r="M736" s="12"/>
    </row>
    <row r="737" spans="1:13" ht="15.75" customHeight="1" x14ac:dyDescent="0.2">
      <c r="A737" s="13"/>
      <c r="B737" s="13"/>
      <c r="C737" s="13"/>
      <c r="D737" s="13"/>
      <c r="M737" s="12"/>
    </row>
    <row r="738" spans="1:13" ht="15.75" customHeight="1" x14ac:dyDescent="0.2">
      <c r="A738" s="13"/>
      <c r="B738" s="13"/>
      <c r="C738" s="13"/>
      <c r="D738" s="13"/>
      <c r="M738" s="12"/>
    </row>
    <row r="739" spans="1:13" ht="15.75" customHeight="1" x14ac:dyDescent="0.2">
      <c r="A739" s="13"/>
      <c r="B739" s="13"/>
      <c r="C739" s="13"/>
      <c r="D739" s="13"/>
      <c r="M739" s="12"/>
    </row>
    <row r="740" spans="1:13" ht="15.75" customHeight="1" x14ac:dyDescent="0.2">
      <c r="A740" s="13"/>
      <c r="B740" s="13"/>
      <c r="C740" s="13"/>
      <c r="D740" s="13"/>
      <c r="M740" s="12"/>
    </row>
    <row r="741" spans="1:13" ht="15.75" customHeight="1" x14ac:dyDescent="0.2">
      <c r="A741" s="13"/>
      <c r="B741" s="13"/>
      <c r="C741" s="13"/>
      <c r="D741" s="13"/>
      <c r="M741" s="12"/>
    </row>
    <row r="742" spans="1:13" ht="15.75" customHeight="1" x14ac:dyDescent="0.2">
      <c r="A742" s="13"/>
      <c r="B742" s="13"/>
      <c r="C742" s="13"/>
      <c r="D742" s="13"/>
      <c r="M742" s="12"/>
    </row>
    <row r="743" spans="1:13" ht="15.75" customHeight="1" x14ac:dyDescent="0.2">
      <c r="A743" s="13"/>
      <c r="B743" s="13"/>
      <c r="C743" s="13"/>
      <c r="D743" s="13"/>
      <c r="M743" s="12"/>
    </row>
    <row r="744" spans="1:13" ht="15.75" customHeight="1" x14ac:dyDescent="0.2">
      <c r="A744" s="13"/>
      <c r="B744" s="13"/>
      <c r="C744" s="13"/>
      <c r="D744" s="13"/>
      <c r="M744" s="12"/>
    </row>
    <row r="745" spans="1:13" ht="15.75" customHeight="1" x14ac:dyDescent="0.2">
      <c r="A745" s="13"/>
      <c r="B745" s="13"/>
      <c r="C745" s="13"/>
      <c r="D745" s="13"/>
      <c r="M745" s="12"/>
    </row>
    <row r="746" spans="1:13" ht="15.75" customHeight="1" x14ac:dyDescent="0.2">
      <c r="A746" s="13"/>
      <c r="B746" s="13"/>
      <c r="C746" s="13"/>
      <c r="D746" s="13"/>
      <c r="M746" s="12"/>
    </row>
    <row r="747" spans="1:13" ht="15.75" customHeight="1" x14ac:dyDescent="0.2">
      <c r="A747" s="13"/>
      <c r="B747" s="13"/>
      <c r="C747" s="13"/>
      <c r="D747" s="13"/>
      <c r="M747" s="12"/>
    </row>
    <row r="748" spans="1:13" ht="15.75" customHeight="1" x14ac:dyDescent="0.2">
      <c r="A748" s="13"/>
      <c r="B748" s="13"/>
      <c r="C748" s="13"/>
      <c r="D748" s="13"/>
      <c r="M748" s="12"/>
    </row>
    <row r="749" spans="1:13" ht="15.75" customHeight="1" x14ac:dyDescent="0.2">
      <c r="A749" s="13"/>
      <c r="B749" s="13"/>
      <c r="C749" s="13"/>
      <c r="D749" s="13"/>
      <c r="M749" s="12"/>
    </row>
    <row r="750" spans="1:13" ht="15.75" customHeight="1" x14ac:dyDescent="0.2">
      <c r="A750" s="13"/>
      <c r="B750" s="13"/>
      <c r="C750" s="13"/>
      <c r="D750" s="13"/>
      <c r="M750" s="12"/>
    </row>
    <row r="751" spans="1:13" ht="15.75" customHeight="1" x14ac:dyDescent="0.2">
      <c r="A751" s="13"/>
      <c r="B751" s="13"/>
      <c r="C751" s="13"/>
      <c r="D751" s="13"/>
      <c r="M751" s="12"/>
    </row>
    <row r="752" spans="1:13" ht="15.75" customHeight="1" x14ac:dyDescent="0.2">
      <c r="A752" s="13"/>
      <c r="B752" s="13"/>
      <c r="C752" s="13"/>
      <c r="D752" s="13"/>
      <c r="M752" s="12"/>
    </row>
    <row r="753" spans="1:13" ht="15.75" customHeight="1" x14ac:dyDescent="0.2">
      <c r="A753" s="13"/>
      <c r="B753" s="13"/>
      <c r="C753" s="13"/>
      <c r="D753" s="13"/>
      <c r="M753" s="12"/>
    </row>
    <row r="754" spans="1:13" ht="15.75" customHeight="1" x14ac:dyDescent="0.2">
      <c r="A754" s="13"/>
      <c r="B754" s="13"/>
      <c r="C754" s="13"/>
      <c r="D754" s="13"/>
      <c r="M754" s="12"/>
    </row>
    <row r="755" spans="1:13" ht="15.75" customHeight="1" x14ac:dyDescent="0.2">
      <c r="A755" s="13"/>
      <c r="B755" s="13"/>
      <c r="C755" s="13"/>
      <c r="D755" s="13"/>
      <c r="M755" s="12"/>
    </row>
    <row r="756" spans="1:13" ht="15.75" customHeight="1" x14ac:dyDescent="0.2">
      <c r="A756" s="13"/>
      <c r="B756" s="13"/>
      <c r="C756" s="13"/>
      <c r="D756" s="13"/>
      <c r="M756" s="12"/>
    </row>
    <row r="757" spans="1:13" ht="15.75" customHeight="1" x14ac:dyDescent="0.2">
      <c r="A757" s="13"/>
      <c r="B757" s="13"/>
      <c r="C757" s="13"/>
      <c r="D757" s="13"/>
      <c r="M757" s="12"/>
    </row>
    <row r="758" spans="1:13" ht="15.75" customHeight="1" x14ac:dyDescent="0.2">
      <c r="A758" s="13"/>
      <c r="B758" s="13"/>
      <c r="C758" s="13"/>
      <c r="D758" s="13"/>
      <c r="M758" s="12"/>
    </row>
    <row r="759" spans="1:13" ht="15.75" customHeight="1" x14ac:dyDescent="0.2">
      <c r="A759" s="13"/>
      <c r="B759" s="13"/>
      <c r="C759" s="13"/>
      <c r="D759" s="13"/>
      <c r="M759" s="12"/>
    </row>
    <row r="760" spans="1:13" ht="15.75" customHeight="1" x14ac:dyDescent="0.2">
      <c r="A760" s="13"/>
      <c r="B760" s="13"/>
      <c r="C760" s="13"/>
      <c r="D760" s="13"/>
      <c r="M760" s="12"/>
    </row>
    <row r="761" spans="1:13" ht="15.75" customHeight="1" x14ac:dyDescent="0.2">
      <c r="A761" s="13"/>
      <c r="B761" s="13"/>
      <c r="C761" s="13"/>
      <c r="D761" s="13"/>
      <c r="M761" s="12"/>
    </row>
    <row r="762" spans="1:13" ht="15.75" customHeight="1" x14ac:dyDescent="0.2">
      <c r="A762" s="13"/>
      <c r="B762" s="13"/>
      <c r="C762" s="13"/>
      <c r="D762" s="13"/>
      <c r="M762" s="12"/>
    </row>
    <row r="763" spans="1:13" ht="15.75" customHeight="1" x14ac:dyDescent="0.2">
      <c r="A763" s="13"/>
      <c r="B763" s="13"/>
      <c r="C763" s="13"/>
      <c r="D763" s="13"/>
      <c r="M763" s="12"/>
    </row>
    <row r="764" spans="1:13" ht="15.75" customHeight="1" x14ac:dyDescent="0.2">
      <c r="A764" s="13"/>
      <c r="B764" s="13"/>
      <c r="C764" s="13"/>
      <c r="D764" s="13"/>
      <c r="M764" s="12"/>
    </row>
    <row r="765" spans="1:13" ht="15.75" customHeight="1" x14ac:dyDescent="0.2">
      <c r="A765" s="13"/>
      <c r="B765" s="13"/>
      <c r="C765" s="13"/>
      <c r="D765" s="13"/>
      <c r="M765" s="12"/>
    </row>
    <row r="766" spans="1:13" ht="15.75" customHeight="1" x14ac:dyDescent="0.2">
      <c r="A766" s="13"/>
      <c r="B766" s="13"/>
      <c r="C766" s="13"/>
      <c r="D766" s="13"/>
      <c r="M766" s="12"/>
    </row>
    <row r="767" spans="1:13" ht="15.75" customHeight="1" x14ac:dyDescent="0.2">
      <c r="A767" s="13"/>
      <c r="B767" s="13"/>
      <c r="C767" s="13"/>
      <c r="D767" s="13"/>
      <c r="M767" s="12"/>
    </row>
    <row r="768" spans="1:13" ht="15.75" customHeight="1" x14ac:dyDescent="0.2">
      <c r="A768" s="13"/>
      <c r="B768" s="13"/>
      <c r="C768" s="13"/>
      <c r="D768" s="13"/>
      <c r="M768" s="12"/>
    </row>
    <row r="769" spans="1:13" ht="15.75" customHeight="1" x14ac:dyDescent="0.2">
      <c r="A769" s="13"/>
      <c r="B769" s="13"/>
      <c r="C769" s="13"/>
      <c r="D769" s="13"/>
      <c r="M769" s="12"/>
    </row>
    <row r="770" spans="1:13" ht="15.75" customHeight="1" x14ac:dyDescent="0.2">
      <c r="A770" s="13"/>
      <c r="B770" s="13"/>
      <c r="C770" s="13"/>
      <c r="D770" s="13"/>
      <c r="M770" s="12"/>
    </row>
    <row r="771" spans="1:13" ht="15.75" customHeight="1" x14ac:dyDescent="0.2">
      <c r="A771" s="13"/>
      <c r="B771" s="13"/>
      <c r="C771" s="13"/>
      <c r="D771" s="13"/>
      <c r="M771" s="12"/>
    </row>
    <row r="772" spans="1:13" ht="15.75" customHeight="1" x14ac:dyDescent="0.2">
      <c r="A772" s="13"/>
      <c r="B772" s="13"/>
      <c r="C772" s="13"/>
      <c r="D772" s="13"/>
      <c r="M772" s="12"/>
    </row>
    <row r="773" spans="1:13" ht="15.75" customHeight="1" x14ac:dyDescent="0.2">
      <c r="A773" s="13"/>
      <c r="B773" s="13"/>
      <c r="C773" s="13"/>
      <c r="D773" s="13"/>
      <c r="M773" s="12"/>
    </row>
    <row r="774" spans="1:13" ht="15.75" customHeight="1" x14ac:dyDescent="0.2">
      <c r="A774" s="13"/>
      <c r="B774" s="13"/>
      <c r="C774" s="13"/>
      <c r="D774" s="13"/>
      <c r="M774" s="12"/>
    </row>
    <row r="775" spans="1:13" ht="15.75" customHeight="1" x14ac:dyDescent="0.2">
      <c r="A775" s="13"/>
      <c r="B775" s="13"/>
      <c r="C775" s="13"/>
      <c r="D775" s="13"/>
      <c r="M775" s="12"/>
    </row>
    <row r="776" spans="1:13" ht="15.75" customHeight="1" x14ac:dyDescent="0.2">
      <c r="A776" s="13"/>
      <c r="B776" s="13"/>
      <c r="C776" s="13"/>
      <c r="D776" s="13"/>
      <c r="M776" s="12"/>
    </row>
    <row r="777" spans="1:13" ht="15.75" customHeight="1" x14ac:dyDescent="0.2">
      <c r="A777" s="13"/>
      <c r="B777" s="13"/>
      <c r="C777" s="13"/>
      <c r="D777" s="13"/>
      <c r="M777" s="12"/>
    </row>
    <row r="778" spans="1:13" ht="15.75" customHeight="1" x14ac:dyDescent="0.2">
      <c r="A778" s="13"/>
      <c r="B778" s="13"/>
      <c r="C778" s="13"/>
      <c r="D778" s="13"/>
      <c r="M778" s="12"/>
    </row>
    <row r="779" spans="1:13" ht="15.75" customHeight="1" x14ac:dyDescent="0.2">
      <c r="A779" s="13"/>
      <c r="B779" s="13"/>
      <c r="C779" s="13"/>
      <c r="D779" s="13"/>
      <c r="M779" s="12"/>
    </row>
    <row r="780" spans="1:13" ht="15.75" customHeight="1" x14ac:dyDescent="0.2">
      <c r="A780" s="13"/>
      <c r="B780" s="13"/>
      <c r="C780" s="13"/>
      <c r="D780" s="13"/>
      <c r="M780" s="12"/>
    </row>
    <row r="781" spans="1:13" ht="15.75" customHeight="1" x14ac:dyDescent="0.2">
      <c r="A781" s="13"/>
      <c r="B781" s="13"/>
      <c r="C781" s="13"/>
      <c r="D781" s="13"/>
      <c r="M781" s="12"/>
    </row>
    <row r="782" spans="1:13" ht="15.75" customHeight="1" x14ac:dyDescent="0.2">
      <c r="A782" s="13"/>
      <c r="B782" s="13"/>
      <c r="C782" s="13"/>
      <c r="D782" s="13"/>
      <c r="M782" s="12"/>
    </row>
    <row r="783" spans="1:13" ht="15.75" customHeight="1" x14ac:dyDescent="0.2">
      <c r="A783" s="13"/>
      <c r="B783" s="13"/>
      <c r="C783" s="13"/>
      <c r="D783" s="13"/>
      <c r="M783" s="12"/>
    </row>
    <row r="784" spans="1:13" ht="15.75" customHeight="1" x14ac:dyDescent="0.2">
      <c r="A784" s="13"/>
      <c r="B784" s="13"/>
      <c r="C784" s="13"/>
      <c r="D784" s="13"/>
      <c r="M784" s="12"/>
    </row>
    <row r="785" spans="1:13" ht="15.75" customHeight="1" x14ac:dyDescent="0.2">
      <c r="A785" s="13"/>
      <c r="B785" s="13"/>
      <c r="C785" s="13"/>
      <c r="D785" s="13"/>
      <c r="M785" s="12"/>
    </row>
    <row r="786" spans="1:13" ht="15.75" customHeight="1" x14ac:dyDescent="0.2">
      <c r="A786" s="13"/>
      <c r="B786" s="13"/>
      <c r="C786" s="13"/>
      <c r="D786" s="13"/>
      <c r="M786" s="12"/>
    </row>
    <row r="787" spans="1:13" ht="15.75" customHeight="1" x14ac:dyDescent="0.2">
      <c r="A787" s="13"/>
      <c r="B787" s="13"/>
      <c r="C787" s="13"/>
      <c r="D787" s="13"/>
      <c r="M787" s="12"/>
    </row>
    <row r="788" spans="1:13" ht="15.75" customHeight="1" x14ac:dyDescent="0.2">
      <c r="A788" s="13"/>
      <c r="B788" s="13"/>
      <c r="C788" s="13"/>
      <c r="D788" s="13"/>
      <c r="M788" s="12"/>
    </row>
    <row r="789" spans="1:13" ht="15.75" customHeight="1" x14ac:dyDescent="0.2">
      <c r="A789" s="13"/>
      <c r="B789" s="13"/>
      <c r="C789" s="13"/>
      <c r="D789" s="13"/>
      <c r="M789" s="12"/>
    </row>
    <row r="790" spans="1:13" ht="15.75" customHeight="1" x14ac:dyDescent="0.2">
      <c r="A790" s="13"/>
      <c r="B790" s="13"/>
      <c r="C790" s="13"/>
      <c r="D790" s="13"/>
      <c r="M790" s="12"/>
    </row>
    <row r="791" spans="1:13" ht="15.75" customHeight="1" x14ac:dyDescent="0.2">
      <c r="A791" s="13"/>
      <c r="B791" s="13"/>
      <c r="C791" s="13"/>
      <c r="D791" s="13"/>
      <c r="M791" s="12"/>
    </row>
    <row r="792" spans="1:13" ht="15.75" customHeight="1" x14ac:dyDescent="0.2">
      <c r="A792" s="13"/>
      <c r="B792" s="13"/>
      <c r="C792" s="13"/>
      <c r="D792" s="13"/>
      <c r="M792" s="12"/>
    </row>
    <row r="793" spans="1:13" ht="15.75" customHeight="1" x14ac:dyDescent="0.2">
      <c r="A793" s="13"/>
      <c r="B793" s="13"/>
      <c r="C793" s="13"/>
      <c r="D793" s="13"/>
      <c r="M793" s="12"/>
    </row>
    <row r="794" spans="1:13" ht="15.75" customHeight="1" x14ac:dyDescent="0.2">
      <c r="A794" s="13"/>
      <c r="B794" s="13"/>
      <c r="C794" s="13"/>
      <c r="D794" s="13"/>
      <c r="M794" s="12"/>
    </row>
    <row r="795" spans="1:13" ht="15.75" customHeight="1" x14ac:dyDescent="0.2">
      <c r="A795" s="13"/>
      <c r="B795" s="13"/>
      <c r="C795" s="13"/>
      <c r="D795" s="13"/>
      <c r="M795" s="12"/>
    </row>
    <row r="796" spans="1:13" ht="15.75" customHeight="1" x14ac:dyDescent="0.2">
      <c r="A796" s="13"/>
      <c r="B796" s="13"/>
      <c r="C796" s="13"/>
      <c r="D796" s="13"/>
      <c r="M796" s="12"/>
    </row>
    <row r="797" spans="1:13" ht="15.75" customHeight="1" x14ac:dyDescent="0.2">
      <c r="A797" s="13"/>
      <c r="B797" s="13"/>
      <c r="C797" s="13"/>
      <c r="D797" s="13"/>
      <c r="M797" s="12"/>
    </row>
    <row r="798" spans="1:13" ht="15.75" customHeight="1" x14ac:dyDescent="0.2">
      <c r="A798" s="13"/>
      <c r="B798" s="13"/>
      <c r="C798" s="13"/>
      <c r="D798" s="13"/>
      <c r="M798" s="12"/>
    </row>
    <row r="799" spans="1:13" ht="15.75" customHeight="1" x14ac:dyDescent="0.2">
      <c r="A799" s="13"/>
      <c r="B799" s="13"/>
      <c r="C799" s="13"/>
      <c r="D799" s="13"/>
      <c r="M799" s="12"/>
    </row>
    <row r="800" spans="1:13" ht="15.75" customHeight="1" x14ac:dyDescent="0.2">
      <c r="A800" s="13"/>
      <c r="B800" s="13"/>
      <c r="C800" s="13"/>
      <c r="D800" s="13"/>
      <c r="M800" s="12"/>
    </row>
    <row r="801" spans="1:13" ht="15.75" customHeight="1" x14ac:dyDescent="0.2">
      <c r="A801" s="13"/>
      <c r="B801" s="13"/>
      <c r="C801" s="13"/>
      <c r="D801" s="13"/>
      <c r="M801" s="12"/>
    </row>
    <row r="802" spans="1:13" ht="15.75" customHeight="1" x14ac:dyDescent="0.2">
      <c r="A802" s="13"/>
      <c r="B802" s="13"/>
      <c r="C802" s="13"/>
      <c r="D802" s="13"/>
      <c r="M802" s="12"/>
    </row>
    <row r="803" spans="1:13" ht="15.75" customHeight="1" x14ac:dyDescent="0.2">
      <c r="A803" s="13"/>
      <c r="B803" s="13"/>
      <c r="C803" s="13"/>
      <c r="D803" s="13"/>
      <c r="M803" s="12"/>
    </row>
    <row r="804" spans="1:13" ht="15.75" customHeight="1" x14ac:dyDescent="0.2">
      <c r="A804" s="13"/>
      <c r="B804" s="13"/>
      <c r="C804" s="13"/>
      <c r="D804" s="13"/>
      <c r="M804" s="12"/>
    </row>
    <row r="805" spans="1:13" ht="15.75" customHeight="1" x14ac:dyDescent="0.2">
      <c r="A805" s="13"/>
      <c r="B805" s="13"/>
      <c r="C805" s="13"/>
      <c r="D805" s="13"/>
      <c r="M805" s="12"/>
    </row>
    <row r="806" spans="1:13" ht="15.75" customHeight="1" x14ac:dyDescent="0.2">
      <c r="A806" s="13"/>
      <c r="B806" s="13"/>
      <c r="C806" s="13"/>
      <c r="D806" s="13"/>
      <c r="M806" s="12"/>
    </row>
    <row r="807" spans="1:13" ht="15.75" customHeight="1" x14ac:dyDescent="0.2">
      <c r="A807" s="13"/>
      <c r="B807" s="13"/>
      <c r="C807" s="13"/>
      <c r="D807" s="13"/>
      <c r="M807" s="12"/>
    </row>
    <row r="808" spans="1:13" ht="15.75" customHeight="1" x14ac:dyDescent="0.2">
      <c r="A808" s="13"/>
      <c r="B808" s="13"/>
      <c r="C808" s="13"/>
      <c r="D808" s="13"/>
      <c r="M808" s="12"/>
    </row>
    <row r="809" spans="1:13" ht="15.75" customHeight="1" x14ac:dyDescent="0.2">
      <c r="A809" s="13"/>
      <c r="B809" s="13"/>
      <c r="C809" s="13"/>
      <c r="D809" s="13"/>
      <c r="M809" s="12"/>
    </row>
    <row r="810" spans="1:13" ht="15.75" customHeight="1" x14ac:dyDescent="0.2">
      <c r="A810" s="13"/>
      <c r="B810" s="13"/>
      <c r="C810" s="13"/>
      <c r="D810" s="13"/>
      <c r="M810" s="12"/>
    </row>
    <row r="811" spans="1:13" ht="15.75" customHeight="1" x14ac:dyDescent="0.2">
      <c r="A811" s="13"/>
      <c r="B811" s="13"/>
      <c r="C811" s="13"/>
      <c r="D811" s="13"/>
      <c r="M811" s="12"/>
    </row>
    <row r="812" spans="1:13" ht="15.75" customHeight="1" x14ac:dyDescent="0.2">
      <c r="A812" s="13"/>
      <c r="B812" s="13"/>
      <c r="C812" s="13"/>
      <c r="D812" s="13"/>
      <c r="M812" s="12"/>
    </row>
    <row r="813" spans="1:13" ht="15.75" customHeight="1" x14ac:dyDescent="0.2">
      <c r="A813" s="13"/>
      <c r="B813" s="13"/>
      <c r="C813" s="13"/>
      <c r="D813" s="13"/>
      <c r="M813" s="12"/>
    </row>
    <row r="814" spans="1:13" ht="15.75" customHeight="1" x14ac:dyDescent="0.2">
      <c r="A814" s="13"/>
      <c r="B814" s="13"/>
      <c r="C814" s="13"/>
      <c r="D814" s="13"/>
      <c r="M814" s="12"/>
    </row>
    <row r="815" spans="1:13" ht="15.75" customHeight="1" x14ac:dyDescent="0.2">
      <c r="A815" s="13"/>
      <c r="B815" s="13"/>
      <c r="C815" s="13"/>
      <c r="D815" s="13"/>
      <c r="M815" s="12"/>
    </row>
    <row r="816" spans="1:13" ht="15.75" customHeight="1" x14ac:dyDescent="0.2">
      <c r="A816" s="13"/>
      <c r="B816" s="13"/>
      <c r="C816" s="13"/>
      <c r="D816" s="13"/>
      <c r="M816" s="12"/>
    </row>
    <row r="817" spans="1:13" ht="15.75" customHeight="1" x14ac:dyDescent="0.2">
      <c r="A817" s="13"/>
      <c r="B817" s="13"/>
      <c r="C817" s="13"/>
      <c r="D817" s="13"/>
      <c r="M817" s="12"/>
    </row>
    <row r="818" spans="1:13" ht="15.75" customHeight="1" x14ac:dyDescent="0.2">
      <c r="A818" s="13"/>
      <c r="B818" s="13"/>
      <c r="C818" s="13"/>
      <c r="D818" s="13"/>
      <c r="M818" s="12"/>
    </row>
    <row r="819" spans="1:13" ht="15.75" customHeight="1" x14ac:dyDescent="0.2">
      <c r="A819" s="13"/>
      <c r="B819" s="13"/>
      <c r="C819" s="13"/>
      <c r="D819" s="13"/>
      <c r="M819" s="12"/>
    </row>
    <row r="820" spans="1:13" ht="15.75" customHeight="1" x14ac:dyDescent="0.2">
      <c r="A820" s="13"/>
      <c r="B820" s="13"/>
      <c r="C820" s="13"/>
      <c r="D820" s="13"/>
      <c r="M820" s="12"/>
    </row>
    <row r="821" spans="1:13" ht="15.75" customHeight="1" x14ac:dyDescent="0.2">
      <c r="A821" s="13"/>
      <c r="B821" s="13"/>
      <c r="C821" s="13"/>
      <c r="D821" s="13"/>
      <c r="M821" s="12"/>
    </row>
    <row r="822" spans="1:13" ht="15.75" customHeight="1" x14ac:dyDescent="0.2">
      <c r="A822" s="13"/>
      <c r="B822" s="13"/>
      <c r="C822" s="13"/>
      <c r="D822" s="13"/>
      <c r="M822" s="12"/>
    </row>
    <row r="823" spans="1:13" ht="15.75" customHeight="1" x14ac:dyDescent="0.2">
      <c r="A823" s="13"/>
      <c r="B823" s="13"/>
      <c r="C823" s="13"/>
      <c r="D823" s="13"/>
      <c r="M823" s="12"/>
    </row>
    <row r="824" spans="1:13" ht="15.75" customHeight="1" x14ac:dyDescent="0.2">
      <c r="A824" s="13"/>
      <c r="B824" s="13"/>
      <c r="C824" s="13"/>
      <c r="D824" s="13"/>
      <c r="M824" s="12"/>
    </row>
    <row r="825" spans="1:13" ht="15.75" customHeight="1" x14ac:dyDescent="0.2">
      <c r="A825" s="13"/>
      <c r="B825" s="13"/>
      <c r="C825" s="13"/>
      <c r="D825" s="13"/>
      <c r="M825" s="12"/>
    </row>
    <row r="826" spans="1:13" ht="15.75" customHeight="1" x14ac:dyDescent="0.2">
      <c r="A826" s="13"/>
      <c r="B826" s="13"/>
      <c r="C826" s="13"/>
      <c r="D826" s="13"/>
      <c r="M826" s="12"/>
    </row>
    <row r="827" spans="1:13" ht="15.75" customHeight="1" x14ac:dyDescent="0.2">
      <c r="A827" s="13"/>
      <c r="B827" s="13"/>
      <c r="C827" s="13"/>
      <c r="D827" s="13"/>
      <c r="M827" s="12"/>
    </row>
    <row r="828" spans="1:13" ht="15.75" customHeight="1" x14ac:dyDescent="0.2">
      <c r="A828" s="13"/>
      <c r="B828" s="13"/>
      <c r="C828" s="13"/>
      <c r="D828" s="13"/>
      <c r="M828" s="12"/>
    </row>
    <row r="829" spans="1:13" ht="15.75" customHeight="1" x14ac:dyDescent="0.2">
      <c r="A829" s="13"/>
      <c r="B829" s="13"/>
      <c r="C829" s="13"/>
      <c r="D829" s="13"/>
      <c r="M829" s="12"/>
    </row>
    <row r="830" spans="1:13" ht="15.75" customHeight="1" x14ac:dyDescent="0.2">
      <c r="A830" s="13"/>
      <c r="B830" s="13"/>
      <c r="C830" s="13"/>
      <c r="D830" s="13"/>
      <c r="M830" s="12"/>
    </row>
    <row r="831" spans="1:13" ht="15.75" customHeight="1" x14ac:dyDescent="0.2">
      <c r="A831" s="13"/>
      <c r="B831" s="13"/>
      <c r="C831" s="13"/>
      <c r="D831" s="13"/>
      <c r="M831" s="12"/>
    </row>
    <row r="832" spans="1:13" ht="15.75" customHeight="1" x14ac:dyDescent="0.2">
      <c r="A832" s="13"/>
      <c r="B832" s="13"/>
      <c r="C832" s="13"/>
      <c r="D832" s="13"/>
      <c r="M832" s="12"/>
    </row>
    <row r="833" spans="1:13" ht="15.75" customHeight="1" x14ac:dyDescent="0.2">
      <c r="A833" s="13"/>
      <c r="B833" s="13"/>
      <c r="C833" s="13"/>
      <c r="D833" s="13"/>
      <c r="M833" s="12"/>
    </row>
    <row r="834" spans="1:13" ht="15.75" customHeight="1" x14ac:dyDescent="0.2">
      <c r="A834" s="13"/>
      <c r="B834" s="13"/>
      <c r="C834" s="13"/>
      <c r="D834" s="13"/>
      <c r="M834" s="12"/>
    </row>
    <row r="835" spans="1:13" ht="15.75" customHeight="1" x14ac:dyDescent="0.2">
      <c r="A835" s="13"/>
      <c r="B835" s="13"/>
      <c r="C835" s="13"/>
      <c r="D835" s="13"/>
      <c r="M835" s="12"/>
    </row>
    <row r="836" spans="1:13" ht="15.75" customHeight="1" x14ac:dyDescent="0.2">
      <c r="A836" s="13"/>
      <c r="B836" s="13"/>
      <c r="C836" s="13"/>
      <c r="D836" s="13"/>
      <c r="M836" s="12"/>
    </row>
    <row r="837" spans="1:13" ht="15.75" customHeight="1" x14ac:dyDescent="0.2">
      <c r="A837" s="13"/>
      <c r="B837" s="13"/>
      <c r="C837" s="13"/>
      <c r="D837" s="13"/>
      <c r="M837" s="12"/>
    </row>
    <row r="838" spans="1:13" ht="15.75" customHeight="1" x14ac:dyDescent="0.2">
      <c r="A838" s="13"/>
      <c r="B838" s="13"/>
      <c r="C838" s="13"/>
      <c r="D838" s="13"/>
      <c r="M838" s="12"/>
    </row>
    <row r="839" spans="1:13" ht="15.75" customHeight="1" x14ac:dyDescent="0.2">
      <c r="A839" s="13"/>
      <c r="B839" s="13"/>
      <c r="C839" s="13"/>
      <c r="D839" s="13"/>
      <c r="M839" s="12"/>
    </row>
    <row r="840" spans="1:13" ht="15.75" customHeight="1" x14ac:dyDescent="0.2">
      <c r="A840" s="13"/>
      <c r="B840" s="13"/>
      <c r="C840" s="13"/>
      <c r="D840" s="13"/>
      <c r="M840" s="12"/>
    </row>
    <row r="841" spans="1:13" ht="15.75" customHeight="1" x14ac:dyDescent="0.2">
      <c r="A841" s="13"/>
      <c r="B841" s="13"/>
      <c r="C841" s="13"/>
      <c r="D841" s="13"/>
      <c r="M841" s="12"/>
    </row>
    <row r="842" spans="1:13" ht="15.75" customHeight="1" x14ac:dyDescent="0.2">
      <c r="A842" s="13"/>
      <c r="B842" s="13"/>
      <c r="C842" s="13"/>
      <c r="D842" s="13"/>
      <c r="M842" s="12"/>
    </row>
    <row r="843" spans="1:13" ht="15.75" customHeight="1" x14ac:dyDescent="0.2">
      <c r="A843" s="13"/>
      <c r="B843" s="13"/>
      <c r="C843" s="13"/>
      <c r="D843" s="13"/>
      <c r="M843" s="12"/>
    </row>
    <row r="844" spans="1:13" ht="15.75" customHeight="1" x14ac:dyDescent="0.2">
      <c r="A844" s="13"/>
      <c r="B844" s="13"/>
      <c r="C844" s="13"/>
      <c r="D844" s="13"/>
      <c r="M844" s="12"/>
    </row>
    <row r="845" spans="1:13" ht="15.75" customHeight="1" x14ac:dyDescent="0.2">
      <c r="A845" s="13"/>
      <c r="B845" s="13"/>
      <c r="C845" s="13"/>
      <c r="D845" s="13"/>
      <c r="M845" s="12"/>
    </row>
    <row r="846" spans="1:13" ht="15.75" customHeight="1" x14ac:dyDescent="0.2">
      <c r="A846" s="13"/>
      <c r="B846" s="13"/>
      <c r="C846" s="13"/>
      <c r="D846" s="13"/>
      <c r="M846" s="12"/>
    </row>
    <row r="847" spans="1:13" ht="15.75" customHeight="1" x14ac:dyDescent="0.2">
      <c r="A847" s="13"/>
      <c r="B847" s="13"/>
      <c r="C847" s="13"/>
      <c r="D847" s="13"/>
      <c r="M847" s="12"/>
    </row>
    <row r="848" spans="1:13" ht="15.75" customHeight="1" x14ac:dyDescent="0.2">
      <c r="A848" s="13"/>
      <c r="B848" s="13"/>
      <c r="C848" s="13"/>
      <c r="D848" s="13"/>
      <c r="M848" s="12"/>
    </row>
    <row r="849" spans="1:13" ht="15.75" customHeight="1" x14ac:dyDescent="0.2">
      <c r="A849" s="13"/>
      <c r="B849" s="13"/>
      <c r="C849" s="13"/>
      <c r="D849" s="13"/>
      <c r="M849" s="12"/>
    </row>
    <row r="850" spans="1:13" ht="15.75" customHeight="1" x14ac:dyDescent="0.2">
      <c r="A850" s="13"/>
      <c r="B850" s="13"/>
      <c r="C850" s="13"/>
      <c r="D850" s="13"/>
      <c r="M850" s="12"/>
    </row>
    <row r="851" spans="1:13" ht="15.75" customHeight="1" x14ac:dyDescent="0.2">
      <c r="A851" s="13"/>
      <c r="B851" s="13"/>
      <c r="C851" s="13"/>
      <c r="D851" s="13"/>
      <c r="M851" s="12"/>
    </row>
    <row r="852" spans="1:13" ht="15.75" customHeight="1" x14ac:dyDescent="0.2">
      <c r="A852" s="13"/>
      <c r="B852" s="13"/>
      <c r="C852" s="13"/>
      <c r="D852" s="13"/>
      <c r="M852" s="12"/>
    </row>
    <row r="853" spans="1:13" ht="15.75" customHeight="1" x14ac:dyDescent="0.2">
      <c r="A853" s="13"/>
      <c r="B853" s="13"/>
      <c r="C853" s="13"/>
      <c r="D853" s="13"/>
      <c r="M853" s="12"/>
    </row>
    <row r="854" spans="1:13" ht="15.75" customHeight="1" x14ac:dyDescent="0.2">
      <c r="A854" s="13"/>
      <c r="B854" s="13"/>
      <c r="C854" s="13"/>
      <c r="D854" s="13"/>
      <c r="M854" s="12"/>
    </row>
    <row r="855" spans="1:13" ht="15.75" customHeight="1" x14ac:dyDescent="0.2">
      <c r="A855" s="13"/>
      <c r="B855" s="13"/>
      <c r="C855" s="13"/>
      <c r="D855" s="13"/>
      <c r="M855" s="12"/>
    </row>
    <row r="856" spans="1:13" ht="15.75" customHeight="1" x14ac:dyDescent="0.2">
      <c r="A856" s="13"/>
      <c r="B856" s="13"/>
      <c r="C856" s="13"/>
      <c r="D856" s="13"/>
      <c r="M856" s="12"/>
    </row>
    <row r="857" spans="1:13" ht="15.75" customHeight="1" x14ac:dyDescent="0.2">
      <c r="A857" s="13"/>
      <c r="B857" s="13"/>
      <c r="C857" s="13"/>
      <c r="D857" s="13"/>
      <c r="M857" s="12"/>
    </row>
    <row r="858" spans="1:13" ht="15.75" customHeight="1" x14ac:dyDescent="0.2">
      <c r="A858" s="13"/>
      <c r="B858" s="13"/>
      <c r="C858" s="13"/>
      <c r="D858" s="13"/>
      <c r="M858" s="12"/>
    </row>
    <row r="859" spans="1:13" ht="15.75" customHeight="1" x14ac:dyDescent="0.2">
      <c r="A859" s="13"/>
      <c r="B859" s="13"/>
      <c r="C859" s="13"/>
      <c r="D859" s="13"/>
      <c r="M859" s="12"/>
    </row>
    <row r="860" spans="1:13" ht="15.75" customHeight="1" x14ac:dyDescent="0.2">
      <c r="A860" s="13"/>
      <c r="B860" s="13"/>
      <c r="C860" s="13"/>
      <c r="D860" s="13"/>
      <c r="M860" s="12"/>
    </row>
    <row r="861" spans="1:13" ht="15.75" customHeight="1" x14ac:dyDescent="0.2">
      <c r="A861" s="13"/>
      <c r="B861" s="13"/>
      <c r="C861" s="13"/>
      <c r="D861" s="13"/>
      <c r="M861" s="12"/>
    </row>
    <row r="862" spans="1:13" ht="15.75" customHeight="1" x14ac:dyDescent="0.2">
      <c r="A862" s="13"/>
      <c r="B862" s="13"/>
      <c r="C862" s="13"/>
      <c r="D862" s="13"/>
      <c r="M862" s="12"/>
    </row>
    <row r="863" spans="1:13" ht="15.75" customHeight="1" x14ac:dyDescent="0.2">
      <c r="A863" s="13"/>
      <c r="B863" s="13"/>
      <c r="C863" s="13"/>
      <c r="D863" s="13"/>
      <c r="M863" s="12"/>
    </row>
    <row r="864" spans="1:13" ht="15.75" customHeight="1" x14ac:dyDescent="0.2">
      <c r="A864" s="13"/>
      <c r="B864" s="13"/>
      <c r="C864" s="13"/>
      <c r="D864" s="13"/>
      <c r="M864" s="12"/>
    </row>
    <row r="865" spans="1:13" ht="15.75" customHeight="1" x14ac:dyDescent="0.2">
      <c r="A865" s="13"/>
      <c r="B865" s="13"/>
      <c r="C865" s="13"/>
      <c r="D865" s="13"/>
      <c r="M865" s="12"/>
    </row>
    <row r="866" spans="1:13" ht="15.75" customHeight="1" x14ac:dyDescent="0.2">
      <c r="A866" s="13"/>
      <c r="B866" s="13"/>
      <c r="C866" s="13"/>
      <c r="D866" s="13"/>
      <c r="M866" s="12"/>
    </row>
    <row r="867" spans="1:13" ht="15.75" customHeight="1" x14ac:dyDescent="0.2">
      <c r="A867" s="13"/>
      <c r="B867" s="13"/>
      <c r="C867" s="13"/>
      <c r="D867" s="13"/>
      <c r="M867" s="12"/>
    </row>
    <row r="868" spans="1:13" ht="15.75" customHeight="1" x14ac:dyDescent="0.2">
      <c r="A868" s="13"/>
      <c r="B868" s="13"/>
      <c r="C868" s="13"/>
      <c r="D868" s="13"/>
      <c r="M868" s="12"/>
    </row>
    <row r="869" spans="1:13" ht="15.75" customHeight="1" x14ac:dyDescent="0.2">
      <c r="A869" s="13"/>
      <c r="B869" s="13"/>
      <c r="C869" s="13"/>
      <c r="D869" s="13"/>
      <c r="M869" s="12"/>
    </row>
  </sheetData>
  <conditionalFormatting sqref="B2:C51">
    <cfRule type="cellIs" dxfId="8" priority="1" operator="equal">
      <formula>"Ja"</formula>
    </cfRule>
    <cfRule type="cellIs" dxfId="7" priority="2" operator="equal">
      <formula>"Nein"</formula>
    </cfRule>
    <cfRule type="cellIs" dxfId="6" priority="9" operator="equal">
      <formula>"Ja"</formula>
    </cfRule>
  </conditionalFormatting>
  <conditionalFormatting sqref="D2 D51">
    <cfRule type="cellIs" dxfId="5" priority="3" operator="equal">
      <formula>1</formula>
    </cfRule>
    <cfRule type="cellIs" dxfId="4" priority="4" operator="equal">
      <formula>0.8</formula>
    </cfRule>
    <cfRule type="cellIs" dxfId="3" priority="5" operator="equal">
      <formula>0.6</formula>
    </cfRule>
    <cfRule type="cellIs" dxfId="2" priority="6" operator="equal">
      <formula>0.4</formula>
    </cfRule>
    <cfRule type="cellIs" dxfId="1" priority="7" operator="equal">
      <formula>0.2</formula>
    </cfRule>
    <cfRule type="cellIs" dxfId="0" priority="8" operator="equal">
      <formula>0</formula>
    </cfRule>
  </conditionalFormatting>
  <dataValidations count="2">
    <dataValidation type="list" allowBlank="1" showErrorMessage="1" sqref="B2:C51" xr:uid="{00000000-0002-0000-0300-000000000000}">
      <formula1>"Ja,Nein"</formula1>
    </dataValidation>
    <dataValidation type="list" allowBlank="1" showErrorMessage="1" sqref="D2" xr:uid="{00000000-0002-0000-0300-000001000000}">
      <formula1>"100%,80%,60%,40%,20%,0%"</formula1>
    </dataValidation>
  </dataValidations>
  <pageMargins left="0.7" right="0.7" top="0.75" bottom="0.75" header="0" footer="0"/>
  <pageSetup orientation="landscape"/>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heetViews>
  <sheetFormatPr baseColWidth="10" defaultColWidth="11.1640625" defaultRowHeight="15" customHeight="1" x14ac:dyDescent="0.2"/>
  <cols>
    <col min="1" max="26" width="8.33203125" customWidth="1"/>
  </cols>
  <sheetData>
    <row r="1" spans="1:8" ht="15.75" customHeight="1" x14ac:dyDescent="0.3">
      <c r="B1" s="17" t="s">
        <v>67</v>
      </c>
    </row>
    <row r="2" spans="1:8" ht="15.75" customHeight="1" x14ac:dyDescent="0.2"/>
    <row r="3" spans="1:8" ht="15.75" customHeight="1" x14ac:dyDescent="0.2"/>
    <row r="4" spans="1:8" ht="15.75" customHeight="1" x14ac:dyDescent="0.2">
      <c r="B4" s="5" t="s">
        <v>68</v>
      </c>
      <c r="C4" s="5" t="s">
        <v>69</v>
      </c>
      <c r="D4" s="5" t="s">
        <v>70</v>
      </c>
      <c r="E4" s="5" t="s">
        <v>71</v>
      </c>
      <c r="F4" s="5" t="s">
        <v>72</v>
      </c>
      <c r="G4" s="5" t="s">
        <v>73</v>
      </c>
      <c r="H4" s="5" t="s">
        <v>74</v>
      </c>
    </row>
    <row r="5" spans="1:8" ht="15.75" customHeight="1" x14ac:dyDescent="0.2">
      <c r="A5" s="18">
        <v>0.16666666666666666</v>
      </c>
    </row>
    <row r="6" spans="1:8" ht="15.75" customHeight="1" x14ac:dyDescent="0.2">
      <c r="A6" s="18">
        <v>0.1875</v>
      </c>
    </row>
    <row r="7" spans="1:8" ht="15.75" customHeight="1" x14ac:dyDescent="0.2">
      <c r="A7" s="18">
        <v>0.20833333333333301</v>
      </c>
    </row>
    <row r="8" spans="1:8" ht="15.75" customHeight="1" x14ac:dyDescent="0.2">
      <c r="A8" s="18">
        <v>0.22916666666666699</v>
      </c>
    </row>
    <row r="9" spans="1:8" ht="15.75" customHeight="1" x14ac:dyDescent="0.2">
      <c r="A9" s="18">
        <v>0.25</v>
      </c>
    </row>
    <row r="10" spans="1:8" ht="15.75" customHeight="1" x14ac:dyDescent="0.2">
      <c r="A10" s="18">
        <v>0.27083333333333398</v>
      </c>
    </row>
    <row r="11" spans="1:8" ht="15.75" customHeight="1" x14ac:dyDescent="0.2">
      <c r="A11" s="18">
        <v>0.29166666666666702</v>
      </c>
    </row>
    <row r="12" spans="1:8" ht="15.75" customHeight="1" x14ac:dyDescent="0.2">
      <c r="A12" s="18">
        <v>0.3125</v>
      </c>
    </row>
    <row r="13" spans="1:8" ht="15.75" customHeight="1" x14ac:dyDescent="0.2">
      <c r="A13" s="18">
        <v>0.33333333333333398</v>
      </c>
    </row>
    <row r="14" spans="1:8" ht="15.75" customHeight="1" x14ac:dyDescent="0.2">
      <c r="A14" s="18">
        <v>0.35416666666666702</v>
      </c>
    </row>
    <row r="15" spans="1:8" ht="15.75" customHeight="1" x14ac:dyDescent="0.2">
      <c r="A15" s="18">
        <v>0.375</v>
      </c>
    </row>
    <row r="16" spans="1:8" ht="15.75" customHeight="1" x14ac:dyDescent="0.2">
      <c r="A16" s="18">
        <v>0.39583333333333398</v>
      </c>
    </row>
    <row r="17" spans="1:1" ht="15.75" customHeight="1" x14ac:dyDescent="0.2">
      <c r="A17" s="18">
        <v>0.41666666666666702</v>
      </c>
    </row>
    <row r="18" spans="1:1" ht="15.75" customHeight="1" x14ac:dyDescent="0.2">
      <c r="A18" s="18">
        <v>0.4375</v>
      </c>
    </row>
    <row r="19" spans="1:1" ht="15.75" customHeight="1" x14ac:dyDescent="0.2">
      <c r="A19" s="18">
        <v>0.45833333333333398</v>
      </c>
    </row>
    <row r="20" spans="1:1" ht="15.75" customHeight="1" x14ac:dyDescent="0.2">
      <c r="A20" s="18">
        <v>0.47916666666666702</v>
      </c>
    </row>
    <row r="21" spans="1:1" ht="15.75" customHeight="1" x14ac:dyDescent="0.2">
      <c r="A21" s="18">
        <v>0.5</v>
      </c>
    </row>
    <row r="22" spans="1:1" ht="15.75" customHeight="1" x14ac:dyDescent="0.2">
      <c r="A22" s="18">
        <v>0.52083333333333404</v>
      </c>
    </row>
    <row r="23" spans="1:1" ht="15.75" customHeight="1" x14ac:dyDescent="0.2">
      <c r="A23" s="18">
        <v>0.54166666666666696</v>
      </c>
    </row>
    <row r="24" spans="1:1" ht="15.75" customHeight="1" x14ac:dyDescent="0.2">
      <c r="A24" s="18">
        <v>0.5625</v>
      </c>
    </row>
    <row r="25" spans="1:1" ht="15.75" customHeight="1" x14ac:dyDescent="0.2">
      <c r="A25" s="18">
        <v>0.58333333333333404</v>
      </c>
    </row>
    <row r="26" spans="1:1" ht="15.75" customHeight="1" x14ac:dyDescent="0.2">
      <c r="A26" s="18">
        <v>0.60416666666666696</v>
      </c>
    </row>
    <row r="27" spans="1:1" ht="15.75" customHeight="1" x14ac:dyDescent="0.2">
      <c r="A27" s="18">
        <v>0.625000000000001</v>
      </c>
    </row>
    <row r="28" spans="1:1" ht="15.75" customHeight="1" x14ac:dyDescent="0.2">
      <c r="A28" s="18">
        <v>0.64583333333333404</v>
      </c>
    </row>
    <row r="29" spans="1:1" ht="15.75" customHeight="1" x14ac:dyDescent="0.2">
      <c r="A29" s="18">
        <v>0.66666666666666696</v>
      </c>
    </row>
    <row r="30" spans="1:1" ht="15.75" customHeight="1" x14ac:dyDescent="0.2">
      <c r="A30" s="18">
        <v>0.687500000000001</v>
      </c>
    </row>
    <row r="31" spans="1:1" ht="15.75" customHeight="1" x14ac:dyDescent="0.2">
      <c r="A31" s="18">
        <v>0.70833333333333404</v>
      </c>
    </row>
    <row r="32" spans="1:1" ht="15.75" customHeight="1" x14ac:dyDescent="0.2">
      <c r="A32" s="18">
        <v>0.72916666666666696</v>
      </c>
    </row>
    <row r="33" spans="1:1" ht="15.75" customHeight="1" x14ac:dyDescent="0.2">
      <c r="A33" s="18">
        <v>0.750000000000001</v>
      </c>
    </row>
    <row r="34" spans="1:1" ht="15.75" customHeight="1" x14ac:dyDescent="0.2">
      <c r="A34" s="18">
        <v>0.77083333333333404</v>
      </c>
    </row>
    <row r="35" spans="1:1" ht="15.75" customHeight="1" x14ac:dyDescent="0.2">
      <c r="A35" s="18">
        <v>0.79166666666666696</v>
      </c>
    </row>
    <row r="36" spans="1:1" ht="15.75" customHeight="1" x14ac:dyDescent="0.2">
      <c r="A36" s="18">
        <v>0.812500000000001</v>
      </c>
    </row>
    <row r="37" spans="1:1" ht="15.75" customHeight="1" x14ac:dyDescent="0.2">
      <c r="A37" s="18">
        <v>0.83333333333333404</v>
      </c>
    </row>
    <row r="38" spans="1:1" ht="15.75" customHeight="1" x14ac:dyDescent="0.2">
      <c r="A38" s="18">
        <v>0.85416666666666696</v>
      </c>
    </row>
    <row r="39" spans="1:1" ht="15.75" customHeight="1" x14ac:dyDescent="0.2">
      <c r="A39" s="18">
        <v>0.875000000000001</v>
      </c>
    </row>
    <row r="40" spans="1:1" ht="15.75" customHeight="1" x14ac:dyDescent="0.2">
      <c r="A40" s="18">
        <v>0.89583333333333404</v>
      </c>
    </row>
    <row r="41" spans="1:1" ht="15.75" customHeight="1" x14ac:dyDescent="0.2">
      <c r="A41" s="18">
        <v>0.91666666666666696</v>
      </c>
    </row>
    <row r="42" spans="1:1" ht="15.75" customHeight="1" x14ac:dyDescent="0.2">
      <c r="A42" s="18">
        <v>0.937500000000001</v>
      </c>
    </row>
    <row r="43" spans="1:1" ht="15.75" customHeight="1" x14ac:dyDescent="0.2">
      <c r="A43" s="18">
        <v>0.95833333333333404</v>
      </c>
    </row>
    <row r="44" spans="1:1" ht="15.75" customHeight="1" x14ac:dyDescent="0.2">
      <c r="A44" s="18">
        <v>0.97916666666666696</v>
      </c>
    </row>
    <row r="45" spans="1:1" ht="15.75" customHeight="1" x14ac:dyDescent="0.2">
      <c r="A45" s="18">
        <v>1</v>
      </c>
    </row>
    <row r="46" spans="1:1" ht="15.75" customHeight="1" x14ac:dyDescent="0.2">
      <c r="A46" s="18">
        <v>1.0208333333333299</v>
      </c>
    </row>
    <row r="47" spans="1:1" ht="15.75" customHeight="1" x14ac:dyDescent="0.2">
      <c r="A47" s="18">
        <v>1.0416666666666701</v>
      </c>
    </row>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heetViews>
  <sheetFormatPr baseColWidth="10" defaultColWidth="11.1640625" defaultRowHeight="15" customHeight="1" x14ac:dyDescent="0.2"/>
  <cols>
    <col min="1" max="26" width="8.33203125" customWidth="1"/>
  </cols>
  <sheetData>
    <row r="1" spans="1:8" ht="15.75" customHeight="1" x14ac:dyDescent="0.3">
      <c r="B1" s="17" t="s">
        <v>67</v>
      </c>
    </row>
    <row r="2" spans="1:8" ht="15.75" customHeight="1" x14ac:dyDescent="0.2"/>
    <row r="3" spans="1:8" ht="15.75" customHeight="1" x14ac:dyDescent="0.2"/>
    <row r="4" spans="1:8" ht="15.75" customHeight="1" x14ac:dyDescent="0.2">
      <c r="B4" s="5" t="s">
        <v>68</v>
      </c>
      <c r="C4" s="5" t="s">
        <v>69</v>
      </c>
      <c r="D4" s="5" t="s">
        <v>70</v>
      </c>
      <c r="E4" s="5" t="s">
        <v>71</v>
      </c>
      <c r="F4" s="5" t="s">
        <v>72</v>
      </c>
      <c r="G4" s="5" t="s">
        <v>73</v>
      </c>
      <c r="H4" s="5" t="s">
        <v>74</v>
      </c>
    </row>
    <row r="5" spans="1:8" ht="15.75" customHeight="1" x14ac:dyDescent="0.2">
      <c r="A5" s="18">
        <v>0.16666666666666666</v>
      </c>
    </row>
    <row r="6" spans="1:8" ht="15.75" customHeight="1" x14ac:dyDescent="0.2">
      <c r="A6" s="18">
        <v>0.1875</v>
      </c>
    </row>
    <row r="7" spans="1:8" ht="15.75" customHeight="1" x14ac:dyDescent="0.2">
      <c r="A7" s="18">
        <v>0.20833333333333301</v>
      </c>
    </row>
    <row r="8" spans="1:8" ht="15.75" customHeight="1" x14ac:dyDescent="0.2">
      <c r="A8" s="18">
        <v>0.22916666666666699</v>
      </c>
    </row>
    <row r="9" spans="1:8" ht="15.75" customHeight="1" x14ac:dyDescent="0.2">
      <c r="A9" s="18">
        <v>0.25</v>
      </c>
    </row>
    <row r="10" spans="1:8" ht="15.75" customHeight="1" x14ac:dyDescent="0.2">
      <c r="A10" s="18">
        <v>0.27083333333333398</v>
      </c>
    </row>
    <row r="11" spans="1:8" ht="15.75" customHeight="1" x14ac:dyDescent="0.2">
      <c r="A11" s="18">
        <v>0.29166666666666702</v>
      </c>
    </row>
    <row r="12" spans="1:8" ht="15.75" customHeight="1" x14ac:dyDescent="0.2">
      <c r="A12" s="18">
        <v>0.3125</v>
      </c>
    </row>
    <row r="13" spans="1:8" ht="15.75" customHeight="1" x14ac:dyDescent="0.2">
      <c r="A13" s="18">
        <v>0.33333333333333398</v>
      </c>
    </row>
    <row r="14" spans="1:8" ht="15.75" customHeight="1" x14ac:dyDescent="0.2">
      <c r="A14" s="18">
        <v>0.35416666666666702</v>
      </c>
    </row>
    <row r="15" spans="1:8" ht="15.75" customHeight="1" x14ac:dyDescent="0.2">
      <c r="A15" s="18">
        <v>0.375</v>
      </c>
    </row>
    <row r="16" spans="1:8" ht="15.75" customHeight="1" x14ac:dyDescent="0.2">
      <c r="A16" s="18">
        <v>0.39583333333333398</v>
      </c>
    </row>
    <row r="17" spans="1:1" ht="15.75" customHeight="1" x14ac:dyDescent="0.2">
      <c r="A17" s="18">
        <v>0.41666666666666702</v>
      </c>
    </row>
    <row r="18" spans="1:1" ht="15.75" customHeight="1" x14ac:dyDescent="0.2">
      <c r="A18" s="18">
        <v>0.4375</v>
      </c>
    </row>
    <row r="19" spans="1:1" ht="15.75" customHeight="1" x14ac:dyDescent="0.2">
      <c r="A19" s="18">
        <v>0.45833333333333398</v>
      </c>
    </row>
    <row r="20" spans="1:1" ht="15.75" customHeight="1" x14ac:dyDescent="0.2">
      <c r="A20" s="18">
        <v>0.47916666666666702</v>
      </c>
    </row>
    <row r="21" spans="1:1" ht="15.75" customHeight="1" x14ac:dyDescent="0.2">
      <c r="A21" s="18">
        <v>0.5</v>
      </c>
    </row>
    <row r="22" spans="1:1" ht="15.75" customHeight="1" x14ac:dyDescent="0.2">
      <c r="A22" s="18">
        <v>0.52083333333333404</v>
      </c>
    </row>
    <row r="23" spans="1:1" ht="15.75" customHeight="1" x14ac:dyDescent="0.2">
      <c r="A23" s="18">
        <v>0.54166666666666696</v>
      </c>
    </row>
    <row r="24" spans="1:1" ht="15.75" customHeight="1" x14ac:dyDescent="0.2">
      <c r="A24" s="18">
        <v>0.5625</v>
      </c>
    </row>
    <row r="25" spans="1:1" ht="15.75" customHeight="1" x14ac:dyDescent="0.2">
      <c r="A25" s="18">
        <v>0.58333333333333404</v>
      </c>
    </row>
    <row r="26" spans="1:1" ht="15.75" customHeight="1" x14ac:dyDescent="0.2">
      <c r="A26" s="18">
        <v>0.60416666666666696</v>
      </c>
    </row>
    <row r="27" spans="1:1" ht="15.75" customHeight="1" x14ac:dyDescent="0.2">
      <c r="A27" s="18">
        <v>0.625000000000001</v>
      </c>
    </row>
    <row r="28" spans="1:1" ht="15.75" customHeight="1" x14ac:dyDescent="0.2">
      <c r="A28" s="18">
        <v>0.64583333333333404</v>
      </c>
    </row>
    <row r="29" spans="1:1" ht="15.75" customHeight="1" x14ac:dyDescent="0.2">
      <c r="A29" s="18">
        <v>0.66666666666666696</v>
      </c>
    </row>
    <row r="30" spans="1:1" ht="15.75" customHeight="1" x14ac:dyDescent="0.2">
      <c r="A30" s="18">
        <v>0.687500000000001</v>
      </c>
    </row>
    <row r="31" spans="1:1" ht="15.75" customHeight="1" x14ac:dyDescent="0.2">
      <c r="A31" s="18">
        <v>0.70833333333333404</v>
      </c>
    </row>
    <row r="32" spans="1:1" ht="15.75" customHeight="1" x14ac:dyDescent="0.2">
      <c r="A32" s="18">
        <v>0.72916666666666696</v>
      </c>
    </row>
    <row r="33" spans="1:1" ht="15.75" customHeight="1" x14ac:dyDescent="0.2">
      <c r="A33" s="18">
        <v>0.750000000000001</v>
      </c>
    </row>
    <row r="34" spans="1:1" ht="15.75" customHeight="1" x14ac:dyDescent="0.2">
      <c r="A34" s="18">
        <v>0.77083333333333404</v>
      </c>
    </row>
    <row r="35" spans="1:1" ht="15.75" customHeight="1" x14ac:dyDescent="0.2">
      <c r="A35" s="18">
        <v>0.79166666666666696</v>
      </c>
    </row>
    <row r="36" spans="1:1" ht="15.75" customHeight="1" x14ac:dyDescent="0.2">
      <c r="A36" s="18">
        <v>0.812500000000001</v>
      </c>
    </row>
    <row r="37" spans="1:1" ht="15.75" customHeight="1" x14ac:dyDescent="0.2">
      <c r="A37" s="18">
        <v>0.83333333333333404</v>
      </c>
    </row>
    <row r="38" spans="1:1" ht="15.75" customHeight="1" x14ac:dyDescent="0.2">
      <c r="A38" s="18">
        <v>0.85416666666666696</v>
      </c>
    </row>
    <row r="39" spans="1:1" ht="15.75" customHeight="1" x14ac:dyDescent="0.2">
      <c r="A39" s="18">
        <v>0.875000000000001</v>
      </c>
    </row>
    <row r="40" spans="1:1" ht="15.75" customHeight="1" x14ac:dyDescent="0.2">
      <c r="A40" s="18">
        <v>0.89583333333333404</v>
      </c>
    </row>
    <row r="41" spans="1:1" ht="15.75" customHeight="1" x14ac:dyDescent="0.2">
      <c r="A41" s="18">
        <v>0.91666666666666696</v>
      </c>
    </row>
    <row r="42" spans="1:1" ht="15.75" customHeight="1" x14ac:dyDescent="0.2">
      <c r="A42" s="18">
        <v>0.937500000000001</v>
      </c>
    </row>
    <row r="43" spans="1:1" ht="15.75" customHeight="1" x14ac:dyDescent="0.2">
      <c r="A43" s="18">
        <v>0.95833333333333404</v>
      </c>
    </row>
    <row r="44" spans="1:1" ht="15.75" customHeight="1" x14ac:dyDescent="0.2">
      <c r="A44" s="18">
        <v>0.97916666666666696</v>
      </c>
    </row>
    <row r="45" spans="1:1" ht="15.75" customHeight="1" x14ac:dyDescent="0.2">
      <c r="A45" s="18">
        <v>1</v>
      </c>
    </row>
    <row r="46" spans="1:1" ht="15.75" customHeight="1" x14ac:dyDescent="0.2">
      <c r="A46" s="18">
        <v>1.0208333333333299</v>
      </c>
    </row>
    <row r="47" spans="1:1" ht="15.75" customHeight="1" x14ac:dyDescent="0.2">
      <c r="A47" s="18">
        <v>1.0416666666666701</v>
      </c>
    </row>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372026</vt:lpstr>
      <vt:lpstr>Wochenplan KW 382026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Bartmann Thomas</cp:lastModifiedBy>
  <dcterms:modified xsi:type="dcterms:W3CDTF">2026-09-09T13:35:41Z</dcterms:modified>
</cp:coreProperties>
</file>