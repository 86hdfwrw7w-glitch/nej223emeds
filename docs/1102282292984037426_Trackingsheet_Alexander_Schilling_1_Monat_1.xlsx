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Alex\Downloads\"/>
    </mc:Choice>
  </mc:AlternateContent>
  <xr:revisionPtr revIDLastSave="0" documentId="13_ncr:1_{556E12DE-EF1F-411F-BD6F-C1AC2E91BE1B}" xr6:coauthVersionLast="47" xr6:coauthVersionMax="47" xr10:uidLastSave="{00000000-0000-0000-0000-000000000000}"/>
  <bookViews>
    <workbookView xWindow="11910" yWindow="0" windowWidth="12180" windowHeight="15370" firstSheet="1"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32" i="7" l="1" a="1"/>
  <c r="K32" i="7" s="1"/>
  <c r="K26" i="7" a="1"/>
  <c r="K26" i="7"/>
  <c r="K27" i="7" a="1"/>
  <c r="K27" i="7" s="1"/>
  <c r="K28" i="7" a="1"/>
  <c r="K28" i="7" s="1"/>
  <c r="K29" i="7" a="1"/>
  <c r="K29" i="7" s="1"/>
  <c r="K30" i="7" a="1"/>
  <c r="K30" i="7" s="1"/>
  <c r="K31" i="7" a="1"/>
  <c r="K31" i="7"/>
  <c r="J29" i="7" a="1"/>
  <c r="J29" i="7" s="1"/>
  <c r="J30" i="7" a="1"/>
  <c r="J30" i="7" s="1"/>
  <c r="J31" i="7" a="1"/>
  <c r="J31" i="7" s="1"/>
  <c r="J32" i="7" a="1"/>
  <c r="J32" i="7" s="1"/>
  <c r="J27" i="7" a="1"/>
  <c r="J27" i="7" s="1"/>
  <c r="J28" i="7" a="1"/>
  <c r="J28" i="7" s="1"/>
  <c r="J26" i="7" a="1"/>
  <c r="J26" i="7" s="1"/>
  <c r="J33" i="7" a="1"/>
  <c r="J33" i="7" s="1"/>
  <c r="J24" i="7" a="1"/>
  <c r="J24" i="7" s="1"/>
  <c r="J25" i="7" a="1"/>
  <c r="J25" i="7" s="1"/>
  <c r="I26" i="7"/>
  <c r="I27" i="7"/>
  <c r="I28" i="7"/>
  <c r="I29" i="7"/>
  <c r="I30" i="7"/>
  <c r="I31" i="7"/>
  <c r="J10" i="7" a="1"/>
  <c r="J10" i="7" s="1"/>
  <c r="K10" i="7" a="1"/>
  <c r="K10" i="7" s="1"/>
  <c r="J11" i="7" a="1"/>
  <c r="J11" i="7" s="1"/>
  <c r="K11" i="7" a="1"/>
  <c r="K11" i="7" s="1"/>
  <c r="J12" i="7" a="1"/>
  <c r="J12" i="7" s="1"/>
  <c r="K12" i="7" a="1"/>
  <c r="K12" i="7" s="1"/>
  <c r="I14" i="7"/>
  <c r="G37" i="7"/>
  <c r="G4" i="7"/>
  <c r="G22" i="7"/>
  <c r="G14" i="7"/>
  <c r="N14" i="7"/>
  <c r="U14" i="7"/>
  <c r="AB14" i="7"/>
  <c r="AI14" i="7"/>
  <c r="AP14" i="7"/>
  <c r="J15" i="7" a="1"/>
  <c r="J15" i="7" s="1"/>
  <c r="K15" i="7" a="1"/>
  <c r="K15" i="7" s="1"/>
  <c r="J16" i="7" a="1"/>
  <c r="J16" i="7" s="1"/>
  <c r="K16" i="7" a="1"/>
  <c r="K16" i="7" s="1"/>
  <c r="J17" i="7" a="1"/>
  <c r="J17" i="7" s="1"/>
  <c r="K17" i="7" a="1"/>
  <c r="K17" i="7" s="1"/>
  <c r="J18" i="7" a="1"/>
  <c r="J18" i="7" s="1"/>
  <c r="K18" i="7" a="1"/>
  <c r="K18" i="7" s="1"/>
  <c r="J19" i="7" a="1"/>
  <c r="J19" i="7" s="1"/>
  <c r="K19" i="7" a="1"/>
  <c r="K19" i="7" s="1"/>
  <c r="N37" i="7"/>
  <c r="N22" i="7"/>
  <c r="C11" i="10"/>
  <c r="DA4" i="7"/>
  <c r="CT4" i="7"/>
  <c r="CM4" i="7"/>
  <c r="CF4" i="7"/>
  <c r="BY4" i="7"/>
  <c r="BR4" i="7"/>
  <c r="C7" i="10"/>
  <c r="K47" i="7" a="1"/>
  <c r="K47" i="7" s="1"/>
  <c r="J47" i="7" a="1"/>
  <c r="J47" i="7" s="1"/>
  <c r="I47" i="7"/>
  <c r="K46" i="7" a="1"/>
  <c r="K46" i="7" s="1"/>
  <c r="J46" i="7" a="1"/>
  <c r="J46" i="7" s="1"/>
  <c r="I46" i="7"/>
  <c r="K45" i="7" a="1"/>
  <c r="K45" i="7" s="1"/>
  <c r="J45" i="7" a="1"/>
  <c r="J45" i="7" s="1"/>
  <c r="I45" i="7"/>
  <c r="K44" i="7" a="1"/>
  <c r="K44" i="7" s="1"/>
  <c r="J44" i="7" a="1"/>
  <c r="J44" i="7" s="1"/>
  <c r="I44" i="7"/>
  <c r="K43" i="7" a="1"/>
  <c r="K43" i="7" s="1"/>
  <c r="J43" i="7" a="1"/>
  <c r="J43" i="7" s="1"/>
  <c r="I43" i="7"/>
  <c r="K42" i="7" a="1"/>
  <c r="K42" i="7" s="1"/>
  <c r="J42" i="7" a="1"/>
  <c r="J42" i="7" s="1"/>
  <c r="I42" i="7"/>
  <c r="K41" i="7" a="1"/>
  <c r="K41" i="7" s="1"/>
  <c r="J41" i="7" a="1"/>
  <c r="J41" i="7" s="1"/>
  <c r="I41" i="7"/>
  <c r="K40" i="7" a="1"/>
  <c r="K40" i="7" s="1"/>
  <c r="J40" i="7" a="1"/>
  <c r="J40" i="7" s="1"/>
  <c r="I40" i="7"/>
  <c r="K39" i="7" a="1"/>
  <c r="K39" i="7" s="1"/>
  <c r="J39" i="7" a="1"/>
  <c r="J39" i="7" s="1"/>
  <c r="I39" i="7"/>
  <c r="K38" i="7" a="1"/>
  <c r="K38" i="7" s="1"/>
  <c r="J38" i="7" a="1"/>
  <c r="J38" i="7" s="1"/>
  <c r="I38" i="7"/>
  <c r="BK4" i="7"/>
  <c r="C12" i="10"/>
  <c r="K20" i="7" a="1"/>
  <c r="K20" i="7" s="1"/>
  <c r="J20" i="7" a="1"/>
  <c r="J20" i="7" s="1"/>
  <c r="K35" i="7" a="1"/>
  <c r="K35" i="7" s="1"/>
  <c r="J35" i="7" a="1"/>
  <c r="J35" i="7" s="1"/>
  <c r="K34" i="7" a="1"/>
  <c r="K34" i="7" s="1"/>
  <c r="J34" i="7" a="1"/>
  <c r="J34" i="7" s="1"/>
  <c r="K33" i="7" a="1"/>
  <c r="K33" i="7" s="1"/>
  <c r="K25" i="7" a="1"/>
  <c r="K25" i="7" s="1"/>
  <c r="K24" i="7" a="1"/>
  <c r="K24" i="7" s="1"/>
  <c r="K23" i="7" a="1"/>
  <c r="K23" i="7" s="1"/>
  <c r="J23" i="7" a="1"/>
  <c r="J23" i="7" s="1"/>
  <c r="K9" i="7" a="1"/>
  <c r="K9" i="7" s="1"/>
  <c r="J9" i="7" a="1"/>
  <c r="J9" i="7" s="1"/>
  <c r="K8" i="7" a="1"/>
  <c r="K8" i="7" s="1"/>
  <c r="J8" i="7" a="1"/>
  <c r="J8" i="7" s="1"/>
  <c r="K7" i="7" a="1"/>
  <c r="K7" i="7" s="1"/>
  <c r="J7" i="7" a="1"/>
  <c r="J7" i="7" s="1"/>
  <c r="K6" i="7" a="1"/>
  <c r="K6" i="7" s="1"/>
  <c r="J6" i="7" a="1"/>
  <c r="J6" i="7" s="1"/>
  <c r="K5" i="7" a="1"/>
  <c r="K5" i="7" s="1"/>
  <c r="J5" i="7" a="1"/>
  <c r="J5" i="7" s="1"/>
  <c r="BD4" i="7"/>
  <c r="AW4" i="7"/>
  <c r="AP4" i="7"/>
  <c r="AI4" i="7"/>
  <c r="U4" i="7"/>
  <c r="N4" i="7"/>
  <c r="AP22" i="7"/>
  <c r="AI22" i="7"/>
  <c r="AB22" i="7"/>
  <c r="U22" i="7"/>
  <c r="I35" i="7"/>
  <c r="I34" i="7"/>
  <c r="I33" i="7"/>
  <c r="I25" i="7"/>
  <c r="I24" i="7"/>
  <c r="I4" i="7"/>
  <c r="I22" i="7" l="1"/>
  <c r="AP37" i="7"/>
  <c r="J4" i="7"/>
  <c r="J14" i="7"/>
  <c r="K14" i="7"/>
  <c r="U37" i="7"/>
  <c r="AB37" i="7"/>
  <c r="AI37" i="7"/>
  <c r="J22" i="7"/>
  <c r="K22" i="7"/>
  <c r="K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<sst xmlns="http://schemas.openxmlformats.org/spreadsheetml/2006/main" count="317" uniqueCount="143">
  <si>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</si>
  <si>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</si>
  <si>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</si>
  <si>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</si>
  <si>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</si>
  <si>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</si>
  <si>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</si>
  <si>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</si>
  <si>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</si>
  <si>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</si>
  <si>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</si>
  <si>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</si>
  <si>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</si>
  <si>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</si>
  <si>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</si>
  <si>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</si>
  <si>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</si>
  <si>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</si>
  <si>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</si>
  <si>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</si>
  <si>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</si>
  <si>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</si>
  <si>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</si>
  <si>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</si>
  <si>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</si>
  <si>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</si>
  <si>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</si>
  <si>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</si>
  <si>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</si>
  <si>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</si>
  <si>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</si>
  <si>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</si>
  <si>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</si>
  <si>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</si>
  <si>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</si>
  <si>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KW 19</t>
  </si>
  <si>
    <t>KW 20</t>
  </si>
  <si>
    <t>KW 21</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</si>
  <si>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</si>
  <si>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</si>
  <si>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</si>
  <si>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</si>
  <si>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Mikroökonomie</t>
  </si>
  <si>
    <t>KW 24</t>
  </si>
  <si>
    <t>KW 25</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</si>
  <si>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</si>
  <si>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</si>
  <si>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</si>
  <si>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</si>
  <si>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</si>
  <si>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</si>
  <si>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</si>
  <si>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</si>
  <si>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</si>
  <si>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</si>
  <si>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</si>
  <si>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</si>
  <si>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</si>
  <si>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</si>
  <si>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</si>
  <si>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</si>
  <si>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</si>
  <si>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</si>
  <si>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</si>
  <si>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</si>
  <si>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</si>
  <si>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</si>
  <si>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</si>
  <si>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</si>
  <si>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</si>
  <si>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</si>
  <si>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</si>
  <si>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</si>
  <si>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</si>
  <si>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</si>
  <si>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</si>
  <si>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</si>
  <si>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</si>
  <si>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</si>
  <si>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</si>
  <si>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</si>
  <si>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</si>
  <si>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</si>
  <si>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</si>
  <si>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</si>
  <si>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</si>
  <si>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</si>
  <si>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</si>
  <si>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</si>
  <si>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</si>
  <si>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</si>
  <si>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</si>
  <si>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</si>
  <si>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</si>
  <si>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KW 26</t>
  </si>
  <si>
    <t>KLAUSUREN!!!</t>
  </si>
  <si>
    <t>KlausurFrüh</t>
  </si>
  <si>
    <t>KW 17</t>
  </si>
  <si>
    <t>KW 18</t>
  </si>
  <si>
    <t>Vorlesungen</t>
  </si>
  <si>
    <t>Aufstehen</t>
  </si>
  <si>
    <t>Zur Uni fahren</t>
  </si>
  <si>
    <t>6) Markteffizienz und Finanzierungsentscheidungen</t>
  </si>
  <si>
    <t>3) Bewertung von Investitionsentscheidungen</t>
  </si>
  <si>
    <t>5) Einfluss der Finanzierung auf Eigenkapitalrendite</t>
  </si>
  <si>
    <t>4) Berücksichtigung des Risikos</t>
  </si>
  <si>
    <t>1) Finanzmanagement</t>
  </si>
  <si>
    <t>2) Finanzierungsformen</t>
  </si>
  <si>
    <t>Finance</t>
  </si>
  <si>
    <t>Stochastik</t>
  </si>
  <si>
    <t>Makro</t>
  </si>
  <si>
    <t>1) Makroökonomische Daten</t>
  </si>
  <si>
    <t>2) Gesamtwirtschaftliches Einkommen</t>
  </si>
  <si>
    <t>3) Geld und Inflation</t>
  </si>
  <si>
    <t>4) Der Konjunkturzyklus und das 
keynesianische Kreuz</t>
  </si>
  <si>
    <t>5) Das IS-LM Modell</t>
  </si>
  <si>
    <t>6) Die Analyse gesamtwirtschaftlicher
Schwankungen mit dem
IS-LM / AS-AD Modell</t>
  </si>
  <si>
    <t>2) Verbrauchernachfrage</t>
  </si>
  <si>
    <t>3) Angebot und Vollkommener Wettbewerb</t>
  </si>
  <si>
    <t>4) Externalitäten</t>
  </si>
  <si>
    <t>5) Monopole</t>
  </si>
  <si>
    <t>6) Spieltheorie</t>
  </si>
  <si>
    <t>7)Verhaltensökonomie</t>
  </si>
  <si>
    <t>8) Entscheidungstheorie + Lagrange Multiplikator</t>
  </si>
  <si>
    <t xml:space="preserve"> 9) Ansätze (Optimistisch, Pessimistisch)</t>
  </si>
  <si>
    <t>10) Entscheidungsbäume + Risikofreude</t>
  </si>
  <si>
    <t>Nein</t>
  </si>
  <si>
    <t>Ja</t>
  </si>
  <si>
    <t>2) -Maßnahmen zur Beschreibung statistischer Vert.</t>
  </si>
  <si>
    <t>4) Lineare Regressionsgleichung</t>
  </si>
  <si>
    <t>II. 5) Kombinatorik</t>
  </si>
  <si>
    <t>6) Grundlagen der Wahrscheinlichkeitstheorie</t>
  </si>
  <si>
    <t>7) Zufallsvariablen in einer Dimension</t>
  </si>
  <si>
    <t>8) Zufallsvariablen in zwei oder mehr Dimensionen</t>
  </si>
  <si>
    <t>9) Stochastische Modelle und spezielle Verteilungen</t>
  </si>
  <si>
    <t>10) Grenzwertsätze</t>
  </si>
  <si>
    <t>3) Zweidimensioale Verteilungen</t>
  </si>
  <si>
    <t>1) I. Statistische Merkmale &amp; Variablen</t>
  </si>
  <si>
    <t>7) Arbeitslosigkeit in der kurzen und langen Frist</t>
  </si>
  <si>
    <t>8) Lehren aus der Inflation der frühen 
2020er Jahre</t>
  </si>
  <si>
    <t>III. 11) Punktschätzung von Parametern einer GG</t>
  </si>
  <si>
    <t>12) Intervallschätzungen</t>
  </si>
  <si>
    <t>13) Statistisches Testen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</si>
</sst>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Normal" xfId="0" builtinId="0"/>
  </cellStyles>
  <dxfs count="33">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32">
  <autoFilter ref="A1:K46" xr:uid="{6E266E34-2786-2747-BCE7-51B74867A564}"/>
  <tableColumns count="11">
    <tableColumn id="1" xr3:uid="{95FD92F7-3DC8-704D-A103-A7EDDAB255AB}" name="Datum" dataDxfId="31"/>
    <tableColumn id="2" xr3:uid="{F464D510-8166-E740-A343-FB84BDEF877F}" name="Lerneinheiten durchgezogen" dataDxfId="30"/>
    <tableColumn id="3" xr3:uid="{75F52B08-1A00-0848-BBE6-1EDF7B31B1AD}" name="Tagesplan erstellt" dataDxfId="29"/>
    <tableColumn id="4" xr3:uid="{E6B18D89-E799-AD48-9DAA-37AEE1D29011}" name="Konzentrationslevel" dataDxfId="28"/>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34" sqref="B34"/>
    </sheetView>
  </sheetViews>
  <sheetFormatPr defaultColWidth="10.6640625" defaultRowHeight="15.5"/>
  <cols>
    <col min="1" max="1" width="11.83203125" customWidth="1"/>
    <col min="2" max="2" width="62.6640625" customWidth="1"/>
  </cols>
  <sheetData>
    <row r="2" spans="1:4">
      <c r="C2" s="18" t="s">
        <v>78</v>
      </c>
    </row>
    <row r="3" spans="1:4">
      <c r="C3" s="17" t="s">
        <v>63</v>
      </c>
    </row>
    <row r="4" spans="1:4">
      <c r="C4" s="16" t="s">
        <v>77</v>
      </c>
    </row>
    <row r="5" spans="1:4">
      <c r="A5" s="2" t="s">
        <v>60</v>
      </c>
      <c r="B5" s="2" t="s">
        <v>61</v>
      </c>
      <c r="C5" s="2" t="s">
        <v>62</v>
      </c>
      <c r="D5" s="2" t="s">
        <v>64</v>
      </c>
    </row>
    <row r="6" spans="1:4">
      <c r="A6" t="s">
        <v>56</v>
      </c>
      <c r="B6" s="18" t="s">
        <v>59</v>
      </c>
      <c r="D6" t="s">
        <v>93</v>
      </c>
    </row>
    <row r="7" spans="1:4">
      <c r="A7" t="s">
        <v>67</v>
      </c>
      <c r="B7" t="s">
        <v>68</v>
      </c>
      <c r="C7" s="16">
        <f>6+8+11+7+10</f>
        <v>42</v>
      </c>
    </row>
    <row r="8" spans="1:4">
      <c r="A8" t="s">
        <v>58</v>
      </c>
      <c r="B8" s="18" t="s">
        <v>57</v>
      </c>
      <c r="D8" t="s">
        <v>81</v>
      </c>
    </row>
    <row r="9" spans="1:4">
      <c r="A9" t="s">
        <v>66</v>
      </c>
      <c r="B9" s="18" t="s">
        <v>79</v>
      </c>
      <c r="D9" t="s">
        <v>82</v>
      </c>
    </row>
    <row r="10" spans="1:4">
      <c r="A10" t="s">
        <v>70</v>
      </c>
      <c r="B10" t="s">
        <v>69</v>
      </c>
      <c r="C10" s="16">
        <v>10.5</v>
      </c>
      <c r="D10" t="s">
        <v>65</v>
      </c>
    </row>
    <row r="11" spans="1:4">
      <c r="A11" t="s">
        <v>71</v>
      </c>
      <c r="B11" t="s">
        <v>73</v>
      </c>
      <c r="C11" s="16">
        <f>42*3</f>
        <v>126</v>
      </c>
      <c r="D11" t="s">
        <v>72</v>
      </c>
    </row>
    <row r="12" spans="1:4">
      <c r="A12" t="s">
        <v>75</v>
      </c>
      <c r="B12" t="s">
        <v>74</v>
      </c>
      <c r="C12" s="17">
        <f>C11/C10</f>
        <v>12</v>
      </c>
    </row>
    <row r="13" spans="1:4">
      <c r="A13" t="s">
        <v>80</v>
      </c>
      <c r="B13" t="s">
        <v>76</v>
      </c>
      <c r="D13" t="s">
        <v>83</v>
      </c>
    </row>
    <row r="14" spans="1:4">
      <c r="A14" t="s">
        <v>84</v>
      </c>
      <c r="B14" t="s">
        <v>85</v>
      </c>
      <c r="D14" t="s">
        <v>86</v>
      </c>
    </row>
    <row r="15" spans="1:4">
      <c r="A15" t="s">
        <v>87</v>
      </c>
      <c r="B15" s="18" t="s">
        <v>88</v>
      </c>
    </row>
    <row r="16" spans="1:4">
      <c r="A16" t="s">
        <v>91</v>
      </c>
      <c r="B16" s="18" t="s">
        <v>89</v>
      </c>
    </row>
    <row r="17" spans="1:2">
      <c r="A17" t="s">
        <v>92</v>
      </c>
      <c r="B17" t="s">
        <v>90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F47"/>
  <sheetViews>
    <sheetView showGridLines="0" tabSelected="1" zoomScale="49" zoomScaleNormal="100" workbookViewId="0">
      <pane xSplit="12" topLeftCell="M1" activePane="topRight" state="frozen"/>
      <selection pane="topRight" activeCell="D18" sqref="D18"/>
    </sheetView>
  </sheetViews>
  <sheetFormatPr defaultColWidth="8.83203125" defaultRowHeight="15.5" outlineLevelRow="1"/>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s>
  <sheetData>
    <row r="1" spans="2:110" ht="33.5">
      <c r="B1" s="4" t="s">
        <v>0</v>
      </c>
      <c r="D1" s="4"/>
      <c r="G1" s="13" t="s">
        <v>34</v>
      </c>
      <c r="I1" s="13" t="s">
        <v>34</v>
      </c>
      <c r="J1" s="13" t="s">
        <v>34</v>
      </c>
      <c r="K1" s="13" t="s">
        <v>34</v>
      </c>
    </row>
    <row r="2" spans="2:110">
      <c r="I2" s="20" t="s">
        <v>27</v>
      </c>
      <c r="J2" s="20"/>
      <c r="K2" s="20"/>
      <c r="L2" s="20"/>
      <c r="N2" s="20" t="s">
        <v>97</v>
      </c>
      <c r="O2" s="20"/>
      <c r="P2" s="20"/>
      <c r="Q2" s="20"/>
      <c r="R2" s="20"/>
      <c r="S2" s="20"/>
      <c r="U2" s="20" t="s">
        <v>98</v>
      </c>
      <c r="V2" s="20"/>
      <c r="W2" s="20"/>
      <c r="X2" s="20"/>
      <c r="Y2" s="20"/>
      <c r="Z2" s="20"/>
      <c r="AB2" s="20" t="s">
        <v>35</v>
      </c>
      <c r="AC2" s="20"/>
      <c r="AD2" s="20"/>
      <c r="AE2" s="20"/>
      <c r="AF2" s="20"/>
      <c r="AG2" s="20"/>
      <c r="AI2" s="20" t="s">
        <v>36</v>
      </c>
      <c r="AJ2" s="20"/>
      <c r="AK2" s="20"/>
      <c r="AL2" s="20"/>
      <c r="AM2" s="20"/>
      <c r="AN2" s="20"/>
      <c r="AP2" s="20" t="s">
        <v>37</v>
      </c>
      <c r="AQ2" s="20"/>
      <c r="AR2" s="20"/>
      <c r="AS2" s="20"/>
      <c r="AT2" s="20"/>
      <c r="AU2" s="20"/>
      <c r="AW2" s="20" t="s">
        <v>43</v>
      </c>
      <c r="AX2" s="20"/>
      <c r="AY2" s="20"/>
      <c r="AZ2" s="20"/>
      <c r="BA2" s="20"/>
      <c r="BB2" s="20"/>
      <c r="BD2" s="20" t="s">
        <v>44</v>
      </c>
      <c r="BE2" s="20"/>
      <c r="BF2" s="20"/>
      <c r="BG2" s="20"/>
      <c r="BH2" s="20"/>
      <c r="BI2" s="20"/>
      <c r="BK2" s="20" t="s">
        <v>94</v>
      </c>
      <c r="BL2" s="20"/>
      <c r="BM2" s="20"/>
      <c r="BN2" s="20"/>
      <c r="BO2" s="20"/>
      <c r="BP2" s="20"/>
      <c r="BR2" s="20" t="s">
        <v>96</v>
      </c>
      <c r="BS2" s="20"/>
      <c r="BT2" s="20"/>
      <c r="BU2" s="20"/>
      <c r="BV2" s="20"/>
      <c r="BW2" s="20"/>
      <c r="BY2" s="20" t="s">
        <v>94</v>
      </c>
      <c r="BZ2" s="20"/>
      <c r="CA2" s="20"/>
      <c r="CB2" s="20"/>
      <c r="CC2" s="20"/>
      <c r="CD2" s="20"/>
      <c r="CF2" s="20" t="s">
        <v>94</v>
      </c>
      <c r="CG2" s="20"/>
      <c r="CH2" s="20"/>
      <c r="CI2" s="20"/>
      <c r="CJ2" s="20"/>
      <c r="CK2" s="20"/>
      <c r="CM2" s="20" t="s">
        <v>94</v>
      </c>
      <c r="CN2" s="20"/>
      <c r="CO2" s="20"/>
      <c r="CP2" s="20"/>
      <c r="CQ2" s="20"/>
      <c r="CR2" s="20"/>
      <c r="CT2" s="20" t="s">
        <v>94</v>
      </c>
      <c r="CU2" s="20"/>
      <c r="CV2" s="20"/>
      <c r="CW2" s="20"/>
      <c r="CX2" s="20"/>
      <c r="CY2" s="20"/>
      <c r="DA2" s="20" t="s">
        <v>95</v>
      </c>
      <c r="DB2" s="20"/>
      <c r="DC2" s="20"/>
      <c r="DD2" s="20"/>
      <c r="DE2" s="20"/>
      <c r="DF2" s="20"/>
    </row>
    <row r="3" spans="2:110">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row>
    <row r="4" spans="2:110">
      <c r="B4" t="s">
        <v>27</v>
      </c>
      <c r="C4" t="s">
        <v>110</v>
      </c>
      <c r="D4" s="19">
        <v>45069</v>
      </c>
      <c r="E4" s="9">
        <v>6</v>
      </c>
      <c r="G4" s="10">
        <f>SUM(G5:G12)</f>
        <v>0.44999999999999996</v>
      </c>
      <c r="I4" s="12">
        <f>SUM(I5:I12)</f>
        <v>6</v>
      </c>
      <c r="J4" s="11">
        <f>+SUMPRODUCT(G5:G12,J5:J12)</f>
        <v>0.19500000000000006</v>
      </c>
      <c r="K4" s="11">
        <f>+SUMPRODUCT(G5:G12,K5:K12)</f>
        <v>0.19500000000000006</v>
      </c>
      <c r="L4" s="9"/>
      <c r="N4" s="12">
        <f>+SUM(N5:N12)</f>
        <v>7</v>
      </c>
      <c r="U4" s="12">
        <f>+SUM(U5:U12)</f>
        <v>0</v>
      </c>
      <c r="AB4" s="12">
        <v>100</v>
      </c>
      <c r="AI4" s="12">
        <f>+SUM(AI5:AI12)</f>
        <v>0</v>
      </c>
      <c r="AP4" s="12">
        <f>+SUM(AP5:AP12)</f>
        <v>0</v>
      </c>
      <c r="AW4" s="12">
        <f>+SUM(AW5:AW12)</f>
        <v>0</v>
      </c>
      <c r="BD4" s="12">
        <f>+SUM(BD5:BD12)</f>
        <v>0</v>
      </c>
      <c r="BK4" s="12">
        <f>+SUM(BK5:BK12)</f>
        <v>0</v>
      </c>
      <c r="BR4" s="12">
        <f>+SUM(BR5:BR12)</f>
        <v>0</v>
      </c>
      <c r="BY4" s="12">
        <f>+SUM(BY5:BY12)</f>
        <v>0</v>
      </c>
      <c r="CF4" s="12">
        <f>+SUM(CF5:CF12)</f>
        <v>0</v>
      </c>
      <c r="CM4" s="12">
        <f>+SUM(CM5:CM12)</f>
        <v>0</v>
      </c>
      <c r="CT4" s="12">
        <f>+SUM(CT5:CT12)</f>
        <v>0</v>
      </c>
      <c r="DA4" s="12">
        <f>+SUM(DA5:DA12)</f>
        <v>0</v>
      </c>
    </row>
    <row r="5" spans="2:110" outlineLevel="1">
      <c r="B5" t="s">
        <v>28</v>
      </c>
      <c r="C5" t="s">
        <v>110</v>
      </c>
      <c r="E5" s="9"/>
      <c r="F5" t="s">
        <v>111</v>
      </c>
      <c r="G5" s="10">
        <v>0.1</v>
      </c>
      <c r="I5" s="9">
        <v>1.5</v>
      </c>
      <c r="J5" s="11" cm="1">
        <f t="array" ref="J5">MAX(IF($N$3:$EH$3=$J$3,N5:EH5))</f>
        <v>0.7</v>
      </c>
      <c r="K5" s="11" cm="1">
        <f t="array" ref="K5">MAX(IF($N$3:$EH$3=$J$3,N5:EH5))</f>
        <v>0.7</v>
      </c>
      <c r="L5" s="9"/>
      <c r="N5">
        <v>2</v>
      </c>
      <c r="O5" s="10">
        <v>0.7</v>
      </c>
      <c r="P5" s="10">
        <v>0.8</v>
      </c>
      <c r="Q5" s="10">
        <v>0.1</v>
      </c>
      <c r="R5" s="10">
        <v>0.8</v>
      </c>
      <c r="V5" s="10"/>
      <c r="W5" s="10"/>
      <c r="X5" s="10"/>
      <c r="Y5" s="10"/>
      <c r="AC5" s="10"/>
      <c r="AD5" s="10"/>
      <c r="AE5" s="10"/>
      <c r="AF5" s="10"/>
      <c r="AJ5" s="10"/>
      <c r="AK5" s="10"/>
      <c r="AL5" s="10"/>
      <c r="AM5" s="10"/>
      <c r="AQ5" s="10"/>
      <c r="AR5" s="10">
        <v>1</v>
      </c>
      <c r="AS5" s="10"/>
      <c r="AT5" s="10">
        <v>1</v>
      </c>
      <c r="AX5" s="10"/>
      <c r="AY5" s="10"/>
      <c r="AZ5" s="10"/>
      <c r="BA5" s="10"/>
      <c r="BE5" s="10"/>
      <c r="BF5" s="10"/>
      <c r="BG5" s="10"/>
      <c r="BH5" s="10"/>
      <c r="BL5" s="10"/>
      <c r="BM5" s="10"/>
      <c r="BN5" s="10"/>
      <c r="BO5" s="10"/>
      <c r="BS5" s="10"/>
      <c r="BT5" s="10">
        <v>1</v>
      </c>
      <c r="BU5" s="10"/>
      <c r="BV5" s="10">
        <v>1</v>
      </c>
      <c r="BZ5" s="10"/>
      <c r="CA5" s="10">
        <v>1</v>
      </c>
      <c r="CB5" s="10"/>
      <c r="CC5" s="10">
        <v>1</v>
      </c>
      <c r="CG5" s="10"/>
      <c r="CH5" s="10">
        <v>1</v>
      </c>
      <c r="CI5" s="10"/>
      <c r="CJ5" s="10">
        <v>1</v>
      </c>
      <c r="CN5" s="10"/>
      <c r="CO5" s="10"/>
      <c r="CP5" s="10"/>
      <c r="CQ5" s="10"/>
      <c r="CU5" s="10"/>
      <c r="CV5" s="10"/>
      <c r="CW5" s="10"/>
      <c r="CX5" s="10"/>
      <c r="DB5" s="10"/>
      <c r="DC5" s="10"/>
      <c r="DD5" s="10"/>
      <c r="DE5" s="10"/>
    </row>
    <row r="6" spans="2:110" outlineLevel="1">
      <c r="B6" t="s">
        <v>28</v>
      </c>
      <c r="C6" t="s">
        <v>110</v>
      </c>
      <c r="E6" s="9"/>
      <c r="F6" t="s">
        <v>112</v>
      </c>
      <c r="G6" s="10">
        <v>0.05</v>
      </c>
      <c r="I6" s="9">
        <v>0.5</v>
      </c>
      <c r="J6" s="11" cm="1">
        <f t="array" ref="J6">MAX(IF($N$3:$EH$3=$J$3,N6:EH6))</f>
        <v>0.5</v>
      </c>
      <c r="K6" s="11" cm="1">
        <f t="array" ref="K6">MAX(IF($N$3:$EH$3=$J$3,N6:EH6))</f>
        <v>0.5</v>
      </c>
      <c r="L6" s="9"/>
      <c r="N6">
        <v>1.5</v>
      </c>
      <c r="O6" s="10">
        <v>0.5</v>
      </c>
      <c r="P6" s="10">
        <v>0.5</v>
      </c>
      <c r="Q6" s="10"/>
      <c r="R6" s="10">
        <v>0.5</v>
      </c>
      <c r="V6" s="10"/>
      <c r="W6" s="10"/>
      <c r="X6" s="10"/>
      <c r="Y6" s="10"/>
      <c r="AC6" s="10"/>
      <c r="AD6" s="10"/>
      <c r="AE6" s="10"/>
      <c r="AF6" s="10"/>
      <c r="AJ6" s="10"/>
      <c r="AK6" s="10"/>
      <c r="AL6" s="10"/>
      <c r="AM6" s="10"/>
      <c r="AQ6" s="10"/>
      <c r="AR6" s="10">
        <v>1</v>
      </c>
      <c r="AS6" s="10"/>
      <c r="AT6" s="10">
        <v>1</v>
      </c>
      <c r="AX6" s="10"/>
      <c r="AY6" s="10"/>
      <c r="AZ6" s="10"/>
      <c r="BA6" s="10"/>
      <c r="BE6" s="10"/>
      <c r="BF6" s="10"/>
      <c r="BG6" s="10"/>
      <c r="BH6" s="10"/>
      <c r="BL6" s="10"/>
      <c r="BM6" s="10"/>
      <c r="BN6" s="10"/>
      <c r="BO6" s="10"/>
      <c r="BS6" s="10"/>
      <c r="BT6" s="10">
        <v>0.8</v>
      </c>
      <c r="BU6" s="10"/>
      <c r="BV6" s="10">
        <v>0.8</v>
      </c>
      <c r="BZ6" s="10"/>
      <c r="CA6" s="10">
        <v>1</v>
      </c>
      <c r="CB6" s="10"/>
      <c r="CC6" s="10">
        <v>1</v>
      </c>
      <c r="CG6" s="10"/>
      <c r="CH6" s="10">
        <v>1</v>
      </c>
      <c r="CI6" s="10"/>
      <c r="CJ6" s="10">
        <v>1</v>
      </c>
      <c r="CN6" s="10"/>
      <c r="CO6" s="10"/>
      <c r="CP6" s="10"/>
      <c r="CQ6" s="10"/>
      <c r="CU6" s="10"/>
      <c r="CV6" s="10"/>
      <c r="CW6" s="10"/>
      <c r="CX6" s="10"/>
      <c r="DB6" s="10"/>
      <c r="DC6" s="10"/>
      <c r="DD6" s="10"/>
      <c r="DE6" s="10"/>
    </row>
    <row r="7" spans="2:110" outlineLevel="1">
      <c r="B7" t="s">
        <v>28</v>
      </c>
      <c r="C7" t="s">
        <v>110</v>
      </c>
      <c r="E7" s="9"/>
      <c r="F7" t="s">
        <v>113</v>
      </c>
      <c r="G7" s="10">
        <v>0.05</v>
      </c>
      <c r="I7" s="9">
        <v>1</v>
      </c>
      <c r="J7" s="11" cm="1">
        <f t="array" ref="J7">MAX(IF($N$3:$EH$3=$J$3,N7:EH7))</f>
        <v>0.3</v>
      </c>
      <c r="K7" s="11" cm="1">
        <f t="array" ref="K7">MAX(IF($N$3:$EH$3=$J$3,N7:EH7))</f>
        <v>0.3</v>
      </c>
      <c r="L7" s="9"/>
      <c r="N7">
        <v>1.5</v>
      </c>
      <c r="O7" s="10">
        <v>0.3</v>
      </c>
      <c r="P7" s="10">
        <v>0.3</v>
      </c>
      <c r="Q7" s="10"/>
      <c r="R7" s="10">
        <v>0.3</v>
      </c>
      <c r="V7" s="10"/>
      <c r="W7" s="10"/>
      <c r="X7" s="10"/>
      <c r="Y7" s="10"/>
      <c r="AC7" s="10"/>
      <c r="AD7" s="10"/>
      <c r="AE7" s="10"/>
      <c r="AF7" s="10"/>
      <c r="AJ7" s="10"/>
      <c r="AK7" s="10"/>
      <c r="AL7" s="10"/>
      <c r="AM7" s="10"/>
      <c r="AQ7" s="10"/>
      <c r="AR7" s="10">
        <v>1</v>
      </c>
      <c r="AS7" s="10"/>
      <c r="AT7" s="10">
        <v>1</v>
      </c>
      <c r="AX7" s="10"/>
      <c r="AY7" s="10"/>
      <c r="AZ7" s="10"/>
      <c r="BA7" s="10"/>
      <c r="BE7" s="10"/>
      <c r="BF7" s="10"/>
      <c r="BG7" s="10"/>
      <c r="BH7" s="10"/>
      <c r="BL7" s="10"/>
      <c r="BM7" s="10"/>
      <c r="BN7" s="10"/>
      <c r="BO7" s="10"/>
      <c r="BS7" s="10"/>
      <c r="BT7" s="10">
        <v>0.8</v>
      </c>
      <c r="BU7" s="10"/>
      <c r="BV7" s="10">
        <v>0.8</v>
      </c>
      <c r="BZ7" s="10"/>
      <c r="CA7" s="10">
        <v>1</v>
      </c>
      <c r="CB7" s="10"/>
      <c r="CC7" s="10">
        <v>1</v>
      </c>
      <c r="CG7" s="10"/>
      <c r="CH7" s="10">
        <v>1</v>
      </c>
      <c r="CI7" s="10"/>
      <c r="CJ7" s="10">
        <v>1</v>
      </c>
      <c r="CN7" s="10"/>
      <c r="CO7" s="10"/>
      <c r="CP7" s="10"/>
      <c r="CQ7" s="10"/>
      <c r="CU7" s="10"/>
      <c r="CV7" s="10"/>
      <c r="CW7" s="10"/>
      <c r="CX7" s="10"/>
      <c r="DB7" s="10"/>
      <c r="DC7" s="10"/>
      <c r="DD7" s="10"/>
      <c r="DE7" s="10"/>
    </row>
    <row r="8" spans="2:110" ht="31" outlineLevel="1">
      <c r="B8" t="s">
        <v>28</v>
      </c>
      <c r="C8" t="s">
        <v>110</v>
      </c>
      <c r="E8" s="9"/>
      <c r="F8" s="1" t="s">
        <v>114</v>
      </c>
      <c r="G8" s="10">
        <v>0.05</v>
      </c>
      <c r="I8" s="9">
        <v>0</v>
      </c>
      <c r="J8" s="11" cm="1">
        <f t="array" ref="J8">MAX(IF($N$3:$EH$3=$J$3,N8:EH8))</f>
        <v>0.5</v>
      </c>
      <c r="K8" s="11" cm="1">
        <f t="array" ref="K8">MAX(IF($N$3:$EH$3=$J$3,N8:EH8))</f>
        <v>0.5</v>
      </c>
      <c r="L8" s="9"/>
      <c r="N8">
        <v>2</v>
      </c>
      <c r="O8" s="10">
        <v>0.5</v>
      </c>
      <c r="P8" s="10">
        <v>0.3</v>
      </c>
      <c r="Q8" s="10"/>
      <c r="R8" s="10">
        <v>0.3</v>
      </c>
      <c r="V8" s="10"/>
      <c r="W8" s="10"/>
      <c r="X8" s="10"/>
      <c r="Y8" s="10"/>
      <c r="AC8" s="10"/>
      <c r="AD8" s="10"/>
      <c r="AE8" s="10"/>
      <c r="AF8" s="10"/>
      <c r="AJ8" s="10"/>
      <c r="AK8" s="10"/>
      <c r="AL8" s="10"/>
      <c r="AM8" s="10"/>
      <c r="AQ8" s="10"/>
      <c r="AR8" s="10">
        <v>1</v>
      </c>
      <c r="AS8" s="10"/>
      <c r="AT8" s="10">
        <v>1</v>
      </c>
      <c r="AX8" s="10"/>
      <c r="AY8" s="10"/>
      <c r="AZ8" s="10"/>
      <c r="BA8" s="10"/>
      <c r="BE8" s="10"/>
      <c r="BF8" s="10"/>
      <c r="BG8" s="10"/>
      <c r="BH8" s="10"/>
      <c r="BL8" s="10"/>
      <c r="BM8" s="10"/>
      <c r="BN8" s="10"/>
      <c r="BO8" s="10"/>
      <c r="BS8" s="10"/>
      <c r="BT8" s="10">
        <v>0.8</v>
      </c>
      <c r="BU8" s="10"/>
      <c r="BV8" s="10">
        <v>0.8</v>
      </c>
      <c r="BZ8" s="10"/>
      <c r="CA8" s="10">
        <v>1</v>
      </c>
      <c r="CB8" s="10"/>
      <c r="CC8" s="10">
        <v>1</v>
      </c>
      <c r="CG8" s="10"/>
      <c r="CH8" s="10">
        <v>1</v>
      </c>
      <c r="CI8" s="10"/>
      <c r="CJ8" s="10">
        <v>1</v>
      </c>
      <c r="CN8" s="10"/>
      <c r="CO8" s="10"/>
      <c r="CP8" s="10"/>
      <c r="CQ8" s="10"/>
      <c r="CU8" s="10"/>
      <c r="CV8" s="10"/>
      <c r="CW8" s="10"/>
      <c r="CX8" s="10"/>
      <c r="DB8" s="10"/>
      <c r="DC8" s="10"/>
      <c r="DD8" s="10"/>
      <c r="DE8" s="10"/>
    </row>
    <row r="9" spans="2:110" outlineLevel="1">
      <c r="B9" t="s">
        <v>28</v>
      </c>
      <c r="C9" t="s">
        <v>110</v>
      </c>
      <c r="E9" s="9"/>
      <c r="F9" t="s">
        <v>115</v>
      </c>
      <c r="G9" s="10">
        <v>0.05</v>
      </c>
      <c r="I9" s="9">
        <v>3</v>
      </c>
      <c r="J9" s="11" cm="1">
        <f t="array" ref="J9">MAX(IF($N$3:$EH$3=$J$3,N9:EH9))</f>
        <v>0.3</v>
      </c>
      <c r="K9" s="11" cm="1">
        <f t="array" ref="K9">MAX(IF($N$3:$EH$3=$J$3,N9:EH9))</f>
        <v>0.3</v>
      </c>
      <c r="L9" s="9"/>
      <c r="O9" s="10">
        <v>0.3</v>
      </c>
      <c r="P9" s="10">
        <v>0.3</v>
      </c>
      <c r="Q9" s="10">
        <v>0.3</v>
      </c>
      <c r="R9" s="10">
        <v>0.3</v>
      </c>
      <c r="V9" s="10"/>
      <c r="W9" s="10"/>
      <c r="X9" s="10"/>
      <c r="Y9" s="10"/>
      <c r="AC9" s="10"/>
      <c r="AD9" s="10"/>
      <c r="AE9" s="10"/>
      <c r="AF9" s="10"/>
      <c r="AJ9" s="10"/>
      <c r="AK9" s="10"/>
      <c r="AL9" s="10"/>
      <c r="AM9" s="10"/>
      <c r="AQ9" s="10"/>
      <c r="AR9" s="10">
        <v>1</v>
      </c>
      <c r="AS9" s="10"/>
      <c r="AT9" s="10">
        <v>1</v>
      </c>
      <c r="AX9" s="10"/>
      <c r="AY9" s="10"/>
      <c r="AZ9" s="10"/>
      <c r="BA9" s="10"/>
      <c r="BE9" s="10"/>
      <c r="BF9" s="10"/>
      <c r="BG9" s="10"/>
      <c r="BH9" s="10"/>
      <c r="BL9" s="10"/>
      <c r="BM9" s="10"/>
      <c r="BN9" s="10"/>
      <c r="BO9" s="10"/>
      <c r="BS9" s="10"/>
      <c r="BT9" s="10">
        <v>0.8</v>
      </c>
      <c r="BU9" s="10"/>
      <c r="BV9" s="10">
        <v>0.8</v>
      </c>
      <c r="BZ9" s="10"/>
      <c r="CA9" s="10">
        <v>0.8</v>
      </c>
      <c r="CB9" s="10"/>
      <c r="CC9" s="10">
        <v>0.8</v>
      </c>
      <c r="CG9" s="10"/>
      <c r="CH9" s="10">
        <v>1</v>
      </c>
      <c r="CI9" s="10"/>
      <c r="CJ9" s="10">
        <v>1</v>
      </c>
      <c r="CN9" s="10"/>
      <c r="CO9" s="10"/>
      <c r="CP9" s="10"/>
      <c r="CQ9" s="10"/>
      <c r="CU9" s="10"/>
      <c r="CV9" s="10"/>
      <c r="CW9" s="10"/>
      <c r="CX9" s="10"/>
      <c r="DB9" s="10"/>
      <c r="DC9" s="10"/>
      <c r="DD9" s="10"/>
      <c r="DE9" s="10"/>
    </row>
    <row r="10" spans="2:110" ht="46.5" outlineLevel="1">
      <c r="B10" t="s">
        <v>28</v>
      </c>
      <c r="C10" t="s">
        <v>110</v>
      </c>
      <c r="E10" s="9"/>
      <c r="F10" s="1" t="s">
        <v>116</v>
      </c>
      <c r="G10" s="10">
        <v>0.05</v>
      </c>
      <c r="I10" s="9">
        <v>0</v>
      </c>
      <c r="J10" s="11" cm="1">
        <f t="array" ref="J10">MAX(IF($N$3:$EH$3=$J$3,N10:EH10))</f>
        <v>0.3</v>
      </c>
      <c r="K10" s="11" cm="1">
        <f t="array" ref="K10">MAX(IF($N$3:$EH$3=$J$3,N10:EH10))</f>
        <v>0.3</v>
      </c>
      <c r="L10" s="9"/>
      <c r="O10" s="10">
        <v>0.3</v>
      </c>
      <c r="P10" s="10">
        <v>0.3</v>
      </c>
      <c r="Q10" s="10">
        <v>0.3</v>
      </c>
      <c r="R10" s="10">
        <v>0.3</v>
      </c>
      <c r="V10" s="10"/>
      <c r="W10" s="10"/>
      <c r="X10" s="10"/>
      <c r="Y10" s="10"/>
      <c r="AC10" s="10"/>
      <c r="AD10" s="10"/>
      <c r="AE10" s="10"/>
      <c r="AF10" s="10"/>
      <c r="AJ10" s="10"/>
      <c r="AK10" s="10"/>
      <c r="AL10" s="10"/>
      <c r="AM10" s="10"/>
      <c r="AQ10" s="10"/>
      <c r="AR10" s="10">
        <v>1</v>
      </c>
      <c r="AS10" s="10"/>
      <c r="AT10" s="10">
        <v>1</v>
      </c>
      <c r="AX10" s="10"/>
      <c r="AY10" s="10"/>
      <c r="AZ10" s="10"/>
      <c r="BA10" s="10"/>
      <c r="BE10" s="10"/>
      <c r="BF10" s="10"/>
      <c r="BG10" s="10"/>
      <c r="BH10" s="10"/>
      <c r="BL10" s="10"/>
      <c r="BM10" s="10"/>
      <c r="BN10" s="10"/>
      <c r="BO10" s="10"/>
      <c r="BS10" s="10"/>
      <c r="BT10" s="10">
        <v>0.8</v>
      </c>
      <c r="BU10" s="10"/>
      <c r="BV10" s="10">
        <v>0.8</v>
      </c>
      <c r="BZ10" s="10"/>
      <c r="CA10" s="10">
        <v>0.8</v>
      </c>
      <c r="CB10" s="10"/>
      <c r="CC10" s="10">
        <v>0.8</v>
      </c>
      <c r="CG10" s="10"/>
      <c r="CH10" s="10">
        <v>1</v>
      </c>
      <c r="CI10" s="10"/>
      <c r="CJ10" s="10">
        <v>1</v>
      </c>
      <c r="CN10" s="10"/>
      <c r="CO10" s="10"/>
      <c r="CP10" s="10"/>
      <c r="CQ10" s="10"/>
      <c r="CU10" s="10"/>
      <c r="CV10" s="10"/>
      <c r="CW10" s="10"/>
      <c r="CX10" s="10"/>
      <c r="DB10" s="10"/>
      <c r="DC10" s="10"/>
      <c r="DD10" s="10"/>
      <c r="DE10" s="10"/>
    </row>
    <row r="11" spans="2:110" outlineLevel="1">
      <c r="B11" t="s">
        <v>28</v>
      </c>
      <c r="C11" t="s">
        <v>110</v>
      </c>
      <c r="E11" s="9"/>
      <c r="F11" t="s">
        <v>138</v>
      </c>
      <c r="G11" s="10">
        <v>0.05</v>
      </c>
      <c r="I11" s="9">
        <v>0</v>
      </c>
      <c r="J11" s="11" cm="1">
        <f t="array" ref="J11">MAX(IF($N$3:$EH$3=$J$3,N11:EH11))</f>
        <v>0.3</v>
      </c>
      <c r="K11" s="11" cm="1">
        <f t="array" ref="K11">MAX(IF($N$3:$EH$3=$J$3,N11:EH11))</f>
        <v>0.3</v>
      </c>
      <c r="L11" s="9"/>
      <c r="O11" s="10">
        <v>0.3</v>
      </c>
      <c r="P11" s="10"/>
      <c r="Q11" s="10">
        <v>0.3</v>
      </c>
      <c r="R11" s="10">
        <v>0.3</v>
      </c>
      <c r="V11" s="10"/>
      <c r="W11" s="10"/>
      <c r="X11" s="10"/>
      <c r="Y11" s="10"/>
      <c r="AC11" s="10"/>
      <c r="AD11" s="10"/>
      <c r="AE11" s="10"/>
      <c r="AF11" s="10"/>
      <c r="AJ11" s="10"/>
      <c r="AK11" s="10"/>
      <c r="AL11" s="10"/>
      <c r="AM11" s="10"/>
      <c r="AQ11" s="10"/>
      <c r="AR11" s="10">
        <v>1</v>
      </c>
      <c r="AS11" s="10"/>
      <c r="AT11" s="10">
        <v>1</v>
      </c>
      <c r="AX11" s="10"/>
      <c r="AY11" s="10"/>
      <c r="AZ11" s="10"/>
      <c r="BA11" s="10"/>
      <c r="BE11" s="10"/>
      <c r="BF11" s="10"/>
      <c r="BG11" s="10"/>
      <c r="BH11" s="10"/>
      <c r="BL11" s="10"/>
      <c r="BM11" s="10"/>
      <c r="BN11" s="10"/>
      <c r="BO11" s="10"/>
      <c r="BS11" s="10"/>
      <c r="BT11" s="10">
        <v>0.8</v>
      </c>
      <c r="BU11" s="10"/>
      <c r="BV11" s="10">
        <v>0.8</v>
      </c>
      <c r="BZ11" s="10"/>
      <c r="CA11" s="10">
        <v>0.8</v>
      </c>
      <c r="CB11" s="10"/>
      <c r="CC11" s="10">
        <v>0.8</v>
      </c>
      <c r="CG11" s="10"/>
      <c r="CH11" s="10">
        <v>1</v>
      </c>
      <c r="CI11" s="10"/>
      <c r="CJ11" s="10">
        <v>1</v>
      </c>
      <c r="CN11" s="10"/>
      <c r="CO11" s="10"/>
      <c r="CP11" s="10"/>
      <c r="CQ11" s="10"/>
      <c r="CU11" s="10"/>
      <c r="CV11" s="10"/>
      <c r="CW11" s="10"/>
      <c r="CX11" s="10"/>
      <c r="DB11" s="10"/>
      <c r="DC11" s="10"/>
      <c r="DD11" s="10"/>
      <c r="DE11" s="10"/>
    </row>
    <row r="12" spans="2:110" ht="31" outlineLevel="1">
      <c r="B12" t="s">
        <v>28</v>
      </c>
      <c r="C12" t="s">
        <v>110</v>
      </c>
      <c r="E12" s="9"/>
      <c r="F12" s="1" t="s">
        <v>139</v>
      </c>
      <c r="G12" s="10">
        <v>0.05</v>
      </c>
      <c r="I12" s="9">
        <v>0</v>
      </c>
      <c r="J12" s="11" cm="1">
        <f t="array" ref="J12">MAX(IF($N$3:$EH$3=$J$3,N12:EH12))</f>
        <v>0.3</v>
      </c>
      <c r="K12" s="11" cm="1">
        <f t="array" ref="K12">MAX(IF($N$3:$EH$3=$J$3,N12:EH12))</f>
        <v>0.3</v>
      </c>
      <c r="L12" s="9"/>
      <c r="O12" s="10">
        <v>0.3</v>
      </c>
      <c r="P12" s="10"/>
      <c r="Q12" s="10">
        <v>0.3</v>
      </c>
      <c r="R12" s="10">
        <v>0.3</v>
      </c>
      <c r="V12" s="10"/>
      <c r="W12" s="10"/>
      <c r="X12" s="10"/>
      <c r="Y12" s="10"/>
      <c r="AC12" s="10"/>
      <c r="AD12" s="10"/>
      <c r="AE12" s="10"/>
      <c r="AF12" s="10"/>
      <c r="AJ12" s="10"/>
      <c r="AK12" s="10"/>
      <c r="AL12" s="10"/>
      <c r="AM12" s="10"/>
      <c r="AQ12" s="10"/>
      <c r="AR12" s="10">
        <v>1</v>
      </c>
      <c r="AS12" s="10"/>
      <c r="AT12" s="10">
        <v>1</v>
      </c>
      <c r="AX12" s="10"/>
      <c r="AY12" s="10"/>
      <c r="AZ12" s="10"/>
      <c r="BA12" s="10"/>
      <c r="BE12" s="10"/>
      <c r="BF12" s="10"/>
      <c r="BG12" s="10"/>
      <c r="BH12" s="10"/>
      <c r="BL12" s="10"/>
      <c r="BM12" s="10"/>
      <c r="BN12" s="10"/>
      <c r="BO12" s="10"/>
      <c r="BS12" s="10"/>
      <c r="BT12" s="10">
        <v>0.8</v>
      </c>
      <c r="BU12" s="10"/>
      <c r="BV12" s="10">
        <v>0.8</v>
      </c>
      <c r="BZ12" s="10"/>
      <c r="CA12" s="10">
        <v>0.8</v>
      </c>
      <c r="CB12" s="10"/>
      <c r="CC12" s="10">
        <v>0.8</v>
      </c>
      <c r="CG12" s="10"/>
      <c r="CH12" s="10">
        <v>1</v>
      </c>
      <c r="CI12" s="10"/>
      <c r="CJ12" s="10">
        <v>1</v>
      </c>
      <c r="CN12" s="10"/>
      <c r="CO12" s="10"/>
      <c r="CP12" s="10"/>
      <c r="CQ12" s="10"/>
      <c r="CU12" s="10"/>
      <c r="CV12" s="10"/>
      <c r="CW12" s="10"/>
      <c r="CX12" s="10"/>
      <c r="DB12" s="10"/>
      <c r="DC12" s="10"/>
      <c r="DD12" s="10"/>
      <c r="DE12" s="10"/>
    </row>
    <row r="13" spans="2:110" ht="31.5" customHeight="1">
      <c r="G13" s="10"/>
    </row>
    <row r="14" spans="2:110">
      <c r="B14" t="s">
        <v>27</v>
      </c>
      <c r="C14" t="s">
        <v>108</v>
      </c>
      <c r="D14" s="19">
        <v>45072</v>
      </c>
      <c r="E14" s="9">
        <v>6</v>
      </c>
      <c r="G14" s="10">
        <f>+SUM(G15:G20)</f>
        <v>1</v>
      </c>
      <c r="I14" s="9">
        <f>SUM(I15:I20)</f>
        <v>2</v>
      </c>
      <c r="J14" s="11">
        <f>+SUMPRODUCT(G15:G20,J15:J20)</f>
        <v>0.19500000000000001</v>
      </c>
      <c r="K14" s="11">
        <f>+SUMPRODUCT(G15:G20,K15:K20)</f>
        <v>0.19500000000000001</v>
      </c>
      <c r="L14" s="9"/>
      <c r="N14" s="12">
        <f>+SUM(N15:N20)</f>
        <v>0</v>
      </c>
      <c r="U14" s="12">
        <f>+SUM(U15:U20)</f>
        <v>0</v>
      </c>
      <c r="AB14" s="12">
        <f>+SUM(AB15:AB20)</f>
        <v>0</v>
      </c>
      <c r="AI14" s="12">
        <f>+SUM(AI15:AI20)</f>
        <v>0</v>
      </c>
      <c r="AP14" s="12">
        <f>+SUM(AP15:AP20)</f>
        <v>0</v>
      </c>
    </row>
    <row r="15" spans="2:110" outlineLevel="1">
      <c r="B15" t="s">
        <v>28</v>
      </c>
      <c r="C15" t="s">
        <v>108</v>
      </c>
      <c r="E15" s="9"/>
      <c r="F15" t="s">
        <v>106</v>
      </c>
      <c r="G15" s="10">
        <v>0.1</v>
      </c>
      <c r="I15" s="9">
        <v>1</v>
      </c>
      <c r="J15" s="11" cm="1">
        <f t="array" ref="J15">MAX(IF($N$3:$EH$3=$J$3,N15:EH15))</f>
        <v>0.7</v>
      </c>
      <c r="K15" s="11" cm="1">
        <f t="array" ref="K15">MAX(IF($N$3:$EH$3=$J$3,N15:EH15))</f>
        <v>0.7</v>
      </c>
      <c r="L15" s="9"/>
      <c r="O15" s="10">
        <v>0.7</v>
      </c>
      <c r="P15" s="10">
        <v>0.8</v>
      </c>
      <c r="Q15" s="10"/>
      <c r="R15" s="10">
        <v>0.7</v>
      </c>
      <c r="V15" s="10"/>
      <c r="W15" s="10"/>
      <c r="X15" s="10"/>
      <c r="Y15" s="10"/>
      <c r="AC15" s="10"/>
      <c r="AD15" s="10"/>
      <c r="AE15" s="10"/>
      <c r="AF15" s="10"/>
      <c r="AJ15" s="10"/>
      <c r="AK15" s="10"/>
      <c r="AL15" s="10"/>
      <c r="AM15" s="10"/>
      <c r="AQ15" s="10"/>
      <c r="AR15" s="10">
        <v>1</v>
      </c>
      <c r="AS15" s="10"/>
      <c r="AT15" s="10">
        <v>1</v>
      </c>
      <c r="AX15" s="10"/>
      <c r="AY15" s="10"/>
      <c r="AZ15" s="10"/>
      <c r="BA15" s="10"/>
      <c r="BE15" s="10"/>
      <c r="BF15" s="10"/>
      <c r="BG15" s="10"/>
      <c r="BH15" s="10"/>
      <c r="BL15" s="10"/>
      <c r="BM15" s="10"/>
      <c r="BN15" s="10"/>
      <c r="BO15" s="10"/>
      <c r="BS15" s="10"/>
      <c r="BT15" s="10">
        <v>1</v>
      </c>
      <c r="BU15" s="10"/>
      <c r="BV15" s="10">
        <v>1</v>
      </c>
      <c r="BZ15" s="10"/>
      <c r="CA15" s="10">
        <v>1</v>
      </c>
      <c r="CB15" s="10"/>
      <c r="CC15" s="10">
        <v>1</v>
      </c>
      <c r="CG15" s="10"/>
      <c r="CH15" s="10">
        <v>1</v>
      </c>
      <c r="CI15" s="10"/>
      <c r="CJ15" s="10">
        <v>1</v>
      </c>
      <c r="CN15" s="10"/>
      <c r="CO15" s="10"/>
      <c r="CP15" s="10"/>
      <c r="CQ15" s="10"/>
      <c r="CU15" s="10"/>
      <c r="CV15" s="10"/>
      <c r="CW15" s="10"/>
      <c r="CX15" s="10"/>
      <c r="DB15" s="10"/>
      <c r="DC15" s="10"/>
      <c r="DD15" s="10"/>
      <c r="DE15" s="10"/>
    </row>
    <row r="16" spans="2:110" outlineLevel="1">
      <c r="B16" t="s">
        <v>28</v>
      </c>
      <c r="C16" t="s">
        <v>108</v>
      </c>
      <c r="E16" s="9"/>
      <c r="F16" t="s">
        <v>107</v>
      </c>
      <c r="G16" s="10">
        <v>0.15</v>
      </c>
      <c r="I16" s="9">
        <v>1</v>
      </c>
      <c r="J16" s="11" cm="1">
        <f t="array" ref="J16">MAX(IF($N$3:$EH$3=$J$3,N16:EH16))</f>
        <v>0.3</v>
      </c>
      <c r="K16" s="11" cm="1">
        <f t="array" ref="K16">MAX(IF($N$3:$EH$3=$J$3,N16:EH16))</f>
        <v>0.3</v>
      </c>
      <c r="L16" s="9"/>
      <c r="O16" s="10">
        <v>0.3</v>
      </c>
      <c r="P16" s="10">
        <v>0.5</v>
      </c>
      <c r="Q16" s="10"/>
      <c r="R16" s="10">
        <v>0.5</v>
      </c>
      <c r="V16" s="10"/>
      <c r="W16" s="10"/>
      <c r="X16" s="10"/>
      <c r="Y16" s="10"/>
      <c r="AC16" s="10"/>
      <c r="AD16" s="10"/>
      <c r="AE16" s="10"/>
      <c r="AF16" s="10"/>
      <c r="AJ16" s="10"/>
      <c r="AK16" s="10"/>
      <c r="AL16" s="10"/>
      <c r="AM16" s="10"/>
      <c r="AQ16" s="10"/>
      <c r="AR16" s="10">
        <v>1</v>
      </c>
      <c r="AS16" s="10"/>
      <c r="AT16" s="10">
        <v>1</v>
      </c>
      <c r="AX16" s="10"/>
      <c r="AY16" s="10"/>
      <c r="AZ16" s="10"/>
      <c r="BA16" s="10"/>
      <c r="BE16" s="10"/>
      <c r="BF16" s="10"/>
      <c r="BG16" s="10"/>
      <c r="BH16" s="10"/>
      <c r="BL16" s="10"/>
      <c r="BM16" s="10"/>
      <c r="BN16" s="10"/>
      <c r="BO16" s="10"/>
      <c r="BS16" s="10"/>
      <c r="BT16" s="10">
        <v>0.8</v>
      </c>
      <c r="BU16" s="10"/>
      <c r="BV16" s="10">
        <v>0.8</v>
      </c>
      <c r="BZ16" s="10"/>
      <c r="CA16" s="10">
        <v>1</v>
      </c>
      <c r="CB16" s="10"/>
      <c r="CC16" s="10">
        <v>1</v>
      </c>
      <c r="CG16" s="10"/>
      <c r="CH16" s="10">
        <v>1</v>
      </c>
      <c r="CI16" s="10"/>
      <c r="CJ16" s="10">
        <v>1</v>
      </c>
      <c r="CN16" s="10"/>
      <c r="CO16" s="10"/>
      <c r="CP16" s="10"/>
      <c r="CQ16" s="10"/>
      <c r="CU16" s="10"/>
      <c r="CV16" s="10"/>
      <c r="CW16" s="10"/>
      <c r="CX16" s="10"/>
      <c r="DB16" s="10"/>
      <c r="DC16" s="10"/>
      <c r="DD16" s="10"/>
      <c r="DE16" s="10"/>
    </row>
    <row r="17" spans="2:109" outlineLevel="1">
      <c r="B17" t="s">
        <v>28</v>
      </c>
      <c r="C17" t="s">
        <v>108</v>
      </c>
      <c r="E17" s="9"/>
      <c r="F17" t="s">
        <v>103</v>
      </c>
      <c r="G17" s="10">
        <v>0.2</v>
      </c>
      <c r="I17" s="9">
        <v>0</v>
      </c>
      <c r="J17" s="11" cm="1">
        <f t="array" ref="J17">MAX(IF($N$3:$EH$3=$J$3,N17:EH17))</f>
        <v>0</v>
      </c>
      <c r="K17" s="11" cm="1">
        <f t="array" ref="K17">MAX(IF($N$3:$EH$3=$J$3,N17:EH17))</f>
        <v>0</v>
      </c>
      <c r="L17" s="9"/>
      <c r="O17" s="10"/>
      <c r="P17" s="10">
        <v>0.3</v>
      </c>
      <c r="Q17" s="10"/>
      <c r="R17" s="10">
        <v>0.5</v>
      </c>
      <c r="V17" s="10"/>
      <c r="W17" s="10"/>
      <c r="X17" s="10"/>
      <c r="Y17" s="10"/>
      <c r="AC17" s="10"/>
      <c r="AD17" s="10"/>
      <c r="AE17" s="10"/>
      <c r="AF17" s="10"/>
      <c r="AJ17" s="10"/>
      <c r="AK17" s="10"/>
      <c r="AL17" s="10"/>
      <c r="AM17" s="10"/>
      <c r="AQ17" s="10"/>
      <c r="AR17" s="10">
        <v>1</v>
      </c>
      <c r="AS17" s="10"/>
      <c r="AT17" s="10">
        <v>1</v>
      </c>
      <c r="AX17" s="10"/>
      <c r="AY17" s="10"/>
      <c r="AZ17" s="10"/>
      <c r="BA17" s="10"/>
      <c r="BE17" s="10"/>
      <c r="BF17" s="10"/>
      <c r="BG17" s="10"/>
      <c r="BH17" s="10"/>
      <c r="BL17" s="10"/>
      <c r="BM17" s="10"/>
      <c r="BN17" s="10"/>
      <c r="BO17" s="10"/>
      <c r="BS17" s="10"/>
      <c r="BT17" s="10">
        <v>0.8</v>
      </c>
      <c r="BU17" s="10"/>
      <c r="BV17" s="10">
        <v>0.8</v>
      </c>
      <c r="BZ17" s="10"/>
      <c r="CA17" s="10">
        <v>1</v>
      </c>
      <c r="CB17" s="10"/>
      <c r="CC17" s="10">
        <v>1</v>
      </c>
      <c r="CG17" s="10"/>
      <c r="CH17" s="10">
        <v>1</v>
      </c>
      <c r="CI17" s="10"/>
      <c r="CJ17" s="10">
        <v>1</v>
      </c>
      <c r="CN17" s="10"/>
      <c r="CO17" s="10"/>
      <c r="CP17" s="10"/>
      <c r="CQ17" s="10"/>
      <c r="CU17" s="10"/>
      <c r="CV17" s="10"/>
      <c r="CW17" s="10"/>
      <c r="CX17" s="10"/>
      <c r="DB17" s="10"/>
      <c r="DC17" s="10"/>
      <c r="DD17" s="10"/>
      <c r="DE17" s="10"/>
    </row>
    <row r="18" spans="2:109" outlineLevel="1">
      <c r="B18" t="s">
        <v>28</v>
      </c>
      <c r="C18" t="s">
        <v>108</v>
      </c>
      <c r="E18" s="9"/>
      <c r="F18" t="s">
        <v>105</v>
      </c>
      <c r="G18" s="10">
        <v>0.2</v>
      </c>
      <c r="I18" s="9">
        <v>0</v>
      </c>
      <c r="J18" s="11" cm="1">
        <f t="array" ref="J18">MAX(IF($N$3:$EH$3=$J$3,N18:EH18))</f>
        <v>0</v>
      </c>
      <c r="K18" s="11" cm="1">
        <f t="array" ref="K18">MAX(IF($N$3:$EH$3=$J$3,N18:EH18))</f>
        <v>0</v>
      </c>
      <c r="L18" s="9"/>
      <c r="O18" s="10"/>
      <c r="P18" s="10">
        <v>0.3</v>
      </c>
      <c r="Q18" s="10"/>
      <c r="R18" s="10">
        <v>0.3</v>
      </c>
      <c r="V18" s="10"/>
      <c r="W18" s="10"/>
      <c r="X18" s="10"/>
      <c r="Y18" s="10"/>
      <c r="AC18" s="10"/>
      <c r="AD18" s="10"/>
      <c r="AE18" s="10"/>
      <c r="AF18" s="10"/>
      <c r="AJ18" s="10"/>
      <c r="AK18" s="10"/>
      <c r="AL18" s="10"/>
      <c r="AM18" s="10"/>
      <c r="AQ18" s="10"/>
      <c r="AR18" s="10">
        <v>1</v>
      </c>
      <c r="AS18" s="10"/>
      <c r="AT18" s="10">
        <v>1</v>
      </c>
      <c r="AX18" s="10"/>
      <c r="AY18" s="10"/>
      <c r="AZ18" s="10"/>
      <c r="BA18" s="10"/>
      <c r="BE18" s="10"/>
      <c r="BF18" s="10"/>
      <c r="BG18" s="10"/>
      <c r="BH18" s="10"/>
      <c r="BL18" s="10"/>
      <c r="BM18" s="10"/>
      <c r="BN18" s="10"/>
      <c r="BO18" s="10"/>
      <c r="BS18" s="10"/>
      <c r="BT18" s="10">
        <v>0.8</v>
      </c>
      <c r="BU18" s="10"/>
      <c r="BV18" s="10">
        <v>0.8</v>
      </c>
      <c r="BZ18" s="10"/>
      <c r="CA18" s="10">
        <v>1</v>
      </c>
      <c r="CB18" s="10"/>
      <c r="CC18" s="10">
        <v>1</v>
      </c>
      <c r="CG18" s="10"/>
      <c r="CH18" s="10">
        <v>1</v>
      </c>
      <c r="CI18" s="10"/>
      <c r="CJ18" s="10">
        <v>1</v>
      </c>
      <c r="CN18" s="10"/>
      <c r="CO18" s="10"/>
      <c r="CP18" s="10"/>
      <c r="CQ18" s="10"/>
      <c r="CU18" s="10"/>
      <c r="CV18" s="10"/>
      <c r="CW18" s="10"/>
      <c r="CX18" s="10"/>
      <c r="DB18" s="10"/>
      <c r="DC18" s="10"/>
      <c r="DD18" s="10"/>
      <c r="DE18" s="10"/>
    </row>
    <row r="19" spans="2:109" outlineLevel="1">
      <c r="B19" t="s">
        <v>28</v>
      </c>
      <c r="C19" t="s">
        <v>108</v>
      </c>
      <c r="E19" s="9"/>
      <c r="F19" t="s">
        <v>104</v>
      </c>
      <c r="G19" s="10">
        <v>0.15</v>
      </c>
      <c r="I19" s="9">
        <v>0</v>
      </c>
      <c r="J19" s="11" cm="1">
        <f t="array" ref="J19">MAX(IF($N$3:$EH$3=$J$3,N19:EH19))</f>
        <v>0.4</v>
      </c>
      <c r="K19" s="11" cm="1">
        <f t="array" ref="K19">MAX(IF($N$3:$EH$3=$J$3,N19:EH19))</f>
        <v>0.4</v>
      </c>
      <c r="L19" s="9"/>
      <c r="O19" s="10">
        <v>0.4</v>
      </c>
      <c r="P19" s="10">
        <v>0.4</v>
      </c>
      <c r="Q19" s="10"/>
      <c r="R19" s="10">
        <v>0.3</v>
      </c>
      <c r="V19" s="10"/>
      <c r="W19" s="10"/>
      <c r="X19" s="10"/>
      <c r="Y19" s="10"/>
      <c r="AC19" s="10"/>
      <c r="AD19" s="10"/>
      <c r="AE19" s="10"/>
      <c r="AF19" s="10"/>
      <c r="AJ19" s="10"/>
      <c r="AK19" s="10"/>
      <c r="AL19" s="10"/>
      <c r="AM19" s="10"/>
      <c r="AQ19" s="10"/>
      <c r="AR19" s="10">
        <v>1</v>
      </c>
      <c r="AS19" s="10"/>
      <c r="AT19" s="10">
        <v>1</v>
      </c>
      <c r="AX19" s="10"/>
      <c r="AY19" s="10"/>
      <c r="AZ19" s="10"/>
      <c r="BA19" s="10"/>
      <c r="BE19" s="10"/>
      <c r="BF19" s="10"/>
      <c r="BG19" s="10"/>
      <c r="BH19" s="10"/>
      <c r="BL19" s="10"/>
      <c r="BM19" s="10"/>
      <c r="BN19" s="10"/>
      <c r="BO19" s="10"/>
      <c r="BS19" s="10"/>
      <c r="BT19" s="10">
        <v>0.8</v>
      </c>
      <c r="BU19" s="10"/>
      <c r="BV19" s="10">
        <v>0.8</v>
      </c>
      <c r="BZ19" s="10"/>
      <c r="CA19" s="10">
        <v>0.8</v>
      </c>
      <c r="CB19" s="10"/>
      <c r="CC19" s="10">
        <v>0.8</v>
      </c>
      <c r="CG19" s="10"/>
      <c r="CH19" s="10">
        <v>1</v>
      </c>
      <c r="CI19" s="10"/>
      <c r="CJ19" s="10">
        <v>1</v>
      </c>
      <c r="CN19" s="10"/>
      <c r="CO19" s="10"/>
      <c r="CP19" s="10"/>
      <c r="CQ19" s="10"/>
      <c r="CU19" s="10"/>
      <c r="CV19" s="10"/>
      <c r="CW19" s="10"/>
      <c r="CX19" s="10"/>
      <c r="DB19" s="10"/>
      <c r="DC19" s="10"/>
      <c r="DD19" s="10"/>
      <c r="DE19" s="10"/>
    </row>
    <row r="20" spans="2:109" outlineLevel="1">
      <c r="B20" t="s">
        <v>28</v>
      </c>
      <c r="C20" t="s">
        <v>108</v>
      </c>
      <c r="E20" s="9"/>
      <c r="F20" t="s">
        <v>102</v>
      </c>
      <c r="G20" s="10">
        <v>0.2</v>
      </c>
      <c r="I20" s="9">
        <v>0</v>
      </c>
      <c r="J20" s="11" cm="1">
        <f t="array" ref="J20">MAX(IF($N$3:$EH$3=$J$3,N20:EH20))</f>
        <v>0.1</v>
      </c>
      <c r="K20" s="11" cm="1">
        <f t="array" ref="K20">MAX(IF($N$3:$EH$3=$J$3,N20:EH20))</f>
        <v>0.1</v>
      </c>
      <c r="L20" s="9"/>
      <c r="O20" s="10">
        <v>0.1</v>
      </c>
      <c r="P20" s="10">
        <v>0.3</v>
      </c>
      <c r="Q20" s="10"/>
      <c r="R20" s="10">
        <v>0.1</v>
      </c>
      <c r="V20" s="10"/>
      <c r="W20" s="10"/>
      <c r="X20" s="10"/>
      <c r="Y20" s="10"/>
      <c r="AC20" s="10"/>
      <c r="AD20" s="10"/>
      <c r="AE20" s="10"/>
      <c r="AF20" s="10"/>
      <c r="AJ20" s="10"/>
      <c r="AK20" s="10"/>
      <c r="AL20" s="10"/>
      <c r="AM20" s="10"/>
      <c r="AQ20" s="10"/>
      <c r="AR20" s="10">
        <v>1</v>
      </c>
      <c r="AS20" s="10"/>
      <c r="AT20" s="10">
        <v>1</v>
      </c>
      <c r="AX20" s="10"/>
      <c r="AY20" s="10"/>
      <c r="AZ20" s="10"/>
      <c r="BA20" s="10"/>
      <c r="BE20" s="10"/>
      <c r="BF20" s="10"/>
      <c r="BG20" s="10"/>
      <c r="BH20" s="10"/>
      <c r="BL20" s="10"/>
      <c r="BM20" s="10"/>
      <c r="BN20" s="10"/>
      <c r="BO20" s="10"/>
      <c r="BS20" s="10"/>
      <c r="BT20" s="10">
        <v>0.8</v>
      </c>
      <c r="BU20" s="10"/>
      <c r="BV20" s="10">
        <v>0.8</v>
      </c>
      <c r="BZ20" s="10"/>
      <c r="CA20" s="10">
        <v>0.8</v>
      </c>
      <c r="CB20" s="10"/>
      <c r="CC20" s="10">
        <v>0.8</v>
      </c>
      <c r="CG20" s="10"/>
      <c r="CH20" s="10">
        <v>1</v>
      </c>
      <c r="CI20" s="10"/>
      <c r="CJ20" s="10">
        <v>1</v>
      </c>
      <c r="CN20" s="10"/>
      <c r="CO20" s="10"/>
      <c r="CP20" s="10"/>
      <c r="CQ20" s="10"/>
      <c r="CU20" s="10"/>
      <c r="CV20" s="10"/>
      <c r="CW20" s="10"/>
      <c r="CX20" s="10"/>
      <c r="DB20" s="10"/>
      <c r="DC20" s="10"/>
      <c r="DD20" s="10"/>
      <c r="DE20" s="10"/>
    </row>
    <row r="21" spans="2:109" ht="31.5" customHeight="1"/>
    <row r="22" spans="2:109">
      <c r="B22" t="s">
        <v>27</v>
      </c>
      <c r="C22" t="s">
        <v>109</v>
      </c>
      <c r="D22" s="19">
        <v>45068</v>
      </c>
      <c r="E22" s="9">
        <v>6</v>
      </c>
      <c r="G22" s="10">
        <f>SUM(G23:G35)</f>
        <v>0.79999999999999993</v>
      </c>
      <c r="I22" s="12">
        <f>SUM(H23:I35)</f>
        <v>3</v>
      </c>
      <c r="J22" s="11">
        <f>+SUMPRODUCT(G23:G35,J23:J35)</f>
        <v>0.03</v>
      </c>
      <c r="K22" s="11">
        <f>+SUMPRODUCT(G23:G35,K23:K35)</f>
        <v>0.03</v>
      </c>
      <c r="L22" s="9"/>
      <c r="N22" s="12">
        <f>+SUM(N23:N35)</f>
        <v>0</v>
      </c>
      <c r="U22" s="12">
        <f>+SUM(U23:U35)</f>
        <v>0</v>
      </c>
      <c r="AB22" s="12">
        <f>+SUM(AB23:AB35)</f>
        <v>0</v>
      </c>
      <c r="AI22" s="12">
        <f>+SUM(AI23:AI35)</f>
        <v>0</v>
      </c>
      <c r="AP22" s="12">
        <f>+SUM(AP23:AP35)</f>
        <v>0</v>
      </c>
    </row>
    <row r="23" spans="2:109" outlineLevel="1">
      <c r="B23" t="s">
        <v>28</v>
      </c>
      <c r="C23" t="s">
        <v>109</v>
      </c>
      <c r="E23" s="9"/>
      <c r="F23" t="s">
        <v>137</v>
      </c>
      <c r="G23" s="10">
        <v>0.1</v>
      </c>
      <c r="I23" s="9">
        <v>3</v>
      </c>
      <c r="J23" s="11" cm="1">
        <f t="array" ref="J23">MAX(IF($N$3:$EH$3=$J$3,N23:EH23))</f>
        <v>0.3</v>
      </c>
      <c r="K23" s="11" cm="1">
        <f t="array" ref="K23">MAX(IF($N$3:$EH$3=$J$3,N23:EH23))</f>
        <v>0.3</v>
      </c>
      <c r="L23" s="9"/>
      <c r="O23" s="10">
        <v>0.3</v>
      </c>
      <c r="P23" s="10">
        <v>0.4</v>
      </c>
      <c r="Q23" s="10"/>
      <c r="R23" s="10">
        <v>0.3</v>
      </c>
      <c r="V23" s="10"/>
      <c r="W23" s="10">
        <v>0.8</v>
      </c>
      <c r="X23" s="10"/>
      <c r="Y23" s="10">
        <v>0.8</v>
      </c>
      <c r="AC23" s="10"/>
      <c r="AD23" s="10">
        <v>1</v>
      </c>
      <c r="AE23" s="10"/>
      <c r="AF23" s="10">
        <v>1</v>
      </c>
      <c r="AJ23" s="10"/>
      <c r="AK23" s="10">
        <v>1</v>
      </c>
      <c r="AL23" s="10"/>
      <c r="AM23" s="10">
        <v>1</v>
      </c>
      <c r="AQ23" s="10"/>
      <c r="AR23" s="10">
        <v>1</v>
      </c>
      <c r="AS23" s="10"/>
      <c r="AT23" s="10">
        <v>1</v>
      </c>
      <c r="AX23" s="10"/>
      <c r="AY23" s="10"/>
      <c r="AZ23" s="10"/>
      <c r="BA23" s="10"/>
      <c r="BE23" s="10"/>
      <c r="BF23" s="10">
        <v>1</v>
      </c>
      <c r="BG23" s="10"/>
      <c r="BH23" s="10">
        <v>1</v>
      </c>
      <c r="BL23" s="10"/>
      <c r="BM23" s="10"/>
      <c r="BN23" s="10"/>
      <c r="BO23" s="10"/>
      <c r="BS23" s="10"/>
      <c r="BT23" s="10"/>
      <c r="BU23" s="10"/>
      <c r="BV23" s="10"/>
      <c r="BZ23" s="10"/>
      <c r="CA23" s="10"/>
      <c r="CB23" s="10"/>
      <c r="CC23" s="10"/>
      <c r="CG23" s="10"/>
      <c r="CH23" s="10"/>
      <c r="CI23" s="10"/>
      <c r="CJ23" s="10"/>
      <c r="CN23" s="10"/>
      <c r="CO23" s="10"/>
      <c r="CP23" s="10"/>
      <c r="CQ23" s="10"/>
      <c r="CU23" s="10"/>
      <c r="CV23" s="10"/>
      <c r="CW23" s="10"/>
      <c r="CX23" s="10"/>
      <c r="DB23" s="10"/>
      <c r="DC23" s="10"/>
      <c r="DD23" s="10"/>
      <c r="DE23" s="10"/>
    </row>
    <row r="24" spans="2:109" outlineLevel="1">
      <c r="B24" t="s">
        <v>28</v>
      </c>
      <c r="C24" t="s">
        <v>109</v>
      </c>
      <c r="E24" s="9"/>
      <c r="F24" t="s">
        <v>128</v>
      </c>
      <c r="G24" s="10">
        <v>0.05</v>
      </c>
      <c r="I24" s="9">
        <f>+SUMIF($N$3:$ZZ$3,I$3,$N24:$ZZ24)</f>
        <v>0</v>
      </c>
      <c r="J24" s="11" cm="1">
        <f t="array" ref="J24">MAX(IF($N$3:$EH$3=$J$3,N24:EH24))</f>
        <v>0</v>
      </c>
      <c r="K24" s="11" cm="1">
        <f t="array" ref="K24">MAX(IF($N$3:$EH$3=$J$3,N24:EH24))</f>
        <v>0</v>
      </c>
      <c r="L24" s="9"/>
      <c r="O24" s="10"/>
      <c r="P24" s="10">
        <v>0.4</v>
      </c>
      <c r="Q24" s="10"/>
      <c r="R24" s="10">
        <v>0.3</v>
      </c>
      <c r="V24" s="10"/>
      <c r="W24" s="10">
        <v>0.8</v>
      </c>
      <c r="X24" s="10"/>
      <c r="Y24" s="10">
        <v>0.8</v>
      </c>
      <c r="AC24" s="10"/>
      <c r="AD24" s="10">
        <v>1</v>
      </c>
      <c r="AE24" s="10"/>
      <c r="AF24" s="10">
        <v>1</v>
      </c>
      <c r="AJ24" s="10"/>
      <c r="AK24" s="10">
        <v>1</v>
      </c>
      <c r="AL24" s="10"/>
      <c r="AM24" s="10">
        <v>1</v>
      </c>
      <c r="AQ24" s="10"/>
      <c r="AR24" s="10">
        <v>1</v>
      </c>
      <c r="AS24" s="10"/>
      <c r="AT24" s="10">
        <v>1</v>
      </c>
      <c r="AX24" s="10"/>
      <c r="AY24" s="10"/>
      <c r="AZ24" s="10"/>
      <c r="BA24" s="10"/>
      <c r="BE24" s="10"/>
      <c r="BF24" s="10">
        <v>1</v>
      </c>
      <c r="BG24" s="10"/>
      <c r="BH24" s="10">
        <v>1</v>
      </c>
      <c r="BL24" s="10"/>
      <c r="BM24" s="10"/>
      <c r="BN24" s="10"/>
      <c r="BO24" s="10"/>
      <c r="BS24" s="10"/>
      <c r="BT24" s="10"/>
      <c r="BU24" s="10"/>
      <c r="BV24" s="10"/>
      <c r="BZ24" s="10"/>
      <c r="CA24" s="10"/>
      <c r="CB24" s="10"/>
      <c r="CC24" s="10"/>
      <c r="CG24" s="10"/>
      <c r="CH24" s="10"/>
      <c r="CI24" s="10"/>
      <c r="CJ24" s="10"/>
      <c r="CN24" s="10"/>
      <c r="CO24" s="10"/>
      <c r="CP24" s="10"/>
      <c r="CQ24" s="10"/>
      <c r="CU24" s="10"/>
      <c r="CV24" s="10"/>
      <c r="CW24" s="10"/>
      <c r="CX24" s="10"/>
      <c r="DB24" s="10"/>
      <c r="DC24" s="10"/>
      <c r="DD24" s="10"/>
      <c r="DE24" s="10"/>
    </row>
    <row r="25" spans="2:109" outlineLevel="1">
      <c r="B25" t="s">
        <v>28</v>
      </c>
      <c r="C25" t="s">
        <v>109</v>
      </c>
      <c r="E25" s="9"/>
      <c r="F25" t="s">
        <v>136</v>
      </c>
      <c r="G25" s="10">
        <v>0.05</v>
      </c>
      <c r="I25" s="9">
        <f>+SUMIF($N$3:$ZZ$3,I$3,$N25:$ZZ25)</f>
        <v>0</v>
      </c>
      <c r="J25" s="11" cm="1">
        <f t="array" ref="J25">MAX(IF($N$3:$EH$3=$J$3,N25:EH25))</f>
        <v>0</v>
      </c>
      <c r="K25" s="11" cm="1">
        <f t="array" ref="K25">MAX(IF($N$3:$EH$3=$J$3,N25:EH25))</f>
        <v>0</v>
      </c>
      <c r="L25" s="9"/>
      <c r="O25" s="10"/>
      <c r="P25" s="10">
        <v>0.4</v>
      </c>
      <c r="Q25" s="10"/>
      <c r="R25" s="10">
        <v>0.3</v>
      </c>
      <c r="V25" s="10"/>
      <c r="W25" s="10">
        <v>0.5</v>
      </c>
      <c r="X25" s="10"/>
      <c r="Y25" s="10">
        <v>0.5</v>
      </c>
      <c r="AC25" s="10"/>
      <c r="AD25" s="10">
        <v>0.8</v>
      </c>
      <c r="AE25" s="10"/>
      <c r="AF25" s="10">
        <v>0.8</v>
      </c>
      <c r="AJ25" s="10"/>
      <c r="AK25" s="10">
        <v>1</v>
      </c>
      <c r="AL25" s="10"/>
      <c r="AM25" s="10">
        <v>1</v>
      </c>
      <c r="AQ25" s="10"/>
      <c r="AR25" s="10">
        <v>1</v>
      </c>
      <c r="AS25" s="10"/>
      <c r="AT25" s="10">
        <v>1</v>
      </c>
      <c r="AX25" s="10"/>
      <c r="AY25" s="10"/>
      <c r="AZ25" s="10"/>
      <c r="BA25" s="10"/>
      <c r="BE25" s="10"/>
      <c r="BF25" s="10">
        <v>1</v>
      </c>
      <c r="BG25" s="10"/>
      <c r="BH25" s="10">
        <v>1</v>
      </c>
      <c r="BL25" s="10"/>
      <c r="BM25" s="10"/>
      <c r="BN25" s="10"/>
      <c r="BO25" s="10"/>
      <c r="BS25" s="10"/>
      <c r="BT25" s="10"/>
      <c r="BU25" s="10"/>
      <c r="BV25" s="10"/>
      <c r="BZ25" s="10"/>
      <c r="CA25" s="10"/>
      <c r="CB25" s="10"/>
      <c r="CC25" s="10"/>
      <c r="CG25" s="10"/>
      <c r="CH25" s="10"/>
      <c r="CI25" s="10"/>
      <c r="CJ25" s="10"/>
      <c r="CN25" s="10"/>
      <c r="CO25" s="10"/>
      <c r="CP25" s="10"/>
      <c r="CQ25" s="10"/>
      <c r="CU25" s="10"/>
      <c r="CV25" s="10"/>
      <c r="CW25" s="10"/>
      <c r="CX25" s="10"/>
      <c r="DB25" s="10"/>
      <c r="DC25" s="10"/>
      <c r="DD25" s="10"/>
      <c r="DE25" s="10"/>
    </row>
    <row r="26" spans="2:109" outlineLevel="1">
      <c r="B26" t="s">
        <v>28</v>
      </c>
      <c r="C26" t="s">
        <v>109</v>
      </c>
      <c r="E26" s="9"/>
      <c r="F26" t="s">
        <v>129</v>
      </c>
      <c r="G26" s="10">
        <v>0.05</v>
      </c>
      <c r="I26" s="9">
        <f t="shared" ref="I26:I31" si="0">+SUMIF($N$3:$ZZ$3,I$3,$N26:$ZZ26)</f>
        <v>0</v>
      </c>
      <c r="J26" s="11" cm="1">
        <f t="array" ref="J26">MAX(IF($N$3:$EH$3=$J$3,N26:EH26))</f>
        <v>0</v>
      </c>
      <c r="K26" s="11" cm="1">
        <f t="array" ref="K26">MAX(IF($N$3:$EH$3=$J$3,N26:EH26))</f>
        <v>0</v>
      </c>
      <c r="L26" s="9"/>
      <c r="O26" s="10"/>
      <c r="P26" s="10"/>
      <c r="Q26" s="10"/>
      <c r="R26" s="10"/>
      <c r="V26" s="10"/>
      <c r="W26" s="10"/>
      <c r="X26" s="10"/>
      <c r="Y26" s="10"/>
      <c r="AC26" s="10"/>
      <c r="AD26" s="10"/>
      <c r="AE26" s="10"/>
      <c r="AF26" s="10"/>
      <c r="AJ26" s="10"/>
      <c r="AK26" s="10"/>
      <c r="AL26" s="10"/>
      <c r="AM26" s="10"/>
      <c r="AQ26" s="10"/>
      <c r="AR26" s="10"/>
      <c r="AS26" s="10"/>
      <c r="AT26" s="10"/>
      <c r="AX26" s="10"/>
      <c r="AY26" s="10"/>
      <c r="AZ26" s="10"/>
      <c r="BA26" s="10"/>
      <c r="BE26" s="10"/>
      <c r="BF26" s="10"/>
      <c r="BG26" s="10"/>
      <c r="BH26" s="10"/>
      <c r="BL26" s="10"/>
      <c r="BM26" s="10"/>
      <c r="BN26" s="10"/>
      <c r="BO26" s="10"/>
      <c r="BS26" s="10"/>
      <c r="BT26" s="10"/>
      <c r="BU26" s="10"/>
      <c r="BV26" s="10"/>
      <c r="BZ26" s="10"/>
      <c r="CA26" s="10"/>
      <c r="CB26" s="10"/>
      <c r="CC26" s="10"/>
      <c r="CG26" s="10"/>
      <c r="CH26" s="10"/>
      <c r="CI26" s="10"/>
      <c r="CJ26" s="10"/>
      <c r="CN26" s="10"/>
      <c r="CO26" s="10"/>
      <c r="CP26" s="10"/>
      <c r="CQ26" s="10"/>
      <c r="CU26" s="10"/>
      <c r="CV26" s="10"/>
      <c r="CW26" s="10"/>
      <c r="CX26" s="10"/>
      <c r="DB26" s="10"/>
      <c r="DC26" s="10"/>
      <c r="DD26" s="10"/>
      <c r="DE26" s="10"/>
    </row>
    <row r="27" spans="2:109" outlineLevel="1">
      <c r="B27" t="s">
        <v>28</v>
      </c>
      <c r="C27" t="s">
        <v>109</v>
      </c>
      <c r="E27" s="9"/>
      <c r="F27" t="s">
        <v>130</v>
      </c>
      <c r="G27" s="10">
        <v>0.05</v>
      </c>
      <c r="I27" s="9">
        <f t="shared" si="0"/>
        <v>0</v>
      </c>
      <c r="J27" s="11" cm="1">
        <f t="array" ref="J27">MAX(IF($N$3:$EH$3=$J$3,N27:EH27))</f>
        <v>0</v>
      </c>
      <c r="K27" s="11" cm="1">
        <f t="array" ref="K27">MAX(IF($N$3:$EH$3=$J$3,N27:EH27))</f>
        <v>0</v>
      </c>
      <c r="L27" s="9"/>
      <c r="O27" s="10"/>
      <c r="P27" s="10"/>
      <c r="Q27" s="10"/>
      <c r="R27" s="10"/>
      <c r="V27" s="10"/>
      <c r="W27" s="10"/>
      <c r="X27" s="10"/>
      <c r="Y27" s="10"/>
      <c r="AC27" s="10"/>
      <c r="AD27" s="10"/>
      <c r="AE27" s="10"/>
      <c r="AF27" s="10"/>
      <c r="AJ27" s="10"/>
      <c r="AK27" s="10"/>
      <c r="AL27" s="10"/>
      <c r="AM27" s="10"/>
      <c r="AQ27" s="10"/>
      <c r="AR27" s="10"/>
      <c r="AS27" s="10"/>
      <c r="AT27" s="10"/>
      <c r="AX27" s="10"/>
      <c r="AY27" s="10"/>
      <c r="AZ27" s="10"/>
      <c r="BA27" s="10"/>
      <c r="BE27" s="10"/>
      <c r="BF27" s="10"/>
      <c r="BG27" s="10"/>
      <c r="BH27" s="10"/>
      <c r="BL27" s="10"/>
      <c r="BM27" s="10"/>
      <c r="BN27" s="10"/>
      <c r="BO27" s="10"/>
      <c r="BS27" s="10"/>
      <c r="BT27" s="10"/>
      <c r="BU27" s="10"/>
      <c r="BV27" s="10"/>
      <c r="BZ27" s="10"/>
      <c r="CA27" s="10"/>
      <c r="CB27" s="10"/>
      <c r="CC27" s="10"/>
      <c r="CG27" s="10"/>
      <c r="CH27" s="10"/>
      <c r="CI27" s="10"/>
      <c r="CJ27" s="10"/>
      <c r="CN27" s="10"/>
      <c r="CO27" s="10"/>
      <c r="CP27" s="10"/>
      <c r="CQ27" s="10"/>
      <c r="CU27" s="10"/>
      <c r="CV27" s="10"/>
      <c r="CW27" s="10"/>
      <c r="CX27" s="10"/>
      <c r="DB27" s="10"/>
      <c r="DC27" s="10"/>
      <c r="DD27" s="10"/>
      <c r="DE27" s="10"/>
    </row>
    <row r="28" spans="2:109" outlineLevel="1">
      <c r="B28" t="s">
        <v>28</v>
      </c>
      <c r="C28" t="s">
        <v>109</v>
      </c>
      <c r="E28" s="9"/>
      <c r="F28" t="s">
        <v>131</v>
      </c>
      <c r="G28" s="10">
        <v>0.05</v>
      </c>
      <c r="I28" s="9">
        <f t="shared" si="0"/>
        <v>0</v>
      </c>
      <c r="J28" s="11" cm="1">
        <f t="array" ref="J28">MAX(IF($N$3:$EH$3=$J$3,N28:EH28))</f>
        <v>0</v>
      </c>
      <c r="K28" s="11" cm="1">
        <f t="array" ref="K28">MAX(IF($N$3:$EH$3=$J$3,N28:EH28))</f>
        <v>0</v>
      </c>
      <c r="L28" s="9"/>
      <c r="O28" s="10"/>
      <c r="P28" s="10"/>
      <c r="Q28" s="10"/>
      <c r="R28" s="10"/>
      <c r="V28" s="10"/>
      <c r="W28" s="10"/>
      <c r="X28" s="10"/>
      <c r="Y28" s="10"/>
      <c r="AC28" s="10"/>
      <c r="AD28" s="10"/>
      <c r="AE28" s="10"/>
      <c r="AF28" s="10"/>
      <c r="AJ28" s="10"/>
      <c r="AK28" s="10"/>
      <c r="AL28" s="10"/>
      <c r="AM28" s="10"/>
      <c r="AQ28" s="10"/>
      <c r="AR28" s="10"/>
      <c r="AS28" s="10"/>
      <c r="AT28" s="10"/>
      <c r="AX28" s="10"/>
      <c r="AY28" s="10"/>
      <c r="AZ28" s="10"/>
      <c r="BA28" s="10"/>
      <c r="BE28" s="10"/>
      <c r="BF28" s="10"/>
      <c r="BG28" s="10"/>
      <c r="BH28" s="10"/>
      <c r="BL28" s="10"/>
      <c r="BM28" s="10"/>
      <c r="BN28" s="10"/>
      <c r="BO28" s="10"/>
      <c r="BS28" s="10"/>
      <c r="BT28" s="10"/>
      <c r="BU28" s="10"/>
      <c r="BV28" s="10"/>
      <c r="BZ28" s="10"/>
      <c r="CA28" s="10"/>
      <c r="CB28" s="10"/>
      <c r="CC28" s="10"/>
      <c r="CG28" s="10"/>
      <c r="CH28" s="10"/>
      <c r="CI28" s="10"/>
      <c r="CJ28" s="10"/>
      <c r="CN28" s="10"/>
      <c r="CO28" s="10"/>
      <c r="CP28" s="10"/>
      <c r="CQ28" s="10"/>
      <c r="CU28" s="10"/>
      <c r="CV28" s="10"/>
      <c r="CW28" s="10"/>
      <c r="CX28" s="10"/>
      <c r="DB28" s="10"/>
      <c r="DC28" s="10"/>
      <c r="DD28" s="10"/>
      <c r="DE28" s="10"/>
    </row>
    <row r="29" spans="2:109" outlineLevel="1">
      <c r="B29" t="s">
        <v>28</v>
      </c>
      <c r="C29" t="s">
        <v>109</v>
      </c>
      <c r="E29" s="9"/>
      <c r="F29" t="s">
        <v>132</v>
      </c>
      <c r="G29" s="10">
        <v>0.05</v>
      </c>
      <c r="I29" s="9">
        <f t="shared" si="0"/>
        <v>0</v>
      </c>
      <c r="J29" s="11" cm="1">
        <f t="array" ref="J29">MAX(IF($N$3:$EH$3=$J$3,N29:EH29))</f>
        <v>0</v>
      </c>
      <c r="K29" s="11" cm="1">
        <f t="array" ref="K29">MAX(IF($N$3:$EH$3=$J$3,N29:EH29))</f>
        <v>0</v>
      </c>
      <c r="L29" s="9"/>
      <c r="O29" s="10"/>
      <c r="P29" s="10"/>
      <c r="Q29" s="10"/>
      <c r="R29" s="10"/>
      <c r="V29" s="10"/>
      <c r="W29" s="10"/>
      <c r="X29" s="10"/>
      <c r="Y29" s="10"/>
      <c r="AC29" s="10"/>
      <c r="AD29" s="10"/>
      <c r="AE29" s="10"/>
      <c r="AF29" s="10"/>
      <c r="AJ29" s="10"/>
      <c r="AK29" s="10"/>
      <c r="AL29" s="10"/>
      <c r="AM29" s="10"/>
      <c r="AQ29" s="10"/>
      <c r="AR29" s="10"/>
      <c r="AS29" s="10"/>
      <c r="AT29" s="10"/>
      <c r="AX29" s="10"/>
      <c r="AY29" s="10"/>
      <c r="AZ29" s="10"/>
      <c r="BA29" s="10"/>
      <c r="BE29" s="10"/>
      <c r="BF29" s="10"/>
      <c r="BG29" s="10"/>
      <c r="BH29" s="10"/>
      <c r="BL29" s="10"/>
      <c r="BM29" s="10"/>
      <c r="BN29" s="10"/>
      <c r="BO29" s="10"/>
      <c r="BS29" s="10"/>
      <c r="BT29" s="10"/>
      <c r="BU29" s="10"/>
      <c r="BV29" s="10"/>
      <c r="BZ29" s="10"/>
      <c r="CA29" s="10"/>
      <c r="CB29" s="10"/>
      <c r="CC29" s="10"/>
      <c r="CG29" s="10"/>
      <c r="CH29" s="10"/>
      <c r="CI29" s="10"/>
      <c r="CJ29" s="10"/>
      <c r="CN29" s="10"/>
      <c r="CO29" s="10"/>
      <c r="CP29" s="10"/>
      <c r="CQ29" s="10"/>
      <c r="CU29" s="10"/>
      <c r="CV29" s="10"/>
      <c r="CW29" s="10"/>
      <c r="CX29" s="10"/>
      <c r="DB29" s="10"/>
      <c r="DC29" s="10"/>
      <c r="DD29" s="10"/>
      <c r="DE29" s="10"/>
    </row>
    <row r="30" spans="2:109" outlineLevel="1">
      <c r="B30" t="s">
        <v>28</v>
      </c>
      <c r="C30" t="s">
        <v>109</v>
      </c>
      <c r="E30" s="9"/>
      <c r="F30" t="s">
        <v>133</v>
      </c>
      <c r="G30" s="10">
        <v>0.05</v>
      </c>
      <c r="I30" s="9">
        <f t="shared" si="0"/>
        <v>0</v>
      </c>
      <c r="J30" s="11" cm="1">
        <f t="array" ref="J30">MAX(IF($N$3:$EH$3=$J$3,N30:EH30))</f>
        <v>0</v>
      </c>
      <c r="K30" s="11" cm="1">
        <f t="array" ref="K30">MAX(IF($N$3:$EH$3=$J$3,N30:EH30))</f>
        <v>0</v>
      </c>
      <c r="L30" s="9"/>
      <c r="O30" s="10"/>
      <c r="P30" s="10"/>
      <c r="Q30" s="10"/>
      <c r="R30" s="10"/>
      <c r="V30" s="10"/>
      <c r="W30" s="10"/>
      <c r="X30" s="10"/>
      <c r="Y30" s="10"/>
      <c r="AC30" s="10"/>
      <c r="AD30" s="10"/>
      <c r="AE30" s="10"/>
      <c r="AF30" s="10"/>
      <c r="AJ30" s="10"/>
      <c r="AK30" s="10"/>
      <c r="AL30" s="10"/>
      <c r="AM30" s="10"/>
      <c r="AQ30" s="10"/>
      <c r="AR30" s="10"/>
      <c r="AS30" s="10"/>
      <c r="AT30" s="10"/>
      <c r="AX30" s="10"/>
      <c r="AY30" s="10"/>
      <c r="AZ30" s="10"/>
      <c r="BA30" s="10"/>
      <c r="BE30" s="10"/>
      <c r="BF30" s="10"/>
      <c r="BG30" s="10"/>
      <c r="BH30" s="10"/>
      <c r="BL30" s="10"/>
      <c r="BM30" s="10"/>
      <c r="BN30" s="10"/>
      <c r="BO30" s="10"/>
      <c r="BS30" s="10"/>
      <c r="BT30" s="10"/>
      <c r="BU30" s="10"/>
      <c r="BV30" s="10"/>
      <c r="BZ30" s="10"/>
      <c r="CA30" s="10"/>
      <c r="CB30" s="10"/>
      <c r="CC30" s="10"/>
      <c r="CG30" s="10"/>
      <c r="CH30" s="10"/>
      <c r="CI30" s="10"/>
      <c r="CJ30" s="10"/>
      <c r="CN30" s="10"/>
      <c r="CO30" s="10"/>
      <c r="CP30" s="10"/>
      <c r="CQ30" s="10"/>
      <c r="CU30" s="10"/>
      <c r="CV30" s="10"/>
      <c r="CW30" s="10"/>
      <c r="CX30" s="10"/>
      <c r="DB30" s="10"/>
      <c r="DC30" s="10"/>
      <c r="DD30" s="10"/>
      <c r="DE30" s="10"/>
    </row>
    <row r="31" spans="2:109" outlineLevel="1">
      <c r="B31" t="s">
        <v>28</v>
      </c>
      <c r="C31" t="s">
        <v>109</v>
      </c>
      <c r="E31" s="9"/>
      <c r="F31" t="s">
        <v>134</v>
      </c>
      <c r="G31" s="10">
        <v>0.05</v>
      </c>
      <c r="I31" s="9">
        <f t="shared" si="0"/>
        <v>0</v>
      </c>
      <c r="J31" s="11" cm="1">
        <f t="array" ref="J31">MAX(IF($N$3:$EH$3=$J$3,N31:EH31))</f>
        <v>0</v>
      </c>
      <c r="K31" s="11" cm="1">
        <f t="array" ref="K31">MAX(IF($N$3:$EH$3=$J$3,N31:EH31))</f>
        <v>0</v>
      </c>
      <c r="L31" s="9"/>
      <c r="O31" s="10"/>
      <c r="P31" s="10"/>
      <c r="Q31" s="10"/>
      <c r="R31" s="10"/>
      <c r="V31" s="10"/>
      <c r="W31" s="10"/>
      <c r="X31" s="10"/>
      <c r="Y31" s="10"/>
      <c r="AC31" s="10"/>
      <c r="AD31" s="10"/>
      <c r="AE31" s="10"/>
      <c r="AF31" s="10"/>
      <c r="AJ31" s="10"/>
      <c r="AK31" s="10"/>
      <c r="AL31" s="10"/>
      <c r="AM31" s="10"/>
      <c r="AQ31" s="10"/>
      <c r="AR31" s="10"/>
      <c r="AS31" s="10"/>
      <c r="AT31" s="10"/>
      <c r="AX31" s="10"/>
      <c r="AY31" s="10"/>
      <c r="AZ31" s="10"/>
      <c r="BA31" s="10"/>
      <c r="BE31" s="10"/>
      <c r="BF31" s="10"/>
      <c r="BG31" s="10"/>
      <c r="BH31" s="10"/>
      <c r="BL31" s="10"/>
      <c r="BM31" s="10"/>
      <c r="BN31" s="10"/>
      <c r="BO31" s="10"/>
      <c r="BS31" s="10"/>
      <c r="BT31" s="10"/>
      <c r="BU31" s="10"/>
      <c r="BV31" s="10"/>
      <c r="BZ31" s="10"/>
      <c r="CA31" s="10"/>
      <c r="CB31" s="10"/>
      <c r="CC31" s="10"/>
      <c r="CG31" s="10"/>
      <c r="CH31" s="10"/>
      <c r="CI31" s="10"/>
      <c r="CJ31" s="10"/>
      <c r="CN31" s="10"/>
      <c r="CO31" s="10"/>
      <c r="CP31" s="10"/>
      <c r="CQ31" s="10"/>
      <c r="CU31" s="10"/>
      <c r="CV31" s="10"/>
      <c r="CW31" s="10"/>
      <c r="CX31" s="10"/>
      <c r="DB31" s="10"/>
      <c r="DC31" s="10"/>
      <c r="DD31" s="10"/>
      <c r="DE31" s="10"/>
    </row>
    <row r="32" spans="2:109" outlineLevel="1">
      <c r="B32" t="s">
        <v>28</v>
      </c>
      <c r="C32" t="s">
        <v>109</v>
      </c>
      <c r="E32" s="9"/>
      <c r="F32" t="s">
        <v>135</v>
      </c>
      <c r="G32" s="10">
        <v>0.05</v>
      </c>
      <c r="I32" s="9"/>
      <c r="J32" s="11" cm="1">
        <f t="array" ref="J32">MAX(IF($N$3:$EH$3=$J$3,N32:EH32))</f>
        <v>0</v>
      </c>
      <c r="K32" s="11" cm="1">
        <f t="array" ref="K32">MAX(IF($N$3:$EH$3=$J$3,N32:EH32))</f>
        <v>0</v>
      </c>
      <c r="L32" s="9"/>
      <c r="O32" s="10"/>
      <c r="P32" s="10"/>
      <c r="Q32" s="10"/>
      <c r="R32" s="10"/>
      <c r="V32" s="10"/>
      <c r="W32" s="10"/>
      <c r="X32" s="10"/>
      <c r="Y32" s="10"/>
      <c r="AC32" s="10"/>
      <c r="AD32" s="10"/>
      <c r="AE32" s="10"/>
      <c r="AF32" s="10"/>
      <c r="AJ32" s="10"/>
      <c r="AK32" s="10"/>
      <c r="AL32" s="10"/>
      <c r="AM32" s="10"/>
      <c r="AQ32" s="10"/>
      <c r="AR32" s="10"/>
      <c r="AS32" s="10"/>
      <c r="AT32" s="10"/>
      <c r="AX32" s="10"/>
      <c r="AY32" s="10"/>
      <c r="AZ32" s="10"/>
      <c r="BA32" s="10"/>
      <c r="BE32" s="10"/>
      <c r="BF32" s="10"/>
      <c r="BG32" s="10"/>
      <c r="BH32" s="10"/>
      <c r="BL32" s="10"/>
      <c r="BM32" s="10"/>
      <c r="BN32" s="10"/>
      <c r="BO32" s="10"/>
      <c r="BS32" s="10"/>
      <c r="BT32" s="10"/>
      <c r="BU32" s="10"/>
      <c r="BV32" s="10"/>
      <c r="BZ32" s="10"/>
      <c r="CA32" s="10"/>
      <c r="CB32" s="10"/>
      <c r="CC32" s="10"/>
      <c r="CG32" s="10"/>
      <c r="CH32" s="10"/>
      <c r="CI32" s="10"/>
      <c r="CJ32" s="10"/>
      <c r="CN32" s="10"/>
      <c r="CO32" s="10"/>
      <c r="CP32" s="10"/>
      <c r="CQ32" s="10"/>
      <c r="CU32" s="10"/>
      <c r="CV32" s="10"/>
      <c r="CW32" s="10"/>
      <c r="CX32" s="10"/>
      <c r="DB32" s="10"/>
      <c r="DC32" s="10"/>
      <c r="DD32" s="10"/>
      <c r="DE32" s="10"/>
    </row>
    <row r="33" spans="2:109" outlineLevel="1">
      <c r="B33" t="s">
        <v>28</v>
      </c>
      <c r="C33" t="s">
        <v>109</v>
      </c>
      <c r="E33" s="9"/>
      <c r="F33" t="s">
        <v>140</v>
      </c>
      <c r="G33" s="10">
        <v>0.05</v>
      </c>
      <c r="I33" s="9">
        <f t="shared" ref="I33:I35" si="1">+SUMIF($N$3:$ZZ$3,I$3,$N33:$ZZ33)</f>
        <v>0</v>
      </c>
      <c r="J33" s="11" cm="1">
        <f t="array" ref="J33">MAX(IF($N$3:$EH$3=$J$3,N33:EH33))</f>
        <v>0</v>
      </c>
      <c r="K33" s="11" cm="1">
        <f t="array" ref="K33">MAX(IF($N$3:$EH$3=$J$3,N33:EH33))</f>
        <v>0</v>
      </c>
      <c r="L33" s="9"/>
      <c r="O33" s="10"/>
      <c r="P33" s="10">
        <v>0.4</v>
      </c>
      <c r="Q33" s="10"/>
      <c r="R33" s="10">
        <v>0.3</v>
      </c>
      <c r="V33" s="10"/>
      <c r="W33" s="10">
        <v>0.5</v>
      </c>
      <c r="X33" s="10"/>
      <c r="Y33" s="10">
        <v>0.5</v>
      </c>
      <c r="AC33" s="10"/>
      <c r="AD33" s="10">
        <v>0.8</v>
      </c>
      <c r="AE33" s="10"/>
      <c r="AF33" s="10">
        <v>0.8</v>
      </c>
      <c r="AJ33" s="10"/>
      <c r="AK33" s="10">
        <v>1</v>
      </c>
      <c r="AL33" s="10"/>
      <c r="AM33" s="10">
        <v>1</v>
      </c>
      <c r="AQ33" s="10"/>
      <c r="AR33" s="10">
        <v>1</v>
      </c>
      <c r="AS33" s="10"/>
      <c r="AT33" s="10">
        <v>1</v>
      </c>
      <c r="AX33" s="10"/>
      <c r="AY33" s="10"/>
      <c r="AZ33" s="10"/>
      <c r="BA33" s="10"/>
      <c r="BE33" s="10"/>
      <c r="BF33" s="10">
        <v>1</v>
      </c>
      <c r="BG33" s="10"/>
      <c r="BH33" s="10">
        <v>1</v>
      </c>
      <c r="BL33" s="10"/>
      <c r="BM33" s="10"/>
      <c r="BN33" s="10"/>
      <c r="BO33" s="10"/>
      <c r="BS33" s="10"/>
      <c r="BT33" s="10"/>
      <c r="BU33" s="10"/>
      <c r="BV33" s="10"/>
      <c r="BZ33" s="10"/>
      <c r="CA33" s="10"/>
      <c r="CB33" s="10"/>
      <c r="CC33" s="10"/>
      <c r="CG33" s="10"/>
      <c r="CH33" s="10"/>
      <c r="CI33" s="10"/>
      <c r="CJ33" s="10"/>
      <c r="CN33" s="10"/>
      <c r="CO33" s="10"/>
      <c r="CP33" s="10"/>
      <c r="CQ33" s="10"/>
      <c r="CU33" s="10"/>
      <c r="CV33" s="10"/>
      <c r="CW33" s="10"/>
      <c r="CX33" s="10"/>
      <c r="DB33" s="10"/>
      <c r="DC33" s="10"/>
      <c r="DD33" s="10"/>
      <c r="DE33" s="10"/>
    </row>
    <row r="34" spans="2:109" outlineLevel="1">
      <c r="B34" t="s">
        <v>28</v>
      </c>
      <c r="C34" t="s">
        <v>109</v>
      </c>
      <c r="E34" s="9"/>
      <c r="F34" t="s">
        <v>141</v>
      </c>
      <c r="G34" s="10">
        <v>0.1</v>
      </c>
      <c r="I34" s="9">
        <f t="shared" si="1"/>
        <v>0</v>
      </c>
      <c r="J34" s="11" cm="1">
        <f t="array" ref="J34">MAX(IF($N$3:$EH$3=$J$3,N34:EH34))</f>
        <v>0</v>
      </c>
      <c r="K34" s="11" cm="1">
        <f t="array" ref="K34">MAX(IF($N$3:$EH$3=$J$3,N34:EH34))</f>
        <v>0</v>
      </c>
      <c r="L34" s="9"/>
      <c r="O34" s="10"/>
      <c r="P34" s="10"/>
      <c r="Q34" s="10"/>
      <c r="R34" s="10"/>
      <c r="V34" s="10"/>
      <c r="W34" s="10">
        <v>0.3</v>
      </c>
      <c r="X34" s="10"/>
      <c r="Y34" s="10">
        <v>0.3</v>
      </c>
      <c r="AC34" s="10"/>
      <c r="AD34" s="10">
        <v>0.5</v>
      </c>
      <c r="AE34" s="10"/>
      <c r="AF34" s="10">
        <v>0.5</v>
      </c>
      <c r="AJ34" s="10"/>
      <c r="AK34" s="10">
        <v>0.8</v>
      </c>
      <c r="AL34" s="10"/>
      <c r="AM34" s="10">
        <v>0.8</v>
      </c>
      <c r="AQ34" s="10"/>
      <c r="AR34" s="10">
        <v>1</v>
      </c>
      <c r="AS34" s="10"/>
      <c r="AT34" s="10">
        <v>1</v>
      </c>
      <c r="AX34" s="10"/>
      <c r="AY34" s="10"/>
      <c r="AZ34" s="10"/>
      <c r="BA34" s="10"/>
      <c r="BE34" s="10"/>
      <c r="BF34" s="10">
        <v>1</v>
      </c>
      <c r="BG34" s="10"/>
      <c r="BH34" s="10">
        <v>1</v>
      </c>
      <c r="BL34" s="10"/>
      <c r="BM34" s="10"/>
      <c r="BN34" s="10"/>
      <c r="BO34" s="10"/>
      <c r="BS34" s="10"/>
      <c r="BT34" s="10"/>
      <c r="BU34" s="10"/>
      <c r="BV34" s="10"/>
      <c r="BZ34" s="10"/>
      <c r="CA34" s="10"/>
      <c r="CB34" s="10"/>
      <c r="CC34" s="10"/>
      <c r="CG34" s="10"/>
      <c r="CH34" s="10"/>
      <c r="CI34" s="10"/>
      <c r="CJ34" s="10"/>
      <c r="CN34" s="10"/>
      <c r="CO34" s="10"/>
      <c r="CP34" s="10"/>
      <c r="CQ34" s="10"/>
      <c r="CU34" s="10"/>
      <c r="CV34" s="10"/>
      <c r="CW34" s="10"/>
      <c r="CX34" s="10"/>
      <c r="DB34" s="10"/>
      <c r="DC34" s="10"/>
      <c r="DD34" s="10"/>
      <c r="DE34" s="10"/>
    </row>
    <row r="35" spans="2:109" outlineLevel="1">
      <c r="B35" t="s">
        <v>28</v>
      </c>
      <c r="C35" t="s">
        <v>109</v>
      </c>
      <c r="E35" s="9"/>
      <c r="F35" t="s">
        <v>142</v>
      </c>
      <c r="G35" s="10">
        <v>0.1</v>
      </c>
      <c r="I35" s="9">
        <f t="shared" si="1"/>
        <v>0</v>
      </c>
      <c r="J35" s="11" cm="1">
        <f t="array" ref="J35">MAX(IF($N$3:$EH$3=$J$3,N35:EH35))</f>
        <v>0</v>
      </c>
      <c r="K35" s="11" cm="1">
        <f t="array" ref="K35">MAX(IF($N$3:$EH$3=$J$3,N35:EH35))</f>
        <v>0</v>
      </c>
      <c r="L35" s="9"/>
      <c r="O35" s="10"/>
      <c r="P35" s="10"/>
      <c r="Q35" s="10"/>
      <c r="R35" s="10"/>
      <c r="V35" s="10"/>
      <c r="W35" s="10">
        <v>0.3</v>
      </c>
      <c r="X35" s="10"/>
      <c r="Y35" s="10">
        <v>0.3</v>
      </c>
      <c r="AC35" s="10"/>
      <c r="AD35" s="10">
        <v>0.5</v>
      </c>
      <c r="AE35" s="10"/>
      <c r="AF35" s="10">
        <v>0.5</v>
      </c>
      <c r="AJ35" s="10"/>
      <c r="AK35" s="10">
        <v>0.8</v>
      </c>
      <c r="AL35" s="10"/>
      <c r="AM35" s="10">
        <v>0.8</v>
      </c>
      <c r="AQ35" s="10"/>
      <c r="AR35" s="10">
        <v>1</v>
      </c>
      <c r="AS35" s="10"/>
      <c r="AT35" s="10">
        <v>1</v>
      </c>
      <c r="AX35" s="10"/>
      <c r="AY35" s="10"/>
      <c r="AZ35" s="10"/>
      <c r="BA35" s="10"/>
      <c r="BE35" s="10"/>
      <c r="BF35" s="10">
        <v>1</v>
      </c>
      <c r="BG35" s="10"/>
      <c r="BH35" s="10">
        <v>1</v>
      </c>
      <c r="BL35" s="10"/>
      <c r="BM35" s="10"/>
      <c r="BN35" s="10"/>
      <c r="BO35" s="10"/>
      <c r="BS35" s="10"/>
      <c r="BT35" s="10"/>
      <c r="BU35" s="10"/>
      <c r="BV35" s="10"/>
      <c r="BZ35" s="10"/>
      <c r="CA35" s="10"/>
      <c r="CB35" s="10"/>
      <c r="CC35" s="10"/>
      <c r="CG35" s="10"/>
      <c r="CH35" s="10"/>
      <c r="CI35" s="10"/>
      <c r="CJ35" s="10"/>
      <c r="CN35" s="10"/>
      <c r="CO35" s="10"/>
      <c r="CP35" s="10"/>
      <c r="CQ35" s="10"/>
      <c r="CU35" s="10"/>
      <c r="CV35" s="10"/>
      <c r="CW35" s="10"/>
      <c r="CX35" s="10"/>
      <c r="DB35" s="10"/>
      <c r="DC35" s="10"/>
      <c r="DD35" s="10"/>
      <c r="DE35" s="10"/>
    </row>
    <row r="36" spans="2:109" ht="30.5" customHeight="1">
      <c r="G36" s="10"/>
    </row>
    <row r="37" spans="2:109">
      <c r="B37" t="s">
        <v>27</v>
      </c>
      <c r="D37" s="19">
        <v>45073</v>
      </c>
      <c r="E37">
        <v>6</v>
      </c>
      <c r="G37" s="10">
        <f>SUM(G38:G47)</f>
        <v>1</v>
      </c>
      <c r="N37">
        <f>U36</f>
        <v>0</v>
      </c>
      <c r="U37">
        <f>SUM(I38:I47)</f>
        <v>0</v>
      </c>
      <c r="AB37">
        <f>SUM(I38:I47)</f>
        <v>0</v>
      </c>
      <c r="AI37">
        <f>SUM(I38:I47)</f>
        <v>0</v>
      </c>
      <c r="AP37">
        <f>SUM(I38:I47)</f>
        <v>0</v>
      </c>
    </row>
    <row r="38" spans="2:109" outlineLevel="1">
      <c r="B38" t="s">
        <v>28</v>
      </c>
      <c r="C38" t="s">
        <v>42</v>
      </c>
      <c r="E38" s="9"/>
      <c r="F38" t="s">
        <v>30</v>
      </c>
      <c r="G38" s="10">
        <v>7.0000000000000007E-2</v>
      </c>
      <c r="I38" s="9">
        <f t="shared" ref="I38:I47" si="2">+SUMIF($N$3:$ZZ$3,I$3,$N38:$ZZ38)</f>
        <v>0</v>
      </c>
      <c r="J38" s="11" cm="1">
        <f t="array" ref="J38">MAX(IF($N$3:$EH$3=$J$3,N38:EH38))</f>
        <v>0.5</v>
      </c>
      <c r="K38" s="11" cm="1">
        <f t="array" ref="K38">MAX(IF($N$3:$EH$3=$J$3,N38:EH38))</f>
        <v>0.5</v>
      </c>
      <c r="L38" s="9"/>
      <c r="O38" s="10"/>
      <c r="P38" s="10">
        <v>0.5</v>
      </c>
      <c r="Q38" s="10"/>
      <c r="R38" s="10">
        <v>0.5</v>
      </c>
      <c r="V38" s="10">
        <v>0.5</v>
      </c>
      <c r="W38" s="10">
        <v>0.6</v>
      </c>
      <c r="X38" s="10"/>
      <c r="Y38" s="10">
        <v>0.8</v>
      </c>
      <c r="AC38" s="10"/>
      <c r="AD38" s="10">
        <v>0.8</v>
      </c>
      <c r="AE38" s="10"/>
      <c r="AF38" s="10">
        <v>0.8</v>
      </c>
      <c r="AJ38" s="10"/>
      <c r="AK38" s="10">
        <v>1</v>
      </c>
      <c r="AL38" s="10"/>
      <c r="AM38" s="10">
        <v>1</v>
      </c>
      <c r="AQ38" s="10"/>
      <c r="AR38" s="10">
        <v>1</v>
      </c>
      <c r="AS38" s="10"/>
      <c r="AT38" s="10">
        <v>1</v>
      </c>
      <c r="AX38" s="10"/>
      <c r="AY38" s="10"/>
      <c r="AZ38" s="10"/>
      <c r="BA38" s="10"/>
      <c r="BE38" s="10"/>
      <c r="BF38" s="10"/>
      <c r="BG38" s="10"/>
      <c r="BH38" s="10"/>
      <c r="BL38" s="10"/>
      <c r="BM38" s="10"/>
      <c r="BN38" s="10"/>
      <c r="BO38" s="10">
        <v>1</v>
      </c>
      <c r="BS38" s="10"/>
      <c r="BT38" s="10">
        <v>1</v>
      </c>
      <c r="BU38" s="10"/>
      <c r="BV38" s="10">
        <v>1</v>
      </c>
      <c r="BZ38" s="10"/>
      <c r="CA38" s="10">
        <v>1</v>
      </c>
      <c r="CB38" s="10"/>
      <c r="CC38" s="10">
        <v>1</v>
      </c>
      <c r="CG38" s="10"/>
      <c r="CH38" s="10">
        <v>1</v>
      </c>
      <c r="CI38" s="10"/>
      <c r="CJ38" s="10">
        <v>1</v>
      </c>
      <c r="CN38" s="10"/>
      <c r="CO38" s="10"/>
      <c r="CP38" s="10"/>
      <c r="CQ38" s="10"/>
      <c r="CU38" s="10"/>
      <c r="CV38" s="10"/>
      <c r="CW38" s="10"/>
      <c r="CX38" s="10"/>
      <c r="DB38" s="10"/>
      <c r="DC38" s="10"/>
      <c r="DD38" s="10"/>
      <c r="DE38" s="10"/>
    </row>
    <row r="39" spans="2:109" outlineLevel="1">
      <c r="B39" t="s">
        <v>28</v>
      </c>
      <c r="C39" t="s">
        <v>42</v>
      </c>
      <c r="E39" s="9"/>
      <c r="F39" t="s">
        <v>117</v>
      </c>
      <c r="G39" s="10">
        <v>0.1</v>
      </c>
      <c r="I39" s="9">
        <f t="shared" si="2"/>
        <v>0</v>
      </c>
      <c r="J39" s="11" cm="1">
        <f t="array" ref="J39">MAX(IF($N$3:$EH$3=$J$3,N39:EH39))</f>
        <v>0.5</v>
      </c>
      <c r="K39" s="11" cm="1">
        <f t="array" ref="K39">MAX(IF($N$3:$EH$3=$J$3,N39:EH39))</f>
        <v>0.5</v>
      </c>
      <c r="L39" s="9"/>
      <c r="P39" s="10">
        <v>0.5</v>
      </c>
      <c r="Q39" s="10"/>
      <c r="R39" s="10">
        <v>0.5</v>
      </c>
      <c r="V39" s="10">
        <v>0.5</v>
      </c>
      <c r="W39" s="10">
        <v>0.6</v>
      </c>
      <c r="X39" s="10"/>
      <c r="Y39" s="10">
        <v>0.8</v>
      </c>
      <c r="AC39" s="10"/>
      <c r="AD39" s="10">
        <v>0.8</v>
      </c>
      <c r="AE39" s="10"/>
      <c r="AF39" s="10">
        <v>0.8</v>
      </c>
      <c r="AJ39" s="10"/>
      <c r="AK39" s="10">
        <v>1</v>
      </c>
      <c r="AL39" s="10"/>
      <c r="AM39" s="10">
        <v>1</v>
      </c>
      <c r="AQ39" s="10"/>
      <c r="AR39" s="10">
        <v>1</v>
      </c>
      <c r="AS39" s="10"/>
      <c r="AT39" s="10">
        <v>1</v>
      </c>
      <c r="AX39" s="10"/>
      <c r="AY39" s="10"/>
      <c r="AZ39" s="10"/>
      <c r="BA39" s="10"/>
      <c r="BE39" s="10"/>
      <c r="BF39" s="10"/>
      <c r="BG39" s="10"/>
      <c r="BH39" s="10"/>
      <c r="BL39" s="10"/>
      <c r="BM39" s="10"/>
      <c r="BN39" s="10"/>
      <c r="BO39" s="10">
        <v>1</v>
      </c>
      <c r="BS39" s="10"/>
      <c r="BT39" s="10">
        <v>1</v>
      </c>
      <c r="BU39" s="10"/>
      <c r="BV39" s="10">
        <v>1</v>
      </c>
      <c r="BZ39" s="10"/>
      <c r="CA39" s="10">
        <v>1</v>
      </c>
      <c r="CB39" s="10"/>
      <c r="CC39" s="10">
        <v>1</v>
      </c>
      <c r="CG39" s="10"/>
      <c r="CH39" s="10">
        <v>1</v>
      </c>
      <c r="CI39" s="10"/>
      <c r="CJ39" s="10">
        <v>1</v>
      </c>
      <c r="CN39" s="10"/>
      <c r="CO39" s="10"/>
      <c r="CP39" s="10"/>
      <c r="CQ39" s="10"/>
      <c r="CU39" s="10"/>
      <c r="CV39" s="10"/>
      <c r="CW39" s="10"/>
      <c r="CX39" s="10"/>
      <c r="DB39" s="10"/>
      <c r="DC39" s="10"/>
      <c r="DD39" s="10"/>
      <c r="DE39" s="10"/>
    </row>
    <row r="40" spans="2:109" outlineLevel="1">
      <c r="B40" t="s">
        <v>28</v>
      </c>
      <c r="C40" t="s">
        <v>42</v>
      </c>
      <c r="E40" s="9"/>
      <c r="F40" t="s">
        <v>118</v>
      </c>
      <c r="G40" s="10">
        <v>0.1</v>
      </c>
      <c r="I40" s="9">
        <f t="shared" si="2"/>
        <v>0</v>
      </c>
      <c r="J40" s="11" cm="1">
        <f t="array" ref="J40">MAX(IF($N$3:$EH$3=$J$3,N40:EH40))</f>
        <v>0.5</v>
      </c>
      <c r="K40" s="11" cm="1">
        <f t="array" ref="K40">MAX(IF($N$3:$EH$3=$J$3,N40:EH40))</f>
        <v>0.5</v>
      </c>
      <c r="L40" s="9"/>
      <c r="O40" s="10"/>
      <c r="P40" s="10">
        <v>0.5</v>
      </c>
      <c r="Q40" s="10"/>
      <c r="R40" s="10">
        <v>0.5</v>
      </c>
      <c r="V40" s="10">
        <v>0.5</v>
      </c>
      <c r="W40" s="10">
        <v>0.5</v>
      </c>
      <c r="X40" s="10"/>
      <c r="Y40" s="10">
        <v>0.5</v>
      </c>
      <c r="AC40" s="10"/>
      <c r="AD40" s="10">
        <v>0.8</v>
      </c>
      <c r="AE40" s="10"/>
      <c r="AF40" s="10">
        <v>0.8</v>
      </c>
      <c r="AJ40" s="10"/>
      <c r="AK40" s="10">
        <v>0.8</v>
      </c>
      <c r="AL40" s="10"/>
      <c r="AM40" s="10">
        <v>0.8</v>
      </c>
      <c r="AQ40" s="10"/>
      <c r="AR40" s="10">
        <v>1</v>
      </c>
      <c r="AS40" s="10"/>
      <c r="AT40" s="10">
        <v>1</v>
      </c>
      <c r="AX40" s="10"/>
      <c r="AY40" s="10"/>
      <c r="AZ40" s="10"/>
      <c r="BA40" s="10"/>
      <c r="BE40" s="10"/>
      <c r="BF40" s="10"/>
      <c r="BG40" s="10"/>
      <c r="BH40" s="10"/>
      <c r="BL40" s="10"/>
      <c r="BM40" s="10"/>
      <c r="BN40" s="10"/>
      <c r="BO40" s="10">
        <v>0.8</v>
      </c>
      <c r="BS40" s="10"/>
      <c r="BT40" s="10">
        <v>1</v>
      </c>
      <c r="BU40" s="10"/>
      <c r="BV40" s="10">
        <v>1</v>
      </c>
      <c r="BZ40" s="10"/>
      <c r="CA40" s="10">
        <v>1</v>
      </c>
      <c r="CB40" s="10"/>
      <c r="CC40" s="10">
        <v>1</v>
      </c>
      <c r="CG40" s="10"/>
      <c r="CH40" s="10">
        <v>1</v>
      </c>
      <c r="CI40" s="10"/>
      <c r="CJ40" s="10">
        <v>1</v>
      </c>
      <c r="CN40" s="10"/>
      <c r="CO40" s="10"/>
      <c r="CP40" s="10"/>
      <c r="CQ40" s="10"/>
      <c r="CU40" s="10"/>
      <c r="CV40" s="10"/>
      <c r="CW40" s="10"/>
      <c r="CX40" s="10"/>
      <c r="DB40" s="10"/>
      <c r="DC40" s="10"/>
      <c r="DD40" s="10"/>
      <c r="DE40" s="10"/>
    </row>
    <row r="41" spans="2:109" outlineLevel="1">
      <c r="B41" t="s">
        <v>28</v>
      </c>
      <c r="C41" t="s">
        <v>42</v>
      </c>
      <c r="E41" s="9"/>
      <c r="F41" t="s">
        <v>119</v>
      </c>
      <c r="G41" s="10">
        <v>0.1</v>
      </c>
      <c r="I41" s="9">
        <f t="shared" si="2"/>
        <v>0</v>
      </c>
      <c r="J41" s="11" cm="1">
        <f t="array" ref="J41">MAX(IF($N$3:$EH$3=$J$3,N41:EH41))</f>
        <v>0.5</v>
      </c>
      <c r="K41" s="11" cm="1">
        <f t="array" ref="K41">MAX(IF($N$3:$EH$3=$J$3,N41:EH41))</f>
        <v>0.5</v>
      </c>
      <c r="L41" s="9"/>
      <c r="O41" s="10"/>
      <c r="P41" s="10">
        <v>0.5</v>
      </c>
      <c r="Q41" s="10"/>
      <c r="R41" s="10">
        <v>0.5</v>
      </c>
      <c r="V41" s="10">
        <v>0.5</v>
      </c>
      <c r="W41" s="10">
        <v>0.5</v>
      </c>
      <c r="X41" s="10"/>
      <c r="Y41" s="10">
        <v>0.5</v>
      </c>
      <c r="AC41" s="10"/>
      <c r="AD41" s="10">
        <v>0.8</v>
      </c>
      <c r="AE41" s="10"/>
      <c r="AF41" s="10">
        <v>0.8</v>
      </c>
      <c r="AJ41" s="10"/>
      <c r="AK41" s="10">
        <v>0.8</v>
      </c>
      <c r="AL41" s="10"/>
      <c r="AM41" s="10">
        <v>0.8</v>
      </c>
      <c r="AQ41" s="10"/>
      <c r="AR41" s="10">
        <v>1</v>
      </c>
      <c r="AS41" s="10"/>
      <c r="AT41" s="10">
        <v>1</v>
      </c>
      <c r="AX41" s="10"/>
      <c r="AY41" s="10"/>
      <c r="AZ41" s="10"/>
      <c r="BA41" s="10"/>
      <c r="BE41" s="10"/>
      <c r="BF41" s="10"/>
      <c r="BG41" s="10"/>
      <c r="BH41" s="10"/>
      <c r="BL41" s="10"/>
      <c r="BM41" s="10"/>
      <c r="BN41" s="10"/>
      <c r="BO41" s="10">
        <v>0.8</v>
      </c>
      <c r="BS41" s="10"/>
      <c r="BT41" s="10">
        <v>0.8</v>
      </c>
      <c r="BU41" s="10"/>
      <c r="BV41" s="10">
        <v>0.8</v>
      </c>
      <c r="BZ41" s="10"/>
      <c r="CA41" s="10">
        <v>1</v>
      </c>
      <c r="CB41" s="10"/>
      <c r="CC41" s="10">
        <v>1</v>
      </c>
      <c r="CG41" s="10"/>
      <c r="CH41" s="10">
        <v>1</v>
      </c>
      <c r="CI41" s="10"/>
      <c r="CJ41" s="10">
        <v>1</v>
      </c>
      <c r="CN41" s="10"/>
      <c r="CO41" s="10"/>
      <c r="CP41" s="10"/>
      <c r="CQ41" s="10"/>
      <c r="CU41" s="10"/>
      <c r="CV41" s="10"/>
      <c r="CW41" s="10"/>
      <c r="CX41" s="10"/>
      <c r="DB41" s="10"/>
      <c r="DC41" s="10"/>
      <c r="DD41" s="10"/>
      <c r="DE41" s="10"/>
    </row>
    <row r="42" spans="2:109" outlineLevel="1">
      <c r="B42" t="s">
        <v>28</v>
      </c>
      <c r="C42" t="s">
        <v>42</v>
      </c>
      <c r="E42" s="9"/>
      <c r="F42" t="s">
        <v>120</v>
      </c>
      <c r="G42" s="10">
        <v>0.1</v>
      </c>
      <c r="I42" s="9">
        <f t="shared" si="2"/>
        <v>0</v>
      </c>
      <c r="J42" s="11" cm="1">
        <f t="array" ref="J42">MAX(IF($N$3:$EH$3=$J$3,N42:EH42))</f>
        <v>0.5</v>
      </c>
      <c r="K42" s="11" cm="1">
        <f t="array" ref="K42">MAX(IF($N$3:$EH$3=$J$3,N42:EH42))</f>
        <v>0.5</v>
      </c>
      <c r="L42" s="9"/>
      <c r="O42" s="10"/>
      <c r="P42" s="10"/>
      <c r="Q42" s="10"/>
      <c r="R42" s="10"/>
      <c r="V42" s="10">
        <v>0.5</v>
      </c>
      <c r="W42" s="10">
        <v>0.5</v>
      </c>
      <c r="X42" s="10"/>
      <c r="Y42" s="10">
        <v>0.5</v>
      </c>
      <c r="AC42" s="10"/>
      <c r="AD42" s="10">
        <v>0.5</v>
      </c>
      <c r="AE42" s="10"/>
      <c r="AF42" s="10">
        <v>0.5</v>
      </c>
      <c r="AJ42" s="10"/>
      <c r="AK42" s="10">
        <v>0.5</v>
      </c>
      <c r="AL42" s="10"/>
      <c r="AM42" s="10">
        <v>0.5</v>
      </c>
      <c r="AQ42" s="10"/>
      <c r="AR42" s="10">
        <v>1</v>
      </c>
      <c r="AS42" s="10"/>
      <c r="AT42" s="10">
        <v>1</v>
      </c>
      <c r="AX42" s="10"/>
      <c r="AY42" s="10"/>
      <c r="AZ42" s="10"/>
      <c r="BA42" s="10"/>
      <c r="BE42" s="10"/>
      <c r="BF42" s="10"/>
      <c r="BG42" s="10"/>
      <c r="BH42" s="10"/>
      <c r="BL42" s="10"/>
      <c r="BM42" s="10"/>
      <c r="BN42" s="10"/>
      <c r="BO42" s="10">
        <v>0.8</v>
      </c>
      <c r="BS42" s="10"/>
      <c r="BT42" s="10">
        <v>0.8</v>
      </c>
      <c r="BU42" s="10"/>
      <c r="BV42" s="10">
        <v>0.8</v>
      </c>
      <c r="BZ42" s="10"/>
      <c r="CA42" s="10">
        <v>1</v>
      </c>
      <c r="CB42" s="10"/>
      <c r="CC42" s="10">
        <v>1</v>
      </c>
      <c r="CG42" s="10"/>
      <c r="CH42" s="10">
        <v>1</v>
      </c>
      <c r="CI42" s="10"/>
      <c r="CJ42" s="10">
        <v>1</v>
      </c>
      <c r="CN42" s="10"/>
      <c r="CO42" s="10"/>
      <c r="CP42" s="10"/>
      <c r="CQ42" s="10"/>
      <c r="CU42" s="10"/>
      <c r="CV42" s="10"/>
      <c r="CW42" s="10"/>
      <c r="CX42" s="10"/>
      <c r="DB42" s="10"/>
      <c r="DC42" s="10"/>
      <c r="DD42" s="10"/>
      <c r="DE42" s="10"/>
    </row>
    <row r="43" spans="2:109" outlineLevel="1">
      <c r="B43" t="s">
        <v>28</v>
      </c>
      <c r="C43" t="s">
        <v>42</v>
      </c>
      <c r="E43" s="9"/>
      <c r="F43" t="s">
        <v>121</v>
      </c>
      <c r="G43" s="10">
        <v>0.1</v>
      </c>
      <c r="I43" s="9">
        <f t="shared" si="2"/>
        <v>0</v>
      </c>
      <c r="J43" s="11" cm="1">
        <f t="array" ref="J43">MAX(IF($N$3:$EH$3=$J$3,N43:EH43))</f>
        <v>0.5</v>
      </c>
      <c r="K43" s="11" cm="1">
        <f t="array" ref="K43">MAX(IF($N$3:$EH$3=$J$3,N43:EH43))</f>
        <v>0.5</v>
      </c>
      <c r="L43" s="9"/>
      <c r="O43" s="10"/>
      <c r="P43" s="10"/>
      <c r="Q43" s="10"/>
      <c r="R43" s="10"/>
      <c r="V43" s="10">
        <v>0.5</v>
      </c>
      <c r="W43" s="10">
        <v>0.5</v>
      </c>
      <c r="X43" s="10"/>
      <c r="Y43" s="10">
        <v>0.5</v>
      </c>
      <c r="AC43" s="10"/>
      <c r="AD43" s="10">
        <v>0.5</v>
      </c>
      <c r="AE43" s="10"/>
      <c r="AF43" s="10">
        <v>0.5</v>
      </c>
      <c r="AJ43" s="10"/>
      <c r="AK43" s="10">
        <v>0.5</v>
      </c>
      <c r="AL43" s="10"/>
      <c r="AM43" s="10">
        <v>0.5</v>
      </c>
      <c r="AQ43" s="10"/>
      <c r="AR43" s="10">
        <v>1</v>
      </c>
      <c r="AS43" s="10"/>
      <c r="AT43" s="10">
        <v>1</v>
      </c>
      <c r="AX43" s="10"/>
      <c r="AY43" s="10"/>
      <c r="AZ43" s="10"/>
      <c r="BA43" s="10"/>
      <c r="BE43" s="10"/>
      <c r="BF43" s="10"/>
      <c r="BG43" s="10"/>
      <c r="BH43" s="10"/>
      <c r="BL43" s="10"/>
      <c r="BM43" s="10"/>
      <c r="BN43" s="10"/>
      <c r="BO43" s="10">
        <v>0.8</v>
      </c>
      <c r="BS43" s="10"/>
      <c r="BT43" s="10">
        <v>0.8</v>
      </c>
      <c r="BU43" s="10"/>
      <c r="BV43" s="10">
        <v>0.8</v>
      </c>
      <c r="BZ43" s="10"/>
      <c r="CA43" s="10">
        <v>1</v>
      </c>
      <c r="CB43" s="10"/>
      <c r="CC43" s="10">
        <v>1</v>
      </c>
      <c r="CG43" s="10"/>
      <c r="CH43" s="10">
        <v>1</v>
      </c>
      <c r="CI43" s="10"/>
      <c r="CJ43" s="10">
        <v>1</v>
      </c>
      <c r="CN43" s="10"/>
      <c r="CO43" s="10"/>
      <c r="CP43" s="10"/>
      <c r="CQ43" s="10"/>
      <c r="CU43" s="10"/>
      <c r="CV43" s="10"/>
      <c r="CW43" s="10"/>
      <c r="CX43" s="10"/>
      <c r="DB43" s="10"/>
      <c r="DC43" s="10"/>
      <c r="DD43" s="10"/>
      <c r="DE43" s="10"/>
    </row>
    <row r="44" spans="2:109" outlineLevel="1">
      <c r="B44" t="s">
        <v>28</v>
      </c>
      <c r="C44" t="s">
        <v>42</v>
      </c>
      <c r="E44" s="9"/>
      <c r="F44" t="s">
        <v>122</v>
      </c>
      <c r="G44" s="10">
        <v>0.1</v>
      </c>
      <c r="I44" s="9">
        <f t="shared" si="2"/>
        <v>0</v>
      </c>
      <c r="J44" s="11" cm="1">
        <f t="array" ref="J44">MAX(IF($N$3:$EH$3=$J$3,N44:EH44))</f>
        <v>0</v>
      </c>
      <c r="K44" s="11" cm="1">
        <f t="array" ref="K44">MAX(IF($N$3:$EH$3=$J$3,N44:EH44))</f>
        <v>0</v>
      </c>
      <c r="L44" s="9"/>
      <c r="O44" s="10"/>
      <c r="P44" s="10"/>
      <c r="Q44" s="10"/>
      <c r="R44" s="10"/>
      <c r="V44" s="10"/>
      <c r="W44" s="10"/>
      <c r="X44" s="10"/>
      <c r="Y44" s="10"/>
      <c r="AC44" s="10"/>
      <c r="AD44" s="10">
        <v>0.5</v>
      </c>
      <c r="AE44" s="10"/>
      <c r="AF44" s="10">
        <v>0.5</v>
      </c>
      <c r="AJ44" s="10"/>
      <c r="AK44" s="10">
        <v>0.5</v>
      </c>
      <c r="AL44" s="10"/>
      <c r="AM44" s="10">
        <v>0.5</v>
      </c>
      <c r="AQ44" s="10"/>
      <c r="AR44" s="10">
        <v>1</v>
      </c>
      <c r="AS44" s="10"/>
      <c r="AT44" s="10">
        <v>1</v>
      </c>
      <c r="AX44" s="10"/>
      <c r="AY44" s="10"/>
      <c r="AZ44" s="10"/>
      <c r="BA44" s="10"/>
      <c r="BE44" s="10"/>
      <c r="BF44" s="10"/>
      <c r="BG44" s="10"/>
      <c r="BH44" s="10"/>
      <c r="BL44" s="10"/>
      <c r="BM44" s="10"/>
      <c r="BN44" s="10"/>
      <c r="BO44" s="10">
        <v>0.8</v>
      </c>
      <c r="BS44" s="10"/>
      <c r="BT44" s="10">
        <v>0.8</v>
      </c>
      <c r="BU44" s="10"/>
      <c r="BV44" s="10">
        <v>0.8</v>
      </c>
      <c r="BZ44" s="10"/>
      <c r="CA44" s="10">
        <v>0.8</v>
      </c>
      <c r="CB44" s="10"/>
      <c r="CC44" s="10">
        <v>0.8</v>
      </c>
      <c r="CG44" s="10"/>
      <c r="CH44" s="10">
        <v>1</v>
      </c>
      <c r="CI44" s="10"/>
      <c r="CJ44" s="10">
        <v>1</v>
      </c>
      <c r="CN44" s="10"/>
      <c r="CO44" s="10"/>
      <c r="CP44" s="10"/>
      <c r="CQ44" s="10"/>
      <c r="CU44" s="10"/>
      <c r="CV44" s="10"/>
      <c r="CW44" s="10"/>
      <c r="CX44" s="10"/>
      <c r="DB44" s="10"/>
      <c r="DC44" s="10"/>
      <c r="DD44" s="10"/>
      <c r="DE44" s="10"/>
    </row>
    <row r="45" spans="2:109" outlineLevel="1">
      <c r="B45" t="s">
        <v>28</v>
      </c>
      <c r="C45" t="s">
        <v>42</v>
      </c>
      <c r="E45" s="9"/>
      <c r="F45" t="s">
        <v>123</v>
      </c>
      <c r="G45" s="10">
        <v>0.23</v>
      </c>
      <c r="I45" s="9">
        <f t="shared" si="2"/>
        <v>0</v>
      </c>
      <c r="J45" s="11" cm="1">
        <f t="array" ref="J45">MAX(IF($N$3:$EH$3=$J$3,N45:EH45))</f>
        <v>0</v>
      </c>
      <c r="K45" s="11" cm="1">
        <f t="array" ref="K45">MAX(IF($N$3:$EH$3=$J$3,N45:EH45))</f>
        <v>0</v>
      </c>
      <c r="L45" s="9"/>
      <c r="O45" s="10"/>
      <c r="P45" s="10"/>
      <c r="Q45" s="10"/>
      <c r="R45" s="10"/>
      <c r="V45" s="10"/>
      <c r="W45" s="10"/>
      <c r="X45" s="10"/>
      <c r="Y45" s="10"/>
      <c r="AC45" s="10"/>
      <c r="AD45" s="10">
        <v>0.5</v>
      </c>
      <c r="AE45" s="10"/>
      <c r="AF45" s="10">
        <v>0.5</v>
      </c>
      <c r="AJ45" s="10"/>
      <c r="AK45" s="10">
        <v>0.5</v>
      </c>
      <c r="AL45" s="10"/>
      <c r="AM45" s="10">
        <v>0.5</v>
      </c>
      <c r="AQ45" s="10"/>
      <c r="AR45" s="10">
        <v>1</v>
      </c>
      <c r="AS45" s="10"/>
      <c r="AT45" s="10">
        <v>1</v>
      </c>
      <c r="AX45" s="10"/>
      <c r="AY45" s="10"/>
      <c r="AZ45" s="10"/>
      <c r="BA45" s="10"/>
      <c r="BE45" s="10"/>
      <c r="BF45" s="10"/>
      <c r="BG45" s="10"/>
      <c r="BH45" s="10"/>
      <c r="BL45" s="10"/>
      <c r="BM45" s="10"/>
      <c r="BN45" s="10"/>
      <c r="BO45" s="10">
        <v>0.8</v>
      </c>
      <c r="BS45" s="10"/>
      <c r="BT45" s="10">
        <v>0.8</v>
      </c>
      <c r="BU45" s="10"/>
      <c r="BV45" s="10">
        <v>0.8</v>
      </c>
      <c r="BZ45" s="10"/>
      <c r="CA45" s="10">
        <v>0.8</v>
      </c>
      <c r="CB45" s="10"/>
      <c r="CC45" s="10">
        <v>0.8</v>
      </c>
      <c r="CG45" s="10"/>
      <c r="CH45" s="10">
        <v>1</v>
      </c>
      <c r="CI45" s="10"/>
      <c r="CJ45" s="10">
        <v>1</v>
      </c>
      <c r="CN45" s="10"/>
      <c r="CO45" s="10"/>
      <c r="CP45" s="10"/>
      <c r="CQ45" s="10"/>
      <c r="CU45" s="10"/>
      <c r="CV45" s="10"/>
      <c r="CW45" s="10"/>
      <c r="CX45" s="10"/>
      <c r="DB45" s="10"/>
      <c r="DC45" s="10"/>
      <c r="DD45" s="10"/>
      <c r="DE45" s="10"/>
    </row>
    <row r="46" spans="2:109" outlineLevel="1">
      <c r="B46" t="s">
        <v>28</v>
      </c>
      <c r="C46" t="s">
        <v>42</v>
      </c>
      <c r="E46" s="9"/>
      <c r="F46" t="s">
        <v>124</v>
      </c>
      <c r="G46" s="10">
        <v>0.05</v>
      </c>
      <c r="I46" s="9">
        <f t="shared" si="2"/>
        <v>0</v>
      </c>
      <c r="J46" s="11" cm="1">
        <f t="array" ref="J46">MAX(IF($N$3:$EH$3=$J$3,N46:EH46))</f>
        <v>0</v>
      </c>
      <c r="K46" s="11" cm="1">
        <f t="array" ref="K46">MAX(IF($N$3:$EH$3=$J$3,N46:EH46))</f>
        <v>0</v>
      </c>
      <c r="L46" s="9"/>
      <c r="O46" s="10"/>
      <c r="P46" s="10"/>
      <c r="Q46" s="10"/>
      <c r="R46" s="10"/>
      <c r="V46" s="10"/>
      <c r="W46" s="10"/>
      <c r="X46" s="10"/>
      <c r="Y46" s="10"/>
      <c r="AC46" s="10"/>
      <c r="AD46" s="10"/>
      <c r="AE46" s="10"/>
      <c r="AF46" s="10"/>
      <c r="AJ46" s="10"/>
      <c r="AK46" s="10">
        <v>0.5</v>
      </c>
      <c r="AL46" s="10"/>
      <c r="AM46" s="10">
        <v>0.5</v>
      </c>
      <c r="AQ46" s="10"/>
      <c r="AR46" s="10">
        <v>1</v>
      </c>
      <c r="AS46" s="10"/>
      <c r="AT46" s="10">
        <v>1</v>
      </c>
      <c r="AX46" s="10"/>
      <c r="AY46" s="10"/>
      <c r="AZ46" s="10"/>
      <c r="BA46" s="10"/>
      <c r="BE46" s="10"/>
      <c r="BF46" s="10"/>
      <c r="BG46" s="10"/>
      <c r="BH46" s="10"/>
      <c r="BL46" s="10"/>
      <c r="BM46" s="10"/>
      <c r="BN46" s="10"/>
      <c r="BO46" s="10">
        <v>0.8</v>
      </c>
      <c r="BS46" s="10"/>
      <c r="BT46" s="10">
        <v>0.8</v>
      </c>
      <c r="BU46" s="10"/>
      <c r="BV46" s="10">
        <v>0.8</v>
      </c>
      <c r="BZ46" s="10"/>
      <c r="CA46" s="10">
        <v>0.8</v>
      </c>
      <c r="CB46" s="10"/>
      <c r="CC46" s="10">
        <v>0.8</v>
      </c>
      <c r="CG46" s="10"/>
      <c r="CH46" s="10">
        <v>1</v>
      </c>
      <c r="CI46" s="10"/>
      <c r="CJ46" s="10">
        <v>1</v>
      </c>
      <c r="CN46" s="10"/>
      <c r="CO46" s="10"/>
      <c r="CP46" s="10"/>
      <c r="CQ46" s="10"/>
      <c r="CU46" s="10"/>
      <c r="CV46" s="10"/>
      <c r="CW46" s="10"/>
      <c r="CX46" s="10"/>
      <c r="DB46" s="10"/>
      <c r="DC46" s="10"/>
      <c r="DD46" s="10"/>
      <c r="DE46" s="10"/>
    </row>
    <row r="47" spans="2:109" outlineLevel="1">
      <c r="B47" t="s">
        <v>28</v>
      </c>
      <c r="C47" t="s">
        <v>42</v>
      </c>
      <c r="E47" s="9"/>
      <c r="F47" t="s">
        <v>125</v>
      </c>
      <c r="G47" s="10">
        <v>0.05</v>
      </c>
      <c r="I47" s="9">
        <f t="shared" si="2"/>
        <v>0</v>
      </c>
      <c r="J47" s="11" cm="1">
        <f t="array" ref="J47">MAX(IF($N$3:$EH$3=$J$3,N47:EH47))</f>
        <v>0</v>
      </c>
      <c r="K47" s="11" cm="1">
        <f t="array" ref="K47">MAX(IF($N$3:$EH$3=$J$3,N47:EH47))</f>
        <v>0</v>
      </c>
      <c r="L47" s="9"/>
      <c r="O47" s="10"/>
      <c r="P47" s="10"/>
      <c r="Q47" s="10"/>
      <c r="R47" s="10"/>
      <c r="V47" s="10"/>
      <c r="W47" s="10"/>
      <c r="X47" s="10"/>
      <c r="Y47" s="10"/>
      <c r="AC47" s="10"/>
      <c r="AD47" s="10"/>
      <c r="AE47" s="10"/>
      <c r="AF47" s="10"/>
      <c r="AJ47" s="10"/>
      <c r="AK47" s="10">
        <v>0.5</v>
      </c>
      <c r="AL47" s="10"/>
      <c r="AM47" s="10">
        <v>0.5</v>
      </c>
      <c r="AQ47" s="10"/>
      <c r="AR47" s="10">
        <v>1</v>
      </c>
      <c r="AS47" s="10"/>
      <c r="AT47" s="10">
        <v>1</v>
      </c>
      <c r="AX47" s="10"/>
      <c r="AY47" s="10"/>
      <c r="AZ47" s="10"/>
      <c r="BA47" s="10"/>
      <c r="BE47" s="10"/>
      <c r="BF47" s="10"/>
      <c r="BG47" s="10"/>
      <c r="BH47" s="10"/>
      <c r="BL47" s="10"/>
      <c r="BM47" s="10"/>
      <c r="BN47" s="10"/>
      <c r="BO47" s="10">
        <v>0.5</v>
      </c>
      <c r="BS47" s="10"/>
      <c r="BT47" s="10">
        <v>0.8</v>
      </c>
      <c r="BU47" s="10"/>
      <c r="BV47" s="10">
        <v>0.8</v>
      </c>
      <c r="BZ47" s="10"/>
      <c r="CA47" s="10">
        <v>0.8</v>
      </c>
      <c r="CB47" s="10"/>
      <c r="CC47" s="10">
        <v>0.8</v>
      </c>
      <c r="CG47" s="10"/>
      <c r="CH47" s="10">
        <v>1</v>
      </c>
      <c r="CI47" s="10"/>
      <c r="CJ47" s="10">
        <v>1</v>
      </c>
      <c r="CN47" s="10"/>
      <c r="CO47" s="10"/>
      <c r="CP47" s="10"/>
      <c r="CQ47" s="10"/>
      <c r="CU47" s="10"/>
      <c r="CV47" s="10"/>
      <c r="CW47" s="10"/>
      <c r="CX47" s="10"/>
      <c r="DB47" s="10"/>
      <c r="DC47" s="10"/>
      <c r="DD47" s="10"/>
      <c r="DE47" s="10"/>
    </row>
  </sheetData>
  <mergeCells count="15">
    <mergeCell ref="CT2:CY2"/>
    <mergeCell ref="DA2:DF2"/>
    <mergeCell ref="BK2:BP2"/>
    <mergeCell ref="BR2:BW2"/>
    <mergeCell ref="BY2:CD2"/>
    <mergeCell ref="CF2:CK2"/>
    <mergeCell ref="CM2:CR2"/>
    <mergeCell ref="I2:L2"/>
    <mergeCell ref="N2:S2"/>
    <mergeCell ref="BD2:BI2"/>
    <mergeCell ref="U2:Z2"/>
    <mergeCell ref="AB2:AG2"/>
    <mergeCell ref="AI2:AN2"/>
    <mergeCell ref="AP2:AU2"/>
    <mergeCell ref="AW2:BB2"/>
  </mergeCells>
  <phoneticPr fontId="5" type="noConversion"/>
  <conditionalFormatting sqref="J16">
    <cfRule type="colorScale" priority="145">
      <colorScale>
        <cfvo type="percent" val="0"/>
        <cfvo type="percent" val="100"/>
        <color rgb="FFFF231B"/>
        <color rgb="FF10FF07"/>
      </colorScale>
    </cfRule>
  </conditionalFormatting>
  <conditionalFormatting sqref="J17">
    <cfRule type="colorScale" priority="126">
      <colorScale>
        <cfvo type="percent" val="0"/>
        <cfvo type="percent" val="100"/>
        <color rgb="FFFF231B"/>
        <color rgb="FF10FF07"/>
      </colorScale>
    </cfRule>
  </conditionalFormatting>
  <conditionalFormatting sqref="J18:J20 J15">
    <cfRule type="colorScale" priority="813">
      <colorScale>
        <cfvo type="percent" val="0"/>
        <cfvo type="percent" val="100"/>
        <color rgb="FFFF231B"/>
        <color rgb="FF10FF07"/>
      </colorScale>
    </cfRule>
  </conditionalFormatting>
  <conditionalFormatting sqref="J38:J47">
    <cfRule type="colorScale" priority="750">
      <colorScale>
        <cfvo type="percent" val="0"/>
        <cfvo type="percent" val="100"/>
        <color rgb="FFFF231B"/>
        <color rgb="FF10FF07"/>
      </colorScale>
    </cfRule>
  </conditionalFormatting>
  <conditionalFormatting sqref="J16:K16">
    <cfRule type="colorScale" priority="146">
      <colorScale>
        <cfvo type="percent" val="0"/>
        <cfvo type="percent" val="100"/>
        <color rgb="FFFF231B"/>
        <color rgb="FF10FF07"/>
      </colorScale>
    </cfRule>
  </conditionalFormatting>
  <conditionalFormatting sqref="J17:K17">
    <cfRule type="colorScale" priority="127">
      <colorScale>
        <cfvo type="percent" val="0"/>
        <cfvo type="percent" val="100"/>
        <color rgb="FFFF231B"/>
        <color rgb="FF10FF07"/>
      </colorScale>
    </cfRule>
  </conditionalFormatting>
  <conditionalFormatting sqref="J18:K20">
    <cfRule type="colorScale" priority="815">
      <colorScale>
        <cfvo type="percent" val="0"/>
        <cfvo type="percent" val="100"/>
        <color rgb="FFFF231B"/>
        <color rgb="FF10FF07"/>
      </colorScale>
    </cfRule>
  </conditionalFormatting>
  <conditionalFormatting sqref="J39:K47">
    <cfRule type="colorScale" priority="749">
      <colorScale>
        <cfvo type="percent" val="0"/>
        <cfvo type="percent" val="100"/>
        <color rgb="FFFF231B"/>
        <color rgb="FF10FF07"/>
      </colorScale>
    </cfRule>
  </conditionalFormatting>
  <conditionalFormatting sqref="K16">
    <cfRule type="colorScale" priority="144">
      <colorScale>
        <cfvo type="percent" val="0"/>
        <cfvo type="percent" val="100"/>
        <color rgb="FFFF231B"/>
        <color rgb="FF10FF07"/>
      </colorScale>
    </cfRule>
  </conditionalFormatting>
  <conditionalFormatting sqref="K17">
    <cfRule type="colorScale" priority="125">
      <colorScale>
        <cfvo type="percent" val="0"/>
        <cfvo type="percent" val="100"/>
        <color rgb="FFFF231B"/>
        <color rgb="FF10FF07"/>
      </colorScale>
    </cfRule>
  </conditionalFormatting>
  <conditionalFormatting sqref="K18:K20 K15">
    <cfRule type="colorScale" priority="816">
      <colorScale>
        <cfvo type="percent" val="0"/>
        <cfvo type="percent" val="100"/>
        <color rgb="FFFF231B"/>
        <color rgb="FF10FF07"/>
      </colorScale>
    </cfRule>
  </conditionalFormatting>
  <conditionalFormatting sqref="K38:K47">
    <cfRule type="colorScale" priority="752">
      <colorScale>
        <cfvo type="percent" val="0"/>
        <cfvo type="percent" val="100"/>
        <color rgb="FFFF231B"/>
        <color rgb="FF10FF07"/>
      </colorScale>
    </cfRule>
  </conditionalFormatting>
  <conditionalFormatting sqref="O15:O20 Q15:Q20 V15:V20 X15:X20 AC15:AC20 AE15:AE20 AJ15:AJ20 AL15:AL20 AQ15:AQ20 AS15:AS20 AX15:AX20 AZ15:AZ20 BE15:BE20 BG15:BG20 BL15:BL20 BN15:BN20 BS15:BS20 BU15:BU20 BZ15:BZ20 CB15:CB20 CG15:CG20 CI15:CI20 CN15:CN20 CP15:CP20 CU15:CU20 CW15:CW20 DB15:DB20 DD15:DD20 Q38:Q47 V38:V47 X38:X47 AC38:AC47 AE38:AE47 AJ38:AJ47 AL38:AL47 AQ38:AQ47 AS38:AS47 AX38:AX47 AZ38:AZ47 BE38:BE47 BG38:BG47 BL38:BL47 BN38:BN47 O40:O47 O5:O12 Q5:Q12 V5:V12 X5:X12 AC5:AC12 AE5:AE12 AJ5:AJ12 AL5:AL12 AQ5:AQ12 AS5:AS12 AX5:AX12 AZ5:AZ12 BE5:BE12 BG5:BG12 BL5:BL12 BN5:BN12 BS5:BS12 BU5:BU12 BZ5:BZ12 CB5:CB12 CG5:CG12 CI5:CI12 CN5:CN12 CP5:CP12 CU5:CU12 CW5:CW12 DB5:DB12 DD5:DD12 O23:O35 Q23:Q35 V23:V35 X23:X35 AC23:AC35 AE23:AE35 AJ23:AJ35 AL23:AL35 AQ23:AQ35 AS23:AS35 AX23:AX35 AZ23:AZ35 BE23:BE35 BG23:BG35 BL23:BL35 BN23:BN35 BS23:BS35 BU23:BU35 BZ23:BZ35 CB23:CB35 CG23:CG35 CI23:CI35 CN23:CN35 CP23:CP35 CU23:CU35 CW23:CW35 DB23:DB35 DD23:DD35">
    <cfRule type="expression" dxfId="27" priority="565">
      <formula>OR(IF(O5&lt;P5,TRUE),IF(AND(P5="",O5&lt;&gt;""),TRUE))</formula>
    </cfRule>
    <cfRule type="expression" dxfId="26" priority="566">
      <formula>IF(O5&gt;=P5,IF(O5="",FALSE,TRUE))</formula>
    </cfRule>
  </conditionalFormatting>
  <conditionalFormatting sqref="O38">
    <cfRule type="expression" dxfId="25" priority="819">
      <formula>OR(IF(O38&lt;P39,TRUE),IF(AND(P39="",O38&lt;&gt;""),TRUE))</formula>
    </cfRule>
    <cfRule type="expression" dxfId="24" priority="820">
      <formula>IF(O38&gt;=P39,IF(O38="",FALSE,TRUE))</formula>
    </cfRule>
  </conditionalFormatting>
  <conditionalFormatting sqref="BS38:BS47 BU38:BU47">
    <cfRule type="expression" dxfId="23" priority="121">
      <formula>OR(IF(BS38&lt;BT38,TRUE),IF(AND(BT38="",BS38&lt;&gt;""),TRUE))</formula>
    </cfRule>
    <cfRule type="expression" dxfId="22" priority="122">
      <formula>IF(BS38&gt;=BT38,IF(BS38="",FALSE,TRUE))</formula>
    </cfRule>
  </conditionalFormatting>
  <conditionalFormatting sqref="BZ38:BZ47 CB38:CB47">
    <cfRule type="expression" dxfId="21" priority="101">
      <formula>OR(IF(BZ38&lt;CA38,TRUE),IF(AND(CA38="",BZ38&lt;&gt;""),TRUE))</formula>
    </cfRule>
    <cfRule type="expression" dxfId="20" priority="102">
      <formula>IF(BZ38&gt;=CA38,IF(BZ38="",FALSE,TRUE))</formula>
    </cfRule>
  </conditionalFormatting>
  <conditionalFormatting sqref="CG38:CG47 CI38:CI47">
    <cfRule type="expression" dxfId="19" priority="81">
      <formula>OR(IF(CG38&lt;CH38,TRUE),IF(AND(CH38="",CG38&lt;&gt;""),TRUE))</formula>
    </cfRule>
    <cfRule type="expression" dxfId="18" priority="82">
      <formula>IF(CG38&gt;=CH38,IF(CG38="",FALSE,TRUE))</formula>
    </cfRule>
  </conditionalFormatting>
  <conditionalFormatting sqref="CN38:CN47 CP38:CP47">
    <cfRule type="expression" dxfId="17" priority="61">
      <formula>OR(IF(CN38&lt;CO38,TRUE),IF(AND(CO38="",CN38&lt;&gt;""),TRUE))</formula>
    </cfRule>
    <cfRule type="expression" dxfId="16" priority="62">
      <formula>IF(CN38&gt;=CO38,IF(CN38="",FALSE,TRUE))</formula>
    </cfRule>
  </conditionalFormatting>
  <conditionalFormatting sqref="CU38:CU47 CW38:CW47">
    <cfRule type="expression" dxfId="15" priority="41">
      <formula>OR(IF(CU38&lt;CV38,TRUE),IF(AND(CV38="",CU38&lt;&gt;""),TRUE))</formula>
    </cfRule>
    <cfRule type="expression" dxfId="14" priority="42">
      <formula>IF(CU38&gt;=CV38,IF(CU38="",FALSE,TRUE))</formula>
    </cfRule>
  </conditionalFormatting>
  <conditionalFormatting sqref="DB38:DB47 DD38:DD47">
    <cfRule type="expression" dxfId="13" priority="21">
      <formula>OR(IF(DB38&lt;DC38,TRUE),IF(AND(DC38="",DB38&lt;&gt;""),TRUE))</formula>
    </cfRule>
    <cfRule type="expression" dxfId="12" priority="22">
      <formula>IF(DB38&gt;=DC38,IF(DB38="",FALSE,TRUE))</formula>
    </cfRule>
  </conditionalFormatting>
  <conditionalFormatting sqref="J5:J12">
    <cfRule type="colorScale" priority="821">
      <colorScale>
        <cfvo type="percent" val="0"/>
        <cfvo type="percent" val="100"/>
        <color rgb="FFFF231B"/>
        <color rgb="FF10FF07"/>
      </colorScale>
    </cfRule>
  </conditionalFormatting>
  <conditionalFormatting sqref="J6:K12">
    <cfRule type="colorScale" priority="823">
      <colorScale>
        <cfvo type="percent" val="0"/>
        <cfvo type="percent" val="100"/>
        <color rgb="FFFF231B"/>
        <color rgb="FF10FF07"/>
      </colorScale>
    </cfRule>
  </conditionalFormatting>
  <conditionalFormatting sqref="K5:K12">
    <cfRule type="colorScale" priority="824">
      <colorScale>
        <cfvo type="percent" val="0"/>
        <cfvo type="percent" val="100"/>
        <color rgb="FFFF231B"/>
        <color rgb="FF10FF07"/>
      </colorScale>
    </cfRule>
  </conditionalFormatting>
  <conditionalFormatting sqref="J23:J35">
    <cfRule type="colorScale" priority="825">
      <colorScale>
        <cfvo type="percent" val="0"/>
        <cfvo type="percent" val="100"/>
        <color rgb="FFFF231B"/>
        <color rgb="FF10FF07"/>
      </colorScale>
    </cfRule>
  </conditionalFormatting>
  <conditionalFormatting sqref="J24:K35">
    <cfRule type="colorScale" priority="826">
      <colorScale>
        <cfvo type="percent" val="0"/>
        <cfvo type="percent" val="100"/>
        <color rgb="FFFF231B"/>
        <color rgb="FF10FF07"/>
      </colorScale>
    </cfRule>
  </conditionalFormatting>
  <conditionalFormatting sqref="K23:K35">
    <cfRule type="colorScale" priority="827">
      <colorScale>
        <cfvo type="percent" val="0"/>
        <cfvo type="percent" val="100"/>
        <color rgb="FFFF231B"/>
        <color rgb="FF10FF07"/>
      </colorScale>
    </cfRule>
  </conditionalFormatting>
  <dataValidations count="1">
    <dataValidation type="list" allowBlank="1" showInputMessage="1" showErrorMessage="1" sqref="AJ38:AM47 V15:Y20 AC15:AF20 AJ15:AM20 AQ15:AT20 AX15:BA20 BE15:BH20 BL15:BO20 BL23:BO35 O23:R35 AX23:BA35 CG38:CJ47 AQ23:AT35 AJ23:AM35 AC23:AF35 V23:Y35 CN23:CQ35 O15:R20 CN38:CQ47 CU5:CX12 CU15:CX20 CU23:CX35 BZ15:CC20 CU38:CX47 BL38:BO47 AX38:BA47 BE38:BH47 AQ38:AT47 AC38:AF47 V38:Y47 DB5:DE12 BS23:BV35 BS38:BV47 BS15:BV20 DB15:DE20 BZ23:CC35 BZ38:CC47 BE23:BH35 DB38:DE47 P38:R39 CG23:CJ35 CG15:CJ20 DB23:DE35 CN5:CQ12 CN15:CQ20 O38 O40:R47 CG5:CJ12 BS5:BV12 BZ5:CC12 O5:R12 BL5:BO12 BE5:BH12 AX5:BA12 AQ5:AT12 AJ5:AM12 AC5:AF12 V5:Y12"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4" zoomScale="61" workbookViewId="0">
      <selection activeCell="B30" sqref="B30"/>
    </sheetView>
  </sheetViews>
  <sheetFormatPr defaultColWidth="10.6640625" defaultRowHeight="15.5"/>
  <cols>
    <col min="2" max="2" width="161" customWidth="1"/>
    <col min="3" max="3" width="10.83203125"/>
  </cols>
  <sheetData>
    <row r="4" spans="2:2" ht="21">
      <c r="B4" s="3" t="s">
        <v>16</v>
      </c>
    </row>
    <row r="6" spans="2:2">
      <c r="B6" s="2" t="s">
        <v>13</v>
      </c>
    </row>
    <row r="7" spans="2:2" ht="46.5">
      <c r="B7" s="1" t="s">
        <v>14</v>
      </c>
    </row>
    <row r="9" spans="2:2">
      <c r="B9" s="2" t="s">
        <v>15</v>
      </c>
    </row>
    <row r="10" spans="2:2" ht="62">
      <c r="B10" s="1" t="s">
        <v>39</v>
      </c>
    </row>
    <row r="12" spans="2:2">
      <c r="B12" s="2" t="s">
        <v>17</v>
      </c>
    </row>
    <row r="13" spans="2:2" ht="124">
      <c r="B13" s="1" t="s">
        <v>18</v>
      </c>
    </row>
    <row r="15" spans="2:2">
      <c r="B15" s="2" t="s">
        <v>19</v>
      </c>
    </row>
    <row r="16" spans="2:2" ht="108.5">
      <c r="B16" s="1" t="s">
        <v>20</v>
      </c>
    </row>
    <row r="17" spans="2:2">
      <c r="B17" s="1"/>
    </row>
    <row r="18" spans="2:2">
      <c r="B18" s="2" t="s">
        <v>38</v>
      </c>
    </row>
    <row r="19" spans="2:2" ht="139.5">
      <c r="B19" s="1" t="s">
        <v>40</v>
      </c>
    </row>
    <row r="21" spans="2:2">
      <c r="B21" s="2" t="s">
        <v>21</v>
      </c>
    </row>
    <row r="22" spans="2:2" ht="124">
      <c r="B22" s="1" t="s">
        <v>41</v>
      </c>
    </row>
    <row r="24" spans="2:2">
      <c r="B24" s="2" t="s">
        <v>22</v>
      </c>
    </row>
    <row r="25" spans="2:2" ht="124">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A4" sqref="A4"/>
    </sheetView>
  </sheetViews>
  <sheetFormatPr defaultColWidth="10.6640625" defaultRowHeight="15.5"/>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1">
      <c r="A1" s="9" t="s">
        <v>48</v>
      </c>
      <c r="B1" s="15" t="s">
        <v>45</v>
      </c>
      <c r="C1" s="15" t="s">
        <v>46</v>
      </c>
      <c r="D1" s="15" t="s">
        <v>47</v>
      </c>
      <c r="E1" s="1" t="s">
        <v>49</v>
      </c>
      <c r="F1" s="1" t="s">
        <v>50</v>
      </c>
      <c r="G1" s="1" t="s">
        <v>51</v>
      </c>
      <c r="H1" s="1" t="s">
        <v>52</v>
      </c>
      <c r="I1" s="1" t="s">
        <v>53</v>
      </c>
      <c r="J1" s="1" t="s">
        <v>54</v>
      </c>
      <c r="K1" s="1" t="s">
        <v>55</v>
      </c>
    </row>
    <row r="2" spans="1:11">
      <c r="A2" s="14">
        <v>45044</v>
      </c>
      <c r="B2" s="9" t="s">
        <v>126</v>
      </c>
      <c r="C2" s="9" t="s">
        <v>127</v>
      </c>
      <c r="D2" s="11">
        <v>0.4</v>
      </c>
      <c r="E2">
        <v>2000</v>
      </c>
      <c r="G2">
        <v>100</v>
      </c>
      <c r="I2">
        <v>66</v>
      </c>
    </row>
    <row r="3" spans="1:11">
      <c r="A3" s="14">
        <v>45045</v>
      </c>
    </row>
    <row r="4" spans="1:11">
      <c r="A4" s="14">
        <v>45046</v>
      </c>
    </row>
    <row r="5" spans="1:11">
      <c r="A5" s="14">
        <v>45047</v>
      </c>
    </row>
    <row r="6" spans="1:11">
      <c r="A6" s="14">
        <v>45048</v>
      </c>
    </row>
    <row r="7" spans="1:11">
      <c r="A7" s="14">
        <v>45049</v>
      </c>
    </row>
    <row r="8" spans="1:11">
      <c r="A8" s="14">
        <v>45050</v>
      </c>
    </row>
    <row r="9" spans="1:11">
      <c r="A9" s="14">
        <v>45051</v>
      </c>
    </row>
    <row r="10" spans="1:11">
      <c r="A10" s="14">
        <v>45052</v>
      </c>
    </row>
    <row r="11" spans="1:11">
      <c r="A11" s="14">
        <v>45053</v>
      </c>
    </row>
    <row r="12" spans="1:11">
      <c r="A12" s="14">
        <v>45054</v>
      </c>
    </row>
    <row r="13" spans="1:11">
      <c r="A13" s="14">
        <v>45055</v>
      </c>
    </row>
    <row r="14" spans="1:11">
      <c r="A14" s="14">
        <v>45056</v>
      </c>
    </row>
    <row r="15" spans="1:11">
      <c r="A15" s="14">
        <v>45057</v>
      </c>
    </row>
    <row r="16" spans="1:11">
      <c r="A16" s="14">
        <v>45058</v>
      </c>
    </row>
    <row r="17" spans="1:1">
      <c r="A17" s="14">
        <v>45059</v>
      </c>
    </row>
    <row r="18" spans="1:1">
      <c r="A18" s="14">
        <v>45060</v>
      </c>
    </row>
    <row r="19" spans="1:1">
      <c r="A19" s="14">
        <v>45061</v>
      </c>
    </row>
    <row r="20" spans="1:1">
      <c r="A20" s="14">
        <v>45062</v>
      </c>
    </row>
    <row r="21" spans="1:1">
      <c r="A21" s="14">
        <v>45063</v>
      </c>
    </row>
    <row r="22" spans="1:1">
      <c r="A22" s="14">
        <v>45064</v>
      </c>
    </row>
    <row r="23" spans="1:1">
      <c r="A23" s="14">
        <v>45065</v>
      </c>
    </row>
    <row r="24" spans="1:1">
      <c r="A24" s="14">
        <v>45066</v>
      </c>
    </row>
    <row r="25" spans="1:1">
      <c r="A25" s="14">
        <v>45067</v>
      </c>
    </row>
    <row r="26" spans="1:1">
      <c r="A26" s="14">
        <v>45068</v>
      </c>
    </row>
    <row r="27" spans="1:1">
      <c r="A27" s="14">
        <v>45069</v>
      </c>
    </row>
    <row r="28" spans="1:1">
      <c r="A28" s="14">
        <v>45070</v>
      </c>
    </row>
    <row r="29" spans="1:1">
      <c r="A29" s="14">
        <v>45071</v>
      </c>
    </row>
    <row r="30" spans="1:1">
      <c r="A30" s="14">
        <v>45072</v>
      </c>
    </row>
    <row r="31" spans="1:1">
      <c r="A31" s="14">
        <v>45073</v>
      </c>
    </row>
    <row r="32" spans="1:1">
      <c r="A32" s="14">
        <v>45074</v>
      </c>
    </row>
    <row r="33" spans="1:1">
      <c r="A33" s="14">
        <v>45075</v>
      </c>
    </row>
    <row r="34" spans="1:1">
      <c r="A34" s="14">
        <v>45076</v>
      </c>
    </row>
    <row r="35" spans="1:1">
      <c r="A35" s="14">
        <v>45077</v>
      </c>
    </row>
    <row r="36" spans="1:1">
      <c r="A36" s="14">
        <v>45078</v>
      </c>
    </row>
    <row r="37" spans="1:1">
      <c r="A37" s="14">
        <v>45079</v>
      </c>
    </row>
    <row r="38" spans="1:1">
      <c r="A38" s="14">
        <v>45080</v>
      </c>
    </row>
    <row r="39" spans="1:1">
      <c r="A39" s="14">
        <v>45081</v>
      </c>
    </row>
    <row r="40" spans="1:1">
      <c r="A40" s="14">
        <v>45082</v>
      </c>
    </row>
    <row r="41" spans="1:1">
      <c r="A41" s="14">
        <v>45083</v>
      </c>
    </row>
    <row r="42" spans="1:1">
      <c r="A42" s="14">
        <v>45084</v>
      </c>
    </row>
    <row r="43" spans="1:1">
      <c r="A43" s="14">
        <v>45085</v>
      </c>
    </row>
    <row r="44" spans="1:1">
      <c r="A44" s="14">
        <v>45086</v>
      </c>
    </row>
    <row r="45" spans="1:1">
      <c r="A45" s="14">
        <v>45087</v>
      </c>
    </row>
    <row r="46" spans="1:1">
      <c r="A46" s="14">
        <v>45088</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9" zoomScaleNormal="100" workbookViewId="0">
      <selection activeCell="F13" sqref="F13"/>
    </sheetView>
  </sheetViews>
  <sheetFormatPr defaultColWidth="10.6640625" defaultRowHeight="15.5"/>
  <sheetData>
    <row r="1" spans="1:8" ht="25">
      <c r="B1" s="7" t="s">
        <v>25</v>
      </c>
    </row>
    <row r="4" spans="1:8">
      <c r="B4" s="2" t="s">
        <v>4</v>
      </c>
      <c r="C4" s="2" t="s">
        <v>5</v>
      </c>
      <c r="D4" s="2" t="s">
        <v>6</v>
      </c>
      <c r="E4" s="2" t="s">
        <v>7</v>
      </c>
      <c r="F4" s="2" t="s">
        <v>10</v>
      </c>
      <c r="G4" s="2" t="s">
        <v>8</v>
      </c>
      <c r="H4" s="2" t="s">
        <v>9</v>
      </c>
    </row>
    <row r="5" spans="1:8">
      <c r="A5" s="8">
        <v>0.16666666666666666</v>
      </c>
      <c r="E5" t="s">
        <v>99</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c r="F11" t="s">
        <v>100</v>
      </c>
    </row>
    <row r="12" spans="1:8">
      <c r="A12" s="8">
        <v>0.3125</v>
      </c>
      <c r="F12" t="s">
        <v>101</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topLeftCell="A23" zoomScale="117" workbookViewId="0">
      <selection activeCell="C9" sqref="C9"/>
    </sheetView>
  </sheetViews>
  <sheetFormatPr defaultColWidth="10.6640625" defaultRowHeight="15.5"/>
  <sheetData>
    <row r="1" spans="1:8" ht="2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Alex</cp:lastModifiedBy>
  <dcterms:created xsi:type="dcterms:W3CDTF">2020-04-19T13:33:28Z</dcterms:created>
  <dcterms:modified xsi:type="dcterms:W3CDTF">2023-04-30T17:13:11Z</dcterms:modified>
</cp:coreProperties>
</file>