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david/Downloads/"/>
    </mc:Choice>
  </mc:AlternateContent>
  <xr:revisionPtr revIDLastSave="0" documentId="13_ncr:1_{8B58F261-468B-CD4C-97DC-1C3B1A877C4E}" xr6:coauthVersionLast="46" xr6:coauthVersionMax="46" xr10:uidLastSave="{00000000-0000-0000-0000-000000000000}"/>
  <bookViews>
    <workbookView xWindow="-4480" yWindow="-21600" windowWidth="29040" windowHeight="16440" activeTab="1" xr2:uid="{00000000-000D-0000-FFFF-FFFF00000000}"/>
  </bookViews>
  <sheets>
    <sheet name="Anleitung" sheetId="2" r:id="rId1"/>
    <sheet name="Semesterplan" sheetId="7" r:id="rId2"/>
    <sheet name="COMMITTMENT" sheetId="9" r:id="rId3"/>
    <sheet name="Wochenplan KW 17" sheetId="3" r:id="rId4"/>
    <sheet name="Wochenplan KW 18"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8" i="7" l="1"/>
  <c r="D48" i="7"/>
  <c r="D37" i="7"/>
  <c r="D29" i="7"/>
  <c r="D15" i="7"/>
  <c r="D4" i="7"/>
  <c r="DA58" i="7"/>
  <c r="CT58" i="7"/>
  <c r="CM58" i="7"/>
  <c r="CF58" i="7"/>
  <c r="BY58" i="7"/>
  <c r="BR58" i="7"/>
  <c r="BK58" i="7"/>
  <c r="BD58" i="7"/>
  <c r="AW58" i="7"/>
  <c r="AP58" i="7"/>
  <c r="AI58" i="7"/>
  <c r="AB58" i="7"/>
  <c r="U58" i="7"/>
  <c r="N58" i="7"/>
  <c r="G58" i="7"/>
  <c r="DA48" i="7"/>
  <c r="DA37" i="7"/>
  <c r="DA29" i="7"/>
  <c r="DA15" i="7"/>
  <c r="DA4" i="7"/>
  <c r="CT48" i="7"/>
  <c r="CT37" i="7"/>
  <c r="CT29" i="7"/>
  <c r="CT15" i="7"/>
  <c r="CT4" i="7"/>
  <c r="CM48" i="7"/>
  <c r="CM37" i="7"/>
  <c r="CM29" i="7"/>
  <c r="CM15" i="7"/>
  <c r="CM4" i="7"/>
  <c r="CF48" i="7"/>
  <c r="CF37" i="7"/>
  <c r="CF29" i="7"/>
  <c r="CF15" i="7"/>
  <c r="CF4" i="7"/>
  <c r="BY48" i="7"/>
  <c r="BY37" i="7"/>
  <c r="BY29" i="7"/>
  <c r="BY15" i="7"/>
  <c r="BY4" i="7"/>
  <c r="BR48" i="7"/>
  <c r="BR37" i="7"/>
  <c r="BR29" i="7"/>
  <c r="BR15" i="7"/>
  <c r="BR4" i="7"/>
  <c r="BK48" i="7"/>
  <c r="BK37" i="7"/>
  <c r="BK29" i="7"/>
  <c r="BK15" i="7"/>
  <c r="BK4" i="7"/>
  <c r="BD48" i="7"/>
  <c r="BD37" i="7"/>
  <c r="BD29" i="7"/>
  <c r="BD15" i="7"/>
  <c r="BD4" i="7"/>
  <c r="AP48" i="7"/>
  <c r="AP37" i="7"/>
  <c r="AP29" i="7"/>
  <c r="AP15" i="7"/>
  <c r="AP4" i="7"/>
  <c r="AI48" i="7"/>
  <c r="AI37" i="7"/>
  <c r="AI29" i="7"/>
  <c r="AI15" i="7"/>
  <c r="AI4" i="7"/>
  <c r="AB48" i="7"/>
  <c r="AB37" i="7"/>
  <c r="AB29" i="7"/>
  <c r="AB15" i="7"/>
  <c r="AB4" i="7"/>
  <c r="U48" i="7"/>
  <c r="U37" i="7"/>
  <c r="U29" i="7"/>
  <c r="U15" i="7"/>
  <c r="U4" i="7"/>
  <c r="N48" i="7"/>
  <c r="N37" i="7"/>
  <c r="N29" i="7"/>
  <c r="N15" i="7"/>
  <c r="N4" i="7"/>
  <c r="AW48" i="7"/>
  <c r="AW37" i="7"/>
  <c r="AW29" i="7"/>
  <c r="AW15" i="7"/>
  <c r="AW4" i="7"/>
  <c r="I56" i="7"/>
  <c r="I55" i="7"/>
  <c r="I54" i="7"/>
  <c r="I53" i="7"/>
  <c r="I52" i="7"/>
  <c r="I51" i="7"/>
  <c r="I50" i="7"/>
  <c r="I49" i="7"/>
  <c r="G48" i="7"/>
  <c r="I46" i="7"/>
  <c r="I45" i="7"/>
  <c r="I44" i="7"/>
  <c r="I43" i="7"/>
  <c r="I42" i="7"/>
  <c r="I41" i="7"/>
  <c r="I40" i="7"/>
  <c r="I39" i="7"/>
  <c r="I38" i="7"/>
  <c r="G37" i="7"/>
  <c r="G15" i="7"/>
  <c r="I27" i="7"/>
  <c r="I22" i="7"/>
  <c r="I23" i="7"/>
  <c r="I24" i="7"/>
  <c r="I25" i="7"/>
  <c r="I26" i="7"/>
  <c r="K62" i="7"/>
  <c r="K60" i="7"/>
  <c r="K59" i="7"/>
  <c r="J62" i="7"/>
  <c r="J60" i="7"/>
  <c r="K61" i="7"/>
  <c r="J61" i="7"/>
  <c r="J59" i="7"/>
  <c r="J5" i="7"/>
  <c r="J56" i="7"/>
  <c r="K53" i="7"/>
  <c r="J52" i="7"/>
  <c r="K49" i="7"/>
  <c r="K54" i="7"/>
  <c r="J53" i="7"/>
  <c r="K50" i="7"/>
  <c r="J49" i="7"/>
  <c r="K55" i="7"/>
  <c r="J54" i="7"/>
  <c r="K51" i="7"/>
  <c r="J50" i="7"/>
  <c r="K56" i="7"/>
  <c r="J55" i="7"/>
  <c r="K52" i="7"/>
  <c r="J51" i="7"/>
  <c r="K45" i="7"/>
  <c r="J44" i="7"/>
  <c r="K41" i="7"/>
  <c r="J40" i="7"/>
  <c r="K44" i="7"/>
  <c r="J43" i="7"/>
  <c r="K40" i="7"/>
  <c r="J39" i="7"/>
  <c r="K46" i="7"/>
  <c r="J45" i="7"/>
  <c r="K42" i="7"/>
  <c r="J41" i="7"/>
  <c r="K38" i="7"/>
  <c r="J46" i="7"/>
  <c r="K43" i="7"/>
  <c r="J42" i="7"/>
  <c r="K39" i="7"/>
  <c r="J38" i="7"/>
  <c r="J17" i="7"/>
  <c r="K27" i="7"/>
  <c r="J27" i="7"/>
  <c r="K22" i="7"/>
  <c r="K26" i="7"/>
  <c r="K23" i="7"/>
  <c r="K24" i="7"/>
  <c r="K25" i="7"/>
  <c r="J22" i="7"/>
  <c r="J26" i="7"/>
  <c r="J23" i="7"/>
  <c r="J24" i="7"/>
  <c r="J25" i="7"/>
  <c r="J58" i="7" l="1"/>
  <c r="K58" i="7"/>
  <c r="I48" i="7"/>
  <c r="J48" i="7"/>
  <c r="K48" i="7"/>
  <c r="I37" i="7"/>
  <c r="J37" i="7"/>
  <c r="K37" i="7"/>
  <c r="G4" i="7"/>
  <c r="I21" i="7"/>
  <c r="I20" i="7"/>
  <c r="I19" i="7"/>
  <c r="I18" i="7"/>
  <c r="I17" i="7"/>
  <c r="I16" i="7"/>
  <c r="I6" i="7"/>
  <c r="I7" i="7"/>
  <c r="I8" i="7"/>
  <c r="I9" i="7"/>
  <c r="I10" i="7"/>
  <c r="I11" i="7"/>
  <c r="I12" i="7"/>
  <c r="I13" i="7"/>
  <c r="I5" i="7"/>
  <c r="G29" i="7"/>
  <c r="J34" i="7"/>
  <c r="J32" i="7"/>
  <c r="J30" i="7"/>
  <c r="K35" i="7"/>
  <c r="K33" i="7"/>
  <c r="K31" i="7"/>
  <c r="J35" i="7"/>
  <c r="J33" i="7"/>
  <c r="J31" i="7"/>
  <c r="K34" i="7"/>
  <c r="K32" i="7"/>
  <c r="K30" i="7"/>
  <c r="J21" i="7"/>
  <c r="J19" i="7"/>
  <c r="K18" i="7"/>
  <c r="K16" i="7"/>
  <c r="J20" i="7"/>
  <c r="J18" i="7"/>
  <c r="J16" i="7"/>
  <c r="K21" i="7"/>
  <c r="K19" i="7"/>
  <c r="K17" i="7"/>
  <c r="K20" i="7"/>
  <c r="K6" i="7"/>
  <c r="K10" i="7"/>
  <c r="J6" i="7"/>
  <c r="J10" i="7"/>
  <c r="K5" i="7"/>
  <c r="K13" i="7"/>
  <c r="K7" i="7"/>
  <c r="K11" i="7"/>
  <c r="J7" i="7"/>
  <c r="J11" i="7"/>
  <c r="J12" i="7"/>
  <c r="J9" i="7"/>
  <c r="K8" i="7"/>
  <c r="K12" i="7"/>
  <c r="J8" i="7"/>
  <c r="J13" i="7"/>
  <c r="K9" i="7"/>
  <c r="J29" i="7" l="1"/>
  <c r="K29" i="7"/>
  <c r="I15" i="7"/>
  <c r="J15" i="7"/>
  <c r="K15" i="7"/>
  <c r="K4" i="7"/>
  <c r="I4" i="7" l="1"/>
  <c r="J4" i="7"/>
</calcChain>
</file>

<file path=xl/sharedStrings.xml><?xml version="1.0" encoding="utf-8"?>
<sst xmlns="http://schemas.openxmlformats.org/spreadsheetml/2006/main" count="322" uniqueCount="127">
  <si>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</si>
  <si>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</si>
  <si>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</si>
  <si>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</si>
  <si>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</si>
  <si>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</si>
  <si>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</si>
  <si>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</si>
  <si>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</si>
  <si>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</si>
  <si>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</si>
  <si>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</si>
  <si>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</si>
  <si>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</si>
  <si>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</si>
  <si>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</si>
  <si>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</si>
  <si>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</si>
  <si>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</si>
  <si>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</si>
  <si>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</si>
  <si>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</si>
  <si>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</si>
  <si>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</si>
  <si>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</si>
  <si>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</si>
  <si>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</si>
  <si>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</si>
  <si>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</si>
  <si>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</si>
  <si>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</si>
  <si>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</si>
  <si>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</si>
  <si>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</si>
  <si>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</si>
  <si>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</si>
  <si>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</si>
  <si>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</si>
  <si>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</si>
  <si>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</si>
  <si>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</si>
  <si>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</si>
  <si>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</si>
  <si>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</si>
  <si>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</si>
  <si>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</si>
  <si>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</si>
  <si>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</si>
  <si>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</si>
  <si>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</si>
  <si>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</si>
  <si>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</si>
  <si>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</si>
  <si>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</si>
  <si>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</si>
  <si>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</si>
  <si>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</si>
  <si>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Corporate Finance</t>
  </si>
  <si>
    <t xml:space="preserve">1) Grundkonzepte </t>
  </si>
  <si>
    <t xml:space="preserve">2) Grundlagen der Investitionsplanung </t>
  </si>
  <si>
    <t xml:space="preserve">3) Die Bewertung von Aktien </t>
  </si>
  <si>
    <t xml:space="preserve">4) Kapitalmärkte und die Bewertung des Risiko </t>
  </si>
  <si>
    <t>5) Optimale Portfolioallokation und das CAPM</t>
  </si>
  <si>
    <t xml:space="preserve">6) Schätzung der Kapitalkosten </t>
  </si>
  <si>
    <t xml:space="preserve">7) Kapitalstruktur an einem vollkommenen Markt </t>
  </si>
  <si>
    <t xml:space="preserve">8) Fremdkapital und Steuern </t>
  </si>
  <si>
    <t xml:space="preserve">9) Investitionsplanung und -bewertung </t>
  </si>
  <si>
    <t>Betriebswirtschaftliche Steuerlehre</t>
  </si>
  <si>
    <t xml:space="preserve">1) Rechtsformwahl </t>
  </si>
  <si>
    <t>2) Finanzierung aus steuerlicher Sicht</t>
  </si>
  <si>
    <t xml:space="preserve">3) Auflösung und Besteuerung stiller Reserven </t>
  </si>
  <si>
    <t>4) Verlustverrechnung</t>
  </si>
  <si>
    <t xml:space="preserve">5) Immobilienbesteuerung </t>
  </si>
  <si>
    <t xml:space="preserve">6) Steuerliche Gewinnermittlung </t>
  </si>
  <si>
    <t>7) Unternehmens(ver)kauf</t>
  </si>
  <si>
    <t xml:space="preserve">8) GmbH in der Krise </t>
  </si>
  <si>
    <t xml:space="preserve">9) Unternehmensnachfolge durch Erwerb von Todes wegen </t>
  </si>
  <si>
    <t xml:space="preserve">10) Vorweggenommene Erbfolge </t>
  </si>
  <si>
    <t>11) Ausländische Betriebsstätte</t>
  </si>
  <si>
    <t xml:space="preserve">12) Ausländische Tochterkapitalgesellschaft </t>
  </si>
  <si>
    <t xml:space="preserve">Management und Unternehmensgründung </t>
  </si>
  <si>
    <t>2) Management</t>
  </si>
  <si>
    <t>3) Gründungsförderung / Gründerökosystem</t>
  </si>
  <si>
    <t>4) Strategisches Management I</t>
  </si>
  <si>
    <t xml:space="preserve">5) Stragtegisches Management II </t>
  </si>
  <si>
    <t>6) Management &amp; Ethik / Internationales Management</t>
  </si>
  <si>
    <t xml:space="preserve">Entscheidungslehre </t>
  </si>
  <si>
    <t xml:space="preserve">1) Erkenntnisziele der Entscheidungstheorie </t>
  </si>
  <si>
    <t xml:space="preserve">2) Das Grundmodell der Entscheidungstheorie </t>
  </si>
  <si>
    <t xml:space="preserve">3) Entscheidungen bei Sicherheit </t>
  </si>
  <si>
    <t xml:space="preserve">4) Entscheidungen bei Risiko </t>
  </si>
  <si>
    <t xml:space="preserve">5) Entscheidungen bei Ungewissheit </t>
  </si>
  <si>
    <t>6) Entscheidungen bei variabler Informationsstruktur</t>
  </si>
  <si>
    <t xml:space="preserve">7) Grundbegriffe der Spieltheorie </t>
  </si>
  <si>
    <t xml:space="preserve">8) Entscheidungen durch Entscheidungsgremien </t>
  </si>
  <si>
    <t>9) Grundbegriffe der dynamischen Programmierung</t>
  </si>
  <si>
    <t>Organisationslehre</t>
  </si>
  <si>
    <t xml:space="preserve">1) Einführung </t>
  </si>
  <si>
    <t>2) Theorien der Organisation</t>
  </si>
  <si>
    <t xml:space="preserve">3) Organisation und Umwelt </t>
  </si>
  <si>
    <t>4) Organisationsstruktur</t>
  </si>
  <si>
    <t xml:space="preserve">5) Organisationskultur </t>
  </si>
  <si>
    <t xml:space="preserve">6) Organisationsstrategie </t>
  </si>
  <si>
    <t xml:space="preserve">7) Organisatorischer Wandel </t>
  </si>
  <si>
    <t>8) Internationalisierung von Organisationen</t>
  </si>
  <si>
    <t>KW 16</t>
  </si>
  <si>
    <t>KW 17</t>
  </si>
  <si>
    <t>KW 18</t>
  </si>
  <si>
    <t>KW 26</t>
  </si>
  <si>
    <t>KW 27</t>
  </si>
  <si>
    <t>KW 28</t>
  </si>
  <si>
    <t>KW 15</t>
  </si>
  <si>
    <t xml:space="preserve">Spezialthemen der Wirtschaftsprüfung und Rechnungslegung </t>
  </si>
  <si>
    <t>1) Grundlagen der handelsrechtlichen Jahresabschlussprüfung</t>
  </si>
  <si>
    <t xml:space="preserve">2) Prüfung ausgewählter Posten eines HGB-Abschlusses </t>
  </si>
  <si>
    <t>3) Prüfung des Abhängigkeitsberichts</t>
  </si>
  <si>
    <t xml:space="preserve">4) Ausgewählte Spezialfragen der Rechnungslegung </t>
  </si>
  <si>
    <t>Spezialthemen der Wirtschaftsprüfung und Rechnungslegung</t>
  </si>
  <si>
    <t>Management und Unternehmensgründung (Vorlesung)</t>
  </si>
  <si>
    <t>Noten Call</t>
  </si>
  <si>
    <t>Pause</t>
  </si>
  <si>
    <t>Entscheidungslehre Tutorium (Vorbereitung)</t>
  </si>
  <si>
    <t>10 Wochen</t>
  </si>
  <si>
    <t>48 Kapitel</t>
  </si>
  <si>
    <t>14  Levelups pro Woche</t>
  </si>
  <si>
    <t>144 Levelups insgesamt</t>
  </si>
  <si>
    <t>1. Hälfte: 40h pro Woche // 2. Hälfte: 80h pro Woche
1. Hälfte: 50% der Inhalte zu 50% (1 Durchgang für 50%
1 Punkt
--&gt; 0,025 Punkte pro Stunde
2. Hälfte: 
50% 2x durchgehen + 50% 3x durch (5 Punkte) --&gt; 0,0625 Punkte pro Stunde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</si>
</sst>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s>
  <borders count="1">
    <border>
      <left/>
      <right/>
      <top/>
      <bottom/>
      <diagonal/>
    </border>
  </borders>
  <cellStyleXfs count="5">
    <xf numFmtId="0" fontId="0" fillId="0" borderId="0"/>
    <xf numFmtId="0" fontId="5"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8" fillId="7" borderId="0" applyNumberFormat="0" applyBorder="0" applyAlignment="0" applyProtection="0"/>
  </cellStyleXfs>
  <cellXfs count="26">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64" fontId="0" fillId="0" borderId="0" xfId="0" applyNumberFormat="1"/>
    <xf numFmtId="0" fontId="1" fillId="2" borderId="0" xfId="0" applyFont="1" applyFill="1" applyAlignment="1">
      <alignment horizontal="center"/>
    </xf>
    <xf numFmtId="0" fontId="7" fillId="6" borderId="0" xfId="3" applyAlignment="1">
      <alignment horizontal="center" vertical="center" wrapText="1"/>
    </xf>
    <xf numFmtId="0" fontId="8" fillId="7" borderId="0" xfId="4" applyAlignment="1">
      <alignment horizontal="center" vertical="center"/>
    </xf>
    <xf numFmtId="0" fontId="5" fillId="4" borderId="0" xfId="1" applyAlignment="1">
      <alignment horizontal="center" vertical="center"/>
    </xf>
    <xf numFmtId="0" fontId="6" fillId="5" borderId="0" xfId="2" applyAlignment="1">
      <alignment horizontal="center" vertical="center" wrapText="1"/>
    </xf>
    <xf numFmtId="0" fontId="3" fillId="0" borderId="0" xfId="0" applyFont="1" applyAlignment="1">
      <alignment wrapText="1"/>
    </xf>
  </cellXfs>
  <cellStyles count="5">
    <cellStyle name="Accent1" xfId="4" builtinId="29"/>
    <cellStyle name="Bad" xfId="2" builtinId="27"/>
    <cellStyle name="Good" xfId="1" builtinId="26"/>
    <cellStyle name="Neutral" xfId="3" builtinId="28"/>
    <cellStyle name="Normal" xfId="0" builtinId="0"/>
  </cellStyles>
  <dxfs count="245">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46" totalsRowShown="0" headerRowDxfId="4">
  <autoFilter ref="A1:K46" xr:uid="{00000000-0009-0000-0100-000001000000}"/>
  <tableColumns count="11">
    <tableColumn id="1" xr3:uid="{00000000-0010-0000-0000-000001000000}" name="Datum" dataDxfId="3"/>
    <tableColumn id="2" xr3:uid="{00000000-0010-0000-0000-000002000000}" name="Lerneinheiten durchgezogen" dataDxfId="2"/>
    <tableColumn id="3" xr3:uid="{00000000-0010-0000-0000-000003000000}" name="Tagesplan erstellt" dataDxfId="1"/>
    <tableColumn id="4" xr3:uid="{00000000-0010-0000-0000-000004000000}" name="Konzentrationslevel" dataDxfId="0"/>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40</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39</v>
      </c>
    </row>
    <row r="19" spans="2:2" ht="153" x14ac:dyDescent="0.2">
      <c r="B19" s="1" t="s">
        <v>41</v>
      </c>
    </row>
    <row r="21" spans="2:2" x14ac:dyDescent="0.2">
      <c r="B21" s="3" t="s">
        <v>21</v>
      </c>
    </row>
    <row r="22" spans="2:2" ht="136" x14ac:dyDescent="0.2">
      <c r="B22" s="1" t="s">
        <v>42</v>
      </c>
    </row>
    <row r="24" spans="2:2" x14ac:dyDescent="0.2">
      <c r="B24" s="3"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F62"/>
  <sheetViews>
    <sheetView tabSelected="1" zoomScale="90" zoomScaleNormal="90" workbookViewId="0">
      <pane xSplit="5" topLeftCell="W1" activePane="topRight" state="frozen"/>
      <selection pane="topRight" activeCell="D1" sqref="D1"/>
    </sheetView>
  </sheetViews>
  <sheetFormatPr baseColWidth="10" defaultColWidth="8.83203125" defaultRowHeight="16" outlineLevelRow="1" x14ac:dyDescent="0.2"/>
  <cols>
    <col min="3" max="3" width="51.6640625" bestFit="1" customWidth="1"/>
    <col min="4" max="4" width="37.6640625" customWidth="1"/>
    <col min="5" max="5" width="4.83203125" bestFit="1" customWidth="1"/>
    <col min="6" max="6" width="50"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s>
  <sheetData>
    <row r="1" spans="2:110" ht="409" customHeight="1" x14ac:dyDescent="0.4">
      <c r="B1" s="5" t="s">
        <v>0</v>
      </c>
      <c r="D1" s="25" t="s">
        <v>126</v>
      </c>
      <c r="G1" s="15" t="s">
        <v>34</v>
      </c>
      <c r="I1" s="15" t="s">
        <v>34</v>
      </c>
      <c r="J1" s="15" t="s">
        <v>34</v>
      </c>
      <c r="K1" s="15" t="s">
        <v>34</v>
      </c>
      <c r="W1" t="s">
        <v>122</v>
      </c>
      <c r="X1" t="s">
        <v>123</v>
      </c>
      <c r="Y1" t="s">
        <v>124</v>
      </c>
      <c r="AB1" t="s">
        <v>125</v>
      </c>
    </row>
    <row r="2" spans="2:110" x14ac:dyDescent="0.2">
      <c r="I2" s="20" t="s">
        <v>27</v>
      </c>
      <c r="J2" s="20"/>
      <c r="K2" s="20"/>
      <c r="L2" s="20"/>
      <c r="N2" s="20" t="s">
        <v>111</v>
      </c>
      <c r="O2" s="20"/>
      <c r="P2" s="20"/>
      <c r="Q2" s="20"/>
      <c r="R2" s="20"/>
      <c r="S2" s="20"/>
      <c r="U2" s="20" t="s">
        <v>105</v>
      </c>
      <c r="V2" s="20"/>
      <c r="W2" s="20"/>
      <c r="X2" s="20"/>
      <c r="Y2" s="20"/>
      <c r="Z2" s="20"/>
      <c r="AB2" s="20" t="s">
        <v>106</v>
      </c>
      <c r="AC2" s="20"/>
      <c r="AD2" s="20"/>
      <c r="AE2" s="20"/>
      <c r="AF2" s="20"/>
      <c r="AG2" s="20"/>
      <c r="AI2" s="20" t="s">
        <v>107</v>
      </c>
      <c r="AJ2" s="20"/>
      <c r="AK2" s="20"/>
      <c r="AL2" s="20"/>
      <c r="AM2" s="20"/>
      <c r="AN2" s="20"/>
      <c r="AP2" s="20" t="s">
        <v>35</v>
      </c>
      <c r="AQ2" s="20"/>
      <c r="AR2" s="20"/>
      <c r="AS2" s="20"/>
      <c r="AT2" s="20"/>
      <c r="AU2" s="20"/>
      <c r="AW2" s="20" t="s">
        <v>36</v>
      </c>
      <c r="AX2" s="20"/>
      <c r="AY2" s="20"/>
      <c r="AZ2" s="20"/>
      <c r="BA2" s="20"/>
      <c r="BB2" s="20"/>
      <c r="BD2" s="20" t="s">
        <v>37</v>
      </c>
      <c r="BE2" s="20"/>
      <c r="BF2" s="20"/>
      <c r="BG2" s="20"/>
      <c r="BH2" s="20"/>
      <c r="BI2" s="20"/>
      <c r="BK2" s="20" t="s">
        <v>38</v>
      </c>
      <c r="BL2" s="20"/>
      <c r="BM2" s="20"/>
      <c r="BN2" s="20"/>
      <c r="BO2" s="20"/>
      <c r="BP2" s="20"/>
      <c r="BR2" s="20" t="s">
        <v>43</v>
      </c>
      <c r="BS2" s="20"/>
      <c r="BT2" s="20"/>
      <c r="BU2" s="20"/>
      <c r="BV2" s="20"/>
      <c r="BW2" s="20"/>
      <c r="BY2" s="20" t="s">
        <v>44</v>
      </c>
      <c r="BZ2" s="20"/>
      <c r="CA2" s="20"/>
      <c r="CB2" s="20"/>
      <c r="CC2" s="20"/>
      <c r="CD2" s="20"/>
      <c r="CF2" s="20" t="s">
        <v>45</v>
      </c>
      <c r="CG2" s="20"/>
      <c r="CH2" s="20"/>
      <c r="CI2" s="20"/>
      <c r="CJ2" s="20"/>
      <c r="CK2" s="20"/>
      <c r="CM2" s="20" t="s">
        <v>108</v>
      </c>
      <c r="CN2" s="20"/>
      <c r="CO2" s="20"/>
      <c r="CP2" s="20"/>
      <c r="CQ2" s="20"/>
      <c r="CR2" s="20"/>
      <c r="CT2" s="20" t="s">
        <v>109</v>
      </c>
      <c r="CU2" s="20"/>
      <c r="CV2" s="20"/>
      <c r="CW2" s="20"/>
      <c r="CX2" s="20"/>
      <c r="CY2" s="20"/>
      <c r="DA2" s="20" t="s">
        <v>110</v>
      </c>
      <c r="DB2" s="20"/>
      <c r="DC2" s="20"/>
      <c r="DD2" s="20"/>
      <c r="DE2" s="20"/>
      <c r="DF2" s="20"/>
    </row>
    <row r="3" spans="2:110" x14ac:dyDescent="0.2">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row>
    <row r="4" spans="2:110" x14ac:dyDescent="0.2">
      <c r="B4" t="s">
        <v>27</v>
      </c>
      <c r="C4" t="s">
        <v>57</v>
      </c>
      <c r="D4">
        <f>9/48*14.4</f>
        <v>2.7</v>
      </c>
      <c r="E4" s="11">
        <v>6</v>
      </c>
      <c r="G4" s="12">
        <f>+SUM(G5:G13)</f>
        <v>1</v>
      </c>
      <c r="I4" s="14">
        <f>+SUM(I5:I13)</f>
        <v>6</v>
      </c>
      <c r="J4" s="13">
        <f>+SUMPRODUCT(G5:G13,J5:J13)</f>
        <v>0.1</v>
      </c>
      <c r="K4" s="13">
        <f>+SUMPRODUCT(G5:G13,K5:K13)</f>
        <v>5.5E-2</v>
      </c>
      <c r="L4" s="11"/>
      <c r="N4" s="14">
        <f>+SUM(N5:N13)</f>
        <v>3</v>
      </c>
      <c r="U4" s="14">
        <f>+SUM(U5:U13)</f>
        <v>3</v>
      </c>
      <c r="AB4" s="14">
        <f>+SUM(AB5:AB13)</f>
        <v>0</v>
      </c>
      <c r="AI4" s="14">
        <f>+SUM(AI5:AI13)</f>
        <v>0</v>
      </c>
      <c r="AP4" s="14">
        <f>+SUM(AP5:AP13)</f>
        <v>0</v>
      </c>
      <c r="AW4" s="14">
        <f>+SUM(AW5:AW13)</f>
        <v>0</v>
      </c>
      <c r="BD4" s="14">
        <f>+SUM(BD5:BD13)</f>
        <v>0</v>
      </c>
      <c r="BK4" s="14">
        <f>+SUM(BK5:BK13)</f>
        <v>0</v>
      </c>
      <c r="BR4" s="14">
        <f>+SUM(BR5:BR13)</f>
        <v>0</v>
      </c>
      <c r="BY4" s="14">
        <f>+SUM(BY5:BY13)</f>
        <v>0</v>
      </c>
      <c r="CF4" s="14">
        <f>+SUM(CF5:CF13)</f>
        <v>0</v>
      </c>
      <c r="CM4" s="14">
        <f>+SUM(CM5:CM13)</f>
        <v>0</v>
      </c>
      <c r="CT4" s="14">
        <f>+SUM(CT5:CT13)</f>
        <v>0</v>
      </c>
      <c r="DA4" s="14">
        <f>+SUM(DA5:DA13)</f>
        <v>0</v>
      </c>
    </row>
    <row r="5" spans="2:110" outlineLevel="1" x14ac:dyDescent="0.2">
      <c r="B5" t="s">
        <v>28</v>
      </c>
      <c r="C5" t="s">
        <v>57</v>
      </c>
      <c r="E5" s="11"/>
      <c r="F5" t="s">
        <v>58</v>
      </c>
      <c r="G5" s="12">
        <v>0.11</v>
      </c>
      <c r="I5" s="11">
        <f>+SUMIF($N$3:$ZZ$3,I$3,$N5:$ZZ5)</f>
        <v>3</v>
      </c>
      <c r="J5" s="13">
        <f>+_xlfn.MAXIFS($N5:$ZF5,$N$3:$ZF$3,J$3)</f>
        <v>0.5</v>
      </c>
      <c r="K5" s="13">
        <f t="shared" ref="J5:K13" si="0">+_xlfn.MAXIFS($N5:$ZF5,$N$3:$ZF$3,K$3)</f>
        <v>0.5</v>
      </c>
      <c r="L5" s="11"/>
      <c r="N5">
        <v>3</v>
      </c>
      <c r="O5" s="12">
        <v>0.5</v>
      </c>
      <c r="P5" s="12">
        <v>0.5</v>
      </c>
      <c r="Q5" s="12"/>
      <c r="R5" s="12"/>
      <c r="U5">
        <v>0</v>
      </c>
      <c r="V5" s="12">
        <v>0.5</v>
      </c>
      <c r="W5" s="12">
        <v>0.5</v>
      </c>
      <c r="X5" s="12">
        <v>0.5</v>
      </c>
      <c r="Y5" s="12">
        <v>0.5</v>
      </c>
      <c r="AC5" s="12"/>
      <c r="AD5" s="12"/>
      <c r="AE5" s="12"/>
      <c r="AF5" s="12"/>
      <c r="AJ5" s="12"/>
      <c r="AK5" s="12"/>
      <c r="AL5" s="12"/>
      <c r="AM5" s="12"/>
      <c r="AQ5" s="12"/>
      <c r="AR5" s="12"/>
      <c r="AS5" s="12"/>
      <c r="AT5" s="12"/>
      <c r="AX5" s="12"/>
      <c r="AY5" s="12"/>
      <c r="AZ5" s="12"/>
      <c r="BA5" s="12"/>
      <c r="BE5" s="12"/>
      <c r="BF5" s="12"/>
      <c r="BG5" s="12"/>
      <c r="BH5" s="12"/>
      <c r="BL5" s="12"/>
      <c r="BM5" s="12"/>
      <c r="BN5" s="12"/>
      <c r="BO5" s="12"/>
      <c r="BS5" s="12"/>
      <c r="BT5" s="12"/>
      <c r="BU5" s="12"/>
      <c r="BV5" s="12"/>
      <c r="BZ5" s="12"/>
      <c r="CA5" s="12"/>
      <c r="CB5" s="12"/>
      <c r="CC5" s="12"/>
      <c r="CG5" s="12"/>
      <c r="CH5" s="12"/>
      <c r="CI5" s="12"/>
      <c r="CJ5" s="12"/>
      <c r="CN5" s="12"/>
      <c r="CO5" s="12"/>
      <c r="CP5" s="12"/>
      <c r="CQ5" s="12"/>
      <c r="CU5" s="12"/>
      <c r="CV5" s="12"/>
      <c r="CW5" s="12"/>
      <c r="CX5" s="12"/>
      <c r="DB5" s="12"/>
      <c r="DC5" s="12"/>
      <c r="DD5" s="12"/>
      <c r="DE5" s="12"/>
    </row>
    <row r="6" spans="2:110" outlineLevel="1" x14ac:dyDescent="0.2">
      <c r="B6" t="s">
        <v>28</v>
      </c>
      <c r="C6" t="s">
        <v>57</v>
      </c>
      <c r="E6" s="11"/>
      <c r="F6" t="s">
        <v>59</v>
      </c>
      <c r="G6" s="12">
        <v>0.09</v>
      </c>
      <c r="I6" s="11">
        <f t="shared" ref="I6:I13" si="1">+SUMIF($N$3:$ZZ$3,I$3,$N6:$ZZ6)</f>
        <v>3</v>
      </c>
      <c r="J6" s="13">
        <f t="shared" si="0"/>
        <v>0.5</v>
      </c>
      <c r="K6" s="13">
        <f t="shared" si="0"/>
        <v>0</v>
      </c>
      <c r="L6" s="11"/>
      <c r="O6" s="12"/>
      <c r="P6" s="12"/>
      <c r="Q6" s="12"/>
      <c r="R6" s="12"/>
      <c r="U6">
        <v>3</v>
      </c>
      <c r="V6" s="12">
        <v>0.5</v>
      </c>
      <c r="W6" s="12">
        <v>0.5</v>
      </c>
      <c r="X6" s="12"/>
      <c r="Y6" s="12"/>
      <c r="AC6" s="12"/>
      <c r="AD6" s="12"/>
      <c r="AE6" s="12"/>
      <c r="AF6" s="12"/>
      <c r="AJ6" s="12"/>
      <c r="AK6" s="12"/>
      <c r="AL6" s="12"/>
      <c r="AM6" s="12"/>
      <c r="AQ6" s="12"/>
      <c r="AR6" s="12"/>
      <c r="AS6" s="12"/>
      <c r="AT6" s="12"/>
      <c r="AX6" s="12"/>
      <c r="AY6" s="12"/>
      <c r="AZ6" s="12"/>
      <c r="BA6" s="12"/>
      <c r="BE6" s="12"/>
      <c r="BF6" s="12"/>
      <c r="BG6" s="12"/>
      <c r="BH6" s="12"/>
      <c r="BL6" s="12"/>
      <c r="BM6" s="12"/>
      <c r="BN6" s="12"/>
      <c r="BO6" s="12"/>
      <c r="BS6" s="12"/>
      <c r="BT6" s="12"/>
      <c r="BU6" s="12"/>
      <c r="BV6" s="12"/>
      <c r="BZ6" s="12"/>
      <c r="CA6" s="12"/>
      <c r="CB6" s="12"/>
      <c r="CC6" s="12"/>
      <c r="CG6" s="12"/>
      <c r="CH6" s="12"/>
      <c r="CI6" s="12"/>
      <c r="CJ6" s="12"/>
      <c r="CN6" s="12"/>
      <c r="CO6" s="12"/>
      <c r="CP6" s="12"/>
      <c r="CQ6" s="12"/>
      <c r="CU6" s="12"/>
      <c r="CV6" s="12"/>
      <c r="CW6" s="12"/>
      <c r="CX6" s="12"/>
      <c r="DB6" s="12"/>
      <c r="DC6" s="12"/>
      <c r="DD6" s="12"/>
      <c r="DE6" s="12"/>
    </row>
    <row r="7" spans="2:110" outlineLevel="1" x14ac:dyDescent="0.2">
      <c r="B7" t="s">
        <v>28</v>
      </c>
      <c r="C7" t="s">
        <v>57</v>
      </c>
      <c r="E7" s="11"/>
      <c r="F7" t="s">
        <v>60</v>
      </c>
      <c r="G7" s="12">
        <v>0.1</v>
      </c>
      <c r="I7" s="11">
        <f t="shared" si="1"/>
        <v>0</v>
      </c>
      <c r="J7" s="13">
        <f t="shared" si="0"/>
        <v>0</v>
      </c>
      <c r="K7" s="13">
        <f t="shared" si="0"/>
        <v>0</v>
      </c>
      <c r="L7" s="11"/>
      <c r="O7" s="12"/>
      <c r="P7" s="12"/>
      <c r="Q7" s="12"/>
      <c r="R7" s="12"/>
      <c r="V7" s="12"/>
      <c r="W7" s="12"/>
      <c r="X7" s="12"/>
      <c r="Y7" s="12"/>
      <c r="AC7" s="12"/>
      <c r="AD7" s="12"/>
      <c r="AE7" s="12"/>
      <c r="AF7" s="12"/>
      <c r="AJ7" s="12"/>
      <c r="AK7" s="12"/>
      <c r="AL7" s="12"/>
      <c r="AM7" s="12"/>
      <c r="AQ7" s="12"/>
      <c r="AR7" s="12"/>
      <c r="AS7" s="12"/>
      <c r="AT7" s="12"/>
      <c r="AX7" s="12"/>
      <c r="AY7" s="12"/>
      <c r="AZ7" s="12"/>
      <c r="BA7" s="12"/>
      <c r="BE7" s="12"/>
      <c r="BF7" s="12"/>
      <c r="BG7" s="12"/>
      <c r="BH7" s="12"/>
      <c r="BL7" s="12"/>
      <c r="BM7" s="12"/>
      <c r="BN7" s="12"/>
      <c r="BO7" s="12"/>
      <c r="BS7" s="12"/>
      <c r="BT7" s="12"/>
      <c r="BU7" s="12"/>
      <c r="BV7" s="12"/>
      <c r="BZ7" s="12"/>
      <c r="CA7" s="12"/>
      <c r="CB7" s="12"/>
      <c r="CC7" s="12"/>
      <c r="CG7" s="12"/>
      <c r="CH7" s="12"/>
      <c r="CI7" s="12"/>
      <c r="CJ7" s="12"/>
      <c r="CN7" s="12"/>
      <c r="CO7" s="12"/>
      <c r="CP7" s="12"/>
      <c r="CQ7" s="12"/>
      <c r="CU7" s="12"/>
      <c r="CV7" s="12"/>
      <c r="CW7" s="12"/>
      <c r="CX7" s="12"/>
      <c r="DB7" s="12"/>
      <c r="DC7" s="12"/>
      <c r="DD7" s="12"/>
      <c r="DE7" s="12"/>
    </row>
    <row r="8" spans="2:110" outlineLevel="1" x14ac:dyDescent="0.2">
      <c r="B8" t="s">
        <v>28</v>
      </c>
      <c r="C8" t="s">
        <v>57</v>
      </c>
      <c r="E8" s="11"/>
      <c r="F8" t="s">
        <v>61</v>
      </c>
      <c r="G8" s="12">
        <v>0.1</v>
      </c>
      <c r="I8" s="11">
        <f t="shared" si="1"/>
        <v>0</v>
      </c>
      <c r="J8" s="13">
        <f t="shared" si="0"/>
        <v>0</v>
      </c>
      <c r="K8" s="13">
        <f t="shared" si="0"/>
        <v>0</v>
      </c>
      <c r="L8" s="11"/>
      <c r="O8" s="12"/>
      <c r="P8" s="12"/>
      <c r="Q8" s="12"/>
      <c r="R8" s="12"/>
      <c r="V8" s="12"/>
      <c r="W8" s="12"/>
      <c r="X8" s="12"/>
      <c r="Y8" s="12"/>
      <c r="AC8" s="12"/>
      <c r="AD8" s="12"/>
      <c r="AE8" s="12"/>
      <c r="AF8" s="12"/>
      <c r="AJ8" s="12"/>
      <c r="AK8" s="12"/>
      <c r="AL8" s="12"/>
      <c r="AM8" s="12"/>
      <c r="AQ8" s="12"/>
      <c r="AR8" s="12"/>
      <c r="AS8" s="12"/>
      <c r="AT8" s="12"/>
      <c r="AX8" s="12"/>
      <c r="AY8" s="12"/>
      <c r="AZ8" s="12"/>
      <c r="BA8" s="12"/>
      <c r="BE8" s="12"/>
      <c r="BF8" s="12"/>
      <c r="BG8" s="12"/>
      <c r="BH8" s="12"/>
      <c r="BL8" s="12"/>
      <c r="BM8" s="12"/>
      <c r="BN8" s="12"/>
      <c r="BO8" s="12"/>
      <c r="BS8" s="12"/>
      <c r="BT8" s="12"/>
      <c r="BU8" s="12"/>
      <c r="BV8" s="12"/>
      <c r="BZ8" s="12"/>
      <c r="CA8" s="12"/>
      <c r="CB8" s="12"/>
      <c r="CC8" s="12"/>
      <c r="CG8" s="12"/>
      <c r="CH8" s="12"/>
      <c r="CI8" s="12"/>
      <c r="CJ8" s="12"/>
      <c r="CN8" s="12"/>
      <c r="CO8" s="12"/>
      <c r="CP8" s="12"/>
      <c r="CQ8" s="12"/>
      <c r="CU8" s="12"/>
      <c r="CV8" s="12"/>
      <c r="CW8" s="12"/>
      <c r="CX8" s="12"/>
      <c r="DB8" s="12"/>
      <c r="DC8" s="12"/>
      <c r="DD8" s="12"/>
      <c r="DE8" s="12"/>
    </row>
    <row r="9" spans="2:110" outlineLevel="1" x14ac:dyDescent="0.2">
      <c r="B9" t="s">
        <v>28</v>
      </c>
      <c r="C9" t="s">
        <v>57</v>
      </c>
      <c r="E9" s="11"/>
      <c r="F9" t="s">
        <v>62</v>
      </c>
      <c r="G9" s="12">
        <v>0.14000000000000001</v>
      </c>
      <c r="I9" s="11">
        <f t="shared" si="1"/>
        <v>0</v>
      </c>
      <c r="J9" s="13">
        <f t="shared" si="0"/>
        <v>0</v>
      </c>
      <c r="K9" s="13">
        <f t="shared" si="0"/>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S9" s="12"/>
      <c r="BT9" s="12"/>
      <c r="BU9" s="12"/>
      <c r="BV9" s="12"/>
      <c r="BZ9" s="12"/>
      <c r="CA9" s="12"/>
      <c r="CB9" s="12"/>
      <c r="CC9" s="12"/>
      <c r="CG9" s="12"/>
      <c r="CH9" s="12"/>
      <c r="CI9" s="12"/>
      <c r="CJ9" s="12"/>
      <c r="CN9" s="12"/>
      <c r="CO9" s="12"/>
      <c r="CP9" s="12"/>
      <c r="CQ9" s="12"/>
      <c r="CU9" s="12"/>
      <c r="CV9" s="12"/>
      <c r="CW9" s="12"/>
      <c r="CX9" s="12"/>
      <c r="DB9" s="12"/>
      <c r="DC9" s="12"/>
      <c r="DD9" s="12"/>
      <c r="DE9" s="12"/>
    </row>
    <row r="10" spans="2:110" outlineLevel="1" x14ac:dyDescent="0.2">
      <c r="B10" t="s">
        <v>28</v>
      </c>
      <c r="C10" t="s">
        <v>57</v>
      </c>
      <c r="E10" s="11"/>
      <c r="F10" t="s">
        <v>63</v>
      </c>
      <c r="G10" s="12">
        <v>0.08</v>
      </c>
      <c r="I10" s="11">
        <f t="shared" si="1"/>
        <v>0</v>
      </c>
      <c r="J10" s="13">
        <f t="shared" si="0"/>
        <v>0</v>
      </c>
      <c r="K10" s="13">
        <f t="shared" si="0"/>
        <v>0</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S10" s="12"/>
      <c r="BT10" s="12"/>
      <c r="BU10" s="12"/>
      <c r="BV10" s="12"/>
      <c r="BZ10" s="12"/>
      <c r="CA10" s="12"/>
      <c r="CB10" s="12"/>
      <c r="CC10" s="12"/>
      <c r="CG10" s="12"/>
      <c r="CH10" s="12"/>
      <c r="CI10" s="12"/>
      <c r="CJ10" s="12"/>
      <c r="CN10" s="12"/>
      <c r="CO10" s="12"/>
      <c r="CP10" s="12"/>
      <c r="CQ10" s="12"/>
      <c r="CU10" s="12"/>
      <c r="CV10" s="12"/>
      <c r="CW10" s="12"/>
      <c r="CX10" s="12"/>
      <c r="DB10" s="12"/>
      <c r="DC10" s="12"/>
      <c r="DD10" s="12"/>
      <c r="DE10" s="12"/>
    </row>
    <row r="11" spans="2:110" outlineLevel="1" x14ac:dyDescent="0.2">
      <c r="B11" t="s">
        <v>28</v>
      </c>
      <c r="C11" t="s">
        <v>57</v>
      </c>
      <c r="E11" s="11"/>
      <c r="F11" t="s">
        <v>64</v>
      </c>
      <c r="G11" s="12">
        <v>0.12</v>
      </c>
      <c r="I11" s="11">
        <f t="shared" si="1"/>
        <v>0</v>
      </c>
      <c r="J11" s="13">
        <f t="shared" si="0"/>
        <v>0</v>
      </c>
      <c r="K11" s="13">
        <f t="shared" si="0"/>
        <v>0</v>
      </c>
      <c r="L11" s="11"/>
      <c r="O11" s="12"/>
      <c r="P11" s="12"/>
      <c r="Q11" s="12"/>
      <c r="R11" s="12"/>
      <c r="V11" s="12"/>
      <c r="W11" s="12"/>
      <c r="X11" s="12"/>
      <c r="Y11" s="12"/>
      <c r="AC11" s="12"/>
      <c r="AD11" s="12"/>
      <c r="AE11" s="12"/>
      <c r="AF11" s="12"/>
      <c r="AJ11" s="12"/>
      <c r="AK11" s="12"/>
      <c r="AL11" s="12"/>
      <c r="AM11" s="12"/>
      <c r="AQ11" s="12"/>
      <c r="AR11" s="12"/>
      <c r="AS11" s="12"/>
      <c r="AT11" s="12"/>
      <c r="AX11" s="12"/>
      <c r="AY11" s="12"/>
      <c r="AZ11" s="12"/>
      <c r="BA11" s="12"/>
      <c r="BE11" s="12"/>
      <c r="BF11" s="12"/>
      <c r="BG11" s="12"/>
      <c r="BH11" s="12"/>
      <c r="BL11" s="12"/>
      <c r="BM11" s="12"/>
      <c r="BN11" s="12"/>
      <c r="BO11" s="12"/>
      <c r="BS11" s="12"/>
      <c r="BT11" s="12"/>
      <c r="BU11" s="12"/>
      <c r="BV11" s="12"/>
      <c r="BZ11" s="12"/>
      <c r="CA11" s="12"/>
      <c r="CB11" s="12"/>
      <c r="CC11" s="12"/>
      <c r="CG11" s="12"/>
      <c r="CH11" s="12"/>
      <c r="CI11" s="12"/>
      <c r="CJ11" s="12"/>
      <c r="CN11" s="12"/>
      <c r="CO11" s="12"/>
      <c r="CP11" s="12"/>
      <c r="CQ11" s="12"/>
      <c r="CU11" s="12"/>
      <c r="CV11" s="12"/>
      <c r="CW11" s="12"/>
      <c r="CX11" s="12"/>
      <c r="DB11" s="12"/>
      <c r="DC11" s="12"/>
      <c r="DD11" s="12"/>
      <c r="DE11" s="12"/>
    </row>
    <row r="12" spans="2:110" outlineLevel="1" x14ac:dyDescent="0.2">
      <c r="B12" t="s">
        <v>28</v>
      </c>
      <c r="C12" t="s">
        <v>57</v>
      </c>
      <c r="E12" s="11"/>
      <c r="F12" t="s">
        <v>65</v>
      </c>
      <c r="G12" s="12">
        <v>0.13</v>
      </c>
      <c r="I12" s="11">
        <f t="shared" si="1"/>
        <v>0</v>
      </c>
      <c r="J12" s="13">
        <f t="shared" si="0"/>
        <v>0</v>
      </c>
      <c r="K12" s="13">
        <f t="shared" si="0"/>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c r="BG12" s="12"/>
      <c r="BH12" s="12"/>
      <c r="BL12" s="12"/>
      <c r="BM12" s="12"/>
      <c r="BN12" s="12"/>
      <c r="BO12" s="12"/>
      <c r="BS12" s="12"/>
      <c r="BT12" s="12"/>
      <c r="BU12" s="12"/>
      <c r="BV12" s="12"/>
      <c r="BZ12" s="12"/>
      <c r="CA12" s="12"/>
      <c r="CB12" s="12"/>
      <c r="CC12" s="12"/>
      <c r="CG12" s="12"/>
      <c r="CH12" s="12"/>
      <c r="CI12" s="12"/>
      <c r="CJ12" s="12"/>
      <c r="CN12" s="12"/>
      <c r="CO12" s="12"/>
      <c r="CP12" s="12"/>
      <c r="CQ12" s="12"/>
      <c r="CU12" s="12"/>
      <c r="CV12" s="12"/>
      <c r="CW12" s="12"/>
      <c r="CX12" s="12"/>
      <c r="DB12" s="12"/>
      <c r="DC12" s="12"/>
      <c r="DD12" s="12"/>
      <c r="DE12" s="12"/>
    </row>
    <row r="13" spans="2:110" outlineLevel="1" x14ac:dyDescent="0.2">
      <c r="B13" t="s">
        <v>28</v>
      </c>
      <c r="C13" t="s">
        <v>57</v>
      </c>
      <c r="E13" s="11"/>
      <c r="F13" t="s">
        <v>66</v>
      </c>
      <c r="G13" s="12">
        <v>0.13</v>
      </c>
      <c r="I13" s="11">
        <f t="shared" si="1"/>
        <v>0</v>
      </c>
      <c r="J13" s="13">
        <f t="shared" si="0"/>
        <v>0</v>
      </c>
      <c r="K13" s="13">
        <f t="shared" si="0"/>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c r="BU13" s="12"/>
      <c r="BV13" s="12"/>
      <c r="BZ13" s="12"/>
      <c r="CA13" s="12"/>
      <c r="CB13" s="12"/>
      <c r="CC13" s="12"/>
      <c r="CG13" s="12"/>
      <c r="CH13" s="12"/>
      <c r="CI13" s="12"/>
      <c r="CJ13" s="12"/>
      <c r="CN13" s="12"/>
      <c r="CO13" s="12"/>
      <c r="CP13" s="12"/>
      <c r="CQ13" s="12"/>
      <c r="CU13" s="12"/>
      <c r="CV13" s="12"/>
      <c r="CW13" s="12"/>
      <c r="CX13" s="12"/>
      <c r="DB13" s="12"/>
      <c r="DC13" s="12"/>
      <c r="DD13" s="12"/>
      <c r="DE13" s="12"/>
    </row>
    <row r="14" spans="2:110" x14ac:dyDescent="0.2">
      <c r="O14" s="9"/>
      <c r="V14" s="9"/>
      <c r="AC14" s="9"/>
      <c r="AJ14" s="9"/>
      <c r="AQ14" s="9"/>
      <c r="AX14" s="9"/>
      <c r="BE14" s="9"/>
      <c r="BL14" s="9"/>
      <c r="BS14" s="9"/>
      <c r="BZ14" s="9"/>
      <c r="CG14" s="9"/>
      <c r="CN14" s="9"/>
      <c r="CU14" s="9"/>
      <c r="DB14" s="9"/>
    </row>
    <row r="15" spans="2:110" x14ac:dyDescent="0.2">
      <c r="B15" t="s">
        <v>27</v>
      </c>
      <c r="C15" t="s">
        <v>67</v>
      </c>
      <c r="D15">
        <f>12/48*14.4</f>
        <v>3.6</v>
      </c>
      <c r="E15" s="11">
        <v>6</v>
      </c>
      <c r="G15" s="12">
        <f>+SUM(G16:G27)</f>
        <v>0.99996000000000007</v>
      </c>
      <c r="I15" s="14">
        <f>+SUM(I16:I21)</f>
        <v>4.5</v>
      </c>
      <c r="J15" s="13">
        <f>+SUMPRODUCT(G16:G21,J16:J21)</f>
        <v>8.3330000000000001E-2</v>
      </c>
      <c r="K15" s="13">
        <f>+SUMPRODUCT(G16:G21,K16:K21)</f>
        <v>6.6664000000000001E-2</v>
      </c>
      <c r="L15" s="11"/>
      <c r="N15" s="14">
        <f>+SUM(N16:N21)</f>
        <v>3</v>
      </c>
      <c r="U15" s="14">
        <f>+SUM(U16:U21)</f>
        <v>1.5</v>
      </c>
      <c r="AB15" s="14">
        <f>+SUM(AB16:AB21)</f>
        <v>0</v>
      </c>
      <c r="AI15" s="14">
        <f>+SUM(AI16:AI21)</f>
        <v>0</v>
      </c>
      <c r="AP15" s="14">
        <f>+SUM(AP16:AP21)</f>
        <v>0</v>
      </c>
      <c r="AW15" s="14">
        <f>+SUM(AW16:AW21)</f>
        <v>0</v>
      </c>
      <c r="BD15" s="14">
        <f>+SUM(BD16:BD21)</f>
        <v>0</v>
      </c>
      <c r="BK15" s="14">
        <f>+SUM(BK16:BK21)</f>
        <v>0</v>
      </c>
      <c r="BR15" s="14">
        <f>+SUM(BR16:BR21)</f>
        <v>0</v>
      </c>
      <c r="BY15" s="14">
        <f>+SUM(BY16:BY21)</f>
        <v>0</v>
      </c>
      <c r="CF15" s="14">
        <f>+SUM(CF16:CF21)</f>
        <v>0</v>
      </c>
      <c r="CM15" s="14">
        <f>+SUM(CM16:CM21)</f>
        <v>0</v>
      </c>
      <c r="CT15" s="14">
        <f>+SUM(CT16:CT21)</f>
        <v>0</v>
      </c>
      <c r="DA15" s="14">
        <f>+SUM(DA16:DA21)</f>
        <v>0</v>
      </c>
    </row>
    <row r="16" spans="2:110" outlineLevel="1" x14ac:dyDescent="0.2">
      <c r="B16" t="s">
        <v>28</v>
      </c>
      <c r="C16" t="s">
        <v>67</v>
      </c>
      <c r="E16" s="11"/>
      <c r="F16" t="s">
        <v>68</v>
      </c>
      <c r="G16" s="19">
        <v>8.3330000000000001E-2</v>
      </c>
      <c r="I16" s="11">
        <f t="shared" ref="I16:I27" si="2">+SUMIF($N$3:$ZZ$3,I$3,$N16:$ZZ16)</f>
        <v>3</v>
      </c>
      <c r="J16" s="13">
        <f t="shared" ref="J16:K27" si="3">+_xlfn.MAXIFS($N16:$ZF16,$N$3:$ZF$3,J$3)</f>
        <v>0.5</v>
      </c>
      <c r="K16" s="13">
        <f t="shared" si="3"/>
        <v>0.8</v>
      </c>
      <c r="L16" s="11"/>
      <c r="N16">
        <v>3</v>
      </c>
      <c r="O16" s="12">
        <v>0.5</v>
      </c>
      <c r="P16" s="12">
        <v>0.5</v>
      </c>
      <c r="Q16" s="12"/>
      <c r="R16" s="12"/>
      <c r="U16">
        <v>0</v>
      </c>
      <c r="V16" s="12">
        <v>0.5</v>
      </c>
      <c r="W16" s="12">
        <v>0.5</v>
      </c>
      <c r="X16" s="12">
        <v>0.8</v>
      </c>
      <c r="Y16" s="12">
        <v>0.8</v>
      </c>
      <c r="AC16" s="12"/>
      <c r="AD16" s="12">
        <v>0.8</v>
      </c>
      <c r="AE16" s="12"/>
      <c r="AF16" s="12">
        <v>0.8</v>
      </c>
      <c r="AJ16" s="12"/>
      <c r="AK16" s="12">
        <v>1</v>
      </c>
      <c r="AL16" s="12"/>
      <c r="AM16" s="12">
        <v>1</v>
      </c>
      <c r="AQ16" s="12"/>
      <c r="AR16" s="12"/>
      <c r="AS16" s="12"/>
      <c r="AT16" s="12"/>
      <c r="AX16" s="12"/>
      <c r="AY16" s="12"/>
      <c r="AZ16" s="12"/>
      <c r="BA16" s="12"/>
      <c r="BE16" s="12"/>
      <c r="BF16" s="12"/>
      <c r="BG16" s="12"/>
      <c r="BH16" s="12"/>
      <c r="BL16" s="12"/>
      <c r="BM16" s="12"/>
      <c r="BN16" s="12"/>
      <c r="BO16" s="12"/>
      <c r="BS16" s="12"/>
      <c r="BT16" s="12"/>
      <c r="BU16" s="12"/>
      <c r="BV16" s="12"/>
      <c r="BZ16" s="12"/>
      <c r="CA16" s="12"/>
      <c r="CB16" s="12"/>
      <c r="CC16" s="12"/>
      <c r="CG16" s="12"/>
      <c r="CH16" s="12"/>
      <c r="CI16" s="12"/>
      <c r="CJ16" s="12"/>
      <c r="CN16" s="12"/>
      <c r="CO16" s="12"/>
      <c r="CP16" s="12"/>
      <c r="CQ16" s="12"/>
      <c r="CU16" s="12"/>
      <c r="CV16" s="12"/>
      <c r="CW16" s="12"/>
      <c r="CX16" s="12"/>
      <c r="DB16" s="12"/>
      <c r="DC16" s="12"/>
      <c r="DD16" s="12"/>
      <c r="DE16" s="12"/>
    </row>
    <row r="17" spans="2:109" outlineLevel="1" x14ac:dyDescent="0.2">
      <c r="B17" t="s">
        <v>28</v>
      </c>
      <c r="C17" t="s">
        <v>67</v>
      </c>
      <c r="E17" s="11"/>
      <c r="F17" t="s">
        <v>69</v>
      </c>
      <c r="G17" s="19">
        <v>8.3330000000000001E-2</v>
      </c>
      <c r="I17" s="11">
        <f t="shared" si="2"/>
        <v>1.5</v>
      </c>
      <c r="J17" s="13">
        <f>+_xlfn.MAXIFS($N17:$ZF17,$N$3:$ZF$3,J$3)</f>
        <v>0.5</v>
      </c>
      <c r="K17" s="13">
        <f t="shared" si="3"/>
        <v>0</v>
      </c>
      <c r="L17" s="11"/>
      <c r="O17" s="12"/>
      <c r="P17" s="12"/>
      <c r="Q17" s="12"/>
      <c r="R17" s="12"/>
      <c r="U17">
        <v>1.5</v>
      </c>
      <c r="V17" s="12">
        <v>0.5</v>
      </c>
      <c r="W17" s="12">
        <v>0.5</v>
      </c>
      <c r="X17" s="12"/>
      <c r="Y17" s="12"/>
      <c r="AC17" s="12"/>
      <c r="AD17" s="12">
        <v>0.8</v>
      </c>
      <c r="AE17" s="12"/>
      <c r="AF17" s="12">
        <v>0.8</v>
      </c>
      <c r="AJ17" s="12"/>
      <c r="AK17" s="12">
        <v>1</v>
      </c>
      <c r="AL17" s="12"/>
      <c r="AM17" s="12">
        <v>0.8</v>
      </c>
      <c r="AQ17" s="12"/>
      <c r="AR17" s="12"/>
      <c r="AS17" s="12"/>
      <c r="AT17" s="12"/>
      <c r="AX17" s="12"/>
      <c r="AY17" s="12"/>
      <c r="AZ17" s="12"/>
      <c r="BA17" s="12"/>
      <c r="BE17" s="12"/>
      <c r="BF17" s="12"/>
      <c r="BG17" s="12"/>
      <c r="BH17" s="12"/>
      <c r="BL17" s="12"/>
      <c r="BM17" s="12"/>
      <c r="BN17" s="12"/>
      <c r="BO17" s="12"/>
      <c r="BS17" s="12"/>
      <c r="BT17" s="12"/>
      <c r="BU17" s="12"/>
      <c r="BV17" s="12"/>
      <c r="BZ17" s="12"/>
      <c r="CA17" s="12"/>
      <c r="CB17" s="12"/>
      <c r="CC17" s="12"/>
      <c r="CG17" s="12"/>
      <c r="CH17" s="12"/>
      <c r="CI17" s="12"/>
      <c r="CJ17" s="12"/>
      <c r="CN17" s="12"/>
      <c r="CO17" s="12"/>
      <c r="CP17" s="12"/>
      <c r="CQ17" s="12"/>
      <c r="CU17" s="12"/>
      <c r="CV17" s="12"/>
      <c r="CW17" s="12"/>
      <c r="CX17" s="12"/>
      <c r="DB17" s="12"/>
      <c r="DC17" s="12"/>
      <c r="DD17" s="12"/>
      <c r="DE17" s="12"/>
    </row>
    <row r="18" spans="2:109" outlineLevel="1" x14ac:dyDescent="0.2">
      <c r="B18" t="s">
        <v>28</v>
      </c>
      <c r="C18" t="s">
        <v>67</v>
      </c>
      <c r="E18" s="11"/>
      <c r="F18" t="s">
        <v>70</v>
      </c>
      <c r="G18" s="19">
        <v>8.3330000000000001E-2</v>
      </c>
      <c r="I18" s="11">
        <f t="shared" si="2"/>
        <v>0</v>
      </c>
      <c r="J18" s="13">
        <f t="shared" si="3"/>
        <v>0</v>
      </c>
      <c r="K18" s="13">
        <f t="shared" si="3"/>
        <v>0</v>
      </c>
      <c r="L18" s="11"/>
      <c r="O18" s="12"/>
      <c r="P18" s="12"/>
      <c r="Q18" s="12"/>
      <c r="R18" s="12"/>
      <c r="V18" s="12"/>
      <c r="W18" s="12"/>
      <c r="X18" s="12"/>
      <c r="Y18" s="12"/>
      <c r="AC18" s="12"/>
      <c r="AD18" s="12">
        <v>0.8</v>
      </c>
      <c r="AE18" s="12"/>
      <c r="AF18" s="12"/>
      <c r="AJ18" s="12"/>
      <c r="AK18" s="12">
        <v>0.8</v>
      </c>
      <c r="AL18" s="12"/>
      <c r="AM18" s="12">
        <v>0.8</v>
      </c>
      <c r="AQ18" s="12"/>
      <c r="AR18" s="12"/>
      <c r="AS18" s="12"/>
      <c r="AT18" s="12"/>
      <c r="AX18" s="12"/>
      <c r="AY18" s="12"/>
      <c r="AZ18" s="12"/>
      <c r="BA18" s="12"/>
      <c r="BE18" s="12"/>
      <c r="BF18" s="12"/>
      <c r="BG18" s="12"/>
      <c r="BH18" s="12"/>
      <c r="BL18" s="12"/>
      <c r="BM18" s="12"/>
      <c r="BN18" s="12"/>
      <c r="BO18" s="12"/>
      <c r="BS18" s="12"/>
      <c r="BT18" s="12"/>
      <c r="BU18" s="12"/>
      <c r="BV18" s="12"/>
      <c r="BZ18" s="12"/>
      <c r="CA18" s="12"/>
      <c r="CB18" s="12"/>
      <c r="CC18" s="12"/>
      <c r="CG18" s="12"/>
      <c r="CH18" s="12"/>
      <c r="CI18" s="12"/>
      <c r="CJ18" s="12"/>
      <c r="CN18" s="12"/>
      <c r="CO18" s="12"/>
      <c r="CP18" s="12"/>
      <c r="CQ18" s="12"/>
      <c r="CU18" s="12"/>
      <c r="CV18" s="12"/>
      <c r="CW18" s="12"/>
      <c r="CX18" s="12"/>
      <c r="DB18" s="12"/>
      <c r="DC18" s="12"/>
      <c r="DD18" s="12"/>
      <c r="DE18" s="12"/>
    </row>
    <row r="19" spans="2:109" outlineLevel="1" x14ac:dyDescent="0.2">
      <c r="B19" t="s">
        <v>28</v>
      </c>
      <c r="C19" t="s">
        <v>67</v>
      </c>
      <c r="E19" s="11"/>
      <c r="F19" t="s">
        <v>71</v>
      </c>
      <c r="G19" s="19">
        <v>8.3330000000000001E-2</v>
      </c>
      <c r="I19" s="11">
        <f t="shared" si="2"/>
        <v>0</v>
      </c>
      <c r="J19" s="13">
        <f t="shared" si="3"/>
        <v>0</v>
      </c>
      <c r="K19" s="13">
        <f t="shared" si="3"/>
        <v>0</v>
      </c>
      <c r="L19" s="11"/>
      <c r="O19" s="12"/>
      <c r="P19" s="12"/>
      <c r="Q19" s="12"/>
      <c r="R19" s="12"/>
      <c r="V19" s="12"/>
      <c r="W19" s="12"/>
      <c r="X19" s="12"/>
      <c r="Y19" s="12"/>
      <c r="AC19" s="12"/>
      <c r="AD19" s="12"/>
      <c r="AE19" s="12"/>
      <c r="AF19" s="12"/>
      <c r="AJ19" s="12"/>
      <c r="AK19" s="12">
        <v>0.8</v>
      </c>
      <c r="AL19" s="12"/>
      <c r="AM19" s="12"/>
      <c r="AQ19" s="12"/>
      <c r="AR19" s="12"/>
      <c r="AS19" s="12"/>
      <c r="AT19" s="12"/>
      <c r="AX19" s="12"/>
      <c r="AY19" s="12"/>
      <c r="AZ19" s="12"/>
      <c r="BA19" s="12"/>
      <c r="BE19" s="12"/>
      <c r="BF19" s="12"/>
      <c r="BG19" s="12"/>
      <c r="BH19" s="12"/>
      <c r="BL19" s="12"/>
      <c r="BM19" s="12"/>
      <c r="BN19" s="12"/>
      <c r="BO19" s="12"/>
      <c r="BS19" s="12"/>
      <c r="BT19" s="12"/>
      <c r="BU19" s="12"/>
      <c r="BV19" s="12"/>
      <c r="BZ19" s="12"/>
      <c r="CA19" s="12"/>
      <c r="CB19" s="12"/>
      <c r="CC19" s="12"/>
      <c r="CG19" s="12"/>
      <c r="CH19" s="12"/>
      <c r="CI19" s="12"/>
      <c r="CJ19" s="12"/>
      <c r="CN19" s="12"/>
      <c r="CO19" s="12"/>
      <c r="CP19" s="12"/>
      <c r="CQ19" s="12"/>
      <c r="CU19" s="12"/>
      <c r="CV19" s="12"/>
      <c r="CW19" s="12"/>
      <c r="CX19" s="12"/>
      <c r="DB19" s="12"/>
      <c r="DC19" s="12"/>
      <c r="DD19" s="12"/>
      <c r="DE19" s="12"/>
    </row>
    <row r="20" spans="2:109" outlineLevel="1" x14ac:dyDescent="0.2">
      <c r="B20" t="s">
        <v>28</v>
      </c>
      <c r="C20" t="s">
        <v>67</v>
      </c>
      <c r="E20" s="11"/>
      <c r="F20" t="s">
        <v>72</v>
      </c>
      <c r="G20" s="19">
        <v>8.3330000000000001E-2</v>
      </c>
      <c r="I20" s="11">
        <f t="shared" si="2"/>
        <v>0</v>
      </c>
      <c r="J20" s="13">
        <f t="shared" si="3"/>
        <v>0</v>
      </c>
      <c r="K20" s="13">
        <f t="shared" si="3"/>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12"/>
      <c r="CA20" s="12"/>
      <c r="CB20" s="12"/>
      <c r="CC20" s="12"/>
      <c r="CG20" s="12"/>
      <c r="CH20" s="12"/>
      <c r="CI20" s="12"/>
      <c r="CJ20" s="12"/>
      <c r="CN20" s="12"/>
      <c r="CO20" s="12"/>
      <c r="CP20" s="12"/>
      <c r="CQ20" s="12"/>
      <c r="CU20" s="12"/>
      <c r="CV20" s="12"/>
      <c r="CW20" s="12"/>
      <c r="CX20" s="12"/>
      <c r="DB20" s="12"/>
      <c r="DC20" s="12"/>
      <c r="DD20" s="12"/>
      <c r="DE20" s="12"/>
    </row>
    <row r="21" spans="2:109" outlineLevel="1" x14ac:dyDescent="0.2">
      <c r="B21" t="s">
        <v>28</v>
      </c>
      <c r="C21" t="s">
        <v>67</v>
      </c>
      <c r="E21" s="11"/>
      <c r="F21" t="s">
        <v>73</v>
      </c>
      <c r="G21" s="19">
        <v>8.3330000000000001E-2</v>
      </c>
      <c r="I21" s="11">
        <f t="shared" si="2"/>
        <v>0</v>
      </c>
      <c r="J21" s="13">
        <f t="shared" si="3"/>
        <v>0</v>
      </c>
      <c r="K21" s="13">
        <f t="shared" si="3"/>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c r="BU21" s="12"/>
      <c r="BV21" s="12"/>
      <c r="BZ21" s="12"/>
      <c r="CA21" s="12"/>
      <c r="CB21" s="12"/>
      <c r="CC21" s="12"/>
      <c r="CG21" s="12"/>
      <c r="CH21" s="12"/>
      <c r="CI21" s="12"/>
      <c r="CJ21" s="12"/>
      <c r="CN21" s="12"/>
      <c r="CO21" s="12"/>
      <c r="CP21" s="12"/>
      <c r="CQ21" s="12"/>
      <c r="CU21" s="12"/>
      <c r="CV21" s="12"/>
      <c r="CW21" s="12"/>
      <c r="CX21" s="12"/>
      <c r="DB21" s="12"/>
      <c r="DC21" s="12"/>
      <c r="DD21" s="12"/>
      <c r="DE21" s="12"/>
    </row>
    <row r="22" spans="2:109" outlineLevel="1" x14ac:dyDescent="0.2">
      <c r="B22" t="s">
        <v>28</v>
      </c>
      <c r="C22" t="s">
        <v>67</v>
      </c>
      <c r="E22" s="11"/>
      <c r="F22" t="s">
        <v>74</v>
      </c>
      <c r="G22" s="19">
        <v>8.3330000000000001E-2</v>
      </c>
      <c r="I22" s="11">
        <f t="shared" si="2"/>
        <v>0</v>
      </c>
      <c r="J22" s="13">
        <f t="shared" si="3"/>
        <v>0</v>
      </c>
      <c r="K22" s="13">
        <f t="shared" si="3"/>
        <v>0</v>
      </c>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row>
    <row r="23" spans="2:109" outlineLevel="1" x14ac:dyDescent="0.2">
      <c r="B23" t="s">
        <v>28</v>
      </c>
      <c r="C23" t="s">
        <v>67</v>
      </c>
      <c r="E23" s="11"/>
      <c r="F23" t="s">
        <v>75</v>
      </c>
      <c r="G23" s="19">
        <v>8.3330000000000001E-2</v>
      </c>
      <c r="I23" s="11">
        <f t="shared" si="2"/>
        <v>0</v>
      </c>
      <c r="J23" s="13">
        <f t="shared" si="3"/>
        <v>0</v>
      </c>
      <c r="K23" s="13">
        <f t="shared" si="3"/>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row>
    <row r="24" spans="2:109" outlineLevel="1" x14ac:dyDescent="0.2">
      <c r="B24" t="s">
        <v>28</v>
      </c>
      <c r="C24" t="s">
        <v>67</v>
      </c>
      <c r="E24" s="11"/>
      <c r="F24" t="s">
        <v>76</v>
      </c>
      <c r="G24" s="19">
        <v>8.3330000000000001E-2</v>
      </c>
      <c r="I24" s="11">
        <f t="shared" si="2"/>
        <v>0</v>
      </c>
      <c r="J24" s="13">
        <f t="shared" si="3"/>
        <v>0</v>
      </c>
      <c r="K24" s="13">
        <f t="shared" si="3"/>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row>
    <row r="25" spans="2:109" outlineLevel="1" x14ac:dyDescent="0.2">
      <c r="B25" t="s">
        <v>28</v>
      </c>
      <c r="C25" t="s">
        <v>67</v>
      </c>
      <c r="E25" s="11"/>
      <c r="F25" t="s">
        <v>77</v>
      </c>
      <c r="G25" s="19">
        <v>8.3330000000000001E-2</v>
      </c>
      <c r="I25" s="11">
        <f t="shared" si="2"/>
        <v>0</v>
      </c>
      <c r="J25" s="13">
        <f t="shared" si="3"/>
        <v>0</v>
      </c>
      <c r="K25" s="13">
        <f t="shared" si="3"/>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c r="BG25" s="12"/>
      <c r="BH25" s="12"/>
      <c r="BL25" s="12"/>
      <c r="BM25" s="12"/>
      <c r="BN25" s="12"/>
      <c r="BO25" s="12"/>
      <c r="BS25" s="12"/>
      <c r="BT25" s="12"/>
      <c r="BU25" s="12"/>
      <c r="BV25" s="12"/>
      <c r="BZ25" s="12"/>
      <c r="CA25" s="12"/>
      <c r="CB25" s="12"/>
      <c r="CC25" s="12"/>
      <c r="CG25" s="12"/>
      <c r="CH25" s="12"/>
      <c r="CI25" s="12"/>
      <c r="CJ25" s="12"/>
      <c r="CN25" s="12"/>
      <c r="CO25" s="12"/>
      <c r="CP25" s="12"/>
      <c r="CQ25" s="12"/>
      <c r="CU25" s="12"/>
      <c r="CV25" s="12"/>
      <c r="CW25" s="12"/>
      <c r="CX25" s="12"/>
      <c r="DB25" s="12"/>
      <c r="DC25" s="12"/>
      <c r="DD25" s="12"/>
      <c r="DE25" s="12"/>
    </row>
    <row r="26" spans="2:109" outlineLevel="1" x14ac:dyDescent="0.2">
      <c r="B26" t="s">
        <v>28</v>
      </c>
      <c r="C26" t="s">
        <v>67</v>
      </c>
      <c r="E26" s="11"/>
      <c r="F26" t="s">
        <v>78</v>
      </c>
      <c r="G26" s="19">
        <v>8.3330000000000001E-2</v>
      </c>
      <c r="I26" s="11">
        <f t="shared" si="2"/>
        <v>0</v>
      </c>
      <c r="J26" s="13">
        <f t="shared" si="3"/>
        <v>0</v>
      </c>
      <c r="K26" s="13">
        <f t="shared" si="3"/>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row>
    <row r="27" spans="2:109" outlineLevel="1" x14ac:dyDescent="0.2">
      <c r="B27" t="s">
        <v>28</v>
      </c>
      <c r="C27" t="s">
        <v>67</v>
      </c>
      <c r="E27" s="11"/>
      <c r="F27" t="s">
        <v>79</v>
      </c>
      <c r="G27" s="19">
        <v>8.3330000000000001E-2</v>
      </c>
      <c r="I27" s="11">
        <f t="shared" si="2"/>
        <v>0</v>
      </c>
      <c r="J27" s="13">
        <f t="shared" si="3"/>
        <v>0</v>
      </c>
      <c r="K27" s="13">
        <f t="shared" si="3"/>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c r="CN27" s="12"/>
      <c r="CO27" s="12"/>
      <c r="CP27" s="12"/>
      <c r="CQ27" s="12"/>
      <c r="CU27" s="12"/>
      <c r="CV27" s="12"/>
      <c r="CW27" s="12"/>
      <c r="CX27" s="12"/>
      <c r="DB27" s="12"/>
      <c r="DC27" s="12"/>
      <c r="DD27" s="12"/>
      <c r="DE27" s="12"/>
    </row>
    <row r="29" spans="2:109" x14ac:dyDescent="0.2">
      <c r="B29" t="s">
        <v>27</v>
      </c>
      <c r="C29" t="s">
        <v>80</v>
      </c>
      <c r="D29">
        <f>6/48*14.4</f>
        <v>1.8</v>
      </c>
      <c r="E29" s="11">
        <v>4</v>
      </c>
      <c r="G29" s="12">
        <f>+SUM(G30:G35)</f>
        <v>0.99996000000000007</v>
      </c>
      <c r="I29" s="14">
        <v>0</v>
      </c>
      <c r="J29" s="13">
        <f>+SUMPRODUCT(G30:G35,J30:J35)</f>
        <v>8.3330000000000001E-2</v>
      </c>
      <c r="K29" s="13">
        <f>+SUMPRODUCT(G30:G35,K30:K35)</f>
        <v>0</v>
      </c>
      <c r="L29" s="11"/>
      <c r="N29" s="14">
        <f>+SUM(N30:N35)</f>
        <v>3</v>
      </c>
      <c r="U29" s="14">
        <f>+SUM(U30:U35)</f>
        <v>0</v>
      </c>
      <c r="AB29" s="14">
        <f>+SUM(AB30:AB35)</f>
        <v>0</v>
      </c>
      <c r="AI29" s="14">
        <f>+SUM(AI30:AI35)</f>
        <v>0</v>
      </c>
      <c r="AP29" s="14">
        <f>+SUM(AP30:AP35)</f>
        <v>0</v>
      </c>
      <c r="AW29" s="14">
        <f>+SUM(AW30:AW35)</f>
        <v>0</v>
      </c>
      <c r="BD29" s="14">
        <f>+SUM(BD30:BD35)</f>
        <v>0</v>
      </c>
      <c r="BK29" s="14">
        <f>+SUM(BK30:BK35)</f>
        <v>0</v>
      </c>
      <c r="BR29" s="14">
        <f>+SUM(BR30:BR35)</f>
        <v>0</v>
      </c>
      <c r="BY29" s="14">
        <f>+SUM(BY30:BY35)</f>
        <v>0</v>
      </c>
      <c r="CF29" s="14">
        <f>+SUM(CF30:CF35)</f>
        <v>0</v>
      </c>
      <c r="CM29" s="14">
        <f>+SUM(CM30:CM35)</f>
        <v>0</v>
      </c>
      <c r="CT29" s="14">
        <f>+SUM(CT30:CT35)</f>
        <v>0</v>
      </c>
      <c r="DA29" s="14">
        <f>+SUM(DA30:DA35)</f>
        <v>0</v>
      </c>
    </row>
    <row r="30" spans="2:109" outlineLevel="1" x14ac:dyDescent="0.2">
      <c r="B30" t="s">
        <v>28</v>
      </c>
      <c r="C30" t="s">
        <v>80</v>
      </c>
      <c r="E30" s="11"/>
      <c r="F30" t="s">
        <v>30</v>
      </c>
      <c r="G30" s="19">
        <v>0.16666</v>
      </c>
      <c r="I30" s="14">
        <v>0</v>
      </c>
      <c r="J30" s="13">
        <f t="shared" ref="J30:K35" si="4">+_xlfn.MAXIFS($N30:$ZF30,$N$3:$ZF$3,J$3)</f>
        <v>0.5</v>
      </c>
      <c r="K30" s="13">
        <f t="shared" si="4"/>
        <v>0</v>
      </c>
      <c r="L30" s="11"/>
      <c r="N30">
        <v>3</v>
      </c>
      <c r="O30" s="12">
        <v>0.5</v>
      </c>
      <c r="P30" s="12">
        <v>0.5</v>
      </c>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c r="CW30" s="12"/>
      <c r="CX30" s="12"/>
      <c r="DB30" s="12"/>
      <c r="DC30" s="12"/>
      <c r="DD30" s="12"/>
      <c r="DE30" s="12"/>
    </row>
    <row r="31" spans="2:109" outlineLevel="1" x14ac:dyDescent="0.2">
      <c r="B31" t="s">
        <v>28</v>
      </c>
      <c r="C31" t="s">
        <v>80</v>
      </c>
      <c r="E31" s="11"/>
      <c r="F31" t="s">
        <v>81</v>
      </c>
      <c r="G31" s="19">
        <v>0.16666</v>
      </c>
      <c r="I31" s="14">
        <v>0</v>
      </c>
      <c r="J31" s="13">
        <f t="shared" si="4"/>
        <v>0</v>
      </c>
      <c r="K31" s="13">
        <f t="shared" si="4"/>
        <v>0</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c r="CP31" s="12"/>
      <c r="CQ31" s="12"/>
      <c r="CU31" s="12"/>
      <c r="CV31" s="12"/>
      <c r="CW31" s="12"/>
      <c r="CX31" s="12"/>
      <c r="DB31" s="12"/>
      <c r="DC31" s="12"/>
      <c r="DD31" s="12"/>
      <c r="DE31" s="12"/>
    </row>
    <row r="32" spans="2:109" outlineLevel="1" x14ac:dyDescent="0.2">
      <c r="B32" t="s">
        <v>28</v>
      </c>
      <c r="C32" t="s">
        <v>80</v>
      </c>
      <c r="E32" s="11"/>
      <c r="F32" t="s">
        <v>82</v>
      </c>
      <c r="G32" s="19">
        <v>0.16666</v>
      </c>
      <c r="I32" s="14">
        <v>0</v>
      </c>
      <c r="J32" s="13">
        <f t="shared" si="4"/>
        <v>0</v>
      </c>
      <c r="K32" s="13">
        <f t="shared" si="4"/>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c r="CB32" s="12"/>
      <c r="CC32" s="12"/>
      <c r="CG32" s="12"/>
      <c r="CH32" s="12"/>
      <c r="CI32" s="12"/>
      <c r="CJ32" s="12"/>
      <c r="CN32" s="12"/>
      <c r="CO32" s="12"/>
      <c r="CP32" s="12"/>
      <c r="CQ32" s="12"/>
      <c r="CU32" s="12"/>
      <c r="CV32" s="12"/>
      <c r="CW32" s="12"/>
      <c r="CX32" s="12"/>
      <c r="DB32" s="12"/>
      <c r="DC32" s="12"/>
      <c r="DD32" s="12"/>
      <c r="DE32" s="12"/>
    </row>
    <row r="33" spans="2:109" outlineLevel="1" x14ac:dyDescent="0.2">
      <c r="B33" t="s">
        <v>28</v>
      </c>
      <c r="C33" t="s">
        <v>80</v>
      </c>
      <c r="E33" s="11"/>
      <c r="F33" t="s">
        <v>83</v>
      </c>
      <c r="G33" s="19">
        <v>0.16666</v>
      </c>
      <c r="I33" s="14">
        <v>0</v>
      </c>
      <c r="J33" s="13">
        <f t="shared" si="4"/>
        <v>0</v>
      </c>
      <c r="K33" s="13">
        <f t="shared" si="4"/>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12"/>
      <c r="CI33" s="12"/>
      <c r="CJ33" s="12"/>
      <c r="CN33" s="12"/>
      <c r="CO33" s="12"/>
      <c r="CP33" s="12"/>
      <c r="CQ33" s="12"/>
      <c r="CU33" s="12"/>
      <c r="CV33" s="12"/>
      <c r="CW33" s="12"/>
      <c r="CX33" s="12"/>
      <c r="DB33" s="12"/>
      <c r="DC33" s="12"/>
      <c r="DD33" s="12"/>
      <c r="DE33" s="12"/>
    </row>
    <row r="34" spans="2:109" outlineLevel="1" x14ac:dyDescent="0.2">
      <c r="B34" t="s">
        <v>28</v>
      </c>
      <c r="C34" t="s">
        <v>80</v>
      </c>
      <c r="E34" s="11"/>
      <c r="F34" t="s">
        <v>84</v>
      </c>
      <c r="G34" s="19">
        <v>0.16666</v>
      </c>
      <c r="I34" s="14">
        <v>0</v>
      </c>
      <c r="J34" s="13">
        <f t="shared" si="4"/>
        <v>0</v>
      </c>
      <c r="K34" s="13">
        <f t="shared" si="4"/>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c r="CP34" s="12"/>
      <c r="CQ34" s="12"/>
      <c r="CU34" s="12"/>
      <c r="CV34" s="12"/>
      <c r="CW34" s="12"/>
      <c r="CX34" s="12"/>
      <c r="DB34" s="12"/>
      <c r="DC34" s="12"/>
      <c r="DD34" s="12"/>
      <c r="DE34" s="12"/>
    </row>
    <row r="35" spans="2:109" outlineLevel="1" x14ac:dyDescent="0.2">
      <c r="B35" t="s">
        <v>28</v>
      </c>
      <c r="C35" t="s">
        <v>80</v>
      </c>
      <c r="E35" s="11"/>
      <c r="F35" t="s">
        <v>85</v>
      </c>
      <c r="G35" s="19">
        <v>0.16666</v>
      </c>
      <c r="I35" s="14">
        <v>0</v>
      </c>
      <c r="J35" s="13">
        <f t="shared" si="4"/>
        <v>0</v>
      </c>
      <c r="K35" s="13">
        <f t="shared" si="4"/>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row>
    <row r="37" spans="2:109" x14ac:dyDescent="0.2">
      <c r="B37" t="s">
        <v>27</v>
      </c>
      <c r="C37" t="s">
        <v>86</v>
      </c>
      <c r="D37">
        <f>9/48*14.4</f>
        <v>2.7</v>
      </c>
      <c r="E37" s="11">
        <v>4</v>
      </c>
      <c r="G37" s="12">
        <f>+SUM(G38:G46)</f>
        <v>0.99999999999999989</v>
      </c>
      <c r="I37" s="14">
        <f>+SUM(I38:I43)</f>
        <v>8</v>
      </c>
      <c r="J37" s="13">
        <f>+SUMPRODUCT(G38:G43,J38:J43)</f>
        <v>0.05</v>
      </c>
      <c r="K37" s="13">
        <f>+SUMPRODUCT(G38:G43,K38:K43)</f>
        <v>0.01</v>
      </c>
      <c r="L37" s="11"/>
      <c r="N37" s="14">
        <f>+SUM(N38:N43)</f>
        <v>4</v>
      </c>
      <c r="U37" s="14">
        <f>+SUM(U38:U43)</f>
        <v>4</v>
      </c>
      <c r="AB37" s="14">
        <f>+SUM(AB38:AB43)</f>
        <v>0</v>
      </c>
      <c r="AI37" s="14">
        <f>+SUM(AI38:AI43)</f>
        <v>0</v>
      </c>
      <c r="AP37" s="14">
        <f>+SUM(AP38:AP43)</f>
        <v>0</v>
      </c>
      <c r="AW37" s="14">
        <f>+SUM(AW38:AW43)</f>
        <v>0</v>
      </c>
      <c r="BD37" s="14">
        <f>+SUM(BD38:BD43)</f>
        <v>0</v>
      </c>
      <c r="BK37" s="14">
        <f>+SUM(BK38:BK43)</f>
        <v>0</v>
      </c>
      <c r="BR37" s="14">
        <f>+SUM(BR38:BR43)</f>
        <v>0</v>
      </c>
      <c r="BY37" s="14">
        <f>+SUM(BY38:BY43)</f>
        <v>0</v>
      </c>
      <c r="CF37" s="14">
        <f>+SUM(CF38:CF43)</f>
        <v>0</v>
      </c>
      <c r="CM37" s="14">
        <f>+SUM(CM38:CM43)</f>
        <v>0</v>
      </c>
      <c r="CT37" s="14">
        <f>+SUM(CT38:CT43)</f>
        <v>0</v>
      </c>
      <c r="DA37" s="14">
        <f>+SUM(DA38:DA43)</f>
        <v>0</v>
      </c>
    </row>
    <row r="38" spans="2:109" outlineLevel="1" x14ac:dyDescent="0.2">
      <c r="B38" t="s">
        <v>28</v>
      </c>
      <c r="C38" t="s">
        <v>86</v>
      </c>
      <c r="E38" s="11"/>
      <c r="F38" t="s">
        <v>87</v>
      </c>
      <c r="G38" s="12">
        <v>0.02</v>
      </c>
      <c r="I38" s="11">
        <f t="shared" ref="I38:I46" si="5">+SUMIF($N$3:$ZZ$3,I$3,$N38:$ZZ38)</f>
        <v>4</v>
      </c>
      <c r="J38" s="13">
        <f t="shared" ref="J38:K46" si="6">+_xlfn.MAXIFS($N38:$ZF38,$N$3:$ZF$3,J$3)</f>
        <v>0.5</v>
      </c>
      <c r="K38" s="13">
        <f t="shared" si="6"/>
        <v>0.5</v>
      </c>
      <c r="L38" s="11"/>
      <c r="N38">
        <v>4</v>
      </c>
      <c r="O38" s="12">
        <v>0.5</v>
      </c>
      <c r="P38" s="12">
        <v>0.5</v>
      </c>
      <c r="Q38" s="12"/>
      <c r="R38" s="12"/>
      <c r="V38" s="12">
        <v>0.5</v>
      </c>
      <c r="W38" s="12">
        <v>0.5</v>
      </c>
      <c r="X38" s="12">
        <v>0.5</v>
      </c>
      <c r="Y38" s="12">
        <v>0.5</v>
      </c>
      <c r="AC38" s="12"/>
      <c r="AD38" s="12"/>
      <c r="AE38" s="12"/>
      <c r="AF38" s="12"/>
      <c r="AJ38" s="12"/>
      <c r="AK38" s="12"/>
      <c r="AL38" s="12"/>
      <c r="AM38" s="12"/>
      <c r="AQ38" s="12"/>
      <c r="AR38" s="12"/>
      <c r="AS38" s="12"/>
      <c r="AT38" s="12"/>
      <c r="AX38" s="12"/>
      <c r="AY38" s="12"/>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c r="CU38" s="12"/>
      <c r="CV38" s="12"/>
      <c r="CW38" s="12"/>
      <c r="CX38" s="12"/>
      <c r="DB38" s="12"/>
      <c r="DC38" s="12"/>
      <c r="DD38" s="12"/>
      <c r="DE38" s="12"/>
    </row>
    <row r="39" spans="2:109" outlineLevel="1" x14ac:dyDescent="0.2">
      <c r="B39" t="s">
        <v>28</v>
      </c>
      <c r="C39" t="s">
        <v>86</v>
      </c>
      <c r="E39" s="11"/>
      <c r="F39" t="s">
        <v>88</v>
      </c>
      <c r="G39" s="12">
        <v>0.08</v>
      </c>
      <c r="I39" s="11">
        <f t="shared" si="5"/>
        <v>4</v>
      </c>
      <c r="J39" s="13">
        <f>+_xlfn.MAXIFS($N39:$ZF39,$N$3:$ZF$3,J$3)</f>
        <v>0.5</v>
      </c>
      <c r="K39" s="13">
        <f t="shared" si="6"/>
        <v>0</v>
      </c>
      <c r="L39" s="11"/>
      <c r="O39" s="12"/>
      <c r="P39" s="12"/>
      <c r="Q39" s="12"/>
      <c r="R39" s="12"/>
      <c r="U39">
        <v>4</v>
      </c>
      <c r="V39" s="12">
        <v>0.5</v>
      </c>
      <c r="W39" s="12">
        <v>0.5</v>
      </c>
      <c r="X39" s="12"/>
      <c r="Y39" s="12"/>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row>
    <row r="40" spans="2:109" outlineLevel="1" x14ac:dyDescent="0.2">
      <c r="B40" t="s">
        <v>28</v>
      </c>
      <c r="C40" t="s">
        <v>86</v>
      </c>
      <c r="E40" s="11"/>
      <c r="F40" t="s">
        <v>89</v>
      </c>
      <c r="G40" s="12">
        <v>0.09</v>
      </c>
      <c r="I40" s="11">
        <f t="shared" si="5"/>
        <v>0</v>
      </c>
      <c r="J40" s="13">
        <f t="shared" si="6"/>
        <v>0</v>
      </c>
      <c r="K40" s="13">
        <f t="shared" si="6"/>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c r="CP40" s="12"/>
      <c r="CQ40" s="12"/>
      <c r="CU40" s="12"/>
      <c r="CV40" s="12"/>
      <c r="CW40" s="12"/>
      <c r="CX40" s="12"/>
      <c r="DB40" s="12"/>
      <c r="DC40" s="12"/>
      <c r="DD40" s="12"/>
      <c r="DE40" s="12"/>
    </row>
    <row r="41" spans="2:109" outlineLevel="1" x14ac:dyDescent="0.2">
      <c r="B41" t="s">
        <v>28</v>
      </c>
      <c r="C41" t="s">
        <v>86</v>
      </c>
      <c r="E41" s="11"/>
      <c r="F41" t="s">
        <v>90</v>
      </c>
      <c r="G41" s="12">
        <v>0.28000000000000003</v>
      </c>
      <c r="I41" s="11">
        <f t="shared" si="5"/>
        <v>0</v>
      </c>
      <c r="J41" s="13">
        <f t="shared" si="6"/>
        <v>0</v>
      </c>
      <c r="K41" s="13">
        <f t="shared" si="6"/>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c r="CP41" s="12"/>
      <c r="CQ41" s="12"/>
      <c r="CU41" s="12"/>
      <c r="CV41" s="12"/>
      <c r="CW41" s="12"/>
      <c r="CX41" s="12"/>
      <c r="DB41" s="12"/>
      <c r="DC41" s="12"/>
      <c r="DD41" s="12"/>
      <c r="DE41" s="12"/>
    </row>
    <row r="42" spans="2:109" outlineLevel="1" x14ac:dyDescent="0.2">
      <c r="B42" t="s">
        <v>28</v>
      </c>
      <c r="C42" t="s">
        <v>86</v>
      </c>
      <c r="E42" s="11"/>
      <c r="F42" t="s">
        <v>91</v>
      </c>
      <c r="G42" s="12">
        <v>0.04</v>
      </c>
      <c r="I42" s="11">
        <f t="shared" si="5"/>
        <v>0</v>
      </c>
      <c r="J42" s="13">
        <f t="shared" si="6"/>
        <v>0</v>
      </c>
      <c r="K42" s="13">
        <f t="shared" si="6"/>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c r="CB42" s="12"/>
      <c r="CC42" s="12"/>
      <c r="CG42" s="12"/>
      <c r="CH42" s="12"/>
      <c r="CI42" s="12"/>
      <c r="CJ42" s="12"/>
      <c r="CN42" s="12"/>
      <c r="CO42" s="12"/>
      <c r="CP42" s="12"/>
      <c r="CQ42" s="12"/>
      <c r="CU42" s="12"/>
      <c r="CV42" s="12"/>
      <c r="CW42" s="12"/>
      <c r="CX42" s="12"/>
      <c r="DB42" s="12"/>
      <c r="DC42" s="12"/>
      <c r="DD42" s="12"/>
      <c r="DE42" s="12"/>
    </row>
    <row r="43" spans="2:109" outlineLevel="1" x14ac:dyDescent="0.2">
      <c r="B43" t="s">
        <v>28</v>
      </c>
      <c r="C43" t="s">
        <v>86</v>
      </c>
      <c r="E43" s="11"/>
      <c r="F43" t="s">
        <v>92</v>
      </c>
      <c r="G43" s="12">
        <v>0.1</v>
      </c>
      <c r="I43" s="11">
        <f t="shared" si="5"/>
        <v>0</v>
      </c>
      <c r="J43" s="13">
        <f t="shared" si="6"/>
        <v>0</v>
      </c>
      <c r="K43" s="13">
        <f t="shared" si="6"/>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row>
    <row r="44" spans="2:109" outlineLevel="1" x14ac:dyDescent="0.2">
      <c r="B44" t="s">
        <v>28</v>
      </c>
      <c r="C44" t="s">
        <v>86</v>
      </c>
      <c r="E44" s="11"/>
      <c r="F44" t="s">
        <v>93</v>
      </c>
      <c r="G44" s="12">
        <v>0.21</v>
      </c>
      <c r="I44" s="11">
        <f t="shared" si="5"/>
        <v>0</v>
      </c>
      <c r="J44" s="13">
        <f t="shared" si="6"/>
        <v>0</v>
      </c>
      <c r="K44" s="13">
        <f t="shared" si="6"/>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row>
    <row r="45" spans="2:109" outlineLevel="1" x14ac:dyDescent="0.2">
      <c r="B45" t="s">
        <v>28</v>
      </c>
      <c r="C45" t="s">
        <v>86</v>
      </c>
      <c r="E45" s="11"/>
      <c r="F45" t="s">
        <v>94</v>
      </c>
      <c r="G45" s="12">
        <v>0.09</v>
      </c>
      <c r="I45" s="11">
        <f t="shared" si="5"/>
        <v>0</v>
      </c>
      <c r="J45" s="13">
        <f t="shared" si="6"/>
        <v>0</v>
      </c>
      <c r="K45" s="13">
        <f t="shared" si="6"/>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row>
    <row r="46" spans="2:109" outlineLevel="1" x14ac:dyDescent="0.2">
      <c r="B46" t="s">
        <v>28</v>
      </c>
      <c r="C46" t="s">
        <v>86</v>
      </c>
      <c r="E46" s="11"/>
      <c r="F46" t="s">
        <v>95</v>
      </c>
      <c r="G46" s="12">
        <v>0.09</v>
      </c>
      <c r="I46" s="11">
        <f t="shared" si="5"/>
        <v>0</v>
      </c>
      <c r="J46" s="13">
        <f t="shared" si="6"/>
        <v>0</v>
      </c>
      <c r="K46" s="13">
        <f t="shared" si="6"/>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row>
    <row r="48" spans="2:109" x14ac:dyDescent="0.2">
      <c r="B48" t="s">
        <v>27</v>
      </c>
      <c r="C48" t="s">
        <v>96</v>
      </c>
      <c r="D48">
        <f>8/48*14.4</f>
        <v>2.4</v>
      </c>
      <c r="E48" s="11">
        <v>4</v>
      </c>
      <c r="G48" s="12">
        <f>+SUM(G49:G56)</f>
        <v>1</v>
      </c>
      <c r="I48" s="14">
        <f>+SUM(I49:I54)</f>
        <v>6</v>
      </c>
      <c r="J48" s="13">
        <f>+SUMPRODUCT(G49:G54,J49:J54)</f>
        <v>0.19500000000000001</v>
      </c>
      <c r="K48" s="13">
        <f>+SUMPRODUCT(G49:G54,K49:K54)</f>
        <v>0</v>
      </c>
      <c r="L48" s="11"/>
      <c r="N48" s="14">
        <f>+SUM(N49:N54)</f>
        <v>3</v>
      </c>
      <c r="U48" s="14">
        <f>+SUM(U49:U54)</f>
        <v>3</v>
      </c>
      <c r="AB48" s="14">
        <f>+SUM(AB49:AB54)</f>
        <v>0</v>
      </c>
      <c r="AI48" s="14">
        <f>+SUM(AI49:AI54)</f>
        <v>0</v>
      </c>
      <c r="AP48" s="14">
        <f>+SUM(AP49:AP54)</f>
        <v>0</v>
      </c>
      <c r="AW48" s="14">
        <f>+SUM(AW49:AW54)</f>
        <v>0</v>
      </c>
      <c r="BD48" s="14">
        <f>+SUM(BD49:BD54)</f>
        <v>0</v>
      </c>
      <c r="BK48" s="14">
        <f>+SUM(BK49:BK54)</f>
        <v>0</v>
      </c>
      <c r="BR48" s="14">
        <f>+SUM(BR49:BR54)</f>
        <v>0</v>
      </c>
      <c r="BY48" s="14">
        <f>+SUM(BY49:BY54)</f>
        <v>0</v>
      </c>
      <c r="CF48" s="14">
        <f>+SUM(CF49:CF54)</f>
        <v>0</v>
      </c>
      <c r="CM48" s="14">
        <f>+SUM(CM49:CM54)</f>
        <v>0</v>
      </c>
      <c r="CT48" s="14">
        <f>+SUM(CT49:CT54)</f>
        <v>0</v>
      </c>
      <c r="DA48" s="14">
        <f>+SUM(DA49:DA54)</f>
        <v>0</v>
      </c>
    </row>
    <row r="49" spans="2:109" outlineLevel="1" x14ac:dyDescent="0.2">
      <c r="B49" t="s">
        <v>28</v>
      </c>
      <c r="C49" t="s">
        <v>96</v>
      </c>
      <c r="E49" s="11"/>
      <c r="F49" t="s">
        <v>97</v>
      </c>
      <c r="G49" s="12">
        <v>0.14000000000000001</v>
      </c>
      <c r="I49" s="11">
        <f t="shared" ref="I49:I56" si="7">+SUMIF($N$3:$ZZ$3,I$3,$N49:$ZZ49)</f>
        <v>3</v>
      </c>
      <c r="J49" s="13">
        <f t="shared" ref="J49:K56" si="8">+_xlfn.MAXIFS($N49:$ZF49,$N$3:$ZF$3,J$3)</f>
        <v>0.5</v>
      </c>
      <c r="K49" s="13">
        <f t="shared" si="8"/>
        <v>0</v>
      </c>
      <c r="L49" s="11"/>
      <c r="N49">
        <v>3</v>
      </c>
      <c r="O49" s="12">
        <v>0.5</v>
      </c>
      <c r="P49" s="12">
        <v>0.5</v>
      </c>
      <c r="Q49" s="12"/>
      <c r="R49" s="12"/>
      <c r="V49" s="12">
        <v>0.5</v>
      </c>
      <c r="W49" s="12">
        <v>0.5</v>
      </c>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row>
    <row r="50" spans="2:109" outlineLevel="1" x14ac:dyDescent="0.2">
      <c r="B50" t="s">
        <v>28</v>
      </c>
      <c r="C50" t="s">
        <v>96</v>
      </c>
      <c r="E50" s="11"/>
      <c r="F50" t="s">
        <v>98</v>
      </c>
      <c r="G50" s="12">
        <v>0.25</v>
      </c>
      <c r="I50" s="11">
        <f t="shared" si="7"/>
        <v>3</v>
      </c>
      <c r="J50" s="13">
        <f>+_xlfn.MAXIFS($N50:$ZF50,$N$3:$ZF$3,J$3)</f>
        <v>0.5</v>
      </c>
      <c r="K50" s="13">
        <f t="shared" si="8"/>
        <v>0</v>
      </c>
      <c r="L50" s="11"/>
      <c r="O50" s="12"/>
      <c r="P50" s="12"/>
      <c r="Q50" s="12"/>
      <c r="R50" s="12"/>
      <c r="U50">
        <v>3</v>
      </c>
      <c r="V50" s="12">
        <v>0.5</v>
      </c>
      <c r="W50" s="12">
        <v>0.5</v>
      </c>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c r="CI50" s="12"/>
      <c r="CJ50" s="12"/>
      <c r="CN50" s="12"/>
      <c r="CO50" s="12"/>
      <c r="CP50" s="12"/>
      <c r="CQ50" s="12"/>
      <c r="CU50" s="12"/>
      <c r="CV50" s="12"/>
      <c r="CW50" s="12"/>
      <c r="CX50" s="12"/>
      <c r="DB50" s="12"/>
      <c r="DC50" s="12"/>
      <c r="DD50" s="12"/>
      <c r="DE50" s="12"/>
    </row>
    <row r="51" spans="2:109" outlineLevel="1" x14ac:dyDescent="0.2">
      <c r="B51" t="s">
        <v>28</v>
      </c>
      <c r="C51" t="s">
        <v>96</v>
      </c>
      <c r="E51" s="11"/>
      <c r="F51" t="s">
        <v>99</v>
      </c>
      <c r="G51" s="12">
        <v>0.08</v>
      </c>
      <c r="I51" s="11">
        <f t="shared" si="7"/>
        <v>0</v>
      </c>
      <c r="J51" s="13">
        <f t="shared" si="8"/>
        <v>0</v>
      </c>
      <c r="K51" s="13">
        <f t="shared" si="8"/>
        <v>0</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c r="CI51" s="12"/>
      <c r="CJ51" s="12"/>
      <c r="CN51" s="12"/>
      <c r="CO51" s="12"/>
      <c r="CP51" s="12"/>
      <c r="CQ51" s="12"/>
      <c r="CU51" s="12"/>
      <c r="CV51" s="12"/>
      <c r="CW51" s="12"/>
      <c r="CX51" s="12"/>
      <c r="DB51" s="12"/>
      <c r="DC51" s="12"/>
      <c r="DD51" s="12"/>
      <c r="DE51" s="12"/>
    </row>
    <row r="52" spans="2:109" outlineLevel="1" x14ac:dyDescent="0.2">
      <c r="B52" t="s">
        <v>28</v>
      </c>
      <c r="C52" t="s">
        <v>96</v>
      </c>
      <c r="E52" s="11"/>
      <c r="F52" t="s">
        <v>100</v>
      </c>
      <c r="G52" s="12">
        <v>0.13</v>
      </c>
      <c r="I52" s="11">
        <f t="shared" si="7"/>
        <v>0</v>
      </c>
      <c r="J52" s="13">
        <f t="shared" si="8"/>
        <v>0</v>
      </c>
      <c r="K52" s="13">
        <f t="shared" si="8"/>
        <v>0</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c r="CI52" s="12"/>
      <c r="CJ52" s="12"/>
      <c r="CN52" s="12"/>
      <c r="CO52" s="12"/>
      <c r="CP52" s="12"/>
      <c r="CQ52" s="12"/>
      <c r="CU52" s="12"/>
      <c r="CV52" s="12"/>
      <c r="CW52" s="12"/>
      <c r="CX52" s="12"/>
      <c r="DB52" s="12"/>
      <c r="DC52" s="12"/>
      <c r="DD52" s="12"/>
      <c r="DE52" s="12"/>
    </row>
    <row r="53" spans="2:109" outlineLevel="1" x14ac:dyDescent="0.2">
      <c r="B53" t="s">
        <v>28</v>
      </c>
      <c r="C53" t="s">
        <v>96</v>
      </c>
      <c r="E53" s="11"/>
      <c r="F53" t="s">
        <v>101</v>
      </c>
      <c r="G53" s="12">
        <v>0.1</v>
      </c>
      <c r="I53" s="11">
        <f t="shared" si="7"/>
        <v>0</v>
      </c>
      <c r="J53" s="13">
        <f t="shared" si="8"/>
        <v>0</v>
      </c>
      <c r="K53" s="13">
        <f t="shared" si="8"/>
        <v>0</v>
      </c>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c r="BG53" s="12"/>
      <c r="BH53" s="12"/>
      <c r="BL53" s="12"/>
      <c r="BM53" s="12"/>
      <c r="BN53" s="12"/>
      <c r="BO53" s="12"/>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row>
    <row r="54" spans="2:109" outlineLevel="1" x14ac:dyDescent="0.2">
      <c r="B54" t="s">
        <v>28</v>
      </c>
      <c r="C54" t="s">
        <v>96</v>
      </c>
      <c r="E54" s="11"/>
      <c r="F54" t="s">
        <v>102</v>
      </c>
      <c r="G54" s="12">
        <v>0.17</v>
      </c>
      <c r="I54" s="11">
        <f t="shared" si="7"/>
        <v>0</v>
      </c>
      <c r="J54" s="13">
        <f t="shared" si="8"/>
        <v>0</v>
      </c>
      <c r="K54" s="13">
        <f t="shared" si="8"/>
        <v>0</v>
      </c>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L54" s="12"/>
      <c r="BM54" s="12"/>
      <c r="BN54" s="12"/>
      <c r="BO54" s="12"/>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row>
    <row r="55" spans="2:109" outlineLevel="1" x14ac:dyDescent="0.2">
      <c r="B55" t="s">
        <v>28</v>
      </c>
      <c r="C55" t="s">
        <v>96</v>
      </c>
      <c r="E55" s="11"/>
      <c r="F55" t="s">
        <v>103</v>
      </c>
      <c r="G55" s="12">
        <v>0.08</v>
      </c>
      <c r="I55" s="11">
        <f t="shared" si="7"/>
        <v>0</v>
      </c>
      <c r="J55" s="13">
        <f t="shared" si="8"/>
        <v>0</v>
      </c>
      <c r="K55" s="13">
        <f t="shared" si="8"/>
        <v>0</v>
      </c>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row>
    <row r="56" spans="2:109" outlineLevel="1" x14ac:dyDescent="0.2">
      <c r="B56" t="s">
        <v>28</v>
      </c>
      <c r="C56" t="s">
        <v>96</v>
      </c>
      <c r="E56" s="11"/>
      <c r="F56" t="s">
        <v>104</v>
      </c>
      <c r="G56" s="12">
        <v>0.05</v>
      </c>
      <c r="I56" s="11">
        <f t="shared" si="7"/>
        <v>0</v>
      </c>
      <c r="J56" s="13">
        <f t="shared" si="8"/>
        <v>0</v>
      </c>
      <c r="K56" s="13">
        <f t="shared" si="8"/>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row>
    <row r="58" spans="2:109" x14ac:dyDescent="0.2">
      <c r="B58" t="s">
        <v>27</v>
      </c>
      <c r="C58" t="s">
        <v>112</v>
      </c>
      <c r="D58">
        <f>4/48*14.4</f>
        <v>1.2</v>
      </c>
      <c r="E58" s="11">
        <v>4</v>
      </c>
      <c r="G58" s="12">
        <f>+SUM(G59:G62)</f>
        <v>1</v>
      </c>
      <c r="I58" s="14">
        <v>0</v>
      </c>
      <c r="J58" s="13">
        <f>+SUMPRODUCT(G59:G62,J59:J62)</f>
        <v>0.125</v>
      </c>
      <c r="K58" s="13">
        <f>+SUMPRODUCT(G59:G62,K59:K62)</f>
        <v>0</v>
      </c>
      <c r="L58" s="11"/>
      <c r="N58" s="14">
        <f>+SUM(N59:N62)</f>
        <v>3</v>
      </c>
      <c r="U58" s="14">
        <f>+SUM(U59:U62)</f>
        <v>0</v>
      </c>
      <c r="AB58" s="14">
        <f>+SUM(AB59:AB62)</f>
        <v>0</v>
      </c>
      <c r="AI58" s="14">
        <f>+SUM(AI59:AI62)</f>
        <v>0</v>
      </c>
      <c r="AP58" s="14">
        <f>+SUM(AP59:AP62)</f>
        <v>0</v>
      </c>
      <c r="AW58" s="14">
        <f>+SUM(AW59:AW62)</f>
        <v>0</v>
      </c>
      <c r="BD58" s="14">
        <f>+SUM(BD59:BD62)</f>
        <v>0</v>
      </c>
      <c r="BK58" s="14">
        <f>+SUM(BK59:BK62)</f>
        <v>0</v>
      </c>
      <c r="BR58" s="14">
        <f>+SUM(BR59:BR62)</f>
        <v>0</v>
      </c>
      <c r="BY58" s="14">
        <f>+SUM(BY59:BY62)</f>
        <v>0</v>
      </c>
      <c r="CF58" s="14">
        <f>+SUM(CF59:CF62)</f>
        <v>0</v>
      </c>
      <c r="CM58" s="14">
        <f>+SUM(CM59:CM62)</f>
        <v>0</v>
      </c>
      <c r="CT58" s="14">
        <f>+SUM(CT59:CT62)</f>
        <v>0</v>
      </c>
      <c r="DA58" s="14">
        <f>+SUM(DA59:DA62)</f>
        <v>0</v>
      </c>
    </row>
    <row r="59" spans="2:109" outlineLevel="1" x14ac:dyDescent="0.2">
      <c r="B59" t="s">
        <v>28</v>
      </c>
      <c r="C59" t="s">
        <v>112</v>
      </c>
      <c r="E59" s="11"/>
      <c r="F59" t="s">
        <v>113</v>
      </c>
      <c r="G59" s="12">
        <v>0.25</v>
      </c>
      <c r="I59" s="14">
        <v>0</v>
      </c>
      <c r="J59" s="13">
        <f t="shared" ref="J59:K62" si="9">+_xlfn.MAXIFS($N59:$ZF59,$N$3:$ZF$3,J$3)</f>
        <v>0.5</v>
      </c>
      <c r="K59" s="13">
        <f t="shared" si="9"/>
        <v>0</v>
      </c>
      <c r="L59" s="11"/>
      <c r="N59">
        <v>3</v>
      </c>
      <c r="O59" s="12">
        <v>0.5</v>
      </c>
      <c r="P59" s="12">
        <v>0.5</v>
      </c>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c r="BG59" s="12"/>
      <c r="BH59" s="12"/>
      <c r="BL59" s="12"/>
      <c r="BM59" s="12"/>
      <c r="BN59" s="12"/>
      <c r="BO59" s="12"/>
      <c r="BS59" s="12"/>
      <c r="BT59" s="12"/>
      <c r="BU59" s="12"/>
      <c r="BV59" s="12"/>
      <c r="BZ59" s="12"/>
      <c r="CA59" s="12"/>
      <c r="CB59" s="12"/>
      <c r="CC59" s="12"/>
      <c r="CG59" s="12"/>
      <c r="CH59" s="12"/>
      <c r="CI59" s="12"/>
      <c r="CJ59" s="12"/>
      <c r="CN59" s="12"/>
      <c r="CO59" s="12"/>
      <c r="CP59" s="12"/>
      <c r="CQ59" s="12"/>
      <c r="CU59" s="12"/>
      <c r="CV59" s="12"/>
      <c r="CW59" s="12"/>
      <c r="CX59" s="12"/>
      <c r="DB59" s="12"/>
      <c r="DC59" s="12"/>
      <c r="DD59" s="12"/>
      <c r="DE59" s="12"/>
    </row>
    <row r="60" spans="2:109" outlineLevel="1" x14ac:dyDescent="0.2">
      <c r="B60" t="s">
        <v>28</v>
      </c>
      <c r="C60" t="s">
        <v>112</v>
      </c>
      <c r="E60" s="11"/>
      <c r="F60" t="s">
        <v>114</v>
      </c>
      <c r="G60" s="12">
        <v>0.25</v>
      </c>
      <c r="I60" s="14">
        <v>0</v>
      </c>
      <c r="J60" s="13">
        <f t="shared" si="9"/>
        <v>0</v>
      </c>
      <c r="K60" s="13">
        <f t="shared" si="9"/>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c r="BN60" s="12"/>
      <c r="BO60" s="12"/>
      <c r="BS60" s="12"/>
      <c r="BT60" s="12"/>
      <c r="BU60" s="12"/>
      <c r="BV60" s="12"/>
      <c r="BZ60" s="12"/>
      <c r="CA60" s="12"/>
      <c r="CB60" s="12"/>
      <c r="CC60" s="12"/>
      <c r="CG60" s="12"/>
      <c r="CH60" s="12"/>
      <c r="CI60" s="12"/>
      <c r="CJ60" s="12"/>
      <c r="CN60" s="12"/>
      <c r="CO60" s="12"/>
      <c r="CP60" s="12"/>
      <c r="CQ60" s="12"/>
      <c r="CU60" s="12"/>
      <c r="CV60" s="12"/>
      <c r="CW60" s="12"/>
      <c r="CX60" s="12"/>
      <c r="DB60" s="12"/>
      <c r="DC60" s="12"/>
      <c r="DD60" s="12"/>
      <c r="DE60" s="12"/>
    </row>
    <row r="61" spans="2:109" outlineLevel="1" x14ac:dyDescent="0.2">
      <c r="B61" t="s">
        <v>28</v>
      </c>
      <c r="C61" t="s">
        <v>112</v>
      </c>
      <c r="E61" s="11"/>
      <c r="F61" t="s">
        <v>115</v>
      </c>
      <c r="G61" s="12">
        <v>0.25</v>
      </c>
      <c r="I61" s="14">
        <v>0</v>
      </c>
      <c r="J61" s="13">
        <f t="shared" si="9"/>
        <v>0</v>
      </c>
      <c r="K61" s="13">
        <f t="shared" si="9"/>
        <v>0</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c r="BU61" s="12"/>
      <c r="BV61" s="12"/>
      <c r="BZ61" s="12"/>
      <c r="CA61" s="12"/>
      <c r="CB61" s="12"/>
      <c r="CC61" s="12"/>
      <c r="CG61" s="12"/>
      <c r="CH61" s="12"/>
      <c r="CI61" s="12"/>
      <c r="CJ61" s="12"/>
      <c r="CN61" s="12"/>
      <c r="CO61" s="12"/>
      <c r="CP61" s="12"/>
      <c r="CQ61" s="12"/>
      <c r="CU61" s="12"/>
      <c r="CV61" s="12"/>
      <c r="CW61" s="12"/>
      <c r="CX61" s="12"/>
      <c r="DB61" s="12"/>
      <c r="DC61" s="12"/>
      <c r="DD61" s="12"/>
      <c r="DE61" s="12"/>
    </row>
    <row r="62" spans="2:109" outlineLevel="1" x14ac:dyDescent="0.2">
      <c r="B62" t="s">
        <v>28</v>
      </c>
      <c r="C62" t="s">
        <v>112</v>
      </c>
      <c r="E62" s="11"/>
      <c r="F62" t="s">
        <v>116</v>
      </c>
      <c r="G62" s="12">
        <v>0.25</v>
      </c>
      <c r="I62" s="14">
        <v>0</v>
      </c>
      <c r="J62" s="13">
        <f t="shared" si="9"/>
        <v>0</v>
      </c>
      <c r="K62" s="13">
        <f t="shared" si="9"/>
        <v>0</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c r="BU62" s="12"/>
      <c r="BV62" s="12"/>
      <c r="BZ62" s="12"/>
      <c r="CA62" s="12"/>
      <c r="CB62" s="12"/>
      <c r="CC62" s="12"/>
      <c r="CG62" s="12"/>
      <c r="CH62" s="12"/>
      <c r="CI62" s="12"/>
      <c r="CJ62" s="12"/>
      <c r="CN62" s="12"/>
      <c r="CO62" s="12"/>
      <c r="CP62" s="12"/>
      <c r="CQ62" s="12"/>
      <c r="CU62" s="12"/>
      <c r="CV62" s="12"/>
      <c r="CW62" s="12"/>
      <c r="CX62" s="12"/>
      <c r="DB62" s="12"/>
      <c r="DC62" s="12"/>
      <c r="DD62" s="12"/>
      <c r="DE62" s="12"/>
    </row>
  </sheetData>
  <mergeCells count="15">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AZ21:AZ27 AX21:AX27 AX32:AX35 AZ32:AZ35 AZ43:AZ46 AX43:AX46 AZ54:AZ56 AX54:AX56 AX5:AX13 AZ5:AZ13 O5:O13 Q5:Q13 V5:V13 X5:X13 AC5:AC13 AE5:AE13 AJ5:AJ13 AL5:AL13 AQ5:AQ13 AS5:AS13 BE5:BE13 BG5:BG13 BL5:BL13 BN5:BN13 BS5:BS13 BU5:BU13 BZ5:BZ13 CB5:CB13 CG5:CG13 CI5:CI13 CN5:CN13 CP5:CP13 AX61:AX62 AZ61:AZ62 V61:V62 X61:X62 CG61:CG62 CI61:CI62 O61:O62 Q61:Q62 AC61:AC62 AE61:AE62 AJ61:AJ62 AL61:AL62 AQ61:AQ62 AS61:AS62 BE61:BE62 BG61:BG62 BL61:BL62 BN61:BN62 BS61:BS62 BU61:BU62 BZ61:BZ62 CB61:CB62 CN61:CN62 CP61:CP62 CU61:CU62 CW61:CW62 DB61:DB62 DD61:DD62">
    <cfRule type="expression" dxfId="244" priority="505">
      <formula>OR(IF(O5&lt;P5,TRUE),IF(AND(P5="",O5&lt;&gt;""),TRUE))</formula>
    </cfRule>
    <cfRule type="expression" dxfId="243" priority="506">
      <formula>IF(O5&gt;=P5,IF(O5="",FALSE,TRUE))</formula>
    </cfRule>
  </conditionalFormatting>
  <conditionalFormatting sqref="O16:O20 Q16:Q20">
    <cfRule type="expression" dxfId="242" priority="264">
      <formula>OR(IF(O16&lt;P16,TRUE),IF(AND(P16="",O16&lt;&gt;""),TRUE))</formula>
    </cfRule>
    <cfRule type="expression" dxfId="241" priority="265">
      <formula>IF(O16&gt;=P16,IF(O16="",FALSE,TRUE))</formula>
    </cfRule>
  </conditionalFormatting>
  <conditionalFormatting sqref="O38:O42 Q38:Q42">
    <cfRule type="expression" dxfId="240" priority="256">
      <formula>OR(IF(O38&lt;P38,TRUE),IF(AND(P38="",O38&lt;&gt;""),TRUE))</formula>
    </cfRule>
    <cfRule type="expression" dxfId="239" priority="257">
      <formula>IF(O38&gt;=P38,IF(O38="",FALSE,TRUE))</formula>
    </cfRule>
  </conditionalFormatting>
  <conditionalFormatting sqref="O49:O53 Q49:Q53">
    <cfRule type="expression" dxfId="238" priority="254">
      <formula>OR(IF(O49&lt;P49,TRUE),IF(AND(P49="",O49&lt;&gt;""),TRUE))</formula>
    </cfRule>
    <cfRule type="expression" dxfId="237" priority="255">
      <formula>IF(O49&gt;=P49,IF(O49="",FALSE,TRUE))</formula>
    </cfRule>
  </conditionalFormatting>
  <conditionalFormatting sqref="X21:X27 V21:V27 V32:V35 X32:X35 X43:X46 V43:V46 X54:X56 V54:V56">
    <cfRule type="expression" dxfId="236" priority="252">
      <formula>OR(IF(V21&lt;W21,TRUE),IF(AND(W21="",V21&lt;&gt;""),TRUE))</formula>
    </cfRule>
    <cfRule type="expression" dxfId="235" priority="253">
      <formula>IF(V21&gt;=W21,IF(V21="",FALSE,TRUE))</formula>
    </cfRule>
  </conditionalFormatting>
  <conditionalFormatting sqref="V16:V20 X16:X20">
    <cfRule type="expression" dxfId="234" priority="250">
      <formula>OR(IF(V16&lt;W16,TRUE),IF(AND(W16="",V16&lt;&gt;""),TRUE))</formula>
    </cfRule>
    <cfRule type="expression" dxfId="233" priority="251">
      <formula>IF(V16&gt;=W16,IF(V16="",FALSE,TRUE))</formula>
    </cfRule>
  </conditionalFormatting>
  <conditionalFormatting sqref="V30:V31">
    <cfRule type="expression" dxfId="232" priority="246">
      <formula>OR(IF(V30&lt;W30,TRUE),IF(AND(W30="",V30&lt;&gt;""),TRUE))</formula>
    </cfRule>
    <cfRule type="expression" dxfId="231" priority="247">
      <formula>IF(V30&gt;=W30,IF(V30="",FALSE,TRUE))</formula>
    </cfRule>
  </conditionalFormatting>
  <conditionalFormatting sqref="AX16:AX20 AZ16:AZ20">
    <cfRule type="expression" dxfId="230" priority="356">
      <formula>OR(IF(AX16&lt;AY16,TRUE),IF(AND(AY16="",AX16&lt;&gt;""),TRUE))</formula>
    </cfRule>
    <cfRule type="expression" dxfId="229" priority="357">
      <formula>IF(AX16&gt;=AY16,IF(AX16="",FALSE,TRUE))</formula>
    </cfRule>
  </conditionalFormatting>
  <conditionalFormatting sqref="AX30:AX31">
    <cfRule type="expression" dxfId="228" priority="352">
      <formula>OR(IF(AX30&lt;AY30,TRUE),IF(AND(AY30="",AX30&lt;&gt;""),TRUE))</formula>
    </cfRule>
    <cfRule type="expression" dxfId="227" priority="353">
      <formula>IF(AX30&gt;=AY30,IF(AX30="",FALSE,TRUE))</formula>
    </cfRule>
  </conditionalFormatting>
  <conditionalFormatting sqref="AZ30:AZ31">
    <cfRule type="expression" dxfId="226" priority="350">
      <formula>OR(IF(AZ30&lt;BA30,TRUE),IF(AND(BA30="",AZ30&lt;&gt;""),TRUE))</formula>
    </cfRule>
    <cfRule type="expression" dxfId="225" priority="351">
      <formula>IF(AZ30&gt;=BA30,IF(AZ30="",FALSE,TRUE))</formula>
    </cfRule>
  </conditionalFormatting>
  <conditionalFormatting sqref="J16:K27">
    <cfRule type="colorScale" priority="509">
      <colorScale>
        <cfvo type="percent" val="0"/>
        <cfvo type="percent" val="100"/>
        <color rgb="FFFF231B"/>
        <color rgb="FF10FF07"/>
      </colorScale>
    </cfRule>
  </conditionalFormatting>
  <conditionalFormatting sqref="J30:K35">
    <cfRule type="colorScale" priority="514">
      <colorScale>
        <cfvo type="percent" val="0"/>
        <cfvo type="percent" val="100"/>
        <color rgb="FFFF231B"/>
        <color rgb="FF10FF07"/>
      </colorScale>
    </cfRule>
  </conditionalFormatting>
  <conditionalFormatting sqref="AX38:AX42 AZ38:AZ42">
    <cfRule type="expression" dxfId="224" priority="313">
      <formula>OR(IF(AX38&lt;AY38,TRUE),IF(AND(AY38="",AX38&lt;&gt;""),TRUE))</formula>
    </cfRule>
    <cfRule type="expression" dxfId="223" priority="314">
      <formula>IF(AX38&gt;=AY38,IF(AX38="",FALSE,TRUE))</formula>
    </cfRule>
  </conditionalFormatting>
  <conditionalFormatting sqref="J38:K46">
    <cfRule type="colorScale" priority="543">
      <colorScale>
        <cfvo type="percent" val="0"/>
        <cfvo type="percent" val="100"/>
        <color rgb="FFFF231B"/>
        <color rgb="FF10FF07"/>
      </colorScale>
    </cfRule>
  </conditionalFormatting>
  <conditionalFormatting sqref="AS30:AS31">
    <cfRule type="expression" dxfId="222" priority="202">
      <formula>OR(IF(AS30&lt;AT30,TRUE),IF(AND(AT30="",AS30&lt;&gt;""),TRUE))</formula>
    </cfRule>
    <cfRule type="expression" dxfId="221" priority="203">
      <formula>IF(AS30&gt;=AT30,IF(AS30="",FALSE,TRUE))</formula>
    </cfRule>
  </conditionalFormatting>
  <conditionalFormatting sqref="AJ49:AJ53 AL49:AL53">
    <cfRule type="expression" dxfId="220" priority="212">
      <formula>OR(IF(AJ49&lt;AK49,TRUE),IF(AND(AK49="",AJ49&lt;&gt;""),TRUE))</formula>
    </cfRule>
    <cfRule type="expression" dxfId="219" priority="213">
      <formula>IF(AJ49&gt;=AK49,IF(AJ49="",FALSE,TRUE))</formula>
    </cfRule>
  </conditionalFormatting>
  <conditionalFormatting sqref="CG16:CG20 CI16:CI20">
    <cfRule type="expression" dxfId="218" priority="138">
      <formula>OR(IF(CG16&lt;CH16,TRUE),IF(AND(CH16="",CG16&lt;&gt;""),TRUE))</formula>
    </cfRule>
    <cfRule type="expression" dxfId="217" priority="139">
      <formula>IF(CG16&gt;=CH16,IF(CG16="",FALSE,TRUE))</formula>
    </cfRule>
  </conditionalFormatting>
  <conditionalFormatting sqref="BE30:BE31">
    <cfRule type="expression" dxfId="216" priority="190">
      <formula>OR(IF(BE30&lt;BF30,TRUE),IF(AND(BF30="",BE30&lt;&gt;""),TRUE))</formula>
    </cfRule>
    <cfRule type="expression" dxfId="215" priority="191">
      <formula>IF(BE30&gt;=BF30,IF(BE30="",FALSE,TRUE))</formula>
    </cfRule>
  </conditionalFormatting>
  <conditionalFormatting sqref="AX49:AX53 AZ49:AZ53">
    <cfRule type="expression" dxfId="214" priority="298">
      <formula>OR(IF(AX49&lt;AY49,TRUE),IF(AND(AY49="",AX49&lt;&gt;""),TRUE))</formula>
    </cfRule>
    <cfRule type="expression" dxfId="213" priority="299">
      <formula>IF(AX49&gt;=AY49,IF(AX49="",FALSE,TRUE))</formula>
    </cfRule>
  </conditionalFormatting>
  <conditionalFormatting sqref="J49:K56">
    <cfRule type="colorScale" priority="572">
      <colorScale>
        <cfvo type="percent" val="0"/>
        <cfvo type="percent" val="100"/>
        <color rgb="FFFF231B"/>
        <color rgb="FF10FF07"/>
      </colorScale>
    </cfRule>
  </conditionalFormatting>
  <conditionalFormatting sqref="CI21:CI27 CG21:CG27 CG32:CG35 CI32:CI35 CI43:CI46 CG43:CG46 CI54:CI56 CG54:CG56">
    <cfRule type="expression" dxfId="212" priority="140">
      <formula>OR(IF(CG21&lt;CH21,TRUE),IF(AND(CH21="",CG21&lt;&gt;""),TRUE))</formula>
    </cfRule>
    <cfRule type="expression" dxfId="211" priority="141">
      <formula>IF(CG21&gt;=CH21,IF(CG21="",FALSE,TRUE))</formula>
    </cfRule>
  </conditionalFormatting>
  <conditionalFormatting sqref="CG30:CG31">
    <cfRule type="expression" dxfId="210" priority="134">
      <formula>OR(IF(CG30&lt;CH30,TRUE),IF(AND(CH30="",CG30&lt;&gt;""),TRUE))</formula>
    </cfRule>
    <cfRule type="expression" dxfId="209" priority="135">
      <formula>IF(CG30&gt;=CH30,IF(CG30="",FALSE,TRUE))</formula>
    </cfRule>
  </conditionalFormatting>
  <conditionalFormatting sqref="CI30:CI31">
    <cfRule type="expression" dxfId="208" priority="132">
      <formula>OR(IF(CI30&lt;CJ30,TRUE),IF(AND(CJ30="",CI30&lt;&gt;""),TRUE))</formula>
    </cfRule>
    <cfRule type="expression" dxfId="207" priority="133">
      <formula>IF(CI30&gt;=CJ30,IF(CI30="",FALSE,TRUE))</formula>
    </cfRule>
  </conditionalFormatting>
  <conditionalFormatting sqref="CG38:CG42 CI38:CI42">
    <cfRule type="expression" dxfId="206" priority="130">
      <formula>OR(IF(CG38&lt;CH38,TRUE),IF(AND(CH38="",CG38&lt;&gt;""),TRUE))</formula>
    </cfRule>
    <cfRule type="expression" dxfId="205" priority="131">
      <formula>IF(CG38&gt;=CH38,IF(CG38="",FALSE,TRUE))</formula>
    </cfRule>
  </conditionalFormatting>
  <conditionalFormatting sqref="CG49:CG53 CI49:CI53">
    <cfRule type="expression" dxfId="204" priority="128">
      <formula>OR(IF(CG49&lt;CH49,TRUE),IF(AND(CH49="",CG49&lt;&gt;""),TRUE))</formula>
    </cfRule>
    <cfRule type="expression" dxfId="203" priority="129">
      <formula>IF(CG49&gt;=CH49,IF(CG49="",FALSE,TRUE))</formula>
    </cfRule>
  </conditionalFormatting>
  <conditionalFormatting sqref="Q21:Q27 O21:O27 O32:O35 Q32:Q35 Q43:Q46 O43:O46 Q54:Q56 O54:O56">
    <cfRule type="expression" dxfId="202" priority="266">
      <formula>OR(IF(O21&lt;P21,TRUE),IF(AND(P21="",O21&lt;&gt;""),TRUE))</formula>
    </cfRule>
    <cfRule type="expression" dxfId="201" priority="267">
      <formula>IF(O21&gt;=P21,IF(O21="",FALSE,TRUE))</formula>
    </cfRule>
  </conditionalFormatting>
  <conditionalFormatting sqref="O30:O31">
    <cfRule type="expression" dxfId="200" priority="260">
      <formula>OR(IF(O30&lt;P30,TRUE),IF(AND(P30="",O30&lt;&gt;""),TRUE))</formula>
    </cfRule>
    <cfRule type="expression" dxfId="199" priority="261">
      <formula>IF(O30&gt;=P30,IF(O30="",FALSE,TRUE))</formula>
    </cfRule>
  </conditionalFormatting>
  <conditionalFormatting sqref="Q30:Q31">
    <cfRule type="expression" dxfId="198" priority="258">
      <formula>OR(IF(Q30&lt;R30,TRUE),IF(AND(R30="",Q30&lt;&gt;""),TRUE))</formula>
    </cfRule>
    <cfRule type="expression" dxfId="197" priority="259">
      <formula>IF(Q30&gt;=R30,IF(Q30="",FALSE,TRUE))</formula>
    </cfRule>
  </conditionalFormatting>
  <conditionalFormatting sqref="X30:X31">
    <cfRule type="expression" dxfId="196" priority="244">
      <formula>OR(IF(X30&lt;Y30,TRUE),IF(AND(Y30="",X30&lt;&gt;""),TRUE))</formula>
    </cfRule>
    <cfRule type="expression" dxfId="195" priority="245">
      <formula>IF(X30&gt;=Y30,IF(X30="",FALSE,TRUE))</formula>
    </cfRule>
  </conditionalFormatting>
  <conditionalFormatting sqref="V38:V42 X38:X42">
    <cfRule type="expression" dxfId="194" priority="242">
      <formula>OR(IF(V38&lt;W38,TRUE),IF(AND(W38="",V38&lt;&gt;""),TRUE))</formula>
    </cfRule>
    <cfRule type="expression" dxfId="193" priority="243">
      <formula>IF(V38&gt;=W38,IF(V38="",FALSE,TRUE))</formula>
    </cfRule>
  </conditionalFormatting>
  <conditionalFormatting sqref="V49:V53 X49:X53">
    <cfRule type="expression" dxfId="192" priority="240">
      <formula>OR(IF(V49&lt;W49,TRUE),IF(AND(W49="",V49&lt;&gt;""),TRUE))</formula>
    </cfRule>
    <cfRule type="expression" dxfId="191" priority="241">
      <formula>IF(V49&gt;=W49,IF(V49="",FALSE,TRUE))</formula>
    </cfRule>
  </conditionalFormatting>
  <conditionalFormatting sqref="AE21:AE27 AC21:AC27 AC32:AC35 AE32:AE35 AE43:AE46 AC43:AC46 AE54:AE56 AC54:AC56">
    <cfRule type="expression" dxfId="190" priority="238">
      <formula>OR(IF(AC21&lt;AD21,TRUE),IF(AND(AD21="",AC21&lt;&gt;""),TRUE))</formula>
    </cfRule>
    <cfRule type="expression" dxfId="189" priority="239">
      <formula>IF(AC21&gt;=AD21,IF(AC21="",FALSE,TRUE))</formula>
    </cfRule>
  </conditionalFormatting>
  <conditionalFormatting sqref="AC16:AC20 AE16:AE20">
    <cfRule type="expression" dxfId="188" priority="236">
      <formula>OR(IF(AC16&lt;AD16,TRUE),IF(AND(AD16="",AC16&lt;&gt;""),TRUE))</formula>
    </cfRule>
    <cfRule type="expression" dxfId="187" priority="237">
      <formula>IF(AC16&gt;=AD16,IF(AC16="",FALSE,TRUE))</formula>
    </cfRule>
  </conditionalFormatting>
  <conditionalFormatting sqref="AC30:AC31">
    <cfRule type="expression" dxfId="186" priority="232">
      <formula>OR(IF(AC30&lt;AD30,TRUE),IF(AND(AD30="",AC30&lt;&gt;""),TRUE))</formula>
    </cfRule>
    <cfRule type="expression" dxfId="185" priority="233">
      <formula>IF(AC30&gt;=AD30,IF(AC30="",FALSE,TRUE))</formula>
    </cfRule>
  </conditionalFormatting>
  <conditionalFormatting sqref="AE30:AE31">
    <cfRule type="expression" dxfId="184" priority="230">
      <formula>OR(IF(AE30&lt;AF30,TRUE),IF(AND(AF30="",AE30&lt;&gt;""),TRUE))</formula>
    </cfRule>
    <cfRule type="expression" dxfId="183" priority="231">
      <formula>IF(AE30&gt;=AF30,IF(AE30="",FALSE,TRUE))</formula>
    </cfRule>
  </conditionalFormatting>
  <conditionalFormatting sqref="AC38:AC42 AE38:AE42">
    <cfRule type="expression" dxfId="182" priority="228">
      <formula>OR(IF(AC38&lt;AD38,TRUE),IF(AND(AD38="",AC38&lt;&gt;""),TRUE))</formula>
    </cfRule>
    <cfRule type="expression" dxfId="181" priority="229">
      <formula>IF(AC38&gt;=AD38,IF(AC38="",FALSE,TRUE))</formula>
    </cfRule>
  </conditionalFormatting>
  <conditionalFormatting sqref="AC49:AC53 AE49:AE53">
    <cfRule type="expression" dxfId="180" priority="226">
      <formula>OR(IF(AC49&lt;AD49,TRUE),IF(AND(AD49="",AC49&lt;&gt;""),TRUE))</formula>
    </cfRule>
    <cfRule type="expression" dxfId="179" priority="227">
      <formula>IF(AC49&gt;=AD49,IF(AC49="",FALSE,TRUE))</formula>
    </cfRule>
  </conditionalFormatting>
  <conditionalFormatting sqref="AL21:AL27 AJ21:AJ27 AJ32:AJ35 AL32:AL35 AL43:AL46 AJ43:AJ46 AL54:AL56 AJ54:AJ56">
    <cfRule type="expression" dxfId="178" priority="224">
      <formula>OR(IF(AJ21&lt;AK21,TRUE),IF(AND(AK21="",AJ21&lt;&gt;""),TRUE))</formula>
    </cfRule>
    <cfRule type="expression" dxfId="177" priority="225">
      <formula>IF(AJ21&gt;=AK21,IF(AJ21="",FALSE,TRUE))</formula>
    </cfRule>
  </conditionalFormatting>
  <conditionalFormatting sqref="AJ16:AJ20 AL16:AL20">
    <cfRule type="expression" dxfId="176" priority="222">
      <formula>OR(IF(AJ16&lt;AK16,TRUE),IF(AND(AK16="",AJ16&lt;&gt;""),TRUE))</formula>
    </cfRule>
    <cfRule type="expression" dxfId="175" priority="223">
      <formula>IF(AJ16&gt;=AK16,IF(AJ16="",FALSE,TRUE))</formula>
    </cfRule>
  </conditionalFormatting>
  <conditionalFormatting sqref="AJ30:AJ31">
    <cfRule type="expression" dxfId="174" priority="218">
      <formula>OR(IF(AJ30&lt;AK30,TRUE),IF(AND(AK30="",AJ30&lt;&gt;""),TRUE))</formula>
    </cfRule>
    <cfRule type="expression" dxfId="173" priority="219">
      <formula>IF(AJ30&gt;=AK30,IF(AJ30="",FALSE,TRUE))</formula>
    </cfRule>
  </conditionalFormatting>
  <conditionalFormatting sqref="AL30:AL31">
    <cfRule type="expression" dxfId="172" priority="216">
      <formula>OR(IF(AL30&lt;AM30,TRUE),IF(AND(AM30="",AL30&lt;&gt;""),TRUE))</formula>
    </cfRule>
    <cfRule type="expression" dxfId="171" priority="217">
      <formula>IF(AL30&gt;=AM30,IF(AL30="",FALSE,TRUE))</formula>
    </cfRule>
  </conditionalFormatting>
  <conditionalFormatting sqref="AJ38:AJ42 AL38:AL42">
    <cfRule type="expression" dxfId="170" priority="214">
      <formula>OR(IF(AJ38&lt;AK38,TRUE),IF(AND(AK38="",AJ38&lt;&gt;""),TRUE))</formula>
    </cfRule>
    <cfRule type="expression" dxfId="169" priority="215">
      <formula>IF(AJ38&gt;=AK38,IF(AJ38="",FALSE,TRUE))</formula>
    </cfRule>
  </conditionalFormatting>
  <conditionalFormatting sqref="AS21:AS27 AQ21:AQ27 AQ32:AQ35 AS32:AS35 AS43:AS46 AQ43:AQ46 AS54:AS56 AQ54:AQ56">
    <cfRule type="expression" dxfId="168" priority="210">
      <formula>OR(IF(AQ21&lt;AR21,TRUE),IF(AND(AR21="",AQ21&lt;&gt;""),TRUE))</formula>
    </cfRule>
    <cfRule type="expression" dxfId="167" priority="211">
      <formula>IF(AQ21&gt;=AR21,IF(AQ21="",FALSE,TRUE))</formula>
    </cfRule>
  </conditionalFormatting>
  <conditionalFormatting sqref="AQ16:AQ20 AS16:AS20">
    <cfRule type="expression" dxfId="166" priority="208">
      <formula>OR(IF(AQ16&lt;AR16,TRUE),IF(AND(AR16="",AQ16&lt;&gt;""),TRUE))</formula>
    </cfRule>
    <cfRule type="expression" dxfId="165" priority="209">
      <formula>IF(AQ16&gt;=AR16,IF(AQ16="",FALSE,TRUE))</formula>
    </cfRule>
  </conditionalFormatting>
  <conditionalFormatting sqref="AQ30:AQ31">
    <cfRule type="expression" dxfId="164" priority="204">
      <formula>OR(IF(AQ30&lt;AR30,TRUE),IF(AND(AR30="",AQ30&lt;&gt;""),TRUE))</formula>
    </cfRule>
    <cfRule type="expression" dxfId="163" priority="205">
      <formula>IF(AQ30&gt;=AR30,IF(AQ30="",FALSE,TRUE))</formula>
    </cfRule>
  </conditionalFormatting>
  <conditionalFormatting sqref="AQ38:AQ42 AS38:AS42">
    <cfRule type="expression" dxfId="162" priority="200">
      <formula>OR(IF(AQ38&lt;AR38,TRUE),IF(AND(AR38="",AQ38&lt;&gt;""),TRUE))</formula>
    </cfRule>
    <cfRule type="expression" dxfId="161" priority="201">
      <formula>IF(AQ38&gt;=AR38,IF(AQ38="",FALSE,TRUE))</formula>
    </cfRule>
  </conditionalFormatting>
  <conditionalFormatting sqref="AQ49:AQ53 AS49:AS53">
    <cfRule type="expression" dxfId="160" priority="198">
      <formula>OR(IF(AQ49&lt;AR49,TRUE),IF(AND(AR49="",AQ49&lt;&gt;""),TRUE))</formula>
    </cfRule>
    <cfRule type="expression" dxfId="159" priority="199">
      <formula>IF(AQ49&gt;=AR49,IF(AQ49="",FALSE,TRUE))</formula>
    </cfRule>
  </conditionalFormatting>
  <conditionalFormatting sqref="BG21:BG27 BE21:BE27 BE32:BE35 BG32:BG35 BG43:BG46 BE43:BE46 BG54:BG56 BE54:BE56">
    <cfRule type="expression" dxfId="158" priority="196">
      <formula>OR(IF(BE21&lt;BF21,TRUE),IF(AND(BF21="",BE21&lt;&gt;""),TRUE))</formula>
    </cfRule>
    <cfRule type="expression" dxfId="157" priority="197">
      <formula>IF(BE21&gt;=BF21,IF(BE21="",FALSE,TRUE))</formula>
    </cfRule>
  </conditionalFormatting>
  <conditionalFormatting sqref="BE16:BE20 BG16:BG20">
    <cfRule type="expression" dxfId="156" priority="194">
      <formula>OR(IF(BE16&lt;BF16,TRUE),IF(AND(BF16="",BE16&lt;&gt;""),TRUE))</formula>
    </cfRule>
    <cfRule type="expression" dxfId="155" priority="195">
      <formula>IF(BE16&gt;=BF16,IF(BE16="",FALSE,TRUE))</formula>
    </cfRule>
  </conditionalFormatting>
  <conditionalFormatting sqref="BG30:BG31">
    <cfRule type="expression" dxfId="154" priority="188">
      <formula>OR(IF(BG30&lt;BH30,TRUE),IF(AND(BH30="",BG30&lt;&gt;""),TRUE))</formula>
    </cfRule>
    <cfRule type="expression" dxfId="153" priority="189">
      <formula>IF(BG30&gt;=BH30,IF(BG30="",FALSE,TRUE))</formula>
    </cfRule>
  </conditionalFormatting>
  <conditionalFormatting sqref="BE38:BE42 BG38:BG42">
    <cfRule type="expression" dxfId="152" priority="186">
      <formula>OR(IF(BE38&lt;BF38,TRUE),IF(AND(BF38="",BE38&lt;&gt;""),TRUE))</formula>
    </cfRule>
    <cfRule type="expression" dxfId="151" priority="187">
      <formula>IF(BE38&gt;=BF38,IF(BE38="",FALSE,TRUE))</formula>
    </cfRule>
  </conditionalFormatting>
  <conditionalFormatting sqref="BE49:BE53 BG49:BG53">
    <cfRule type="expression" dxfId="150" priority="184">
      <formula>OR(IF(BE49&lt;BF49,TRUE),IF(AND(BF49="",BE49&lt;&gt;""),TRUE))</formula>
    </cfRule>
    <cfRule type="expression" dxfId="149" priority="185">
      <formula>IF(BE49&gt;=BF49,IF(BE49="",FALSE,TRUE))</formula>
    </cfRule>
  </conditionalFormatting>
  <conditionalFormatting sqref="BN21:BN27 BL21:BL27 BL32:BL35 BN32:BN35 BN43:BN46 BL43:BL46 BN54:BN56 BL54:BL56">
    <cfRule type="expression" dxfId="148" priority="182">
      <formula>OR(IF(BL21&lt;BM21,TRUE),IF(AND(BM21="",BL21&lt;&gt;""),TRUE))</formula>
    </cfRule>
    <cfRule type="expression" dxfId="147" priority="183">
      <formula>IF(BL21&gt;=BM21,IF(BL21="",FALSE,TRUE))</formula>
    </cfRule>
  </conditionalFormatting>
  <conditionalFormatting sqref="BL16:BL20 BN16:BN20">
    <cfRule type="expression" dxfId="146" priority="180">
      <formula>OR(IF(BL16&lt;BM16,TRUE),IF(AND(BM16="",BL16&lt;&gt;""),TRUE))</formula>
    </cfRule>
    <cfRule type="expression" dxfId="145" priority="181">
      <formula>IF(BL16&gt;=BM16,IF(BL16="",FALSE,TRUE))</formula>
    </cfRule>
  </conditionalFormatting>
  <conditionalFormatting sqref="BL30:BL31">
    <cfRule type="expression" dxfId="144" priority="176">
      <formula>OR(IF(BL30&lt;BM30,TRUE),IF(AND(BM30="",BL30&lt;&gt;""),TRUE))</formula>
    </cfRule>
    <cfRule type="expression" dxfId="143" priority="177">
      <formula>IF(BL30&gt;=BM30,IF(BL30="",FALSE,TRUE))</formula>
    </cfRule>
  </conditionalFormatting>
  <conditionalFormatting sqref="BN30:BN31">
    <cfRule type="expression" dxfId="142" priority="174">
      <formula>OR(IF(BN30&lt;BO30,TRUE),IF(AND(BO30="",BN30&lt;&gt;""),TRUE))</formula>
    </cfRule>
    <cfRule type="expression" dxfId="141" priority="175">
      <formula>IF(BN30&gt;=BO30,IF(BN30="",FALSE,TRUE))</formula>
    </cfRule>
  </conditionalFormatting>
  <conditionalFormatting sqref="BL38:BL42 BN38:BN42">
    <cfRule type="expression" dxfId="140" priority="172">
      <formula>OR(IF(BL38&lt;BM38,TRUE),IF(AND(BM38="",BL38&lt;&gt;""),TRUE))</formula>
    </cfRule>
    <cfRule type="expression" dxfId="139" priority="173">
      <formula>IF(BL38&gt;=BM38,IF(BL38="",FALSE,TRUE))</formula>
    </cfRule>
  </conditionalFormatting>
  <conditionalFormatting sqref="BL49:BL53 BN49:BN53">
    <cfRule type="expression" dxfId="138" priority="170">
      <formula>OR(IF(BL49&lt;BM49,TRUE),IF(AND(BM49="",BL49&lt;&gt;""),TRUE))</formula>
    </cfRule>
    <cfRule type="expression" dxfId="137" priority="171">
      <formula>IF(BL49&gt;=BM49,IF(BL49="",FALSE,TRUE))</formula>
    </cfRule>
  </conditionalFormatting>
  <conditionalFormatting sqref="BU21:BU27 BS21:BS27 BS32:BS35 BU32:BU35 BU43:BU46 BS43:BS46 BU54:BU56 BS54:BS56">
    <cfRule type="expression" dxfId="136" priority="168">
      <formula>OR(IF(BS21&lt;BT21,TRUE),IF(AND(BT21="",BS21&lt;&gt;""),TRUE))</formula>
    </cfRule>
    <cfRule type="expression" dxfId="135" priority="169">
      <formula>IF(BS21&gt;=BT21,IF(BS21="",FALSE,TRUE))</formula>
    </cfRule>
  </conditionalFormatting>
  <conditionalFormatting sqref="BS16:BS20 BU16:BU20">
    <cfRule type="expression" dxfId="134" priority="166">
      <formula>OR(IF(BS16&lt;BT16,TRUE),IF(AND(BT16="",BS16&lt;&gt;""),TRUE))</formula>
    </cfRule>
    <cfRule type="expression" dxfId="133" priority="167">
      <formula>IF(BS16&gt;=BT16,IF(BS16="",FALSE,TRUE))</formula>
    </cfRule>
  </conditionalFormatting>
  <conditionalFormatting sqref="BS30:BS31">
    <cfRule type="expression" dxfId="132" priority="162">
      <formula>OR(IF(BS30&lt;BT30,TRUE),IF(AND(BT30="",BS30&lt;&gt;""),TRUE))</formula>
    </cfRule>
    <cfRule type="expression" dxfId="131" priority="163">
      <formula>IF(BS30&gt;=BT30,IF(BS30="",FALSE,TRUE))</formula>
    </cfRule>
  </conditionalFormatting>
  <conditionalFormatting sqref="BU30:BU31">
    <cfRule type="expression" dxfId="130" priority="160">
      <formula>OR(IF(BU30&lt;BV30,TRUE),IF(AND(BV30="",BU30&lt;&gt;""),TRUE))</formula>
    </cfRule>
    <cfRule type="expression" dxfId="129" priority="161">
      <formula>IF(BU30&gt;=BV30,IF(BU30="",FALSE,TRUE))</formula>
    </cfRule>
  </conditionalFormatting>
  <conditionalFormatting sqref="BS38:BS42 BU38:BU42">
    <cfRule type="expression" dxfId="128" priority="158">
      <formula>OR(IF(BS38&lt;BT38,TRUE),IF(AND(BT38="",BS38&lt;&gt;""),TRUE))</formula>
    </cfRule>
    <cfRule type="expression" dxfId="127" priority="159">
      <formula>IF(BS38&gt;=BT38,IF(BS38="",FALSE,TRUE))</formula>
    </cfRule>
  </conditionalFormatting>
  <conditionalFormatting sqref="BS49:BS53 BU49:BU53">
    <cfRule type="expression" dxfId="126" priority="156">
      <formula>OR(IF(BS49&lt;BT49,TRUE),IF(AND(BT49="",BS49&lt;&gt;""),TRUE))</formula>
    </cfRule>
    <cfRule type="expression" dxfId="125" priority="157">
      <formula>IF(BS49&gt;=BT49,IF(BS49="",FALSE,TRUE))</formula>
    </cfRule>
  </conditionalFormatting>
  <conditionalFormatting sqref="CB21:CB27 BZ21:BZ27 BZ32:BZ35 CB32:CB35 CB43:CB46 BZ43:BZ46 CB54:CB56 BZ54:BZ56">
    <cfRule type="expression" dxfId="124" priority="154">
      <formula>OR(IF(BZ21&lt;CA21,TRUE),IF(AND(CA21="",BZ21&lt;&gt;""),TRUE))</formula>
    </cfRule>
    <cfRule type="expression" dxfId="123" priority="155">
      <formula>IF(BZ21&gt;=CA21,IF(BZ21="",FALSE,TRUE))</formula>
    </cfRule>
  </conditionalFormatting>
  <conditionalFormatting sqref="BZ16:BZ20 CB16:CB20">
    <cfRule type="expression" dxfId="122" priority="152">
      <formula>OR(IF(BZ16&lt;CA16,TRUE),IF(AND(CA16="",BZ16&lt;&gt;""),TRUE))</formula>
    </cfRule>
    <cfRule type="expression" dxfId="121" priority="153">
      <formula>IF(BZ16&gt;=CA16,IF(BZ16="",FALSE,TRUE))</formula>
    </cfRule>
  </conditionalFormatting>
  <conditionalFormatting sqref="BZ30:BZ31">
    <cfRule type="expression" dxfId="120" priority="148">
      <formula>OR(IF(BZ30&lt;CA30,TRUE),IF(AND(CA30="",BZ30&lt;&gt;""),TRUE))</formula>
    </cfRule>
    <cfRule type="expression" dxfId="119" priority="149">
      <formula>IF(BZ30&gt;=CA30,IF(BZ30="",FALSE,TRUE))</formula>
    </cfRule>
  </conditionalFormatting>
  <conditionalFormatting sqref="CB30:CB31">
    <cfRule type="expression" dxfId="118" priority="146">
      <formula>OR(IF(CB30&lt;CC30,TRUE),IF(AND(CC30="",CB30&lt;&gt;""),TRUE))</formula>
    </cfRule>
    <cfRule type="expression" dxfId="117" priority="147">
      <formula>IF(CB30&gt;=CC30,IF(CB30="",FALSE,TRUE))</formula>
    </cfRule>
  </conditionalFormatting>
  <conditionalFormatting sqref="BZ38:BZ42 CB38:CB42">
    <cfRule type="expression" dxfId="116" priority="144">
      <formula>OR(IF(BZ38&lt;CA38,TRUE),IF(AND(CA38="",BZ38&lt;&gt;""),TRUE))</formula>
    </cfRule>
    <cfRule type="expression" dxfId="115" priority="145">
      <formula>IF(BZ38&gt;=CA38,IF(BZ38="",FALSE,TRUE))</formula>
    </cfRule>
  </conditionalFormatting>
  <conditionalFormatting sqref="BZ49:BZ53 CB49:CB53">
    <cfRule type="expression" dxfId="114" priority="142">
      <formula>OR(IF(BZ49&lt;CA49,TRUE),IF(AND(CA49="",BZ49&lt;&gt;""),TRUE))</formula>
    </cfRule>
    <cfRule type="expression" dxfId="113" priority="143">
      <formula>IF(BZ49&gt;=CA49,IF(BZ49="",FALSE,TRUE))</formula>
    </cfRule>
  </conditionalFormatting>
  <conditionalFormatting sqref="CP21:CP27 CN21:CN27 CN32:CN35 CP32:CP35 CP43:CP46 CN43:CN46 CP54:CP56 CN54:CN56">
    <cfRule type="expression" dxfId="112" priority="126">
      <formula>OR(IF(CN21&lt;CO21,TRUE),IF(AND(CO21="",CN21&lt;&gt;""),TRUE))</formula>
    </cfRule>
    <cfRule type="expression" dxfId="111" priority="127">
      <formula>IF(CN21&gt;=CO21,IF(CN21="",FALSE,TRUE))</formula>
    </cfRule>
  </conditionalFormatting>
  <conditionalFormatting sqref="CN16:CN20 CP16:CP20">
    <cfRule type="expression" dxfId="110" priority="124">
      <formula>OR(IF(CN16&lt;CO16,TRUE),IF(AND(CO16="",CN16&lt;&gt;""),TRUE))</formula>
    </cfRule>
    <cfRule type="expression" dxfId="109" priority="125">
      <formula>IF(CN16&gt;=CO16,IF(CN16="",FALSE,TRUE))</formula>
    </cfRule>
  </conditionalFormatting>
  <conditionalFormatting sqref="CN30:CN31">
    <cfRule type="expression" dxfId="108" priority="120">
      <formula>OR(IF(CN30&lt;CO30,TRUE),IF(AND(CO30="",CN30&lt;&gt;""),TRUE))</formula>
    </cfRule>
    <cfRule type="expression" dxfId="107" priority="121">
      <formula>IF(CN30&gt;=CO30,IF(CN30="",FALSE,TRUE))</formula>
    </cfRule>
  </conditionalFormatting>
  <conditionalFormatting sqref="CP30:CP31">
    <cfRule type="expression" dxfId="106" priority="118">
      <formula>OR(IF(CP30&lt;CQ30,TRUE),IF(AND(CQ30="",CP30&lt;&gt;""),TRUE))</formula>
    </cfRule>
    <cfRule type="expression" dxfId="105" priority="119">
      <formula>IF(CP30&gt;=CQ30,IF(CP30="",FALSE,TRUE))</formula>
    </cfRule>
  </conditionalFormatting>
  <conditionalFormatting sqref="CN38:CN42 CP38:CP42">
    <cfRule type="expression" dxfId="104" priority="116">
      <formula>OR(IF(CN38&lt;CO38,TRUE),IF(AND(CO38="",CN38&lt;&gt;""),TRUE))</formula>
    </cfRule>
    <cfRule type="expression" dxfId="103" priority="117">
      <formula>IF(CN38&gt;=CO38,IF(CN38="",FALSE,TRUE))</formula>
    </cfRule>
  </conditionalFormatting>
  <conditionalFormatting sqref="CN49:CN53 CP49:CP53">
    <cfRule type="expression" dxfId="102" priority="114">
      <formula>OR(IF(CN49&lt;CO49,TRUE),IF(AND(CO49="",CN49&lt;&gt;""),TRUE))</formula>
    </cfRule>
    <cfRule type="expression" dxfId="101" priority="115">
      <formula>IF(CN49&gt;=CO49,IF(CN49="",FALSE,TRUE))</formula>
    </cfRule>
  </conditionalFormatting>
  <conditionalFormatting sqref="J5:K13">
    <cfRule type="colorScale" priority="573">
      <colorScale>
        <cfvo type="percent" val="0"/>
        <cfvo type="percent" val="100"/>
        <color rgb="FFFF231B"/>
        <color rgb="FF10FF07"/>
      </colorScale>
    </cfRule>
  </conditionalFormatting>
  <conditionalFormatting sqref="DD59:DD60">
    <cfRule type="expression" dxfId="100" priority="1">
      <formula>OR(IF(DD59&lt;DE59,TRUE),IF(AND(DE59="",DD59&lt;&gt;""),TRUE))</formula>
    </cfRule>
    <cfRule type="expression" dxfId="99" priority="2">
      <formula>IF(DD59&gt;=DE59,IF(DD59="",FALSE,TRUE))</formula>
    </cfRule>
  </conditionalFormatting>
  <conditionalFormatting sqref="CU5:CU13 CW5:CW13">
    <cfRule type="expression" dxfId="98" priority="112">
      <formula>OR(IF(CU5&lt;CV5,TRUE),IF(AND(CV5="",CU5&lt;&gt;""),TRUE))</formula>
    </cfRule>
    <cfRule type="expression" dxfId="97" priority="113">
      <formula>IF(CU5&gt;=CV5,IF(CU5="",FALSE,TRUE))</formula>
    </cfRule>
  </conditionalFormatting>
  <conditionalFormatting sqref="CU16:CU20 CW16:CW20">
    <cfRule type="expression" dxfId="96" priority="108">
      <formula>OR(IF(CU16&lt;CV16,TRUE),IF(AND(CV16="",CU16&lt;&gt;""),TRUE))</formula>
    </cfRule>
    <cfRule type="expression" dxfId="95" priority="109">
      <formula>IF(CU16&gt;=CV16,IF(CU16="",FALSE,TRUE))</formula>
    </cfRule>
  </conditionalFormatting>
  <conditionalFormatting sqref="CU38:CU42 CW38:CW42">
    <cfRule type="expression" dxfId="94" priority="102">
      <formula>OR(IF(CU38&lt;CV38,TRUE),IF(AND(CV38="",CU38&lt;&gt;""),TRUE))</formula>
    </cfRule>
    <cfRule type="expression" dxfId="93" priority="103">
      <formula>IF(CU38&gt;=CV38,IF(CU38="",FALSE,TRUE))</formula>
    </cfRule>
  </conditionalFormatting>
  <conditionalFormatting sqref="CU49:CU53 CW49:CW53">
    <cfRule type="expression" dxfId="92" priority="100">
      <formula>OR(IF(CU49&lt;CV49,TRUE),IF(AND(CV49="",CU49&lt;&gt;""),TRUE))</formula>
    </cfRule>
    <cfRule type="expression" dxfId="91" priority="101">
      <formula>IF(CU49&gt;=CV49,IF(CU49="",FALSE,TRUE))</formula>
    </cfRule>
  </conditionalFormatting>
  <conditionalFormatting sqref="CW21:CW27 CU21:CU27 CU32:CU35 CW32:CW35 CW43:CW46 CU43:CU46 CW54:CW56 CU54:CU56">
    <cfRule type="expression" dxfId="90" priority="110">
      <formula>OR(IF(CU21&lt;CV21,TRUE),IF(AND(CV21="",CU21&lt;&gt;""),TRUE))</formula>
    </cfRule>
    <cfRule type="expression" dxfId="89" priority="111">
      <formula>IF(CU21&gt;=CV21,IF(CU21="",FALSE,TRUE))</formula>
    </cfRule>
  </conditionalFormatting>
  <conditionalFormatting sqref="CU30:CU31">
    <cfRule type="expression" dxfId="88" priority="106">
      <formula>OR(IF(CU30&lt;CV30,TRUE),IF(AND(CV30="",CU30&lt;&gt;""),TRUE))</formula>
    </cfRule>
    <cfRule type="expression" dxfId="87" priority="107">
      <formula>IF(CU30&gt;=CV30,IF(CU30="",FALSE,TRUE))</formula>
    </cfRule>
  </conditionalFormatting>
  <conditionalFormatting sqref="CW30:CW31">
    <cfRule type="expression" dxfId="86" priority="104">
      <formula>OR(IF(CW30&lt;CX30,TRUE),IF(AND(CX30="",CW30&lt;&gt;""),TRUE))</formula>
    </cfRule>
    <cfRule type="expression" dxfId="85" priority="105">
      <formula>IF(CW30&gt;=CX30,IF(CW30="",FALSE,TRUE))</formula>
    </cfRule>
  </conditionalFormatting>
  <conditionalFormatting sqref="DB5:DB13 DD5:DD13">
    <cfRule type="expression" dxfId="84" priority="98">
      <formula>OR(IF(DB5&lt;DC5,TRUE),IF(AND(DC5="",DB5&lt;&gt;""),TRUE))</formula>
    </cfRule>
    <cfRule type="expression" dxfId="83" priority="99">
      <formula>IF(DB5&gt;=DC5,IF(DB5="",FALSE,TRUE))</formula>
    </cfRule>
  </conditionalFormatting>
  <conditionalFormatting sqref="DB16:DB20 DD16:DD20">
    <cfRule type="expression" dxfId="82" priority="94">
      <formula>OR(IF(DB16&lt;DC16,TRUE),IF(AND(DC16="",DB16&lt;&gt;""),TRUE))</formula>
    </cfRule>
    <cfRule type="expression" dxfId="81" priority="95">
      <formula>IF(DB16&gt;=DC16,IF(DB16="",FALSE,TRUE))</formula>
    </cfRule>
  </conditionalFormatting>
  <conditionalFormatting sqref="DB38:DB42 DD38:DD42">
    <cfRule type="expression" dxfId="80" priority="88">
      <formula>OR(IF(DB38&lt;DC38,TRUE),IF(AND(DC38="",DB38&lt;&gt;""),TRUE))</formula>
    </cfRule>
    <cfRule type="expression" dxfId="79" priority="89">
      <formula>IF(DB38&gt;=DC38,IF(DB38="",FALSE,TRUE))</formula>
    </cfRule>
  </conditionalFormatting>
  <conditionalFormatting sqref="DB49:DB53 DD49:DD53">
    <cfRule type="expression" dxfId="78" priority="86">
      <formula>OR(IF(DB49&lt;DC49,TRUE),IF(AND(DC49="",DB49&lt;&gt;""),TRUE))</formula>
    </cfRule>
    <cfRule type="expression" dxfId="77" priority="87">
      <formula>IF(DB49&gt;=DC49,IF(DB49="",FALSE,TRUE))</formula>
    </cfRule>
  </conditionalFormatting>
  <conditionalFormatting sqref="DD21:DD27 DB21:DB27 DB32:DB35 DD32:DD35 DD43:DD46 DB43:DB46 DD54:DD56 DB54:DB56">
    <cfRule type="expression" dxfId="76" priority="96">
      <formula>OR(IF(DB21&lt;DC21,TRUE),IF(AND(DC21="",DB21&lt;&gt;""),TRUE))</formula>
    </cfRule>
    <cfRule type="expression" dxfId="75" priority="97">
      <formula>IF(DB21&gt;=DC21,IF(DB21="",FALSE,TRUE))</formula>
    </cfRule>
  </conditionalFormatting>
  <conditionalFormatting sqref="DB30:DB31">
    <cfRule type="expression" dxfId="74" priority="92">
      <formula>OR(IF(DB30&lt;DC30,TRUE),IF(AND(DC30="",DB30&lt;&gt;""),TRUE))</formula>
    </cfRule>
    <cfRule type="expression" dxfId="73" priority="93">
      <formula>IF(DB30&gt;=DC30,IF(DB30="",FALSE,TRUE))</formula>
    </cfRule>
  </conditionalFormatting>
  <conditionalFormatting sqref="DD30:DD31">
    <cfRule type="expression" dxfId="72" priority="90">
      <formula>OR(IF(DD30&lt;DE30,TRUE),IF(AND(DE30="",DD30&lt;&gt;""),TRUE))</formula>
    </cfRule>
    <cfRule type="expression" dxfId="71" priority="91">
      <formula>IF(DD30&gt;=DE30,IF(DD30="",FALSE,TRUE))</formula>
    </cfRule>
  </conditionalFormatting>
  <conditionalFormatting sqref="V59:V60">
    <cfRule type="expression" dxfId="70" priority="69">
      <formula>OR(IF(V59&lt;W59,TRUE),IF(AND(W59="",V59&lt;&gt;""),TRUE))</formula>
    </cfRule>
    <cfRule type="expression" dxfId="69" priority="70">
      <formula>IF(V59&gt;=W59,IF(V59="",FALSE,TRUE))</formula>
    </cfRule>
  </conditionalFormatting>
  <conditionalFormatting sqref="AX59:AX60">
    <cfRule type="expression" dxfId="68" priority="81">
      <formula>OR(IF(AX59&lt;AY59,TRUE),IF(AND(AY59="",AX59&lt;&gt;""),TRUE))</formula>
    </cfRule>
    <cfRule type="expression" dxfId="67" priority="82">
      <formula>IF(AX59&gt;=AY59,IF(AX59="",FALSE,TRUE))</formula>
    </cfRule>
  </conditionalFormatting>
  <conditionalFormatting sqref="AZ59:AZ60">
    <cfRule type="expression" dxfId="66" priority="79">
      <formula>OR(IF(AZ59&lt;BA59,TRUE),IF(AND(BA59="",AZ59&lt;&gt;""),TRUE))</formula>
    </cfRule>
    <cfRule type="expression" dxfId="65" priority="80">
      <formula>IF(AZ59&gt;=BA59,IF(AZ59="",FALSE,TRUE))</formula>
    </cfRule>
  </conditionalFormatting>
  <conditionalFormatting sqref="AS59:AS60">
    <cfRule type="expression" dxfId="64" priority="49">
      <formula>OR(IF(AS59&lt;AT59,TRUE),IF(AND(AT59="",AS59&lt;&gt;""),TRUE))</formula>
    </cfRule>
    <cfRule type="expression" dxfId="63" priority="50">
      <formula>IF(AS59&gt;=AT59,IF(AS59="",FALSE,TRUE))</formula>
    </cfRule>
  </conditionalFormatting>
  <conditionalFormatting sqref="BE59:BE60">
    <cfRule type="expression" dxfId="62" priority="45">
      <formula>OR(IF(BE59&lt;BF59,TRUE),IF(AND(BF59="",BE59&lt;&gt;""),TRUE))</formula>
    </cfRule>
    <cfRule type="expression" dxfId="61" priority="46">
      <formula>IF(BE59&gt;=BF59,IF(BE59="",FALSE,TRUE))</formula>
    </cfRule>
  </conditionalFormatting>
  <conditionalFormatting sqref="CG59:CG60">
    <cfRule type="expression" dxfId="60" priority="21">
      <formula>OR(IF(CG59&lt;CH59,TRUE),IF(AND(CH59="",CG59&lt;&gt;""),TRUE))</formula>
    </cfRule>
    <cfRule type="expression" dxfId="59" priority="22">
      <formula>IF(CG59&gt;=CH59,IF(CG59="",FALSE,TRUE))</formula>
    </cfRule>
  </conditionalFormatting>
  <conditionalFormatting sqref="CI59:CI60">
    <cfRule type="expression" dxfId="58" priority="19">
      <formula>OR(IF(CI59&lt;CJ59,TRUE),IF(AND(CJ59="",CI59&lt;&gt;""),TRUE))</formula>
    </cfRule>
    <cfRule type="expression" dxfId="57" priority="20">
      <formula>IF(CI59&gt;=CJ59,IF(CI59="",FALSE,TRUE))</formula>
    </cfRule>
  </conditionalFormatting>
  <conditionalFormatting sqref="O59:O60">
    <cfRule type="expression" dxfId="56" priority="75">
      <formula>OR(IF(O59&lt;P59,TRUE),IF(AND(P59="",O59&lt;&gt;""),TRUE))</formula>
    </cfRule>
    <cfRule type="expression" dxfId="55" priority="76">
      <formula>IF(O59&gt;=P59,IF(O59="",FALSE,TRUE))</formula>
    </cfRule>
  </conditionalFormatting>
  <conditionalFormatting sqref="Q59:Q60">
    <cfRule type="expression" dxfId="54" priority="73">
      <formula>OR(IF(Q59&lt;R59,TRUE),IF(AND(R59="",Q59&lt;&gt;""),TRUE))</formula>
    </cfRule>
    <cfRule type="expression" dxfId="53" priority="74">
      <formula>IF(Q59&gt;=R59,IF(Q59="",FALSE,TRUE))</formula>
    </cfRule>
  </conditionalFormatting>
  <conditionalFormatting sqref="X59:X60">
    <cfRule type="expression" dxfId="52" priority="67">
      <formula>OR(IF(X59&lt;Y59,TRUE),IF(AND(Y59="",X59&lt;&gt;""),TRUE))</formula>
    </cfRule>
    <cfRule type="expression" dxfId="51" priority="68">
      <formula>IF(X59&gt;=Y59,IF(X59="",FALSE,TRUE))</formula>
    </cfRule>
  </conditionalFormatting>
  <conditionalFormatting sqref="AC59:AC60">
    <cfRule type="expression" dxfId="50" priority="63">
      <formula>OR(IF(AC59&lt;AD59,TRUE),IF(AND(AD59="",AC59&lt;&gt;""),TRUE))</formula>
    </cfRule>
    <cfRule type="expression" dxfId="49" priority="64">
      <formula>IF(AC59&gt;=AD59,IF(AC59="",FALSE,TRUE))</formula>
    </cfRule>
  </conditionalFormatting>
  <conditionalFormatting sqref="AE59:AE60">
    <cfRule type="expression" dxfId="48" priority="61">
      <formula>OR(IF(AE59&lt;AF59,TRUE),IF(AND(AF59="",AE59&lt;&gt;""),TRUE))</formula>
    </cfRule>
    <cfRule type="expression" dxfId="47" priority="62">
      <formula>IF(AE59&gt;=AF59,IF(AE59="",FALSE,TRUE))</formula>
    </cfRule>
  </conditionalFormatting>
  <conditionalFormatting sqref="AJ59:AJ60">
    <cfRule type="expression" dxfId="46" priority="57">
      <formula>OR(IF(AJ59&lt;AK59,TRUE),IF(AND(AK59="",AJ59&lt;&gt;""),TRUE))</formula>
    </cfRule>
    <cfRule type="expression" dxfId="45" priority="58">
      <formula>IF(AJ59&gt;=AK59,IF(AJ59="",FALSE,TRUE))</formula>
    </cfRule>
  </conditionalFormatting>
  <conditionalFormatting sqref="AL59:AL60">
    <cfRule type="expression" dxfId="44" priority="55">
      <formula>OR(IF(AL59&lt;AM59,TRUE),IF(AND(AM59="",AL59&lt;&gt;""),TRUE))</formula>
    </cfRule>
    <cfRule type="expression" dxfId="43" priority="56">
      <formula>IF(AL59&gt;=AM59,IF(AL59="",FALSE,TRUE))</formula>
    </cfRule>
  </conditionalFormatting>
  <conditionalFormatting sqref="AQ59:AQ60">
    <cfRule type="expression" dxfId="42" priority="51">
      <formula>OR(IF(AQ59&lt;AR59,TRUE),IF(AND(AR59="",AQ59&lt;&gt;""),TRUE))</formula>
    </cfRule>
    <cfRule type="expression" dxfId="41" priority="52">
      <formula>IF(AQ59&gt;=AR59,IF(AQ59="",FALSE,TRUE))</formula>
    </cfRule>
  </conditionalFormatting>
  <conditionalFormatting sqref="BG59:BG60">
    <cfRule type="expression" dxfId="40" priority="43">
      <formula>OR(IF(BG59&lt;BH59,TRUE),IF(AND(BH59="",BG59&lt;&gt;""),TRUE))</formula>
    </cfRule>
    <cfRule type="expression" dxfId="39" priority="44">
      <formula>IF(BG59&gt;=BH59,IF(BG59="",FALSE,TRUE))</formula>
    </cfRule>
  </conditionalFormatting>
  <conditionalFormatting sqref="BL59:BL60">
    <cfRule type="expression" dxfId="38" priority="39">
      <formula>OR(IF(BL59&lt;BM59,TRUE),IF(AND(BM59="",BL59&lt;&gt;""),TRUE))</formula>
    </cfRule>
    <cfRule type="expression" dxfId="37" priority="40">
      <formula>IF(BL59&gt;=BM59,IF(BL59="",FALSE,TRUE))</formula>
    </cfRule>
  </conditionalFormatting>
  <conditionalFormatting sqref="BN59:BN60">
    <cfRule type="expression" dxfId="36" priority="37">
      <formula>OR(IF(BN59&lt;BO59,TRUE),IF(AND(BO59="",BN59&lt;&gt;""),TRUE))</formula>
    </cfRule>
    <cfRule type="expression" dxfId="35" priority="38">
      <formula>IF(BN59&gt;=BO59,IF(BN59="",FALSE,TRUE))</formula>
    </cfRule>
  </conditionalFormatting>
  <conditionalFormatting sqref="BS59:BS60">
    <cfRule type="expression" dxfId="34" priority="33">
      <formula>OR(IF(BS59&lt;BT59,TRUE),IF(AND(BT59="",BS59&lt;&gt;""),TRUE))</formula>
    </cfRule>
    <cfRule type="expression" dxfId="33" priority="34">
      <formula>IF(BS59&gt;=BT59,IF(BS59="",FALSE,TRUE))</formula>
    </cfRule>
  </conditionalFormatting>
  <conditionalFormatting sqref="BU59:BU60">
    <cfRule type="expression" dxfId="32" priority="31">
      <formula>OR(IF(BU59&lt;BV59,TRUE),IF(AND(BV59="",BU59&lt;&gt;""),TRUE))</formula>
    </cfRule>
    <cfRule type="expression" dxfId="31" priority="32">
      <formula>IF(BU59&gt;=BV59,IF(BU59="",FALSE,TRUE))</formula>
    </cfRule>
  </conditionalFormatting>
  <conditionalFormatting sqref="BZ59:BZ60">
    <cfRule type="expression" dxfId="30" priority="27">
      <formula>OR(IF(BZ59&lt;CA59,TRUE),IF(AND(CA59="",BZ59&lt;&gt;""),TRUE))</formula>
    </cfRule>
    <cfRule type="expression" dxfId="29" priority="28">
      <formula>IF(BZ59&gt;=CA59,IF(BZ59="",FALSE,TRUE))</formula>
    </cfRule>
  </conditionalFormatting>
  <conditionalFormatting sqref="CB59:CB60">
    <cfRule type="expression" dxfId="28" priority="25">
      <formula>OR(IF(CB59&lt;CC59,TRUE),IF(AND(CC59="",CB59&lt;&gt;""),TRUE))</formula>
    </cfRule>
    <cfRule type="expression" dxfId="27" priority="26">
      <formula>IF(CB59&gt;=CC59,IF(CB59="",FALSE,TRUE))</formula>
    </cfRule>
  </conditionalFormatting>
  <conditionalFormatting sqref="CN59:CN60">
    <cfRule type="expression" dxfId="26" priority="15">
      <formula>OR(IF(CN59&lt;CO59,TRUE),IF(AND(CO59="",CN59&lt;&gt;""),TRUE))</formula>
    </cfRule>
    <cfRule type="expression" dxfId="25" priority="16">
      <formula>IF(CN59&gt;=CO59,IF(CN59="",FALSE,TRUE))</formula>
    </cfRule>
  </conditionalFormatting>
  <conditionalFormatting sqref="CP59:CP60">
    <cfRule type="expression" dxfId="24" priority="13">
      <formula>OR(IF(CP59&lt;CQ59,TRUE),IF(AND(CQ59="",CP59&lt;&gt;""),TRUE))</formula>
    </cfRule>
    <cfRule type="expression" dxfId="23" priority="14">
      <formula>IF(CP59&gt;=CQ59,IF(CP59="",FALSE,TRUE))</formula>
    </cfRule>
  </conditionalFormatting>
  <conditionalFormatting sqref="CU59:CU60">
    <cfRule type="expression" dxfId="22" priority="9">
      <formula>OR(IF(CU59&lt;CV59,TRUE),IF(AND(CV59="",CU59&lt;&gt;""),TRUE))</formula>
    </cfRule>
    <cfRule type="expression" dxfId="21" priority="10">
      <formula>IF(CU59&gt;=CV59,IF(CU59="",FALSE,TRUE))</formula>
    </cfRule>
  </conditionalFormatting>
  <conditionalFormatting sqref="CW59:CW60">
    <cfRule type="expression" dxfId="20" priority="7">
      <formula>OR(IF(CW59&lt;CX59,TRUE),IF(AND(CX59="",CW59&lt;&gt;""),TRUE))</formula>
    </cfRule>
    <cfRule type="expression" dxfId="19" priority="8">
      <formula>IF(CW59&gt;=CX59,IF(CW59="",FALSE,TRUE))</formula>
    </cfRule>
  </conditionalFormatting>
  <conditionalFormatting sqref="DB59:DB60">
    <cfRule type="expression" dxfId="18" priority="3">
      <formula>OR(IF(DB59&lt;DC59,TRUE),IF(AND(DC59="",DB59&lt;&gt;""),TRUE))</formula>
    </cfRule>
    <cfRule type="expression" dxfId="17" priority="4">
      <formula>IF(DB59&gt;=DC59,IF(DB59="",FALSE,TRUE))</formula>
    </cfRule>
  </conditionalFormatting>
  <conditionalFormatting sqref="J59:K62">
    <cfRule type="colorScale" priority="582">
      <colorScale>
        <cfvo type="percent" val="0"/>
        <cfvo type="percent" val="100"/>
        <color rgb="FFFF231B"/>
        <color rgb="FF10FF07"/>
      </colorScale>
    </cfRule>
  </conditionalFormatting>
  <dataValidations count="1">
    <dataValidation type="list" allowBlank="1" showInputMessage="1" showErrorMessage="1" sqref="V16:Y27 AC16:AF27 O16:R27 O5:R13 O30:R35 V5:Y13 V30:Y35 V49:Y56 AC5:AF13 AC30:AF35 AC49:AF56 DB59:DE62 AJ5:AM13 BE16:BH27 AJ30:AM35 AQ16:AT27 AQ5:AT13 AQ30:AT35 BE5:BH13 BE30:BH35 AJ49:AM56 AQ49:AT56 O49:R56 V38:Y46 AC38:AF46 AJ38:AM46 AQ38:AT46 BE49:BH56 BE38:BH46 O38:R46 AX16:BA27 AX5:BA13 AX30:BA35 AX49:BA56 AX38:BA46 BL16:BO27 BL5:BO13 BL30:BO35 BL49:BO56 BL38:BO46 BS16:BV27 BS5:BV13 BS30:BV35 BS49:BV56 BS38:BV46 BZ16:CC27 BZ5:CC13 BZ30:CC35 BZ49:CC56 BZ38:CC46 CG16:CJ27 CG5:CJ13 CG30:CJ35 CG49:CJ56 CG38:CJ46 CN16:CQ27 CN5:CQ13 CN30:CQ35 CN49:CQ56 CN38:CQ46 CU16:CX27 CU5:CX13 CU30:CX35 CU49:CX56 CU38:CX46 DB16:DE27 DB5:DE13 DB30:DE35 DB49:DE56 DB38:DE46 O59:R62 V59:Y62 AC59:AF62 AJ59:AM62 AQ59:AT62 BE59:BH62 AX59:BA62 BL59:BO62 BS59:BV62 BZ59:CC62 CG59:CJ62 CN59:CQ62 CU59:CX62 AJ16:AM27" xr:uid="{00000000-0002-0000-0100-000000000000}">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
  <sheetViews>
    <sheetView workbookViewId="0">
      <selection activeCell="J10" sqref="J10"/>
    </sheetView>
  </sheetViews>
  <sheetFormatPr baseColWidth="10"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49</v>
      </c>
      <c r="B1" s="17" t="s">
        <v>46</v>
      </c>
      <c r="C1" s="17" t="s">
        <v>47</v>
      </c>
      <c r="D1" s="17" t="s">
        <v>48</v>
      </c>
      <c r="E1" s="1" t="s">
        <v>50</v>
      </c>
      <c r="F1" s="1" t="s">
        <v>51</v>
      </c>
      <c r="G1" s="1" t="s">
        <v>52</v>
      </c>
      <c r="H1" s="1" t="s">
        <v>53</v>
      </c>
      <c r="I1" s="1" t="s">
        <v>54</v>
      </c>
      <c r="J1" s="1" t="s">
        <v>55</v>
      </c>
      <c r="K1" s="1" t="s">
        <v>56</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00000000-0002-0000-0200-000000000000}">
      <formula1>"Ja,Nein"</formula1>
    </dataValidation>
    <dataValidation type="list" allowBlank="1" showInputMessage="1" showErrorMessage="1" sqref="D2" xr:uid="{00000000-0002-0000-0200-000001000000}">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topLeftCell="A10" zoomScale="117" workbookViewId="0">
      <selection activeCell="C32" sqref="C32"/>
    </sheetView>
  </sheetViews>
  <sheetFormatPr baseColWidth="10" defaultColWidth="10.6640625" defaultRowHeight="16" x14ac:dyDescent="0.2"/>
  <cols>
    <col min="3" max="3" width="34.83203125" customWidth="1"/>
  </cols>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c r="C13" s="21" t="s">
        <v>117</v>
      </c>
    </row>
    <row r="14" spans="1:8" x14ac:dyDescent="0.2">
      <c r="A14" s="10">
        <v>0.35416666666666702</v>
      </c>
      <c r="C14" s="21"/>
    </row>
    <row r="15" spans="1:8" x14ac:dyDescent="0.2">
      <c r="A15" s="10">
        <v>0.375</v>
      </c>
      <c r="C15" s="21"/>
    </row>
    <row r="16" spans="1:8" x14ac:dyDescent="0.2">
      <c r="A16" s="10">
        <v>0.39583333333333398</v>
      </c>
      <c r="C16" s="21"/>
    </row>
    <row r="17" spans="1:3" x14ac:dyDescent="0.2">
      <c r="A17" s="10">
        <v>0.41666666666666702</v>
      </c>
      <c r="C17" s="21"/>
    </row>
    <row r="18" spans="1:3" x14ac:dyDescent="0.2">
      <c r="A18" s="10">
        <v>0.4375</v>
      </c>
      <c r="C18" s="21"/>
    </row>
    <row r="19" spans="1:3" x14ac:dyDescent="0.2">
      <c r="A19" s="10">
        <v>0.45833333333333398</v>
      </c>
      <c r="C19" s="21"/>
    </row>
    <row r="20" spans="1:3" x14ac:dyDescent="0.2">
      <c r="A20" s="10">
        <v>0.47916666666666702</v>
      </c>
      <c r="C20" s="23" t="s">
        <v>120</v>
      </c>
    </row>
    <row r="21" spans="1:3" x14ac:dyDescent="0.2">
      <c r="A21" s="10">
        <v>0.5</v>
      </c>
      <c r="C21" s="23"/>
    </row>
    <row r="22" spans="1:3" x14ac:dyDescent="0.2">
      <c r="A22" s="10">
        <v>0.52083333333333404</v>
      </c>
      <c r="C22" s="23"/>
    </row>
    <row r="23" spans="1:3" x14ac:dyDescent="0.2">
      <c r="A23" s="10">
        <v>0.54166666666666696</v>
      </c>
      <c r="C23" s="24" t="s">
        <v>121</v>
      </c>
    </row>
    <row r="24" spans="1:3" x14ac:dyDescent="0.2">
      <c r="A24" s="10">
        <v>0.5625</v>
      </c>
      <c r="C24" s="24"/>
    </row>
    <row r="25" spans="1:3" x14ac:dyDescent="0.2">
      <c r="A25" s="10">
        <v>0.58333333333333404</v>
      </c>
      <c r="C25" s="21" t="s">
        <v>118</v>
      </c>
    </row>
    <row r="26" spans="1:3" x14ac:dyDescent="0.2">
      <c r="A26" s="10">
        <v>0.60416666666666696</v>
      </c>
      <c r="C26" s="21"/>
    </row>
    <row r="27" spans="1:3" x14ac:dyDescent="0.2">
      <c r="A27" s="10">
        <v>0.625000000000001</v>
      </c>
      <c r="C27" s="21"/>
    </row>
    <row r="28" spans="1:3" x14ac:dyDescent="0.2">
      <c r="A28" s="10">
        <v>0.64583333333333404</v>
      </c>
      <c r="C28" s="21"/>
    </row>
    <row r="29" spans="1:3" x14ac:dyDescent="0.2">
      <c r="A29" s="10">
        <v>0.66666666666666696</v>
      </c>
      <c r="C29" s="21"/>
    </row>
    <row r="30" spans="1:3" x14ac:dyDescent="0.2">
      <c r="A30" s="10">
        <v>0.687500000000001</v>
      </c>
      <c r="C30" s="22" t="s">
        <v>119</v>
      </c>
    </row>
    <row r="31" spans="1:3" x14ac:dyDescent="0.2">
      <c r="A31" s="10">
        <v>0.70833333333333404</v>
      </c>
      <c r="C31" s="22"/>
    </row>
    <row r="32" spans="1:3"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mergeCells count="5">
    <mergeCell ref="C13:C19"/>
    <mergeCell ref="C25:C29"/>
    <mergeCell ref="C30:C31"/>
    <mergeCell ref="C20:C22"/>
    <mergeCell ref="C23:C24"/>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7"/>
  <sheetViews>
    <sheetView zoomScale="117" workbookViewId="0">
      <selection activeCell="G26" sqref="G2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Anleitung</vt:lpstr>
      <vt:lpstr>Semesterplan</vt:lpstr>
      <vt:lpstr>COMMITTMENT</vt:lpstr>
      <vt:lpstr>Wochenplan KW 17</vt:lpstr>
      <vt:lpstr>Wochenplan KW 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Office-Benutzer</cp:lastModifiedBy>
  <dcterms:created xsi:type="dcterms:W3CDTF">2020-04-19T13:33:28Z</dcterms:created>
  <dcterms:modified xsi:type="dcterms:W3CDTF">2021-04-26T17:09:50Z</dcterms:modified>
</cp:coreProperties>
</file>