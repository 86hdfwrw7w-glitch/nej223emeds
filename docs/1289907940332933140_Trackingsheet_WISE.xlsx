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166925"/>
  <mc:AlternateContent xmlns:mc="http://schemas.openxmlformats.org/markup-compatibility/2006">
    <mc:Choice Requires="x15">
      <x15ac:absPath xmlns:x15ac="http://schemas.microsoft.com/office/spreadsheetml/2010/11/ac" url="/Users/michaelhoermann/Downloads/"/>
    </mc:Choice>
  </mc:AlternateContent>
  <xr:revisionPtr revIDLastSave="0" documentId="13_ncr:1_{479FDF91-80F2-A246-BF9D-9D773682CE85}" xr6:coauthVersionLast="47" xr6:coauthVersionMax="47" xr10:uidLastSave="{00000000-0000-0000-0000-000000000000}"/>
  <bookViews>
    <workbookView xWindow="4300" yWindow="880" windowWidth="29900" windowHeight="19800" activeTab="1" xr2:uid="{50F29292-BE80-0C47-A0D2-DD086CB3D310}"/>
  </bookViews>
  <sheets>
    <sheet name="ANLEITUNG" sheetId="10" r:id="rId1"/>
    <sheet name="Semesterplan" sheetId="7" r:id="rId2"/>
    <sheet name="Best-Practices" sheetId="2" r:id="rId3"/>
    <sheet name="COMMITTMENT" sheetId="9" r:id="rId4"/>
    <sheet name="Wochenplan KW 40" sheetId="3" r:id="rId5"/>
    <sheet name="Wochenplan KW 41" sheetId="8"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I5" i="7" l="1"/>
  <c r="I6" i="7"/>
  <c r="I7" i="7"/>
  <c r="I8" i="7"/>
  <c r="I9" i="7"/>
  <c r="I10" i="7"/>
  <c r="I11" i="7"/>
  <c r="I12" i="7"/>
  <c r="I13" i="7"/>
  <c r="I14" i="7"/>
  <c r="AW18" i="7"/>
  <c r="K26" i="7" a="1"/>
  <c r="K26" i="7" s="1"/>
  <c r="J26" i="7" a="1"/>
  <c r="J26" i="7" s="1"/>
  <c r="I26" i="7"/>
  <c r="BR4" i="7"/>
  <c r="K21" i="7" a="1"/>
  <c r="K21" i="7" s="1"/>
  <c r="I21" i="7"/>
  <c r="I20" i="7"/>
  <c r="BK4" i="7"/>
  <c r="C12" i="10"/>
  <c r="K27" i="7" a="1"/>
  <c r="K27" i="7" s="1"/>
  <c r="J27" i="7" a="1"/>
  <c r="J27" i="7" s="1"/>
  <c r="K25" i="7" a="1"/>
  <c r="K25" i="7" s="1"/>
  <c r="J25" i="7" a="1"/>
  <c r="J25" i="7" s="1"/>
  <c r="K24" i="7" a="1"/>
  <c r="K24" i="7" s="1"/>
  <c r="J24" i="7" a="1"/>
  <c r="J24" i="7" s="1"/>
  <c r="K23" i="7" a="1"/>
  <c r="K23" i="7" s="1"/>
  <c r="J23" i="7" a="1"/>
  <c r="J23" i="7" s="1"/>
  <c r="K22" i="7" a="1"/>
  <c r="K22" i="7" s="1"/>
  <c r="J22" i="7" a="1"/>
  <c r="J22" i="7" s="1"/>
  <c r="K40" i="7" a="1"/>
  <c r="K40" i="7" s="1"/>
  <c r="J40" i="7" a="1"/>
  <c r="J40" i="7" s="1"/>
  <c r="K39" i="7" a="1"/>
  <c r="K39" i="7" s="1"/>
  <c r="J39" i="7" a="1"/>
  <c r="J39" i="7" s="1"/>
  <c r="K38" i="7" a="1"/>
  <c r="K38" i="7" s="1"/>
  <c r="J38" i="7" a="1"/>
  <c r="J38" i="7" s="1"/>
  <c r="K37" i="7" a="1"/>
  <c r="K37" i="7" s="1"/>
  <c r="J37" i="7" a="1"/>
  <c r="J37" i="7" s="1"/>
  <c r="K36" i="7" a="1"/>
  <c r="K36" i="7" s="1"/>
  <c r="J36" i="7" a="1"/>
  <c r="J36" i="7" s="1"/>
  <c r="K35" i="7" a="1"/>
  <c r="K35" i="7" s="1"/>
  <c r="J35" i="7" a="1"/>
  <c r="J35" i="7" s="1"/>
  <c r="K34" i="7" a="1"/>
  <c r="K34" i="7" s="1"/>
  <c r="J34" i="7" a="1"/>
  <c r="J34" i="7" s="1"/>
  <c r="K33" i="7" a="1"/>
  <c r="K33" i="7" s="1"/>
  <c r="J33" i="7" a="1"/>
  <c r="J33" i="7" s="1"/>
  <c r="K32" i="7" a="1"/>
  <c r="K32" i="7" s="1"/>
  <c r="J32" i="7" a="1"/>
  <c r="J32" i="7" s="1"/>
  <c r="K31" i="7" a="1"/>
  <c r="K31" i="7" s="1"/>
  <c r="J31" i="7" a="1"/>
  <c r="J31" i="7" s="1"/>
  <c r="K30" i="7" a="1"/>
  <c r="K30" i="7" s="1"/>
  <c r="J30" i="7" a="1"/>
  <c r="J30" i="7" s="1"/>
  <c r="K16" i="7" a="1"/>
  <c r="K16" i="7" s="1"/>
  <c r="J16" i="7" a="1"/>
  <c r="J16" i="7" s="1"/>
  <c r="K15" i="7" a="1"/>
  <c r="K15" i="7" s="1"/>
  <c r="J15" i="7" a="1"/>
  <c r="J15" i="7" s="1"/>
  <c r="AP18" i="7"/>
  <c r="AI18" i="7"/>
  <c r="AB18" i="7"/>
  <c r="U18" i="7"/>
  <c r="BD4" i="7"/>
  <c r="AW4" i="7"/>
  <c r="AP4" i="7"/>
  <c r="AI4" i="7"/>
  <c r="AB4" i="7"/>
  <c r="U4" i="7"/>
  <c r="N4" i="7"/>
  <c r="N18" i="7"/>
  <c r="G4" i="7"/>
  <c r="AP29" i="7"/>
  <c r="AI29" i="7"/>
  <c r="AB29" i="7"/>
  <c r="U29" i="7"/>
  <c r="I40" i="7"/>
  <c r="I39" i="7"/>
  <c r="I38" i="7"/>
  <c r="I37" i="7"/>
  <c r="I36" i="7"/>
  <c r="I35" i="7"/>
  <c r="I34" i="7"/>
  <c r="I33" i="7"/>
  <c r="I32" i="7"/>
  <c r="I31" i="7"/>
  <c r="I30" i="7"/>
  <c r="I27" i="7"/>
  <c r="I25" i="7"/>
  <c r="I24" i="7"/>
  <c r="I23" i="7"/>
  <c r="I22" i="7"/>
  <c r="I19" i="7"/>
  <c r="I15" i="7"/>
  <c r="I16" i="7"/>
  <c r="N29" i="7"/>
  <c r="G29" i="7"/>
  <c r="G18" i="7"/>
  <c r="I29" i="7" l="1"/>
  <c r="J29" i="7"/>
  <c r="K29" i="7"/>
  <c r="I18" i="7"/>
  <c r="J18" i="7"/>
  <c r="K18" i="7"/>
  <c r="K4" i="7"/>
  <c r="I4" i="7" l="1"/>
  <c r="J4"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<sst xmlns="http://schemas.openxmlformats.org/spreadsheetml/2006/main" count="357" uniqueCount="130">
  <si>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</si>
  <si>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</si>
  <si>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</si>
  <si>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</si>
  <si>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</si>
  <si>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</si>
  <si>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</si>
  <si>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</si>
  <si>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</si>
  <si>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</si>
  <si>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</si>
  <si>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</si>
  <si>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</si>
  <si>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</si>
  <si>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</si>
  <si>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</si>
  <si>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</si>
  <si>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</si>
  <si>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</si>
  <si>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</si>
  <si>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</si>
  <si>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</si>
  <si>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</si>
  <si>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</si>
  <si>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</si>
  <si>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</si>
  <si>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</si>
  <si>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</si>
  <si>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</si>
  <si>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</si>
  <si>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1) Einführung</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</si>
  <si>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</si>
  <si>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</si>
  <si>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</si>
  <si>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</si>
  <si>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</si>
  <si>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</si>
  <si>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</si>
  <si>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</si>
  <si>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</si>
  <si>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</si>
  <si>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</si>
  <si>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</si>
  <si>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</si>
  <si>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</si>
  <si>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</si>
  <si>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</si>
  <si>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</si>
  <si>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</si>
  <si>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</si>
  <si>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</si>
  <si>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</si>
  <si>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</si>
  <si>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</si>
  <si>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</si>
  <si>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</si>
  <si>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</si>
  <si>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</si>
  <si>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</si>
  <si>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</si>
  <si>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</si>
  <si>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</si>
  <si>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</si>
  <si>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</si>
  <si>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</si>
  <si>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</si>
  <si>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</si>
  <si>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</si>
  <si>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</si>
  <si>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</si>
  <si>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</si>
  <si>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</si>
  <si>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</si>
  <si>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</si>
  <si>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</si>
  <si>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</si>
  <si>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</si>
  <si>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</si>
  <si>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</si>
  <si>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</si>
  <si>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</si>
  <si>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</si>
  <si>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</si>
  <si>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</si>
  <si>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</si>
  <si>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</si>
  <si>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</si>
  <si>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</si>
  <si>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KlausurFrüh</t>
  </si>
  <si>
    <t>KW 40</t>
  </si>
  <si>
    <t>KW 41</t>
  </si>
  <si>
    <t>KW 42</t>
  </si>
  <si>
    <t>KW 43</t>
  </si>
  <si>
    <t>KW 44</t>
  </si>
  <si>
    <t>KW 45</t>
  </si>
  <si>
    <t>KW 46</t>
  </si>
  <si>
    <t>KW 47</t>
  </si>
  <si>
    <t>EÖR</t>
  </si>
  <si>
    <t>25.11-1.12</t>
  </si>
  <si>
    <t>BWDI</t>
  </si>
  <si>
    <t>VWL/ZUWI</t>
  </si>
  <si>
    <t>2) Innerstaatliches Organisationsrecht</t>
  </si>
  <si>
    <t>3) Organisationsrecht der EU</t>
  </si>
  <si>
    <t>4) Grundrechte der Wirtschaft</t>
  </si>
  <si>
    <t>5) Binnenmarktrecht</t>
  </si>
  <si>
    <t>6) Gewerbliches Berufsrecht</t>
  </si>
  <si>
    <t>7) Betriebsanlagenrecht, Baurecht und Verwaltungsverfahren</t>
  </si>
  <si>
    <t>8) Verwaltungsverfahren und nationaler Rechtsschutz</t>
  </si>
  <si>
    <t>9) Ausgewähltes zum Unionsrecht</t>
  </si>
  <si>
    <t>1) Wirtschaftsinformatik</t>
  </si>
  <si>
    <t>2) „Wie vermarkte ich digitale Güter?“</t>
  </si>
  <si>
    <t>3) „Wie produziere ich digitale Güter?“</t>
  </si>
  <si>
    <t>4) „Wie betreibe, erhalte und innoviere ich digitale Güter?“</t>
  </si>
  <si>
    <t>BW</t>
  </si>
  <si>
    <t>DI</t>
  </si>
  <si>
    <t xml:space="preserve"> </t>
  </si>
  <si>
    <t>27.1-31.1</t>
  </si>
  <si>
    <t>1) Was ist Betriebswirtschaft?</t>
  </si>
  <si>
    <t>2) Unternehmerische Perspektive</t>
  </si>
  <si>
    <t>3) Strategische Perspektive</t>
  </si>
  <si>
    <t>4) Finanzwirtschaftliche Perspektive</t>
  </si>
  <si>
    <t>5) Kundenperspektive</t>
  </si>
  <si>
    <t>6) Produktionsperspektive</t>
  </si>
  <si>
    <t>7) Personalperspektive</t>
  </si>
  <si>
    <t>8) Unternehmensethik und Corporate Governance</t>
  </si>
  <si>
    <t xml:space="preserve">          Freitag</t>
  </si>
  <si>
    <t xml:space="preserve"> Donnerstag</t>
  </si>
  <si>
    <t>VL</t>
  </si>
  <si>
    <t>Lernen</t>
  </si>
  <si>
    <t>Gym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</si>
</sst>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sz val="8"/>
      <name val="Calibri"/>
      <family val="2"/>
      <scheme val="minor"/>
    </font>
  </fonts>
  <fills count="10">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
      <patternFill patternType="solid">
        <fgColor theme="4"/>
        <bgColor indexed="64"/>
      </patternFill>
    </fill>
    <fill>
      <patternFill patternType="solid">
        <fgColor rgb="FF7D1EB2"/>
        <bgColor indexed="64"/>
      </patternFill>
    </fill>
    <fill>
      <patternFill patternType="solid">
        <fgColor rgb="FFC4FF87"/>
        <bgColor indexed="64"/>
      </patternFill>
    </fill>
  </fills>
  <borders count="1">
    <border>
      <left/>
      <right/>
      <top/>
      <bottom/>
      <diagonal/>
    </border>
  </borders>
  <cellStyleXfs count="1">
    <xf numFmtId="0" fontId="0" fillId="0" borderId="0"/>
  </cellStyleXfs>
  <cellXfs count="24">
    <xf numFmtId="0" fontId="0" fillId="0" borderId="0" xfId="0"/>
    <xf numFmtId="0" fontId="0" fillId="0" borderId="0" xfId="0" applyAlignment="1">
      <alignment wrapText="1"/>
    </xf>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20" fontId="0" fillId="0" borderId="0" xfId="0" applyNumberForma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0" fontId="0" fillId="4" borderId="0" xfId="0" applyFill="1"/>
    <xf numFmtId="0" fontId="0" fillId="5" borderId="0" xfId="0" applyFill="1"/>
    <xf numFmtId="0" fontId="0" fillId="6" borderId="0" xfId="0" applyFill="1"/>
    <xf numFmtId="14" fontId="0" fillId="0" borderId="0" xfId="0" applyNumberFormat="1"/>
    <xf numFmtId="0" fontId="0" fillId="7" borderId="0" xfId="0" applyFill="1"/>
    <xf numFmtId="0" fontId="0" fillId="8" borderId="0" xfId="0" applyFill="1"/>
    <xf numFmtId="0" fontId="1" fillId="2" borderId="0" xfId="0" applyFont="1" applyFill="1" applyAlignment="1">
      <alignment horizontal="center"/>
    </xf>
    <xf numFmtId="0" fontId="0" fillId="9" borderId="0" xfId="0" applyFill="1"/>
  </cellXfs>
  <cellStyles count="1">
    <cellStyle name="Standard" xfId="0" builtinId="0"/>
  </cellStyles>
  <dxfs count="75">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
      <alignment horizontal="center"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C4FF87"/>
      <color rgb="FF7D1EB2"/>
      <color rgb="FF00FF29"/>
      <color rgb="FF56FF5E"/>
      <color rgb="FFFFDE7F"/>
      <color rgb="FFFF755A"/>
      <color rgb="FFFDFF05"/>
      <color rgb="FF10FF07"/>
      <color rgb="FFFF231B"/>
      <color rgb="FFE0E0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74">
  <autoFilter ref="A1:K46" xr:uid="{6E266E34-2786-2747-BCE7-51B74867A564}"/>
  <tableColumns count="11">
    <tableColumn id="1" xr3:uid="{95FD92F7-3DC8-704D-A103-A7EDDAB255AB}" name="Datum" dataDxfId="73"/>
    <tableColumn id="2" xr3:uid="{F464D510-8166-E740-A343-FB84BDEF877F}" name="Lerneinheiten durchgezogen" dataDxfId="72"/>
    <tableColumn id="3" xr3:uid="{75F52B08-1A00-0848-BBE6-1EDF7B31B1AD}" name="Tagesplan erstellt" dataDxfId="71"/>
    <tableColumn id="4" xr3:uid="{E6B18D89-E799-AD48-9DAA-37AEE1D29011}" name="Konzentrationslevel" dataDxfId="70"/>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2:D17"/>
  <sheetViews>
    <sheetView workbookViewId="0">
      <selection activeCell="C12" sqref="C12"/>
    </sheetView>
  </sheetViews>
  <sheetFormatPr baseColWidth="10" defaultRowHeight="16" x14ac:dyDescent="0.2"/>
  <cols>
    <col min="1" max="1" width="11.83203125" customWidth="1"/>
    <col min="2" max="2" width="62.6640625" customWidth="1"/>
  </cols>
  <sheetData>
    <row r="2" spans="1:4" x14ac:dyDescent="0.2">
      <c r="C2" s="18" t="s">
        <v>72</v>
      </c>
    </row>
    <row r="3" spans="1:4" x14ac:dyDescent="0.2">
      <c r="C3" s="17" t="s">
        <v>57</v>
      </c>
    </row>
    <row r="4" spans="1:4" x14ac:dyDescent="0.2">
      <c r="C4" s="16" t="s">
        <v>71</v>
      </c>
    </row>
    <row r="5" spans="1:4" x14ac:dyDescent="0.2">
      <c r="A5" s="2" t="s">
        <v>54</v>
      </c>
      <c r="B5" s="2" t="s">
        <v>55</v>
      </c>
      <c r="C5" s="2" t="s">
        <v>56</v>
      </c>
      <c r="D5" s="2" t="s">
        <v>58</v>
      </c>
    </row>
    <row r="6" spans="1:4" x14ac:dyDescent="0.2">
      <c r="A6" t="s">
        <v>50</v>
      </c>
      <c r="B6" s="18" t="s">
        <v>53</v>
      </c>
      <c r="C6">
        <v>3</v>
      </c>
      <c r="D6" t="s">
        <v>87</v>
      </c>
    </row>
    <row r="7" spans="1:4" x14ac:dyDescent="0.2">
      <c r="A7" t="s">
        <v>61</v>
      </c>
      <c r="B7" t="s">
        <v>62</v>
      </c>
      <c r="C7" s="16">
        <v>21</v>
      </c>
    </row>
    <row r="8" spans="1:4" x14ac:dyDescent="0.2">
      <c r="A8" t="s">
        <v>52</v>
      </c>
      <c r="B8" s="18" t="s">
        <v>51</v>
      </c>
      <c r="C8" s="19">
        <v>45624</v>
      </c>
      <c r="D8" t="s">
        <v>75</v>
      </c>
    </row>
    <row r="9" spans="1:4" x14ac:dyDescent="0.2">
      <c r="A9" t="s">
        <v>60</v>
      </c>
      <c r="B9" s="18" t="s">
        <v>73</v>
      </c>
      <c r="C9">
        <v>8</v>
      </c>
      <c r="D9" t="s">
        <v>76</v>
      </c>
    </row>
    <row r="10" spans="1:4" x14ac:dyDescent="0.2">
      <c r="A10" t="s">
        <v>64</v>
      </c>
      <c r="B10" t="s">
        <v>63</v>
      </c>
      <c r="C10" s="16">
        <v>6</v>
      </c>
      <c r="D10" t="s">
        <v>59</v>
      </c>
    </row>
    <row r="11" spans="1:4" x14ac:dyDescent="0.2">
      <c r="A11" t="s">
        <v>65</v>
      </c>
      <c r="B11" t="s">
        <v>67</v>
      </c>
      <c r="C11" s="16">
        <v>63</v>
      </c>
      <c r="D11" t="s">
        <v>66</v>
      </c>
    </row>
    <row r="12" spans="1:4" x14ac:dyDescent="0.2">
      <c r="A12" t="s">
        <v>69</v>
      </c>
      <c r="B12" t="s">
        <v>68</v>
      </c>
      <c r="C12" s="17">
        <f>C11/C10</f>
        <v>10.5</v>
      </c>
    </row>
    <row r="13" spans="1:4" x14ac:dyDescent="0.2">
      <c r="A13" t="s">
        <v>74</v>
      </c>
      <c r="B13" t="s">
        <v>70</v>
      </c>
      <c r="D13" t="s">
        <v>77</v>
      </c>
    </row>
    <row r="14" spans="1:4" x14ac:dyDescent="0.2">
      <c r="A14" t="s">
        <v>78</v>
      </c>
      <c r="B14" t="s">
        <v>79</v>
      </c>
      <c r="D14" t="s">
        <v>80</v>
      </c>
    </row>
    <row r="15" spans="1:4" x14ac:dyDescent="0.2">
      <c r="A15" t="s">
        <v>81</v>
      </c>
      <c r="B15" s="18" t="s">
        <v>82</v>
      </c>
    </row>
    <row r="16" spans="1:4" x14ac:dyDescent="0.2">
      <c r="A16" t="s">
        <v>85</v>
      </c>
      <c r="B16" s="18" t="s">
        <v>83</v>
      </c>
    </row>
    <row r="17" spans="1:2" x14ac:dyDescent="0.2">
      <c r="A17" t="s">
        <v>86</v>
      </c>
      <c r="B17" t="s">
        <v>84</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BW40"/>
  <sheetViews>
    <sheetView showGridLines="0" tabSelected="1" zoomScale="107" zoomScaleNormal="83" workbookViewId="0">
      <selection activeCell="S33" sqref="S33"/>
    </sheetView>
  </sheetViews>
  <sheetFormatPr baseColWidth="10" defaultColWidth="8.83203125" defaultRowHeight="16" outlineLevelRow="1" x14ac:dyDescent="0.2"/>
  <cols>
    <col min="2" max="2" width="11.5" customWidth="1"/>
    <col min="3" max="3" width="11" customWidth="1"/>
    <col min="4" max="4" width="13" bestFit="1" customWidth="1"/>
    <col min="5" max="5" width="4.83203125" bestFit="1" customWidth="1"/>
    <col min="6" max="6" width="56.6640625" customWidth="1"/>
    <col min="7" max="7" width="15.5" bestFit="1" customWidth="1"/>
    <col min="8" max="8" width="2.5" customWidth="1"/>
    <col min="10" max="10" width="12.5" bestFit="1" customWidth="1"/>
    <col min="11" max="11" width="14.83203125" bestFit="1" customWidth="1"/>
    <col min="12" max="12" width="13.1640625" customWidth="1"/>
    <col min="13" max="13" width="2.5" customWidth="1"/>
    <col min="15" max="15" width="12.5" bestFit="1" customWidth="1"/>
    <col min="16" max="16" width="6.33203125" customWidth="1"/>
    <col min="17" max="17" width="14.83203125" bestFit="1" customWidth="1"/>
    <col min="18" max="18" width="6" customWidth="1"/>
    <col min="19" max="19" width="12.6640625" bestFit="1" customWidth="1"/>
    <col min="20" max="20" width="2.5" customWidth="1"/>
    <col min="22" max="22" width="12.5" bestFit="1" customWidth="1"/>
    <col min="23" max="23" width="6.33203125" customWidth="1"/>
    <col min="24" max="24" width="14.83203125" bestFit="1" customWidth="1"/>
    <col min="25" max="25" width="6" customWidth="1"/>
    <col min="26" max="26" width="12.6640625" bestFit="1" customWidth="1"/>
    <col min="27" max="27" width="2.5" customWidth="1"/>
    <col min="29" max="29" width="12.5" bestFit="1" customWidth="1"/>
    <col min="30" max="30" width="6.33203125" customWidth="1"/>
    <col min="31" max="31" width="14.83203125" bestFit="1" customWidth="1"/>
    <col min="32" max="32" width="6" customWidth="1"/>
    <col min="33" max="33" width="12.6640625" bestFit="1" customWidth="1"/>
    <col min="34" max="34" width="2.5" customWidth="1"/>
    <col min="36" max="36" width="12.5" bestFit="1" customWidth="1"/>
    <col min="37" max="37" width="6.33203125" customWidth="1"/>
    <col min="38" max="38" width="14.83203125" bestFit="1" customWidth="1"/>
    <col min="39" max="39" width="6" customWidth="1"/>
    <col min="40" max="40" width="12.6640625" bestFit="1" customWidth="1"/>
    <col min="41" max="41" width="2.5" customWidth="1"/>
    <col min="43" max="43" width="12.5" bestFit="1" customWidth="1"/>
    <col min="44" max="44" width="6.33203125" customWidth="1"/>
    <col min="45" max="45" width="14.83203125" bestFit="1" customWidth="1"/>
    <col min="46" max="46" width="6" customWidth="1"/>
    <col min="47" max="47" width="12.6640625" bestFit="1" customWidth="1"/>
    <col min="48" max="48" width="2.5" customWidth="1"/>
    <col min="50" max="50" width="12.5" bestFit="1" customWidth="1"/>
    <col min="51" max="51" width="6.33203125" customWidth="1"/>
    <col min="52" max="52" width="14.83203125" bestFit="1" customWidth="1"/>
    <col min="53" max="53" width="6" customWidth="1"/>
    <col min="54" max="54" width="12.6640625" bestFit="1" customWidth="1"/>
    <col min="55" max="55" width="2.5" customWidth="1"/>
    <col min="57" max="57" width="12.5" bestFit="1" customWidth="1"/>
    <col min="58" max="58" width="6.33203125" customWidth="1"/>
    <col min="59" max="59" width="14.83203125" bestFit="1" customWidth="1"/>
    <col min="60" max="60" width="6" customWidth="1"/>
    <col min="61" max="61" width="12.6640625" bestFit="1" customWidth="1"/>
    <col min="62" max="62" width="2.5" customWidth="1"/>
    <col min="64" max="64" width="12.5" bestFit="1" customWidth="1"/>
    <col min="65" max="65" width="6.33203125" customWidth="1"/>
    <col min="66" max="66" width="14.83203125" bestFit="1" customWidth="1"/>
    <col min="67" max="67" width="6" customWidth="1"/>
    <col min="68" max="68" width="12.6640625" bestFit="1" customWidth="1"/>
    <col min="69" max="69" width="2.5" customWidth="1"/>
    <col min="71" max="71" width="12.5" bestFit="1" customWidth="1"/>
    <col min="72" max="72" width="6.33203125" customWidth="1"/>
    <col min="73" max="73" width="14.83203125" bestFit="1" customWidth="1"/>
    <col min="74" max="74" width="6" customWidth="1"/>
    <col min="75" max="75" width="12.6640625" bestFit="1" customWidth="1"/>
  </cols>
  <sheetData>
    <row r="1" spans="2:75" ht="34" x14ac:dyDescent="0.4">
      <c r="B1" s="4" t="s">
        <v>0</v>
      </c>
      <c r="D1" s="4"/>
      <c r="G1" s="13" t="s">
        <v>34</v>
      </c>
      <c r="I1" s="13" t="s">
        <v>34</v>
      </c>
      <c r="J1" s="13" t="s">
        <v>34</v>
      </c>
      <c r="K1" s="13" t="s">
        <v>34</v>
      </c>
    </row>
    <row r="2" spans="2:75" x14ac:dyDescent="0.2">
      <c r="I2" s="22" t="s">
        <v>27</v>
      </c>
      <c r="J2" s="22"/>
      <c r="K2" s="22"/>
      <c r="L2" s="22"/>
      <c r="N2" s="22" t="s">
        <v>89</v>
      </c>
      <c r="O2" s="22"/>
      <c r="P2" s="22"/>
      <c r="Q2" s="22"/>
      <c r="R2" s="22"/>
      <c r="S2" s="22"/>
      <c r="U2" s="22" t="s">
        <v>90</v>
      </c>
      <c r="V2" s="22"/>
      <c r="W2" s="22"/>
      <c r="X2" s="22"/>
      <c r="Y2" s="22"/>
      <c r="Z2" s="22"/>
      <c r="AB2" s="22" t="s">
        <v>91</v>
      </c>
      <c r="AC2" s="22"/>
      <c r="AD2" s="22"/>
      <c r="AE2" s="22"/>
      <c r="AF2" s="22"/>
      <c r="AG2" s="22"/>
      <c r="AI2" s="22" t="s">
        <v>92</v>
      </c>
      <c r="AJ2" s="22"/>
      <c r="AK2" s="22"/>
      <c r="AL2" s="22"/>
      <c r="AM2" s="22"/>
      <c r="AN2" s="22"/>
      <c r="AP2" s="22" t="s">
        <v>93</v>
      </c>
      <c r="AQ2" s="22"/>
      <c r="AR2" s="22"/>
      <c r="AS2" s="22"/>
      <c r="AT2" s="22"/>
      <c r="AU2" s="22"/>
      <c r="AW2" s="22" t="s">
        <v>94</v>
      </c>
      <c r="AX2" s="22"/>
      <c r="AY2" s="22"/>
      <c r="AZ2" s="22"/>
      <c r="BA2" s="22"/>
      <c r="BB2" s="22"/>
      <c r="BD2" s="22" t="s">
        <v>95</v>
      </c>
      <c r="BE2" s="22"/>
      <c r="BF2" s="22"/>
      <c r="BG2" s="22"/>
      <c r="BH2" s="22"/>
      <c r="BI2" s="22"/>
      <c r="BK2" s="22" t="s">
        <v>96</v>
      </c>
      <c r="BL2" s="22"/>
      <c r="BM2" s="22"/>
      <c r="BN2" s="22"/>
      <c r="BO2" s="22"/>
      <c r="BP2" s="22"/>
      <c r="BR2" s="22" t="s">
        <v>88</v>
      </c>
      <c r="BS2" s="22"/>
      <c r="BT2" s="22"/>
      <c r="BU2" s="22"/>
      <c r="BV2" s="22"/>
      <c r="BW2" s="22"/>
    </row>
    <row r="3" spans="2:75" x14ac:dyDescent="0.2">
      <c r="B3" s="5" t="s">
        <v>26</v>
      </c>
      <c r="C3" s="5" t="s">
        <v>1</v>
      </c>
      <c r="D3" s="5" t="s">
        <v>24</v>
      </c>
      <c r="E3" s="6" t="s">
        <v>31</v>
      </c>
      <c r="F3" s="5" t="s">
        <v>29</v>
      </c>
      <c r="G3" s="5" t="s">
        <v>32</v>
      </c>
      <c r="I3" s="6" t="s">
        <v>11</v>
      </c>
      <c r="J3" s="6" t="s">
        <v>2</v>
      </c>
      <c r="K3" s="6" t="s">
        <v>3</v>
      </c>
      <c r="L3" s="6" t="s">
        <v>12</v>
      </c>
      <c r="N3" s="5" t="s">
        <v>11</v>
      </c>
      <c r="O3" s="5" t="s">
        <v>2</v>
      </c>
      <c r="P3" s="5" t="s">
        <v>33</v>
      </c>
      <c r="Q3" s="5" t="s">
        <v>3</v>
      </c>
      <c r="R3" s="5" t="s">
        <v>33</v>
      </c>
      <c r="S3" s="5" t="s">
        <v>12</v>
      </c>
      <c r="U3" s="5" t="s">
        <v>11</v>
      </c>
      <c r="V3" s="5" t="s">
        <v>2</v>
      </c>
      <c r="W3" s="5" t="s">
        <v>33</v>
      </c>
      <c r="X3" s="5" t="s">
        <v>3</v>
      </c>
      <c r="Y3" s="5" t="s">
        <v>33</v>
      </c>
      <c r="Z3" s="5" t="s">
        <v>12</v>
      </c>
      <c r="AB3" s="5" t="s">
        <v>11</v>
      </c>
      <c r="AC3" s="5" t="s">
        <v>2</v>
      </c>
      <c r="AD3" s="5" t="s">
        <v>33</v>
      </c>
      <c r="AE3" s="5" t="s">
        <v>3</v>
      </c>
      <c r="AF3" s="5" t="s">
        <v>33</v>
      </c>
      <c r="AG3" s="5" t="s">
        <v>12</v>
      </c>
      <c r="AI3" s="5" t="s">
        <v>11</v>
      </c>
      <c r="AJ3" s="5" t="s">
        <v>2</v>
      </c>
      <c r="AK3" s="5" t="s">
        <v>33</v>
      </c>
      <c r="AL3" s="5" t="s">
        <v>3</v>
      </c>
      <c r="AM3" s="5" t="s">
        <v>33</v>
      </c>
      <c r="AN3" s="5" t="s">
        <v>12</v>
      </c>
      <c r="AP3" s="5" t="s">
        <v>11</v>
      </c>
      <c r="AQ3" s="5" t="s">
        <v>2</v>
      </c>
      <c r="AR3" s="5" t="s">
        <v>33</v>
      </c>
      <c r="AS3" s="5" t="s">
        <v>3</v>
      </c>
      <c r="AT3" s="5" t="s">
        <v>33</v>
      </c>
      <c r="AU3" s="5" t="s">
        <v>12</v>
      </c>
      <c r="AW3" s="5" t="s">
        <v>11</v>
      </c>
      <c r="AX3" s="5" t="s">
        <v>2</v>
      </c>
      <c r="AY3" s="5" t="s">
        <v>33</v>
      </c>
      <c r="AZ3" s="5" t="s">
        <v>3</v>
      </c>
      <c r="BA3" s="5" t="s">
        <v>33</v>
      </c>
      <c r="BB3" s="5" t="s">
        <v>12</v>
      </c>
      <c r="BD3" s="5" t="s">
        <v>11</v>
      </c>
      <c r="BE3" s="5" t="s">
        <v>2</v>
      </c>
      <c r="BF3" s="5" t="s">
        <v>33</v>
      </c>
      <c r="BG3" s="5" t="s">
        <v>3</v>
      </c>
      <c r="BH3" s="5" t="s">
        <v>33</v>
      </c>
      <c r="BI3" s="5" t="s">
        <v>12</v>
      </c>
      <c r="BK3" s="5" t="s">
        <v>11</v>
      </c>
      <c r="BL3" s="5" t="s">
        <v>2</v>
      </c>
      <c r="BM3" s="5" t="s">
        <v>33</v>
      </c>
      <c r="BN3" s="5" t="s">
        <v>3</v>
      </c>
      <c r="BO3" s="5" t="s">
        <v>33</v>
      </c>
      <c r="BP3" s="5" t="s">
        <v>12</v>
      </c>
      <c r="BR3" s="5" t="s">
        <v>11</v>
      </c>
      <c r="BS3" s="5" t="s">
        <v>2</v>
      </c>
      <c r="BT3" s="5" t="s">
        <v>33</v>
      </c>
      <c r="BU3" s="5" t="s">
        <v>3</v>
      </c>
      <c r="BV3" s="5" t="s">
        <v>33</v>
      </c>
      <c r="BW3" s="5" t="s">
        <v>12</v>
      </c>
    </row>
    <row r="4" spans="2:75" x14ac:dyDescent="0.2">
      <c r="B4" t="s">
        <v>27</v>
      </c>
      <c r="C4" t="s">
        <v>99</v>
      </c>
      <c r="D4" s="19">
        <v>45624</v>
      </c>
      <c r="E4" s="9">
        <v>6</v>
      </c>
      <c r="G4" s="10">
        <f>+SUM(G5:G16)</f>
        <v>1</v>
      </c>
      <c r="I4" s="12">
        <f>+SUM(I5:I16)</f>
        <v>90</v>
      </c>
      <c r="J4" s="11">
        <f>+SUMPRODUCT(G5:G16,J5:J16)</f>
        <v>0</v>
      </c>
      <c r="K4" s="11">
        <f>+SUMPRODUCT(G5:G16,K5:K16)</f>
        <v>0</v>
      </c>
      <c r="L4" s="9"/>
      <c r="N4" s="12">
        <f>+SUM(N5:N16)</f>
        <v>15</v>
      </c>
      <c r="U4" s="12">
        <f>+SUM(U5:U16)</f>
        <v>15</v>
      </c>
      <c r="AB4" s="12">
        <f>+SUM(AB5:AB16)</f>
        <v>15</v>
      </c>
      <c r="AI4" s="12">
        <f>+SUM(AI5:AI16)</f>
        <v>15</v>
      </c>
      <c r="AP4" s="12">
        <f>+SUM(AP5:AP16)</f>
        <v>15</v>
      </c>
      <c r="AW4" s="12">
        <f>+SUM(AW5:AW16)</f>
        <v>15</v>
      </c>
      <c r="BD4" s="12">
        <f>+SUM(BD5:BD16)</f>
        <v>0</v>
      </c>
      <c r="BK4" s="12">
        <f>+SUM(BK5:BK16)</f>
        <v>0</v>
      </c>
      <c r="BR4" s="12">
        <f>+SUM(BR5:BR16)</f>
        <v>0</v>
      </c>
    </row>
    <row r="5" spans="2:75" outlineLevel="1" x14ac:dyDescent="0.2">
      <c r="B5" t="s">
        <v>28</v>
      </c>
      <c r="C5" t="s">
        <v>113</v>
      </c>
      <c r="E5" s="9"/>
      <c r="F5" t="s">
        <v>117</v>
      </c>
      <c r="G5" s="10">
        <v>0.05</v>
      </c>
      <c r="I5" s="9">
        <f t="shared" ref="I5:I16" si="0">+SUMIF($N$3:$VR$3,I$3,$N5:$VR5)</f>
        <v>7.5</v>
      </c>
      <c r="J5" s="11">
        <v>0</v>
      </c>
      <c r="K5" s="11">
        <v>0</v>
      </c>
      <c r="L5" s="9"/>
      <c r="N5">
        <v>5</v>
      </c>
      <c r="O5" s="10">
        <v>0.3</v>
      </c>
      <c r="P5" s="10">
        <v>0.8</v>
      </c>
      <c r="Q5" s="10"/>
      <c r="R5" s="10">
        <v>0.8</v>
      </c>
      <c r="U5">
        <v>2.5</v>
      </c>
      <c r="V5" s="10"/>
      <c r="W5" s="10">
        <v>1</v>
      </c>
      <c r="X5" s="10"/>
      <c r="Y5" s="10">
        <v>1</v>
      </c>
      <c r="AC5" s="10"/>
      <c r="AD5" s="10">
        <v>1</v>
      </c>
      <c r="AE5" s="10"/>
      <c r="AF5" s="10">
        <v>1</v>
      </c>
      <c r="AJ5" s="10"/>
      <c r="AK5" s="10">
        <v>1</v>
      </c>
      <c r="AL5" s="10"/>
      <c r="AM5" s="10">
        <v>1</v>
      </c>
      <c r="AQ5" s="10"/>
      <c r="AR5" s="10">
        <v>1</v>
      </c>
      <c r="AS5" s="10"/>
      <c r="AT5" s="10">
        <v>1</v>
      </c>
      <c r="AX5" s="10"/>
      <c r="AY5" s="10">
        <v>1</v>
      </c>
      <c r="AZ5" s="10"/>
      <c r="BA5" s="10">
        <v>1</v>
      </c>
      <c r="BE5" s="10"/>
      <c r="BF5" s="10"/>
      <c r="BG5" s="10"/>
      <c r="BH5" s="10"/>
      <c r="BL5" s="10"/>
      <c r="BM5" s="10"/>
      <c r="BN5" s="10"/>
      <c r="BO5" s="10"/>
      <c r="BS5" s="10"/>
      <c r="BT5" s="10">
        <v>1</v>
      </c>
      <c r="BU5" s="10"/>
      <c r="BV5" s="10">
        <v>1</v>
      </c>
    </row>
    <row r="6" spans="2:75" outlineLevel="1" x14ac:dyDescent="0.2">
      <c r="B6" t="s">
        <v>28</v>
      </c>
      <c r="C6" t="s">
        <v>113</v>
      </c>
      <c r="E6" s="9"/>
      <c r="F6" t="s">
        <v>118</v>
      </c>
      <c r="G6" s="10">
        <v>0.1</v>
      </c>
      <c r="I6" s="9">
        <f t="shared" si="0"/>
        <v>7.5</v>
      </c>
      <c r="J6" s="11">
        <v>0</v>
      </c>
      <c r="K6" s="11">
        <v>0</v>
      </c>
      <c r="L6" s="9"/>
      <c r="N6">
        <v>5</v>
      </c>
      <c r="O6" s="10">
        <v>0.3</v>
      </c>
      <c r="P6" s="10">
        <v>0.8</v>
      </c>
      <c r="Q6" s="10"/>
      <c r="R6" s="10">
        <v>0.8</v>
      </c>
      <c r="U6">
        <v>2.5</v>
      </c>
      <c r="V6" s="10"/>
      <c r="W6" s="10">
        <v>1</v>
      </c>
      <c r="X6" s="10"/>
      <c r="Y6" s="10">
        <v>1</v>
      </c>
      <c r="AC6" s="10"/>
      <c r="AD6" s="10">
        <v>1</v>
      </c>
      <c r="AE6" s="10"/>
      <c r="AF6" s="10">
        <v>1</v>
      </c>
      <c r="AJ6" s="10"/>
      <c r="AK6" s="10">
        <v>1</v>
      </c>
      <c r="AL6" s="10"/>
      <c r="AM6" s="10">
        <v>1</v>
      </c>
      <c r="AQ6" s="10"/>
      <c r="AR6" s="10">
        <v>1</v>
      </c>
      <c r="AS6" s="10"/>
      <c r="AT6" s="10">
        <v>1</v>
      </c>
      <c r="AX6" s="10"/>
      <c r="AY6" s="10">
        <v>1</v>
      </c>
      <c r="AZ6" s="10"/>
      <c r="BA6" s="10">
        <v>1</v>
      </c>
      <c r="BE6" s="10"/>
      <c r="BF6" s="10"/>
      <c r="BG6" s="10"/>
      <c r="BH6" s="10"/>
      <c r="BL6" s="10"/>
      <c r="BM6" s="10"/>
      <c r="BN6" s="10"/>
      <c r="BO6" s="10"/>
      <c r="BS6" s="10"/>
      <c r="BT6" s="10">
        <v>1</v>
      </c>
      <c r="BU6" s="10"/>
      <c r="BV6" s="10">
        <v>1</v>
      </c>
    </row>
    <row r="7" spans="2:75" outlineLevel="1" x14ac:dyDescent="0.2">
      <c r="B7" t="s">
        <v>28</v>
      </c>
      <c r="C7" t="s">
        <v>113</v>
      </c>
      <c r="E7" s="9"/>
      <c r="F7" t="s">
        <v>119</v>
      </c>
      <c r="G7" s="10">
        <v>0.1</v>
      </c>
      <c r="I7" s="9">
        <f t="shared" si="0"/>
        <v>7.5</v>
      </c>
      <c r="J7" s="11">
        <v>0</v>
      </c>
      <c r="K7" s="11">
        <v>0</v>
      </c>
      <c r="L7" s="9"/>
      <c r="N7">
        <v>2.5</v>
      </c>
      <c r="O7" s="10">
        <v>0.3</v>
      </c>
      <c r="P7" s="10">
        <v>0.5</v>
      </c>
      <c r="Q7" s="10"/>
      <c r="R7" s="10">
        <v>0.5</v>
      </c>
      <c r="V7" s="10"/>
      <c r="W7" s="10">
        <v>0.5</v>
      </c>
      <c r="X7" s="10"/>
      <c r="Y7" s="10">
        <v>0.5</v>
      </c>
      <c r="AB7">
        <v>2.5</v>
      </c>
      <c r="AC7" s="10"/>
      <c r="AD7" s="10">
        <v>0.8</v>
      </c>
      <c r="AE7" s="10"/>
      <c r="AF7" s="10">
        <v>0.8</v>
      </c>
      <c r="AI7">
        <v>2.5</v>
      </c>
      <c r="AJ7" s="10"/>
      <c r="AK7" s="10">
        <v>1</v>
      </c>
      <c r="AL7" s="10"/>
      <c r="AM7" s="10">
        <v>1</v>
      </c>
      <c r="AQ7" s="10"/>
      <c r="AR7" s="10">
        <v>1</v>
      </c>
      <c r="AS7" s="10"/>
      <c r="AT7" s="10">
        <v>1</v>
      </c>
      <c r="AX7" s="10"/>
      <c r="AY7" s="10">
        <v>1</v>
      </c>
      <c r="AZ7" s="10"/>
      <c r="BA7" s="10">
        <v>1</v>
      </c>
      <c r="BE7" s="10"/>
      <c r="BF7" s="10"/>
      <c r="BG7" s="10"/>
      <c r="BH7" s="10"/>
      <c r="BL7" s="10"/>
      <c r="BM7" s="10"/>
      <c r="BN7" s="10"/>
      <c r="BO7" s="10"/>
      <c r="BS7" s="10"/>
      <c r="BT7" s="10">
        <v>1</v>
      </c>
      <c r="BU7" s="10"/>
      <c r="BV7" s="10">
        <v>1</v>
      </c>
    </row>
    <row r="8" spans="2:75" outlineLevel="1" x14ac:dyDescent="0.2">
      <c r="B8" t="s">
        <v>28</v>
      </c>
      <c r="C8" t="s">
        <v>113</v>
      </c>
      <c r="E8" s="9"/>
      <c r="F8" t="s">
        <v>120</v>
      </c>
      <c r="G8" s="10">
        <v>0.1</v>
      </c>
      <c r="I8" s="9">
        <f t="shared" si="0"/>
        <v>7.5</v>
      </c>
      <c r="J8" s="11">
        <v>0</v>
      </c>
      <c r="K8" s="11">
        <v>0</v>
      </c>
      <c r="L8" s="9"/>
      <c r="N8">
        <v>2.5</v>
      </c>
      <c r="O8" s="10">
        <v>0.3</v>
      </c>
      <c r="P8" s="10">
        <v>0.5</v>
      </c>
      <c r="Q8" s="10"/>
      <c r="R8" s="10">
        <v>0.5</v>
      </c>
      <c r="V8" s="10"/>
      <c r="W8" s="10">
        <v>0.5</v>
      </c>
      <c r="X8" s="10"/>
      <c r="Y8" s="10">
        <v>0.5</v>
      </c>
      <c r="AB8">
        <v>2.5</v>
      </c>
      <c r="AC8" s="10"/>
      <c r="AD8" s="10">
        <v>0.8</v>
      </c>
      <c r="AE8" s="10"/>
      <c r="AF8" s="10">
        <v>0.8</v>
      </c>
      <c r="AI8">
        <v>2.5</v>
      </c>
      <c r="AJ8" s="10"/>
      <c r="AK8" s="10">
        <v>1</v>
      </c>
      <c r="AL8" s="10"/>
      <c r="AM8" s="10">
        <v>1</v>
      </c>
      <c r="AQ8" s="10"/>
      <c r="AR8" s="10">
        <v>1</v>
      </c>
      <c r="AS8" s="10"/>
      <c r="AT8" s="10">
        <v>1</v>
      </c>
      <c r="AX8" s="10"/>
      <c r="AY8" s="10">
        <v>1</v>
      </c>
      <c r="AZ8" s="10"/>
      <c r="BA8" s="10">
        <v>1</v>
      </c>
      <c r="BE8" s="10"/>
      <c r="BF8" s="10"/>
      <c r="BG8" s="10"/>
      <c r="BH8" s="10"/>
      <c r="BL8" s="10"/>
      <c r="BM8" s="10"/>
      <c r="BN8" s="10"/>
      <c r="BO8" s="10"/>
      <c r="BS8" s="10"/>
      <c r="BT8" s="10">
        <v>1</v>
      </c>
      <c r="BU8" s="10"/>
      <c r="BV8" s="10">
        <v>1</v>
      </c>
    </row>
    <row r="9" spans="2:75" outlineLevel="1" x14ac:dyDescent="0.2">
      <c r="B9" t="s">
        <v>28</v>
      </c>
      <c r="C9" t="s">
        <v>113</v>
      </c>
      <c r="E9" s="9"/>
      <c r="F9" t="s">
        <v>121</v>
      </c>
      <c r="G9" s="10">
        <v>0.1</v>
      </c>
      <c r="I9" s="9">
        <f t="shared" si="0"/>
        <v>7.5</v>
      </c>
      <c r="J9" s="11">
        <v>0</v>
      </c>
      <c r="K9" s="11">
        <v>0</v>
      </c>
      <c r="L9" s="9"/>
      <c r="O9" s="10"/>
      <c r="P9" s="10"/>
      <c r="Q9" s="10"/>
      <c r="R9" s="10"/>
      <c r="U9">
        <v>2.5</v>
      </c>
      <c r="V9" s="10"/>
      <c r="W9" s="10">
        <v>0.5</v>
      </c>
      <c r="X9" s="10"/>
      <c r="Y9" s="10">
        <v>0.5</v>
      </c>
      <c r="AC9" s="10"/>
      <c r="AD9" s="10">
        <v>0.5</v>
      </c>
      <c r="AE9" s="10"/>
      <c r="AF9" s="10">
        <v>0.5</v>
      </c>
      <c r="AI9">
        <v>2.5</v>
      </c>
      <c r="AJ9" s="10"/>
      <c r="AK9" s="10">
        <v>0.8</v>
      </c>
      <c r="AL9" s="10"/>
      <c r="AM9" s="10">
        <v>0.8</v>
      </c>
      <c r="AP9">
        <v>2.5</v>
      </c>
      <c r="AQ9" s="10"/>
      <c r="AR9" s="10">
        <v>1</v>
      </c>
      <c r="AS9" s="10"/>
      <c r="AT9" s="10">
        <v>1</v>
      </c>
      <c r="AX9" s="10"/>
      <c r="AY9" s="10">
        <v>1</v>
      </c>
      <c r="AZ9" s="10"/>
      <c r="BA9" s="10">
        <v>1</v>
      </c>
      <c r="BE9" s="10"/>
      <c r="BF9" s="10"/>
      <c r="BG9" s="10"/>
      <c r="BH9" s="10"/>
      <c r="BL9" s="10"/>
      <c r="BM9" s="10"/>
      <c r="BN9" s="10"/>
      <c r="BO9" s="10"/>
      <c r="BS9" s="10"/>
      <c r="BT9" s="10">
        <v>1</v>
      </c>
      <c r="BU9" s="10"/>
      <c r="BV9" s="10">
        <v>1</v>
      </c>
    </row>
    <row r="10" spans="2:75" outlineLevel="1" x14ac:dyDescent="0.2">
      <c r="B10" t="s">
        <v>28</v>
      </c>
      <c r="C10" t="s">
        <v>113</v>
      </c>
      <c r="E10" s="9"/>
      <c r="F10" t="s">
        <v>122</v>
      </c>
      <c r="G10" s="10">
        <v>0.1</v>
      </c>
      <c r="I10" s="9">
        <f t="shared" si="0"/>
        <v>7.5</v>
      </c>
      <c r="J10" s="11">
        <v>0</v>
      </c>
      <c r="K10" s="11">
        <v>0</v>
      </c>
      <c r="L10" s="9"/>
      <c r="O10" s="10"/>
      <c r="P10" s="10"/>
      <c r="Q10" s="10"/>
      <c r="R10" s="10"/>
      <c r="U10">
        <v>2.5</v>
      </c>
      <c r="V10" s="10"/>
      <c r="W10" s="10">
        <v>0.5</v>
      </c>
      <c r="X10" s="10"/>
      <c r="Y10" s="10">
        <v>0.5</v>
      </c>
      <c r="AC10" s="10"/>
      <c r="AD10" s="10">
        <v>0.5</v>
      </c>
      <c r="AE10" s="10"/>
      <c r="AF10" s="10">
        <v>0.5</v>
      </c>
      <c r="AI10">
        <v>2.5</v>
      </c>
      <c r="AJ10" s="10"/>
      <c r="AK10" s="10">
        <v>0.8</v>
      </c>
      <c r="AL10" s="10"/>
      <c r="AM10" s="10">
        <v>0.8</v>
      </c>
      <c r="AP10">
        <v>2.5</v>
      </c>
      <c r="AQ10" s="10"/>
      <c r="AR10" s="10">
        <v>1</v>
      </c>
      <c r="AS10" s="10"/>
      <c r="AT10" s="10">
        <v>1</v>
      </c>
      <c r="AX10" s="10"/>
      <c r="AY10" s="10">
        <v>1</v>
      </c>
      <c r="AZ10" s="10"/>
      <c r="BA10" s="10">
        <v>1</v>
      </c>
      <c r="BE10" s="10"/>
      <c r="BF10" s="10"/>
      <c r="BG10" s="10"/>
      <c r="BH10" s="10"/>
      <c r="BL10" s="10"/>
      <c r="BM10" s="10"/>
      <c r="BN10" s="10"/>
      <c r="BO10" s="10"/>
      <c r="BS10" s="10"/>
      <c r="BT10" s="10">
        <v>1</v>
      </c>
      <c r="BU10" s="10"/>
      <c r="BV10" s="10">
        <v>1</v>
      </c>
    </row>
    <row r="11" spans="2:75" outlineLevel="1" x14ac:dyDescent="0.2">
      <c r="B11" t="s">
        <v>28</v>
      </c>
      <c r="C11" t="s">
        <v>113</v>
      </c>
      <c r="E11" s="9"/>
      <c r="F11" t="s">
        <v>123</v>
      </c>
      <c r="G11" s="10">
        <v>0.1</v>
      </c>
      <c r="I11" s="9">
        <f t="shared" si="0"/>
        <v>7.5</v>
      </c>
      <c r="J11" s="11">
        <v>0</v>
      </c>
      <c r="K11" s="11">
        <v>0</v>
      </c>
      <c r="L11" s="9"/>
      <c r="O11" s="10"/>
      <c r="P11" s="10"/>
      <c r="Q11" s="10"/>
      <c r="R11" s="10"/>
      <c r="U11">
        <v>2.5</v>
      </c>
      <c r="V11" s="10"/>
      <c r="W11" s="10">
        <v>0.5</v>
      </c>
      <c r="X11" s="10"/>
      <c r="Y11" s="10">
        <v>0.5</v>
      </c>
      <c r="AC11" s="10"/>
      <c r="AD11" s="10">
        <v>0.5</v>
      </c>
      <c r="AE11" s="10"/>
      <c r="AF11" s="10">
        <v>0.5</v>
      </c>
      <c r="AI11">
        <v>2.5</v>
      </c>
      <c r="AJ11" s="10"/>
      <c r="AK11" s="10">
        <v>0.8</v>
      </c>
      <c r="AL11" s="10"/>
      <c r="AM11" s="10">
        <v>0.8</v>
      </c>
      <c r="AP11">
        <v>2.5</v>
      </c>
      <c r="AQ11" s="10"/>
      <c r="AR11" s="10">
        <v>1</v>
      </c>
      <c r="AS11" s="10"/>
      <c r="AT11" s="10">
        <v>1</v>
      </c>
      <c r="AX11" s="10"/>
      <c r="AY11" s="10">
        <v>1</v>
      </c>
      <c r="AZ11" s="10"/>
      <c r="BA11" s="10">
        <v>1</v>
      </c>
      <c r="BE11" s="10"/>
      <c r="BF11" s="10"/>
      <c r="BG11" s="10"/>
      <c r="BH11" s="10"/>
      <c r="BL11" s="10"/>
      <c r="BM11" s="10"/>
      <c r="BN11" s="10"/>
      <c r="BO11" s="10"/>
      <c r="BS11" s="10"/>
      <c r="BT11" s="10">
        <v>1</v>
      </c>
      <c r="BU11" s="10"/>
      <c r="BV11" s="10">
        <v>1</v>
      </c>
    </row>
    <row r="12" spans="2:75" outlineLevel="1" x14ac:dyDescent="0.2">
      <c r="B12" t="s">
        <v>28</v>
      </c>
      <c r="C12" t="s">
        <v>113</v>
      </c>
      <c r="E12" s="9"/>
      <c r="F12" t="s">
        <v>124</v>
      </c>
      <c r="G12" s="10">
        <v>0.05</v>
      </c>
      <c r="I12" s="9">
        <f t="shared" si="0"/>
        <v>7.5</v>
      </c>
      <c r="J12" s="11">
        <v>0</v>
      </c>
      <c r="K12" s="11">
        <v>0</v>
      </c>
      <c r="L12" s="9"/>
      <c r="O12" s="10"/>
      <c r="P12" s="10"/>
      <c r="Q12" s="10"/>
      <c r="R12" s="10"/>
      <c r="U12">
        <v>2.5</v>
      </c>
      <c r="V12" s="10"/>
      <c r="W12" s="10">
        <v>0.5</v>
      </c>
      <c r="X12" s="10"/>
      <c r="Y12" s="10">
        <v>0.5</v>
      </c>
      <c r="AC12" s="10"/>
      <c r="AD12" s="10">
        <v>0.5</v>
      </c>
      <c r="AE12" s="10"/>
      <c r="AF12" s="10">
        <v>0.5</v>
      </c>
      <c r="AI12">
        <v>2.5</v>
      </c>
      <c r="AJ12" s="10"/>
      <c r="AK12" s="10">
        <v>0.8</v>
      </c>
      <c r="AL12" s="10"/>
      <c r="AM12" s="10">
        <v>0.8</v>
      </c>
      <c r="AQ12" s="10"/>
      <c r="AR12" s="10">
        <v>0.8</v>
      </c>
      <c r="AS12" s="10"/>
      <c r="AT12" s="10">
        <v>0.8</v>
      </c>
      <c r="AW12">
        <v>2.5</v>
      </c>
      <c r="AX12" s="10"/>
      <c r="AY12" s="10">
        <v>1</v>
      </c>
      <c r="AZ12" s="10"/>
      <c r="BA12" s="10">
        <v>1</v>
      </c>
      <c r="BE12" s="10"/>
      <c r="BF12" s="10"/>
      <c r="BG12" s="10"/>
      <c r="BH12" s="10"/>
      <c r="BL12" s="10"/>
      <c r="BM12" s="10"/>
      <c r="BN12" s="10"/>
      <c r="BO12" s="10"/>
      <c r="BS12" s="10"/>
      <c r="BT12" s="10">
        <v>1</v>
      </c>
      <c r="BU12" s="10"/>
      <c r="BV12" s="10">
        <v>1</v>
      </c>
    </row>
    <row r="13" spans="2:75" outlineLevel="1" x14ac:dyDescent="0.2">
      <c r="B13" t="s">
        <v>28</v>
      </c>
      <c r="C13" t="s">
        <v>114</v>
      </c>
      <c r="E13" s="9"/>
      <c r="F13" t="s">
        <v>109</v>
      </c>
      <c r="G13" s="10">
        <v>0.1</v>
      </c>
      <c r="I13" s="9">
        <f t="shared" si="0"/>
        <v>7.5</v>
      </c>
      <c r="J13" s="11">
        <v>0</v>
      </c>
      <c r="K13" s="11">
        <v>0</v>
      </c>
      <c r="L13" s="9"/>
      <c r="O13" s="10"/>
      <c r="P13" s="10"/>
      <c r="Q13" s="10"/>
      <c r="R13" s="10"/>
      <c r="V13" s="10"/>
      <c r="W13" s="10"/>
      <c r="X13" s="10"/>
      <c r="Y13" s="10"/>
      <c r="AB13">
        <v>2.5</v>
      </c>
      <c r="AC13" s="10"/>
      <c r="AD13" s="10">
        <v>0.5</v>
      </c>
      <c r="AE13" s="10"/>
      <c r="AF13" s="10">
        <v>0.5</v>
      </c>
      <c r="AJ13" s="10"/>
      <c r="AK13" s="10">
        <v>0.5</v>
      </c>
      <c r="AL13" s="10"/>
      <c r="AM13" s="10">
        <v>0.5</v>
      </c>
      <c r="AP13">
        <v>2.5</v>
      </c>
      <c r="AQ13" s="10"/>
      <c r="AR13" s="10">
        <v>0.8</v>
      </c>
      <c r="AS13" s="10"/>
      <c r="AT13" s="10">
        <v>0.8</v>
      </c>
      <c r="AW13">
        <v>2.5</v>
      </c>
      <c r="AX13" s="10"/>
      <c r="AY13" s="10">
        <v>1</v>
      </c>
      <c r="AZ13" s="10"/>
      <c r="BA13" s="10">
        <v>1</v>
      </c>
      <c r="BE13" s="10"/>
      <c r="BF13" s="10"/>
      <c r="BG13" s="10"/>
      <c r="BH13" s="10"/>
      <c r="BL13" s="10"/>
      <c r="BM13" s="10"/>
      <c r="BN13" s="10"/>
      <c r="BO13" s="10"/>
      <c r="BS13" s="10"/>
      <c r="BT13" s="10">
        <v>1</v>
      </c>
      <c r="BU13" s="10"/>
      <c r="BV13" s="10">
        <v>1</v>
      </c>
    </row>
    <row r="14" spans="2:75" outlineLevel="1" x14ac:dyDescent="0.2">
      <c r="B14" t="s">
        <v>28</v>
      </c>
      <c r="C14" t="s">
        <v>114</v>
      </c>
      <c r="E14" s="9"/>
      <c r="F14" t="s">
        <v>110</v>
      </c>
      <c r="G14" s="10">
        <v>0.1</v>
      </c>
      <c r="I14" s="9">
        <f t="shared" si="0"/>
        <v>7.5</v>
      </c>
      <c r="J14" s="11">
        <v>0</v>
      </c>
      <c r="K14" s="11">
        <v>0</v>
      </c>
      <c r="L14" s="9"/>
      <c r="O14" s="10"/>
      <c r="P14" s="10"/>
      <c r="Q14" s="10"/>
      <c r="R14" s="10"/>
      <c r="V14" s="10"/>
      <c r="W14" s="10"/>
      <c r="X14" s="10"/>
      <c r="Y14" s="10"/>
      <c r="AB14">
        <v>2.5</v>
      </c>
      <c r="AC14" s="10"/>
      <c r="AD14" s="10">
        <v>0.5</v>
      </c>
      <c r="AE14" s="10"/>
      <c r="AF14" s="10">
        <v>0.5</v>
      </c>
      <c r="AJ14" s="10"/>
      <c r="AK14" s="10">
        <v>0.5</v>
      </c>
      <c r="AL14" s="10"/>
      <c r="AM14" s="10">
        <v>0.5</v>
      </c>
      <c r="AP14">
        <v>2.5</v>
      </c>
      <c r="AQ14" s="10"/>
      <c r="AR14" s="10">
        <v>0.8</v>
      </c>
      <c r="AS14" s="10"/>
      <c r="AT14" s="10">
        <v>0.8</v>
      </c>
      <c r="AW14">
        <v>2.5</v>
      </c>
      <c r="AX14" s="10"/>
      <c r="AY14" s="10">
        <v>1</v>
      </c>
      <c r="AZ14" s="10"/>
      <c r="BA14" s="10">
        <v>1</v>
      </c>
      <c r="BE14" s="10"/>
      <c r="BF14" s="10"/>
      <c r="BG14" s="10"/>
      <c r="BH14" s="10"/>
      <c r="BL14" s="10"/>
      <c r="BM14" s="10"/>
      <c r="BN14" s="10"/>
      <c r="BO14" s="10"/>
      <c r="BS14" s="10"/>
      <c r="BT14" s="10">
        <v>1</v>
      </c>
      <c r="BU14" s="10"/>
      <c r="BV14" s="10">
        <v>1</v>
      </c>
    </row>
    <row r="15" spans="2:75" outlineLevel="1" x14ac:dyDescent="0.2">
      <c r="B15" t="s">
        <v>28</v>
      </c>
      <c r="C15" t="s">
        <v>114</v>
      </c>
      <c r="E15" s="9"/>
      <c r="F15" t="s">
        <v>111</v>
      </c>
      <c r="G15" s="10">
        <v>0.05</v>
      </c>
      <c r="I15" s="9">
        <f t="shared" si="0"/>
        <v>7.5</v>
      </c>
      <c r="J15" s="11" cm="1">
        <f t="array" ref="J15">MAX(IF($N$3:$BW$3=$J$3,N15:BW15))</f>
        <v>0</v>
      </c>
      <c r="K15" s="11" cm="1">
        <f t="array" ref="K15">MAX(IF($N$3:$BW$3=$J$3,N15:BW15))</f>
        <v>0</v>
      </c>
      <c r="L15" s="9"/>
      <c r="O15" s="10"/>
      <c r="P15" s="10"/>
      <c r="Q15" s="10"/>
      <c r="R15" s="10"/>
      <c r="V15" s="10"/>
      <c r="W15" s="10"/>
      <c r="X15" s="10"/>
      <c r="Y15" s="10"/>
      <c r="AB15">
        <v>2.5</v>
      </c>
      <c r="AC15" s="10"/>
      <c r="AD15" s="10">
        <v>0.5</v>
      </c>
      <c r="AE15" s="10"/>
      <c r="AF15" s="10">
        <v>0.5</v>
      </c>
      <c r="AJ15" s="10"/>
      <c r="AK15" s="10">
        <v>0.5</v>
      </c>
      <c r="AL15" s="10"/>
      <c r="AM15" s="10">
        <v>0.5</v>
      </c>
      <c r="AP15">
        <v>2.5</v>
      </c>
      <c r="AQ15" s="10"/>
      <c r="AR15" s="10">
        <v>0.8</v>
      </c>
      <c r="AS15" s="10"/>
      <c r="AT15" s="10">
        <v>0.8</v>
      </c>
      <c r="AW15">
        <v>2.5</v>
      </c>
      <c r="AX15" s="10"/>
      <c r="AY15" s="10">
        <v>1</v>
      </c>
      <c r="AZ15" s="10"/>
      <c r="BA15" s="10">
        <v>1</v>
      </c>
      <c r="BE15" s="10"/>
      <c r="BF15" s="10"/>
      <c r="BG15" s="10"/>
      <c r="BH15" s="10"/>
      <c r="BL15" s="10"/>
      <c r="BM15" s="10"/>
      <c r="BN15" s="10"/>
      <c r="BO15" s="10"/>
      <c r="BS15" s="10"/>
      <c r="BT15" s="10">
        <v>1</v>
      </c>
      <c r="BU15" s="10"/>
      <c r="BV15" s="10">
        <v>1</v>
      </c>
    </row>
    <row r="16" spans="2:75" outlineLevel="1" x14ac:dyDescent="0.2">
      <c r="B16" t="s">
        <v>28</v>
      </c>
      <c r="C16" t="s">
        <v>114</v>
      </c>
      <c r="E16" s="9"/>
      <c r="F16" t="s">
        <v>112</v>
      </c>
      <c r="G16" s="10">
        <v>0.05</v>
      </c>
      <c r="I16" s="9">
        <f t="shared" si="0"/>
        <v>7.5</v>
      </c>
      <c r="J16" s="11" cm="1">
        <f t="array" ref="J16">MAX(IF($N$3:$BW$3=$J$3,N16:BW16))</f>
        <v>0</v>
      </c>
      <c r="K16" s="11" cm="1">
        <f t="array" ref="K16">MAX(IF($N$3:$BW$3=$J$3,N16:BW16))</f>
        <v>0</v>
      </c>
      <c r="L16" s="9"/>
      <c r="O16" s="10"/>
      <c r="P16" s="10"/>
      <c r="Q16" s="10"/>
      <c r="R16" s="10"/>
      <c r="V16" s="10"/>
      <c r="W16" s="10"/>
      <c r="X16" s="10"/>
      <c r="Y16" s="10"/>
      <c r="AB16">
        <v>2.5</v>
      </c>
      <c r="AC16" s="10"/>
      <c r="AD16" s="10">
        <v>0.5</v>
      </c>
      <c r="AE16" s="10"/>
      <c r="AF16" s="10">
        <v>0.5</v>
      </c>
      <c r="AJ16" s="10"/>
      <c r="AK16" s="10">
        <v>0.5</v>
      </c>
      <c r="AL16" s="10"/>
      <c r="AM16" s="10">
        <v>0.5</v>
      </c>
      <c r="AQ16" s="10"/>
      <c r="AR16" s="10">
        <v>0.5</v>
      </c>
      <c r="AS16" s="10"/>
      <c r="AT16" s="10">
        <v>0.5</v>
      </c>
      <c r="AW16">
        <v>5</v>
      </c>
      <c r="AX16" s="10"/>
      <c r="AY16" s="10">
        <v>1</v>
      </c>
      <c r="AZ16" s="10"/>
      <c r="BA16" s="10">
        <v>1</v>
      </c>
      <c r="BE16" s="10"/>
      <c r="BF16" s="10"/>
      <c r="BG16" s="10"/>
      <c r="BH16" s="10"/>
      <c r="BL16" s="10"/>
      <c r="BM16" s="10"/>
      <c r="BN16" s="10"/>
      <c r="BO16" s="10"/>
      <c r="BS16" s="10"/>
      <c r="BT16" s="10">
        <v>1</v>
      </c>
      <c r="BU16" s="10"/>
      <c r="BV16" s="10">
        <v>1</v>
      </c>
    </row>
    <row r="18" spans="2:74" x14ac:dyDescent="0.2">
      <c r="B18" t="s">
        <v>27</v>
      </c>
      <c r="C18" t="s">
        <v>97</v>
      </c>
      <c r="D18" s="19" t="s">
        <v>98</v>
      </c>
      <c r="E18" s="9">
        <v>4</v>
      </c>
      <c r="G18" s="10">
        <f>+SUM(G19:G27)</f>
        <v>1</v>
      </c>
      <c r="I18" s="12">
        <f>+SUM(I19:I27)</f>
        <v>54</v>
      </c>
      <c r="J18" s="11">
        <f>+SUMPRODUCT(G19:G27,J19:J27)</f>
        <v>0</v>
      </c>
      <c r="K18" s="11">
        <f>+SUMPRODUCT(G19:G27,K19:K27)</f>
        <v>0</v>
      </c>
      <c r="L18" s="9"/>
      <c r="N18" s="12">
        <f>+SUM(N19:N27)</f>
        <v>10</v>
      </c>
      <c r="U18" s="12">
        <f>+SUM(U19:U27)</f>
        <v>8</v>
      </c>
      <c r="AB18" s="12">
        <f>+SUM(AB19:AB27)</f>
        <v>10</v>
      </c>
      <c r="AI18" s="12">
        <f>+SUM(AI19:AI27)</f>
        <v>8</v>
      </c>
      <c r="AP18" s="12">
        <f>+SUM(AP19:AP27)</f>
        <v>8</v>
      </c>
      <c r="AW18" s="12">
        <f>+SUM(AW19:AW27)</f>
        <v>10</v>
      </c>
    </row>
    <row r="19" spans="2:74" outlineLevel="1" x14ac:dyDescent="0.2">
      <c r="B19" t="s">
        <v>28</v>
      </c>
      <c r="C19" t="s">
        <v>97</v>
      </c>
      <c r="E19" s="9"/>
      <c r="F19" t="s">
        <v>30</v>
      </c>
      <c r="G19" s="10">
        <v>0.05</v>
      </c>
      <c r="I19" s="9">
        <f t="shared" ref="I19:I27" si="1">+SUMIF($N$3:$VR$3,I$3,$N19:$VR19)</f>
        <v>6</v>
      </c>
      <c r="J19" s="11">
        <v>0</v>
      </c>
      <c r="K19" s="11">
        <v>0</v>
      </c>
      <c r="L19" s="9"/>
      <c r="N19">
        <v>4</v>
      </c>
      <c r="O19" s="10">
        <v>0.3</v>
      </c>
      <c r="P19" s="10">
        <v>0.8</v>
      </c>
      <c r="Q19" s="10"/>
      <c r="R19" s="10">
        <v>0.8</v>
      </c>
      <c r="U19">
        <v>2</v>
      </c>
      <c r="V19" s="10"/>
      <c r="W19" s="10">
        <v>1</v>
      </c>
      <c r="X19" s="10"/>
      <c r="Y19" s="10">
        <v>1</v>
      </c>
      <c r="AC19" s="10"/>
      <c r="AD19" s="10">
        <v>1</v>
      </c>
      <c r="AE19" s="10"/>
      <c r="AF19" s="10">
        <v>1</v>
      </c>
      <c r="AJ19" s="10"/>
      <c r="AK19" s="10">
        <v>1</v>
      </c>
      <c r="AL19" s="10"/>
      <c r="AM19" s="10">
        <v>1</v>
      </c>
      <c r="AQ19" s="10"/>
      <c r="AR19" s="10">
        <v>1</v>
      </c>
      <c r="AS19" s="10"/>
      <c r="AT19" s="10">
        <v>1</v>
      </c>
      <c r="AX19" s="10"/>
      <c r="AY19" s="10">
        <v>1</v>
      </c>
      <c r="AZ19" s="10"/>
      <c r="BA19" s="10">
        <v>1</v>
      </c>
      <c r="BE19" s="10"/>
      <c r="BF19" s="10"/>
      <c r="BG19" s="10"/>
      <c r="BH19" s="10"/>
      <c r="BL19" s="10"/>
      <c r="BM19" s="10"/>
      <c r="BN19" s="10"/>
      <c r="BO19" s="10"/>
      <c r="BS19" s="10"/>
      <c r="BT19" s="10">
        <v>1</v>
      </c>
      <c r="BU19" s="10"/>
      <c r="BV19" s="10">
        <v>1</v>
      </c>
    </row>
    <row r="20" spans="2:74" outlineLevel="1" x14ac:dyDescent="0.2">
      <c r="B20" t="s">
        <v>28</v>
      </c>
      <c r="C20" t="s">
        <v>97</v>
      </c>
      <c r="E20" s="9"/>
      <c r="F20" t="s">
        <v>101</v>
      </c>
      <c r="G20" s="10">
        <v>0.1</v>
      </c>
      <c r="I20" s="9">
        <f t="shared" si="1"/>
        <v>6</v>
      </c>
      <c r="J20" s="11">
        <v>0</v>
      </c>
      <c r="K20" s="11">
        <v>0</v>
      </c>
      <c r="L20" s="9"/>
      <c r="N20">
        <v>2</v>
      </c>
      <c r="O20" s="10">
        <v>0.3</v>
      </c>
      <c r="P20" s="10">
        <v>0.5</v>
      </c>
      <c r="Q20" s="10"/>
      <c r="R20" s="10">
        <v>0.5</v>
      </c>
      <c r="U20">
        <v>2</v>
      </c>
      <c r="V20" s="10"/>
      <c r="W20" s="10">
        <v>0.8</v>
      </c>
      <c r="X20" s="10"/>
      <c r="Y20" s="10">
        <v>0.8</v>
      </c>
      <c r="AB20">
        <v>2</v>
      </c>
      <c r="AC20" s="10"/>
      <c r="AD20" s="10">
        <v>1</v>
      </c>
      <c r="AE20" s="10"/>
      <c r="AF20" s="10">
        <v>1</v>
      </c>
      <c r="AJ20" s="10"/>
      <c r="AK20" s="10">
        <v>1</v>
      </c>
      <c r="AL20" s="10"/>
      <c r="AM20" s="10">
        <v>1</v>
      </c>
      <c r="AQ20" s="10"/>
      <c r="AR20" s="10">
        <v>1</v>
      </c>
      <c r="AS20" s="10"/>
      <c r="AT20" s="10">
        <v>1</v>
      </c>
      <c r="AX20" s="10"/>
      <c r="AY20" s="10">
        <v>1</v>
      </c>
      <c r="AZ20" s="10"/>
      <c r="BA20" s="10">
        <v>1</v>
      </c>
      <c r="BE20" s="10"/>
      <c r="BF20" s="10"/>
      <c r="BG20" s="10"/>
      <c r="BH20" s="10"/>
      <c r="BL20" s="10"/>
      <c r="BM20" s="10"/>
      <c r="BN20" s="10"/>
      <c r="BO20" s="10"/>
      <c r="BS20" s="10"/>
      <c r="BT20" s="10">
        <v>1</v>
      </c>
      <c r="BU20" s="10"/>
      <c r="BV20" s="10">
        <v>1</v>
      </c>
    </row>
    <row r="21" spans="2:74" outlineLevel="1" x14ac:dyDescent="0.2">
      <c r="B21" t="s">
        <v>28</v>
      </c>
      <c r="C21" t="s">
        <v>97</v>
      </c>
      <c r="E21" s="9"/>
      <c r="F21" t="s">
        <v>102</v>
      </c>
      <c r="G21" s="10">
        <v>0.1</v>
      </c>
      <c r="I21" s="9">
        <f t="shared" si="1"/>
        <v>6</v>
      </c>
      <c r="J21" s="11">
        <v>0</v>
      </c>
      <c r="K21" s="11" cm="1">
        <f t="array" ref="K21">MAX(IF($N$3:$BW$3=$J$3,N21:BW21))</f>
        <v>0</v>
      </c>
      <c r="L21" s="9"/>
      <c r="N21">
        <v>2</v>
      </c>
      <c r="O21" s="10"/>
      <c r="P21" s="10">
        <v>0.5</v>
      </c>
      <c r="Q21" s="10"/>
      <c r="R21" s="10">
        <v>0.5</v>
      </c>
      <c r="U21">
        <v>2</v>
      </c>
      <c r="V21" s="10"/>
      <c r="W21" s="10">
        <v>0.8</v>
      </c>
      <c r="X21" s="10"/>
      <c r="Y21" s="10">
        <v>0.8</v>
      </c>
      <c r="AC21" s="10"/>
      <c r="AD21" s="10">
        <v>0.8</v>
      </c>
      <c r="AE21" s="10"/>
      <c r="AF21" s="10">
        <v>0.8</v>
      </c>
      <c r="AI21">
        <v>2</v>
      </c>
      <c r="AJ21" s="10"/>
      <c r="AK21" s="10">
        <v>1</v>
      </c>
      <c r="AL21" s="10"/>
      <c r="AM21" s="10">
        <v>1</v>
      </c>
      <c r="AQ21" s="10"/>
      <c r="AR21" s="10">
        <v>1</v>
      </c>
      <c r="AS21" s="10"/>
      <c r="AT21" s="10">
        <v>1</v>
      </c>
      <c r="AX21" s="10"/>
      <c r="AY21" s="10">
        <v>1</v>
      </c>
      <c r="AZ21" s="10"/>
      <c r="BA21" s="10">
        <v>1</v>
      </c>
      <c r="BE21" s="10"/>
      <c r="BF21" s="10"/>
      <c r="BG21" s="10"/>
      <c r="BH21" s="10"/>
      <c r="BL21" s="10"/>
      <c r="BM21" s="10"/>
      <c r="BN21" s="10"/>
      <c r="BO21" s="10"/>
      <c r="BS21" s="10"/>
      <c r="BT21" s="10">
        <v>1</v>
      </c>
      <c r="BU21" s="10"/>
      <c r="BV21" s="10">
        <v>1</v>
      </c>
    </row>
    <row r="22" spans="2:74" outlineLevel="1" x14ac:dyDescent="0.2">
      <c r="B22" t="s">
        <v>28</v>
      </c>
      <c r="C22" t="s">
        <v>97</v>
      </c>
      <c r="E22" s="9"/>
      <c r="F22" t="s">
        <v>103</v>
      </c>
      <c r="G22" s="10">
        <v>0.1</v>
      </c>
      <c r="I22" s="9">
        <f t="shared" si="1"/>
        <v>6</v>
      </c>
      <c r="J22" s="11" cm="1">
        <f t="array" ref="J22">MAX(IF($N$3:$BW$3=$J$3,N22:BW22))</f>
        <v>0</v>
      </c>
      <c r="K22" s="11" cm="1">
        <f t="array" ref="K22">MAX(IF($N$3:$BW$3=$J$3,N22:BW22))</f>
        <v>0</v>
      </c>
      <c r="L22" s="9"/>
      <c r="N22">
        <v>2</v>
      </c>
      <c r="O22" s="10"/>
      <c r="P22" s="10">
        <v>0.5</v>
      </c>
      <c r="Q22" s="10"/>
      <c r="R22" s="10">
        <v>0.5</v>
      </c>
      <c r="U22">
        <v>2</v>
      </c>
      <c r="V22" s="10"/>
      <c r="W22" s="10">
        <v>0.8</v>
      </c>
      <c r="X22" s="10"/>
      <c r="Y22" s="10">
        <v>0.8</v>
      </c>
      <c r="AC22" s="10"/>
      <c r="AD22" s="10">
        <v>0.8</v>
      </c>
      <c r="AE22" s="10"/>
      <c r="AF22" s="10">
        <v>0.8</v>
      </c>
      <c r="AJ22" s="10"/>
      <c r="AK22" s="10">
        <v>0.8</v>
      </c>
      <c r="AL22" s="10"/>
      <c r="AM22" s="10">
        <v>0.8</v>
      </c>
      <c r="AP22">
        <v>2</v>
      </c>
      <c r="AQ22" s="10"/>
      <c r="AR22" s="10">
        <v>1</v>
      </c>
      <c r="AS22" s="10"/>
      <c r="AT22" s="10">
        <v>1</v>
      </c>
      <c r="AX22" s="10"/>
      <c r="AY22" s="10">
        <v>1</v>
      </c>
      <c r="AZ22" s="10"/>
      <c r="BA22" s="10">
        <v>1</v>
      </c>
      <c r="BE22" s="10"/>
      <c r="BF22" s="10"/>
      <c r="BG22" s="10"/>
      <c r="BH22" s="10"/>
      <c r="BL22" s="10"/>
      <c r="BM22" s="10"/>
      <c r="BN22" s="10"/>
      <c r="BO22" s="10"/>
      <c r="BS22" s="10"/>
      <c r="BT22" s="10">
        <v>1</v>
      </c>
      <c r="BU22" s="10"/>
      <c r="BV22" s="10">
        <v>1</v>
      </c>
    </row>
    <row r="23" spans="2:74" outlineLevel="1" x14ac:dyDescent="0.2">
      <c r="B23" t="s">
        <v>28</v>
      </c>
      <c r="C23" t="s">
        <v>97</v>
      </c>
      <c r="E23" s="9"/>
      <c r="F23" t="s">
        <v>104</v>
      </c>
      <c r="G23" s="10">
        <v>0.1</v>
      </c>
      <c r="I23" s="9">
        <f t="shared" si="1"/>
        <v>6</v>
      </c>
      <c r="J23" s="11" cm="1">
        <f t="array" ref="J23">MAX(IF($N$3:$BW$3=$J$3,N23:BW23))</f>
        <v>0</v>
      </c>
      <c r="K23" s="11" cm="1">
        <f t="array" ref="K23">MAX(IF($N$3:$BW$3=$J$3,N23:BW23))</f>
        <v>0</v>
      </c>
      <c r="L23" s="9"/>
      <c r="O23" s="10"/>
      <c r="P23" s="10"/>
      <c r="Q23" s="10"/>
      <c r="R23" s="10"/>
      <c r="V23" s="10"/>
      <c r="W23" s="10"/>
      <c r="X23" s="10"/>
      <c r="Y23" s="10"/>
      <c r="AB23">
        <v>2</v>
      </c>
      <c r="AC23" s="10"/>
      <c r="AD23" s="10">
        <v>0.5</v>
      </c>
      <c r="AE23" s="10"/>
      <c r="AF23" s="10">
        <v>0.5</v>
      </c>
      <c r="AI23">
        <v>2</v>
      </c>
      <c r="AJ23" s="10"/>
      <c r="AK23" s="10">
        <v>0.8</v>
      </c>
      <c r="AL23" s="10"/>
      <c r="AM23" s="10">
        <v>0.8</v>
      </c>
      <c r="AQ23" s="10"/>
      <c r="AR23" s="10">
        <v>0.8</v>
      </c>
      <c r="AS23" s="10"/>
      <c r="AT23" s="10">
        <v>0.8</v>
      </c>
      <c r="AW23">
        <v>2</v>
      </c>
      <c r="AX23" s="10"/>
      <c r="AY23" s="10">
        <v>1</v>
      </c>
      <c r="AZ23" s="10"/>
      <c r="BA23" s="10">
        <v>1</v>
      </c>
      <c r="BE23" s="10"/>
      <c r="BF23" s="10"/>
      <c r="BG23" s="10"/>
      <c r="BH23" s="10"/>
      <c r="BL23" s="10"/>
      <c r="BM23" s="10"/>
      <c r="BN23" s="10"/>
      <c r="BO23" s="10"/>
      <c r="BS23" s="10"/>
      <c r="BT23" s="10">
        <v>1</v>
      </c>
      <c r="BU23" s="10"/>
      <c r="BV23" s="10">
        <v>1</v>
      </c>
    </row>
    <row r="24" spans="2:74" outlineLevel="1" x14ac:dyDescent="0.2">
      <c r="B24" t="s">
        <v>28</v>
      </c>
      <c r="C24" t="s">
        <v>97</v>
      </c>
      <c r="E24" s="9"/>
      <c r="F24" t="s">
        <v>105</v>
      </c>
      <c r="G24" s="10">
        <v>0.1</v>
      </c>
      <c r="I24" s="9">
        <f t="shared" si="1"/>
        <v>6</v>
      </c>
      <c r="J24" s="11" cm="1">
        <f t="array" ref="J24">MAX(IF($N$3:$BW$3=$J$3,N24:BW24))</f>
        <v>0</v>
      </c>
      <c r="K24" s="11" cm="1">
        <f t="array" ref="K24">MAX(IF($N$3:$BW$3=$J$3,N24:BW24))</f>
        <v>0</v>
      </c>
      <c r="L24" s="9"/>
      <c r="O24" s="10"/>
      <c r="P24" s="10"/>
      <c r="Q24" s="10"/>
      <c r="R24" s="10"/>
      <c r="V24" s="10"/>
      <c r="W24" s="10"/>
      <c r="X24" s="10"/>
      <c r="Y24" s="10"/>
      <c r="AB24">
        <v>2</v>
      </c>
      <c r="AC24" s="10"/>
      <c r="AD24" s="10">
        <v>0.5</v>
      </c>
      <c r="AE24" s="10"/>
      <c r="AF24" s="10">
        <v>0.5</v>
      </c>
      <c r="AI24">
        <v>2</v>
      </c>
      <c r="AJ24" s="10"/>
      <c r="AK24" s="10">
        <v>0.8</v>
      </c>
      <c r="AL24" s="10"/>
      <c r="AM24" s="10">
        <v>0.8</v>
      </c>
      <c r="AQ24" s="10"/>
      <c r="AR24" s="10">
        <v>0.8</v>
      </c>
      <c r="AS24" s="10"/>
      <c r="AT24" s="10">
        <v>0.8</v>
      </c>
      <c r="AW24">
        <v>2</v>
      </c>
      <c r="AX24" s="10"/>
      <c r="AY24" s="10">
        <v>1</v>
      </c>
      <c r="AZ24" s="10"/>
      <c r="BA24" s="10">
        <v>1</v>
      </c>
      <c r="BE24" s="10"/>
      <c r="BF24" s="10"/>
      <c r="BG24" s="10"/>
      <c r="BH24" s="10"/>
      <c r="BL24" s="10"/>
      <c r="BM24" s="10"/>
      <c r="BN24" s="10"/>
      <c r="BO24" s="10"/>
      <c r="BS24" s="10"/>
      <c r="BT24" s="10">
        <v>1</v>
      </c>
      <c r="BU24" s="10"/>
      <c r="BV24" s="10">
        <v>1</v>
      </c>
    </row>
    <row r="25" spans="2:74" outlineLevel="1" x14ac:dyDescent="0.2">
      <c r="B25" t="s">
        <v>28</v>
      </c>
      <c r="C25" t="s">
        <v>97</v>
      </c>
      <c r="E25" s="9"/>
      <c r="F25" t="s">
        <v>106</v>
      </c>
      <c r="G25" s="10">
        <v>0.2</v>
      </c>
      <c r="I25" s="9">
        <f t="shared" si="1"/>
        <v>6</v>
      </c>
      <c r="J25" s="11" cm="1">
        <f t="array" ref="J25">MAX(IF($N$3:$BW$3=$J$3,N25:BW25))</f>
        <v>0</v>
      </c>
      <c r="K25" s="11" cm="1">
        <f t="array" ref="K25">MAX(IF($N$3:$BW$3=$J$3,N25:BW25))</f>
        <v>0</v>
      </c>
      <c r="L25" s="9"/>
      <c r="O25" s="10"/>
      <c r="P25" s="10"/>
      <c r="Q25" s="10"/>
      <c r="R25" s="10"/>
      <c r="V25" s="10"/>
      <c r="W25" s="10"/>
      <c r="X25" s="10"/>
      <c r="Y25" s="10"/>
      <c r="AB25">
        <v>2</v>
      </c>
      <c r="AC25" s="10"/>
      <c r="AD25" s="10">
        <v>0.5</v>
      </c>
      <c r="AE25" s="10"/>
      <c r="AF25" s="10">
        <v>0.5</v>
      </c>
      <c r="AJ25" s="10"/>
      <c r="AK25" s="10">
        <v>0.5</v>
      </c>
      <c r="AL25" s="10"/>
      <c r="AM25" s="10">
        <v>0.5</v>
      </c>
      <c r="AP25">
        <v>2</v>
      </c>
      <c r="AQ25" s="10"/>
      <c r="AR25" s="10">
        <v>0.8</v>
      </c>
      <c r="AS25" s="10"/>
      <c r="AT25" s="10">
        <v>0.8</v>
      </c>
      <c r="AW25">
        <v>2</v>
      </c>
      <c r="AX25" s="10"/>
      <c r="AY25" s="10">
        <v>1</v>
      </c>
      <c r="AZ25" s="10"/>
      <c r="BA25" s="10">
        <v>1</v>
      </c>
      <c r="BE25" s="10"/>
      <c r="BF25" s="10"/>
      <c r="BG25" s="10"/>
      <c r="BH25" s="10"/>
      <c r="BL25" s="10"/>
      <c r="BM25" s="10"/>
      <c r="BN25" s="10"/>
      <c r="BO25" s="10"/>
      <c r="BS25" s="10"/>
      <c r="BT25" s="10">
        <v>1</v>
      </c>
      <c r="BU25" s="10"/>
      <c r="BV25" s="10">
        <v>1</v>
      </c>
    </row>
    <row r="26" spans="2:74" outlineLevel="1" x14ac:dyDescent="0.2">
      <c r="B26" t="s">
        <v>28</v>
      </c>
      <c r="C26" t="s">
        <v>97</v>
      </c>
      <c r="E26" s="9"/>
      <c r="F26" t="s">
        <v>107</v>
      </c>
      <c r="G26" s="10">
        <v>0.2</v>
      </c>
      <c r="I26" s="9">
        <f t="shared" si="1"/>
        <v>6</v>
      </c>
      <c r="J26" s="11" cm="1">
        <f t="array" ref="J26">MAX(IF($N$3:$BW$3=$J$3,N26:BW26))</f>
        <v>0</v>
      </c>
      <c r="K26" s="11" cm="1">
        <f t="array" ref="K26">MAX(IF($N$3:$BW$3=$J$3,N26:BW26))</f>
        <v>0</v>
      </c>
      <c r="L26" s="9"/>
      <c r="O26" s="10"/>
      <c r="P26" s="10"/>
      <c r="Q26" s="10"/>
      <c r="R26" s="10"/>
      <c r="V26" s="10"/>
      <c r="W26" s="10"/>
      <c r="X26" s="10"/>
      <c r="Y26" s="10"/>
      <c r="AB26">
        <v>2</v>
      </c>
      <c r="AC26" s="10"/>
      <c r="AD26" s="10">
        <v>0.5</v>
      </c>
      <c r="AE26" s="10"/>
      <c r="AF26" s="10">
        <v>0.5</v>
      </c>
      <c r="AJ26" s="10"/>
      <c r="AK26" s="10">
        <v>0.5</v>
      </c>
      <c r="AL26" s="10"/>
      <c r="AM26" s="10">
        <v>0.5</v>
      </c>
      <c r="AP26">
        <v>2</v>
      </c>
      <c r="AQ26" s="10"/>
      <c r="AR26" s="10">
        <v>0.8</v>
      </c>
      <c r="AS26" s="10"/>
      <c r="AT26" s="10">
        <v>0.8</v>
      </c>
      <c r="AW26">
        <v>2</v>
      </c>
      <c r="AX26" s="10"/>
      <c r="AY26" s="10">
        <v>1</v>
      </c>
      <c r="AZ26" s="10"/>
      <c r="BA26" s="10">
        <v>1</v>
      </c>
      <c r="BE26" s="10"/>
      <c r="BF26" s="10"/>
      <c r="BG26" s="10"/>
      <c r="BH26" s="10"/>
      <c r="BL26" s="10"/>
      <c r="BM26" s="10"/>
      <c r="BN26" s="10"/>
      <c r="BO26" s="10"/>
      <c r="BS26" s="10"/>
      <c r="BT26" s="10">
        <v>1</v>
      </c>
      <c r="BU26" s="10"/>
      <c r="BV26" s="10">
        <v>1</v>
      </c>
    </row>
    <row r="27" spans="2:74" outlineLevel="1" x14ac:dyDescent="0.2">
      <c r="B27" t="s">
        <v>28</v>
      </c>
      <c r="C27" t="s">
        <v>97</v>
      </c>
      <c r="E27" s="9"/>
      <c r="F27" t="s">
        <v>108</v>
      </c>
      <c r="G27" s="10">
        <v>0.05</v>
      </c>
      <c r="I27" s="9">
        <f t="shared" si="1"/>
        <v>6</v>
      </c>
      <c r="J27" s="11" cm="1">
        <f t="array" ref="J27">MAX(IF($N$3:$BW$3=$J$3,N27:BW27))</f>
        <v>0</v>
      </c>
      <c r="K27" s="11" cm="1">
        <f t="array" ref="K27">MAX(IF($N$3:$BW$3=$J$3,N27:BW27))</f>
        <v>0</v>
      </c>
      <c r="L27" s="9"/>
      <c r="O27" s="10"/>
      <c r="P27" s="10"/>
      <c r="Q27" s="10"/>
      <c r="R27" s="10"/>
      <c r="V27" s="10"/>
      <c r="W27" s="10"/>
      <c r="X27" s="10"/>
      <c r="Y27" s="10"/>
      <c r="AC27" s="10"/>
      <c r="AD27" s="10"/>
      <c r="AE27" s="10"/>
      <c r="AF27" s="10"/>
      <c r="AI27">
        <v>2</v>
      </c>
      <c r="AJ27" s="10"/>
      <c r="AK27" s="10">
        <v>0.5</v>
      </c>
      <c r="AL27" s="10"/>
      <c r="AM27" s="10">
        <v>0.5</v>
      </c>
      <c r="AP27">
        <v>2</v>
      </c>
      <c r="AQ27" s="10"/>
      <c r="AR27" s="10">
        <v>0.8</v>
      </c>
      <c r="AS27" s="10"/>
      <c r="AT27" s="10">
        <v>0.8</v>
      </c>
      <c r="AW27">
        <v>2</v>
      </c>
      <c r="AX27" s="10"/>
      <c r="AY27" s="10">
        <v>1</v>
      </c>
      <c r="AZ27" s="10"/>
      <c r="BA27" s="10">
        <v>1</v>
      </c>
      <c r="BE27" s="10"/>
      <c r="BF27" s="10"/>
      <c r="BG27" s="10"/>
      <c r="BH27" s="10"/>
      <c r="BL27" s="10"/>
      <c r="BM27" s="10"/>
      <c r="BN27" s="10"/>
      <c r="BO27" s="10"/>
      <c r="BS27" s="10"/>
      <c r="BT27" s="10">
        <v>1</v>
      </c>
      <c r="BU27" s="10"/>
      <c r="BV27" s="10">
        <v>1</v>
      </c>
    </row>
    <row r="28" spans="2:74" x14ac:dyDescent="0.2">
      <c r="AB28" t="s">
        <v>115</v>
      </c>
    </row>
    <row r="29" spans="2:74" x14ac:dyDescent="0.2">
      <c r="B29" t="s">
        <v>27</v>
      </c>
      <c r="C29" t="s">
        <v>100</v>
      </c>
      <c r="D29" s="19" t="s">
        <v>116</v>
      </c>
      <c r="E29" s="9">
        <v>6</v>
      </c>
      <c r="G29" s="10">
        <f>+SUM(G30:G40)</f>
        <v>0.99999999999999989</v>
      </c>
      <c r="I29" s="12">
        <f>+SUM(I30:I40)</f>
        <v>0</v>
      </c>
      <c r="J29" s="11">
        <f>+SUMPRODUCT(G30:G40,J30:J40)</f>
        <v>0</v>
      </c>
      <c r="K29" s="11">
        <f>+SUMPRODUCT(G30:G40,K30:K40)</f>
        <v>0</v>
      </c>
      <c r="L29" s="9"/>
      <c r="N29" s="12">
        <f>+SUM(N30:N40)</f>
        <v>0</v>
      </c>
      <c r="U29" s="12">
        <f>+SUM(U30:U40)</f>
        <v>0</v>
      </c>
      <c r="AB29" s="12">
        <f>+SUM(AB30:AB40)</f>
        <v>0</v>
      </c>
      <c r="AI29" s="12">
        <f>+SUM(AI30:AI40)</f>
        <v>0</v>
      </c>
      <c r="AP29" s="12">
        <f>+SUM(AP30:AP40)</f>
        <v>0</v>
      </c>
    </row>
    <row r="30" spans="2:74" outlineLevel="1" x14ac:dyDescent="0.2">
      <c r="B30" t="s">
        <v>28</v>
      </c>
      <c r="C30" t="s">
        <v>100</v>
      </c>
      <c r="E30" s="9"/>
      <c r="G30" s="10">
        <v>0.1</v>
      </c>
      <c r="I30" s="9">
        <f t="shared" ref="I30:I40" si="2">+SUMIF($N$3:$VR$3,I$3,$N30:$VR30)</f>
        <v>0</v>
      </c>
      <c r="J30" s="11" cm="1">
        <f t="array" ref="J30">MAX(IF($N$3:$BW$3=$J$3,N30:BW30))</f>
        <v>0</v>
      </c>
      <c r="K30" s="11" cm="1">
        <f t="array" ref="K30">MAX(IF($N$3:$BW$3=$J$3,N30:BW30))</f>
        <v>0</v>
      </c>
      <c r="L30" s="9"/>
      <c r="O30" s="10"/>
      <c r="P30" s="10"/>
      <c r="Q30" s="10"/>
      <c r="R30" s="10"/>
      <c r="V30" s="10"/>
      <c r="W30" s="10"/>
      <c r="X30" s="10"/>
      <c r="Y30" s="10"/>
      <c r="AC30" s="10"/>
      <c r="AD30" s="10"/>
      <c r="AE30" s="10"/>
      <c r="AF30" s="10"/>
      <c r="AJ30" s="10"/>
      <c r="AK30" s="10"/>
      <c r="AL30" s="10"/>
      <c r="AM30" s="10"/>
      <c r="AQ30" s="10"/>
      <c r="AR30" s="10"/>
      <c r="AS30" s="10"/>
      <c r="AT30" s="10"/>
      <c r="AX30" s="10"/>
      <c r="AY30" s="10"/>
      <c r="AZ30" s="10"/>
      <c r="BA30" s="10"/>
      <c r="BE30" s="10"/>
      <c r="BF30" s="10"/>
      <c r="BG30" s="10"/>
      <c r="BH30" s="10"/>
      <c r="BL30" s="10"/>
      <c r="BM30" s="10"/>
      <c r="BN30" s="10"/>
      <c r="BO30" s="10"/>
      <c r="BS30" s="10"/>
      <c r="BT30" s="10"/>
      <c r="BU30" s="10"/>
      <c r="BV30" s="10"/>
    </row>
    <row r="31" spans="2:74" outlineLevel="1" x14ac:dyDescent="0.2">
      <c r="B31" t="s">
        <v>28</v>
      </c>
      <c r="C31" t="s">
        <v>100</v>
      </c>
      <c r="E31" s="9"/>
      <c r="G31" s="10">
        <v>0.1</v>
      </c>
      <c r="I31" s="9">
        <f t="shared" si="2"/>
        <v>0</v>
      </c>
      <c r="J31" s="11" cm="1">
        <f t="array" ref="J31">MAX(IF($N$3:$BW$3=$J$3,N31:BW31))</f>
        <v>0</v>
      </c>
      <c r="K31" s="11" cm="1">
        <f t="array" ref="K31">MAX(IF($N$3:$BW$3=$J$3,N31:BW31))</f>
        <v>0</v>
      </c>
      <c r="L31" s="9"/>
      <c r="O31" s="10"/>
      <c r="P31" s="10"/>
      <c r="Q31" s="10"/>
      <c r="R31" s="10"/>
      <c r="V31" s="10"/>
      <c r="W31" s="10"/>
      <c r="X31" s="10"/>
      <c r="Y31" s="10"/>
      <c r="AC31" s="10"/>
      <c r="AD31" s="10"/>
      <c r="AE31" s="10"/>
      <c r="AF31" s="10"/>
      <c r="AJ31" s="10"/>
      <c r="AK31" s="10"/>
      <c r="AL31" s="10"/>
      <c r="AM31" s="10"/>
      <c r="AQ31" s="10"/>
      <c r="AR31" s="10"/>
      <c r="AS31" s="10"/>
      <c r="AT31" s="10"/>
      <c r="AX31" s="10"/>
      <c r="AY31" s="10"/>
      <c r="AZ31" s="10"/>
      <c r="BA31" s="10"/>
      <c r="BE31" s="10"/>
      <c r="BF31" s="10"/>
      <c r="BG31" s="10"/>
      <c r="BH31" s="10"/>
      <c r="BL31" s="10"/>
      <c r="BM31" s="10"/>
      <c r="BN31" s="10"/>
      <c r="BO31" s="10"/>
      <c r="BS31" s="10"/>
      <c r="BT31" s="10"/>
      <c r="BU31" s="10"/>
      <c r="BV31" s="10"/>
    </row>
    <row r="32" spans="2:74" outlineLevel="1" x14ac:dyDescent="0.2">
      <c r="B32" t="s">
        <v>28</v>
      </c>
      <c r="C32" t="s">
        <v>100</v>
      </c>
      <c r="E32" s="9"/>
      <c r="G32" s="10">
        <v>0.05</v>
      </c>
      <c r="I32" s="9">
        <f t="shared" si="2"/>
        <v>0</v>
      </c>
      <c r="J32" s="11" cm="1">
        <f t="array" ref="J32">MAX(IF($N$3:$BW$3=$J$3,N32:BW32))</f>
        <v>0</v>
      </c>
      <c r="K32" s="11" cm="1">
        <f t="array" ref="K32">MAX(IF($N$3:$BW$3=$J$3,N32:BW32))</f>
        <v>0</v>
      </c>
      <c r="L32" s="9"/>
      <c r="O32" s="10"/>
      <c r="P32" s="10"/>
      <c r="Q32" s="10"/>
      <c r="R32" s="10"/>
      <c r="V32" s="10"/>
      <c r="W32" s="10"/>
      <c r="X32" s="10"/>
      <c r="Y32" s="10"/>
      <c r="AC32" s="10"/>
      <c r="AD32" s="10"/>
      <c r="AE32" s="10"/>
      <c r="AF32" s="10"/>
      <c r="AJ32" s="10"/>
      <c r="AK32" s="10"/>
      <c r="AL32" s="10"/>
      <c r="AM32" s="10"/>
      <c r="AQ32" s="10"/>
      <c r="AR32" s="10"/>
      <c r="AS32" s="10"/>
      <c r="AT32" s="10"/>
      <c r="AX32" s="10"/>
      <c r="AY32" s="10"/>
      <c r="AZ32" s="10"/>
      <c r="BA32" s="10"/>
      <c r="BE32" s="10"/>
      <c r="BF32" s="10"/>
      <c r="BG32" s="10"/>
      <c r="BH32" s="10"/>
      <c r="BL32" s="10"/>
      <c r="BM32" s="10"/>
      <c r="BN32" s="10"/>
      <c r="BO32" s="10"/>
      <c r="BS32" s="10"/>
      <c r="BT32" s="10"/>
      <c r="BU32" s="10"/>
      <c r="BV32" s="10"/>
    </row>
    <row r="33" spans="2:74" outlineLevel="1" x14ac:dyDescent="0.2">
      <c r="B33" t="s">
        <v>28</v>
      </c>
      <c r="C33" t="s">
        <v>100</v>
      </c>
      <c r="E33" s="9"/>
      <c r="G33" s="10">
        <v>0.05</v>
      </c>
      <c r="I33" s="9">
        <f t="shared" si="2"/>
        <v>0</v>
      </c>
      <c r="J33" s="11" cm="1">
        <f t="array" ref="J33">MAX(IF($N$3:$BW$3=$J$3,N33:BW33))</f>
        <v>0</v>
      </c>
      <c r="K33" s="11" cm="1">
        <f t="array" ref="K33">MAX(IF($N$3:$BW$3=$J$3,N33:BW33))</f>
        <v>0</v>
      </c>
      <c r="L33" s="9"/>
      <c r="O33" s="10"/>
      <c r="P33" s="10"/>
      <c r="Q33" s="10"/>
      <c r="R33" s="10"/>
      <c r="V33" s="10"/>
      <c r="W33" s="10"/>
      <c r="X33" s="10"/>
      <c r="Y33" s="10"/>
      <c r="AC33" s="10"/>
      <c r="AD33" s="10"/>
      <c r="AE33" s="10"/>
      <c r="AF33" s="10"/>
      <c r="AJ33" s="10"/>
      <c r="AK33" s="10"/>
      <c r="AL33" s="10"/>
      <c r="AM33" s="10"/>
      <c r="AQ33" s="10"/>
      <c r="AR33" s="10"/>
      <c r="AS33" s="10"/>
      <c r="AT33" s="10"/>
      <c r="AX33" s="10"/>
      <c r="AY33" s="10"/>
      <c r="AZ33" s="10"/>
      <c r="BA33" s="10"/>
      <c r="BE33" s="10"/>
      <c r="BF33" s="10"/>
      <c r="BG33" s="10"/>
      <c r="BH33" s="10"/>
      <c r="BL33" s="10"/>
      <c r="BM33" s="10"/>
      <c r="BN33" s="10"/>
      <c r="BO33" s="10"/>
      <c r="BS33" s="10"/>
      <c r="BT33" s="10"/>
      <c r="BU33" s="10"/>
      <c r="BV33" s="10"/>
    </row>
    <row r="34" spans="2:74" outlineLevel="1" x14ac:dyDescent="0.2">
      <c r="B34" t="s">
        <v>28</v>
      </c>
      <c r="C34" t="s">
        <v>100</v>
      </c>
      <c r="E34" s="9"/>
      <c r="G34" s="10">
        <v>0.1</v>
      </c>
      <c r="I34" s="9">
        <f t="shared" si="2"/>
        <v>0</v>
      </c>
      <c r="J34" s="11" cm="1">
        <f t="array" ref="J34">MAX(IF($N$3:$BW$3=$J$3,N34:BW34))</f>
        <v>0</v>
      </c>
      <c r="K34" s="11" cm="1">
        <f t="array" ref="K34">MAX(IF($N$3:$BW$3=$J$3,N34:BW34))</f>
        <v>0</v>
      </c>
      <c r="L34" s="9"/>
      <c r="O34" s="10"/>
      <c r="P34" s="10"/>
      <c r="Q34" s="10"/>
      <c r="R34" s="10"/>
      <c r="V34" s="10"/>
      <c r="W34" s="10"/>
      <c r="X34" s="10"/>
      <c r="Y34" s="10"/>
      <c r="AC34" s="10"/>
      <c r="AD34" s="10"/>
      <c r="AE34" s="10"/>
      <c r="AF34" s="10"/>
      <c r="AJ34" s="10"/>
      <c r="AK34" s="10"/>
      <c r="AL34" s="10"/>
      <c r="AM34" s="10"/>
      <c r="AQ34" s="10"/>
      <c r="AR34" s="10"/>
      <c r="AS34" s="10"/>
      <c r="AT34" s="10"/>
      <c r="AX34" s="10"/>
      <c r="AY34" s="10"/>
      <c r="AZ34" s="10"/>
      <c r="BA34" s="10"/>
      <c r="BE34" s="10"/>
      <c r="BF34" s="10"/>
      <c r="BG34" s="10"/>
      <c r="BH34" s="10"/>
      <c r="BL34" s="10"/>
      <c r="BM34" s="10"/>
      <c r="BN34" s="10"/>
      <c r="BO34" s="10"/>
      <c r="BS34" s="10"/>
      <c r="BT34" s="10"/>
      <c r="BU34" s="10"/>
      <c r="BV34" s="10"/>
    </row>
    <row r="35" spans="2:74" outlineLevel="1" x14ac:dyDescent="0.2">
      <c r="B35" t="s">
        <v>28</v>
      </c>
      <c r="C35" t="s">
        <v>100</v>
      </c>
      <c r="E35" s="9"/>
      <c r="G35" s="10">
        <v>0.1</v>
      </c>
      <c r="I35" s="9">
        <f t="shared" si="2"/>
        <v>0</v>
      </c>
      <c r="J35" s="11" cm="1">
        <f t="array" ref="J35">MAX(IF($N$3:$BW$3=$J$3,N35:BW35))</f>
        <v>0</v>
      </c>
      <c r="K35" s="11" cm="1">
        <f t="array" ref="K35">MAX(IF($N$3:$BW$3=$J$3,N35:BW35))</f>
        <v>0</v>
      </c>
      <c r="L35" s="9"/>
      <c r="O35" s="10"/>
      <c r="P35" s="10"/>
      <c r="Q35" s="10"/>
      <c r="R35" s="10"/>
      <c r="V35" s="10"/>
      <c r="W35" s="10"/>
      <c r="X35" s="10"/>
      <c r="Y35" s="10"/>
      <c r="AC35" s="10"/>
      <c r="AD35" s="10"/>
      <c r="AE35" s="10"/>
      <c r="AF35" s="10"/>
      <c r="AJ35" s="10"/>
      <c r="AK35" s="10"/>
      <c r="AL35" s="10"/>
      <c r="AM35" s="10"/>
      <c r="AQ35" s="10"/>
      <c r="AR35" s="10"/>
      <c r="AS35" s="10"/>
      <c r="AT35" s="10"/>
      <c r="AX35" s="10"/>
      <c r="AY35" s="10"/>
      <c r="AZ35" s="10"/>
      <c r="BA35" s="10"/>
      <c r="BE35" s="10"/>
      <c r="BF35" s="10"/>
      <c r="BG35" s="10"/>
      <c r="BH35" s="10"/>
      <c r="BL35" s="10"/>
      <c r="BM35" s="10"/>
      <c r="BN35" s="10"/>
      <c r="BO35" s="10"/>
      <c r="BS35" s="10"/>
      <c r="BT35" s="10"/>
      <c r="BU35" s="10"/>
      <c r="BV35" s="10"/>
    </row>
    <row r="36" spans="2:74" outlineLevel="1" x14ac:dyDescent="0.2">
      <c r="B36" t="s">
        <v>28</v>
      </c>
      <c r="C36" t="s">
        <v>100</v>
      </c>
      <c r="E36" s="9"/>
      <c r="G36" s="10">
        <v>0.1</v>
      </c>
      <c r="I36" s="9">
        <f t="shared" si="2"/>
        <v>0</v>
      </c>
      <c r="J36" s="11" cm="1">
        <f t="array" ref="J36">MAX(IF($N$3:$BW$3=$J$3,N36:BW36))</f>
        <v>0</v>
      </c>
      <c r="K36" s="11" cm="1">
        <f t="array" ref="K36">MAX(IF($N$3:$BW$3=$J$3,N36:BW36))</f>
        <v>0</v>
      </c>
      <c r="L36" s="9"/>
      <c r="O36" s="10"/>
      <c r="P36" s="10"/>
      <c r="Q36" s="10"/>
      <c r="R36" s="10"/>
      <c r="V36" s="10"/>
      <c r="W36" s="10"/>
      <c r="X36" s="10"/>
      <c r="Y36" s="10"/>
      <c r="AC36" s="10"/>
      <c r="AD36" s="10"/>
      <c r="AE36" s="10"/>
      <c r="AF36" s="10"/>
      <c r="AJ36" s="10"/>
      <c r="AK36" s="10"/>
      <c r="AL36" s="10"/>
      <c r="AM36" s="10"/>
      <c r="AQ36" s="10"/>
      <c r="AR36" s="10"/>
      <c r="AS36" s="10"/>
      <c r="AT36" s="10"/>
      <c r="AX36" s="10"/>
      <c r="AY36" s="10"/>
      <c r="AZ36" s="10"/>
      <c r="BA36" s="10"/>
      <c r="BE36" s="10"/>
      <c r="BF36" s="10"/>
      <c r="BG36" s="10"/>
      <c r="BH36" s="10"/>
      <c r="BL36" s="10"/>
      <c r="BM36" s="10"/>
      <c r="BN36" s="10"/>
      <c r="BO36" s="10"/>
      <c r="BS36" s="10"/>
      <c r="BT36" s="10"/>
      <c r="BU36" s="10"/>
      <c r="BV36" s="10"/>
    </row>
    <row r="37" spans="2:74" outlineLevel="1" x14ac:dyDescent="0.2">
      <c r="B37" t="s">
        <v>28</v>
      </c>
      <c r="C37" t="s">
        <v>100</v>
      </c>
      <c r="E37" s="9"/>
      <c r="G37" s="10">
        <v>0.1</v>
      </c>
      <c r="I37" s="9">
        <f t="shared" si="2"/>
        <v>0</v>
      </c>
      <c r="J37" s="11" cm="1">
        <f t="array" ref="J37">MAX(IF($N$3:$BW$3=$J$3,N37:BW37))</f>
        <v>0</v>
      </c>
      <c r="K37" s="11" cm="1">
        <f t="array" ref="K37">MAX(IF($N$3:$BW$3=$J$3,N37:BW37))</f>
        <v>0</v>
      </c>
      <c r="L37" s="9"/>
      <c r="O37" s="10"/>
      <c r="P37" s="10"/>
      <c r="Q37" s="10"/>
      <c r="R37" s="10"/>
      <c r="V37" s="10"/>
      <c r="W37" s="10"/>
      <c r="X37" s="10"/>
      <c r="Y37" s="10"/>
      <c r="AC37" s="10"/>
      <c r="AD37" s="10"/>
      <c r="AE37" s="10"/>
      <c r="AF37" s="10"/>
      <c r="AJ37" s="10"/>
      <c r="AK37" s="10"/>
      <c r="AL37" s="10"/>
      <c r="AM37" s="10"/>
      <c r="AQ37" s="10"/>
      <c r="AR37" s="10"/>
      <c r="AS37" s="10"/>
      <c r="AT37" s="10"/>
      <c r="AX37" s="10"/>
      <c r="AY37" s="10"/>
      <c r="AZ37" s="10"/>
      <c r="BA37" s="10"/>
      <c r="BE37" s="10"/>
      <c r="BF37" s="10"/>
      <c r="BG37" s="10"/>
      <c r="BH37" s="10"/>
      <c r="BL37" s="10"/>
      <c r="BM37" s="10"/>
      <c r="BN37" s="10"/>
      <c r="BO37" s="10"/>
      <c r="BS37" s="10"/>
      <c r="BT37" s="10"/>
      <c r="BU37" s="10"/>
      <c r="BV37" s="10"/>
    </row>
    <row r="38" spans="2:74" outlineLevel="1" x14ac:dyDescent="0.2">
      <c r="B38" t="s">
        <v>28</v>
      </c>
      <c r="C38" t="s">
        <v>100</v>
      </c>
      <c r="E38" s="9"/>
      <c r="G38" s="10">
        <v>0.1</v>
      </c>
      <c r="I38" s="9">
        <f t="shared" si="2"/>
        <v>0</v>
      </c>
      <c r="J38" s="11" cm="1">
        <f t="array" ref="J38">MAX(IF($N$3:$BW$3=$J$3,N38:BW38))</f>
        <v>0</v>
      </c>
      <c r="K38" s="11" cm="1">
        <f t="array" ref="K38">MAX(IF($N$3:$BW$3=$J$3,N38:BW38))</f>
        <v>0</v>
      </c>
      <c r="L38" s="9"/>
      <c r="O38" s="10"/>
      <c r="P38" s="10"/>
      <c r="Q38" s="10"/>
      <c r="R38" s="10"/>
      <c r="V38" s="10"/>
      <c r="W38" s="10"/>
      <c r="X38" s="10"/>
      <c r="Y38" s="10"/>
      <c r="AC38" s="10"/>
      <c r="AD38" s="10"/>
      <c r="AE38" s="10"/>
      <c r="AF38" s="10"/>
      <c r="AJ38" s="10"/>
      <c r="AK38" s="10"/>
      <c r="AL38" s="10"/>
      <c r="AM38" s="10"/>
      <c r="AQ38" s="10"/>
      <c r="AR38" s="10"/>
      <c r="AS38" s="10"/>
      <c r="AT38" s="10"/>
      <c r="AX38" s="10"/>
      <c r="AY38" s="10"/>
      <c r="AZ38" s="10"/>
      <c r="BA38" s="10"/>
      <c r="BE38" s="10"/>
      <c r="BF38" s="10"/>
      <c r="BG38" s="10"/>
      <c r="BH38" s="10"/>
      <c r="BL38" s="10"/>
      <c r="BM38" s="10"/>
      <c r="BN38" s="10"/>
      <c r="BO38" s="10"/>
      <c r="BS38" s="10"/>
      <c r="BT38" s="10"/>
      <c r="BU38" s="10"/>
      <c r="BV38" s="10"/>
    </row>
    <row r="39" spans="2:74" outlineLevel="1" x14ac:dyDescent="0.2">
      <c r="B39" t="s">
        <v>28</v>
      </c>
      <c r="C39" t="s">
        <v>100</v>
      </c>
      <c r="E39" s="9"/>
      <c r="G39" s="10">
        <v>0.1</v>
      </c>
      <c r="I39" s="9">
        <f t="shared" si="2"/>
        <v>0</v>
      </c>
      <c r="J39" s="11" cm="1">
        <f t="array" ref="J39">MAX(IF($N$3:$BW$3=$J$3,N39:BW39))</f>
        <v>0</v>
      </c>
      <c r="K39" s="11" cm="1">
        <f t="array" ref="K39">MAX(IF($N$3:$BW$3=$J$3,N39:BW39))</f>
        <v>0</v>
      </c>
      <c r="L39" s="9"/>
      <c r="O39" s="10"/>
      <c r="P39" s="10"/>
      <c r="Q39" s="10"/>
      <c r="R39" s="10"/>
      <c r="V39" s="10"/>
      <c r="W39" s="10"/>
      <c r="X39" s="10"/>
      <c r="Y39" s="10"/>
      <c r="AC39" s="10"/>
      <c r="AD39" s="10"/>
      <c r="AE39" s="10"/>
      <c r="AF39" s="10"/>
      <c r="AJ39" s="10"/>
      <c r="AK39" s="10"/>
      <c r="AL39" s="10"/>
      <c r="AM39" s="10"/>
      <c r="AQ39" s="10"/>
      <c r="AR39" s="10"/>
      <c r="AS39" s="10"/>
      <c r="AT39" s="10"/>
      <c r="AX39" s="10"/>
      <c r="AY39" s="10"/>
      <c r="AZ39" s="10"/>
      <c r="BA39" s="10"/>
      <c r="BE39" s="10"/>
      <c r="BF39" s="10"/>
      <c r="BG39" s="10"/>
      <c r="BH39" s="10"/>
      <c r="BL39" s="10"/>
      <c r="BM39" s="10"/>
      <c r="BN39" s="10"/>
      <c r="BO39" s="10"/>
      <c r="BS39" s="10"/>
      <c r="BT39" s="10"/>
      <c r="BU39" s="10"/>
      <c r="BV39" s="10"/>
    </row>
    <row r="40" spans="2:74" outlineLevel="1" x14ac:dyDescent="0.2">
      <c r="B40" t="s">
        <v>28</v>
      </c>
      <c r="C40" t="s">
        <v>100</v>
      </c>
      <c r="E40" s="9"/>
      <c r="G40" s="10">
        <v>0.1</v>
      </c>
      <c r="I40" s="9">
        <f t="shared" si="2"/>
        <v>0</v>
      </c>
      <c r="J40" s="11" cm="1">
        <f t="array" ref="J40">MAX(IF($N$3:$BW$3=$J$3,N40:BW40))</f>
        <v>0</v>
      </c>
      <c r="K40" s="11" cm="1">
        <f t="array" ref="K40">MAX(IF($N$3:$BW$3=$J$3,N40:BW40))</f>
        <v>0</v>
      </c>
      <c r="L40" s="9"/>
      <c r="O40" s="10"/>
      <c r="P40" s="10"/>
      <c r="Q40" s="10"/>
      <c r="R40" s="10"/>
      <c r="V40" s="10"/>
      <c r="W40" s="10"/>
      <c r="X40" s="10"/>
      <c r="Y40" s="10"/>
      <c r="AC40" s="10"/>
      <c r="AD40" s="10"/>
      <c r="AE40" s="10"/>
      <c r="AF40" s="10"/>
      <c r="AJ40" s="10"/>
      <c r="AK40" s="10"/>
      <c r="AL40" s="10"/>
      <c r="AM40" s="10"/>
      <c r="AQ40" s="10"/>
      <c r="AR40" s="10"/>
      <c r="AS40" s="10"/>
      <c r="AT40" s="10"/>
      <c r="AX40" s="10"/>
      <c r="AY40" s="10"/>
      <c r="AZ40" s="10"/>
      <c r="BA40" s="10"/>
      <c r="BE40" s="10"/>
      <c r="BF40" s="10"/>
      <c r="BG40" s="10"/>
      <c r="BH40" s="10"/>
      <c r="BL40" s="10"/>
      <c r="BM40" s="10"/>
      <c r="BN40" s="10"/>
      <c r="BO40" s="10"/>
      <c r="BS40" s="10"/>
      <c r="BT40" s="10"/>
      <c r="BU40" s="10"/>
      <c r="BV40" s="10"/>
    </row>
  </sheetData>
  <mergeCells count="10">
    <mergeCell ref="BK2:BP2"/>
    <mergeCell ref="BR2:BW2"/>
    <mergeCell ref="I2:L2"/>
    <mergeCell ref="N2:S2"/>
    <mergeCell ref="BD2:BI2"/>
    <mergeCell ref="U2:Z2"/>
    <mergeCell ref="AB2:AG2"/>
    <mergeCell ref="AI2:AN2"/>
    <mergeCell ref="AP2:AU2"/>
    <mergeCell ref="AW2:BB2"/>
  </mergeCells>
  <phoneticPr fontId="5" type="noConversion"/>
  <conditionalFormatting sqref="J5:J16">
    <cfRule type="colorScale" priority="681">
      <colorScale>
        <cfvo type="percent" val="0"/>
        <cfvo type="percent" val="100"/>
        <color rgb="FFFF231B"/>
        <color rgb="FF10FF07"/>
      </colorScale>
    </cfRule>
  </conditionalFormatting>
  <conditionalFormatting sqref="J20">
    <cfRule type="colorScale" priority="229">
      <colorScale>
        <cfvo type="percent" val="0"/>
        <cfvo type="percent" val="100"/>
        <color rgb="FFFF231B"/>
        <color rgb="FF10FF07"/>
      </colorScale>
    </cfRule>
  </conditionalFormatting>
  <conditionalFormatting sqref="J21">
    <cfRule type="colorScale" priority="210">
      <colorScale>
        <cfvo type="percent" val="0"/>
        <cfvo type="percent" val="100"/>
        <color rgb="FFFF231B"/>
        <color rgb="FF10FF07"/>
      </colorScale>
    </cfRule>
  </conditionalFormatting>
  <conditionalFormatting sqref="J22:J27 J19">
    <cfRule type="colorScale" priority="463">
      <colorScale>
        <cfvo type="percent" val="0"/>
        <cfvo type="percent" val="100"/>
        <color rgb="FFFF231B"/>
        <color rgb="FF10FF07"/>
      </colorScale>
    </cfRule>
  </conditionalFormatting>
  <conditionalFormatting sqref="J30:J40">
    <cfRule type="colorScale" priority="741">
      <colorScale>
        <cfvo type="percent" val="0"/>
        <cfvo type="percent" val="100"/>
        <color rgb="FFFF231B"/>
        <color rgb="FF10FF07"/>
      </colorScale>
    </cfRule>
  </conditionalFormatting>
  <conditionalFormatting sqref="J6:K8">
    <cfRule type="colorScale" priority="4">
      <colorScale>
        <cfvo type="percent" val="0"/>
        <cfvo type="percent" val="100"/>
        <color rgb="FFFF231B"/>
        <color rgb="FF10FF07"/>
      </colorScale>
    </cfRule>
  </conditionalFormatting>
  <conditionalFormatting sqref="J9:K9">
    <cfRule type="colorScale" priority="2">
      <colorScale>
        <cfvo type="percent" val="0"/>
        <cfvo type="percent" val="100"/>
        <color rgb="FFFF231B"/>
        <color rgb="FF10FF07"/>
      </colorScale>
    </cfRule>
  </conditionalFormatting>
  <conditionalFormatting sqref="J10:K10">
    <cfRule type="colorScale" priority="3">
      <colorScale>
        <cfvo type="percent" val="0"/>
        <cfvo type="percent" val="100"/>
        <color rgb="FFFF231B"/>
        <color rgb="FF10FF07"/>
      </colorScale>
    </cfRule>
  </conditionalFormatting>
  <conditionalFormatting sqref="J11:K11">
    <cfRule type="colorScale" priority="1">
      <colorScale>
        <cfvo type="percent" val="0"/>
        <cfvo type="percent" val="100"/>
        <color rgb="FFFF231B"/>
        <color rgb="FF10FF07"/>
      </colorScale>
    </cfRule>
  </conditionalFormatting>
  <conditionalFormatting sqref="J12:K16">
    <cfRule type="colorScale" priority="652">
      <colorScale>
        <cfvo type="percent" val="0"/>
        <cfvo type="percent" val="100"/>
        <color rgb="FFFF231B"/>
        <color rgb="FF10FF07"/>
      </colorScale>
    </cfRule>
  </conditionalFormatting>
  <conditionalFormatting sqref="J20:K20">
    <cfRule type="colorScale" priority="230">
      <colorScale>
        <cfvo type="percent" val="0"/>
        <cfvo type="percent" val="100"/>
        <color rgb="FFFF231B"/>
        <color rgb="FF10FF07"/>
      </colorScale>
    </cfRule>
  </conditionalFormatting>
  <conditionalFormatting sqref="J21:K21">
    <cfRule type="colorScale" priority="211">
      <colorScale>
        <cfvo type="percent" val="0"/>
        <cfvo type="percent" val="100"/>
        <color rgb="FFFF231B"/>
        <color rgb="FF10FF07"/>
      </colorScale>
    </cfRule>
  </conditionalFormatting>
  <conditionalFormatting sqref="J22:K27">
    <cfRule type="colorScale" priority="464">
      <colorScale>
        <cfvo type="percent" val="0"/>
        <cfvo type="percent" val="100"/>
        <color rgb="FFFF231B"/>
        <color rgb="FF10FF07"/>
      </colorScale>
    </cfRule>
  </conditionalFormatting>
  <conditionalFormatting sqref="J31:K40">
    <cfRule type="colorScale" priority="739">
      <colorScale>
        <cfvo type="percent" val="0"/>
        <cfvo type="percent" val="100"/>
        <color rgb="FFFF231B"/>
        <color rgb="FF10FF07"/>
      </colorScale>
    </cfRule>
  </conditionalFormatting>
  <conditionalFormatting sqref="K5:K16">
    <cfRule type="colorScale" priority="682">
      <colorScale>
        <cfvo type="percent" val="0"/>
        <cfvo type="percent" val="100"/>
        <color rgb="FFFF231B"/>
        <color rgb="FF10FF07"/>
      </colorScale>
    </cfRule>
  </conditionalFormatting>
  <conditionalFormatting sqref="K20">
    <cfRule type="colorScale" priority="228">
      <colorScale>
        <cfvo type="percent" val="0"/>
        <cfvo type="percent" val="100"/>
        <color rgb="FFFF231B"/>
        <color rgb="FF10FF07"/>
      </colorScale>
    </cfRule>
  </conditionalFormatting>
  <conditionalFormatting sqref="K21">
    <cfRule type="colorScale" priority="209">
      <colorScale>
        <cfvo type="percent" val="0"/>
        <cfvo type="percent" val="100"/>
        <color rgb="FFFF231B"/>
        <color rgb="FF10FF07"/>
      </colorScale>
    </cfRule>
  </conditionalFormatting>
  <conditionalFormatting sqref="K22:K27 K19">
    <cfRule type="colorScale" priority="462">
      <colorScale>
        <cfvo type="percent" val="0"/>
        <cfvo type="percent" val="100"/>
        <color rgb="FFFF231B"/>
        <color rgb="FF10FF07"/>
      </colorScale>
    </cfRule>
  </conditionalFormatting>
  <conditionalFormatting sqref="K30:K40">
    <cfRule type="colorScale" priority="743">
      <colorScale>
        <cfvo type="percent" val="0"/>
        <cfvo type="percent" val="100"/>
        <color rgb="FFFF231B"/>
        <color rgb="FF10FF07"/>
      </colorScale>
    </cfRule>
  </conditionalFormatting>
  <conditionalFormatting sqref="O5:O16 Q5:Q16 V5:V16 X5:X16 AC5:AC16 AE5:AE16 AJ5:AJ16 AL5:AL16 AQ5:AQ16 AS5:AS16 AX5:AX16 AZ5:AZ16 BE5:BE16 BG5:BG16 BL5:BL16 BN5:BN16">
    <cfRule type="expression" dxfId="69" priority="650">
      <formula>IF(O5&gt;=P5,IF(O5="",FALSE,TRUE))</formula>
    </cfRule>
    <cfRule type="expression" dxfId="68" priority="649">
      <formula>OR(IF(O5&lt;P5,TRUE),IF(AND(P5="",O5&lt;&gt;""),TRUE))</formula>
    </cfRule>
  </conditionalFormatting>
  <conditionalFormatting sqref="O19:O27 Q19:Q27">
    <cfRule type="expression" dxfId="67" priority="224">
      <formula>OR(IF(O19&lt;P19,TRUE),IF(AND(P19="",O19&lt;&gt;""),TRUE))</formula>
    </cfRule>
    <cfRule type="expression" dxfId="66" priority="225">
      <formula>IF(O19&gt;=P19,IF(O19="",FALSE,TRUE))</formula>
    </cfRule>
  </conditionalFormatting>
  <conditionalFormatting sqref="O30:O40">
    <cfRule type="expression" dxfId="65" priority="591">
      <formula>IF(O30&gt;=P30,IF(O30="",FALSE,TRUE))</formula>
    </cfRule>
    <cfRule type="expression" dxfId="64" priority="590">
      <formula>OR(IF(O30&lt;P30,TRUE),IF(AND(P30="",O30&lt;&gt;""),TRUE))</formula>
    </cfRule>
  </conditionalFormatting>
  <conditionalFormatting sqref="Q30:Q40">
    <cfRule type="expression" dxfId="63" priority="589">
      <formula>IF(Q30&gt;=R30,IF(Q30="",FALSE,TRUE))</formula>
    </cfRule>
    <cfRule type="expression" dxfId="62" priority="588">
      <formula>OR(IF(Q30&lt;R30,TRUE),IF(AND(R30="",Q30&lt;&gt;""),TRUE))</formula>
    </cfRule>
  </conditionalFormatting>
  <conditionalFormatting sqref="V19:V27 X19:X27">
    <cfRule type="expression" dxfId="61" priority="222">
      <formula>OR(IF(V19&lt;W19,TRUE),IF(AND(W19="",V19&lt;&gt;""),TRUE))</formula>
    </cfRule>
    <cfRule type="expression" dxfId="60" priority="223">
      <formula>IF(V19&gt;=W19,IF(V19="",FALSE,TRUE))</formula>
    </cfRule>
  </conditionalFormatting>
  <conditionalFormatting sqref="V30:V40">
    <cfRule type="expression" dxfId="59" priority="560">
      <formula>OR(IF(V30&lt;W30,TRUE),IF(AND(W30="",V30&lt;&gt;""),TRUE))</formula>
    </cfRule>
    <cfRule type="expression" dxfId="58" priority="561">
      <formula>IF(V30&gt;=W30,IF(V30="",FALSE,TRUE))</formula>
    </cfRule>
  </conditionalFormatting>
  <conditionalFormatting sqref="X30:X40">
    <cfRule type="expression" dxfId="57" priority="558">
      <formula>OR(IF(X30&lt;Y30,TRUE),IF(AND(Y30="",X30&lt;&gt;""),TRUE))</formula>
    </cfRule>
    <cfRule type="expression" dxfId="56" priority="559">
      <formula>IF(X30&gt;=Y30,IF(X30="",FALSE,TRUE))</formula>
    </cfRule>
  </conditionalFormatting>
  <conditionalFormatting sqref="AC19:AC27 AE19:AE27">
    <cfRule type="expression" dxfId="55" priority="220">
      <formula>OR(IF(AC19&lt;AD19,TRUE),IF(AND(AD19="",AC19&lt;&gt;""),TRUE))</formula>
    </cfRule>
    <cfRule type="expression" dxfId="54" priority="221">
      <formula>IF(AC19&gt;=AD19,IF(AC19="",FALSE,TRUE))</formula>
    </cfRule>
  </conditionalFormatting>
  <conditionalFormatting sqref="AC30:AC40">
    <cfRule type="expression" dxfId="53" priority="544">
      <formula>OR(IF(AC30&lt;AD30,TRUE),IF(AND(AD30="",AC30&lt;&gt;""),TRUE))</formula>
    </cfRule>
    <cfRule type="expression" dxfId="52" priority="545">
      <formula>IF(AC30&gt;=AD30,IF(AC30="",FALSE,TRUE))</formula>
    </cfRule>
  </conditionalFormatting>
  <conditionalFormatting sqref="AE30:AE40">
    <cfRule type="expression" dxfId="51" priority="542">
      <formula>OR(IF(AE30&lt;AF30,TRUE),IF(AND(AF30="",AE30&lt;&gt;""),TRUE))</formula>
    </cfRule>
    <cfRule type="expression" dxfId="50" priority="543">
      <formula>IF(AE30&gt;=AF30,IF(AE30="",FALSE,TRUE))</formula>
    </cfRule>
  </conditionalFormatting>
  <conditionalFormatting sqref="AJ19:AJ27 AL19:AL27">
    <cfRule type="expression" dxfId="49" priority="219">
      <formula>IF(AJ19&gt;=AK19,IF(AJ19="",FALSE,TRUE))</formula>
    </cfRule>
    <cfRule type="expression" dxfId="48" priority="218">
      <formula>OR(IF(AJ19&lt;AK19,TRUE),IF(AND(AK19="",AJ19&lt;&gt;""),TRUE))</formula>
    </cfRule>
  </conditionalFormatting>
  <conditionalFormatting sqref="AJ30:AJ40">
    <cfRule type="expression" dxfId="47" priority="529">
      <formula>IF(AJ30&gt;=AK30,IF(AJ30="",FALSE,TRUE))</formula>
    </cfRule>
    <cfRule type="expression" dxfId="46" priority="528">
      <formula>OR(IF(AJ30&lt;AK30,TRUE),IF(AND(AK30="",AJ30&lt;&gt;""),TRUE))</formula>
    </cfRule>
  </conditionalFormatting>
  <conditionalFormatting sqref="AL30:AL40">
    <cfRule type="expression" dxfId="45" priority="526">
      <formula>OR(IF(AL30&lt;AM30,TRUE),IF(AND(AM30="",AL30&lt;&gt;""),TRUE))</formula>
    </cfRule>
    <cfRule type="expression" dxfId="44" priority="527">
      <formula>IF(AL30&gt;=AM30,IF(AL30="",FALSE,TRUE))</formula>
    </cfRule>
  </conditionalFormatting>
  <conditionalFormatting sqref="AQ19:AQ27 AS19:AS27">
    <cfRule type="expression" dxfId="43" priority="217">
      <formula>IF(AQ19&gt;=AR19,IF(AQ19="",FALSE,TRUE))</formula>
    </cfRule>
    <cfRule type="expression" dxfId="42" priority="216">
      <formula>OR(IF(AQ19&lt;AR19,TRUE),IF(AND(AR19="",AQ19&lt;&gt;""),TRUE))</formula>
    </cfRule>
  </conditionalFormatting>
  <conditionalFormatting sqref="AQ30:AQ40">
    <cfRule type="expression" dxfId="41" priority="512">
      <formula>OR(IF(AQ30&lt;AR30,TRUE),IF(AND(AR30="",AQ30&lt;&gt;""),TRUE))</formula>
    </cfRule>
    <cfRule type="expression" dxfId="40" priority="513">
      <formula>IF(AQ30&gt;=AR30,IF(AQ30="",FALSE,TRUE))</formula>
    </cfRule>
  </conditionalFormatting>
  <conditionalFormatting sqref="AS30:AS40">
    <cfRule type="expression" dxfId="39" priority="510">
      <formula>OR(IF(AS30&lt;AT30,TRUE),IF(AND(AT30="",AS30&lt;&gt;""),TRUE))</formula>
    </cfRule>
    <cfRule type="expression" dxfId="38" priority="511">
      <formula>IF(AS30&gt;=AT30,IF(AS30="",FALSE,TRUE))</formula>
    </cfRule>
  </conditionalFormatting>
  <conditionalFormatting sqref="AX19:AX27 AZ19:AZ27">
    <cfRule type="expression" dxfId="37" priority="215">
      <formula>IF(AX19&gt;=AY19,IF(AX19="",FALSE,TRUE))</formula>
    </cfRule>
    <cfRule type="expression" dxfId="36" priority="214">
      <formula>OR(IF(AX19&lt;AY19,TRUE),IF(AND(AY19="",AX19&lt;&gt;""),TRUE))</formula>
    </cfRule>
  </conditionalFormatting>
  <conditionalFormatting sqref="AX30:AX40">
    <cfRule type="expression" dxfId="35" priority="496">
      <formula>OR(IF(AX30&lt;AY30,TRUE),IF(AND(AY30="",AX30&lt;&gt;""),TRUE))</formula>
    </cfRule>
    <cfRule type="expression" dxfId="34" priority="497">
      <formula>IF(AX30&gt;=AY30,IF(AX30="",FALSE,TRUE))</formula>
    </cfRule>
  </conditionalFormatting>
  <conditionalFormatting sqref="AZ30:AZ40">
    <cfRule type="expression" dxfId="33" priority="495">
      <formula>IF(AZ30&gt;=BA30,IF(AZ30="",FALSE,TRUE))</formula>
    </cfRule>
    <cfRule type="expression" dxfId="32" priority="494">
      <formula>OR(IF(AZ30&lt;BA30,TRUE),IF(AND(BA30="",AZ30&lt;&gt;""),TRUE))</formula>
    </cfRule>
  </conditionalFormatting>
  <conditionalFormatting sqref="BE19:BE27 BG19:BG27">
    <cfRule type="expression" dxfId="31" priority="212">
      <formula>OR(IF(BE19&lt;BF19,TRUE),IF(AND(BF19="",BE19&lt;&gt;""),TRUE))</formula>
    </cfRule>
    <cfRule type="expression" dxfId="30" priority="213">
      <formula>IF(BE19&gt;=BF19,IF(BE19="",FALSE,TRUE))</formula>
    </cfRule>
  </conditionalFormatting>
  <conditionalFormatting sqref="BE30:BE40">
    <cfRule type="expression" dxfId="29" priority="481">
      <formula>IF(BE30&gt;=BF30,IF(BE30="",FALSE,TRUE))</formula>
    </cfRule>
    <cfRule type="expression" dxfId="28" priority="480">
      <formula>OR(IF(BE30&lt;BF30,TRUE),IF(AND(BF30="",BE30&lt;&gt;""),TRUE))</formula>
    </cfRule>
  </conditionalFormatting>
  <conditionalFormatting sqref="BG30:BG40">
    <cfRule type="expression" dxfId="27" priority="479">
      <formula>IF(BG30&gt;=BH30,IF(BG30="",FALSE,TRUE))</formula>
    </cfRule>
    <cfRule type="expression" dxfId="26" priority="478">
      <formula>OR(IF(BG30&lt;BH30,TRUE),IF(AND(BH30="",BG30&lt;&gt;""),TRUE))</formula>
    </cfRule>
  </conditionalFormatting>
  <conditionalFormatting sqref="BL19:BL27 BN19:BN27">
    <cfRule type="expression" dxfId="25" priority="207">
      <formula>OR(IF(BL19&lt;BM19,TRUE),IF(AND(BM19="",BL19&lt;&gt;""),TRUE))</formula>
    </cfRule>
    <cfRule type="expression" dxfId="24" priority="208">
      <formula>IF(BL19&gt;=BM19,IF(BL19="",FALSE,TRUE))</formula>
    </cfRule>
  </conditionalFormatting>
  <conditionalFormatting sqref="BL30:BL40">
    <cfRule type="expression" dxfId="23" priority="457">
      <formula>IF(BL30&gt;=BM30,IF(BL30="",FALSE,TRUE))</formula>
    </cfRule>
    <cfRule type="expression" dxfId="22" priority="456">
      <formula>OR(IF(BL30&lt;BM30,TRUE),IF(AND(BM30="",BL30&lt;&gt;""),TRUE))</formula>
    </cfRule>
  </conditionalFormatting>
  <conditionalFormatting sqref="BN30:BN40">
    <cfRule type="expression" dxfId="21" priority="455">
      <formula>IF(BN30&gt;=BO30,IF(BN30="",FALSE,TRUE))</formula>
    </cfRule>
    <cfRule type="expression" dxfId="20" priority="454">
      <formula>OR(IF(BN30&lt;BO30,TRUE),IF(AND(BO30="",BN30&lt;&gt;""),TRUE))</formula>
    </cfRule>
  </conditionalFormatting>
  <conditionalFormatting sqref="BS5:BS16 BU5:BU16">
    <cfRule type="expression" dxfId="19" priority="205">
      <formula>OR(IF(BS5&lt;BT5,TRUE),IF(AND(BT5="",BS5&lt;&gt;""),TRUE))</formula>
    </cfRule>
    <cfRule type="expression" dxfId="18" priority="206">
      <formula>IF(BS5&gt;=BT5,IF(BS5="",FALSE,TRUE))</formula>
    </cfRule>
  </conditionalFormatting>
  <conditionalFormatting sqref="BS19:BS27 BU19:BU27">
    <cfRule type="expression" dxfId="17" priority="188">
      <formula>IF(BS19&gt;=BT19,IF(BS19="",FALSE,TRUE))</formula>
    </cfRule>
    <cfRule type="expression" dxfId="16" priority="187">
      <formula>OR(IF(BS19&lt;BT19,TRUE),IF(AND(BT19="",BS19&lt;&gt;""),TRUE))</formula>
    </cfRule>
  </conditionalFormatting>
  <conditionalFormatting sqref="BS30:BS40">
    <cfRule type="expression" dxfId="15" priority="202">
      <formula>IF(BS30&gt;=BT30,IF(BS30="",FALSE,TRUE))</formula>
    </cfRule>
    <cfRule type="expression" dxfId="14" priority="201">
      <formula>OR(IF(BS30&lt;BT30,TRUE),IF(AND(BT30="",BS30&lt;&gt;""),TRUE))</formula>
    </cfRule>
  </conditionalFormatting>
  <conditionalFormatting sqref="BU30:BU40">
    <cfRule type="expression" dxfId="13" priority="200">
      <formula>IF(BU30&gt;=BV30,IF(BU30="",FALSE,TRUE))</formula>
    </cfRule>
    <cfRule type="expression" dxfId="12" priority="199">
      <formula>OR(IF(BU30&lt;BV30,TRUE),IF(AND(BV30="",BU30&lt;&gt;""),TRUE))</formula>
    </cfRule>
  </conditionalFormatting>
  <dataValidations count="1">
    <dataValidation type="list" allowBlank="1" showInputMessage="1" showErrorMessage="1" sqref="BS19:BV27 BL30:BO40 O30:R40 AX30:BA40 AQ30:AT40 AJ30:AM40 AC30:AF40 V30:Y40 BS30:BV40 BE30:BH40 O19:R27 AX19:BA27 BL19:BO27 BE19:BH27 V19:Y27 AQ19:AT27 AJ19:AM27 AC19:AF27 V5:Y16 AC5:AF16 AJ5:AM16 AQ5:AT16 BE5:BH16 BL5:BO16 O5:R16 AX5:BA16 BS5:BV16" xr:uid="{DF46768B-76BD-4AD1-BDD9-05E5E50A35C8}">
      <formula1>"10%,20%,30%,40%,50%,60%,70%,80%,90%,100%"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B25"/>
  <sheetViews>
    <sheetView workbookViewId="0">
      <selection activeCell="B2" sqref="B2"/>
    </sheetView>
  </sheetViews>
  <sheetFormatPr baseColWidth="10" defaultColWidth="10.6640625" defaultRowHeight="16" x14ac:dyDescent="0.2"/>
  <cols>
    <col min="2" max="2" width="161" customWidth="1"/>
    <col min="3" max="3" width="10.83203125"/>
  </cols>
  <sheetData>
    <row r="4" spans="2:2" ht="21" x14ac:dyDescent="0.25">
      <c r="B4" s="3" t="s">
        <v>16</v>
      </c>
    </row>
    <row r="6" spans="2:2" x14ac:dyDescent="0.2">
      <c r="B6" s="2" t="s">
        <v>13</v>
      </c>
    </row>
    <row r="7" spans="2:2" ht="51" x14ac:dyDescent="0.2">
      <c r="B7" s="1" t="s">
        <v>14</v>
      </c>
    </row>
    <row r="9" spans="2:2" x14ac:dyDescent="0.2">
      <c r="B9" s="2" t="s">
        <v>15</v>
      </c>
    </row>
    <row r="10" spans="2:2" ht="68" x14ac:dyDescent="0.2">
      <c r="B10" s="1" t="s">
        <v>36</v>
      </c>
    </row>
    <row r="12" spans="2:2" x14ac:dyDescent="0.2">
      <c r="B12" s="2" t="s">
        <v>17</v>
      </c>
    </row>
    <row r="13" spans="2:2" ht="153" x14ac:dyDescent="0.2">
      <c r="B13" s="1" t="s">
        <v>18</v>
      </c>
    </row>
    <row r="15" spans="2:2" x14ac:dyDescent="0.2">
      <c r="B15" s="2" t="s">
        <v>19</v>
      </c>
    </row>
    <row r="16" spans="2:2" ht="119" x14ac:dyDescent="0.2">
      <c r="B16" s="1" t="s">
        <v>20</v>
      </c>
    </row>
    <row r="17" spans="2:2" x14ac:dyDescent="0.2">
      <c r="B17" s="1"/>
    </row>
    <row r="18" spans="2:2" x14ac:dyDescent="0.2">
      <c r="B18" s="2" t="s">
        <v>35</v>
      </c>
    </row>
    <row r="19" spans="2:2" ht="153" x14ac:dyDescent="0.2">
      <c r="B19" s="1" t="s">
        <v>37</v>
      </c>
    </row>
    <row r="21" spans="2:2" x14ac:dyDescent="0.2">
      <c r="B21" s="2" t="s">
        <v>21</v>
      </c>
    </row>
    <row r="22" spans="2:2" ht="136" x14ac:dyDescent="0.2">
      <c r="B22" s="1" t="s">
        <v>38</v>
      </c>
    </row>
    <row r="24" spans="2:2" x14ac:dyDescent="0.2">
      <c r="B24" s="2" t="s">
        <v>22</v>
      </c>
    </row>
    <row r="25" spans="2:2" ht="136" x14ac:dyDescent="0.2">
      <c r="B25" s="1" t="s">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D2" sqref="D2"/>
    </sheetView>
  </sheetViews>
  <sheetFormatPr baseColWidth="10" defaultColWidth="10.6640625" defaultRowHeight="16" x14ac:dyDescent="0.2"/>
  <cols>
    <col min="1" max="1" width="16.83203125" style="9" customWidth="1"/>
    <col min="2" max="2" width="19.1640625" style="9" customWidth="1"/>
    <col min="3" max="3" width="18.1640625" style="9" customWidth="1"/>
    <col min="4" max="4" width="19.5" style="9" customWidth="1"/>
    <col min="8" max="8" width="15.1640625" customWidth="1"/>
    <col min="10" max="10" width="42" customWidth="1"/>
    <col min="11" max="11" width="28.5" customWidth="1"/>
  </cols>
  <sheetData>
    <row r="1" spans="1:11" ht="34" x14ac:dyDescent="0.2">
      <c r="A1" s="9" t="s">
        <v>42</v>
      </c>
      <c r="B1" s="15" t="s">
        <v>39</v>
      </c>
      <c r="C1" s="15" t="s">
        <v>40</v>
      </c>
      <c r="D1" s="15" t="s">
        <v>41</v>
      </c>
      <c r="E1" s="1" t="s">
        <v>43</v>
      </c>
      <c r="F1" s="1" t="s">
        <v>44</v>
      </c>
      <c r="G1" s="1" t="s">
        <v>45</v>
      </c>
      <c r="H1" s="1" t="s">
        <v>46</v>
      </c>
      <c r="I1" s="1" t="s">
        <v>47</v>
      </c>
      <c r="J1" s="1" t="s">
        <v>48</v>
      </c>
      <c r="K1" s="1" t="s">
        <v>49</v>
      </c>
    </row>
    <row r="2" spans="1:11" x14ac:dyDescent="0.2">
      <c r="A2" s="14">
        <v>45565</v>
      </c>
      <c r="D2" s="11">
        <v>1</v>
      </c>
    </row>
    <row r="3" spans="1:11" x14ac:dyDescent="0.2">
      <c r="A3" s="14">
        <v>45566</v>
      </c>
    </row>
    <row r="4" spans="1:11" x14ac:dyDescent="0.2">
      <c r="A4" s="14">
        <v>45567</v>
      </c>
    </row>
    <row r="5" spans="1:11" x14ac:dyDescent="0.2">
      <c r="A5" s="14">
        <v>45568</v>
      </c>
    </row>
    <row r="6" spans="1:11" x14ac:dyDescent="0.2">
      <c r="A6" s="14">
        <v>45569</v>
      </c>
    </row>
    <row r="7" spans="1:11" x14ac:dyDescent="0.2">
      <c r="A7" s="14">
        <v>45570</v>
      </c>
    </row>
    <row r="8" spans="1:11" x14ac:dyDescent="0.2">
      <c r="A8" s="14">
        <v>45571</v>
      </c>
    </row>
    <row r="9" spans="1:11" x14ac:dyDescent="0.2">
      <c r="A9" s="14">
        <v>45572</v>
      </c>
    </row>
    <row r="10" spans="1:11" x14ac:dyDescent="0.2">
      <c r="A10" s="14">
        <v>45573</v>
      </c>
    </row>
    <row r="11" spans="1:11" x14ac:dyDescent="0.2">
      <c r="A11" s="14">
        <v>45574</v>
      </c>
    </row>
    <row r="12" spans="1:11" x14ac:dyDescent="0.2">
      <c r="A12" s="14">
        <v>45575</v>
      </c>
    </row>
    <row r="13" spans="1:11" x14ac:dyDescent="0.2">
      <c r="A13" s="14">
        <v>45576</v>
      </c>
    </row>
    <row r="14" spans="1:11" x14ac:dyDescent="0.2">
      <c r="A14" s="14">
        <v>45577</v>
      </c>
    </row>
    <row r="15" spans="1:11" x14ac:dyDescent="0.2">
      <c r="A15" s="14">
        <v>45578</v>
      </c>
    </row>
    <row r="16" spans="1:11" x14ac:dyDescent="0.2">
      <c r="A16" s="14">
        <v>45579</v>
      </c>
    </row>
    <row r="17" spans="1:1" x14ac:dyDescent="0.2">
      <c r="A17" s="14">
        <v>45580</v>
      </c>
    </row>
    <row r="18" spans="1:1" x14ac:dyDescent="0.2">
      <c r="A18" s="14">
        <v>45581</v>
      </c>
    </row>
    <row r="19" spans="1:1" x14ac:dyDescent="0.2">
      <c r="A19" s="14">
        <v>45582</v>
      </c>
    </row>
    <row r="20" spans="1:1" x14ac:dyDescent="0.2">
      <c r="A20" s="14">
        <v>45583</v>
      </c>
    </row>
    <row r="21" spans="1:1" x14ac:dyDescent="0.2">
      <c r="A21" s="14">
        <v>45584</v>
      </c>
    </row>
    <row r="22" spans="1:1" x14ac:dyDescent="0.2">
      <c r="A22" s="14">
        <v>45585</v>
      </c>
    </row>
    <row r="23" spans="1:1" x14ac:dyDescent="0.2">
      <c r="A23" s="14">
        <v>45586</v>
      </c>
    </row>
    <row r="24" spans="1:1" x14ac:dyDescent="0.2">
      <c r="A24" s="14">
        <v>45587</v>
      </c>
    </row>
    <row r="25" spans="1:1" x14ac:dyDescent="0.2">
      <c r="A25" s="14">
        <v>45588</v>
      </c>
    </row>
    <row r="26" spans="1:1" x14ac:dyDescent="0.2">
      <c r="A26" s="14">
        <v>45589</v>
      </c>
    </row>
    <row r="27" spans="1:1" x14ac:dyDescent="0.2">
      <c r="A27" s="14">
        <v>45590</v>
      </c>
    </row>
    <row r="28" spans="1:1" x14ac:dyDescent="0.2">
      <c r="A28" s="14">
        <v>45591</v>
      </c>
    </row>
    <row r="29" spans="1:1" x14ac:dyDescent="0.2">
      <c r="A29" s="14">
        <v>45592</v>
      </c>
    </row>
    <row r="30" spans="1:1" x14ac:dyDescent="0.2">
      <c r="A30" s="14">
        <v>45593</v>
      </c>
    </row>
    <row r="31" spans="1:1" x14ac:dyDescent="0.2">
      <c r="A31" s="14">
        <v>45594</v>
      </c>
    </row>
    <row r="32" spans="1:1" x14ac:dyDescent="0.2">
      <c r="A32" s="14">
        <v>45595</v>
      </c>
    </row>
    <row r="33" spans="1:1" x14ac:dyDescent="0.2">
      <c r="A33" s="14">
        <v>45596</v>
      </c>
    </row>
    <row r="34" spans="1:1" x14ac:dyDescent="0.2">
      <c r="A34" s="14">
        <v>45597</v>
      </c>
    </row>
    <row r="35" spans="1:1" x14ac:dyDescent="0.2">
      <c r="A35" s="14">
        <v>45598</v>
      </c>
    </row>
    <row r="36" spans="1:1" x14ac:dyDescent="0.2">
      <c r="A36" s="14">
        <v>45599</v>
      </c>
    </row>
    <row r="37" spans="1:1" x14ac:dyDescent="0.2">
      <c r="A37" s="14">
        <v>45600</v>
      </c>
    </row>
    <row r="38" spans="1:1" x14ac:dyDescent="0.2">
      <c r="A38" s="14">
        <v>45601</v>
      </c>
    </row>
    <row r="39" spans="1:1" x14ac:dyDescent="0.2">
      <c r="A39" s="14">
        <v>45602</v>
      </c>
    </row>
    <row r="40" spans="1:1" x14ac:dyDescent="0.2">
      <c r="A40" s="14">
        <v>45603</v>
      </c>
    </row>
    <row r="41" spans="1:1" x14ac:dyDescent="0.2">
      <c r="A41" s="14">
        <v>45604</v>
      </c>
    </row>
    <row r="42" spans="1:1" x14ac:dyDescent="0.2">
      <c r="A42" s="14">
        <v>45605</v>
      </c>
    </row>
    <row r="43" spans="1:1" x14ac:dyDescent="0.2">
      <c r="A43" s="14">
        <v>45606</v>
      </c>
    </row>
    <row r="44" spans="1:1" x14ac:dyDescent="0.2">
      <c r="A44" s="14">
        <v>45607</v>
      </c>
    </row>
    <row r="45" spans="1:1" x14ac:dyDescent="0.2">
      <c r="A45" s="14">
        <v>45608</v>
      </c>
    </row>
    <row r="46" spans="1:1" x14ac:dyDescent="0.2">
      <c r="A46" s="14">
        <v>45609</v>
      </c>
    </row>
  </sheetData>
  <conditionalFormatting sqref="B2:B46">
    <cfRule type="cellIs" dxfId="11" priority="4" operator="equal">
      <formula>"Ja"</formula>
    </cfRule>
    <cfRule type="cellIs" dxfId="10" priority="14" operator="equal">
      <formula>"Ja"</formula>
    </cfRule>
    <cfRule type="cellIs" dxfId="9" priority="15" operator="equal">
      <formula>"Nein"</formula>
    </cfRule>
  </conditionalFormatting>
  <conditionalFormatting sqref="C2:C46">
    <cfRule type="cellIs" dxfId="8" priority="1" operator="equal">
      <formula>"Ja"</formula>
    </cfRule>
    <cfRule type="cellIs" dxfId="7" priority="2" operator="equal">
      <formula>"Ja"</formula>
    </cfRule>
    <cfRule type="cellIs" dxfId="6" priority="3" operator="equal">
      <formula>"Nein"</formula>
    </cfRule>
  </conditionalFormatting>
  <conditionalFormatting sqref="D2">
    <cfRule type="cellIs" dxfId="5" priority="6" operator="equal">
      <formula>1</formula>
    </cfRule>
    <cfRule type="cellIs" dxfId="4" priority="7" operator="equal">
      <formula>0.8</formula>
    </cfRule>
    <cfRule type="cellIs" dxfId="3" priority="8" operator="equal">
      <formula>0.6</formula>
    </cfRule>
    <cfRule type="cellIs" dxfId="2" priority="9" operator="equal">
      <formula>0.4</formula>
    </cfRule>
    <cfRule type="cellIs" dxfId="1" priority="10" operator="equal">
      <formula>0.2</formula>
    </cfRule>
    <cfRule type="cellIs" dxfId="0" priority="11" operator="equal">
      <formula>0</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1"/>
  <sheetViews>
    <sheetView zoomScale="130" zoomScaleNormal="130" workbookViewId="0">
      <selection activeCell="D27" sqref="D27:D28"/>
    </sheetView>
  </sheetViews>
  <sheetFormatPr baseColWidth="10" defaultColWidth="10.6640625" defaultRowHeight="16" x14ac:dyDescent="0.2"/>
  <cols>
    <col min="5" max="5" width="13.33203125" customWidth="1"/>
    <col min="6" max="6" width="15" customWidth="1"/>
  </cols>
  <sheetData>
    <row r="1" spans="1:8" ht="26" x14ac:dyDescent="0.3">
      <c r="B1" s="7" t="s">
        <v>25</v>
      </c>
    </row>
    <row r="4" spans="1:8" x14ac:dyDescent="0.2">
      <c r="B4" s="2" t="s">
        <v>4</v>
      </c>
      <c r="C4" s="2" t="s">
        <v>5</v>
      </c>
      <c r="D4" s="2" t="s">
        <v>6</v>
      </c>
      <c r="E4" s="2" t="s">
        <v>126</v>
      </c>
      <c r="F4" s="2" t="s">
        <v>125</v>
      </c>
      <c r="G4" s="2" t="s">
        <v>8</v>
      </c>
      <c r="H4" s="2" t="s">
        <v>9</v>
      </c>
    </row>
    <row r="5" spans="1:8" x14ac:dyDescent="0.2">
      <c r="A5" s="8">
        <v>0.29166666666666702</v>
      </c>
    </row>
    <row r="6" spans="1:8" x14ac:dyDescent="0.2">
      <c r="A6" s="8">
        <v>0.3125</v>
      </c>
    </row>
    <row r="7" spans="1:8" x14ac:dyDescent="0.2">
      <c r="A7" s="8">
        <v>0.33333333333333398</v>
      </c>
      <c r="B7" s="23" t="s">
        <v>128</v>
      </c>
      <c r="C7" s="23" t="s">
        <v>128</v>
      </c>
      <c r="D7" s="23" t="s">
        <v>128</v>
      </c>
      <c r="E7" s="23" t="s">
        <v>128</v>
      </c>
      <c r="G7" s="23" t="s">
        <v>128</v>
      </c>
    </row>
    <row r="8" spans="1:8" x14ac:dyDescent="0.2">
      <c r="A8" s="8">
        <v>0.35416666666666702</v>
      </c>
      <c r="B8" s="23" t="s">
        <v>128</v>
      </c>
      <c r="C8" s="23" t="s">
        <v>128</v>
      </c>
      <c r="D8" s="23" t="s">
        <v>128</v>
      </c>
      <c r="E8" s="23" t="s">
        <v>128</v>
      </c>
      <c r="G8" s="23" t="s">
        <v>128</v>
      </c>
    </row>
    <row r="9" spans="1:8" x14ac:dyDescent="0.2">
      <c r="A9" s="8">
        <v>0.375</v>
      </c>
      <c r="B9" s="23" t="s">
        <v>128</v>
      </c>
      <c r="C9" s="23" t="s">
        <v>128</v>
      </c>
      <c r="D9" s="23" t="s">
        <v>128</v>
      </c>
      <c r="E9" s="23" t="s">
        <v>128</v>
      </c>
      <c r="F9" s="20" t="s">
        <v>127</v>
      </c>
      <c r="G9" s="23" t="s">
        <v>128</v>
      </c>
    </row>
    <row r="10" spans="1:8" x14ac:dyDescent="0.2">
      <c r="A10" s="8">
        <v>0.39583333333333398</v>
      </c>
      <c r="B10" s="23" t="s">
        <v>128</v>
      </c>
      <c r="C10" s="23" t="s">
        <v>128</v>
      </c>
      <c r="D10" s="23" t="s">
        <v>128</v>
      </c>
      <c r="E10" s="23" t="s">
        <v>128</v>
      </c>
      <c r="F10" s="20" t="s">
        <v>127</v>
      </c>
      <c r="G10" s="23" t="s">
        <v>128</v>
      </c>
    </row>
    <row r="11" spans="1:8" x14ac:dyDescent="0.2">
      <c r="A11" s="8">
        <v>0.41666666666666702</v>
      </c>
      <c r="B11" s="23" t="s">
        <v>128</v>
      </c>
      <c r="C11" s="23" t="s">
        <v>128</v>
      </c>
      <c r="D11" s="23" t="s">
        <v>128</v>
      </c>
      <c r="E11" s="23" t="s">
        <v>128</v>
      </c>
      <c r="F11" s="20" t="s">
        <v>127</v>
      </c>
      <c r="G11" s="23" t="s">
        <v>128</v>
      </c>
    </row>
    <row r="12" spans="1:8" x14ac:dyDescent="0.2">
      <c r="A12" s="8">
        <v>0.4375</v>
      </c>
      <c r="F12" s="20" t="s">
        <v>127</v>
      </c>
    </row>
    <row r="13" spans="1:8" x14ac:dyDescent="0.2">
      <c r="A13" s="8">
        <v>0.45833333333333398</v>
      </c>
      <c r="B13" s="23" t="s">
        <v>128</v>
      </c>
      <c r="C13" s="23" t="s">
        <v>128</v>
      </c>
      <c r="D13" s="23" t="s">
        <v>128</v>
      </c>
      <c r="E13" s="23" t="s">
        <v>128</v>
      </c>
      <c r="F13" s="20" t="s">
        <v>127</v>
      </c>
      <c r="G13" s="23" t="s">
        <v>128</v>
      </c>
    </row>
    <row r="14" spans="1:8" x14ac:dyDescent="0.2">
      <c r="A14" s="8">
        <v>0.47916666666666702</v>
      </c>
      <c r="B14" s="23" t="s">
        <v>128</v>
      </c>
      <c r="C14" s="23" t="s">
        <v>128</v>
      </c>
      <c r="D14" s="23" t="s">
        <v>128</v>
      </c>
      <c r="E14" s="23" t="s">
        <v>128</v>
      </c>
      <c r="F14" s="20" t="s">
        <v>127</v>
      </c>
      <c r="G14" s="23" t="s">
        <v>128</v>
      </c>
    </row>
    <row r="15" spans="1:8" x14ac:dyDescent="0.2">
      <c r="A15" s="8">
        <v>0.5</v>
      </c>
      <c r="B15" s="23" t="s">
        <v>128</v>
      </c>
      <c r="C15" s="23" t="s">
        <v>128</v>
      </c>
      <c r="D15" s="23" t="s">
        <v>128</v>
      </c>
      <c r="E15" s="23" t="s">
        <v>128</v>
      </c>
      <c r="F15" s="20" t="s">
        <v>127</v>
      </c>
      <c r="G15" s="23" t="s">
        <v>128</v>
      </c>
    </row>
    <row r="16" spans="1:8" x14ac:dyDescent="0.2">
      <c r="A16" s="8">
        <v>0.52083333333333404</v>
      </c>
      <c r="B16" s="23" t="s">
        <v>128</v>
      </c>
      <c r="C16" s="23" t="s">
        <v>128</v>
      </c>
      <c r="D16" s="23" t="s">
        <v>128</v>
      </c>
      <c r="E16" s="23" t="s">
        <v>128</v>
      </c>
      <c r="F16" s="20" t="s">
        <v>127</v>
      </c>
      <c r="G16" s="23" t="s">
        <v>128</v>
      </c>
    </row>
    <row r="17" spans="1:7" x14ac:dyDescent="0.2">
      <c r="A17" s="8">
        <v>0.54166666666666696</v>
      </c>
      <c r="B17" s="23" t="s">
        <v>128</v>
      </c>
      <c r="C17" s="23" t="s">
        <v>128</v>
      </c>
      <c r="D17" s="23" t="s">
        <v>128</v>
      </c>
      <c r="E17" s="23" t="s">
        <v>128</v>
      </c>
      <c r="F17" s="20" t="s">
        <v>127</v>
      </c>
      <c r="G17" s="23" t="s">
        <v>128</v>
      </c>
    </row>
    <row r="18" spans="1:7" x14ac:dyDescent="0.2">
      <c r="A18" s="8">
        <v>0.5625</v>
      </c>
      <c r="F18" s="20" t="s">
        <v>127</v>
      </c>
    </row>
    <row r="19" spans="1:7" x14ac:dyDescent="0.2">
      <c r="A19" s="8">
        <v>0.58333333333333404</v>
      </c>
      <c r="B19" s="21" t="s">
        <v>129</v>
      </c>
      <c r="C19" s="21" t="s">
        <v>129</v>
      </c>
      <c r="E19" s="21" t="s">
        <v>129</v>
      </c>
      <c r="F19" s="20" t="s">
        <v>127</v>
      </c>
      <c r="G19" s="21" t="s">
        <v>129</v>
      </c>
    </row>
    <row r="20" spans="1:7" x14ac:dyDescent="0.2">
      <c r="A20" s="8">
        <v>0.60416666666666696</v>
      </c>
      <c r="B20" s="21" t="s">
        <v>129</v>
      </c>
      <c r="C20" s="21" t="s">
        <v>129</v>
      </c>
      <c r="E20" s="21" t="s">
        <v>129</v>
      </c>
      <c r="F20" s="20" t="s">
        <v>127</v>
      </c>
      <c r="G20" s="21" t="s">
        <v>129</v>
      </c>
    </row>
    <row r="21" spans="1:7" x14ac:dyDescent="0.2">
      <c r="A21" s="8">
        <v>0.625000000000001</v>
      </c>
      <c r="B21" s="21" t="s">
        <v>129</v>
      </c>
      <c r="C21" s="21" t="s">
        <v>129</v>
      </c>
      <c r="E21" s="21" t="s">
        <v>129</v>
      </c>
      <c r="F21" s="20" t="s">
        <v>127</v>
      </c>
      <c r="G21" s="21" t="s">
        <v>129</v>
      </c>
    </row>
    <row r="22" spans="1:7" x14ac:dyDescent="0.2">
      <c r="A22" s="8">
        <v>0.64583333333333404</v>
      </c>
      <c r="B22" s="21" t="s">
        <v>129</v>
      </c>
      <c r="C22" s="21" t="s">
        <v>129</v>
      </c>
      <c r="E22" s="21" t="s">
        <v>129</v>
      </c>
      <c r="F22" s="20" t="s">
        <v>127</v>
      </c>
      <c r="G22" s="21" t="s">
        <v>129</v>
      </c>
    </row>
    <row r="23" spans="1:7" x14ac:dyDescent="0.2">
      <c r="A23" s="8">
        <v>0.66666666666666696</v>
      </c>
      <c r="B23" s="21" t="s">
        <v>129</v>
      </c>
      <c r="C23" s="21" t="s">
        <v>129</v>
      </c>
      <c r="E23" s="21" t="s">
        <v>129</v>
      </c>
      <c r="F23" s="20" t="s">
        <v>127</v>
      </c>
      <c r="G23" s="21" t="s">
        <v>129</v>
      </c>
    </row>
    <row r="24" spans="1:7" x14ac:dyDescent="0.2">
      <c r="A24" s="8">
        <v>0.687500000000001</v>
      </c>
      <c r="F24" s="20" t="s">
        <v>127</v>
      </c>
    </row>
    <row r="25" spans="1:7" x14ac:dyDescent="0.2">
      <c r="A25" s="8">
        <v>0.70833333333333404</v>
      </c>
      <c r="F25" s="20" t="s">
        <v>127</v>
      </c>
    </row>
    <row r="26" spans="1:7" x14ac:dyDescent="0.2">
      <c r="A26" s="8">
        <v>0.72916666666666696</v>
      </c>
    </row>
    <row r="27" spans="1:7" x14ac:dyDescent="0.2">
      <c r="A27" s="8">
        <v>0.750000000000001</v>
      </c>
      <c r="B27" s="23" t="s">
        <v>128</v>
      </c>
      <c r="C27" s="23" t="s">
        <v>128</v>
      </c>
      <c r="D27" s="23" t="s">
        <v>128</v>
      </c>
    </row>
    <row r="28" spans="1:7" x14ac:dyDescent="0.2">
      <c r="A28" s="8">
        <v>0.77083333333333404</v>
      </c>
      <c r="B28" s="23" t="s">
        <v>128</v>
      </c>
      <c r="C28" s="23" t="s">
        <v>128</v>
      </c>
      <c r="D28" s="23" t="s">
        <v>128</v>
      </c>
      <c r="F28" s="21" t="s">
        <v>129</v>
      </c>
    </row>
    <row r="29" spans="1:7" x14ac:dyDescent="0.2">
      <c r="A29" s="8">
        <v>0.79166666666666696</v>
      </c>
      <c r="B29" s="23" t="s">
        <v>128</v>
      </c>
      <c r="C29" s="23" t="s">
        <v>128</v>
      </c>
      <c r="F29" s="21" t="s">
        <v>129</v>
      </c>
    </row>
    <row r="30" spans="1:7" x14ac:dyDescent="0.2">
      <c r="A30" s="8">
        <v>0.812500000000001</v>
      </c>
      <c r="B30" s="23" t="s">
        <v>128</v>
      </c>
      <c r="C30" s="23" t="s">
        <v>128</v>
      </c>
      <c r="F30" s="21" t="s">
        <v>129</v>
      </c>
    </row>
    <row r="31" spans="1:7" x14ac:dyDescent="0.2">
      <c r="A31" s="8">
        <v>0.83333333333333404</v>
      </c>
      <c r="B31" s="23" t="s">
        <v>128</v>
      </c>
      <c r="C31" s="23" t="s">
        <v>128</v>
      </c>
      <c r="F31" s="21" t="s">
        <v>129</v>
      </c>
    </row>
    <row r="32" spans="1:7" x14ac:dyDescent="0.2">
      <c r="A32" s="8">
        <v>0.85416666666666696</v>
      </c>
      <c r="F32" s="21" t="s">
        <v>129</v>
      </c>
    </row>
    <row r="33" spans="1:1" x14ac:dyDescent="0.2">
      <c r="A33" s="8">
        <v>0.875000000000001</v>
      </c>
    </row>
    <row r="34" spans="1:1" x14ac:dyDescent="0.2">
      <c r="A34" s="8">
        <v>0.89583333333333404</v>
      </c>
    </row>
    <row r="35" spans="1:1" x14ac:dyDescent="0.2">
      <c r="A35" s="8">
        <v>0.91666666666666696</v>
      </c>
    </row>
    <row r="36" spans="1:1" x14ac:dyDescent="0.2">
      <c r="A36" s="8">
        <v>0.937500000000001</v>
      </c>
    </row>
    <row r="37" spans="1:1" x14ac:dyDescent="0.2">
      <c r="A37" s="8">
        <v>0.95833333333333404</v>
      </c>
    </row>
    <row r="38" spans="1:1" x14ac:dyDescent="0.2">
      <c r="A38" s="8">
        <v>0.97916666666666696</v>
      </c>
    </row>
    <row r="39" spans="1:1" x14ac:dyDescent="0.2">
      <c r="A39" s="8">
        <v>1</v>
      </c>
    </row>
    <row r="40" spans="1:1" x14ac:dyDescent="0.2">
      <c r="A40" s="8">
        <v>1.0208333333333299</v>
      </c>
    </row>
    <row r="41" spans="1:1" x14ac:dyDescent="0.2">
      <c r="A41" s="8">
        <v>1.0416666666666701</v>
      </c>
    </row>
  </sheetData>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C9" sqref="C9:C16"/>
    </sheetView>
  </sheetViews>
  <sheetFormatPr baseColWidth="10" defaultColWidth="10.6640625" defaultRowHeight="16" x14ac:dyDescent="0.2"/>
  <sheetData>
    <row r="1" spans="1:8" ht="26" x14ac:dyDescent="0.3">
      <c r="B1" s="7" t="s">
        <v>25</v>
      </c>
    </row>
    <row r="4" spans="1:8" x14ac:dyDescent="0.2">
      <c r="B4" s="2" t="s">
        <v>4</v>
      </c>
      <c r="C4" s="2" t="s">
        <v>5</v>
      </c>
      <c r="D4" s="2" t="s">
        <v>6</v>
      </c>
      <c r="E4" s="2" t="s">
        <v>7</v>
      </c>
      <c r="F4" s="2" t="s">
        <v>10</v>
      </c>
      <c r="G4" s="2" t="s">
        <v>8</v>
      </c>
      <c r="H4" s="2" t="s">
        <v>9</v>
      </c>
    </row>
    <row r="5" spans="1:8" x14ac:dyDescent="0.2">
      <c r="A5" s="8">
        <v>0.16666666666666666</v>
      </c>
    </row>
    <row r="6" spans="1:8" x14ac:dyDescent="0.2">
      <c r="A6" s="8">
        <v>0.1875</v>
      </c>
    </row>
    <row r="7" spans="1:8" x14ac:dyDescent="0.2">
      <c r="A7" s="8">
        <v>0.20833333333333301</v>
      </c>
    </row>
    <row r="8" spans="1:8" x14ac:dyDescent="0.2">
      <c r="A8" s="8">
        <v>0.22916666666666699</v>
      </c>
    </row>
    <row r="9" spans="1:8" x14ac:dyDescent="0.2">
      <c r="A9" s="8">
        <v>0.25</v>
      </c>
    </row>
    <row r="10" spans="1:8" x14ac:dyDescent="0.2">
      <c r="A10" s="8">
        <v>0.27083333333333398</v>
      </c>
    </row>
    <row r="11" spans="1:8" x14ac:dyDescent="0.2">
      <c r="A11" s="8">
        <v>0.29166666666666702</v>
      </c>
    </row>
    <row r="12" spans="1:8" x14ac:dyDescent="0.2">
      <c r="A12" s="8">
        <v>0.3125</v>
      </c>
    </row>
    <row r="13" spans="1:8" x14ac:dyDescent="0.2">
      <c r="A13" s="8">
        <v>0.33333333333333398</v>
      </c>
    </row>
    <row r="14" spans="1:8" x14ac:dyDescent="0.2">
      <c r="A14" s="8">
        <v>0.35416666666666702</v>
      </c>
    </row>
    <row r="15" spans="1:8" x14ac:dyDescent="0.2">
      <c r="A15" s="8">
        <v>0.375</v>
      </c>
    </row>
    <row r="16" spans="1:8" x14ac:dyDescent="0.2">
      <c r="A16" s="8">
        <v>0.39583333333333398</v>
      </c>
    </row>
    <row r="17" spans="1:1" x14ac:dyDescent="0.2">
      <c r="A17" s="8">
        <v>0.41666666666666702</v>
      </c>
    </row>
    <row r="18" spans="1:1" x14ac:dyDescent="0.2">
      <c r="A18" s="8">
        <v>0.4375</v>
      </c>
    </row>
    <row r="19" spans="1:1" x14ac:dyDescent="0.2">
      <c r="A19" s="8">
        <v>0.45833333333333398</v>
      </c>
    </row>
    <row r="20" spans="1:1" x14ac:dyDescent="0.2">
      <c r="A20" s="8">
        <v>0.47916666666666702</v>
      </c>
    </row>
    <row r="21" spans="1:1" x14ac:dyDescent="0.2">
      <c r="A21" s="8">
        <v>0.5</v>
      </c>
    </row>
    <row r="22" spans="1:1" x14ac:dyDescent="0.2">
      <c r="A22" s="8">
        <v>0.52083333333333404</v>
      </c>
    </row>
    <row r="23" spans="1:1" x14ac:dyDescent="0.2">
      <c r="A23" s="8">
        <v>0.54166666666666696</v>
      </c>
    </row>
    <row r="24" spans="1:1" x14ac:dyDescent="0.2">
      <c r="A24" s="8">
        <v>0.5625</v>
      </c>
    </row>
    <row r="25" spans="1:1" x14ac:dyDescent="0.2">
      <c r="A25" s="8">
        <v>0.58333333333333404</v>
      </c>
    </row>
    <row r="26" spans="1:1" x14ac:dyDescent="0.2">
      <c r="A26" s="8">
        <v>0.60416666666666696</v>
      </c>
    </row>
    <row r="27" spans="1:1" x14ac:dyDescent="0.2">
      <c r="A27" s="8">
        <v>0.625000000000001</v>
      </c>
    </row>
    <row r="28" spans="1:1" x14ac:dyDescent="0.2">
      <c r="A28" s="8">
        <v>0.64583333333333404</v>
      </c>
    </row>
    <row r="29" spans="1:1" x14ac:dyDescent="0.2">
      <c r="A29" s="8">
        <v>0.66666666666666696</v>
      </c>
    </row>
    <row r="30" spans="1:1" x14ac:dyDescent="0.2">
      <c r="A30" s="8">
        <v>0.687500000000001</v>
      </c>
    </row>
    <row r="31" spans="1:1" x14ac:dyDescent="0.2">
      <c r="A31" s="8">
        <v>0.70833333333333404</v>
      </c>
    </row>
    <row r="32" spans="1:1" x14ac:dyDescent="0.2">
      <c r="A32" s="8">
        <v>0.72916666666666696</v>
      </c>
    </row>
    <row r="33" spans="1:1" x14ac:dyDescent="0.2">
      <c r="A33" s="8">
        <v>0.750000000000001</v>
      </c>
    </row>
    <row r="34" spans="1:1" x14ac:dyDescent="0.2">
      <c r="A34" s="8">
        <v>0.77083333333333404</v>
      </c>
    </row>
    <row r="35" spans="1:1" x14ac:dyDescent="0.2">
      <c r="A35" s="8">
        <v>0.79166666666666696</v>
      </c>
    </row>
    <row r="36" spans="1:1" x14ac:dyDescent="0.2">
      <c r="A36" s="8">
        <v>0.812500000000001</v>
      </c>
    </row>
    <row r="37" spans="1:1" x14ac:dyDescent="0.2">
      <c r="A37" s="8">
        <v>0.83333333333333404</v>
      </c>
    </row>
    <row r="38" spans="1:1" x14ac:dyDescent="0.2">
      <c r="A38" s="8">
        <v>0.85416666666666696</v>
      </c>
    </row>
    <row r="39" spans="1:1" x14ac:dyDescent="0.2">
      <c r="A39" s="8">
        <v>0.875000000000001</v>
      </c>
    </row>
    <row r="40" spans="1:1" x14ac:dyDescent="0.2">
      <c r="A40" s="8">
        <v>0.89583333333333404</v>
      </c>
    </row>
    <row r="41" spans="1:1" x14ac:dyDescent="0.2">
      <c r="A41" s="8">
        <v>0.91666666666666696</v>
      </c>
    </row>
    <row r="42" spans="1:1" x14ac:dyDescent="0.2">
      <c r="A42" s="8">
        <v>0.937500000000001</v>
      </c>
    </row>
    <row r="43" spans="1:1" x14ac:dyDescent="0.2">
      <c r="A43" s="8">
        <v>0.95833333333333404</v>
      </c>
    </row>
    <row r="44" spans="1:1" x14ac:dyDescent="0.2">
      <c r="A44" s="8">
        <v>0.97916666666666696</v>
      </c>
    </row>
    <row r="45" spans="1:1" x14ac:dyDescent="0.2">
      <c r="A45" s="8">
        <v>1</v>
      </c>
    </row>
    <row r="46" spans="1:1" x14ac:dyDescent="0.2">
      <c r="A46" s="8">
        <v>1.0208333333333299</v>
      </c>
    </row>
    <row r="47" spans="1:1" x14ac:dyDescent="0.2">
      <c r="A47" s="8">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6</vt:i4>
      </vt:variant>
    </vt:vector>
  </HeadingPairs>
  <TitlesOfParts>
    <vt:vector size="6" baseType="lpstr">
      <vt:lpstr>ANLEITUNG</vt:lpstr>
      <vt:lpstr>Semesterplan</vt:lpstr>
      <vt:lpstr>Best-Practices</vt:lpstr>
      <vt:lpstr>COMMITTMENT</vt:lpstr>
      <vt:lpstr>Wochenplan KW 40</vt:lpstr>
      <vt:lpstr>Wochenplan KW 41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Michael HÖRMANN</cp:lastModifiedBy>
  <dcterms:created xsi:type="dcterms:W3CDTF">2020-04-19T13:33:28Z</dcterms:created>
  <dcterms:modified xsi:type="dcterms:W3CDTF">2024-09-29T11:05:49Z</dcterms:modified>
</cp:coreProperties>
</file>