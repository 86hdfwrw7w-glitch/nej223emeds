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C:\Users\Justus Brücher\Desktop\"/>
    </mc:Choice>
  </mc:AlternateContent>
  <xr:revisionPtr revIDLastSave="0" documentId="8_{0CAF5214-5576-487D-9511-E3EDF5FB4364}" xr6:coauthVersionLast="47" xr6:coauthVersionMax="47" xr10:uidLastSave="{00000000-0000-0000-0000-000000000000}"/>
  <bookViews>
    <workbookView xWindow="-120" yWindow="-120" windowWidth="51840" windowHeight="21240" activeTab="1" xr2:uid="{50F29292-BE80-0C47-A0D2-DD086CB3D310}"/>
  </bookViews>
  <sheets>
    <sheet name="ANLEITUNG" sheetId="10" r:id="rId1"/>
    <sheet name="Semesterplan" sheetId="7" r:id="rId2"/>
    <sheet name="Best-Practices" sheetId="2" r:id="rId3"/>
    <sheet name="COMMITTMENT" sheetId="9"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2" i="7" l="1"/>
  <c r="I11" i="7" s="1"/>
  <c r="J12" i="7" a="1"/>
  <c r="J12" i="7" s="1"/>
  <c r="J11" i="7" s="1"/>
  <c r="K12" i="7" a="1"/>
  <c r="K12" i="7" s="1"/>
  <c r="K11" i="7" s="1"/>
  <c r="K10" i="7" a="1"/>
  <c r="K10" i="7" s="1"/>
  <c r="J10" i="7" a="1"/>
  <c r="J10" i="7" s="1"/>
  <c r="I10" i="7"/>
  <c r="K9" i="7" a="1"/>
  <c r="K9" i="7" s="1"/>
  <c r="J9" i="7" a="1"/>
  <c r="J9" i="7" s="1"/>
  <c r="I9" i="7"/>
  <c r="K8" i="7" a="1"/>
  <c r="K8" i="7" s="1"/>
  <c r="J8" i="7" a="1"/>
  <c r="J8" i="7" s="1"/>
  <c r="I8" i="7"/>
  <c r="K7" i="7" a="1"/>
  <c r="K7" i="7" s="1"/>
  <c r="J7" i="7" a="1"/>
  <c r="J7" i="7" s="1"/>
  <c r="I7" i="7"/>
  <c r="K6" i="7" a="1"/>
  <c r="K6" i="7" s="1"/>
  <c r="J6" i="7" a="1"/>
  <c r="J6" i="7" s="1"/>
  <c r="I6" i="7"/>
  <c r="K5" i="7" a="1"/>
  <c r="K5" i="7" s="1"/>
  <c r="J5" i="7" a="1"/>
  <c r="J5" i="7" s="1"/>
  <c r="I5" i="7"/>
  <c r="I4" i="7" l="1"/>
  <c r="J4" i="7"/>
  <c r="K4" i="7"/>
  <c r="CF4" i="7" l="1"/>
  <c r="G4" i="7"/>
  <c r="G49" i="7"/>
  <c r="G55" i="7"/>
  <c r="G65" i="7"/>
  <c r="C11" i="10"/>
  <c r="DA4" i="7"/>
  <c r="CT4" i="7"/>
  <c r="CM4" i="7"/>
  <c r="C7" i="10"/>
  <c r="K25" i="7" a="1"/>
  <c r="K25" i="7" s="1"/>
  <c r="J25" i="7" a="1"/>
  <c r="J25" i="7" s="1"/>
  <c r="I25" i="7"/>
  <c r="K24" i="7" a="1"/>
  <c r="K24" i="7" s="1"/>
  <c r="J24" i="7" a="1"/>
  <c r="J24" i="7" s="1"/>
  <c r="I24" i="7"/>
  <c r="K78" i="7" a="1"/>
  <c r="K78" i="7" s="1"/>
  <c r="J78" i="7" a="1"/>
  <c r="J78" i="7" s="1"/>
  <c r="I78" i="7"/>
  <c r="K77" i="7" a="1"/>
  <c r="K77" i="7" s="1"/>
  <c r="J77" i="7" a="1"/>
  <c r="J77" i="7" s="1"/>
  <c r="I77" i="7"/>
  <c r="K76" i="7" a="1"/>
  <c r="K76" i="7" s="1"/>
  <c r="J76" i="7" a="1"/>
  <c r="J76" i="7" s="1"/>
  <c r="I76" i="7"/>
  <c r="K75" i="7" a="1"/>
  <c r="K75" i="7" s="1"/>
  <c r="J75" i="7" a="1"/>
  <c r="J75" i="7" s="1"/>
  <c r="I75" i="7"/>
  <c r="K74" i="7" a="1"/>
  <c r="K74" i="7" s="1"/>
  <c r="J74" i="7" a="1"/>
  <c r="J74" i="7" s="1"/>
  <c r="I74" i="7"/>
  <c r="K73" i="7" a="1"/>
  <c r="K73" i="7" s="1"/>
  <c r="J73" i="7" a="1"/>
  <c r="J73" i="7" s="1"/>
  <c r="I73" i="7"/>
  <c r="K72" i="7" a="1"/>
  <c r="K72" i="7" s="1"/>
  <c r="J72" i="7" a="1"/>
  <c r="J72" i="7" s="1"/>
  <c r="I72" i="7"/>
  <c r="K69" i="7" a="1"/>
  <c r="K69" i="7" s="1"/>
  <c r="J69" i="7" a="1"/>
  <c r="J69" i="7" s="1"/>
  <c r="I69" i="7"/>
  <c r="K68" i="7" a="1"/>
  <c r="K68" i="7" s="1"/>
  <c r="J68" i="7" a="1"/>
  <c r="J68" i="7" s="1"/>
  <c r="I68" i="7"/>
  <c r="K67" i="7" a="1"/>
  <c r="K67" i="7" s="1"/>
  <c r="J67" i="7" a="1"/>
  <c r="J67" i="7" s="1"/>
  <c r="I67" i="7"/>
  <c r="K59" i="7" a="1"/>
  <c r="K59" i="7" s="1"/>
  <c r="J59" i="7" a="1"/>
  <c r="J59" i="7" s="1"/>
  <c r="I59" i="7"/>
  <c r="K58" i="7" a="1"/>
  <c r="K58" i="7" s="1"/>
  <c r="J58" i="7" a="1"/>
  <c r="J58" i="7" s="1"/>
  <c r="I58" i="7"/>
  <c r="K57" i="7" a="1"/>
  <c r="K57" i="7" s="1"/>
  <c r="J57" i="7" a="1"/>
  <c r="J57" i="7" s="1"/>
  <c r="I57" i="7"/>
  <c r="K56" i="7" a="1"/>
  <c r="K56" i="7" s="1"/>
  <c r="J56" i="7" a="1"/>
  <c r="J56" i="7" s="1"/>
  <c r="I56" i="7"/>
  <c r="K51" i="7" a="1"/>
  <c r="K51" i="7" s="1"/>
  <c r="J51" i="7" a="1"/>
  <c r="J51" i="7" s="1"/>
  <c r="I51" i="7"/>
  <c r="K50" i="7" a="1"/>
  <c r="K50" i="7" s="1"/>
  <c r="J50" i="7" a="1"/>
  <c r="J50" i="7" s="1"/>
  <c r="I50" i="7"/>
  <c r="C12" i="10"/>
  <c r="K30" i="7" a="1"/>
  <c r="K30" i="7" s="1"/>
  <c r="J30" i="7" a="1"/>
  <c r="J30" i="7" s="1"/>
  <c r="K29" i="7" a="1"/>
  <c r="K29" i="7" s="1"/>
  <c r="J29" i="7" a="1"/>
  <c r="J29" i="7" s="1"/>
  <c r="K28" i="7" a="1"/>
  <c r="K28" i="7" s="1"/>
  <c r="J28" i="7" a="1"/>
  <c r="J28" i="7" s="1"/>
  <c r="K27" i="7" a="1"/>
  <c r="K27" i="7" s="1"/>
  <c r="J27" i="7" a="1"/>
  <c r="J27" i="7" s="1"/>
  <c r="K26" i="7" a="1"/>
  <c r="K26" i="7" s="1"/>
  <c r="J26" i="7" a="1"/>
  <c r="J26" i="7" s="1"/>
  <c r="K23" i="7" a="1"/>
  <c r="K23" i="7" s="1"/>
  <c r="J23" i="7" a="1"/>
  <c r="J23" i="7" s="1"/>
  <c r="K46" i="7" a="1"/>
  <c r="K46" i="7" s="1"/>
  <c r="J46" i="7" a="1"/>
  <c r="J46" i="7" s="1"/>
  <c r="K45" i="7" a="1"/>
  <c r="K45" i="7" s="1"/>
  <c r="J45" i="7" a="1"/>
  <c r="J45" i="7" s="1"/>
  <c r="K44" i="7" a="1"/>
  <c r="K44" i="7" s="1"/>
  <c r="J44" i="7" a="1"/>
  <c r="J44" i="7" s="1"/>
  <c r="K43" i="7" a="1"/>
  <c r="K43" i="7" s="1"/>
  <c r="J43" i="7" a="1"/>
  <c r="J43" i="7" s="1"/>
  <c r="K42" i="7" a="1"/>
  <c r="K42" i="7" s="1"/>
  <c r="J42" i="7" a="1"/>
  <c r="J42" i="7" s="1"/>
  <c r="K41" i="7" a="1"/>
  <c r="K41" i="7" s="1"/>
  <c r="J41" i="7" a="1"/>
  <c r="J41" i="7" s="1"/>
  <c r="K40" i="7" a="1"/>
  <c r="K40" i="7" s="1"/>
  <c r="J40" i="7" a="1"/>
  <c r="J40" i="7" s="1"/>
  <c r="K39" i="7" a="1"/>
  <c r="K39" i="7" s="1"/>
  <c r="J39" i="7" a="1"/>
  <c r="J39" i="7" s="1"/>
  <c r="K38" i="7" a="1"/>
  <c r="K38" i="7" s="1"/>
  <c r="J38" i="7" a="1"/>
  <c r="J38" i="7" s="1"/>
  <c r="K37" i="7" a="1"/>
  <c r="K37" i="7" s="1"/>
  <c r="J37" i="7" a="1"/>
  <c r="J37" i="7" s="1"/>
  <c r="K36" i="7" a="1"/>
  <c r="K36" i="7" s="1"/>
  <c r="J36" i="7" a="1"/>
  <c r="J36" i="7" s="1"/>
  <c r="K22" i="7"/>
  <c r="I46" i="7"/>
  <c r="I45" i="7"/>
  <c r="I44" i="7"/>
  <c r="I43" i="7"/>
  <c r="I42" i="7"/>
  <c r="I41" i="7"/>
  <c r="I40" i="7"/>
  <c r="I39" i="7"/>
  <c r="I38" i="7"/>
  <c r="I37" i="7"/>
  <c r="I36" i="7"/>
  <c r="I30" i="7"/>
  <c r="I29" i="7"/>
  <c r="I28" i="7"/>
  <c r="I27" i="7"/>
  <c r="I26" i="7"/>
  <c r="I23" i="7"/>
  <c r="G35" i="7"/>
  <c r="G22" i="7"/>
  <c r="G48" i="7" l="1"/>
  <c r="I65" i="7"/>
  <c r="I48" i="7"/>
  <c r="J65" i="7"/>
  <c r="K65" i="7"/>
  <c r="K48" i="7"/>
  <c r="J48" i="7"/>
  <c r="I35" i="7"/>
  <c r="J35" i="7"/>
  <c r="K35" i="7"/>
  <c r="I22" i="7"/>
  <c r="J22"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<sst xmlns="http://schemas.openxmlformats.org/spreadsheetml/2006/main" count="350" uniqueCount="168">
  <si>
    <t>Semesterplan</t>
  </si>
  <si>
    <t>Fach</t>
  </si>
  <si>
    <t>Skript Niveau</t>
  </si>
  <si>
    <t>Rechnen Niveau</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</si>
  <si>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</si>
  <si>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</si>
  <si>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</si>
  <si>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</si>
  <si>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</si>
  <si>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</si>
  <si>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</si>
  <si>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</si>
  <si>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</si>
  <si>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</si>
  <si>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</si>
  <si>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</si>
  <si>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</si>
  <si>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</si>
  <si>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Typ</t>
  </si>
  <si>
    <t>Übersicht</t>
  </si>
  <si>
    <t>Thema</t>
  </si>
  <si>
    <t>Fachgebiet</t>
  </si>
  <si>
    <t>1) Einführung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</si>
  <si>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</si>
  <si>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</si>
  <si>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</si>
  <si>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</si>
  <si>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</si>
  <si>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</si>
  <si>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</si>
  <si>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</si>
  <si>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</si>
  <si>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</si>
  <si>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</si>
  <si>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</si>
  <si>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</si>
  <si>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</si>
  <si>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</si>
  <si>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</si>
  <si>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</si>
  <si>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</si>
  <si>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</si>
  <si>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</si>
  <si>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</si>
  <si>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</si>
  <si>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</si>
  <si>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</si>
  <si>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</si>
  <si>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</si>
  <si>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</si>
  <si>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</si>
  <si>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</si>
  <si>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</si>
  <si>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</si>
  <si>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</si>
  <si>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</si>
  <si>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</si>
  <si>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</si>
  <si>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</si>
  <si>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</si>
  <si>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</si>
  <si>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</si>
  <si>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</si>
  <si>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</si>
  <si>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</si>
  <si>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</si>
  <si>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</si>
  <si>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</si>
  <si>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</si>
  <si>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</si>
  <si>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</si>
  <si>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</si>
  <si>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</si>
  <si>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</si>
  <si>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</si>
  <si>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</si>
  <si>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</si>
  <si>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</si>
  <si>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</si>
  <si>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</si>
  <si>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KW 26</t>
  </si>
  <si>
    <t>KLAUSUREN!!!</t>
  </si>
  <si>
    <t xml:space="preserve">Mathe </t>
  </si>
  <si>
    <t>Mathe</t>
  </si>
  <si>
    <t>VWL</t>
  </si>
  <si>
    <t xml:space="preserve">VWL </t>
  </si>
  <si>
    <t>BWL</t>
  </si>
  <si>
    <t>BBG</t>
  </si>
  <si>
    <t>Digi</t>
  </si>
  <si>
    <t>Herr Gerling</t>
  </si>
  <si>
    <t>Herr Schütt</t>
  </si>
  <si>
    <t>Herr Wilhelm</t>
  </si>
  <si>
    <t>1) Digitale Daten</t>
  </si>
  <si>
    <t xml:space="preserve">2) Modernes Datenmanagement </t>
  </si>
  <si>
    <t xml:space="preserve">3) Daten analyse und künstliche Intelligenz </t>
  </si>
  <si>
    <t xml:space="preserve">4) Algorithmen und Basisoperationen </t>
  </si>
  <si>
    <t>5) Kontrollstrukturen1 (IF-Else)</t>
  </si>
  <si>
    <t>6) Listen und Tabellen</t>
  </si>
  <si>
    <t>7) Kontrollstrukturen2 (Schleifen)</t>
  </si>
  <si>
    <t xml:space="preserve">8) Funktionen und Bibliotheken </t>
  </si>
  <si>
    <t>Analysis</t>
  </si>
  <si>
    <t xml:space="preserve">lineare Algebra </t>
  </si>
  <si>
    <t>2) Probleme und Methoder der VWL</t>
  </si>
  <si>
    <t xml:space="preserve">3) Wirtschaftskreislauf und Wirtschaftssysteme </t>
  </si>
  <si>
    <t>4) Volkswirtschaftliche Gesamtrechnung</t>
  </si>
  <si>
    <t>5) Marktformen</t>
  </si>
  <si>
    <t>6) Vollständige Konkurrenz (Polypol)</t>
  </si>
  <si>
    <t>7) Unvollkommende Konkurrenz</t>
  </si>
  <si>
    <t>8) Wettbewerbstheorie und Politik</t>
  </si>
  <si>
    <t xml:space="preserve">1) Einführung </t>
  </si>
  <si>
    <t>2) Womit befasst sich die BWL?</t>
  </si>
  <si>
    <t xml:space="preserve">3) Ziel Betriebswirtschaftlichen Handelns </t>
  </si>
  <si>
    <t>4) Wie studiert man BWL?</t>
  </si>
  <si>
    <t>5) Finanzberichterstattung</t>
  </si>
  <si>
    <t>6) Finanzberichterstattung</t>
  </si>
  <si>
    <t>7) Performancemessung mit Hilfe Kennzahlen</t>
  </si>
  <si>
    <t>8) Ausrichtung auf Markt und Wettbewerb</t>
  </si>
  <si>
    <t xml:space="preserve">9) Festlegung der Aktionsrahmen </t>
  </si>
  <si>
    <t xml:space="preserve">10) Steuerung </t>
  </si>
  <si>
    <t xml:space="preserve">11) Steuerung </t>
  </si>
  <si>
    <t xml:space="preserve">Thema </t>
  </si>
  <si>
    <t>3)</t>
  </si>
  <si>
    <t>4)</t>
  </si>
  <si>
    <t>1) Betrieb: Kreditinstitut</t>
  </si>
  <si>
    <t>2) Märkte der Kreditinstitute</t>
  </si>
  <si>
    <t xml:space="preserve">3) Kunden und Geschäftspartner der Kreditinstitute </t>
  </si>
  <si>
    <t>4) Rechtsgrundlagen des Bankgeschäftes</t>
  </si>
  <si>
    <t>1) Einführung Quo-Vadis</t>
  </si>
  <si>
    <t>2) Grundlagen des Bankwesen</t>
  </si>
  <si>
    <t>3) Struktur des Bankensystems</t>
  </si>
  <si>
    <t xml:space="preserve">4) Einführung in die Bankleistungen </t>
  </si>
  <si>
    <t xml:space="preserve"> </t>
  </si>
  <si>
    <t>13.11.2023-19.11.2023</t>
  </si>
  <si>
    <t>20.11.2023-26.11.2023</t>
  </si>
  <si>
    <t>27.11.2023-03.12.2023</t>
  </si>
  <si>
    <t>04.12.2023-10.12.2023</t>
  </si>
  <si>
    <t>11.12.2023-17.12.2023</t>
  </si>
  <si>
    <t>18.12.2023-24.12.2023</t>
  </si>
  <si>
    <t>01.01.2024-07.01.2024 (Vorlesungsfrei)</t>
  </si>
  <si>
    <t>25.12.2023-31.12.2023 (Vorlesungsfrei)</t>
  </si>
  <si>
    <t>08.01.2024-14.01.2024 (Wiederholungsvorlesungen)</t>
  </si>
  <si>
    <t>15.01.2024-19.01.2024 (Klausuren)</t>
  </si>
  <si>
    <t>22.01.2024-26.01.2024 (Klausuren)</t>
  </si>
  <si>
    <t xml:space="preserve">2) Ökonomische Funktionen </t>
  </si>
  <si>
    <t xml:space="preserve">3) Änderungen von Funktionen </t>
  </si>
  <si>
    <t>4) Ableitungen</t>
  </si>
  <si>
    <t>5) Ökonomische Interprätation der 1. Ableitung</t>
  </si>
  <si>
    <t xml:space="preserve">6) Differenzial </t>
  </si>
  <si>
    <t xml:space="preserve">7) Elastizitäten </t>
  </si>
  <si>
    <t xml:space="preserve">8) Eigenschaften von Funktionen </t>
  </si>
  <si>
    <t>1)</t>
  </si>
  <si>
    <t>2)</t>
  </si>
  <si>
    <t>5)</t>
  </si>
  <si>
    <t>6)</t>
  </si>
  <si>
    <t>Herr Gsell</t>
  </si>
  <si>
    <t>15.01.-26.01</t>
  </si>
  <si>
    <t>Rechen Niveau</t>
  </si>
  <si>
    <t>Level Ups</t>
  </si>
  <si>
    <t>ANMERKUNG</t>
  </si>
  <si>
    <t>Gelb Rot Makierte noch kein Skript</t>
  </si>
  <si>
    <t>Bitte 10% auf 0 setzen</t>
  </si>
  <si>
    <t>Zwei Klausurwochen markiert, keine konkreten Daten</t>
  </si>
  <si>
    <t>Blau markiert = 100% erreicht</t>
  </si>
  <si>
    <t>Bitte überarbeiten, vielen DANK!!</t>
  </si>
  <si>
    <t>Vielen Dank, sehr lieb von dir!</t>
  </si>
  <si>
    <t>Rot = Anfang der Klauserenphase</t>
  </si>
  <si>
    <t>bis 13.11 Ersrtellung Anki Kartei</t>
  </si>
  <si>
    <t>Semsterbeginn 23.10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</si>
</sst>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sz val="11"/>
      <color rgb="FF9C5700"/>
      <name val="Calibri"/>
      <family val="2"/>
      <scheme val="minor"/>
    </font>
    <font>
      <sz val="18"/>
      <color theme="1"/>
      <name val="Calibri"/>
      <family val="2"/>
      <scheme val="minor"/>
    </font>
    <font>
      <sz val="20"/>
      <color theme="1"/>
      <name val="Calibri"/>
      <family val="2"/>
      <scheme val="minor"/>
    </font>
    <font>
      <sz val="22"/>
      <color theme="1"/>
      <name val="Calibri"/>
      <family val="2"/>
      <scheme val="minor"/>
    </font>
  </fonts>
  <fills count="10">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
      <patternFill patternType="solid">
        <fgColor rgb="FFFFEB9C"/>
      </patternFill>
    </fill>
    <fill>
      <patternFill patternType="solid">
        <fgColor rgb="FFFF0000"/>
        <bgColor indexed="64"/>
      </patternFill>
    </fill>
    <fill>
      <patternFill patternType="solid">
        <fgColor theme="4"/>
        <bgColor indexed="64"/>
      </patternFill>
    </fill>
  </fills>
  <borders count="1">
    <border>
      <left/>
      <right/>
      <top/>
      <bottom/>
      <diagonal/>
    </border>
  </borders>
  <cellStyleXfs count="2">
    <xf numFmtId="0" fontId="0" fillId="0" borderId="0"/>
    <xf numFmtId="0" fontId="4" fillId="7" borderId="0" applyNumberFormat="0" applyBorder="0" applyAlignment="0" applyProtection="0"/>
  </cellStyleXfs>
  <cellXfs count="29">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0" fontId="0" fillId="8" borderId="0" xfId="0" applyFill="1"/>
    <xf numFmtId="0" fontId="4" fillId="7" borderId="0" xfId="1"/>
    <xf numFmtId="0" fontId="1" fillId="9" borderId="0" xfId="0" applyFont="1" applyFill="1"/>
    <xf numFmtId="0" fontId="0" fillId="9" borderId="0" xfId="0" applyFill="1"/>
    <xf numFmtId="9" fontId="1" fillId="2" borderId="0" xfId="0" applyNumberFormat="1" applyFont="1" applyFill="1" applyAlignment="1">
      <alignment horizontal="center"/>
    </xf>
    <xf numFmtId="0" fontId="1" fillId="2" borderId="0" xfId="0" applyFont="1" applyFill="1" applyAlignment="1">
      <alignment horizontal="center"/>
    </xf>
    <xf numFmtId="14" fontId="1" fillId="2" borderId="0" xfId="0" applyNumberFormat="1" applyFont="1" applyFill="1" applyAlignment="1">
      <alignment horizontal="center"/>
    </xf>
    <xf numFmtId="0" fontId="1" fillId="9" borderId="0" xfId="0" applyFont="1" applyFill="1" applyAlignment="1">
      <alignment horizontal="center"/>
    </xf>
    <xf numFmtId="0" fontId="7" fillId="0" borderId="0" xfId="0" applyFont="1"/>
    <xf numFmtId="0" fontId="5" fillId="0" borderId="0" xfId="0" applyFont="1"/>
    <xf numFmtId="0" fontId="6" fillId="0" borderId="0" xfId="0" applyFont="1"/>
  </cellXfs>
  <cellStyles count="2">
    <cellStyle name="Neutral" xfId="1" builtinId="28"/>
    <cellStyle name="Standard" xfId="0" builtinId="0"/>
  </cellStyles>
  <dxfs count="123">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122">
  <autoFilter ref="A1:K46" xr:uid="{6E266E34-2786-2747-BCE7-51B74867A564}"/>
  <tableColumns count="11">
    <tableColumn id="1" xr3:uid="{95FD92F7-3DC8-704D-A103-A7EDDAB255AB}" name="Datum" dataDxfId="121"/>
    <tableColumn id="2" xr3:uid="{F464D510-8166-E740-A343-FB84BDEF877F}" name="Lerneinheiten durchgezogen" dataDxfId="120"/>
    <tableColumn id="3" xr3:uid="{75F52B08-1A00-0848-BBE6-1EDF7B31B1AD}" name="Tagesplan erstellt" dataDxfId="119"/>
    <tableColumn id="4" xr3:uid="{E6B18D89-E799-AD48-9DAA-37AEE1D29011}" name="Konzentrationslevel" dataDxfId="118"/>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C18" sqref="C18"/>
    </sheetView>
  </sheetViews>
  <sheetFormatPr baseColWidth="10" defaultRowHeight="15.75" x14ac:dyDescent="0.25"/>
  <cols>
    <col min="1" max="1" width="11.875" customWidth="1"/>
    <col min="2" max="2" width="62.625" customWidth="1"/>
  </cols>
  <sheetData>
    <row r="2" spans="1:4" x14ac:dyDescent="0.25">
      <c r="C2" s="16" t="s">
        <v>64</v>
      </c>
    </row>
    <row r="3" spans="1:4" x14ac:dyDescent="0.25">
      <c r="C3" s="15" t="s">
        <v>49</v>
      </c>
    </row>
    <row r="4" spans="1:4" x14ac:dyDescent="0.25">
      <c r="C4" s="14" t="s">
        <v>63</v>
      </c>
    </row>
    <row r="5" spans="1:4" x14ac:dyDescent="0.25">
      <c r="A5" s="2" t="s">
        <v>46</v>
      </c>
      <c r="B5" s="2" t="s">
        <v>47</v>
      </c>
      <c r="C5" s="2" t="s">
        <v>48</v>
      </c>
      <c r="D5" s="2" t="s">
        <v>50</v>
      </c>
    </row>
    <row r="6" spans="1:4" x14ac:dyDescent="0.25">
      <c r="A6" t="s">
        <v>42</v>
      </c>
      <c r="B6" s="16" t="s">
        <v>45</v>
      </c>
      <c r="D6" t="s">
        <v>79</v>
      </c>
    </row>
    <row r="7" spans="1:4" x14ac:dyDescent="0.25">
      <c r="A7" t="s">
        <v>53</v>
      </c>
      <c r="B7" t="s">
        <v>54</v>
      </c>
      <c r="C7" s="14">
        <f>6+8+11+7+10</f>
        <v>42</v>
      </c>
    </row>
    <row r="8" spans="1:4" x14ac:dyDescent="0.25">
      <c r="A8" t="s">
        <v>44</v>
      </c>
      <c r="B8" s="16" t="s">
        <v>43</v>
      </c>
      <c r="C8" t="s">
        <v>155</v>
      </c>
      <c r="D8" t="s">
        <v>67</v>
      </c>
    </row>
    <row r="9" spans="1:4" x14ac:dyDescent="0.25">
      <c r="A9" t="s">
        <v>52</v>
      </c>
      <c r="B9" s="16" t="s">
        <v>65</v>
      </c>
      <c r="C9">
        <v>9</v>
      </c>
      <c r="D9" t="s">
        <v>68</v>
      </c>
    </row>
    <row r="10" spans="1:4" x14ac:dyDescent="0.25">
      <c r="A10" t="s">
        <v>56</v>
      </c>
      <c r="B10" t="s">
        <v>55</v>
      </c>
      <c r="C10" s="14">
        <v>7</v>
      </c>
      <c r="D10" t="s">
        <v>51</v>
      </c>
    </row>
    <row r="11" spans="1:4" x14ac:dyDescent="0.25">
      <c r="A11" t="s">
        <v>57</v>
      </c>
      <c r="B11" t="s">
        <v>59</v>
      </c>
      <c r="C11" s="14">
        <f>42*3</f>
        <v>126</v>
      </c>
      <c r="D11" t="s">
        <v>58</v>
      </c>
    </row>
    <row r="12" spans="1:4" x14ac:dyDescent="0.25">
      <c r="A12" t="s">
        <v>61</v>
      </c>
      <c r="B12" t="s">
        <v>60</v>
      </c>
      <c r="C12" s="15">
        <f>C11/C10</f>
        <v>18</v>
      </c>
    </row>
    <row r="13" spans="1:4" x14ac:dyDescent="0.25">
      <c r="A13" t="s">
        <v>66</v>
      </c>
      <c r="B13" t="s">
        <v>62</v>
      </c>
      <c r="D13" t="s">
        <v>69</v>
      </c>
    </row>
    <row r="14" spans="1:4" x14ac:dyDescent="0.25">
      <c r="A14" t="s">
        <v>70</v>
      </c>
      <c r="B14" t="s">
        <v>71</v>
      </c>
      <c r="D14" t="s">
        <v>72</v>
      </c>
    </row>
    <row r="15" spans="1:4" x14ac:dyDescent="0.25">
      <c r="A15" t="s">
        <v>73</v>
      </c>
      <c r="B15" s="16" t="s">
        <v>74</v>
      </c>
    </row>
    <row r="16" spans="1:4" x14ac:dyDescent="0.25">
      <c r="A16" t="s">
        <v>77</v>
      </c>
      <c r="B16" s="16" t="s">
        <v>75</v>
      </c>
    </row>
    <row r="17" spans="1:2" x14ac:dyDescent="0.25">
      <c r="A17" t="s">
        <v>78</v>
      </c>
      <c r="B17" t="s">
        <v>76</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A1:DF98"/>
  <sheetViews>
    <sheetView showGridLines="0" tabSelected="1" topLeftCell="A36" zoomScale="85" zoomScaleNormal="85" workbookViewId="0">
      <pane xSplit="12" topLeftCell="M1" activePane="topRight" state="frozen"/>
      <selection pane="topRight" activeCell="F106" sqref="F106"/>
    </sheetView>
  </sheetViews>
  <sheetFormatPr baseColWidth="10" defaultColWidth="8.875" defaultRowHeight="15.75" outlineLevelRow="1" x14ac:dyDescent="0.25"/>
  <cols>
    <col min="3" max="3" width="9.5" bestFit="1" customWidth="1"/>
    <col min="4" max="4" width="13" bestFit="1" customWidth="1"/>
    <col min="5" max="5" width="4.875" bestFit="1" customWidth="1"/>
    <col min="6" max="6" width="41.125" bestFit="1" customWidth="1"/>
    <col min="7" max="7" width="15.5" bestFit="1" customWidth="1"/>
    <col min="8" max="8" width="2.5" customWidth="1"/>
    <col min="10" max="10" width="12.5" bestFit="1" customWidth="1"/>
    <col min="11" max="11" width="14.875" customWidth="1"/>
    <col min="12" max="12" width="10.625" customWidth="1"/>
    <col min="13" max="13" width="2.5" customWidth="1"/>
    <col min="15" max="15" width="12.5" bestFit="1" customWidth="1"/>
    <col min="16" max="16" width="6.375" customWidth="1"/>
    <col min="17" max="17" width="14.875" bestFit="1" customWidth="1"/>
    <col min="18" max="18" width="6" customWidth="1"/>
    <col min="19" max="19" width="12.625" bestFit="1" customWidth="1"/>
    <col min="20" max="20" width="2.5" customWidth="1"/>
    <col min="22" max="22" width="12.5" bestFit="1" customWidth="1"/>
    <col min="23" max="23" width="6.375" customWidth="1"/>
    <col min="24" max="24" width="14.875" bestFit="1" customWidth="1"/>
    <col min="25" max="25" width="6" customWidth="1"/>
    <col min="26" max="26" width="12.625" bestFit="1" customWidth="1"/>
    <col min="27" max="27" width="2.5" customWidth="1"/>
    <col min="29" max="29" width="12.5" bestFit="1" customWidth="1"/>
    <col min="30" max="30" width="6.375" customWidth="1"/>
    <col min="31" max="31" width="14.875" bestFit="1" customWidth="1"/>
    <col min="32" max="32" width="6" customWidth="1"/>
    <col min="33" max="33" width="12.625" bestFit="1" customWidth="1"/>
    <col min="34" max="34" width="2.5" customWidth="1"/>
    <col min="36" max="36" width="12.5" bestFit="1" customWidth="1"/>
    <col min="37" max="37" width="6.375" customWidth="1"/>
    <col min="38" max="38" width="14.875" bestFit="1" customWidth="1"/>
    <col min="39" max="39" width="6" customWidth="1"/>
    <col min="40" max="40" width="12.625" bestFit="1" customWidth="1"/>
    <col min="41" max="41" width="2.5" customWidth="1"/>
    <col min="43" max="43" width="12.5" bestFit="1" customWidth="1"/>
    <col min="44" max="44" width="6.375" customWidth="1"/>
    <col min="45" max="45" width="14.875" bestFit="1" customWidth="1"/>
    <col min="46" max="46" width="6" customWidth="1"/>
    <col min="47" max="47" width="12.625" bestFit="1" customWidth="1"/>
    <col min="48" max="48" width="2.5" customWidth="1"/>
    <col min="50" max="50" width="12.5" bestFit="1" customWidth="1"/>
    <col min="51" max="51" width="6.375" customWidth="1"/>
    <col min="52" max="52" width="14.875" bestFit="1" customWidth="1"/>
    <col min="53" max="53" width="6" customWidth="1"/>
    <col min="54" max="54" width="12.625" bestFit="1" customWidth="1"/>
    <col min="55" max="55" width="2.5" customWidth="1"/>
    <col min="57" max="57" width="12.5" bestFit="1" customWidth="1"/>
    <col min="58" max="58" width="6.375" customWidth="1"/>
    <col min="59" max="59" width="14.875" bestFit="1" customWidth="1"/>
    <col min="60" max="60" width="6" customWidth="1"/>
    <col min="61" max="61" width="12.625" bestFit="1" customWidth="1"/>
    <col min="62" max="62" width="2.5" customWidth="1"/>
    <col min="64" max="64" width="12.5" bestFit="1" customWidth="1"/>
    <col min="65" max="65" width="6.375" customWidth="1"/>
    <col min="66" max="66" width="14.875" bestFit="1" customWidth="1"/>
    <col min="67" max="67" width="6" customWidth="1"/>
    <col min="68" max="68" width="12.625" bestFit="1" customWidth="1"/>
    <col min="69" max="69" width="2.5" customWidth="1"/>
    <col min="71" max="71" width="12.5" bestFit="1" customWidth="1"/>
    <col min="72" max="72" width="6.375" customWidth="1"/>
    <col min="73" max="73" width="14.875" bestFit="1" customWidth="1"/>
    <col min="74" max="74" width="6" customWidth="1"/>
    <col min="75" max="75" width="12.625" bestFit="1" customWidth="1"/>
    <col min="76" max="76" width="2.5" customWidth="1"/>
    <col min="78" max="78" width="12.5" bestFit="1" customWidth="1"/>
    <col min="79" max="79" width="6.375" customWidth="1"/>
    <col min="80" max="80" width="14.875" bestFit="1" customWidth="1"/>
    <col min="81" max="81" width="6" customWidth="1"/>
    <col min="82" max="82" width="12.625" bestFit="1" customWidth="1"/>
    <col min="83" max="83" width="2.5" customWidth="1"/>
    <col min="85" max="85" width="12.5" bestFit="1" customWidth="1"/>
    <col min="86" max="86" width="6.375" customWidth="1"/>
    <col min="87" max="87" width="14.875" bestFit="1" customWidth="1"/>
    <col min="88" max="88" width="6" customWidth="1"/>
    <col min="89" max="89" width="12.625" bestFit="1" customWidth="1"/>
    <col min="90" max="90" width="2.5" customWidth="1"/>
    <col min="92" max="92" width="12.5" bestFit="1" customWidth="1"/>
    <col min="93" max="93" width="6.375" customWidth="1"/>
    <col min="94" max="94" width="14.875" bestFit="1" customWidth="1"/>
    <col min="95" max="95" width="6" customWidth="1"/>
    <col min="96" max="96" width="12.625" bestFit="1" customWidth="1"/>
    <col min="97" max="97" width="2.5" customWidth="1"/>
    <col min="99" max="99" width="12.5" bestFit="1" customWidth="1"/>
    <col min="100" max="100" width="6.375" customWidth="1"/>
    <col min="101" max="101" width="14.875" bestFit="1" customWidth="1"/>
    <col min="102" max="102" width="6" customWidth="1"/>
    <col min="103" max="103" width="12.625" bestFit="1" customWidth="1"/>
    <col min="104" max="104" width="2.5" customWidth="1"/>
    <col min="106" max="106" width="12.5" bestFit="1" customWidth="1"/>
    <col min="107" max="107" width="6.375" customWidth="1"/>
    <col min="108" max="108" width="14.875" bestFit="1" customWidth="1"/>
    <col min="109" max="109" width="6" customWidth="1"/>
    <col min="110" max="110" width="12.625" bestFit="1" customWidth="1"/>
  </cols>
  <sheetData>
    <row r="1" spans="1:110" ht="33.75" x14ac:dyDescent="0.5">
      <c r="B1" s="4" t="s">
        <v>0</v>
      </c>
      <c r="D1" s="4"/>
      <c r="G1" s="11" t="s">
        <v>26</v>
      </c>
      <c r="I1" s="11" t="s">
        <v>26</v>
      </c>
      <c r="J1" s="11" t="s">
        <v>26</v>
      </c>
      <c r="K1" s="11" t="s">
        <v>26</v>
      </c>
    </row>
    <row r="2" spans="1:110" x14ac:dyDescent="0.25">
      <c r="I2" s="23" t="s">
        <v>19</v>
      </c>
      <c r="J2" s="23"/>
      <c r="K2" s="23"/>
      <c r="L2" s="23"/>
      <c r="N2" s="24" t="s">
        <v>132</v>
      </c>
      <c r="O2" s="23"/>
      <c r="P2" s="23"/>
      <c r="Q2" s="23"/>
      <c r="R2" s="23"/>
      <c r="S2" s="23"/>
      <c r="U2" s="23" t="s">
        <v>133</v>
      </c>
      <c r="V2" s="23"/>
      <c r="W2" s="23"/>
      <c r="X2" s="23"/>
      <c r="Y2" s="23"/>
      <c r="Z2" s="23"/>
      <c r="AB2" s="23" t="s">
        <v>134</v>
      </c>
      <c r="AC2" s="23"/>
      <c r="AD2" s="23"/>
      <c r="AE2" s="23"/>
      <c r="AF2" s="23"/>
      <c r="AG2" s="23"/>
      <c r="AI2" s="23" t="s">
        <v>135</v>
      </c>
      <c r="AJ2" s="23"/>
      <c r="AK2" s="23"/>
      <c r="AL2" s="23"/>
      <c r="AM2" s="23"/>
      <c r="AN2" s="23"/>
      <c r="AP2" s="23" t="s">
        <v>136</v>
      </c>
      <c r="AQ2" s="23"/>
      <c r="AR2" s="23"/>
      <c r="AS2" s="23"/>
      <c r="AT2" s="23"/>
      <c r="AU2" s="23"/>
      <c r="AW2" s="23" t="s">
        <v>137</v>
      </c>
      <c r="AX2" s="23"/>
      <c r="AY2" s="23"/>
      <c r="AZ2" s="23"/>
      <c r="BA2" s="23"/>
      <c r="BB2" s="23"/>
      <c r="BD2" s="25" t="s">
        <v>139</v>
      </c>
      <c r="BE2" s="25"/>
      <c r="BF2" s="25"/>
      <c r="BG2" s="25"/>
      <c r="BH2" s="25"/>
      <c r="BI2" s="25"/>
      <c r="BJ2" s="21"/>
      <c r="BK2" s="23" t="s">
        <v>138</v>
      </c>
      <c r="BL2" s="23"/>
      <c r="BM2" s="23"/>
      <c r="BN2" s="23"/>
      <c r="BO2" s="23"/>
      <c r="BP2" s="23"/>
      <c r="BR2" s="23" t="s">
        <v>140</v>
      </c>
      <c r="BS2" s="23"/>
      <c r="BT2" s="23"/>
      <c r="BU2" s="23"/>
      <c r="BV2" s="23"/>
      <c r="BW2" s="23"/>
      <c r="BX2" s="18"/>
      <c r="BY2" s="23" t="s">
        <v>141</v>
      </c>
      <c r="BZ2" s="23"/>
      <c r="CA2" s="23"/>
      <c r="CB2" s="23"/>
      <c r="CC2" s="23"/>
      <c r="CD2" s="23"/>
      <c r="CF2" s="23" t="s">
        <v>142</v>
      </c>
      <c r="CG2" s="23"/>
      <c r="CH2" s="23"/>
      <c r="CI2" s="23"/>
      <c r="CJ2" s="23"/>
      <c r="CK2" s="23"/>
      <c r="CM2" s="23" t="s">
        <v>80</v>
      </c>
      <c r="CN2" s="23"/>
      <c r="CO2" s="23"/>
      <c r="CP2" s="23"/>
      <c r="CQ2" s="23"/>
      <c r="CR2" s="23"/>
      <c r="CT2" s="23" t="s">
        <v>80</v>
      </c>
      <c r="CU2" s="23"/>
      <c r="CV2" s="23"/>
      <c r="CW2" s="23"/>
      <c r="CX2" s="23"/>
      <c r="CY2" s="23"/>
      <c r="DA2" s="23" t="s">
        <v>81</v>
      </c>
      <c r="DB2" s="23"/>
      <c r="DC2" s="23"/>
      <c r="DD2" s="23"/>
      <c r="DE2" s="23"/>
      <c r="DF2" s="23"/>
    </row>
    <row r="3" spans="1:110" x14ac:dyDescent="0.25">
      <c r="A3" t="s">
        <v>157</v>
      </c>
      <c r="B3" s="5" t="s">
        <v>18</v>
      </c>
      <c r="C3" s="5" t="s">
        <v>1</v>
      </c>
      <c r="D3" s="5" t="s">
        <v>17</v>
      </c>
      <c r="E3" s="6" t="s">
        <v>23</v>
      </c>
      <c r="F3" s="5" t="s">
        <v>21</v>
      </c>
      <c r="G3" s="5" t="s">
        <v>24</v>
      </c>
      <c r="I3" s="6" t="s">
        <v>4</v>
      </c>
      <c r="J3" s="6" t="s">
        <v>2</v>
      </c>
      <c r="K3" s="22" t="s">
        <v>156</v>
      </c>
      <c r="L3" s="6" t="s">
        <v>5</v>
      </c>
      <c r="N3" s="5" t="s">
        <v>4</v>
      </c>
      <c r="O3" s="5" t="s">
        <v>2</v>
      </c>
      <c r="P3" s="5" t="s">
        <v>25</v>
      </c>
      <c r="Q3" s="5" t="s">
        <v>3</v>
      </c>
      <c r="R3" s="5" t="s">
        <v>25</v>
      </c>
      <c r="S3" s="5" t="s">
        <v>5</v>
      </c>
      <c r="U3" s="5" t="s">
        <v>4</v>
      </c>
      <c r="V3" s="5" t="s">
        <v>2</v>
      </c>
      <c r="W3" s="5" t="s">
        <v>25</v>
      </c>
      <c r="X3" s="5" t="s">
        <v>3</v>
      </c>
      <c r="Y3" s="5" t="s">
        <v>25</v>
      </c>
      <c r="Z3" s="5" t="s">
        <v>5</v>
      </c>
      <c r="AB3" s="5" t="s">
        <v>4</v>
      </c>
      <c r="AC3" s="5" t="s">
        <v>2</v>
      </c>
      <c r="AD3" s="5" t="s">
        <v>25</v>
      </c>
      <c r="AE3" s="5" t="s">
        <v>3</v>
      </c>
      <c r="AF3" s="5" t="s">
        <v>25</v>
      </c>
      <c r="AG3" s="5" t="s">
        <v>5</v>
      </c>
      <c r="AI3" s="5" t="s">
        <v>4</v>
      </c>
      <c r="AJ3" s="5" t="s">
        <v>2</v>
      </c>
      <c r="AK3" s="5" t="s">
        <v>25</v>
      </c>
      <c r="AL3" s="5" t="s">
        <v>3</v>
      </c>
      <c r="AM3" s="5" t="s">
        <v>25</v>
      </c>
      <c r="AN3" s="5" t="s">
        <v>5</v>
      </c>
      <c r="AP3" s="5" t="s">
        <v>4</v>
      </c>
      <c r="AQ3" s="5" t="s">
        <v>2</v>
      </c>
      <c r="AR3" s="5" t="s">
        <v>25</v>
      </c>
      <c r="AS3" s="5" t="s">
        <v>3</v>
      </c>
      <c r="AT3" s="5" t="s">
        <v>25</v>
      </c>
      <c r="AU3" s="5" t="s">
        <v>5</v>
      </c>
      <c r="AW3" s="5" t="s">
        <v>4</v>
      </c>
      <c r="AX3" s="5" t="s">
        <v>2</v>
      </c>
      <c r="AY3" s="5" t="s">
        <v>25</v>
      </c>
      <c r="AZ3" s="5" t="s">
        <v>3</v>
      </c>
      <c r="BA3" s="5" t="s">
        <v>25</v>
      </c>
      <c r="BB3" s="5" t="s">
        <v>5</v>
      </c>
      <c r="BD3" s="20" t="s">
        <v>4</v>
      </c>
      <c r="BE3" s="20" t="s">
        <v>2</v>
      </c>
      <c r="BF3" s="20" t="s">
        <v>25</v>
      </c>
      <c r="BG3" s="20" t="s">
        <v>3</v>
      </c>
      <c r="BH3" s="20" t="s">
        <v>25</v>
      </c>
      <c r="BI3" s="20" t="s">
        <v>5</v>
      </c>
      <c r="BJ3" s="21"/>
      <c r="BK3" s="5" t="s">
        <v>4</v>
      </c>
      <c r="BL3" s="5" t="s">
        <v>2</v>
      </c>
      <c r="BM3" s="5" t="s">
        <v>25</v>
      </c>
      <c r="BN3" s="5" t="s">
        <v>3</v>
      </c>
      <c r="BO3" s="5" t="s">
        <v>25</v>
      </c>
      <c r="BP3" s="5" t="s">
        <v>5</v>
      </c>
      <c r="BR3" s="5" t="s">
        <v>4</v>
      </c>
      <c r="BS3" s="5" t="s">
        <v>2</v>
      </c>
      <c r="BT3" s="5" t="s">
        <v>25</v>
      </c>
      <c r="BU3" s="5" t="s">
        <v>3</v>
      </c>
      <c r="BV3" s="5" t="s">
        <v>25</v>
      </c>
      <c r="BW3" s="5" t="s">
        <v>5</v>
      </c>
      <c r="BX3" s="18"/>
      <c r="BY3" s="5" t="s">
        <v>4</v>
      </c>
      <c r="BZ3" s="5" t="s">
        <v>2</v>
      </c>
      <c r="CA3" s="5" t="s">
        <v>25</v>
      </c>
      <c r="CB3" s="5" t="s">
        <v>3</v>
      </c>
      <c r="CC3" s="5" t="s">
        <v>25</v>
      </c>
      <c r="CD3" s="5" t="s">
        <v>5</v>
      </c>
      <c r="CF3" s="5" t="s">
        <v>4</v>
      </c>
      <c r="CG3" s="5" t="s">
        <v>2</v>
      </c>
      <c r="CH3" s="5" t="s">
        <v>25</v>
      </c>
      <c r="CI3" s="5" t="s">
        <v>3</v>
      </c>
      <c r="CJ3" s="5" t="s">
        <v>25</v>
      </c>
      <c r="CK3" s="5" t="s">
        <v>5</v>
      </c>
      <c r="CM3" s="5" t="s">
        <v>4</v>
      </c>
      <c r="CN3" s="5" t="s">
        <v>2</v>
      </c>
      <c r="CO3" s="5" t="s">
        <v>25</v>
      </c>
      <c r="CP3" s="5" t="s">
        <v>3</v>
      </c>
      <c r="CQ3" s="5" t="s">
        <v>25</v>
      </c>
      <c r="CR3" s="5" t="s">
        <v>5</v>
      </c>
      <c r="CT3" s="5" t="s">
        <v>4</v>
      </c>
      <c r="CU3" s="5" t="s">
        <v>2</v>
      </c>
      <c r="CV3" s="5" t="s">
        <v>25</v>
      </c>
      <c r="CW3" s="5" t="s">
        <v>3</v>
      </c>
      <c r="CX3" s="5" t="s">
        <v>25</v>
      </c>
      <c r="CY3" s="5" t="s">
        <v>5</v>
      </c>
      <c r="DA3" s="5" t="s">
        <v>4</v>
      </c>
      <c r="DB3" s="5" t="s">
        <v>2</v>
      </c>
      <c r="DC3" s="5" t="s">
        <v>25</v>
      </c>
      <c r="DD3" s="5" t="s">
        <v>3</v>
      </c>
      <c r="DE3" s="5" t="s">
        <v>25</v>
      </c>
      <c r="DF3" s="5" t="s">
        <v>5</v>
      </c>
    </row>
    <row r="4" spans="1:110" x14ac:dyDescent="0.25">
      <c r="A4">
        <v>7</v>
      </c>
      <c r="B4" t="s">
        <v>19</v>
      </c>
      <c r="C4" t="s">
        <v>82</v>
      </c>
      <c r="D4" s="17">
        <v>44663</v>
      </c>
      <c r="E4" s="7">
        <v>5</v>
      </c>
      <c r="G4" s="8">
        <f>+SUM(G5:G12)</f>
        <v>0.39999999999999997</v>
      </c>
      <c r="I4" s="10">
        <f>+SUM(I5:I10)</f>
        <v>0</v>
      </c>
      <c r="J4" s="9">
        <f>+SUMPRODUCT(G5:G10,J5:J10)</f>
        <v>0</v>
      </c>
      <c r="K4" s="9">
        <f>+SUMPRODUCT(G5:G10,K5:K10)</f>
        <v>0</v>
      </c>
      <c r="L4" s="7"/>
      <c r="N4" s="10"/>
      <c r="U4" s="10"/>
      <c r="AB4" s="10"/>
      <c r="AI4" s="10"/>
      <c r="AP4" s="10"/>
      <c r="AW4" s="10"/>
      <c r="BD4" s="10"/>
      <c r="BF4" s="8">
        <v>1</v>
      </c>
      <c r="BH4" s="8">
        <v>1</v>
      </c>
      <c r="BJ4" s="21"/>
      <c r="BK4" s="10"/>
      <c r="BR4" s="10"/>
      <c r="BX4" s="18"/>
      <c r="BY4" s="10"/>
      <c r="CF4" s="10">
        <f>+SUM(CF5:CF10)</f>
        <v>0</v>
      </c>
      <c r="CM4" s="10">
        <f>+SUM(CM5:CM10)</f>
        <v>0</v>
      </c>
      <c r="CT4" s="10">
        <f>+SUM(CT5:CT10)</f>
        <v>0</v>
      </c>
      <c r="DA4" s="10">
        <f>+SUM(DA5:DA10)</f>
        <v>0</v>
      </c>
    </row>
    <row r="5" spans="1:110" outlineLevel="1" x14ac:dyDescent="0.25">
      <c r="B5" t="s">
        <v>20</v>
      </c>
      <c r="C5" t="s">
        <v>83</v>
      </c>
      <c r="D5" t="s">
        <v>100</v>
      </c>
      <c r="E5" s="7"/>
      <c r="F5" t="s">
        <v>22</v>
      </c>
      <c r="G5" s="8">
        <v>0.05</v>
      </c>
      <c r="I5" s="7">
        <f>+SUMIF($N$3:$ZZ$3,I$3,$N5:$ZZ5)</f>
        <v>0</v>
      </c>
      <c r="J5" s="9">
        <f t="array" ref="J5">MAX(IF($N$3:$EH$3=$J$3,N5:EH5))</f>
        <v>0</v>
      </c>
      <c r="K5" s="9">
        <f t="array" ref="K5">MAX(IF($N$3:$EH$3=$J$3,N5:EH5))</f>
        <v>0</v>
      </c>
      <c r="L5" s="7"/>
      <c r="O5" s="8"/>
      <c r="P5" s="8">
        <v>1</v>
      </c>
      <c r="Q5" s="8"/>
      <c r="R5" s="8">
        <v>1</v>
      </c>
      <c r="V5" s="8"/>
      <c r="W5" s="8">
        <v>1</v>
      </c>
      <c r="X5" s="8"/>
      <c r="Y5" s="8">
        <v>1</v>
      </c>
      <c r="AC5" s="8"/>
      <c r="AD5" s="8">
        <v>1</v>
      </c>
      <c r="AE5" s="8"/>
      <c r="AF5" s="8">
        <v>1</v>
      </c>
      <c r="AJ5" s="8"/>
      <c r="AK5" s="8">
        <v>1</v>
      </c>
      <c r="AL5" s="8"/>
      <c r="AM5" s="8">
        <v>1</v>
      </c>
      <c r="AQ5" s="8"/>
      <c r="AR5" s="8">
        <v>1</v>
      </c>
      <c r="AS5" s="8"/>
      <c r="AT5" s="8">
        <v>1</v>
      </c>
      <c r="AX5" s="8"/>
      <c r="AY5" s="8">
        <v>1</v>
      </c>
      <c r="AZ5" s="8"/>
      <c r="BA5" s="8">
        <v>1</v>
      </c>
      <c r="BE5" s="8"/>
      <c r="BF5" s="8">
        <v>1</v>
      </c>
      <c r="BG5" s="8"/>
      <c r="BH5" s="8">
        <v>1</v>
      </c>
      <c r="BJ5" s="21"/>
      <c r="BL5" s="8"/>
      <c r="BM5" s="8"/>
      <c r="BN5" s="8"/>
      <c r="BO5" s="8"/>
      <c r="BS5" s="8"/>
      <c r="BT5" s="8"/>
      <c r="BU5" s="8"/>
      <c r="BV5" s="8"/>
      <c r="BX5" s="18"/>
      <c r="BZ5" s="8"/>
      <c r="CA5" s="8"/>
      <c r="CB5" s="8"/>
      <c r="CC5" s="8"/>
      <c r="CG5" s="8"/>
      <c r="CH5" s="8">
        <v>1</v>
      </c>
      <c r="CI5" s="8"/>
      <c r="CJ5" s="8">
        <v>1</v>
      </c>
      <c r="CN5" s="8"/>
      <c r="CO5" s="8"/>
      <c r="CP5" s="8"/>
      <c r="CQ5" s="8"/>
      <c r="CU5" s="8"/>
      <c r="CV5" s="8"/>
      <c r="CW5" s="8"/>
      <c r="CX5" s="8"/>
      <c r="DB5" s="8"/>
      <c r="DC5" s="8"/>
      <c r="DD5" s="8"/>
      <c r="DE5" s="8"/>
    </row>
    <row r="6" spans="1:110" outlineLevel="1" x14ac:dyDescent="0.25">
      <c r="B6" t="s">
        <v>20</v>
      </c>
      <c r="C6" t="s">
        <v>83</v>
      </c>
      <c r="E6" s="7"/>
      <c r="F6" t="s">
        <v>143</v>
      </c>
      <c r="G6" s="8">
        <v>0.05</v>
      </c>
      <c r="I6" s="7">
        <f t="shared" ref="I6:I10" si="0">+SUMIF($N$3:$ZZ$3,I$3,$N6:$ZZ6)</f>
        <v>0</v>
      </c>
      <c r="J6" s="9">
        <f t="array" ref="J6">MAX(IF($N$3:$EH$3=$J$3,N6:EH6))</f>
        <v>0</v>
      </c>
      <c r="K6" s="9">
        <f t="array" ref="K6">MAX(IF($N$3:$EH$3=$J$3,N6:EH6))</f>
        <v>0</v>
      </c>
      <c r="L6" s="7"/>
      <c r="O6" s="8"/>
      <c r="P6" s="8">
        <v>1</v>
      </c>
      <c r="Q6" s="8"/>
      <c r="R6" s="8">
        <v>1</v>
      </c>
      <c r="V6" s="8"/>
      <c r="W6" s="8">
        <v>1</v>
      </c>
      <c r="X6" s="8"/>
      <c r="Y6" s="8">
        <v>1</v>
      </c>
      <c r="AC6" s="8"/>
      <c r="AD6" s="8">
        <v>1</v>
      </c>
      <c r="AE6" s="8"/>
      <c r="AF6" s="8">
        <v>1</v>
      </c>
      <c r="AJ6" s="8"/>
      <c r="AK6" s="8">
        <v>1</v>
      </c>
      <c r="AL6" s="8"/>
      <c r="AM6" s="8">
        <v>1</v>
      </c>
      <c r="AQ6" s="8"/>
      <c r="AR6" s="8">
        <v>1</v>
      </c>
      <c r="AS6" s="8"/>
      <c r="AT6" s="8">
        <v>1</v>
      </c>
      <c r="AX6" s="8"/>
      <c r="AY6" s="8">
        <v>1</v>
      </c>
      <c r="AZ6" s="8"/>
      <c r="BA6" s="8">
        <v>1</v>
      </c>
      <c r="BE6" s="8"/>
      <c r="BF6" s="8">
        <v>1</v>
      </c>
      <c r="BG6" s="8"/>
      <c r="BH6" s="8">
        <v>1</v>
      </c>
      <c r="BJ6" s="21"/>
      <c r="BL6" s="8"/>
      <c r="BM6" s="8"/>
      <c r="BN6" s="8"/>
      <c r="BO6" s="8"/>
      <c r="BS6" s="8"/>
      <c r="BT6" s="8"/>
      <c r="BU6" s="8"/>
      <c r="BV6" s="8"/>
      <c r="BX6" s="18"/>
      <c r="BZ6" s="8"/>
      <c r="CA6" s="8"/>
      <c r="CB6" s="8"/>
      <c r="CC6" s="8"/>
      <c r="CG6" s="8"/>
      <c r="CH6" s="8">
        <v>1</v>
      </c>
      <c r="CI6" s="8"/>
      <c r="CJ6" s="8">
        <v>1</v>
      </c>
      <c r="CN6" s="8"/>
      <c r="CO6" s="8"/>
      <c r="CP6" s="8"/>
      <c r="CQ6" s="8"/>
      <c r="CU6" s="8"/>
      <c r="CV6" s="8"/>
      <c r="CW6" s="8"/>
      <c r="CX6" s="8"/>
      <c r="DB6" s="8"/>
      <c r="DC6" s="8"/>
      <c r="DD6" s="8"/>
      <c r="DE6" s="8"/>
    </row>
    <row r="7" spans="1:110" outlineLevel="1" x14ac:dyDescent="0.25">
      <c r="B7" t="s">
        <v>20</v>
      </c>
      <c r="C7" t="s">
        <v>83</v>
      </c>
      <c r="E7" s="7"/>
      <c r="F7" t="s">
        <v>144</v>
      </c>
      <c r="G7" s="8">
        <v>0.05</v>
      </c>
      <c r="I7" s="7">
        <f t="shared" si="0"/>
        <v>0</v>
      </c>
      <c r="J7" s="9">
        <f t="array" ref="J7">MAX(IF($N$3:$EH$3=$J$3,N7:EH7))</f>
        <v>0</v>
      </c>
      <c r="K7" s="9">
        <f t="array" ref="K7">MAX(IF($N$3:$EH$3=$J$3,N7:EH7))</f>
        <v>0</v>
      </c>
      <c r="L7" s="7"/>
      <c r="O7" s="8"/>
      <c r="P7" s="8">
        <v>0.8</v>
      </c>
      <c r="Q7" s="8"/>
      <c r="R7" s="8">
        <v>0.8</v>
      </c>
      <c r="V7" s="8"/>
      <c r="W7" s="8">
        <v>0.8</v>
      </c>
      <c r="X7" s="8"/>
      <c r="Y7" s="8">
        <v>0.8</v>
      </c>
      <c r="AC7" s="8"/>
      <c r="AD7" s="8">
        <v>0.8</v>
      </c>
      <c r="AE7" s="8"/>
      <c r="AF7" s="8">
        <v>0.8</v>
      </c>
      <c r="AJ7" s="8"/>
      <c r="AK7" s="8">
        <v>0.8</v>
      </c>
      <c r="AL7" s="8"/>
      <c r="AM7" s="8">
        <v>0.8</v>
      </c>
      <c r="AQ7" s="8"/>
      <c r="AR7" s="8">
        <v>0.8</v>
      </c>
      <c r="AS7" s="8"/>
      <c r="AT7" s="8">
        <v>0.8</v>
      </c>
      <c r="AX7" s="8"/>
      <c r="AY7" s="8">
        <v>1</v>
      </c>
      <c r="AZ7" s="8"/>
      <c r="BA7" s="8">
        <v>1</v>
      </c>
      <c r="BE7" s="8"/>
      <c r="BF7" s="8">
        <v>1</v>
      </c>
      <c r="BG7" s="8"/>
      <c r="BH7" s="8">
        <v>1</v>
      </c>
      <c r="BJ7" s="21"/>
      <c r="BL7" s="8"/>
      <c r="BM7" s="8"/>
      <c r="BN7" s="8"/>
      <c r="BO7" s="8"/>
      <c r="BS7" s="8"/>
      <c r="BT7" s="8"/>
      <c r="BU7" s="8"/>
      <c r="BV7" s="8"/>
      <c r="BX7" s="18"/>
      <c r="BZ7" s="8"/>
      <c r="CA7" s="8"/>
      <c r="CB7" s="8"/>
      <c r="CC7" s="8"/>
      <c r="CG7" s="8"/>
      <c r="CH7" s="8">
        <v>1</v>
      </c>
      <c r="CI7" s="8"/>
      <c r="CJ7" s="8">
        <v>1</v>
      </c>
      <c r="CN7" s="8"/>
      <c r="CO7" s="8"/>
      <c r="CP7" s="8"/>
      <c r="CQ7" s="8"/>
      <c r="CU7" s="8"/>
      <c r="CV7" s="8"/>
      <c r="CW7" s="8"/>
      <c r="CX7" s="8"/>
      <c r="DB7" s="8"/>
      <c r="DC7" s="8"/>
      <c r="DD7" s="8"/>
      <c r="DE7" s="8"/>
    </row>
    <row r="8" spans="1:110" outlineLevel="1" x14ac:dyDescent="0.25">
      <c r="B8" t="s">
        <v>20</v>
      </c>
      <c r="C8" t="s">
        <v>83</v>
      </c>
      <c r="E8" s="7"/>
      <c r="F8" t="s">
        <v>145</v>
      </c>
      <c r="G8" s="8">
        <v>0.05</v>
      </c>
      <c r="I8" s="7">
        <f t="shared" si="0"/>
        <v>0</v>
      </c>
      <c r="J8" s="9">
        <f t="array" ref="J8">MAX(IF($N$3:$EH$3=$J$3,N8:EH8))</f>
        <v>0</v>
      </c>
      <c r="K8" s="9">
        <f t="array" ref="K8">MAX(IF($N$3:$EH$3=$J$3,N8:EH8))</f>
        <v>0</v>
      </c>
      <c r="L8" s="7"/>
      <c r="O8" s="8"/>
      <c r="P8" s="8">
        <v>0.5</v>
      </c>
      <c r="Q8" s="8"/>
      <c r="R8" s="8">
        <v>0.5</v>
      </c>
      <c r="V8" s="8"/>
      <c r="W8" s="8">
        <v>0.8</v>
      </c>
      <c r="X8" s="8"/>
      <c r="Y8" s="8">
        <v>0.8</v>
      </c>
      <c r="AC8" s="8"/>
      <c r="AD8" s="8">
        <v>0.8</v>
      </c>
      <c r="AE8" s="8"/>
      <c r="AF8" s="8">
        <v>0.8</v>
      </c>
      <c r="AJ8" s="8"/>
      <c r="AK8" s="8">
        <v>0.8</v>
      </c>
      <c r="AL8" s="8"/>
      <c r="AM8" s="8">
        <v>0.8</v>
      </c>
      <c r="AQ8" s="8"/>
      <c r="AR8" s="8">
        <v>0.8</v>
      </c>
      <c r="AS8" s="8"/>
      <c r="AT8" s="8">
        <v>0.8</v>
      </c>
      <c r="AX8" s="8"/>
      <c r="AY8" s="8">
        <v>1</v>
      </c>
      <c r="AZ8" s="8"/>
      <c r="BA8" s="8">
        <v>1</v>
      </c>
      <c r="BE8" s="8"/>
      <c r="BF8" s="8">
        <v>1</v>
      </c>
      <c r="BG8" s="8"/>
      <c r="BH8" s="8">
        <v>1</v>
      </c>
      <c r="BJ8" s="21"/>
      <c r="BL8" s="8"/>
      <c r="BM8" s="8"/>
      <c r="BN8" s="8"/>
      <c r="BO8" s="8"/>
      <c r="BS8" s="8"/>
      <c r="BT8" s="8"/>
      <c r="BU8" s="8"/>
      <c r="BV8" s="8"/>
      <c r="BX8" s="18"/>
      <c r="BZ8" s="8"/>
      <c r="CA8" s="8"/>
      <c r="CB8" s="8"/>
      <c r="CC8" s="8"/>
      <c r="CG8" s="8"/>
      <c r="CH8" s="8">
        <v>1</v>
      </c>
      <c r="CI8" s="8"/>
      <c r="CJ8" s="8">
        <v>1</v>
      </c>
      <c r="CN8" s="8"/>
      <c r="CO8" s="8"/>
      <c r="CP8" s="8"/>
      <c r="CQ8" s="8"/>
      <c r="CU8" s="8"/>
      <c r="CV8" s="8"/>
      <c r="CW8" s="8"/>
      <c r="CX8" s="8"/>
      <c r="DB8" s="8"/>
      <c r="DC8" s="8"/>
      <c r="DD8" s="8"/>
      <c r="DE8" s="8"/>
    </row>
    <row r="9" spans="1:110" outlineLevel="1" x14ac:dyDescent="0.25">
      <c r="B9" t="s">
        <v>20</v>
      </c>
      <c r="C9" t="s">
        <v>83</v>
      </c>
      <c r="E9" s="7"/>
      <c r="F9" t="s">
        <v>146</v>
      </c>
      <c r="G9" s="8">
        <v>0.05</v>
      </c>
      <c r="I9" s="7">
        <f t="shared" si="0"/>
        <v>0</v>
      </c>
      <c r="J9" s="9">
        <f t="array" ref="J9">MAX(IF($N$3:$EH$3=$J$3,N9:EH9))</f>
        <v>0</v>
      </c>
      <c r="K9" s="9">
        <f t="array" ref="K9">MAX(IF($N$3:$EH$3=$J$3,N9:EH9))</f>
        <v>0</v>
      </c>
      <c r="L9" s="7"/>
      <c r="O9" s="8"/>
      <c r="P9" s="8">
        <v>0.5</v>
      </c>
      <c r="Q9" s="8"/>
      <c r="R9" s="8">
        <v>0.5</v>
      </c>
      <c r="V9" s="8"/>
      <c r="W9" s="8">
        <v>0.8</v>
      </c>
      <c r="X9" s="8"/>
      <c r="Y9" s="8">
        <v>0.8</v>
      </c>
      <c r="AC9" s="8"/>
      <c r="AD9" s="8">
        <v>0.8</v>
      </c>
      <c r="AE9" s="8"/>
      <c r="AF9" s="8">
        <v>0.8</v>
      </c>
      <c r="AJ9" s="8"/>
      <c r="AK9" s="8">
        <v>0.8</v>
      </c>
      <c r="AL9" s="8"/>
      <c r="AM9" s="8">
        <v>0.8</v>
      </c>
      <c r="AQ9" s="8"/>
      <c r="AR9" s="8">
        <v>0.8</v>
      </c>
      <c r="AS9" s="8"/>
      <c r="AT9" s="8">
        <v>0.8</v>
      </c>
      <c r="AX9" s="8"/>
      <c r="AY9" s="8">
        <v>1</v>
      </c>
      <c r="AZ9" s="8"/>
      <c r="BA9" s="8">
        <v>1</v>
      </c>
      <c r="BE9" s="8"/>
      <c r="BF9" s="8">
        <v>1</v>
      </c>
      <c r="BG9" s="8"/>
      <c r="BH9" s="8">
        <v>1</v>
      </c>
      <c r="BJ9" s="21"/>
      <c r="BL9" s="8"/>
      <c r="BM9" s="8"/>
      <c r="BN9" s="8"/>
      <c r="BO9" s="8"/>
      <c r="BS9" s="8"/>
      <c r="BT9" s="8"/>
      <c r="BU9" s="8"/>
      <c r="BV9" s="8"/>
      <c r="BX9" s="18"/>
      <c r="BZ9" s="8"/>
      <c r="CA9" s="8"/>
      <c r="CB9" s="8"/>
      <c r="CC9" s="8"/>
      <c r="CG9" s="8"/>
      <c r="CH9" s="8">
        <v>1</v>
      </c>
      <c r="CI9" s="8"/>
      <c r="CJ9" s="8">
        <v>1</v>
      </c>
      <c r="CN9" s="8"/>
      <c r="CO9" s="8"/>
      <c r="CP9" s="8"/>
      <c r="CQ9" s="8"/>
      <c r="CU9" s="8"/>
      <c r="CV9" s="8"/>
      <c r="CW9" s="8"/>
      <c r="CX9" s="8"/>
      <c r="DB9" s="8"/>
      <c r="DC9" s="8"/>
      <c r="DD9" s="8"/>
      <c r="DE9" s="8"/>
    </row>
    <row r="10" spans="1:110" outlineLevel="1" x14ac:dyDescent="0.25">
      <c r="B10" t="s">
        <v>20</v>
      </c>
      <c r="C10" t="s">
        <v>83</v>
      </c>
      <c r="E10" s="7"/>
      <c r="F10" t="s">
        <v>147</v>
      </c>
      <c r="G10" s="8">
        <v>0.05</v>
      </c>
      <c r="I10" s="7">
        <f t="shared" si="0"/>
        <v>0</v>
      </c>
      <c r="J10" s="9">
        <f t="array" ref="J10">MAX(IF($N$3:$EH$3=$J$3,N10:EH10))</f>
        <v>0</v>
      </c>
      <c r="K10" s="9">
        <f t="array" ref="K10">MAX(IF($N$3:$EH$3=$J$3,N10:EH10))</f>
        <v>0</v>
      </c>
      <c r="L10" s="7"/>
      <c r="O10" s="8"/>
      <c r="P10" s="8">
        <v>0.3</v>
      </c>
      <c r="Q10" s="8"/>
      <c r="R10" s="8">
        <v>0.3</v>
      </c>
      <c r="V10" s="8"/>
      <c r="W10" s="8">
        <v>0.8</v>
      </c>
      <c r="X10" s="8"/>
      <c r="Y10" s="8">
        <v>0.8</v>
      </c>
      <c r="AC10" s="8"/>
      <c r="AD10" s="8">
        <v>0.8</v>
      </c>
      <c r="AE10" s="8"/>
      <c r="AF10" s="8">
        <v>0.8</v>
      </c>
      <c r="AJ10" s="8"/>
      <c r="AK10" s="8">
        <v>0.8</v>
      </c>
      <c r="AL10" s="8"/>
      <c r="AM10" s="8">
        <v>0.8</v>
      </c>
      <c r="AQ10" s="8"/>
      <c r="AR10" s="8">
        <v>0.8</v>
      </c>
      <c r="AS10" s="8"/>
      <c r="AT10" s="8">
        <v>0.8</v>
      </c>
      <c r="AX10" s="8"/>
      <c r="AY10" s="8">
        <v>1</v>
      </c>
      <c r="AZ10" s="8"/>
      <c r="BA10" s="8">
        <v>1</v>
      </c>
      <c r="BE10" s="8"/>
      <c r="BF10" s="8">
        <v>1</v>
      </c>
      <c r="BG10" s="8"/>
      <c r="BH10" s="8">
        <v>1</v>
      </c>
      <c r="BJ10" s="21"/>
      <c r="BL10" s="8"/>
      <c r="BM10" s="8"/>
      <c r="BN10" s="8"/>
      <c r="BO10" s="8"/>
      <c r="BS10" s="8"/>
      <c r="BT10" s="8"/>
      <c r="BU10" s="8"/>
      <c r="BV10" s="8"/>
      <c r="BX10" s="18"/>
      <c r="BZ10" s="8"/>
      <c r="CA10" s="8"/>
      <c r="CB10" s="8"/>
      <c r="CC10" s="8"/>
      <c r="CG10" s="8"/>
      <c r="CH10" s="8">
        <v>1</v>
      </c>
      <c r="CI10" s="8"/>
      <c r="CJ10" s="8">
        <v>1</v>
      </c>
      <c r="CN10" s="8"/>
      <c r="CO10" s="8"/>
      <c r="CP10" s="8"/>
      <c r="CQ10" s="8"/>
      <c r="CU10" s="8"/>
      <c r="CV10" s="8"/>
      <c r="CW10" s="8"/>
      <c r="CX10" s="8"/>
      <c r="DB10" s="8"/>
      <c r="DC10" s="8"/>
      <c r="DD10" s="8"/>
      <c r="DE10" s="8"/>
    </row>
    <row r="11" spans="1:110" outlineLevel="1" x14ac:dyDescent="0.25">
      <c r="B11" t="s">
        <v>20</v>
      </c>
      <c r="C11" t="s">
        <v>83</v>
      </c>
      <c r="E11" s="7"/>
      <c r="F11" t="s">
        <v>148</v>
      </c>
      <c r="G11" s="8">
        <v>0.05</v>
      </c>
      <c r="I11" s="10">
        <f>+SUM(I12:I17)</f>
        <v>0</v>
      </c>
      <c r="J11" s="9">
        <f>+SUMPRODUCT(G12:G17,J12:J17)</f>
        <v>0</v>
      </c>
      <c r="K11" s="9">
        <f>+SUMPRODUCT(G12:G17,K12:K17)</f>
        <v>0</v>
      </c>
      <c r="L11" s="7"/>
      <c r="O11" s="8"/>
      <c r="P11" s="8">
        <v>0.1</v>
      </c>
      <c r="Q11" s="8"/>
      <c r="R11" s="8">
        <v>0.1</v>
      </c>
      <c r="V11" s="8"/>
      <c r="W11" s="8">
        <v>0.5</v>
      </c>
      <c r="X11" s="8"/>
      <c r="Y11" s="8">
        <v>0.5</v>
      </c>
      <c r="AC11" s="8"/>
      <c r="AD11" s="8">
        <v>0.8</v>
      </c>
      <c r="AE11" s="8"/>
      <c r="AF11" s="8">
        <v>0.8</v>
      </c>
      <c r="AJ11" s="8"/>
      <c r="AK11" s="8">
        <v>0.8</v>
      </c>
      <c r="AL11" s="8"/>
      <c r="AM11" s="8">
        <v>0.8</v>
      </c>
      <c r="AQ11" s="8"/>
      <c r="AR11" s="8">
        <v>0.8</v>
      </c>
      <c r="AS11" s="8"/>
      <c r="AT11" s="8">
        <v>0.8</v>
      </c>
      <c r="AX11" s="8"/>
      <c r="AY11" s="8">
        <v>1</v>
      </c>
      <c r="AZ11" s="8"/>
      <c r="BA11" s="8">
        <v>1</v>
      </c>
      <c r="BE11" s="8"/>
      <c r="BF11" s="8">
        <v>1</v>
      </c>
      <c r="BG11" s="8"/>
      <c r="BH11" s="8">
        <v>1</v>
      </c>
      <c r="BJ11" s="21"/>
      <c r="BL11" s="8"/>
      <c r="BM11" s="8"/>
      <c r="BN11" s="8"/>
      <c r="BO11" s="8"/>
      <c r="BS11" s="8"/>
      <c r="BT11" s="8"/>
      <c r="BU11" s="8"/>
      <c r="BV11" s="8"/>
      <c r="BX11" s="18"/>
      <c r="BZ11" s="8"/>
      <c r="CA11" s="8"/>
      <c r="CB11" s="8"/>
      <c r="CC11" s="8"/>
      <c r="CG11" s="8"/>
      <c r="CH11" s="8"/>
      <c r="CI11" s="8"/>
      <c r="CJ11" s="8"/>
      <c r="CN11" s="8"/>
      <c r="CO11" s="8"/>
      <c r="CP11" s="8"/>
      <c r="CQ11" s="8"/>
      <c r="CU11" s="8"/>
      <c r="CV11" s="8"/>
      <c r="CW11" s="8"/>
      <c r="CX11" s="8"/>
      <c r="DB11" s="8"/>
      <c r="DC11" s="8"/>
      <c r="DD11" s="8"/>
      <c r="DE11" s="8"/>
    </row>
    <row r="12" spans="1:110" outlineLevel="1" x14ac:dyDescent="0.25">
      <c r="B12" t="s">
        <v>20</v>
      </c>
      <c r="C12" t="s">
        <v>83</v>
      </c>
      <c r="E12" s="7"/>
      <c r="F12" t="s">
        <v>149</v>
      </c>
      <c r="G12" s="8">
        <v>0.05</v>
      </c>
      <c r="I12" s="7">
        <f>+SUMIF($N$3:$ZZ$3,I$3,$N12:$ZZ12)</f>
        <v>0</v>
      </c>
      <c r="J12" s="9">
        <f t="array" ref="J12">MAX(IF($N$3:$EH$3=$J$3,N12:EH12))</f>
        <v>0</v>
      </c>
      <c r="K12" s="9">
        <f t="array" ref="K12">MAX(IF($N$3:$EH$3=$J$3,N12:EH12))</f>
        <v>0</v>
      </c>
      <c r="L12" s="7"/>
      <c r="O12" s="8"/>
      <c r="P12" s="8">
        <v>0.1</v>
      </c>
      <c r="Q12" s="8"/>
      <c r="R12" s="8">
        <v>0.1</v>
      </c>
      <c r="V12" s="8"/>
      <c r="W12" s="8">
        <v>0.3</v>
      </c>
      <c r="X12" s="8"/>
      <c r="Y12" s="8">
        <v>0.3</v>
      </c>
      <c r="AC12" s="8"/>
      <c r="AD12" s="8">
        <v>0.8</v>
      </c>
      <c r="AE12" s="8"/>
      <c r="AF12" s="8">
        <v>0.8</v>
      </c>
      <c r="AJ12" s="8"/>
      <c r="AK12" s="8">
        <v>0.8</v>
      </c>
      <c r="AL12" s="8"/>
      <c r="AM12" s="8">
        <v>0.8</v>
      </c>
      <c r="AQ12" s="8"/>
      <c r="AR12" s="8">
        <v>0.8</v>
      </c>
      <c r="AS12" s="8"/>
      <c r="AT12" s="8">
        <v>0.8</v>
      </c>
      <c r="AX12" s="8"/>
      <c r="AY12" s="8">
        <v>1</v>
      </c>
      <c r="AZ12" s="8"/>
      <c r="BA12" s="8">
        <v>1</v>
      </c>
      <c r="BE12" s="8"/>
      <c r="BF12" s="8">
        <v>1</v>
      </c>
      <c r="BG12" s="8"/>
      <c r="BH12" s="8">
        <v>1</v>
      </c>
      <c r="BJ12" s="21"/>
      <c r="BL12" s="8"/>
      <c r="BM12" s="8"/>
      <c r="BN12" s="8"/>
      <c r="BO12" s="8"/>
      <c r="BS12" s="8"/>
      <c r="BT12" s="8"/>
      <c r="BU12" s="8"/>
      <c r="BV12" s="8"/>
      <c r="BX12" s="18"/>
      <c r="BZ12" s="8"/>
      <c r="CA12" s="8"/>
      <c r="CB12" s="8"/>
      <c r="CC12" s="8"/>
      <c r="CG12" s="8"/>
      <c r="CH12" s="8"/>
      <c r="CI12" s="8"/>
      <c r="CJ12" s="8"/>
      <c r="CN12" s="8"/>
      <c r="CO12" s="8"/>
      <c r="CP12" s="8"/>
      <c r="CQ12" s="8"/>
      <c r="CU12" s="8"/>
      <c r="CV12" s="8"/>
      <c r="CW12" s="8"/>
      <c r="CX12" s="8"/>
      <c r="DB12" s="8"/>
      <c r="DC12" s="8"/>
      <c r="DD12" s="8"/>
      <c r="DE12" s="8"/>
    </row>
    <row r="13" spans="1:110" outlineLevel="1" x14ac:dyDescent="0.25">
      <c r="E13" s="7"/>
      <c r="G13" s="8"/>
      <c r="I13" s="7"/>
      <c r="J13" s="9"/>
      <c r="K13" s="9"/>
      <c r="L13" s="7"/>
      <c r="O13" s="8"/>
      <c r="P13" s="8"/>
      <c r="Q13" s="8"/>
      <c r="R13" s="8"/>
      <c r="V13" s="8"/>
      <c r="W13" s="8"/>
      <c r="X13" s="8"/>
      <c r="Y13" s="8"/>
      <c r="AC13" s="8"/>
      <c r="AD13" s="8"/>
      <c r="AE13" s="8"/>
      <c r="AF13" s="8"/>
      <c r="AJ13" s="8"/>
      <c r="AK13" s="8"/>
      <c r="AL13" s="8"/>
      <c r="AM13" s="8"/>
      <c r="AQ13" s="8"/>
      <c r="AR13" s="8"/>
      <c r="AS13" s="8"/>
      <c r="AT13" s="8"/>
      <c r="AX13" s="8"/>
      <c r="AY13" s="8"/>
      <c r="AZ13" s="8"/>
      <c r="BA13" s="8"/>
      <c r="BE13" s="8"/>
      <c r="BF13" s="8"/>
      <c r="BG13" s="8"/>
      <c r="BH13" s="8"/>
      <c r="BJ13" s="21"/>
      <c r="BL13" s="8"/>
      <c r="BM13" s="8"/>
      <c r="BN13" s="8"/>
      <c r="BO13" s="8"/>
      <c r="BS13" s="8"/>
      <c r="BT13" s="8"/>
      <c r="BU13" s="8"/>
      <c r="BV13" s="8"/>
      <c r="BX13" s="18"/>
      <c r="BZ13" s="8"/>
      <c r="CA13" s="8"/>
      <c r="CB13" s="8"/>
      <c r="CC13" s="8"/>
      <c r="CG13" s="8"/>
      <c r="CH13" s="8"/>
      <c r="CI13" s="8"/>
      <c r="CJ13" s="8"/>
      <c r="CN13" s="8"/>
      <c r="CO13" s="8"/>
      <c r="CP13" s="8"/>
      <c r="CQ13" s="8"/>
      <c r="CU13" s="8"/>
      <c r="CV13" s="8"/>
      <c r="CW13" s="8"/>
      <c r="CX13" s="8"/>
      <c r="DB13" s="8"/>
      <c r="DC13" s="8"/>
      <c r="DD13" s="8"/>
      <c r="DE13" s="8"/>
    </row>
    <row r="14" spans="1:110" outlineLevel="1" x14ac:dyDescent="0.25">
      <c r="B14" s="19"/>
      <c r="C14" s="19"/>
      <c r="D14" s="19" t="s">
        <v>101</v>
      </c>
      <c r="E14" s="7"/>
      <c r="F14" t="s">
        <v>150</v>
      </c>
      <c r="G14" s="8"/>
      <c r="I14" s="7"/>
      <c r="J14" s="9"/>
      <c r="K14" s="9"/>
      <c r="L14" s="7"/>
      <c r="O14" s="8"/>
      <c r="P14" s="8">
        <v>0.1</v>
      </c>
      <c r="Q14" s="8"/>
      <c r="R14" s="8">
        <v>0.1</v>
      </c>
      <c r="V14" s="8"/>
      <c r="W14" s="8">
        <v>0.1</v>
      </c>
      <c r="X14" s="8"/>
      <c r="Y14" s="8">
        <v>0.1</v>
      </c>
      <c r="AC14" s="8"/>
      <c r="AD14" s="8">
        <v>0.8</v>
      </c>
      <c r="AE14" s="8"/>
      <c r="AF14" s="8">
        <v>0.8</v>
      </c>
      <c r="AJ14" s="8"/>
      <c r="AK14" s="8">
        <v>0.8</v>
      </c>
      <c r="AL14" s="8"/>
      <c r="AM14" s="8">
        <v>0.8</v>
      </c>
      <c r="AQ14" s="8"/>
      <c r="AR14" s="8">
        <v>0.8</v>
      </c>
      <c r="AS14" s="8"/>
      <c r="AT14" s="8">
        <v>0.8</v>
      </c>
      <c r="AX14" s="8"/>
      <c r="AY14" s="8">
        <v>0.8</v>
      </c>
      <c r="AZ14" s="8"/>
      <c r="BA14" s="8">
        <v>0.8</v>
      </c>
      <c r="BE14" s="8"/>
      <c r="BF14" s="8">
        <v>1</v>
      </c>
      <c r="BG14" s="8"/>
      <c r="BH14" s="8">
        <v>1</v>
      </c>
      <c r="BJ14" s="21"/>
      <c r="BL14" s="8"/>
      <c r="BM14" s="8"/>
      <c r="BN14" s="8"/>
      <c r="BO14" s="8"/>
      <c r="BS14" s="8"/>
      <c r="BT14" s="8"/>
      <c r="BU14" s="8"/>
      <c r="BV14" s="8"/>
      <c r="BX14" s="18"/>
      <c r="BZ14" s="8"/>
      <c r="CA14" s="8"/>
      <c r="CB14" s="8"/>
      <c r="CC14" s="8"/>
      <c r="CG14" s="8"/>
      <c r="CH14" s="8"/>
      <c r="CI14" s="8"/>
      <c r="CJ14" s="8"/>
      <c r="CN14" s="8"/>
      <c r="CO14" s="8"/>
      <c r="CP14" s="8"/>
      <c r="CQ14" s="8"/>
      <c r="CU14" s="8"/>
      <c r="CV14" s="8"/>
      <c r="CW14" s="8"/>
      <c r="CX14" s="8"/>
      <c r="DB14" s="8"/>
      <c r="DC14" s="8"/>
      <c r="DD14" s="8"/>
      <c r="DE14" s="8"/>
    </row>
    <row r="15" spans="1:110" outlineLevel="1" x14ac:dyDescent="0.25">
      <c r="B15" s="19"/>
      <c r="C15" s="19"/>
      <c r="D15" s="19"/>
      <c r="E15" s="7"/>
      <c r="F15" t="s">
        <v>151</v>
      </c>
      <c r="G15" s="8"/>
      <c r="I15" s="7"/>
      <c r="J15" s="9"/>
      <c r="K15" s="9"/>
      <c r="L15" s="7"/>
      <c r="O15" s="8"/>
      <c r="P15" s="8">
        <v>0.1</v>
      </c>
      <c r="Q15" s="8"/>
      <c r="R15" s="8">
        <v>0.1</v>
      </c>
      <c r="V15" s="8"/>
      <c r="W15" s="8">
        <v>0.1</v>
      </c>
      <c r="X15" s="8"/>
      <c r="Y15" s="8">
        <v>0.1</v>
      </c>
      <c r="AC15" s="8"/>
      <c r="AD15" s="8">
        <v>0.3</v>
      </c>
      <c r="AE15" s="8"/>
      <c r="AF15" s="8">
        <v>0.3</v>
      </c>
      <c r="AJ15" s="8"/>
      <c r="AK15" s="8">
        <v>0.5</v>
      </c>
      <c r="AL15" s="8"/>
      <c r="AM15" s="8">
        <v>0.5</v>
      </c>
      <c r="AQ15" s="8"/>
      <c r="AR15" s="8">
        <v>0.8</v>
      </c>
      <c r="AS15" s="8"/>
      <c r="AT15" s="8">
        <v>0.8</v>
      </c>
      <c r="AX15" s="8"/>
      <c r="AY15" s="8">
        <v>0.8</v>
      </c>
      <c r="AZ15" s="8"/>
      <c r="BA15" s="8">
        <v>0.8</v>
      </c>
      <c r="BE15" s="8"/>
      <c r="BF15" s="8">
        <v>1</v>
      </c>
      <c r="BG15" s="8"/>
      <c r="BH15" s="8">
        <v>1</v>
      </c>
      <c r="BJ15" s="21"/>
      <c r="BL15" s="8"/>
      <c r="BM15" s="8"/>
      <c r="BN15" s="8"/>
      <c r="BO15" s="8"/>
      <c r="BS15" s="8"/>
      <c r="BT15" s="8"/>
      <c r="BU15" s="8"/>
      <c r="BV15" s="8"/>
      <c r="BX15" s="18"/>
      <c r="BZ15" s="8"/>
      <c r="CA15" s="8"/>
      <c r="CB15" s="8"/>
      <c r="CC15" s="8"/>
      <c r="CG15" s="8"/>
      <c r="CH15" s="8"/>
      <c r="CI15" s="8"/>
      <c r="CJ15" s="8"/>
      <c r="CN15" s="8"/>
      <c r="CO15" s="8"/>
      <c r="CP15" s="8"/>
      <c r="CQ15" s="8"/>
      <c r="CU15" s="8"/>
      <c r="CV15" s="8"/>
      <c r="CW15" s="8"/>
      <c r="CX15" s="8"/>
      <c r="DB15" s="8"/>
      <c r="DC15" s="8"/>
      <c r="DD15" s="8"/>
      <c r="DE15" s="8"/>
    </row>
    <row r="16" spans="1:110" outlineLevel="1" x14ac:dyDescent="0.25">
      <c r="B16" s="19"/>
      <c r="C16" s="19"/>
      <c r="D16" s="19"/>
      <c r="E16" s="7"/>
      <c r="F16" t="s">
        <v>121</v>
      </c>
      <c r="G16" s="8"/>
      <c r="I16" s="7"/>
      <c r="J16" s="9"/>
      <c r="K16" s="9"/>
      <c r="L16" s="7"/>
      <c r="O16" s="8"/>
      <c r="P16" s="8">
        <v>0.1</v>
      </c>
      <c r="Q16" s="8"/>
      <c r="R16" s="8">
        <v>0.1</v>
      </c>
      <c r="V16" s="8"/>
      <c r="W16" s="8">
        <v>0.1</v>
      </c>
      <c r="X16" s="8"/>
      <c r="Y16" s="8">
        <v>0.1</v>
      </c>
      <c r="AC16" s="8"/>
      <c r="AD16" s="8">
        <v>0.1</v>
      </c>
      <c r="AE16" s="8"/>
      <c r="AF16" s="8">
        <v>0.1</v>
      </c>
      <c r="AJ16" s="8"/>
      <c r="AK16" s="8">
        <v>0.5</v>
      </c>
      <c r="AL16" s="8"/>
      <c r="AM16" s="8">
        <v>0.5</v>
      </c>
      <c r="AQ16" s="8"/>
      <c r="AR16" s="8">
        <v>0.8</v>
      </c>
      <c r="AS16" s="8"/>
      <c r="AT16" s="8">
        <v>0.8</v>
      </c>
      <c r="AX16" s="8"/>
      <c r="AY16" s="8">
        <v>0.8</v>
      </c>
      <c r="AZ16" s="8"/>
      <c r="BA16" s="8">
        <v>0.8</v>
      </c>
      <c r="BE16" s="8"/>
      <c r="BF16" s="8">
        <v>1</v>
      </c>
      <c r="BG16" s="8"/>
      <c r="BH16" s="8">
        <v>1</v>
      </c>
      <c r="BJ16" s="21"/>
      <c r="BL16" s="8"/>
      <c r="BM16" s="8"/>
      <c r="BN16" s="8"/>
      <c r="BO16" s="8"/>
      <c r="BS16" s="8"/>
      <c r="BT16" s="8"/>
      <c r="BU16" s="8"/>
      <c r="BV16" s="8"/>
      <c r="BX16" s="18"/>
      <c r="BZ16" s="8"/>
      <c r="CA16" s="8"/>
      <c r="CB16" s="8"/>
      <c r="CC16" s="8"/>
      <c r="CG16" s="8"/>
      <c r="CH16" s="8"/>
      <c r="CI16" s="8"/>
      <c r="CJ16" s="8"/>
      <c r="CN16" s="8"/>
      <c r="CO16" s="8"/>
      <c r="CP16" s="8"/>
      <c r="CQ16" s="8"/>
      <c r="CU16" s="8"/>
      <c r="CV16" s="8"/>
      <c r="CW16" s="8"/>
      <c r="CX16" s="8"/>
      <c r="DB16" s="8"/>
      <c r="DC16" s="8"/>
      <c r="DD16" s="8"/>
      <c r="DE16" s="8"/>
    </row>
    <row r="17" spans="1:109" outlineLevel="1" x14ac:dyDescent="0.25">
      <c r="B17" s="19"/>
      <c r="C17" s="19"/>
      <c r="D17" s="19"/>
      <c r="E17" s="7"/>
      <c r="F17" t="s">
        <v>122</v>
      </c>
      <c r="G17" s="8"/>
      <c r="I17" s="7"/>
      <c r="J17" s="9"/>
      <c r="K17" s="9"/>
      <c r="L17" s="7"/>
      <c r="O17" s="8"/>
      <c r="P17" s="8">
        <v>0.1</v>
      </c>
      <c r="Q17" s="8"/>
      <c r="R17" s="8">
        <v>0.1</v>
      </c>
      <c r="V17" s="8"/>
      <c r="W17" s="8">
        <v>0.1</v>
      </c>
      <c r="X17" s="8"/>
      <c r="Y17" s="8">
        <v>0.1</v>
      </c>
      <c r="AC17" s="8"/>
      <c r="AD17" s="8">
        <v>0.1</v>
      </c>
      <c r="AE17" s="8"/>
      <c r="AF17" s="8">
        <v>0.1</v>
      </c>
      <c r="AJ17" s="8"/>
      <c r="AK17" s="8">
        <v>0.5</v>
      </c>
      <c r="AL17" s="8"/>
      <c r="AM17" s="8">
        <v>0.5</v>
      </c>
      <c r="AQ17" s="8"/>
      <c r="AR17" s="8">
        <v>0.8</v>
      </c>
      <c r="AS17" s="8"/>
      <c r="AT17" s="8">
        <v>0.8</v>
      </c>
      <c r="AX17" s="8"/>
      <c r="AY17" s="8">
        <v>0.8</v>
      </c>
      <c r="AZ17" s="8"/>
      <c r="BA17" s="8">
        <v>0.8</v>
      </c>
      <c r="BE17" s="8"/>
      <c r="BF17" s="8">
        <v>1</v>
      </c>
      <c r="BG17" s="8"/>
      <c r="BH17" s="8">
        <v>1</v>
      </c>
      <c r="BJ17" s="21"/>
      <c r="BL17" s="8"/>
      <c r="BM17" s="8"/>
      <c r="BN17" s="8"/>
      <c r="BO17" s="8"/>
      <c r="BS17" s="8"/>
      <c r="BT17" s="8"/>
      <c r="BU17" s="8"/>
      <c r="BV17" s="8"/>
      <c r="BX17" s="18"/>
      <c r="BZ17" s="8"/>
      <c r="CA17" s="8"/>
      <c r="CB17" s="8"/>
      <c r="CC17" s="8"/>
      <c r="CG17" s="8"/>
      <c r="CH17" s="8"/>
      <c r="CI17" s="8"/>
      <c r="CJ17" s="8"/>
      <c r="CN17" s="8"/>
      <c r="CO17" s="8"/>
      <c r="CP17" s="8"/>
      <c r="CQ17" s="8"/>
      <c r="CU17" s="8"/>
      <c r="CV17" s="8"/>
      <c r="CW17" s="8"/>
      <c r="CX17" s="8"/>
      <c r="DB17" s="8"/>
      <c r="DC17" s="8"/>
      <c r="DD17" s="8"/>
      <c r="DE17" s="8"/>
    </row>
    <row r="18" spans="1:109" outlineLevel="1" x14ac:dyDescent="0.25">
      <c r="B18" s="19"/>
      <c r="C18" s="19"/>
      <c r="D18" s="19"/>
      <c r="E18" s="7"/>
      <c r="F18" t="s">
        <v>152</v>
      </c>
      <c r="G18" s="8"/>
      <c r="I18" s="7"/>
      <c r="J18" s="9"/>
      <c r="K18" s="9"/>
      <c r="L18" s="7"/>
      <c r="O18" s="8"/>
      <c r="P18" s="8">
        <v>0.1</v>
      </c>
      <c r="Q18" s="8"/>
      <c r="R18" s="8">
        <v>0.1</v>
      </c>
      <c r="V18" s="8"/>
      <c r="W18" s="8">
        <v>0.1</v>
      </c>
      <c r="X18" s="8"/>
      <c r="Y18" s="8">
        <v>0.1</v>
      </c>
      <c r="AC18" s="8"/>
      <c r="AD18" s="8">
        <v>0.1</v>
      </c>
      <c r="AE18" s="8"/>
      <c r="AF18" s="8">
        <v>0.1</v>
      </c>
      <c r="AJ18" s="8"/>
      <c r="AK18" s="8">
        <v>0.5</v>
      </c>
      <c r="AL18" s="8"/>
      <c r="AM18" s="8">
        <v>0.5</v>
      </c>
      <c r="AQ18" s="8"/>
      <c r="AR18" s="8">
        <v>0.8</v>
      </c>
      <c r="AS18" s="8"/>
      <c r="AT18" s="8">
        <v>0.8</v>
      </c>
      <c r="AX18" s="8"/>
      <c r="AY18" s="8">
        <v>0.8</v>
      </c>
      <c r="AZ18" s="8"/>
      <c r="BA18" s="8">
        <v>0.8</v>
      </c>
      <c r="BE18" s="8"/>
      <c r="BF18" s="8">
        <v>1</v>
      </c>
      <c r="BG18" s="8"/>
      <c r="BH18" s="8">
        <v>1</v>
      </c>
      <c r="BJ18" s="21"/>
      <c r="BL18" s="8"/>
      <c r="BM18" s="8"/>
      <c r="BN18" s="8"/>
      <c r="BO18" s="8"/>
      <c r="BS18" s="8"/>
      <c r="BT18" s="8"/>
      <c r="BU18" s="8"/>
      <c r="BV18" s="8"/>
      <c r="BX18" s="18"/>
      <c r="BZ18" s="8"/>
      <c r="CA18" s="8"/>
      <c r="CB18" s="8"/>
      <c r="CC18" s="8"/>
      <c r="CG18" s="8"/>
      <c r="CH18" s="8"/>
      <c r="CI18" s="8"/>
      <c r="CJ18" s="8"/>
      <c r="CN18" s="8"/>
      <c r="CO18" s="8"/>
      <c r="CP18" s="8"/>
      <c r="CQ18" s="8"/>
      <c r="CU18" s="8"/>
      <c r="CV18" s="8"/>
      <c r="CW18" s="8"/>
      <c r="CX18" s="8"/>
      <c r="DB18" s="8"/>
      <c r="DC18" s="8"/>
      <c r="DD18" s="8"/>
      <c r="DE18" s="8"/>
    </row>
    <row r="19" spans="1:109" outlineLevel="1" x14ac:dyDescent="0.25">
      <c r="B19" s="19"/>
      <c r="C19" s="19"/>
      <c r="D19" s="19"/>
      <c r="E19" s="7"/>
      <c r="F19" t="s">
        <v>153</v>
      </c>
      <c r="G19" s="8"/>
      <c r="I19" s="7"/>
      <c r="J19" s="9"/>
      <c r="K19" s="9"/>
      <c r="L19" s="7"/>
      <c r="O19" s="8"/>
      <c r="P19" s="8">
        <v>0.1</v>
      </c>
      <c r="Q19" s="8"/>
      <c r="R19" s="8">
        <v>0.1</v>
      </c>
      <c r="V19" s="8"/>
      <c r="W19" s="8">
        <v>0.1</v>
      </c>
      <c r="X19" s="8"/>
      <c r="Y19" s="8">
        <v>0.1</v>
      </c>
      <c r="AC19" s="8"/>
      <c r="AD19" s="8">
        <v>0.1</v>
      </c>
      <c r="AE19" s="8"/>
      <c r="AF19" s="8">
        <v>0.1</v>
      </c>
      <c r="AJ19" s="8"/>
      <c r="AK19" s="8">
        <v>0.1</v>
      </c>
      <c r="AL19" s="8"/>
      <c r="AM19" s="8">
        <v>0.1</v>
      </c>
      <c r="AQ19" s="8"/>
      <c r="AR19" s="8">
        <v>0.8</v>
      </c>
      <c r="AS19" s="8"/>
      <c r="AT19" s="8">
        <v>0.8</v>
      </c>
      <c r="AX19" s="8"/>
      <c r="AY19" s="8">
        <v>0.8</v>
      </c>
      <c r="AZ19" s="8"/>
      <c r="BA19" s="8">
        <v>0.8</v>
      </c>
      <c r="BE19" s="8"/>
      <c r="BF19" s="8">
        <v>1</v>
      </c>
      <c r="BG19" s="8"/>
      <c r="BH19" s="8">
        <v>1</v>
      </c>
      <c r="BJ19" s="21"/>
      <c r="BL19" s="8"/>
      <c r="BM19" s="8"/>
      <c r="BN19" s="8"/>
      <c r="BO19" s="8"/>
      <c r="BS19" s="8"/>
      <c r="BT19" s="8"/>
      <c r="BU19" s="8"/>
      <c r="BV19" s="8"/>
      <c r="BX19" s="18"/>
      <c r="BZ19" s="8"/>
      <c r="CA19" s="8"/>
      <c r="CB19" s="8"/>
      <c r="CC19" s="8"/>
      <c r="CG19" s="8"/>
      <c r="CH19" s="8"/>
      <c r="CI19" s="8"/>
      <c r="CJ19" s="8"/>
      <c r="CN19" s="8"/>
      <c r="CO19" s="8"/>
      <c r="CP19" s="8"/>
      <c r="CQ19" s="8"/>
      <c r="CU19" s="8"/>
      <c r="CV19" s="8"/>
      <c r="CW19" s="8"/>
      <c r="CX19" s="8"/>
      <c r="DB19" s="8"/>
      <c r="DC19" s="8"/>
      <c r="DD19" s="8"/>
      <c r="DE19" s="8"/>
    </row>
    <row r="20" spans="1:109" outlineLevel="1" x14ac:dyDescent="0.25">
      <c r="E20" s="7"/>
      <c r="G20" s="8"/>
      <c r="I20" s="7"/>
      <c r="J20" s="9"/>
      <c r="K20" s="9"/>
      <c r="L20" s="7"/>
      <c r="O20" s="8"/>
      <c r="P20" s="8"/>
      <c r="Q20" s="8"/>
      <c r="R20" s="8"/>
      <c r="V20" s="8"/>
      <c r="W20" s="8"/>
      <c r="X20" s="8"/>
      <c r="Y20" s="8"/>
      <c r="AC20" s="8"/>
      <c r="AD20" s="8"/>
      <c r="AE20" s="8"/>
      <c r="AF20" s="8"/>
      <c r="AJ20" s="8"/>
      <c r="AK20" s="8"/>
      <c r="AL20" s="8"/>
      <c r="AM20" s="8"/>
      <c r="AQ20" s="8"/>
      <c r="AR20" s="8"/>
      <c r="AS20" s="8"/>
      <c r="AT20" s="8"/>
      <c r="AX20" s="8"/>
      <c r="AY20" s="8"/>
      <c r="AZ20" s="8"/>
      <c r="BA20" s="8"/>
      <c r="BE20" s="8"/>
      <c r="BF20" s="8"/>
      <c r="BG20" s="8"/>
      <c r="BH20" s="8"/>
      <c r="BJ20" s="21"/>
      <c r="BL20" s="8"/>
      <c r="BM20" s="8"/>
      <c r="BN20" s="8"/>
      <c r="BO20" s="8"/>
      <c r="BS20" s="8"/>
      <c r="BT20" s="8"/>
      <c r="BU20" s="8"/>
      <c r="BV20" s="8"/>
      <c r="BX20" s="18"/>
      <c r="BZ20" s="8"/>
      <c r="CA20" s="8"/>
      <c r="CB20" s="8"/>
      <c r="CC20" s="8"/>
      <c r="CG20" s="8"/>
      <c r="CH20" s="8"/>
      <c r="CI20" s="8"/>
      <c r="CJ20" s="8"/>
      <c r="CN20" s="8"/>
      <c r="CO20" s="8"/>
      <c r="CP20" s="8"/>
      <c r="CQ20" s="8"/>
      <c r="CU20" s="8"/>
      <c r="CV20" s="8"/>
      <c r="CW20" s="8"/>
      <c r="CX20" s="8"/>
      <c r="DB20" s="8"/>
      <c r="DC20" s="8"/>
      <c r="DD20" s="8"/>
      <c r="DE20" s="8"/>
    </row>
    <row r="21" spans="1:109" x14ac:dyDescent="0.25">
      <c r="BJ21" s="21"/>
      <c r="BX21" s="18"/>
    </row>
    <row r="22" spans="1:109" x14ac:dyDescent="0.25">
      <c r="A22">
        <v>4</v>
      </c>
      <c r="B22" t="s">
        <v>19</v>
      </c>
      <c r="C22" t="s">
        <v>84</v>
      </c>
      <c r="E22" s="7">
        <v>5</v>
      </c>
      <c r="G22" s="8">
        <f>+SUM(G23:G30)</f>
        <v>1.4</v>
      </c>
      <c r="I22" s="10">
        <f>+SUM(I23:I30)</f>
        <v>0</v>
      </c>
      <c r="J22" s="9">
        <f>+SUMPRODUCT(G23:G30,J23:J30)</f>
        <v>0</v>
      </c>
      <c r="K22" s="9">
        <f>+SUMPRODUCT(G5:G12,K5:K12)</f>
        <v>0</v>
      </c>
      <c r="L22" s="7"/>
      <c r="N22" s="10"/>
      <c r="U22" s="10"/>
      <c r="AB22" s="10"/>
      <c r="AI22" s="10"/>
      <c r="AP22" s="10"/>
      <c r="BF22" s="8">
        <v>1</v>
      </c>
      <c r="BH22" s="8">
        <v>1</v>
      </c>
      <c r="BJ22" s="21"/>
      <c r="BX22" s="18"/>
    </row>
    <row r="23" spans="1:109" outlineLevel="1" x14ac:dyDescent="0.25">
      <c r="B23" t="s">
        <v>20</v>
      </c>
      <c r="C23" t="s">
        <v>84</v>
      </c>
      <c r="E23" s="7"/>
      <c r="F23" t="s">
        <v>22</v>
      </c>
      <c r="G23" s="8">
        <v>0.1</v>
      </c>
      <c r="I23" s="7">
        <f t="shared" ref="I23:I30" si="1">+SUMIF($N$3:$ZZ$3,I$3,$N23:$ZZ23)</f>
        <v>0</v>
      </c>
      <c r="J23" s="9" cm="1">
        <f t="array" ref="J23">MAX(IF($N$3:$EH$3=$J$3,N23:EH23))</f>
        <v>0</v>
      </c>
      <c r="K23" s="9" cm="1">
        <f t="array" ref="K23">MAX(IF($N$3:$EH$3=$J$3,N23:EH23))</f>
        <v>0</v>
      </c>
      <c r="L23" s="7"/>
      <c r="O23" s="8"/>
      <c r="P23" s="8">
        <v>1</v>
      </c>
      <c r="Q23" s="8"/>
      <c r="R23" s="8">
        <v>1</v>
      </c>
      <c r="V23" s="8"/>
      <c r="W23" s="8">
        <v>1</v>
      </c>
      <c r="X23" s="8"/>
      <c r="Y23" s="8">
        <v>1</v>
      </c>
      <c r="AC23" s="8"/>
      <c r="AD23" s="8">
        <v>1</v>
      </c>
      <c r="AE23" s="8"/>
      <c r="AF23" s="8">
        <v>1</v>
      </c>
      <c r="AJ23" s="8"/>
      <c r="AK23" s="8">
        <v>1</v>
      </c>
      <c r="AL23" s="8"/>
      <c r="AM23" s="8">
        <v>1</v>
      </c>
      <c r="AQ23" s="8"/>
      <c r="AR23" s="8">
        <v>1</v>
      </c>
      <c r="AS23" s="8"/>
      <c r="AT23" s="8">
        <v>1</v>
      </c>
      <c r="AX23" s="8"/>
      <c r="AY23" s="8">
        <v>1</v>
      </c>
      <c r="AZ23" s="8"/>
      <c r="BA23" s="8">
        <v>1</v>
      </c>
      <c r="BE23" s="8"/>
      <c r="BF23" s="8">
        <v>1</v>
      </c>
      <c r="BG23" s="8"/>
      <c r="BH23" s="8">
        <v>1</v>
      </c>
      <c r="BJ23" s="21"/>
      <c r="BL23" s="8"/>
      <c r="BM23" s="8"/>
      <c r="BN23" s="8"/>
      <c r="BO23" s="8"/>
      <c r="BS23" s="8"/>
      <c r="BT23" s="8"/>
      <c r="BU23" s="8"/>
      <c r="BV23" s="8"/>
      <c r="BX23" s="18"/>
      <c r="BZ23" s="8"/>
      <c r="CA23" s="8"/>
      <c r="CB23" s="8"/>
      <c r="CC23" s="8"/>
      <c r="CG23" s="8"/>
      <c r="CH23" s="8">
        <v>1</v>
      </c>
      <c r="CI23" s="8"/>
      <c r="CJ23" s="8">
        <v>1</v>
      </c>
      <c r="CN23" s="8"/>
      <c r="CO23" s="8"/>
      <c r="CP23" s="8"/>
      <c r="CQ23" s="8"/>
      <c r="CU23" s="8"/>
      <c r="CV23" s="8"/>
      <c r="CW23" s="8"/>
      <c r="CX23" s="8"/>
      <c r="DB23" s="8"/>
      <c r="DC23" s="8"/>
      <c r="DD23" s="8"/>
      <c r="DE23" s="8"/>
    </row>
    <row r="24" spans="1:109" outlineLevel="1" x14ac:dyDescent="0.25">
      <c r="B24" t="s">
        <v>20</v>
      </c>
      <c r="C24" t="s">
        <v>85</v>
      </c>
      <c r="E24" s="7"/>
      <c r="F24" t="s">
        <v>102</v>
      </c>
      <c r="G24" s="8">
        <v>0.2</v>
      </c>
      <c r="I24" s="7">
        <f t="shared" si="1"/>
        <v>0</v>
      </c>
      <c r="J24" s="9" cm="1">
        <f t="array" ref="J24">MAX(IF($N$3:$EH$3=$J$3,N24:EH24))</f>
        <v>0</v>
      </c>
      <c r="K24" s="9" cm="1">
        <f t="array" ref="K24">MAX(IF($N$3:$EH$3=$J$3,N24:EH24))</f>
        <v>0</v>
      </c>
      <c r="L24" s="7"/>
      <c r="O24" s="8"/>
      <c r="P24" s="8">
        <v>0.8</v>
      </c>
      <c r="Q24" s="8"/>
      <c r="R24" s="8">
        <v>0.8</v>
      </c>
      <c r="V24" s="8"/>
      <c r="W24" s="8">
        <v>1</v>
      </c>
      <c r="X24" s="8"/>
      <c r="Y24" s="8">
        <v>1</v>
      </c>
      <c r="AC24" s="8"/>
      <c r="AD24" s="8">
        <v>1</v>
      </c>
      <c r="AE24" s="8"/>
      <c r="AF24" s="8">
        <v>1</v>
      </c>
      <c r="AJ24" s="8"/>
      <c r="AK24" s="8">
        <v>1</v>
      </c>
      <c r="AL24" s="8"/>
      <c r="AM24" s="8">
        <v>1</v>
      </c>
      <c r="AQ24" s="8"/>
      <c r="AR24" s="8">
        <v>1</v>
      </c>
      <c r="AS24" s="8"/>
      <c r="AT24" s="8">
        <v>1</v>
      </c>
      <c r="AX24" s="8"/>
      <c r="AY24" s="8">
        <v>1</v>
      </c>
      <c r="AZ24" s="8"/>
      <c r="BA24" s="8">
        <v>1</v>
      </c>
      <c r="BE24" s="8"/>
      <c r="BF24" s="8">
        <v>1</v>
      </c>
      <c r="BG24" s="8"/>
      <c r="BH24" s="8">
        <v>1</v>
      </c>
      <c r="BJ24" s="21"/>
      <c r="BL24" s="8"/>
      <c r="BM24" s="8"/>
      <c r="BN24" s="8"/>
      <c r="BO24" s="8"/>
      <c r="BS24" s="8"/>
      <c r="BT24" s="8"/>
      <c r="BU24" s="8"/>
      <c r="BV24" s="8"/>
      <c r="BX24" s="18"/>
      <c r="BZ24" s="8"/>
      <c r="CA24" s="8"/>
      <c r="CB24" s="8"/>
      <c r="CC24" s="8"/>
      <c r="CG24" s="8"/>
      <c r="CH24" s="8">
        <v>1</v>
      </c>
      <c r="CI24" s="8"/>
      <c r="CJ24" s="8">
        <v>1</v>
      </c>
      <c r="CN24" s="8"/>
      <c r="CO24" s="8"/>
      <c r="CP24" s="8"/>
      <c r="CQ24" s="8"/>
      <c r="CU24" s="8"/>
      <c r="CV24" s="8"/>
      <c r="CW24" s="8"/>
      <c r="CX24" s="8"/>
      <c r="DB24" s="8"/>
      <c r="DC24" s="8"/>
      <c r="DD24" s="8"/>
      <c r="DE24" s="8"/>
    </row>
    <row r="25" spans="1:109" outlineLevel="1" x14ac:dyDescent="0.25">
      <c r="B25" t="s">
        <v>20</v>
      </c>
      <c r="C25" t="s">
        <v>85</v>
      </c>
      <c r="D25" s="17">
        <v>44663</v>
      </c>
      <c r="E25" s="7"/>
      <c r="F25" t="s">
        <v>103</v>
      </c>
      <c r="G25" s="8">
        <v>0.2</v>
      </c>
      <c r="I25" s="7">
        <f t="shared" si="1"/>
        <v>0</v>
      </c>
      <c r="J25" s="9" cm="1">
        <f t="array" ref="J25">MAX(IF($N$3:$EH$3=$J$3,N25:EH25))</f>
        <v>0</v>
      </c>
      <c r="K25" s="9" cm="1">
        <f t="array" ref="K25">MAX(IF($N$3:$EH$3=$J$3,N25:EH25))</f>
        <v>0</v>
      </c>
      <c r="L25" s="7"/>
      <c r="O25" s="8"/>
      <c r="P25" s="8">
        <v>0.5</v>
      </c>
      <c r="Q25" s="8"/>
      <c r="R25" s="8">
        <v>0.5</v>
      </c>
      <c r="V25" s="8"/>
      <c r="W25" s="8">
        <v>0.8</v>
      </c>
      <c r="X25" s="8"/>
      <c r="Y25" s="8">
        <v>0.8</v>
      </c>
      <c r="AC25" s="8"/>
      <c r="AD25" s="8">
        <v>0.8</v>
      </c>
      <c r="AE25" s="8"/>
      <c r="AF25" s="8">
        <v>0.8</v>
      </c>
      <c r="AJ25" s="8"/>
      <c r="AK25" s="8">
        <v>0.8</v>
      </c>
      <c r="AL25" s="8"/>
      <c r="AM25" s="8">
        <v>0.8</v>
      </c>
      <c r="AQ25" s="8"/>
      <c r="AR25" s="8">
        <v>0.8</v>
      </c>
      <c r="AS25" s="8"/>
      <c r="AT25" s="8">
        <v>0.8</v>
      </c>
      <c r="AX25" s="8"/>
      <c r="AY25" s="8">
        <v>1</v>
      </c>
      <c r="AZ25" s="8"/>
      <c r="BA25" s="8">
        <v>1</v>
      </c>
      <c r="BE25" s="8"/>
      <c r="BF25" s="8">
        <v>1</v>
      </c>
      <c r="BG25" s="8"/>
      <c r="BH25" s="8">
        <v>1</v>
      </c>
      <c r="BJ25" s="21"/>
      <c r="BL25" s="8"/>
      <c r="BM25" s="8"/>
      <c r="BN25" s="8"/>
      <c r="BO25" s="8"/>
      <c r="BS25" s="8"/>
      <c r="BT25" s="8"/>
      <c r="BU25" s="8"/>
      <c r="BV25" s="8"/>
      <c r="BX25" s="18"/>
      <c r="BZ25" s="8"/>
      <c r="CA25" s="8"/>
      <c r="CB25" s="8"/>
      <c r="CC25" s="8"/>
      <c r="CG25" s="8"/>
      <c r="CH25" s="8">
        <v>1</v>
      </c>
      <c r="CI25" s="8"/>
      <c r="CJ25" s="8">
        <v>1</v>
      </c>
      <c r="CN25" s="8"/>
      <c r="CO25" s="8"/>
      <c r="CP25" s="8"/>
      <c r="CQ25" s="8"/>
      <c r="CU25" s="8"/>
      <c r="CV25" s="8"/>
      <c r="CW25" s="8"/>
      <c r="CX25" s="8"/>
      <c r="DB25" s="8"/>
      <c r="DC25" s="8"/>
      <c r="DD25" s="8"/>
      <c r="DE25" s="8"/>
    </row>
    <row r="26" spans="1:109" outlineLevel="1" x14ac:dyDescent="0.25">
      <c r="B26" t="s">
        <v>20</v>
      </c>
      <c r="C26" t="s">
        <v>85</v>
      </c>
      <c r="E26" s="7"/>
      <c r="F26" t="s">
        <v>104</v>
      </c>
      <c r="G26" s="8">
        <v>0.2</v>
      </c>
      <c r="I26" s="7">
        <f t="shared" si="1"/>
        <v>0</v>
      </c>
      <c r="J26" s="9" cm="1">
        <f t="array" ref="J26">MAX(IF($N$3:$EH$3=$J$3,N26:EH26))</f>
        <v>0</v>
      </c>
      <c r="K26" s="9" cm="1">
        <f t="array" ref="K26">MAX(IF($N$3:$EH$3=$J$3,N26:EH26))</f>
        <v>0</v>
      </c>
      <c r="L26" s="7"/>
      <c r="O26" s="8"/>
      <c r="P26" s="8">
        <v>0.3</v>
      </c>
      <c r="Q26" s="8"/>
      <c r="R26" s="8">
        <v>0.3</v>
      </c>
      <c r="V26" s="8"/>
      <c r="W26" s="8">
        <v>0.5</v>
      </c>
      <c r="X26" s="8"/>
      <c r="Y26" s="8">
        <v>0.5</v>
      </c>
      <c r="AC26" s="8"/>
      <c r="AD26" s="8">
        <v>0.8</v>
      </c>
      <c r="AE26" s="8"/>
      <c r="AF26" s="8">
        <v>0.8</v>
      </c>
      <c r="AJ26" s="8"/>
      <c r="AK26" s="8">
        <v>0.8</v>
      </c>
      <c r="AL26" s="8"/>
      <c r="AM26" s="8">
        <v>0.8</v>
      </c>
      <c r="AQ26" s="8"/>
      <c r="AR26" s="8">
        <v>0.8</v>
      </c>
      <c r="AS26" s="8"/>
      <c r="AT26" s="8">
        <v>0.8</v>
      </c>
      <c r="AX26" s="8"/>
      <c r="AY26" s="8">
        <v>1</v>
      </c>
      <c r="AZ26" s="8"/>
      <c r="BA26" s="8">
        <v>1</v>
      </c>
      <c r="BE26" s="8"/>
      <c r="BF26" s="8">
        <v>1</v>
      </c>
      <c r="BG26" s="8"/>
      <c r="BH26" s="8">
        <v>1</v>
      </c>
      <c r="BJ26" s="21"/>
      <c r="BL26" s="8"/>
      <c r="BM26" s="8"/>
      <c r="BN26" s="8"/>
      <c r="BO26" s="8"/>
      <c r="BS26" s="8"/>
      <c r="BT26" s="8"/>
      <c r="BU26" s="8"/>
      <c r="BV26" s="8"/>
      <c r="BX26" s="18"/>
      <c r="BZ26" s="8"/>
      <c r="CA26" s="8"/>
      <c r="CB26" s="8"/>
      <c r="CC26" s="8"/>
      <c r="CG26" s="8"/>
      <c r="CH26" s="8">
        <v>1</v>
      </c>
      <c r="CI26" s="8"/>
      <c r="CJ26" s="8">
        <v>1</v>
      </c>
      <c r="CN26" s="8"/>
      <c r="CO26" s="8"/>
      <c r="CP26" s="8"/>
      <c r="CQ26" s="8"/>
      <c r="CU26" s="8"/>
      <c r="CV26" s="8"/>
      <c r="CW26" s="8"/>
      <c r="CX26" s="8"/>
      <c r="DB26" s="8"/>
      <c r="DC26" s="8"/>
      <c r="DD26" s="8"/>
      <c r="DE26" s="8"/>
    </row>
    <row r="27" spans="1:109" outlineLevel="1" x14ac:dyDescent="0.25">
      <c r="B27" t="s">
        <v>20</v>
      </c>
      <c r="C27" t="s">
        <v>85</v>
      </c>
      <c r="E27" s="7"/>
      <c r="F27" t="s">
        <v>105</v>
      </c>
      <c r="G27" s="8">
        <v>0.15</v>
      </c>
      <c r="I27" s="7">
        <f t="shared" si="1"/>
        <v>0</v>
      </c>
      <c r="J27" s="9" cm="1">
        <f t="array" ref="J27">MAX(IF($N$3:$EH$3=$J$3,N27:EH27))</f>
        <v>0</v>
      </c>
      <c r="K27" s="9" cm="1">
        <f t="array" ref="K27">MAX(IF($N$3:$EH$3=$J$3,N27:EH27))</f>
        <v>0</v>
      </c>
      <c r="L27" s="7"/>
      <c r="O27" s="8"/>
      <c r="P27" s="8">
        <v>0.1</v>
      </c>
      <c r="Q27" s="8"/>
      <c r="R27" s="8">
        <v>0.1</v>
      </c>
      <c r="V27" s="8"/>
      <c r="W27" s="8">
        <v>0.3</v>
      </c>
      <c r="X27" s="8"/>
      <c r="Y27" s="8">
        <v>0.3</v>
      </c>
      <c r="AC27" s="8"/>
      <c r="AD27" s="8">
        <v>0.5</v>
      </c>
      <c r="AE27" s="8"/>
      <c r="AF27" s="8">
        <v>0.5</v>
      </c>
      <c r="AJ27" s="8"/>
      <c r="AK27" s="8">
        <v>0.8</v>
      </c>
      <c r="AL27" s="8"/>
      <c r="AM27" s="8">
        <v>0.8</v>
      </c>
      <c r="AQ27" s="8"/>
      <c r="AR27" s="8">
        <v>0.8</v>
      </c>
      <c r="AS27" s="8"/>
      <c r="AT27" s="8">
        <v>0.8</v>
      </c>
      <c r="AX27" s="8"/>
      <c r="AY27" s="8">
        <v>1</v>
      </c>
      <c r="AZ27" s="8"/>
      <c r="BA27" s="8">
        <v>1</v>
      </c>
      <c r="BE27" s="8"/>
      <c r="BF27" s="8">
        <v>1</v>
      </c>
      <c r="BG27" s="8"/>
      <c r="BH27" s="8">
        <v>1</v>
      </c>
      <c r="BJ27" s="21"/>
      <c r="BL27" s="8"/>
      <c r="BM27" s="8"/>
      <c r="BN27" s="8"/>
      <c r="BO27" s="8"/>
      <c r="BS27" s="8"/>
      <c r="BT27" s="8"/>
      <c r="BU27" s="8"/>
      <c r="BV27" s="8"/>
      <c r="BX27" s="18"/>
      <c r="BZ27" s="8"/>
      <c r="CA27" s="8"/>
      <c r="CB27" s="8"/>
      <c r="CC27" s="8"/>
      <c r="CG27" s="8"/>
      <c r="CH27" s="8">
        <v>1</v>
      </c>
      <c r="CI27" s="8"/>
      <c r="CJ27" s="8">
        <v>1</v>
      </c>
      <c r="CN27" s="8"/>
      <c r="CO27" s="8"/>
      <c r="CP27" s="8"/>
      <c r="CQ27" s="8"/>
      <c r="CU27" s="8"/>
      <c r="CV27" s="8"/>
      <c r="CW27" s="8"/>
      <c r="CX27" s="8"/>
      <c r="DB27" s="8"/>
      <c r="DC27" s="8"/>
      <c r="DD27" s="8"/>
      <c r="DE27" s="8"/>
    </row>
    <row r="28" spans="1:109" outlineLevel="1" x14ac:dyDescent="0.25">
      <c r="B28" t="s">
        <v>20</v>
      </c>
      <c r="C28" t="s">
        <v>85</v>
      </c>
      <c r="E28" s="7"/>
      <c r="F28" t="s">
        <v>106</v>
      </c>
      <c r="G28" s="8">
        <v>0.15</v>
      </c>
      <c r="I28" s="7">
        <f t="shared" si="1"/>
        <v>0</v>
      </c>
      <c r="J28" s="9" cm="1">
        <f t="array" ref="J28">MAX(IF($N$3:$EH$3=$J$3,N28:EH28))</f>
        <v>0</v>
      </c>
      <c r="K28" s="9" cm="1">
        <f t="array" ref="K28">MAX(IF($N$3:$EH$3=$J$3,N28:EH28))</f>
        <v>0</v>
      </c>
      <c r="L28" s="7"/>
      <c r="O28" s="8"/>
      <c r="P28" s="8">
        <v>0.1</v>
      </c>
      <c r="Q28" s="8"/>
      <c r="R28" s="8">
        <v>0.1</v>
      </c>
      <c r="V28" s="8"/>
      <c r="W28" s="8">
        <v>0.1</v>
      </c>
      <c r="X28" s="8"/>
      <c r="Y28" s="8">
        <v>0.1</v>
      </c>
      <c r="AC28" s="8"/>
      <c r="AD28" s="8">
        <v>0.3</v>
      </c>
      <c r="AE28" s="8"/>
      <c r="AF28" s="8">
        <v>0.3</v>
      </c>
      <c r="AJ28" s="8"/>
      <c r="AK28" s="8">
        <v>0.5</v>
      </c>
      <c r="AL28" s="8"/>
      <c r="AM28" s="8">
        <v>0.5</v>
      </c>
      <c r="AQ28" s="8"/>
      <c r="AR28" s="8">
        <v>0.8</v>
      </c>
      <c r="AS28" s="8"/>
      <c r="AT28" s="8">
        <v>0.8</v>
      </c>
      <c r="AX28" s="8"/>
      <c r="AY28" s="8">
        <v>0.8</v>
      </c>
      <c r="AZ28" s="8"/>
      <c r="BA28" s="8">
        <v>0.8</v>
      </c>
      <c r="BE28" s="8"/>
      <c r="BF28" s="8">
        <v>1</v>
      </c>
      <c r="BG28" s="8"/>
      <c r="BH28" s="8">
        <v>1</v>
      </c>
      <c r="BJ28" s="21"/>
      <c r="BL28" s="8"/>
      <c r="BM28" s="8"/>
      <c r="BN28" s="8"/>
      <c r="BO28" s="8"/>
      <c r="BS28" s="8"/>
      <c r="BT28" s="8"/>
      <c r="BU28" s="8"/>
      <c r="BV28" s="8"/>
      <c r="BX28" s="18"/>
      <c r="BZ28" s="8"/>
      <c r="CA28" s="8"/>
      <c r="CB28" s="8"/>
      <c r="CC28" s="8"/>
      <c r="CG28" s="8"/>
      <c r="CH28" s="8">
        <v>1</v>
      </c>
      <c r="CI28" s="8"/>
      <c r="CJ28" s="8">
        <v>1</v>
      </c>
      <c r="CN28" s="8"/>
      <c r="CO28" s="8"/>
      <c r="CP28" s="8"/>
      <c r="CQ28" s="8"/>
      <c r="CU28" s="8"/>
      <c r="CV28" s="8"/>
      <c r="CW28" s="8"/>
      <c r="CX28" s="8"/>
      <c r="DB28" s="8"/>
      <c r="DC28" s="8"/>
      <c r="DD28" s="8"/>
      <c r="DE28" s="8"/>
    </row>
    <row r="29" spans="1:109" outlineLevel="1" x14ac:dyDescent="0.25">
      <c r="B29" t="s">
        <v>20</v>
      </c>
      <c r="C29" t="s">
        <v>85</v>
      </c>
      <c r="E29" s="7"/>
      <c r="F29" t="s">
        <v>107</v>
      </c>
      <c r="G29" s="8">
        <v>0.2</v>
      </c>
      <c r="I29" s="7">
        <f t="shared" si="1"/>
        <v>0</v>
      </c>
      <c r="J29" s="9" cm="1">
        <f t="array" ref="J29">MAX(IF($N$3:$EH$3=$J$3,N29:EH29))</f>
        <v>0</v>
      </c>
      <c r="K29" s="9" cm="1">
        <f t="array" ref="K29">MAX(IF($N$3:$EH$3=$J$3,N29:EH29))</f>
        <v>0</v>
      </c>
      <c r="L29" s="7"/>
      <c r="O29" s="8"/>
      <c r="P29" s="8">
        <v>0.1</v>
      </c>
      <c r="Q29" s="8"/>
      <c r="R29" s="8">
        <v>0.1</v>
      </c>
      <c r="V29" s="8"/>
      <c r="W29" s="8">
        <v>0.1</v>
      </c>
      <c r="X29" s="8"/>
      <c r="Y29" s="8">
        <v>0.1</v>
      </c>
      <c r="AC29" s="8"/>
      <c r="AD29" s="8">
        <v>0.3</v>
      </c>
      <c r="AE29" s="8"/>
      <c r="AF29" s="8">
        <v>0.3</v>
      </c>
      <c r="AJ29" s="8"/>
      <c r="AK29" s="8">
        <v>0.5</v>
      </c>
      <c r="AL29" s="8"/>
      <c r="AM29" s="8">
        <v>0.5</v>
      </c>
      <c r="AQ29" s="8"/>
      <c r="AR29" s="8">
        <v>0.8</v>
      </c>
      <c r="AS29" s="8"/>
      <c r="AT29" s="8">
        <v>0.8</v>
      </c>
      <c r="AX29" s="8"/>
      <c r="AY29" s="8">
        <v>0.8</v>
      </c>
      <c r="AZ29" s="8"/>
      <c r="BA29" s="8">
        <v>0.8</v>
      </c>
      <c r="BE29" s="8"/>
      <c r="BF29" s="8">
        <v>1</v>
      </c>
      <c r="BG29" s="8"/>
      <c r="BH29" s="8">
        <v>1</v>
      </c>
      <c r="BJ29" s="21"/>
      <c r="BL29" s="8"/>
      <c r="BM29" s="8"/>
      <c r="BN29" s="8"/>
      <c r="BO29" s="8"/>
      <c r="BS29" s="8"/>
      <c r="BT29" s="8"/>
      <c r="BU29" s="8"/>
      <c r="BV29" s="8"/>
      <c r="BX29" s="18"/>
      <c r="BZ29" s="8"/>
      <c r="CA29" s="8"/>
      <c r="CB29" s="8"/>
      <c r="CC29" s="8"/>
      <c r="CG29" s="8"/>
      <c r="CH29" s="8">
        <v>1</v>
      </c>
      <c r="CI29" s="8"/>
      <c r="CJ29" s="8">
        <v>1</v>
      </c>
      <c r="CN29" s="8"/>
      <c r="CO29" s="8"/>
      <c r="CP29" s="8"/>
      <c r="CQ29" s="8"/>
      <c r="CU29" s="8"/>
      <c r="CV29" s="8"/>
      <c r="CW29" s="8"/>
      <c r="CX29" s="8"/>
      <c r="DB29" s="8"/>
      <c r="DC29" s="8"/>
      <c r="DD29" s="8"/>
      <c r="DE29" s="8"/>
    </row>
    <row r="30" spans="1:109" outlineLevel="1" x14ac:dyDescent="0.25">
      <c r="B30" t="s">
        <v>20</v>
      </c>
      <c r="C30" t="s">
        <v>85</v>
      </c>
      <c r="E30" s="7"/>
      <c r="F30" t="s">
        <v>108</v>
      </c>
      <c r="G30" s="8">
        <v>0.2</v>
      </c>
      <c r="I30" s="7">
        <f t="shared" si="1"/>
        <v>0</v>
      </c>
      <c r="J30" s="9" cm="1">
        <f t="array" ref="J30">MAX(IF($N$3:$EH$3=$J$3,N30:EH30))</f>
        <v>0</v>
      </c>
      <c r="K30" s="9" cm="1">
        <f t="array" ref="K30">MAX(IF($N$3:$EH$3=$J$3,N30:EH30))</f>
        <v>0</v>
      </c>
      <c r="L30" s="7"/>
      <c r="O30" s="8"/>
      <c r="P30" s="8">
        <v>0.1</v>
      </c>
      <c r="Q30" s="8"/>
      <c r="R30" s="8">
        <v>0.1</v>
      </c>
      <c r="V30" s="8"/>
      <c r="W30" s="8">
        <v>0.1</v>
      </c>
      <c r="X30" s="8"/>
      <c r="Y30" s="8">
        <v>0.1</v>
      </c>
      <c r="AC30" s="8"/>
      <c r="AD30" s="8">
        <v>0.1</v>
      </c>
      <c r="AE30" s="8"/>
      <c r="AF30" s="8">
        <v>0.1</v>
      </c>
      <c r="AJ30" s="8"/>
      <c r="AK30" s="8">
        <v>0.3</v>
      </c>
      <c r="AL30" s="8"/>
      <c r="AM30" s="8">
        <v>0.3</v>
      </c>
      <c r="AQ30" s="8"/>
      <c r="AR30" s="8">
        <v>0.8</v>
      </c>
      <c r="AS30" s="8"/>
      <c r="AT30" s="8">
        <v>0.8</v>
      </c>
      <c r="AX30" s="8"/>
      <c r="AY30" s="8">
        <v>0.8</v>
      </c>
      <c r="AZ30" s="8"/>
      <c r="BA30" s="8">
        <v>0.8</v>
      </c>
      <c r="BE30" s="8"/>
      <c r="BF30" s="8">
        <v>1</v>
      </c>
      <c r="BG30" s="8"/>
      <c r="BH30" s="8">
        <v>1</v>
      </c>
      <c r="BJ30" s="21"/>
      <c r="BL30" s="8"/>
      <c r="BM30" s="8"/>
      <c r="BN30" s="8"/>
      <c r="BO30" s="8"/>
      <c r="BS30" s="8"/>
      <c r="BT30" s="8"/>
      <c r="BU30" s="8"/>
      <c r="BV30" s="8"/>
      <c r="BX30" s="18"/>
      <c r="BZ30" s="8"/>
      <c r="CA30" s="8"/>
      <c r="CB30" s="8"/>
      <c r="CC30" s="8"/>
      <c r="CG30" s="8"/>
      <c r="CH30" s="8">
        <v>1</v>
      </c>
      <c r="CI30" s="8"/>
      <c r="CJ30" s="8">
        <v>1</v>
      </c>
      <c r="CN30" s="8"/>
      <c r="CO30" s="8"/>
      <c r="CP30" s="8"/>
      <c r="CQ30" s="8"/>
      <c r="CU30" s="8"/>
      <c r="CV30" s="8"/>
      <c r="CW30" s="8"/>
      <c r="CX30" s="8"/>
      <c r="DB30" s="8"/>
      <c r="DC30" s="8"/>
      <c r="DD30" s="8"/>
      <c r="DE30" s="8"/>
    </row>
    <row r="31" spans="1:109" outlineLevel="1" x14ac:dyDescent="0.25">
      <c r="E31" s="7"/>
      <c r="G31" s="8"/>
      <c r="I31" s="7"/>
      <c r="J31" s="9"/>
      <c r="K31" s="9"/>
      <c r="L31" s="7"/>
      <c r="O31" s="8"/>
      <c r="P31" s="8"/>
      <c r="Q31" s="8"/>
      <c r="R31" s="8"/>
      <c r="V31" s="8"/>
      <c r="W31" s="8"/>
      <c r="X31" s="8"/>
      <c r="Y31" s="8"/>
      <c r="AC31" s="8"/>
      <c r="AD31" s="8"/>
      <c r="AE31" s="8"/>
      <c r="AF31" s="8"/>
      <c r="AJ31" s="8"/>
      <c r="AK31" s="8"/>
      <c r="AL31" s="8"/>
      <c r="AM31" s="8"/>
      <c r="AQ31" s="8"/>
      <c r="AR31" s="8"/>
      <c r="AS31" s="8"/>
      <c r="AT31" s="8"/>
      <c r="AX31" s="8"/>
      <c r="AY31" s="8"/>
      <c r="AZ31" s="8"/>
      <c r="BA31" s="8"/>
      <c r="BE31" s="8"/>
      <c r="BF31" s="8"/>
      <c r="BG31" s="8"/>
      <c r="BH31" s="8"/>
      <c r="BJ31" s="21"/>
      <c r="BL31" s="8"/>
      <c r="BM31" s="8"/>
      <c r="BN31" s="8"/>
      <c r="BO31" s="8"/>
      <c r="BS31" s="8"/>
      <c r="BT31" s="8"/>
      <c r="BU31" s="8"/>
      <c r="BV31" s="8"/>
      <c r="BX31" s="18"/>
      <c r="BZ31" s="8"/>
      <c r="CA31" s="8"/>
      <c r="CB31" s="8"/>
      <c r="CC31" s="8"/>
      <c r="CG31" s="8"/>
      <c r="CH31" s="8"/>
      <c r="CI31" s="8"/>
      <c r="CJ31" s="8"/>
      <c r="CN31" s="8"/>
      <c r="CO31" s="8"/>
      <c r="CP31" s="8"/>
      <c r="CQ31" s="8"/>
      <c r="CU31" s="8"/>
      <c r="CV31" s="8"/>
      <c r="CW31" s="8"/>
      <c r="CX31" s="8"/>
      <c r="DB31" s="8"/>
      <c r="DC31" s="8"/>
      <c r="DD31" s="8"/>
      <c r="DE31" s="8"/>
    </row>
    <row r="32" spans="1:109" outlineLevel="1" x14ac:dyDescent="0.25">
      <c r="E32" s="7"/>
      <c r="G32" s="8"/>
      <c r="I32" s="7"/>
      <c r="J32" s="9"/>
      <c r="K32" s="9"/>
      <c r="L32" s="7"/>
      <c r="O32" s="8"/>
      <c r="P32" s="8"/>
      <c r="Q32" s="8"/>
      <c r="R32" s="8"/>
      <c r="V32" s="8"/>
      <c r="W32" s="8"/>
      <c r="X32" s="8"/>
      <c r="Y32" s="8"/>
      <c r="AC32" s="8"/>
      <c r="AD32" s="8"/>
      <c r="AE32" s="8"/>
      <c r="AF32" s="8"/>
      <c r="AJ32" s="8"/>
      <c r="AK32" s="8"/>
      <c r="AL32" s="8"/>
      <c r="AM32" s="8"/>
      <c r="AQ32" s="8"/>
      <c r="AR32" s="8"/>
      <c r="AS32" s="8"/>
      <c r="AT32" s="8"/>
      <c r="AX32" s="8"/>
      <c r="AY32" s="8"/>
      <c r="AZ32" s="8"/>
      <c r="BA32" s="8"/>
      <c r="BE32" s="8"/>
      <c r="BF32" s="8"/>
      <c r="BG32" s="8"/>
      <c r="BH32" s="8"/>
      <c r="BJ32" s="21"/>
      <c r="BL32" s="8"/>
      <c r="BM32" s="8"/>
      <c r="BN32" s="8"/>
      <c r="BO32" s="8"/>
      <c r="BS32" s="8"/>
      <c r="BT32" s="8"/>
      <c r="BU32" s="8"/>
      <c r="BV32" s="8"/>
      <c r="BX32" s="18"/>
      <c r="BZ32" s="8"/>
      <c r="CA32" s="8"/>
      <c r="CB32" s="8"/>
      <c r="CC32" s="8"/>
      <c r="CG32" s="8"/>
      <c r="CH32" s="8"/>
      <c r="CI32" s="8"/>
      <c r="CJ32" s="8"/>
      <c r="CN32" s="8"/>
      <c r="CO32" s="8"/>
      <c r="CP32" s="8"/>
      <c r="CQ32" s="8"/>
      <c r="CU32" s="8"/>
      <c r="CV32" s="8"/>
      <c r="CW32" s="8"/>
      <c r="CX32" s="8"/>
      <c r="DB32" s="8"/>
      <c r="DC32" s="8"/>
      <c r="DD32" s="8"/>
      <c r="DE32" s="8"/>
    </row>
    <row r="33" spans="1:109" outlineLevel="1" x14ac:dyDescent="0.25">
      <c r="E33" s="7"/>
      <c r="G33" s="8"/>
      <c r="I33" s="7"/>
      <c r="J33" s="9"/>
      <c r="K33" s="9"/>
      <c r="L33" s="7"/>
      <c r="O33" s="8"/>
      <c r="P33" s="8"/>
      <c r="Q33" s="8"/>
      <c r="R33" s="8"/>
      <c r="V33" s="8"/>
      <c r="W33" s="8"/>
      <c r="X33" s="8"/>
      <c r="Y33" s="8"/>
      <c r="AC33" s="8"/>
      <c r="AD33" s="8"/>
      <c r="AE33" s="8"/>
      <c r="AF33" s="8"/>
      <c r="AJ33" s="8"/>
      <c r="AK33" s="8"/>
      <c r="AL33" s="8"/>
      <c r="AM33" s="8"/>
      <c r="AQ33" s="8"/>
      <c r="AR33" s="8"/>
      <c r="AS33" s="8"/>
      <c r="AT33" s="8"/>
      <c r="AX33" s="8"/>
      <c r="AY33" s="8"/>
      <c r="AZ33" s="8"/>
      <c r="BA33" s="8"/>
      <c r="BE33" s="8"/>
      <c r="BF33" s="8"/>
      <c r="BG33" s="8"/>
      <c r="BH33" s="8"/>
      <c r="BJ33" s="21"/>
      <c r="BL33" s="8"/>
      <c r="BM33" s="8"/>
      <c r="BN33" s="8"/>
      <c r="BO33" s="8"/>
      <c r="BS33" s="8"/>
      <c r="BT33" s="8"/>
      <c r="BU33" s="8"/>
      <c r="BV33" s="8"/>
      <c r="BX33" s="18"/>
      <c r="BZ33" s="8"/>
      <c r="CA33" s="8"/>
      <c r="CB33" s="8"/>
      <c r="CC33" s="8"/>
      <c r="CG33" s="8"/>
      <c r="CH33" s="8"/>
      <c r="CI33" s="8"/>
      <c r="CJ33" s="8"/>
      <c r="CN33" s="8"/>
      <c r="CO33" s="8"/>
      <c r="CP33" s="8"/>
      <c r="CQ33" s="8"/>
      <c r="CU33" s="8"/>
      <c r="CV33" s="8"/>
      <c r="CW33" s="8"/>
      <c r="CX33" s="8"/>
      <c r="DB33" s="8"/>
      <c r="DC33" s="8"/>
      <c r="DD33" s="8"/>
      <c r="DE33" s="8"/>
    </row>
    <row r="34" spans="1:109" x14ac:dyDescent="0.25">
      <c r="BJ34" s="21"/>
      <c r="BX34" s="18"/>
    </row>
    <row r="35" spans="1:109" x14ac:dyDescent="0.25">
      <c r="A35">
        <v>5</v>
      </c>
      <c r="B35" t="s">
        <v>19</v>
      </c>
      <c r="C35" t="s">
        <v>86</v>
      </c>
      <c r="E35" s="7">
        <v>5</v>
      </c>
      <c r="G35" s="8">
        <f>+SUM(G36:G46)</f>
        <v>0.99999999999999989</v>
      </c>
      <c r="I35" s="10">
        <f>+SUM(I36:I46)</f>
        <v>0</v>
      </c>
      <c r="J35" s="9">
        <f>+SUMPRODUCT(G36:G46,J36:J46)</f>
        <v>0</v>
      </c>
      <c r="K35" s="9">
        <f>+SUMPRODUCT(G36:G46,K36:K46)</f>
        <v>0</v>
      </c>
      <c r="L35" s="7"/>
      <c r="N35" s="10"/>
      <c r="U35" s="10"/>
      <c r="AB35" s="10"/>
      <c r="AI35" s="10"/>
      <c r="AP35" s="10"/>
      <c r="BF35" s="8"/>
      <c r="BH35" s="8"/>
      <c r="BJ35" s="21"/>
      <c r="BX35" s="18"/>
    </row>
    <row r="36" spans="1:109" outlineLevel="1" x14ac:dyDescent="0.25">
      <c r="B36" t="s">
        <v>20</v>
      </c>
      <c r="C36" t="s">
        <v>86</v>
      </c>
      <c r="E36" s="7"/>
      <c r="F36" t="s">
        <v>109</v>
      </c>
      <c r="G36" s="8">
        <v>0</v>
      </c>
      <c r="I36" s="7">
        <f t="shared" ref="I36:I46" si="2">+SUMIF($N$3:$ZZ$3,I$3,$N36:$ZZ36)</f>
        <v>0</v>
      </c>
      <c r="J36" s="9" cm="1">
        <f t="array" ref="J36">MAX(IF($N$3:$EH$3=$J$3,N36:EH36))</f>
        <v>0</v>
      </c>
      <c r="K36" s="9" cm="1">
        <f t="array" ref="K36">MAX(IF($N$3:$EH$3=$J$3,N36:EH36))</f>
        <v>0</v>
      </c>
      <c r="L36" s="7"/>
      <c r="O36" s="8"/>
      <c r="P36" s="8">
        <v>1</v>
      </c>
      <c r="Q36" s="8"/>
      <c r="R36" s="8">
        <v>1</v>
      </c>
      <c r="V36" s="8"/>
      <c r="W36" s="8">
        <v>1</v>
      </c>
      <c r="X36" s="8"/>
      <c r="Y36" s="8">
        <v>1</v>
      </c>
      <c r="AC36" s="8"/>
      <c r="AD36" s="8">
        <v>1</v>
      </c>
      <c r="AE36" s="8"/>
      <c r="AF36" s="8">
        <v>1</v>
      </c>
      <c r="AJ36" s="8"/>
      <c r="AK36" s="8">
        <v>1</v>
      </c>
      <c r="AL36" s="8"/>
      <c r="AM36" s="8">
        <v>1</v>
      </c>
      <c r="AQ36" s="8"/>
      <c r="AR36" s="8">
        <v>1</v>
      </c>
      <c r="AS36" s="8"/>
      <c r="AT36" s="8">
        <v>1</v>
      </c>
      <c r="AX36" s="8"/>
      <c r="AY36" s="8">
        <v>1</v>
      </c>
      <c r="AZ36" s="8"/>
      <c r="BA36" s="8">
        <v>1</v>
      </c>
      <c r="BE36" s="8"/>
      <c r="BF36" s="8">
        <v>1</v>
      </c>
      <c r="BG36" s="8"/>
      <c r="BH36" s="8">
        <v>1</v>
      </c>
      <c r="BJ36" s="21"/>
      <c r="BL36" s="8"/>
      <c r="BM36" s="8"/>
      <c r="BN36" s="8"/>
      <c r="BO36" s="8"/>
      <c r="BS36" s="8"/>
      <c r="BT36" s="8"/>
      <c r="BU36" s="8"/>
      <c r="BV36" s="8"/>
      <c r="BX36" s="18"/>
      <c r="BZ36" s="8"/>
      <c r="CA36" s="8"/>
      <c r="CB36" s="8"/>
      <c r="CC36" s="8"/>
      <c r="CG36" s="8"/>
      <c r="CH36" s="8"/>
      <c r="CI36" s="8"/>
      <c r="CJ36" s="8"/>
      <c r="CN36" s="8"/>
      <c r="CO36" s="8"/>
      <c r="CP36" s="8"/>
      <c r="CQ36" s="8"/>
      <c r="CU36" s="8"/>
      <c r="CV36" s="8"/>
      <c r="CW36" s="8"/>
      <c r="CX36" s="8"/>
      <c r="DB36" s="8"/>
      <c r="DC36" s="8"/>
      <c r="DD36" s="8"/>
      <c r="DE36" s="8"/>
    </row>
    <row r="37" spans="1:109" outlineLevel="1" x14ac:dyDescent="0.25">
      <c r="B37" t="s">
        <v>20</v>
      </c>
      <c r="C37" t="s">
        <v>86</v>
      </c>
      <c r="E37" s="7"/>
      <c r="F37" t="s">
        <v>110</v>
      </c>
      <c r="G37" s="8">
        <v>0.1</v>
      </c>
      <c r="I37" s="7">
        <f t="shared" si="2"/>
        <v>0</v>
      </c>
      <c r="J37" s="9" cm="1">
        <f t="array" ref="J37">MAX(IF($N$3:$EH$3=$J$3,N37:EH37))</f>
        <v>0</v>
      </c>
      <c r="K37" s="9" cm="1">
        <f t="array" ref="K37">MAX(IF($N$3:$EH$3=$J$3,N37:EH37))</f>
        <v>0</v>
      </c>
      <c r="L37" s="7"/>
      <c r="O37" s="8"/>
      <c r="P37" s="8">
        <v>0.8</v>
      </c>
      <c r="Q37" s="8"/>
      <c r="R37" s="8">
        <v>0.8</v>
      </c>
      <c r="V37" s="8"/>
      <c r="W37" s="8">
        <v>0.8</v>
      </c>
      <c r="X37" s="8"/>
      <c r="Y37" s="8">
        <v>0.8</v>
      </c>
      <c r="AC37" s="8"/>
      <c r="AD37" s="8">
        <v>0.8</v>
      </c>
      <c r="AE37" s="8"/>
      <c r="AF37" s="8">
        <v>0.8</v>
      </c>
      <c r="AJ37" s="8"/>
      <c r="AK37" s="8">
        <v>0.8</v>
      </c>
      <c r="AL37" s="8"/>
      <c r="AM37" s="8">
        <v>0.8</v>
      </c>
      <c r="AQ37" s="8"/>
      <c r="AR37" s="8">
        <v>0.8</v>
      </c>
      <c r="AS37" s="8"/>
      <c r="AT37" s="8">
        <v>0.8</v>
      </c>
      <c r="AX37" s="8"/>
      <c r="AY37" s="8">
        <v>1</v>
      </c>
      <c r="AZ37" s="8"/>
      <c r="BA37" s="8">
        <v>1</v>
      </c>
      <c r="BE37" s="8"/>
      <c r="BF37" s="8">
        <v>1</v>
      </c>
      <c r="BG37" s="8"/>
      <c r="BH37" s="8">
        <v>1</v>
      </c>
      <c r="BJ37" s="21"/>
      <c r="BL37" s="8"/>
      <c r="BM37" s="8"/>
      <c r="BN37" s="8"/>
      <c r="BO37" s="8"/>
      <c r="BS37" s="8"/>
      <c r="BT37" s="8"/>
      <c r="BU37" s="8"/>
      <c r="BV37" s="8"/>
      <c r="BX37" s="18"/>
      <c r="BZ37" s="8"/>
      <c r="CA37" s="8"/>
      <c r="CB37" s="8"/>
      <c r="CC37" s="8"/>
      <c r="CG37" s="8"/>
      <c r="CH37" s="8"/>
      <c r="CI37" s="8"/>
      <c r="CJ37" s="8"/>
      <c r="CN37" s="8"/>
      <c r="CO37" s="8"/>
      <c r="CP37" s="8"/>
      <c r="CQ37" s="8"/>
      <c r="CU37" s="8"/>
      <c r="CV37" s="8"/>
      <c r="CW37" s="8"/>
      <c r="CX37" s="8"/>
      <c r="DB37" s="8"/>
      <c r="DC37" s="8"/>
      <c r="DD37" s="8"/>
      <c r="DE37" s="8"/>
    </row>
    <row r="38" spans="1:109" outlineLevel="1" x14ac:dyDescent="0.25">
      <c r="B38" t="s">
        <v>20</v>
      </c>
      <c r="C38" t="s">
        <v>86</v>
      </c>
      <c r="D38" s="17">
        <v>44621</v>
      </c>
      <c r="E38" s="7"/>
      <c r="F38" t="s">
        <v>111</v>
      </c>
      <c r="G38" s="8">
        <v>0.1</v>
      </c>
      <c r="I38" s="7">
        <f t="shared" si="2"/>
        <v>0</v>
      </c>
      <c r="J38" s="9" cm="1">
        <f t="array" ref="J38">MAX(IF($N$3:$EH$3=$J$3,N38:EH38))</f>
        <v>0</v>
      </c>
      <c r="K38" s="9" cm="1">
        <f t="array" ref="K38">MAX(IF($N$3:$EH$3=$J$3,N38:EH38))</f>
        <v>0</v>
      </c>
      <c r="L38" s="7"/>
      <c r="O38" s="8"/>
      <c r="P38" s="8">
        <v>0.8</v>
      </c>
      <c r="Q38" s="8"/>
      <c r="R38" s="8">
        <v>0.8</v>
      </c>
      <c r="V38" s="8"/>
      <c r="W38" s="8">
        <v>0.8</v>
      </c>
      <c r="X38" s="8"/>
      <c r="Y38" s="8">
        <v>0.8</v>
      </c>
      <c r="AC38" s="8"/>
      <c r="AD38" s="8">
        <v>0.8</v>
      </c>
      <c r="AE38" s="8"/>
      <c r="AF38" s="8">
        <v>0.8</v>
      </c>
      <c r="AJ38" s="8"/>
      <c r="AK38" s="8">
        <v>0.8</v>
      </c>
      <c r="AL38" s="8"/>
      <c r="AM38" s="8">
        <v>0.8</v>
      </c>
      <c r="AQ38" s="8"/>
      <c r="AR38" s="8">
        <v>0.8</v>
      </c>
      <c r="AS38" s="8"/>
      <c r="AT38" s="8">
        <v>0.8</v>
      </c>
      <c r="AX38" s="8"/>
      <c r="AY38" s="8">
        <v>1</v>
      </c>
      <c r="AZ38" s="8"/>
      <c r="BA38" s="8">
        <v>1</v>
      </c>
      <c r="BE38" s="8"/>
      <c r="BF38" s="8">
        <v>1</v>
      </c>
      <c r="BG38" s="8"/>
      <c r="BH38" s="8">
        <v>1</v>
      </c>
      <c r="BJ38" s="21"/>
      <c r="BL38" s="8"/>
      <c r="BM38" s="8"/>
      <c r="BN38" s="8"/>
      <c r="BO38" s="8"/>
      <c r="BS38" s="8"/>
      <c r="BT38" s="8"/>
      <c r="BU38" s="8"/>
      <c r="BV38" s="8"/>
      <c r="BX38" s="18"/>
      <c r="BZ38" s="8"/>
      <c r="CA38" s="8"/>
      <c r="CB38" s="8"/>
      <c r="CC38" s="8"/>
      <c r="CG38" s="8"/>
      <c r="CH38" s="8"/>
      <c r="CI38" s="8"/>
      <c r="CJ38" s="8"/>
      <c r="CN38" s="8"/>
      <c r="CO38" s="8"/>
      <c r="CP38" s="8"/>
      <c r="CQ38" s="8"/>
      <c r="CU38" s="8"/>
      <c r="CV38" s="8"/>
      <c r="CW38" s="8"/>
      <c r="CX38" s="8"/>
      <c r="DB38" s="8"/>
      <c r="DC38" s="8"/>
      <c r="DD38" s="8"/>
      <c r="DE38" s="8"/>
    </row>
    <row r="39" spans="1:109" outlineLevel="1" x14ac:dyDescent="0.25">
      <c r="B39" t="s">
        <v>20</v>
      </c>
      <c r="C39" t="s">
        <v>86</v>
      </c>
      <c r="E39" s="7"/>
      <c r="F39" t="s">
        <v>112</v>
      </c>
      <c r="G39" s="8">
        <v>0.1</v>
      </c>
      <c r="I39" s="7">
        <f t="shared" si="2"/>
        <v>0</v>
      </c>
      <c r="J39" s="9" cm="1">
        <f t="array" ref="J39">MAX(IF($N$3:$EH$3=$J$3,N39:EH39))</f>
        <v>0</v>
      </c>
      <c r="K39" s="9" cm="1">
        <f t="array" ref="K39">MAX(IF($N$3:$EH$3=$J$3,N39:EH39))</f>
        <v>0</v>
      </c>
      <c r="L39" s="7"/>
      <c r="O39" s="8"/>
      <c r="P39" s="8">
        <v>0.5</v>
      </c>
      <c r="Q39" s="8"/>
      <c r="R39" s="8">
        <v>0.5</v>
      </c>
      <c r="V39" s="8"/>
      <c r="W39" s="8">
        <v>0.5</v>
      </c>
      <c r="X39" s="8"/>
      <c r="Y39" s="8">
        <v>0.5</v>
      </c>
      <c r="AC39" s="8"/>
      <c r="AD39" s="8">
        <v>0.8</v>
      </c>
      <c r="AE39" s="8"/>
      <c r="AF39" s="8">
        <v>0.8</v>
      </c>
      <c r="AJ39" s="8"/>
      <c r="AK39" s="8">
        <v>0.8</v>
      </c>
      <c r="AL39" s="8"/>
      <c r="AM39" s="8">
        <v>0.8</v>
      </c>
      <c r="AQ39" s="8"/>
      <c r="AR39" s="8">
        <v>0.8</v>
      </c>
      <c r="AS39" s="8"/>
      <c r="AT39" s="8">
        <v>0.8</v>
      </c>
      <c r="AX39" s="8"/>
      <c r="AY39" s="8">
        <v>1</v>
      </c>
      <c r="AZ39" s="8"/>
      <c r="BA39" s="8">
        <v>1</v>
      </c>
      <c r="BE39" s="8"/>
      <c r="BF39" s="8">
        <v>1</v>
      </c>
      <c r="BG39" s="8"/>
      <c r="BH39" s="8">
        <v>1</v>
      </c>
      <c r="BJ39" s="21"/>
      <c r="BL39" s="8"/>
      <c r="BM39" s="8"/>
      <c r="BN39" s="8"/>
      <c r="BO39" s="8"/>
      <c r="BS39" s="8"/>
      <c r="BT39" s="8"/>
      <c r="BU39" s="8"/>
      <c r="BV39" s="8"/>
      <c r="BX39" s="18"/>
      <c r="BZ39" s="8"/>
      <c r="CA39" s="8"/>
      <c r="CB39" s="8"/>
      <c r="CC39" s="8"/>
      <c r="CG39" s="8"/>
      <c r="CH39" s="8"/>
      <c r="CI39" s="8"/>
      <c r="CJ39" s="8"/>
      <c r="CN39" s="8"/>
      <c r="CO39" s="8"/>
      <c r="CP39" s="8"/>
      <c r="CQ39" s="8"/>
      <c r="CU39" s="8"/>
      <c r="CV39" s="8"/>
      <c r="CW39" s="8"/>
      <c r="CX39" s="8"/>
      <c r="DB39" s="8"/>
      <c r="DC39" s="8"/>
      <c r="DD39" s="8"/>
      <c r="DE39" s="8"/>
    </row>
    <row r="40" spans="1:109" outlineLevel="1" x14ac:dyDescent="0.25">
      <c r="B40" t="s">
        <v>20</v>
      </c>
      <c r="C40" t="s">
        <v>86</v>
      </c>
      <c r="E40" s="7"/>
      <c r="F40" t="s">
        <v>113</v>
      </c>
      <c r="G40" s="8">
        <v>0.1</v>
      </c>
      <c r="I40" s="7">
        <f t="shared" si="2"/>
        <v>0</v>
      </c>
      <c r="J40" s="9" cm="1">
        <f t="array" ref="J40">MAX(IF($N$3:$EH$3=$J$3,N40:EH40))</f>
        <v>0</v>
      </c>
      <c r="K40" s="9" cm="1">
        <f t="array" ref="K40">MAX(IF($N$3:$EH$3=$J$3,N40:EH40))</f>
        <v>0</v>
      </c>
      <c r="L40" s="7"/>
      <c r="O40" s="8"/>
      <c r="P40" s="8">
        <v>0.3</v>
      </c>
      <c r="Q40" s="8"/>
      <c r="R40" s="8">
        <v>0.3</v>
      </c>
      <c r="V40" s="8"/>
      <c r="W40" s="8">
        <v>0.5</v>
      </c>
      <c r="X40" s="8"/>
      <c r="Y40" s="8">
        <v>0.5</v>
      </c>
      <c r="AC40" s="8"/>
      <c r="AD40" s="8">
        <v>0.8</v>
      </c>
      <c r="AE40" s="8"/>
      <c r="AF40" s="8">
        <v>0.8</v>
      </c>
      <c r="AJ40" s="8"/>
      <c r="AK40" s="8">
        <v>0.8</v>
      </c>
      <c r="AL40" s="8"/>
      <c r="AM40" s="8">
        <v>0.8</v>
      </c>
      <c r="AQ40" s="8"/>
      <c r="AR40" s="8">
        <v>0.8</v>
      </c>
      <c r="AS40" s="8"/>
      <c r="AT40" s="8">
        <v>0.8</v>
      </c>
      <c r="AX40" s="8"/>
      <c r="AY40" s="8">
        <v>1</v>
      </c>
      <c r="AZ40" s="8"/>
      <c r="BA40" s="8">
        <v>1</v>
      </c>
      <c r="BE40" s="8"/>
      <c r="BF40" s="8">
        <v>1</v>
      </c>
      <c r="BG40" s="8"/>
      <c r="BH40" s="8">
        <v>1</v>
      </c>
      <c r="BJ40" s="21"/>
      <c r="BL40" s="8"/>
      <c r="BM40" s="8"/>
      <c r="BN40" s="8"/>
      <c r="BO40" s="8"/>
      <c r="BS40" s="8"/>
      <c r="BT40" s="8"/>
      <c r="BU40" s="8"/>
      <c r="BV40" s="8"/>
      <c r="BX40" s="18"/>
      <c r="BZ40" s="8"/>
      <c r="CA40" s="8"/>
      <c r="CB40" s="8"/>
      <c r="CC40" s="8"/>
      <c r="CG40" s="8"/>
      <c r="CH40" s="8"/>
      <c r="CI40" s="8"/>
      <c r="CJ40" s="8"/>
      <c r="CN40" s="8"/>
      <c r="CO40" s="8"/>
      <c r="CP40" s="8"/>
      <c r="CQ40" s="8"/>
      <c r="CU40" s="8"/>
      <c r="CV40" s="8"/>
      <c r="CW40" s="8"/>
      <c r="CX40" s="8"/>
      <c r="DB40" s="8"/>
      <c r="DC40" s="8"/>
      <c r="DD40" s="8"/>
      <c r="DE40" s="8"/>
    </row>
    <row r="41" spans="1:109" outlineLevel="1" x14ac:dyDescent="0.25">
      <c r="B41" t="s">
        <v>20</v>
      </c>
      <c r="C41" t="s">
        <v>86</v>
      </c>
      <c r="E41" s="7"/>
      <c r="F41" t="s">
        <v>114</v>
      </c>
      <c r="G41" s="8">
        <v>0.1</v>
      </c>
      <c r="I41" s="7">
        <f t="shared" si="2"/>
        <v>0</v>
      </c>
      <c r="J41" s="9" cm="1">
        <f t="array" ref="J41">MAX(IF($N$3:$EH$3=$J$3,N41:EH41))</f>
        <v>0</v>
      </c>
      <c r="K41" s="9" cm="1">
        <f t="array" ref="K41">MAX(IF($N$3:$EH$3=$J$3,N41:EH41))</f>
        <v>0</v>
      </c>
      <c r="L41" s="7"/>
      <c r="O41" s="8"/>
      <c r="P41" s="8">
        <v>0.3</v>
      </c>
      <c r="Q41" s="8"/>
      <c r="R41" s="8">
        <v>0.3</v>
      </c>
      <c r="V41" s="8"/>
      <c r="W41" s="8">
        <v>0.5</v>
      </c>
      <c r="X41" s="8"/>
      <c r="Y41" s="8">
        <v>0.5</v>
      </c>
      <c r="AC41" s="8"/>
      <c r="AD41" s="8">
        <v>0.8</v>
      </c>
      <c r="AE41" s="8"/>
      <c r="AF41" s="8">
        <v>0.8</v>
      </c>
      <c r="AJ41" s="8"/>
      <c r="AK41" s="8">
        <v>0.8</v>
      </c>
      <c r="AL41" s="8"/>
      <c r="AM41" s="8">
        <v>0.8</v>
      </c>
      <c r="AQ41" s="8"/>
      <c r="AR41" s="8">
        <v>0.8</v>
      </c>
      <c r="AS41" s="8"/>
      <c r="AT41" s="8">
        <v>0.8</v>
      </c>
      <c r="AX41" s="8"/>
      <c r="AY41" s="8">
        <v>1</v>
      </c>
      <c r="AZ41" s="8"/>
      <c r="BA41" s="8">
        <v>1</v>
      </c>
      <c r="BE41" s="8"/>
      <c r="BF41" s="8">
        <v>1</v>
      </c>
      <c r="BG41" s="8"/>
      <c r="BH41" s="8">
        <v>1</v>
      </c>
      <c r="BJ41" s="21"/>
      <c r="BL41" s="8"/>
      <c r="BM41" s="8"/>
      <c r="BN41" s="8"/>
      <c r="BO41" s="8"/>
      <c r="BS41" s="8"/>
      <c r="BT41" s="8"/>
      <c r="BU41" s="8"/>
      <c r="BV41" s="8"/>
      <c r="BX41" s="18"/>
      <c r="BZ41" s="8"/>
      <c r="CA41" s="8"/>
      <c r="CB41" s="8"/>
      <c r="CC41" s="8"/>
      <c r="CG41" s="8"/>
      <c r="CH41" s="8"/>
      <c r="CI41" s="8"/>
      <c r="CJ41" s="8"/>
      <c r="CN41" s="8"/>
      <c r="CO41" s="8"/>
      <c r="CP41" s="8"/>
      <c r="CQ41" s="8"/>
      <c r="CU41" s="8"/>
      <c r="CV41" s="8"/>
      <c r="CW41" s="8"/>
      <c r="CX41" s="8"/>
      <c r="DB41" s="8"/>
      <c r="DC41" s="8"/>
      <c r="DD41" s="8"/>
      <c r="DE41" s="8"/>
    </row>
    <row r="42" spans="1:109" outlineLevel="1" x14ac:dyDescent="0.25">
      <c r="B42" t="s">
        <v>20</v>
      </c>
      <c r="C42" t="s">
        <v>86</v>
      </c>
      <c r="E42" s="7"/>
      <c r="F42" t="s">
        <v>115</v>
      </c>
      <c r="G42" s="8">
        <v>0.1</v>
      </c>
      <c r="I42" s="7">
        <f t="shared" si="2"/>
        <v>0</v>
      </c>
      <c r="J42" s="9" cm="1">
        <f t="array" ref="J42">MAX(IF($N$3:$EH$3=$J$3,N42:EH42))</f>
        <v>0</v>
      </c>
      <c r="K42" s="9" cm="1">
        <f t="array" ref="K42">MAX(IF($N$3:$EH$3=$J$3,N42:EH42))</f>
        <v>0</v>
      </c>
      <c r="L42" s="7"/>
      <c r="O42" s="8"/>
      <c r="P42" s="8">
        <v>0.1</v>
      </c>
      <c r="Q42" s="8"/>
      <c r="R42" s="8">
        <v>0.1</v>
      </c>
      <c r="V42" s="8"/>
      <c r="W42" s="8">
        <v>0.5</v>
      </c>
      <c r="X42" s="8"/>
      <c r="Y42" s="8">
        <v>0.5</v>
      </c>
      <c r="AC42" s="8"/>
      <c r="AD42" s="8">
        <v>0.5</v>
      </c>
      <c r="AE42" s="8"/>
      <c r="AF42" s="8">
        <v>0.5</v>
      </c>
      <c r="AJ42" s="8"/>
      <c r="AK42" s="8">
        <v>0.8</v>
      </c>
      <c r="AL42" s="8"/>
      <c r="AM42" s="8">
        <v>0.8</v>
      </c>
      <c r="AQ42" s="8"/>
      <c r="AR42" s="8">
        <v>0.8</v>
      </c>
      <c r="AS42" s="8"/>
      <c r="AT42" s="8">
        <v>0.8</v>
      </c>
      <c r="AX42" s="8"/>
      <c r="AY42" s="8">
        <v>0.8</v>
      </c>
      <c r="AZ42" s="8"/>
      <c r="BA42" s="8">
        <v>0.8</v>
      </c>
      <c r="BE42" s="8"/>
      <c r="BF42" s="8">
        <v>1</v>
      </c>
      <c r="BG42" s="8"/>
      <c r="BH42" s="8">
        <v>1</v>
      </c>
      <c r="BJ42" s="21"/>
      <c r="BL42" s="8"/>
      <c r="BM42" s="8"/>
      <c r="BN42" s="8"/>
      <c r="BO42" s="8"/>
      <c r="BS42" s="8"/>
      <c r="BT42" s="8"/>
      <c r="BU42" s="8"/>
      <c r="BV42" s="8"/>
      <c r="BX42" s="18"/>
      <c r="BZ42" s="8"/>
      <c r="CA42" s="8"/>
      <c r="CB42" s="8"/>
      <c r="CC42" s="8"/>
      <c r="CG42" s="8"/>
      <c r="CH42" s="8"/>
      <c r="CI42" s="8"/>
      <c r="CJ42" s="8"/>
      <c r="CN42" s="8"/>
      <c r="CO42" s="8"/>
      <c r="CP42" s="8"/>
      <c r="CQ42" s="8"/>
      <c r="CU42" s="8"/>
      <c r="CV42" s="8"/>
      <c r="CW42" s="8"/>
      <c r="CX42" s="8"/>
      <c r="DB42" s="8"/>
      <c r="DC42" s="8"/>
      <c r="DD42" s="8"/>
      <c r="DE42" s="8"/>
    </row>
    <row r="43" spans="1:109" outlineLevel="1" x14ac:dyDescent="0.25">
      <c r="B43" t="s">
        <v>20</v>
      </c>
      <c r="C43" t="s">
        <v>86</v>
      </c>
      <c r="E43" s="7"/>
      <c r="F43" t="s">
        <v>116</v>
      </c>
      <c r="G43" s="8">
        <v>0.1</v>
      </c>
      <c r="I43" s="7">
        <f t="shared" si="2"/>
        <v>0</v>
      </c>
      <c r="J43" s="9" cm="1">
        <f t="array" ref="J43">MAX(IF($N$3:$EH$3=$J$3,N43:EH43))</f>
        <v>0</v>
      </c>
      <c r="K43" s="9" cm="1">
        <f t="array" ref="K43">MAX(IF($N$3:$EH$3=$J$3,N43:EH43))</f>
        <v>0</v>
      </c>
      <c r="L43" s="7"/>
      <c r="O43" s="8"/>
      <c r="P43" s="8">
        <v>0.1</v>
      </c>
      <c r="Q43" s="8"/>
      <c r="R43" s="8">
        <v>0.1</v>
      </c>
      <c r="V43" s="8"/>
      <c r="W43" s="8">
        <v>0.3</v>
      </c>
      <c r="X43" s="8"/>
      <c r="Y43" s="8">
        <v>0.3</v>
      </c>
      <c r="AC43" s="8"/>
      <c r="AD43" s="8">
        <v>0.5</v>
      </c>
      <c r="AE43" s="8"/>
      <c r="AF43" s="8">
        <v>0.5</v>
      </c>
      <c r="AJ43" s="8"/>
      <c r="AK43" s="8">
        <v>0.8</v>
      </c>
      <c r="AL43" s="8"/>
      <c r="AM43" s="8">
        <v>0.8</v>
      </c>
      <c r="AQ43" s="8"/>
      <c r="AR43" s="8">
        <v>0.8</v>
      </c>
      <c r="AS43" s="8"/>
      <c r="AT43" s="8">
        <v>0.8</v>
      </c>
      <c r="AX43" s="8"/>
      <c r="AY43" s="8">
        <v>0.8</v>
      </c>
      <c r="AZ43" s="8"/>
      <c r="BA43" s="8">
        <v>0.8</v>
      </c>
      <c r="BE43" s="8"/>
      <c r="BF43" s="8">
        <v>1</v>
      </c>
      <c r="BG43" s="8"/>
      <c r="BH43" s="8">
        <v>1</v>
      </c>
      <c r="BJ43" s="21"/>
      <c r="BL43" s="8"/>
      <c r="BM43" s="8"/>
      <c r="BN43" s="8"/>
      <c r="BO43" s="8"/>
      <c r="BS43" s="8"/>
      <c r="BT43" s="8"/>
      <c r="BU43" s="8"/>
      <c r="BV43" s="8"/>
      <c r="BX43" s="18"/>
      <c r="BZ43" s="8"/>
      <c r="CA43" s="8"/>
      <c r="CB43" s="8"/>
      <c r="CC43" s="8"/>
      <c r="CG43" s="8"/>
      <c r="CH43" s="8"/>
      <c r="CI43" s="8"/>
      <c r="CJ43" s="8"/>
      <c r="CN43" s="8"/>
      <c r="CO43" s="8"/>
      <c r="CP43" s="8"/>
      <c r="CQ43" s="8"/>
      <c r="CU43" s="8"/>
      <c r="CV43" s="8"/>
      <c r="CW43" s="8"/>
      <c r="CX43" s="8"/>
      <c r="DB43" s="8"/>
      <c r="DC43" s="8"/>
      <c r="DD43" s="8"/>
      <c r="DE43" s="8"/>
    </row>
    <row r="44" spans="1:109" outlineLevel="1" x14ac:dyDescent="0.25">
      <c r="B44" t="s">
        <v>20</v>
      </c>
      <c r="C44" t="s">
        <v>86</v>
      </c>
      <c r="E44" s="7"/>
      <c r="F44" t="s">
        <v>117</v>
      </c>
      <c r="G44" s="8">
        <v>0.1</v>
      </c>
      <c r="I44" s="7">
        <f t="shared" si="2"/>
        <v>0</v>
      </c>
      <c r="J44" s="9" cm="1">
        <f t="array" ref="J44">MAX(IF($N$3:$EH$3=$J$3,N44:EH44))</f>
        <v>0</v>
      </c>
      <c r="K44" s="9" cm="1">
        <f t="array" ref="K44">MAX(IF($N$3:$EH$3=$J$3,N44:EH44))</f>
        <v>0</v>
      </c>
      <c r="L44" s="7"/>
      <c r="O44" s="8"/>
      <c r="P44" s="8">
        <v>0.1</v>
      </c>
      <c r="Q44" s="8"/>
      <c r="R44" s="8">
        <v>0.1</v>
      </c>
      <c r="V44" s="8"/>
      <c r="W44" s="8">
        <v>0.1</v>
      </c>
      <c r="X44" s="8"/>
      <c r="Y44" s="8">
        <v>0.1</v>
      </c>
      <c r="AC44" s="8"/>
      <c r="AD44" s="8">
        <v>0.3</v>
      </c>
      <c r="AE44" s="8"/>
      <c r="AF44" s="8">
        <v>0.3</v>
      </c>
      <c r="AJ44" s="8"/>
      <c r="AK44" s="8">
        <v>0.5</v>
      </c>
      <c r="AL44" s="8"/>
      <c r="AM44" s="8">
        <v>0.5</v>
      </c>
      <c r="AQ44" s="8"/>
      <c r="AR44" s="8">
        <v>0.8</v>
      </c>
      <c r="AS44" s="8"/>
      <c r="AT44" s="8">
        <v>0.8</v>
      </c>
      <c r="AX44" s="8"/>
      <c r="AY44" s="8">
        <v>0.8</v>
      </c>
      <c r="AZ44" s="8"/>
      <c r="BA44" s="8">
        <v>0.8</v>
      </c>
      <c r="BE44" s="8"/>
      <c r="BF44" s="8">
        <v>1</v>
      </c>
      <c r="BG44" s="8"/>
      <c r="BH44" s="8">
        <v>1</v>
      </c>
      <c r="BJ44" s="21"/>
      <c r="BL44" s="8"/>
      <c r="BM44" s="8"/>
      <c r="BN44" s="8"/>
      <c r="BO44" s="8"/>
      <c r="BS44" s="8"/>
      <c r="BT44" s="8"/>
      <c r="BU44" s="8"/>
      <c r="BV44" s="8"/>
      <c r="BX44" s="18"/>
      <c r="BZ44" s="8"/>
      <c r="CA44" s="8"/>
      <c r="CB44" s="8"/>
      <c r="CC44" s="8"/>
      <c r="CG44" s="8"/>
      <c r="CH44" s="8"/>
      <c r="CI44" s="8"/>
      <c r="CJ44" s="8"/>
      <c r="CN44" s="8"/>
      <c r="CO44" s="8"/>
      <c r="CP44" s="8"/>
      <c r="CQ44" s="8"/>
      <c r="CU44" s="8"/>
      <c r="CV44" s="8"/>
      <c r="CW44" s="8"/>
      <c r="CX44" s="8"/>
      <c r="DB44" s="8"/>
      <c r="DC44" s="8"/>
      <c r="DD44" s="8"/>
      <c r="DE44" s="8"/>
    </row>
    <row r="45" spans="1:109" outlineLevel="1" x14ac:dyDescent="0.25">
      <c r="B45" t="s">
        <v>20</v>
      </c>
      <c r="C45" t="s">
        <v>86</v>
      </c>
      <c r="E45" s="7"/>
      <c r="F45" t="s">
        <v>118</v>
      </c>
      <c r="G45" s="8">
        <v>0.1</v>
      </c>
      <c r="I45" s="7">
        <f t="shared" si="2"/>
        <v>0</v>
      </c>
      <c r="J45" s="9" cm="1">
        <f t="array" ref="J45">MAX(IF($N$3:$EH$3=$J$3,N45:EH45))</f>
        <v>0</v>
      </c>
      <c r="K45" s="9" cm="1">
        <f t="array" ref="K45">MAX(IF($N$3:$EH$3=$J$3,N45:EH45))</f>
        <v>0</v>
      </c>
      <c r="L45" s="7"/>
      <c r="O45" s="8"/>
      <c r="P45" s="8">
        <v>0.1</v>
      </c>
      <c r="Q45" s="8"/>
      <c r="R45" s="8">
        <v>0.1</v>
      </c>
      <c r="V45" s="8"/>
      <c r="W45" s="8">
        <v>0.1</v>
      </c>
      <c r="X45" s="8"/>
      <c r="Y45" s="8">
        <v>0.1</v>
      </c>
      <c r="AC45" s="8"/>
      <c r="AD45" s="8">
        <v>0.1</v>
      </c>
      <c r="AE45" s="8"/>
      <c r="AF45" s="8">
        <v>0.1</v>
      </c>
      <c r="AJ45" s="8"/>
      <c r="AK45" s="8">
        <v>0.3</v>
      </c>
      <c r="AL45" s="8"/>
      <c r="AM45" s="8">
        <v>0.3</v>
      </c>
      <c r="AQ45" s="8"/>
      <c r="AR45" s="8">
        <v>0.8</v>
      </c>
      <c r="AS45" s="8"/>
      <c r="AT45" s="8">
        <v>0.8</v>
      </c>
      <c r="AX45" s="8"/>
      <c r="AY45" s="8">
        <v>0.8</v>
      </c>
      <c r="AZ45" s="8"/>
      <c r="BA45" s="8">
        <v>0.8</v>
      </c>
      <c r="BE45" s="8"/>
      <c r="BF45" s="8">
        <v>1</v>
      </c>
      <c r="BG45" s="8"/>
      <c r="BH45" s="8">
        <v>1</v>
      </c>
      <c r="BJ45" s="21"/>
      <c r="BL45" s="8"/>
      <c r="BM45" s="8"/>
      <c r="BN45" s="8"/>
      <c r="BO45" s="8"/>
      <c r="BS45" s="8"/>
      <c r="BT45" s="8"/>
      <c r="BU45" s="8"/>
      <c r="BV45" s="8"/>
      <c r="BX45" s="18"/>
      <c r="BZ45" s="8"/>
      <c r="CA45" s="8"/>
      <c r="CB45" s="8"/>
      <c r="CC45" s="8"/>
      <c r="CG45" s="8"/>
      <c r="CH45" s="8"/>
      <c r="CI45" s="8"/>
      <c r="CJ45" s="8"/>
      <c r="CN45" s="8"/>
      <c r="CO45" s="8"/>
      <c r="CP45" s="8"/>
      <c r="CQ45" s="8"/>
      <c r="CU45" s="8"/>
      <c r="CV45" s="8"/>
      <c r="CW45" s="8"/>
      <c r="CX45" s="8"/>
      <c r="DB45" s="8"/>
      <c r="DC45" s="8"/>
      <c r="DD45" s="8"/>
      <c r="DE45" s="8"/>
    </row>
    <row r="46" spans="1:109" outlineLevel="1" x14ac:dyDescent="0.25">
      <c r="B46" t="s">
        <v>20</v>
      </c>
      <c r="C46" t="s">
        <v>86</v>
      </c>
      <c r="E46" s="7"/>
      <c r="F46" t="s">
        <v>119</v>
      </c>
      <c r="G46" s="8">
        <v>0.1</v>
      </c>
      <c r="I46" s="7">
        <f t="shared" si="2"/>
        <v>0</v>
      </c>
      <c r="J46" s="9" cm="1">
        <f t="array" ref="J46">MAX(IF($N$3:$EH$3=$J$3,N46:EH46))</f>
        <v>0</v>
      </c>
      <c r="K46" s="9" cm="1">
        <f t="array" ref="K46">MAX(IF($N$3:$EH$3=$J$3,N46:EH46))</f>
        <v>0</v>
      </c>
      <c r="L46" s="7"/>
      <c r="O46" s="8"/>
      <c r="P46" s="8">
        <v>0.1</v>
      </c>
      <c r="Q46" s="8"/>
      <c r="R46" s="8">
        <v>0.1</v>
      </c>
      <c r="V46" s="8"/>
      <c r="W46" s="8">
        <v>0.1</v>
      </c>
      <c r="X46" s="8"/>
      <c r="Y46" s="8">
        <v>0.1</v>
      </c>
      <c r="AC46" s="8"/>
      <c r="AD46" s="8">
        <v>0.1</v>
      </c>
      <c r="AE46" s="8"/>
      <c r="AF46" s="8">
        <v>0.1</v>
      </c>
      <c r="AJ46" s="8"/>
      <c r="AK46" s="8">
        <v>0.3</v>
      </c>
      <c r="AL46" s="8"/>
      <c r="AM46" s="8">
        <v>0.3</v>
      </c>
      <c r="AQ46" s="8"/>
      <c r="AR46" s="8">
        <v>0.8</v>
      </c>
      <c r="AS46" s="8"/>
      <c r="AT46" s="8">
        <v>0.8</v>
      </c>
      <c r="AX46" s="8"/>
      <c r="AY46" s="8">
        <v>0.8</v>
      </c>
      <c r="AZ46" s="8"/>
      <c r="BA46" s="8">
        <v>0.8</v>
      </c>
      <c r="BE46" s="8"/>
      <c r="BF46" s="8">
        <v>1</v>
      </c>
      <c r="BG46" s="8"/>
      <c r="BH46" s="8">
        <v>1</v>
      </c>
      <c r="BJ46" s="21"/>
      <c r="BL46" s="8"/>
      <c r="BM46" s="8"/>
      <c r="BN46" s="8"/>
      <c r="BO46" s="8"/>
      <c r="BS46" s="8"/>
      <c r="BT46" s="8"/>
      <c r="BU46" s="8"/>
      <c r="BV46" s="8"/>
      <c r="BX46" s="18"/>
      <c r="BZ46" s="8"/>
      <c r="CA46" s="8"/>
      <c r="CB46" s="8"/>
      <c r="CC46" s="8"/>
      <c r="CG46" s="8"/>
      <c r="CH46" s="8"/>
      <c r="CI46" s="8"/>
      <c r="CJ46" s="8"/>
      <c r="CN46" s="8"/>
      <c r="CO46" s="8"/>
      <c r="CP46" s="8"/>
      <c r="CQ46" s="8"/>
      <c r="CU46" s="8"/>
      <c r="CV46" s="8"/>
      <c r="CW46" s="8"/>
      <c r="CX46" s="8"/>
      <c r="DB46" s="8"/>
      <c r="DC46" s="8"/>
      <c r="DD46" s="8"/>
      <c r="DE46" s="8"/>
    </row>
    <row r="47" spans="1:109" x14ac:dyDescent="0.25">
      <c r="BA47" s="8"/>
      <c r="BF47" s="8"/>
      <c r="BJ47" s="21"/>
      <c r="BX47" s="18"/>
    </row>
    <row r="48" spans="1:109" x14ac:dyDescent="0.25">
      <c r="A48">
        <v>2</v>
      </c>
      <c r="B48" t="s">
        <v>19</v>
      </c>
      <c r="C48" t="s">
        <v>87</v>
      </c>
      <c r="E48" s="7">
        <v>5</v>
      </c>
      <c r="G48" s="8">
        <f>+SUM(G49,G55)</f>
        <v>1</v>
      </c>
      <c r="I48" s="10">
        <f>+SUM(I50:I59)</f>
        <v>0</v>
      </c>
      <c r="J48" s="9">
        <f>+SUMPRODUCT(G50:G59,J50:J59)</f>
        <v>0</v>
      </c>
      <c r="K48" s="9">
        <f>+SUMPRODUCT(G50:G59,K50:K59)</f>
        <v>0</v>
      </c>
      <c r="L48" s="7"/>
      <c r="N48" s="10"/>
      <c r="U48" s="10"/>
      <c r="AB48" s="10"/>
      <c r="AI48" s="10"/>
      <c r="AP48" s="10"/>
      <c r="BE48" s="8"/>
      <c r="BF48" s="8"/>
      <c r="BH48" s="8"/>
      <c r="BJ48" s="21"/>
      <c r="BX48" s="18"/>
    </row>
    <row r="49" spans="1:109" x14ac:dyDescent="0.25">
      <c r="B49" t="s">
        <v>90</v>
      </c>
      <c r="E49" s="7"/>
      <c r="G49" s="8">
        <f>SUM(G50:G53)</f>
        <v>0.24</v>
      </c>
      <c r="I49" s="10"/>
      <c r="J49" s="9"/>
      <c r="K49" s="9"/>
      <c r="L49" s="7"/>
      <c r="N49" s="10"/>
      <c r="U49" s="10"/>
      <c r="AB49" s="10"/>
      <c r="AI49" s="10"/>
      <c r="AP49" s="10"/>
      <c r="BF49" s="8"/>
      <c r="BJ49" s="21"/>
      <c r="BX49" s="18"/>
    </row>
    <row r="50" spans="1:109" outlineLevel="1" x14ac:dyDescent="0.25">
      <c r="B50" t="s">
        <v>20</v>
      </c>
      <c r="C50" t="s">
        <v>87</v>
      </c>
      <c r="E50" s="7"/>
      <c r="F50" t="s">
        <v>123</v>
      </c>
      <c r="G50" s="8">
        <v>0.06</v>
      </c>
      <c r="I50" s="7">
        <f t="shared" ref="I50:I78" si="3">+SUMIF($N$3:$ZZ$3,I$3,$N50:$ZZ50)</f>
        <v>0</v>
      </c>
      <c r="J50" s="9" cm="1">
        <f t="array" ref="J50">MAX(IF($N$3:$EH$3=$J$3,N50:EH50))</f>
        <v>0</v>
      </c>
      <c r="K50" s="9" cm="1">
        <f t="array" ref="K50">MAX(IF($N$3:$EH$3=$J$3,N50:EH50))</f>
        <v>0</v>
      </c>
      <c r="L50" s="7"/>
      <c r="O50" s="8"/>
      <c r="P50" s="8">
        <v>0.8</v>
      </c>
      <c r="Q50" s="8"/>
      <c r="R50" s="8">
        <v>0.8</v>
      </c>
      <c r="V50" s="8"/>
      <c r="W50" s="8">
        <v>1</v>
      </c>
      <c r="X50" s="8"/>
      <c r="Y50" s="8">
        <v>1</v>
      </c>
      <c r="AC50" s="8"/>
      <c r="AD50" s="8">
        <v>1</v>
      </c>
      <c r="AE50" s="8"/>
      <c r="AF50" s="8">
        <v>1</v>
      </c>
      <c r="AJ50" s="8"/>
      <c r="AK50" s="8">
        <v>1</v>
      </c>
      <c r="AL50" s="8"/>
      <c r="AM50" s="8">
        <v>1</v>
      </c>
      <c r="AQ50" s="8"/>
      <c r="AR50" s="8">
        <v>1</v>
      </c>
      <c r="AS50" s="8"/>
      <c r="AT50" s="8">
        <v>1</v>
      </c>
      <c r="AX50" s="8"/>
      <c r="AY50" s="8">
        <v>1</v>
      </c>
      <c r="AZ50" s="8"/>
      <c r="BA50" s="8">
        <v>1</v>
      </c>
      <c r="BE50" s="8"/>
      <c r="BF50" s="8">
        <v>1</v>
      </c>
      <c r="BG50" s="8"/>
      <c r="BH50" s="8">
        <v>1</v>
      </c>
      <c r="BJ50" s="21"/>
      <c r="BL50" s="8"/>
      <c r="BM50" s="8"/>
      <c r="BN50" s="8"/>
      <c r="BO50" s="8"/>
      <c r="BS50" s="8"/>
      <c r="BT50" s="8"/>
      <c r="BU50" s="8"/>
      <c r="BV50" s="8"/>
      <c r="BX50" s="18"/>
      <c r="BZ50" s="8"/>
      <c r="CA50" s="8"/>
      <c r="CB50" s="8"/>
      <c r="CC50" s="8"/>
      <c r="CG50" s="8"/>
      <c r="CH50" s="8"/>
      <c r="CI50" s="8"/>
      <c r="CJ50" s="8"/>
      <c r="CN50" s="8"/>
      <c r="CO50" s="8"/>
      <c r="CP50" s="8"/>
      <c r="CQ50" s="8"/>
      <c r="CU50" s="8"/>
      <c r="CV50" s="8"/>
      <c r="CW50" s="8"/>
      <c r="CX50" s="8"/>
      <c r="DB50" s="8"/>
      <c r="DC50" s="8"/>
      <c r="DD50" s="8"/>
      <c r="DE50" s="8"/>
    </row>
    <row r="51" spans="1:109" outlineLevel="1" x14ac:dyDescent="0.25">
      <c r="B51" t="s">
        <v>20</v>
      </c>
      <c r="C51" t="s">
        <v>87</v>
      </c>
      <c r="D51" s="17">
        <v>44661</v>
      </c>
      <c r="E51" s="7"/>
      <c r="F51" t="s">
        <v>124</v>
      </c>
      <c r="G51" s="8">
        <v>0.06</v>
      </c>
      <c r="I51" s="7">
        <f t="shared" si="3"/>
        <v>0</v>
      </c>
      <c r="J51" s="9" cm="1">
        <f t="array" ref="J51">MAX(IF($N$3:$EH$3=$J$3,N51:EH51))</f>
        <v>0</v>
      </c>
      <c r="K51" s="9" cm="1">
        <f t="array" ref="K51">MAX(IF($N$3:$EH$3=$J$3,N51:EH51))</f>
        <v>0</v>
      </c>
      <c r="L51" s="7"/>
      <c r="O51" s="8"/>
      <c r="P51" s="8">
        <v>0.3</v>
      </c>
      <c r="Q51" s="8"/>
      <c r="R51" s="8">
        <v>0.3</v>
      </c>
      <c r="V51" s="8"/>
      <c r="W51" s="8">
        <v>0.5</v>
      </c>
      <c r="X51" s="8"/>
      <c r="Y51" s="8">
        <v>0.5</v>
      </c>
      <c r="AC51" s="8"/>
      <c r="AD51" s="8">
        <v>0.5</v>
      </c>
      <c r="AE51" s="8"/>
      <c r="AF51" s="8">
        <v>0.5</v>
      </c>
      <c r="AJ51" s="8"/>
      <c r="AK51" s="8">
        <v>1</v>
      </c>
      <c r="AL51" s="8"/>
      <c r="AM51" s="8">
        <v>1</v>
      </c>
      <c r="AQ51" s="8"/>
      <c r="AR51" s="8">
        <v>1</v>
      </c>
      <c r="AS51" s="8"/>
      <c r="AT51" s="8">
        <v>1</v>
      </c>
      <c r="AX51" s="8"/>
      <c r="AY51" s="8">
        <v>1</v>
      </c>
      <c r="AZ51" s="8"/>
      <c r="BA51" s="8">
        <v>1</v>
      </c>
      <c r="BE51" s="8"/>
      <c r="BF51" s="8">
        <v>1</v>
      </c>
      <c r="BG51" s="8"/>
      <c r="BH51" s="8">
        <v>1</v>
      </c>
      <c r="BJ51" s="21"/>
      <c r="BL51" s="8"/>
      <c r="BM51" s="8"/>
      <c r="BN51" s="8"/>
      <c r="BO51" s="8"/>
      <c r="BS51" s="8"/>
      <c r="BT51" s="8"/>
      <c r="BU51" s="8"/>
      <c r="BV51" s="8"/>
      <c r="BX51" s="18"/>
      <c r="BZ51" s="8"/>
      <c r="CA51" s="8"/>
      <c r="CB51" s="8"/>
      <c r="CC51" s="8"/>
      <c r="CG51" s="8"/>
      <c r="CH51" s="8"/>
      <c r="CI51" s="8"/>
      <c r="CJ51" s="8"/>
      <c r="CN51" s="8"/>
      <c r="CO51" s="8"/>
      <c r="CP51" s="8"/>
      <c r="CQ51" s="8"/>
      <c r="CU51" s="8"/>
      <c r="CV51" s="8"/>
      <c r="CW51" s="8"/>
      <c r="CX51" s="8"/>
      <c r="DB51" s="8"/>
      <c r="DC51" s="8"/>
      <c r="DD51" s="8"/>
      <c r="DE51" s="8"/>
    </row>
    <row r="52" spans="1:109" outlineLevel="1" x14ac:dyDescent="0.25">
      <c r="B52" t="s">
        <v>20</v>
      </c>
      <c r="C52" t="s">
        <v>87</v>
      </c>
      <c r="D52" s="17"/>
      <c r="E52" s="7"/>
      <c r="F52" t="s">
        <v>125</v>
      </c>
      <c r="G52" s="8">
        <v>0.06</v>
      </c>
      <c r="I52" s="7"/>
      <c r="J52" s="9"/>
      <c r="K52" s="9"/>
      <c r="L52" s="7"/>
      <c r="O52" s="8"/>
      <c r="P52" s="8">
        <v>0.1</v>
      </c>
      <c r="Q52" s="8"/>
      <c r="R52" s="8">
        <v>0.1</v>
      </c>
      <c r="V52" s="8"/>
      <c r="W52" s="8">
        <v>0.1</v>
      </c>
      <c r="X52" s="8"/>
      <c r="Y52" s="8">
        <v>0.1</v>
      </c>
      <c r="AC52" s="8"/>
      <c r="AD52" s="8">
        <v>0.5</v>
      </c>
      <c r="AE52" s="8"/>
      <c r="AF52" s="8">
        <v>0.5</v>
      </c>
      <c r="AJ52" s="8"/>
      <c r="AK52" s="8">
        <v>0.5</v>
      </c>
      <c r="AL52" s="8"/>
      <c r="AM52" s="8">
        <v>0.5</v>
      </c>
      <c r="AQ52" s="8"/>
      <c r="AR52" s="8">
        <v>0.8</v>
      </c>
      <c r="AS52" s="8"/>
      <c r="AT52" s="8">
        <v>0.8</v>
      </c>
      <c r="AX52" s="8"/>
      <c r="AY52" s="8">
        <v>0.8</v>
      </c>
      <c r="AZ52" s="8"/>
      <c r="BA52" s="8">
        <v>0.8</v>
      </c>
      <c r="BE52" s="8"/>
      <c r="BF52" s="8">
        <v>1</v>
      </c>
      <c r="BG52" s="8"/>
      <c r="BH52" s="8">
        <v>1</v>
      </c>
      <c r="BJ52" s="21"/>
      <c r="BL52" s="8"/>
      <c r="BM52" s="8"/>
      <c r="BN52" s="8"/>
      <c r="BO52" s="8"/>
      <c r="BS52" s="8"/>
      <c r="BT52" s="8"/>
      <c r="BU52" s="8"/>
      <c r="BV52" s="8"/>
      <c r="BX52" s="18"/>
      <c r="BZ52" s="8"/>
      <c r="CA52" s="8"/>
      <c r="CB52" s="8"/>
      <c r="CC52" s="8"/>
      <c r="CG52" s="8"/>
      <c r="CH52" s="8"/>
      <c r="CI52" s="8"/>
      <c r="CJ52" s="8"/>
      <c r="CN52" s="8"/>
      <c r="CO52" s="8"/>
      <c r="CP52" s="8"/>
      <c r="CQ52" s="8"/>
      <c r="CU52" s="8"/>
      <c r="CV52" s="8"/>
      <c r="CW52" s="8"/>
      <c r="CX52" s="8"/>
      <c r="DB52" s="8"/>
      <c r="DC52" s="8"/>
      <c r="DD52" s="8"/>
      <c r="DE52" s="8"/>
    </row>
    <row r="53" spans="1:109" outlineLevel="1" x14ac:dyDescent="0.25">
      <c r="B53" t="s">
        <v>20</v>
      </c>
      <c r="C53" t="s">
        <v>87</v>
      </c>
      <c r="E53" s="7"/>
      <c r="F53" t="s">
        <v>126</v>
      </c>
      <c r="G53" s="8">
        <v>0.06</v>
      </c>
      <c r="I53" s="7"/>
      <c r="J53" s="9"/>
      <c r="K53" s="9"/>
      <c r="L53" s="7"/>
      <c r="O53" s="8"/>
      <c r="P53" s="8">
        <v>0.1</v>
      </c>
      <c r="Q53" s="8"/>
      <c r="R53" s="8">
        <v>0.1</v>
      </c>
      <c r="V53" s="8"/>
      <c r="W53" s="8">
        <v>0.1</v>
      </c>
      <c r="X53" s="8"/>
      <c r="Y53" s="8">
        <v>0.1</v>
      </c>
      <c r="AC53" s="8"/>
      <c r="AD53" s="8">
        <v>0.1</v>
      </c>
      <c r="AE53" s="8"/>
      <c r="AF53" s="8">
        <v>0.1</v>
      </c>
      <c r="AJ53" s="8"/>
      <c r="AK53" s="8">
        <v>0.1</v>
      </c>
      <c r="AL53" s="8"/>
      <c r="AM53" s="8">
        <v>0.1</v>
      </c>
      <c r="AQ53" s="8"/>
      <c r="AR53" s="8">
        <v>0.3</v>
      </c>
      <c r="AS53" s="8"/>
      <c r="AT53" s="8">
        <v>0.3</v>
      </c>
      <c r="AX53" s="8"/>
      <c r="AY53" s="8">
        <v>0.8</v>
      </c>
      <c r="AZ53" s="8"/>
      <c r="BA53" s="8">
        <v>0.8</v>
      </c>
      <c r="BE53" s="8"/>
      <c r="BF53" s="8">
        <v>1</v>
      </c>
      <c r="BG53" s="8"/>
      <c r="BH53" s="8">
        <v>1</v>
      </c>
      <c r="BJ53" s="21"/>
      <c r="BL53" s="8"/>
      <c r="BM53" s="8"/>
      <c r="BN53" s="8"/>
      <c r="BO53" s="8"/>
      <c r="BS53" s="8"/>
      <c r="BT53" s="8"/>
      <c r="BU53" s="8"/>
      <c r="BV53" s="8"/>
      <c r="BX53" s="18"/>
      <c r="BZ53" s="8"/>
      <c r="CA53" s="8"/>
      <c r="CB53" s="8"/>
      <c r="CC53" s="8"/>
      <c r="CG53" s="8"/>
      <c r="CH53" s="8"/>
      <c r="CI53" s="8"/>
      <c r="CJ53" s="8"/>
      <c r="CN53" s="8"/>
      <c r="CO53" s="8"/>
      <c r="CP53" s="8"/>
      <c r="CQ53" s="8"/>
      <c r="CU53" s="8"/>
      <c r="CV53" s="8"/>
      <c r="CW53" s="8"/>
      <c r="CX53" s="8"/>
      <c r="DB53" s="8"/>
      <c r="DC53" s="8"/>
      <c r="DD53" s="8"/>
      <c r="DE53" s="8"/>
    </row>
    <row r="54" spans="1:109" outlineLevel="1" x14ac:dyDescent="0.25">
      <c r="E54" s="7"/>
      <c r="G54" s="8"/>
      <c r="I54" s="7"/>
      <c r="J54" s="9"/>
      <c r="K54" s="9"/>
      <c r="L54" s="7"/>
      <c r="O54" s="8"/>
      <c r="P54" s="8"/>
      <c r="Q54" s="8"/>
      <c r="R54" s="8"/>
      <c r="V54" s="8"/>
      <c r="W54" s="8"/>
      <c r="X54" s="8"/>
      <c r="Y54" s="8"/>
      <c r="AC54" s="8"/>
      <c r="AD54" s="8"/>
      <c r="AE54" s="8"/>
      <c r="AF54" s="8"/>
      <c r="AJ54" s="8"/>
      <c r="AK54" s="8"/>
      <c r="AL54" s="8"/>
      <c r="AM54" s="8"/>
      <c r="AQ54" s="8"/>
      <c r="AR54" s="8"/>
      <c r="AS54" s="8"/>
      <c r="AT54" s="8"/>
      <c r="AX54" s="8"/>
      <c r="AY54" s="8"/>
      <c r="AZ54" s="8"/>
      <c r="BA54" s="8"/>
      <c r="BE54" s="8"/>
      <c r="BF54" s="8"/>
      <c r="BG54" s="8"/>
      <c r="BH54" s="8"/>
      <c r="BJ54" s="21"/>
      <c r="BL54" s="8"/>
      <c r="BM54" s="8"/>
      <c r="BN54" s="8"/>
      <c r="BO54" s="8"/>
      <c r="BS54" s="8"/>
      <c r="BT54" s="8"/>
      <c r="BU54" s="8"/>
      <c r="BV54" s="8"/>
      <c r="BX54" s="18"/>
      <c r="BZ54" s="8"/>
      <c r="CA54" s="8"/>
      <c r="CB54" s="8"/>
      <c r="CC54" s="8"/>
      <c r="CG54" s="8"/>
      <c r="CH54" s="8"/>
      <c r="CI54" s="8"/>
      <c r="CJ54" s="8"/>
      <c r="CN54" s="8"/>
      <c r="CO54" s="8"/>
      <c r="CP54" s="8"/>
      <c r="CQ54" s="8"/>
      <c r="CU54" s="8"/>
      <c r="CV54" s="8"/>
      <c r="CW54" s="8"/>
      <c r="CX54" s="8"/>
      <c r="DB54" s="8"/>
      <c r="DC54" s="8"/>
      <c r="DD54" s="8"/>
      <c r="DE54" s="8"/>
    </row>
    <row r="55" spans="1:109" outlineLevel="1" x14ac:dyDescent="0.25">
      <c r="A55">
        <v>2</v>
      </c>
      <c r="B55" t="s">
        <v>91</v>
      </c>
      <c r="E55" s="7"/>
      <c r="G55" s="8">
        <f>SUM(G56:G59)</f>
        <v>0.76</v>
      </c>
      <c r="I55" s="7"/>
      <c r="J55" s="9"/>
      <c r="K55" s="9"/>
      <c r="L55" s="7"/>
      <c r="O55" s="8"/>
      <c r="P55" s="8"/>
      <c r="Q55" s="8"/>
      <c r="R55" s="8"/>
      <c r="V55" s="8"/>
      <c r="W55" s="8"/>
      <c r="X55" s="8"/>
      <c r="Y55" s="8"/>
      <c r="AC55" s="8"/>
      <c r="AD55" s="8"/>
      <c r="AE55" s="8"/>
      <c r="AF55" s="8"/>
      <c r="AJ55" s="8"/>
      <c r="AK55" s="8"/>
      <c r="AL55" s="8"/>
      <c r="AM55" s="8"/>
      <c r="AQ55" s="8"/>
      <c r="AR55" s="8"/>
      <c r="AS55" s="8"/>
      <c r="AT55" s="8"/>
      <c r="AX55" s="8"/>
      <c r="AY55" s="8"/>
      <c r="AZ55" s="8"/>
      <c r="BA55" s="8"/>
      <c r="BE55" s="8"/>
      <c r="BF55" s="8"/>
      <c r="BG55" s="8"/>
      <c r="BH55" s="8"/>
      <c r="BJ55" s="21"/>
      <c r="BL55" s="8"/>
      <c r="BM55" s="8"/>
      <c r="BN55" s="8"/>
      <c r="BO55" s="8"/>
      <c r="BS55" s="8"/>
      <c r="BT55" s="8"/>
      <c r="BU55" s="8"/>
      <c r="BV55" s="8"/>
      <c r="BX55" s="18"/>
      <c r="BZ55" s="8"/>
      <c r="CA55" s="8"/>
      <c r="CB55" s="8"/>
      <c r="CC55" s="8"/>
      <c r="CG55" s="8"/>
      <c r="CH55" s="8"/>
      <c r="CI55" s="8"/>
      <c r="CJ55" s="8"/>
      <c r="CN55" s="8"/>
      <c r="CO55" s="8"/>
      <c r="CP55" s="8"/>
      <c r="CQ55" s="8"/>
      <c r="CU55" s="8"/>
      <c r="CV55" s="8"/>
      <c r="CW55" s="8"/>
      <c r="CX55" s="8"/>
      <c r="DB55" s="8"/>
      <c r="DC55" s="8"/>
      <c r="DD55" s="8"/>
      <c r="DE55" s="8"/>
    </row>
    <row r="56" spans="1:109" outlineLevel="1" x14ac:dyDescent="0.25">
      <c r="B56" t="s">
        <v>20</v>
      </c>
      <c r="C56" t="s">
        <v>87</v>
      </c>
      <c r="E56" s="7"/>
      <c r="F56" t="s">
        <v>127</v>
      </c>
      <c r="G56" s="8">
        <v>0.19</v>
      </c>
      <c r="I56" s="7">
        <f t="shared" si="3"/>
        <v>0</v>
      </c>
      <c r="J56" s="9" cm="1">
        <f t="array" ref="J56">MAX(IF($N$3:$EH$3=$J$3,N56:EH56))</f>
        <v>0</v>
      </c>
      <c r="K56" s="9" cm="1">
        <f t="array" ref="K56">MAX(IF($N$3:$EH$3=$J$3,N56:EH56))</f>
        <v>0</v>
      </c>
      <c r="L56" s="7"/>
      <c r="O56" s="8"/>
      <c r="P56" s="8">
        <v>0.8</v>
      </c>
      <c r="Q56" s="8"/>
      <c r="R56" s="8">
        <v>0.8</v>
      </c>
      <c r="V56" s="8"/>
      <c r="W56" s="8">
        <v>1</v>
      </c>
      <c r="X56" s="8"/>
      <c r="Y56" s="8">
        <v>1</v>
      </c>
      <c r="AC56" s="8"/>
      <c r="AD56" s="8">
        <v>1</v>
      </c>
      <c r="AE56" s="8"/>
      <c r="AF56" s="8">
        <v>1</v>
      </c>
      <c r="AJ56" s="8"/>
      <c r="AK56" s="8">
        <v>1</v>
      </c>
      <c r="AL56" s="8"/>
      <c r="AM56" s="8">
        <v>1</v>
      </c>
      <c r="AQ56" s="8"/>
      <c r="AR56" s="8">
        <v>1</v>
      </c>
      <c r="AS56" s="8"/>
      <c r="AT56" s="8">
        <v>1</v>
      </c>
      <c r="AX56" s="8"/>
      <c r="AY56" s="8">
        <v>1</v>
      </c>
      <c r="AZ56" s="8"/>
      <c r="BA56" s="8">
        <v>1</v>
      </c>
      <c r="BE56" s="8"/>
      <c r="BF56" s="8">
        <v>1</v>
      </c>
      <c r="BG56" s="8"/>
      <c r="BH56" s="8">
        <v>1</v>
      </c>
      <c r="BJ56" s="21"/>
      <c r="BL56" s="8"/>
      <c r="BM56" s="8"/>
      <c r="BN56" s="8"/>
      <c r="BO56" s="8"/>
      <c r="BS56" s="8"/>
      <c r="BT56" s="8"/>
      <c r="BU56" s="8"/>
      <c r="BV56" s="8"/>
      <c r="BX56" s="18"/>
      <c r="BZ56" s="8"/>
      <c r="CA56" s="8"/>
      <c r="CB56" s="8"/>
      <c r="CC56" s="8"/>
      <c r="CG56" s="8"/>
      <c r="CH56" s="8"/>
      <c r="CI56" s="8"/>
      <c r="CJ56" s="8"/>
      <c r="CN56" s="8"/>
      <c r="CO56" s="8"/>
      <c r="CP56" s="8"/>
      <c r="CQ56" s="8"/>
      <c r="CU56" s="8"/>
      <c r="CV56" s="8"/>
      <c r="CW56" s="8"/>
      <c r="CX56" s="8"/>
      <c r="DB56" s="8"/>
      <c r="DC56" s="8"/>
      <c r="DD56" s="8"/>
      <c r="DE56" s="8"/>
    </row>
    <row r="57" spans="1:109" outlineLevel="1" x14ac:dyDescent="0.25">
      <c r="B57" t="s">
        <v>20</v>
      </c>
      <c r="C57" t="s">
        <v>87</v>
      </c>
      <c r="E57" s="7"/>
      <c r="F57" t="s">
        <v>128</v>
      </c>
      <c r="G57" s="8">
        <v>0.19</v>
      </c>
      <c r="I57" s="7">
        <f t="shared" si="3"/>
        <v>0</v>
      </c>
      <c r="J57" s="9" cm="1">
        <f t="array" ref="J57">MAX(IF($N$3:$EH$3=$J$3,N57:EH57))</f>
        <v>0</v>
      </c>
      <c r="K57" s="9" cm="1">
        <f t="array" ref="K57">MAX(IF($N$3:$EH$3=$J$3,N57:EH57))</f>
        <v>0</v>
      </c>
      <c r="L57" s="7"/>
      <c r="O57" s="8"/>
      <c r="P57" s="8">
        <v>0.3</v>
      </c>
      <c r="Q57" s="8"/>
      <c r="R57" s="8">
        <v>0.3</v>
      </c>
      <c r="V57" s="8"/>
      <c r="W57" s="8">
        <v>0.5</v>
      </c>
      <c r="X57" s="8"/>
      <c r="Y57" s="8">
        <v>0.5</v>
      </c>
      <c r="AC57" s="8"/>
      <c r="AD57" s="8">
        <v>0.5</v>
      </c>
      <c r="AE57" s="8"/>
      <c r="AF57" s="8">
        <v>0.5</v>
      </c>
      <c r="AJ57" s="8"/>
      <c r="AK57" s="8">
        <v>1</v>
      </c>
      <c r="AL57" s="8"/>
      <c r="AM57" s="8">
        <v>1</v>
      </c>
      <c r="AQ57" s="8"/>
      <c r="AR57" s="8">
        <v>1</v>
      </c>
      <c r="AS57" s="8"/>
      <c r="AT57" s="8">
        <v>1</v>
      </c>
      <c r="AX57" s="8"/>
      <c r="AY57" s="8">
        <v>1</v>
      </c>
      <c r="AZ57" s="8"/>
      <c r="BA57" s="8">
        <v>1</v>
      </c>
      <c r="BE57" s="8"/>
      <c r="BF57" s="8">
        <v>1</v>
      </c>
      <c r="BG57" s="8"/>
      <c r="BH57" s="8">
        <v>1</v>
      </c>
      <c r="BJ57" s="21"/>
      <c r="BL57" s="8"/>
      <c r="BM57" s="8"/>
      <c r="BN57" s="8"/>
      <c r="BO57" s="8"/>
      <c r="BS57" s="8"/>
      <c r="BT57" s="8"/>
      <c r="BU57" s="8"/>
      <c r="BV57" s="8"/>
      <c r="BX57" s="18"/>
      <c r="BZ57" s="8"/>
      <c r="CA57" s="8"/>
      <c r="CB57" s="8"/>
      <c r="CC57" s="8"/>
      <c r="CG57" s="8"/>
      <c r="CH57" s="8"/>
      <c r="CI57" s="8"/>
      <c r="CJ57" s="8"/>
      <c r="CN57" s="8"/>
      <c r="CO57" s="8"/>
      <c r="CP57" s="8"/>
      <c r="CQ57" s="8"/>
      <c r="CU57" s="8"/>
      <c r="CV57" s="8"/>
      <c r="CW57" s="8"/>
      <c r="CX57" s="8"/>
      <c r="DB57" s="8"/>
      <c r="DC57" s="8"/>
      <c r="DD57" s="8"/>
      <c r="DE57" s="8"/>
    </row>
    <row r="58" spans="1:109" outlineLevel="1" x14ac:dyDescent="0.25">
      <c r="A58" s="19"/>
      <c r="B58" s="19" t="s">
        <v>20</v>
      </c>
      <c r="C58" s="19" t="s">
        <v>87</v>
      </c>
      <c r="E58" s="7"/>
      <c r="F58" t="s">
        <v>129</v>
      </c>
      <c r="G58" s="8">
        <v>0.19</v>
      </c>
      <c r="I58" s="7">
        <f t="shared" si="3"/>
        <v>0</v>
      </c>
      <c r="J58" s="9" cm="1">
        <f t="array" ref="J58">MAX(IF($N$3:$EH$3=$J$3,N58:EH58))</f>
        <v>0</v>
      </c>
      <c r="K58" s="9" cm="1">
        <f t="array" ref="K58">MAX(IF($N$3:$EH$3=$J$3,N58:EH58))</f>
        <v>0</v>
      </c>
      <c r="L58" s="7"/>
      <c r="O58" s="8"/>
      <c r="P58" s="8">
        <v>0.1</v>
      </c>
      <c r="Q58" s="8"/>
      <c r="R58" s="8">
        <v>0.1</v>
      </c>
      <c r="V58" s="8"/>
      <c r="W58" s="8">
        <v>0.1</v>
      </c>
      <c r="X58" s="8"/>
      <c r="Y58" s="8">
        <v>0.1</v>
      </c>
      <c r="AC58" s="8"/>
      <c r="AD58" s="8">
        <v>0.5</v>
      </c>
      <c r="AE58" s="8"/>
      <c r="AF58" s="8">
        <v>0.5</v>
      </c>
      <c r="AJ58" s="8"/>
      <c r="AK58" s="8">
        <v>0.5</v>
      </c>
      <c r="AL58" s="8"/>
      <c r="AM58" s="8">
        <v>0.5</v>
      </c>
      <c r="AQ58" s="8"/>
      <c r="AR58" s="8">
        <v>0.8</v>
      </c>
      <c r="AS58" s="8"/>
      <c r="AT58" s="8">
        <v>0.8</v>
      </c>
      <c r="AX58" s="8"/>
      <c r="AY58" s="8">
        <v>0.8</v>
      </c>
      <c r="AZ58" s="8"/>
      <c r="BA58" s="8">
        <v>0.8</v>
      </c>
      <c r="BE58" s="8"/>
      <c r="BF58" s="8">
        <v>1</v>
      </c>
      <c r="BG58" s="8"/>
      <c r="BH58" s="8">
        <v>1</v>
      </c>
      <c r="BJ58" s="21"/>
      <c r="BL58" s="8"/>
      <c r="BM58" s="8"/>
      <c r="BN58" s="8"/>
      <c r="BO58" s="8"/>
      <c r="BS58" s="8"/>
      <c r="BT58" s="8"/>
      <c r="BU58" s="8"/>
      <c r="BV58" s="8"/>
      <c r="BX58" s="18"/>
      <c r="BZ58" s="8"/>
      <c r="CA58" s="8"/>
      <c r="CB58" s="8"/>
      <c r="CC58" s="8"/>
      <c r="CG58" s="8"/>
      <c r="CH58" s="8"/>
      <c r="CI58" s="8"/>
      <c r="CJ58" s="8"/>
      <c r="CN58" s="8"/>
      <c r="CO58" s="8"/>
      <c r="CP58" s="8"/>
      <c r="CQ58" s="8"/>
      <c r="CU58" s="8"/>
      <c r="CV58" s="8"/>
      <c r="CW58" s="8"/>
      <c r="CX58" s="8"/>
      <c r="DB58" s="8"/>
      <c r="DC58" s="8"/>
      <c r="DD58" s="8"/>
      <c r="DE58" s="8"/>
    </row>
    <row r="59" spans="1:109" outlineLevel="1" x14ac:dyDescent="0.25">
      <c r="A59" s="19"/>
      <c r="B59" s="19" t="s">
        <v>20</v>
      </c>
      <c r="C59" s="19" t="s">
        <v>87</v>
      </c>
      <c r="E59" s="7"/>
      <c r="F59" t="s">
        <v>130</v>
      </c>
      <c r="G59" s="8">
        <v>0.19</v>
      </c>
      <c r="I59" s="7">
        <f t="shared" si="3"/>
        <v>0</v>
      </c>
      <c r="J59" s="9" cm="1">
        <f t="array" ref="J59">MAX(IF($N$3:$EH$3=$J$3,N59:EH59))</f>
        <v>0</v>
      </c>
      <c r="K59" s="9" cm="1">
        <f t="array" ref="K59">MAX(IF($N$3:$EH$3=$J$3,N59:EH59))</f>
        <v>0</v>
      </c>
      <c r="L59" s="7"/>
      <c r="O59" s="8"/>
      <c r="P59" s="8">
        <v>0.1</v>
      </c>
      <c r="Q59" s="8"/>
      <c r="R59" s="8">
        <v>0.1</v>
      </c>
      <c r="V59" s="8"/>
      <c r="W59" s="8">
        <v>0.1</v>
      </c>
      <c r="X59" s="8"/>
      <c r="Y59" s="8">
        <v>0.1</v>
      </c>
      <c r="AC59" s="8"/>
      <c r="AD59" s="8">
        <v>0.1</v>
      </c>
      <c r="AE59" s="8"/>
      <c r="AF59" s="8">
        <v>0.1</v>
      </c>
      <c r="AJ59" s="8"/>
      <c r="AK59" s="8">
        <v>0.1</v>
      </c>
      <c r="AL59" s="8"/>
      <c r="AM59" s="8">
        <v>0.1</v>
      </c>
      <c r="AQ59" s="8"/>
      <c r="AR59" s="8">
        <v>0.3</v>
      </c>
      <c r="AS59" s="8"/>
      <c r="AT59" s="8">
        <v>0.3</v>
      </c>
      <c r="AX59" s="8"/>
      <c r="AY59" s="8">
        <v>0.8</v>
      </c>
      <c r="AZ59" s="8"/>
      <c r="BA59" s="8">
        <v>0.8</v>
      </c>
      <c r="BE59" s="8"/>
      <c r="BF59" s="8">
        <v>1</v>
      </c>
      <c r="BG59" s="8"/>
      <c r="BH59" s="8">
        <v>1</v>
      </c>
      <c r="BJ59" s="21"/>
      <c r="BL59" s="8"/>
      <c r="BM59" s="8"/>
      <c r="BN59" s="8"/>
      <c r="BO59" s="8"/>
      <c r="BS59" s="8"/>
      <c r="BT59" s="8"/>
      <c r="BU59" s="8"/>
      <c r="BV59" s="8"/>
      <c r="BX59" s="18"/>
      <c r="BZ59" s="8"/>
      <c r="CA59" s="8"/>
      <c r="CB59" s="8"/>
      <c r="CC59" s="8"/>
      <c r="CG59" s="8"/>
      <c r="CH59" s="8"/>
      <c r="CI59" s="8"/>
      <c r="CJ59" s="8"/>
      <c r="CN59" s="8"/>
      <c r="CO59" s="8"/>
      <c r="CP59" s="8"/>
      <c r="CQ59" s="8"/>
      <c r="CU59" s="8"/>
      <c r="CV59" s="8"/>
      <c r="CW59" s="8"/>
      <c r="CX59" s="8"/>
      <c r="DB59" s="8"/>
      <c r="DC59" s="8"/>
      <c r="DD59" s="8"/>
      <c r="DE59" s="8"/>
    </row>
    <row r="60" spans="1:109" outlineLevel="1" x14ac:dyDescent="0.25">
      <c r="E60" s="7"/>
      <c r="G60" s="8"/>
      <c r="I60" s="7"/>
      <c r="J60" s="9"/>
      <c r="K60" s="9"/>
      <c r="L60" s="7"/>
      <c r="O60" s="8"/>
      <c r="P60" s="8"/>
      <c r="Q60" s="8"/>
      <c r="R60" s="8"/>
      <c r="V60" s="8"/>
      <c r="W60" s="8"/>
      <c r="X60" s="8"/>
      <c r="Y60" s="8"/>
      <c r="AC60" s="8"/>
      <c r="AD60" s="8"/>
      <c r="AE60" s="8"/>
      <c r="AF60" s="8"/>
      <c r="AJ60" s="8"/>
      <c r="AK60" s="8"/>
      <c r="AL60" s="8"/>
      <c r="AM60" s="8"/>
      <c r="AQ60" s="8"/>
      <c r="AR60" s="8"/>
      <c r="AS60" s="8"/>
      <c r="AT60" s="8"/>
      <c r="AX60" s="8"/>
      <c r="AY60" s="8"/>
      <c r="AZ60" s="8"/>
      <c r="BA60" s="8"/>
      <c r="BE60" s="8"/>
      <c r="BF60" s="8"/>
      <c r="BG60" s="8"/>
      <c r="BH60" s="8"/>
      <c r="BJ60" s="21"/>
      <c r="BL60" s="8"/>
      <c r="BM60" s="8"/>
      <c r="BN60" s="8"/>
      <c r="BO60" s="8"/>
      <c r="BS60" s="8"/>
      <c r="BT60" s="8"/>
      <c r="BU60" s="8"/>
      <c r="BV60" s="8"/>
      <c r="BX60" s="18"/>
      <c r="BZ60" s="8"/>
      <c r="CA60" s="8"/>
      <c r="CB60" s="8"/>
      <c r="CC60" s="8"/>
      <c r="CG60" s="8"/>
      <c r="CH60" s="8"/>
      <c r="CI60" s="8"/>
      <c r="CJ60" s="8"/>
      <c r="CN60" s="8"/>
      <c r="CO60" s="8"/>
      <c r="CP60" s="8"/>
      <c r="CQ60" s="8"/>
      <c r="CU60" s="8"/>
      <c r="CV60" s="8"/>
      <c r="CW60" s="8"/>
      <c r="CX60" s="8"/>
      <c r="DB60" s="8"/>
      <c r="DC60" s="8"/>
      <c r="DD60" s="8"/>
      <c r="DE60" s="8"/>
    </row>
    <row r="61" spans="1:109" outlineLevel="1" x14ac:dyDescent="0.25">
      <c r="E61" s="7"/>
      <c r="G61" s="8"/>
      <c r="I61" s="7"/>
      <c r="J61" s="9"/>
      <c r="K61" s="9"/>
      <c r="L61" s="7"/>
      <c r="O61" s="8"/>
      <c r="P61" s="8"/>
      <c r="Q61" s="8"/>
      <c r="R61" s="8"/>
      <c r="V61" s="8"/>
      <c r="W61" s="8"/>
      <c r="X61" s="8"/>
      <c r="Y61" s="8"/>
      <c r="AC61" s="8"/>
      <c r="AD61" s="8"/>
      <c r="AE61" s="8"/>
      <c r="AF61" s="8"/>
      <c r="AJ61" s="8"/>
      <c r="AK61" s="8"/>
      <c r="AL61" s="8"/>
      <c r="AM61" s="8"/>
      <c r="AQ61" s="8"/>
      <c r="AR61" s="8"/>
      <c r="AS61" s="8"/>
      <c r="AT61" s="8"/>
      <c r="AX61" s="8"/>
      <c r="AY61" s="8"/>
      <c r="AZ61" s="8"/>
      <c r="BA61" s="8"/>
      <c r="BE61" s="8"/>
      <c r="BF61" s="8"/>
      <c r="BG61" s="8"/>
      <c r="BH61" s="8"/>
      <c r="BJ61" s="21"/>
      <c r="BL61" s="8"/>
      <c r="BM61" s="8"/>
      <c r="BN61" s="8"/>
      <c r="BO61" s="8"/>
      <c r="BS61" s="8"/>
      <c r="BT61" s="8"/>
      <c r="BU61" s="8"/>
      <c r="BV61" s="8"/>
      <c r="BX61" s="18"/>
      <c r="BZ61" s="8"/>
      <c r="CA61" s="8"/>
      <c r="CB61" s="8"/>
      <c r="CC61" s="8"/>
      <c r="CG61" s="8"/>
      <c r="CH61" s="8"/>
      <c r="CI61" s="8"/>
      <c r="CJ61" s="8"/>
      <c r="CN61" s="8"/>
      <c r="CO61" s="8"/>
      <c r="CP61" s="8"/>
      <c r="CQ61" s="8"/>
      <c r="CU61" s="8"/>
      <c r="CV61" s="8"/>
      <c r="CW61" s="8"/>
      <c r="CX61" s="8"/>
      <c r="DB61" s="8"/>
      <c r="DC61" s="8"/>
      <c r="DD61" s="8"/>
      <c r="DE61" s="8"/>
    </row>
    <row r="62" spans="1:109" outlineLevel="1" x14ac:dyDescent="0.25">
      <c r="E62" s="7"/>
      <c r="G62" s="8"/>
      <c r="I62" s="7"/>
      <c r="J62" s="9"/>
      <c r="K62" s="9"/>
      <c r="L62" s="7"/>
      <c r="O62" s="8"/>
      <c r="P62" s="8"/>
      <c r="Q62" s="8"/>
      <c r="R62" s="8"/>
      <c r="V62" s="8"/>
      <c r="W62" s="8"/>
      <c r="X62" s="8"/>
      <c r="Y62" s="8"/>
      <c r="AC62" s="8"/>
      <c r="AD62" s="8"/>
      <c r="AE62" s="8"/>
      <c r="AF62" s="8"/>
      <c r="AJ62" s="8"/>
      <c r="AK62" s="8"/>
      <c r="AL62" s="8"/>
      <c r="AM62" s="8"/>
      <c r="AQ62" s="8"/>
      <c r="AR62" s="8"/>
      <c r="AS62" s="8"/>
      <c r="AT62" s="8"/>
      <c r="AX62" s="8"/>
      <c r="AY62" s="8"/>
      <c r="AZ62" s="8"/>
      <c r="BA62" s="8"/>
      <c r="BE62" s="8"/>
      <c r="BF62" s="8"/>
      <c r="BG62" s="8"/>
      <c r="BH62" s="8"/>
      <c r="BJ62" s="21"/>
      <c r="BL62" s="8"/>
      <c r="BM62" s="8"/>
      <c r="BN62" s="8"/>
      <c r="BO62" s="8"/>
      <c r="BS62" s="8"/>
      <c r="BT62" s="8"/>
      <c r="BU62" s="8"/>
      <c r="BV62" s="8"/>
      <c r="BX62" s="18"/>
      <c r="BZ62" s="8"/>
      <c r="CA62" s="8"/>
      <c r="CB62" s="8"/>
      <c r="CC62" s="8"/>
      <c r="CG62" s="8"/>
      <c r="CH62" s="8"/>
      <c r="CI62" s="8"/>
      <c r="CJ62" s="8"/>
      <c r="CN62" s="8"/>
      <c r="CO62" s="8"/>
      <c r="CP62" s="8"/>
      <c r="CQ62" s="8"/>
      <c r="CU62" s="8"/>
      <c r="CV62" s="8"/>
      <c r="CW62" s="8"/>
      <c r="CX62" s="8"/>
      <c r="DB62" s="8"/>
      <c r="DC62" s="8"/>
      <c r="DD62" s="8"/>
      <c r="DE62" s="8"/>
    </row>
    <row r="63" spans="1:109" outlineLevel="1" x14ac:dyDescent="0.25">
      <c r="E63" s="7"/>
      <c r="G63" s="8"/>
      <c r="I63" s="7"/>
      <c r="J63" s="9"/>
      <c r="K63" s="9"/>
      <c r="L63" s="7"/>
      <c r="O63" s="8"/>
      <c r="P63" s="8"/>
      <c r="Q63" s="8"/>
      <c r="R63" s="8"/>
      <c r="V63" s="8"/>
      <c r="W63" s="8"/>
      <c r="X63" s="8"/>
      <c r="Y63" s="8"/>
      <c r="AC63" s="8"/>
      <c r="AD63" s="8"/>
      <c r="AE63" s="8"/>
      <c r="AF63" s="8"/>
      <c r="AJ63" s="8"/>
      <c r="AK63" s="8"/>
      <c r="AL63" s="8"/>
      <c r="AM63" s="8"/>
      <c r="AQ63" s="8"/>
      <c r="AR63" s="8"/>
      <c r="AS63" s="8"/>
      <c r="AT63" s="8"/>
      <c r="AX63" s="8"/>
      <c r="AY63" s="8"/>
      <c r="AZ63" s="8"/>
      <c r="BA63" s="8"/>
      <c r="BE63" s="8"/>
      <c r="BF63" s="8"/>
      <c r="BG63" s="8"/>
      <c r="BH63" s="8"/>
      <c r="BJ63" s="21"/>
      <c r="BL63" s="8"/>
      <c r="BM63" s="8"/>
      <c r="BN63" s="8"/>
      <c r="BO63" s="8"/>
      <c r="BS63" s="8"/>
      <c r="BT63" s="8"/>
      <c r="BU63" s="8"/>
      <c r="BV63" s="8"/>
      <c r="BX63" s="18"/>
      <c r="BZ63" s="8"/>
      <c r="CA63" s="8"/>
      <c r="CB63" s="8"/>
      <c r="CC63" s="8"/>
      <c r="CG63" s="8"/>
      <c r="CH63" s="8"/>
      <c r="CI63" s="8"/>
      <c r="CJ63" s="8"/>
      <c r="CN63" s="8"/>
      <c r="CO63" s="8"/>
      <c r="CP63" s="8"/>
      <c r="CQ63" s="8"/>
      <c r="CU63" s="8"/>
      <c r="CV63" s="8"/>
      <c r="CW63" s="8"/>
      <c r="CX63" s="8"/>
      <c r="DB63" s="8"/>
      <c r="DC63" s="8"/>
      <c r="DD63" s="8"/>
      <c r="DE63" s="8"/>
    </row>
    <row r="64" spans="1:109" x14ac:dyDescent="0.25">
      <c r="BJ64" s="21"/>
      <c r="BX64" s="18"/>
    </row>
    <row r="65" spans="1:109" x14ac:dyDescent="0.25">
      <c r="A65" s="19">
        <v>1.38</v>
      </c>
      <c r="B65" s="19" t="s">
        <v>19</v>
      </c>
      <c r="C65" s="19" t="s">
        <v>88</v>
      </c>
      <c r="E65" s="7">
        <v>5</v>
      </c>
      <c r="G65" s="8">
        <f>+SUM(G67:G79)</f>
        <v>0.99999999999999978</v>
      </c>
      <c r="I65" s="10">
        <f>+SUM(I67:I78)</f>
        <v>0</v>
      </c>
      <c r="J65" s="9">
        <f>+SUMPRODUCT(G67:G78,J67:J78)</f>
        <v>0</v>
      </c>
      <c r="K65" s="9">
        <f>+SUMPRODUCT(G67:G78,K67:K78)</f>
        <v>0</v>
      </c>
      <c r="L65" s="7"/>
      <c r="N65" s="10"/>
      <c r="U65" s="10"/>
      <c r="AB65" s="10"/>
      <c r="AI65" s="10"/>
      <c r="AP65" s="10"/>
      <c r="BJ65" s="21"/>
      <c r="BX65" s="18"/>
    </row>
    <row r="66" spans="1:109" x14ac:dyDescent="0.25">
      <c r="A66" s="19"/>
      <c r="B66" s="19" t="s">
        <v>154</v>
      </c>
      <c r="C66" s="19"/>
      <c r="E66" s="7"/>
      <c r="G66" s="8"/>
      <c r="I66" s="10"/>
      <c r="J66" s="9"/>
      <c r="K66" s="9"/>
      <c r="L66" s="7"/>
      <c r="N66" s="10"/>
      <c r="U66" s="10"/>
      <c r="AB66" s="10"/>
      <c r="AI66" s="10"/>
      <c r="AP66" s="10"/>
      <c r="BJ66" s="21"/>
      <c r="BX66" s="18"/>
    </row>
    <row r="67" spans="1:109" outlineLevel="1" x14ac:dyDescent="0.25">
      <c r="A67" s="19"/>
      <c r="B67" s="19" t="s">
        <v>20</v>
      </c>
      <c r="C67" s="19" t="s">
        <v>131</v>
      </c>
      <c r="E67" s="7"/>
      <c r="F67" t="s">
        <v>150</v>
      </c>
      <c r="G67" s="8">
        <v>0.12</v>
      </c>
      <c r="I67" s="7">
        <f t="shared" si="3"/>
        <v>0</v>
      </c>
      <c r="J67" s="9" cm="1">
        <f t="array" ref="J67">MAX(IF($N$3:$EH$3=$J$3,N67:EH67))</f>
        <v>0</v>
      </c>
      <c r="K67" s="9" cm="1">
        <f t="array" ref="K67">MAX(IF($N$3:$EH$3=$J$3,N67:EH67))</f>
        <v>0</v>
      </c>
      <c r="L67" s="7"/>
      <c r="O67" s="8"/>
      <c r="P67" s="8">
        <v>0.5</v>
      </c>
      <c r="Q67" s="8"/>
      <c r="R67" s="8">
        <v>0.5</v>
      </c>
      <c r="V67" s="8"/>
      <c r="W67">
        <v>100</v>
      </c>
      <c r="X67" s="8"/>
      <c r="Y67">
        <v>100</v>
      </c>
      <c r="AC67" s="8"/>
      <c r="AD67" s="8">
        <v>1</v>
      </c>
      <c r="AE67" s="8"/>
      <c r="AF67" s="8">
        <v>1</v>
      </c>
      <c r="AJ67" s="8"/>
      <c r="AK67" s="8">
        <v>1</v>
      </c>
      <c r="AL67" s="8"/>
      <c r="AM67" s="8">
        <v>1</v>
      </c>
      <c r="AQ67" s="8"/>
      <c r="AR67" s="8">
        <v>1</v>
      </c>
      <c r="AS67" s="8"/>
      <c r="AT67" s="8">
        <v>1</v>
      </c>
      <c r="AX67" s="8"/>
      <c r="AY67" s="8">
        <v>1</v>
      </c>
      <c r="AZ67" s="8"/>
      <c r="BA67" s="8">
        <v>1</v>
      </c>
      <c r="BE67" s="8"/>
      <c r="BF67" s="8">
        <v>1</v>
      </c>
      <c r="BG67" s="8"/>
      <c r="BH67" s="8">
        <v>1</v>
      </c>
      <c r="BJ67" s="21"/>
      <c r="BL67" s="8"/>
      <c r="BM67" s="8"/>
      <c r="BN67" s="8"/>
      <c r="BO67" s="8"/>
      <c r="BS67" s="8"/>
      <c r="BT67" s="8"/>
      <c r="BU67" s="8"/>
      <c r="BV67" s="8"/>
      <c r="BX67" s="18"/>
      <c r="BZ67" s="8"/>
      <c r="CA67" s="8"/>
      <c r="CB67" s="8"/>
      <c r="CC67" s="8"/>
      <c r="CG67" s="8"/>
      <c r="CH67" s="8"/>
      <c r="CI67" s="8"/>
      <c r="CJ67" s="8"/>
      <c r="CN67" s="8"/>
      <c r="CO67" s="8"/>
      <c r="CP67" s="8"/>
      <c r="CQ67" s="8"/>
      <c r="CU67" s="8"/>
      <c r="CV67" s="8"/>
      <c r="CW67" s="8"/>
      <c r="CX67" s="8"/>
      <c r="DB67" s="8"/>
      <c r="DC67" s="8"/>
      <c r="DD67" s="8"/>
      <c r="DE67" s="8"/>
    </row>
    <row r="68" spans="1:109" outlineLevel="1" x14ac:dyDescent="0.25">
      <c r="A68" s="19"/>
      <c r="B68" s="19" t="s">
        <v>20</v>
      </c>
      <c r="C68" s="19" t="s">
        <v>88</v>
      </c>
      <c r="D68" s="17">
        <v>44661</v>
      </c>
      <c r="E68" s="7"/>
      <c r="F68" t="s">
        <v>151</v>
      </c>
      <c r="G68" s="8">
        <v>0.12</v>
      </c>
      <c r="I68" s="7">
        <f t="shared" si="3"/>
        <v>0</v>
      </c>
      <c r="J68" s="9" cm="1">
        <f t="array" ref="J68">MAX(IF($N$3:$EH$3=$J$3,N68:EH68))</f>
        <v>0</v>
      </c>
      <c r="K68" s="9" cm="1">
        <f t="array" ref="K68">MAX(IF($N$3:$EH$3=$J$3,N68:EH68))</f>
        <v>0</v>
      </c>
      <c r="L68" s="7"/>
      <c r="O68" s="8"/>
      <c r="P68" s="8">
        <v>0.3</v>
      </c>
      <c r="Q68" s="8"/>
      <c r="R68" s="8">
        <v>0.3</v>
      </c>
      <c r="V68" s="8"/>
      <c r="W68" s="8">
        <v>0.5</v>
      </c>
      <c r="X68" s="8"/>
      <c r="Y68" s="8">
        <v>0.5</v>
      </c>
      <c r="AC68" s="8"/>
      <c r="AD68" s="8">
        <v>0.8</v>
      </c>
      <c r="AE68" s="8"/>
      <c r="AF68" s="8">
        <v>0.8</v>
      </c>
      <c r="AJ68" s="8"/>
      <c r="AK68" s="8">
        <v>1</v>
      </c>
      <c r="AL68" s="8"/>
      <c r="AM68" s="8">
        <v>1</v>
      </c>
      <c r="AQ68" s="8"/>
      <c r="AR68" s="8">
        <v>0.8</v>
      </c>
      <c r="AS68" s="8"/>
      <c r="AT68" s="8">
        <v>0.8</v>
      </c>
      <c r="AX68" s="8"/>
      <c r="AY68" s="8">
        <v>1</v>
      </c>
      <c r="AZ68" s="8"/>
      <c r="BA68" s="8">
        <v>1</v>
      </c>
      <c r="BE68" s="8"/>
      <c r="BF68" s="8">
        <v>1</v>
      </c>
      <c r="BG68" s="8"/>
      <c r="BH68" s="8">
        <v>1</v>
      </c>
      <c r="BJ68" s="21"/>
      <c r="BL68" s="8"/>
      <c r="BM68" s="8"/>
      <c r="BN68" s="8"/>
      <c r="BO68" s="8"/>
      <c r="BS68" s="8"/>
      <c r="BT68" s="8"/>
      <c r="BU68" s="8"/>
      <c r="BV68" s="8"/>
      <c r="BX68" s="18"/>
      <c r="BZ68" s="8"/>
      <c r="CA68" s="8"/>
      <c r="CB68" s="8"/>
      <c r="CC68" s="8"/>
      <c r="CG68" s="8"/>
      <c r="CH68" s="8"/>
      <c r="CI68" s="8"/>
      <c r="CJ68" s="8"/>
      <c r="CN68" s="8"/>
      <c r="CO68" s="8"/>
      <c r="CP68" s="8"/>
      <c r="CQ68" s="8"/>
      <c r="CU68" s="8"/>
      <c r="CV68" s="8"/>
      <c r="CW68" s="8"/>
      <c r="CX68" s="8"/>
      <c r="DB68" s="8"/>
      <c r="DC68" s="8"/>
      <c r="DD68" s="8"/>
      <c r="DE68" s="8"/>
    </row>
    <row r="69" spans="1:109" outlineLevel="1" x14ac:dyDescent="0.25">
      <c r="A69" s="19"/>
      <c r="B69" s="19" t="s">
        <v>20</v>
      </c>
      <c r="C69" s="19" t="s">
        <v>88</v>
      </c>
      <c r="D69" s="17"/>
      <c r="E69" s="7"/>
      <c r="F69" t="s">
        <v>121</v>
      </c>
      <c r="G69" s="8">
        <v>0.12</v>
      </c>
      <c r="I69" s="7">
        <f t="shared" si="3"/>
        <v>0</v>
      </c>
      <c r="J69" s="9" cm="1">
        <f t="array" ref="J69">MAX(IF($N$3:$EH$3=$J$3,N69:EH69))</f>
        <v>0</v>
      </c>
      <c r="K69" s="9" cm="1">
        <f t="array" ref="K69">MAX(IF($N$3:$EH$3=$J$3,N69:EH69))</f>
        <v>0</v>
      </c>
      <c r="L69" s="7"/>
      <c r="O69" s="8"/>
      <c r="P69" s="8">
        <v>0.1</v>
      </c>
      <c r="Q69" s="8"/>
      <c r="R69" s="8">
        <v>0.1</v>
      </c>
      <c r="V69" s="8"/>
      <c r="W69" s="8">
        <v>0.1</v>
      </c>
      <c r="X69" s="8"/>
      <c r="Y69" s="8">
        <v>0.1</v>
      </c>
      <c r="AC69" s="8"/>
      <c r="AD69" s="8">
        <v>0.3</v>
      </c>
      <c r="AE69" s="8"/>
      <c r="AF69" s="8">
        <v>0.3</v>
      </c>
      <c r="AJ69" s="8"/>
      <c r="AK69" s="8">
        <v>0.5</v>
      </c>
      <c r="AL69" s="8"/>
      <c r="AM69" s="8">
        <v>0.5</v>
      </c>
      <c r="AQ69" s="8"/>
      <c r="AR69" s="8">
        <v>0.8</v>
      </c>
      <c r="AS69" s="8"/>
      <c r="AT69" s="8">
        <v>0.8</v>
      </c>
      <c r="AX69" s="8"/>
      <c r="AY69" s="8">
        <v>1</v>
      </c>
      <c r="AZ69" s="8"/>
      <c r="BA69" s="8">
        <v>1</v>
      </c>
      <c r="BE69" s="8"/>
      <c r="BF69" s="8">
        <v>1</v>
      </c>
      <c r="BG69" s="8"/>
      <c r="BH69" s="8">
        <v>1</v>
      </c>
      <c r="BJ69" s="21"/>
      <c r="BL69" s="8"/>
      <c r="BM69" s="8"/>
      <c r="BN69" s="8"/>
      <c r="BO69" s="8"/>
      <c r="BS69" s="8"/>
      <c r="BT69" s="8"/>
      <c r="BU69" s="8"/>
      <c r="BV69" s="8"/>
      <c r="BX69" s="18"/>
      <c r="BZ69" s="8"/>
      <c r="CA69" s="8"/>
      <c r="CB69" s="8"/>
      <c r="CC69" s="8"/>
      <c r="CG69" s="8"/>
      <c r="CH69" s="8"/>
      <c r="CI69" s="8"/>
      <c r="CJ69" s="8"/>
      <c r="CN69" s="8"/>
      <c r="CO69" s="8"/>
      <c r="CP69" s="8"/>
      <c r="CQ69" s="8"/>
      <c r="CU69" s="8"/>
      <c r="CV69" s="8"/>
      <c r="CW69" s="8"/>
      <c r="CX69" s="8"/>
      <c r="DB69" s="8"/>
      <c r="DC69" s="8"/>
      <c r="DD69" s="8"/>
      <c r="DE69" s="8"/>
    </row>
    <row r="70" spans="1:109" outlineLevel="1" x14ac:dyDescent="0.25">
      <c r="E70" s="7"/>
      <c r="G70" s="8"/>
      <c r="I70" s="7"/>
      <c r="J70" s="9"/>
      <c r="K70" s="9"/>
      <c r="L70" s="7"/>
      <c r="O70" s="8"/>
      <c r="P70" s="8"/>
      <c r="Q70" s="8"/>
      <c r="R70" s="8"/>
      <c r="V70" s="8"/>
      <c r="W70" s="8"/>
      <c r="X70" s="8"/>
      <c r="Y70" s="8"/>
      <c r="AC70" s="8"/>
      <c r="AD70" s="8"/>
      <c r="AE70" s="8"/>
      <c r="AF70" s="8"/>
      <c r="AJ70" s="8"/>
      <c r="AK70" s="8"/>
      <c r="AL70" s="8"/>
      <c r="AM70" s="8"/>
      <c r="AQ70" s="8"/>
      <c r="AR70" s="8"/>
      <c r="AS70" s="8"/>
      <c r="AT70" s="8"/>
      <c r="AX70" s="8"/>
      <c r="AY70" s="8"/>
      <c r="AZ70" s="8"/>
      <c r="BA70" s="8"/>
      <c r="BE70" s="8"/>
      <c r="BF70" s="8"/>
      <c r="BG70" s="8"/>
      <c r="BH70" s="8"/>
      <c r="BJ70" s="21"/>
      <c r="BL70" s="8"/>
      <c r="BM70" s="8"/>
      <c r="BN70" s="8"/>
      <c r="BO70" s="8"/>
      <c r="BS70" s="8"/>
      <c r="BT70" s="8"/>
      <c r="BU70" s="8"/>
      <c r="BV70" s="8"/>
      <c r="BX70" s="18"/>
      <c r="BZ70" s="8"/>
      <c r="CA70" s="8"/>
      <c r="CB70" s="8"/>
      <c r="CC70" s="8"/>
      <c r="CG70" s="8"/>
      <c r="CH70" s="8"/>
      <c r="CI70" s="8"/>
      <c r="CJ70" s="8"/>
      <c r="CN70" s="8"/>
      <c r="CO70" s="8"/>
      <c r="CP70" s="8"/>
      <c r="CQ70" s="8"/>
      <c r="CU70" s="8"/>
      <c r="CV70" s="8"/>
      <c r="CW70" s="8"/>
      <c r="CX70" s="8"/>
      <c r="DB70" s="8"/>
      <c r="DC70" s="8"/>
      <c r="DD70" s="8"/>
      <c r="DE70" s="8"/>
    </row>
    <row r="71" spans="1:109" outlineLevel="1" x14ac:dyDescent="0.25">
      <c r="A71">
        <v>4</v>
      </c>
      <c r="B71" t="s">
        <v>89</v>
      </c>
      <c r="E71" s="7"/>
      <c r="G71" s="8"/>
      <c r="I71" s="7"/>
      <c r="J71" s="9"/>
      <c r="K71" s="9"/>
      <c r="L71" s="7"/>
      <c r="O71" s="8"/>
      <c r="P71" s="8"/>
      <c r="Q71" s="8"/>
      <c r="R71" s="8"/>
      <c r="V71" s="8"/>
      <c r="W71" s="8"/>
      <c r="X71" s="8"/>
      <c r="Y71" s="8"/>
      <c r="AC71" s="8"/>
      <c r="AD71" s="8"/>
      <c r="AE71" s="8"/>
      <c r="AF71" s="8"/>
      <c r="AJ71" s="8"/>
      <c r="AK71" s="8"/>
      <c r="AL71" s="8"/>
      <c r="AM71" s="8"/>
      <c r="AQ71" s="8"/>
      <c r="AR71" s="8"/>
      <c r="AS71" s="8"/>
      <c r="AT71" s="8"/>
      <c r="AX71" s="8"/>
      <c r="AY71" s="8"/>
      <c r="AZ71" s="8"/>
      <c r="BA71" s="8"/>
      <c r="BE71" s="8"/>
      <c r="BF71" s="8"/>
      <c r="BG71" s="8"/>
      <c r="BH71" s="8"/>
      <c r="BJ71" s="21"/>
      <c r="BL71" s="8"/>
      <c r="BM71" s="8"/>
      <c r="BN71" s="8"/>
      <c r="BO71" s="8"/>
      <c r="BS71" s="8"/>
      <c r="BT71" s="8"/>
      <c r="BU71" s="8"/>
      <c r="BV71" s="8"/>
      <c r="BX71" s="18"/>
      <c r="BZ71" s="8"/>
      <c r="CA71" s="8"/>
      <c r="CB71" s="8"/>
      <c r="CC71" s="8"/>
      <c r="CG71" s="8"/>
      <c r="CH71" s="8"/>
      <c r="CI71" s="8"/>
      <c r="CJ71" s="8"/>
      <c r="CN71" s="8"/>
      <c r="CO71" s="8"/>
      <c r="CP71" s="8"/>
      <c r="CQ71" s="8"/>
      <c r="CU71" s="8"/>
      <c r="CV71" s="8"/>
      <c r="CW71" s="8"/>
      <c r="CX71" s="8"/>
      <c r="DB71" s="8"/>
      <c r="DC71" s="8"/>
      <c r="DD71" s="8"/>
      <c r="DE71" s="8"/>
    </row>
    <row r="72" spans="1:109" outlineLevel="1" x14ac:dyDescent="0.25">
      <c r="B72" t="s">
        <v>20</v>
      </c>
      <c r="C72" t="s">
        <v>88</v>
      </c>
      <c r="E72" s="7"/>
      <c r="F72" t="s">
        <v>92</v>
      </c>
      <c r="G72" s="8">
        <v>0.08</v>
      </c>
      <c r="I72" s="7">
        <f t="shared" si="3"/>
        <v>0</v>
      </c>
      <c r="J72" s="9" cm="1">
        <f t="array" ref="J72">MAX(IF($N$3:$EH$3=$J$3,N72:EH72))</f>
        <v>0</v>
      </c>
      <c r="K72" s="9" cm="1">
        <f t="array" ref="K72">MAX(IF($N$3:$EH$3=$J$3,N72:EH72))</f>
        <v>0</v>
      </c>
      <c r="L72" s="7"/>
      <c r="O72" s="8"/>
      <c r="P72" s="8">
        <v>0.8</v>
      </c>
      <c r="Q72" s="8"/>
      <c r="R72" s="8">
        <v>0.8</v>
      </c>
      <c r="V72" s="8"/>
      <c r="W72" s="8">
        <v>0.8</v>
      </c>
      <c r="X72" s="8"/>
      <c r="Y72" s="8">
        <v>0.8</v>
      </c>
      <c r="AC72" s="8"/>
      <c r="AD72" s="8">
        <v>0.8</v>
      </c>
      <c r="AE72" s="8"/>
      <c r="AF72" s="8">
        <v>0.8</v>
      </c>
      <c r="AJ72" s="8"/>
      <c r="AK72" s="8">
        <v>1</v>
      </c>
      <c r="AL72" s="8"/>
      <c r="AM72" s="8">
        <v>1</v>
      </c>
      <c r="AQ72" s="8"/>
      <c r="AR72" s="8">
        <v>1</v>
      </c>
      <c r="AS72" s="8"/>
      <c r="AT72" s="8">
        <v>1</v>
      </c>
      <c r="AX72" s="8"/>
      <c r="AY72" s="8">
        <v>1</v>
      </c>
      <c r="AZ72" s="8"/>
      <c r="BA72" s="8">
        <v>1</v>
      </c>
      <c r="BE72" s="8"/>
      <c r="BF72" s="8">
        <v>1</v>
      </c>
      <c r="BG72" s="8"/>
      <c r="BH72" s="8">
        <v>1</v>
      </c>
      <c r="BJ72" s="21"/>
      <c r="BL72" s="8"/>
      <c r="BM72" s="8"/>
      <c r="BN72" s="8"/>
      <c r="BO72" s="8"/>
      <c r="BS72" s="8"/>
      <c r="BT72" s="8"/>
      <c r="BU72" s="8"/>
      <c r="BV72" s="8"/>
      <c r="BX72" s="18"/>
      <c r="BZ72" s="8"/>
      <c r="CA72" s="8"/>
      <c r="CB72" s="8"/>
      <c r="CC72" s="8"/>
      <c r="CG72" s="8"/>
      <c r="CH72" s="8"/>
      <c r="CI72" s="8"/>
      <c r="CJ72" s="8"/>
      <c r="CN72" s="8"/>
      <c r="CO72" s="8"/>
      <c r="CP72" s="8"/>
      <c r="CQ72" s="8"/>
      <c r="CU72" s="8"/>
      <c r="CV72" s="8"/>
      <c r="CW72" s="8"/>
      <c r="CX72" s="8"/>
      <c r="DB72" s="8"/>
      <c r="DC72" s="8"/>
      <c r="DD72" s="8"/>
      <c r="DE72" s="8"/>
    </row>
    <row r="73" spans="1:109" ht="15.75" customHeight="1" outlineLevel="1" x14ac:dyDescent="0.25">
      <c r="B73" t="s">
        <v>20</v>
      </c>
      <c r="C73" t="s">
        <v>88</v>
      </c>
      <c r="E73" s="7"/>
      <c r="F73" t="s">
        <v>93</v>
      </c>
      <c r="G73" s="8">
        <v>0.08</v>
      </c>
      <c r="I73" s="7">
        <f t="shared" si="3"/>
        <v>0</v>
      </c>
      <c r="J73" s="9" cm="1">
        <f t="array" ref="J73">MAX(IF($N$3:$EH$3=$J$3,N73:EH73))</f>
        <v>0</v>
      </c>
      <c r="K73" s="9" cm="1">
        <f t="array" ref="K73">MAX(IF($N$3:$EH$3=$J$3,N73:EH73))</f>
        <v>0</v>
      </c>
      <c r="L73" s="7"/>
      <c r="O73" s="8"/>
      <c r="P73" s="8">
        <v>0.3</v>
      </c>
      <c r="Q73" s="8"/>
      <c r="R73" s="8">
        <v>0.3</v>
      </c>
      <c r="V73" s="8"/>
      <c r="W73" s="8">
        <v>0.5</v>
      </c>
      <c r="X73" s="8"/>
      <c r="Y73" s="8">
        <v>0.5</v>
      </c>
      <c r="AC73" s="8"/>
      <c r="AD73" s="8">
        <v>0.8</v>
      </c>
      <c r="AE73" s="8"/>
      <c r="AF73" s="8">
        <v>0.8</v>
      </c>
      <c r="AJ73" s="8"/>
      <c r="AK73" s="8">
        <v>0.8</v>
      </c>
      <c r="AL73" s="8"/>
      <c r="AM73" s="8">
        <v>0.8</v>
      </c>
      <c r="AQ73" s="8"/>
      <c r="AR73" s="8">
        <v>0.8</v>
      </c>
      <c r="AS73" s="8"/>
      <c r="AT73" s="8">
        <v>0.8</v>
      </c>
      <c r="AX73" s="8"/>
      <c r="AY73" s="8">
        <v>1</v>
      </c>
      <c r="AZ73" s="8"/>
      <c r="BA73" s="8">
        <v>1</v>
      </c>
      <c r="BE73" s="8"/>
      <c r="BF73" s="8">
        <v>1</v>
      </c>
      <c r="BG73" s="8"/>
      <c r="BH73" s="8">
        <v>1</v>
      </c>
      <c r="BJ73" s="21"/>
      <c r="BL73" s="8"/>
      <c r="BM73" s="8"/>
      <c r="BN73" s="8"/>
      <c r="BO73" s="8"/>
      <c r="BS73" s="8"/>
      <c r="BT73" s="8"/>
      <c r="BU73" s="8"/>
      <c r="BV73" s="8"/>
      <c r="BX73" s="18"/>
      <c r="BZ73" s="8"/>
      <c r="CA73" s="8"/>
      <c r="CB73" s="8"/>
      <c r="CC73" s="8"/>
      <c r="CG73" s="8"/>
      <c r="CH73" s="8"/>
      <c r="CI73" s="8"/>
      <c r="CJ73" s="8"/>
      <c r="CN73" s="8"/>
      <c r="CO73" s="8"/>
      <c r="CP73" s="8"/>
      <c r="CQ73" s="8"/>
      <c r="CU73" s="8"/>
      <c r="CV73" s="8"/>
      <c r="CW73" s="8"/>
      <c r="CX73" s="8"/>
      <c r="DB73" s="8"/>
      <c r="DC73" s="8"/>
      <c r="DD73" s="8"/>
      <c r="DE73" s="8"/>
    </row>
    <row r="74" spans="1:109" outlineLevel="1" x14ac:dyDescent="0.25">
      <c r="B74" t="s">
        <v>20</v>
      </c>
      <c r="C74" t="s">
        <v>88</v>
      </c>
      <c r="E74" s="7"/>
      <c r="F74" t="s">
        <v>94</v>
      </c>
      <c r="G74" s="8">
        <v>0.08</v>
      </c>
      <c r="I74" s="7">
        <f t="shared" si="3"/>
        <v>0</v>
      </c>
      <c r="J74" s="9" cm="1">
        <f t="array" ref="J74">MAX(IF($N$3:$EH$3=$J$3,N74:EH74))</f>
        <v>0</v>
      </c>
      <c r="K74" s="9" cm="1">
        <f t="array" ref="K74">MAX(IF($N$3:$EH$3=$J$3,N74:EH74))</f>
        <v>0</v>
      </c>
      <c r="L74" s="7"/>
      <c r="O74" s="8"/>
      <c r="P74" s="8">
        <v>0.3</v>
      </c>
      <c r="Q74" s="8"/>
      <c r="R74" s="8">
        <v>0.3</v>
      </c>
      <c r="V74" s="8"/>
      <c r="W74" s="8">
        <v>0.5</v>
      </c>
      <c r="X74" s="8"/>
      <c r="Y74" s="8">
        <v>0.5</v>
      </c>
      <c r="AC74" s="8"/>
      <c r="AD74" s="8">
        <v>0.5</v>
      </c>
      <c r="AE74" s="8"/>
      <c r="AF74" s="8">
        <v>0.5</v>
      </c>
      <c r="AJ74" s="8"/>
      <c r="AK74" s="8">
        <v>0.5</v>
      </c>
      <c r="AL74" s="8"/>
      <c r="AM74" s="8">
        <v>0.8</v>
      </c>
      <c r="AQ74" s="8"/>
      <c r="AR74" s="8">
        <v>0.8</v>
      </c>
      <c r="AS74" s="8"/>
      <c r="AT74" s="8">
        <v>0.8</v>
      </c>
      <c r="AX74" s="8"/>
      <c r="AY74" s="8">
        <v>1</v>
      </c>
      <c r="AZ74" s="8"/>
      <c r="BA74" s="8">
        <v>1</v>
      </c>
      <c r="BE74" s="8"/>
      <c r="BF74" s="8">
        <v>1</v>
      </c>
      <c r="BG74" s="8"/>
      <c r="BH74" s="8">
        <v>1</v>
      </c>
      <c r="BJ74" s="21"/>
      <c r="BL74" s="8"/>
      <c r="BM74" s="8"/>
      <c r="BN74" s="8"/>
      <c r="BO74" s="8"/>
      <c r="BS74" s="8"/>
      <c r="BT74" s="8"/>
      <c r="BU74" s="8"/>
      <c r="BV74" s="8"/>
      <c r="BX74" s="18"/>
      <c r="BZ74" s="8"/>
      <c r="CA74" s="8"/>
      <c r="CB74" s="8"/>
      <c r="CC74" s="8"/>
      <c r="CG74" s="8"/>
      <c r="CH74" s="8"/>
      <c r="CI74" s="8"/>
      <c r="CJ74" s="8"/>
      <c r="CN74" s="8"/>
      <c r="CO74" s="8"/>
      <c r="CP74" s="8"/>
      <c r="CQ74" s="8"/>
      <c r="CU74" s="8"/>
      <c r="CV74" s="8"/>
      <c r="CW74" s="8"/>
      <c r="CX74" s="8"/>
      <c r="DB74" s="8"/>
      <c r="DC74" s="8"/>
      <c r="DD74" s="8"/>
      <c r="DE74" s="8"/>
    </row>
    <row r="75" spans="1:109" outlineLevel="1" x14ac:dyDescent="0.25">
      <c r="A75" s="19"/>
      <c r="B75" s="19" t="s">
        <v>20</v>
      </c>
      <c r="C75" s="19" t="s">
        <v>88</v>
      </c>
      <c r="E75" s="7"/>
      <c r="F75" t="s">
        <v>95</v>
      </c>
      <c r="G75" s="8">
        <v>0.08</v>
      </c>
      <c r="I75" s="7">
        <f t="shared" si="3"/>
        <v>0</v>
      </c>
      <c r="J75" s="9" cm="1">
        <f t="array" ref="J75">MAX(IF($N$3:$EH$3=$J$3,N75:EH75))</f>
        <v>0</v>
      </c>
      <c r="K75" s="9" cm="1">
        <f t="array" ref="K75">MAX(IF($N$3:$EH$3=$J$3,N75:EH75))</f>
        <v>0</v>
      </c>
      <c r="L75" s="7"/>
      <c r="O75" s="8"/>
      <c r="P75" s="8">
        <v>0.3</v>
      </c>
      <c r="Q75" s="8"/>
      <c r="R75" s="8">
        <v>0.3</v>
      </c>
      <c r="V75" s="8"/>
      <c r="W75" s="8">
        <v>0.3</v>
      </c>
      <c r="X75" s="8"/>
      <c r="Y75" s="8">
        <v>0.3</v>
      </c>
      <c r="AC75" s="8"/>
      <c r="AD75" s="8">
        <v>0.5</v>
      </c>
      <c r="AE75" s="8"/>
      <c r="AF75" s="8">
        <v>0.5</v>
      </c>
      <c r="AJ75" s="8"/>
      <c r="AK75" s="8">
        <v>0.5</v>
      </c>
      <c r="AL75" s="8"/>
      <c r="AM75" s="8">
        <v>0.5</v>
      </c>
      <c r="AQ75" s="8"/>
      <c r="AR75" s="8">
        <v>0.8</v>
      </c>
      <c r="AS75" s="8"/>
      <c r="AT75" s="8">
        <v>0.8</v>
      </c>
      <c r="AX75" s="8"/>
      <c r="AY75" s="8">
        <v>1</v>
      </c>
      <c r="AZ75" s="8"/>
      <c r="BA75" s="8">
        <v>1</v>
      </c>
      <c r="BE75" s="8"/>
      <c r="BF75" s="8">
        <v>1</v>
      </c>
      <c r="BG75" s="8"/>
      <c r="BH75" s="8">
        <v>1</v>
      </c>
      <c r="BJ75" s="21"/>
      <c r="BL75" s="8"/>
      <c r="BM75" s="8"/>
      <c r="BN75" s="8"/>
      <c r="BO75" s="8"/>
      <c r="BS75" s="8"/>
      <c r="BT75" s="8"/>
      <c r="BU75" s="8"/>
      <c r="BV75" s="8"/>
      <c r="BX75" s="18"/>
      <c r="BZ75" s="8"/>
      <c r="CA75" s="8"/>
      <c r="CB75" s="8"/>
      <c r="CC75" s="8"/>
      <c r="CG75" s="8"/>
      <c r="CH75" s="8"/>
      <c r="CI75" s="8"/>
      <c r="CJ75" s="8"/>
      <c r="CN75" s="8"/>
      <c r="CO75" s="8"/>
      <c r="CP75" s="8"/>
      <c r="CQ75" s="8"/>
      <c r="CU75" s="8"/>
      <c r="CV75" s="8"/>
      <c r="CW75" s="8"/>
      <c r="CX75" s="8"/>
      <c r="DB75" s="8"/>
      <c r="DC75" s="8"/>
      <c r="DD75" s="8"/>
      <c r="DE75" s="8"/>
    </row>
    <row r="76" spans="1:109" outlineLevel="1" x14ac:dyDescent="0.25">
      <c r="A76" s="19"/>
      <c r="B76" s="19" t="s">
        <v>20</v>
      </c>
      <c r="C76" s="19" t="s">
        <v>88</v>
      </c>
      <c r="E76" s="7"/>
      <c r="F76" t="s">
        <v>96</v>
      </c>
      <c r="G76" s="8">
        <v>0.08</v>
      </c>
      <c r="I76" s="7">
        <f t="shared" si="3"/>
        <v>0</v>
      </c>
      <c r="J76" s="9" cm="1">
        <f t="array" ref="J76">MAX(IF($N$3:$EH$3=$J$3,N76:EH76))</f>
        <v>0</v>
      </c>
      <c r="K76" s="9" cm="1">
        <f t="array" ref="K76">MAX(IF($N$3:$EH$3=$J$3,N76:EH76))</f>
        <v>0</v>
      </c>
      <c r="L76" s="7"/>
      <c r="O76" s="8"/>
      <c r="P76" s="8">
        <v>0.1</v>
      </c>
      <c r="Q76" s="8"/>
      <c r="R76" s="8">
        <v>0.1</v>
      </c>
      <c r="V76" s="8"/>
      <c r="W76" s="8">
        <v>0.3</v>
      </c>
      <c r="X76" s="8"/>
      <c r="Y76" s="8">
        <v>0.3</v>
      </c>
      <c r="AC76" s="8"/>
      <c r="AD76" s="8">
        <v>0.3</v>
      </c>
      <c r="AE76" s="8"/>
      <c r="AF76" s="8">
        <v>0.3</v>
      </c>
      <c r="AJ76" s="8"/>
      <c r="AK76" s="8">
        <v>0.5</v>
      </c>
      <c r="AL76" s="8"/>
      <c r="AM76" s="8">
        <v>0.5</v>
      </c>
      <c r="AQ76" s="8"/>
      <c r="AR76" s="8">
        <v>0.8</v>
      </c>
      <c r="AS76" s="8"/>
      <c r="AT76" s="8">
        <v>0.8</v>
      </c>
      <c r="AX76" s="8"/>
      <c r="AY76" s="8">
        <v>0.8</v>
      </c>
      <c r="AZ76" s="8"/>
      <c r="BA76" s="8">
        <v>0.8</v>
      </c>
      <c r="BE76" s="8"/>
      <c r="BF76" s="8">
        <v>1</v>
      </c>
      <c r="BG76" s="8"/>
      <c r="BH76" s="8">
        <v>1</v>
      </c>
      <c r="BJ76" s="21"/>
      <c r="BL76" s="8"/>
      <c r="BM76" s="8"/>
      <c r="BN76" s="8"/>
      <c r="BO76" s="8"/>
      <c r="BS76" s="8"/>
      <c r="BT76" s="8"/>
      <c r="BU76" s="8"/>
      <c r="BV76" s="8"/>
      <c r="BX76" s="18"/>
      <c r="BZ76" s="8"/>
      <c r="CA76" s="8"/>
      <c r="CB76" s="8"/>
      <c r="CC76" s="8"/>
      <c r="CG76" s="8"/>
      <c r="CH76" s="8"/>
      <c r="CI76" s="8"/>
      <c r="CJ76" s="8"/>
      <c r="CN76" s="8"/>
      <c r="CO76" s="8"/>
      <c r="CP76" s="8"/>
      <c r="CQ76" s="8"/>
      <c r="CU76" s="8"/>
      <c r="CV76" s="8"/>
      <c r="CW76" s="8"/>
      <c r="CX76" s="8"/>
      <c r="DB76" s="8"/>
      <c r="DC76" s="8"/>
      <c r="DD76" s="8"/>
      <c r="DE76" s="8"/>
    </row>
    <row r="77" spans="1:109" outlineLevel="1" x14ac:dyDescent="0.25">
      <c r="A77" s="19"/>
      <c r="B77" s="19" t="s">
        <v>20</v>
      </c>
      <c r="C77" s="19" t="s">
        <v>88</v>
      </c>
      <c r="E77" s="7"/>
      <c r="F77" t="s">
        <v>97</v>
      </c>
      <c r="G77" s="8">
        <v>0.08</v>
      </c>
      <c r="I77" s="7">
        <f t="shared" si="3"/>
        <v>0</v>
      </c>
      <c r="J77" s="9" cm="1">
        <f t="array" ref="J77">MAX(IF($N$3:$EH$3=$J$3,N77:EH77))</f>
        <v>0</v>
      </c>
      <c r="K77" s="9" cm="1">
        <f t="array" ref="K77">MAX(IF($N$3:$EH$3=$J$3,N77:EH77))</f>
        <v>0</v>
      </c>
      <c r="L77" s="7"/>
      <c r="O77" s="8"/>
      <c r="P77" s="8">
        <v>0.1</v>
      </c>
      <c r="Q77" s="8"/>
      <c r="R77" s="8">
        <v>0.1</v>
      </c>
      <c r="V77" s="8"/>
      <c r="W77" s="8">
        <v>0.3</v>
      </c>
      <c r="X77" s="8"/>
      <c r="Y77" s="8">
        <v>0.3</v>
      </c>
      <c r="AC77" s="8"/>
      <c r="AD77" s="8">
        <v>0.3</v>
      </c>
      <c r="AE77" s="8"/>
      <c r="AF77" s="8">
        <v>0.3</v>
      </c>
      <c r="AJ77" s="8"/>
      <c r="AK77" s="8">
        <v>0.5</v>
      </c>
      <c r="AL77" s="8"/>
      <c r="AM77" s="8">
        <v>0.5</v>
      </c>
      <c r="AQ77" s="8"/>
      <c r="AR77" s="8">
        <v>0.8</v>
      </c>
      <c r="AS77" s="8"/>
      <c r="AT77" s="8">
        <v>0.8</v>
      </c>
      <c r="AX77" s="8"/>
      <c r="AY77" s="8">
        <v>0.8</v>
      </c>
      <c r="AZ77" s="8"/>
      <c r="BA77" s="8">
        <v>0.8</v>
      </c>
      <c r="BE77" s="8"/>
      <c r="BF77" s="8">
        <v>1</v>
      </c>
      <c r="BG77" s="8"/>
      <c r="BH77" s="8">
        <v>1</v>
      </c>
      <c r="BJ77" s="21"/>
      <c r="BL77" s="8"/>
      <c r="BM77" s="8"/>
      <c r="BN77" s="8"/>
      <c r="BO77" s="8"/>
      <c r="BS77" s="8"/>
      <c r="BT77" s="8"/>
      <c r="BU77" s="8"/>
      <c r="BV77" s="8"/>
      <c r="BX77" s="18"/>
      <c r="BZ77" s="8"/>
      <c r="CA77" s="8"/>
      <c r="CB77" s="8"/>
      <c r="CC77" s="8"/>
      <c r="CG77" s="8"/>
      <c r="CH77" s="8"/>
      <c r="CI77" s="8"/>
      <c r="CJ77" s="8"/>
      <c r="CN77" s="8"/>
      <c r="CO77" s="8"/>
      <c r="CP77" s="8"/>
      <c r="CQ77" s="8"/>
      <c r="CU77" s="8"/>
      <c r="CV77" s="8"/>
      <c r="CW77" s="8"/>
      <c r="CX77" s="8"/>
      <c r="DB77" s="8"/>
      <c r="DC77" s="8"/>
      <c r="DD77" s="8"/>
      <c r="DE77" s="8"/>
    </row>
    <row r="78" spans="1:109" outlineLevel="1" x14ac:dyDescent="0.25">
      <c r="A78" s="19"/>
      <c r="B78" s="19" t="s">
        <v>20</v>
      </c>
      <c r="C78" s="19" t="s">
        <v>88</v>
      </c>
      <c r="E78" s="7"/>
      <c r="F78" t="s">
        <v>98</v>
      </c>
      <c r="G78" s="8">
        <v>0.08</v>
      </c>
      <c r="I78" s="7">
        <f t="shared" si="3"/>
        <v>0</v>
      </c>
      <c r="J78" s="9" cm="1">
        <f t="array" ref="J78">MAX(IF($N$3:$EH$3=$J$3,N78:EH78))</f>
        <v>0</v>
      </c>
      <c r="K78" s="9" cm="1">
        <f t="array" ref="K78">MAX(IF($N$3:$EH$3=$J$3,N78:EH78))</f>
        <v>0</v>
      </c>
      <c r="L78" s="7"/>
      <c r="O78" s="8"/>
      <c r="P78" s="8">
        <v>0.1</v>
      </c>
      <c r="Q78" s="8"/>
      <c r="R78" s="8">
        <v>0.1</v>
      </c>
      <c r="V78" s="8"/>
      <c r="W78" s="8">
        <v>0.1</v>
      </c>
      <c r="X78" s="8"/>
      <c r="Y78" s="8">
        <v>0.1</v>
      </c>
      <c r="AC78" s="8"/>
      <c r="AD78" s="8">
        <v>0.3</v>
      </c>
      <c r="AE78" s="8"/>
      <c r="AF78" s="8">
        <v>0.3</v>
      </c>
      <c r="AJ78" s="8"/>
      <c r="AK78" s="8">
        <v>0.5</v>
      </c>
      <c r="AL78" s="8"/>
      <c r="AM78" s="8">
        <v>0.5</v>
      </c>
      <c r="AQ78" s="8"/>
      <c r="AR78" s="8">
        <v>0.8</v>
      </c>
      <c r="AS78" s="8"/>
      <c r="AT78" s="8">
        <v>0.8</v>
      </c>
      <c r="AX78" s="8"/>
      <c r="AY78" s="8">
        <v>0.8</v>
      </c>
      <c r="AZ78" s="8"/>
      <c r="BA78" s="8">
        <v>0.8</v>
      </c>
      <c r="BE78" s="8"/>
      <c r="BF78" s="8">
        <v>1</v>
      </c>
      <c r="BG78" s="8"/>
      <c r="BH78" s="8">
        <v>1</v>
      </c>
      <c r="BJ78" s="21"/>
      <c r="BL78" s="8"/>
      <c r="BM78" s="8"/>
      <c r="BN78" s="8"/>
      <c r="BO78" s="8"/>
      <c r="BS78" s="8"/>
      <c r="BT78" s="8"/>
      <c r="BU78" s="8"/>
      <c r="BV78" s="8"/>
      <c r="BX78" s="18"/>
      <c r="BZ78" s="8"/>
      <c r="CA78" s="8"/>
      <c r="CB78" s="8"/>
      <c r="CC78" s="8"/>
      <c r="CG78" s="8"/>
      <c r="CH78" s="8"/>
      <c r="CI78" s="8"/>
      <c r="CJ78" s="8"/>
      <c r="CN78" s="8"/>
      <c r="CO78" s="8"/>
      <c r="CP78" s="8"/>
      <c r="CQ78" s="8"/>
      <c r="CU78" s="8"/>
      <c r="CV78" s="8"/>
      <c r="CW78" s="8"/>
      <c r="CX78" s="8"/>
      <c r="DB78" s="8"/>
      <c r="DC78" s="8"/>
      <c r="DD78" s="8"/>
      <c r="DE78" s="8"/>
    </row>
    <row r="79" spans="1:109" x14ac:dyDescent="0.25">
      <c r="A79" s="19"/>
      <c r="B79" s="19" t="s">
        <v>120</v>
      </c>
      <c r="C79" s="19" t="s">
        <v>88</v>
      </c>
      <c r="F79" t="s">
        <v>99</v>
      </c>
      <c r="G79" s="8">
        <v>0.08</v>
      </c>
      <c r="P79" s="8">
        <v>0.1</v>
      </c>
      <c r="R79" s="8">
        <v>0.1</v>
      </c>
      <c r="W79" s="8">
        <v>0.1</v>
      </c>
      <c r="Y79" s="8">
        <v>0.1</v>
      </c>
      <c r="AD79" s="8">
        <v>0.3</v>
      </c>
      <c r="AF79" s="8">
        <v>0.3</v>
      </c>
      <c r="AK79" s="8">
        <v>0.5</v>
      </c>
      <c r="AM79" s="8">
        <v>0.5</v>
      </c>
      <c r="AR79" s="8">
        <v>0.8</v>
      </c>
      <c r="AT79" s="8">
        <v>0.8</v>
      </c>
      <c r="AY79" s="8">
        <v>0.8</v>
      </c>
      <c r="BA79" s="8">
        <v>0.8</v>
      </c>
      <c r="BF79" s="8">
        <v>1</v>
      </c>
      <c r="BH79" s="8">
        <v>1</v>
      </c>
      <c r="BJ79" s="21"/>
      <c r="BX79" s="18"/>
    </row>
    <row r="80" spans="1:109" x14ac:dyDescent="0.25">
      <c r="BJ80" s="21"/>
      <c r="BX80" s="18"/>
    </row>
    <row r="81" spans="3:76" x14ac:dyDescent="0.25">
      <c r="BJ81" s="21"/>
      <c r="BX81" s="18"/>
    </row>
    <row r="82" spans="3:76" x14ac:dyDescent="0.25">
      <c r="BJ82" s="21"/>
      <c r="BX82" s="18"/>
    </row>
    <row r="83" spans="3:76" x14ac:dyDescent="0.25">
      <c r="BJ83" s="21"/>
      <c r="BX83" s="18"/>
    </row>
    <row r="84" spans="3:76" x14ac:dyDescent="0.25">
      <c r="BJ84" s="21"/>
      <c r="BX84" s="18"/>
    </row>
    <row r="85" spans="3:76" x14ac:dyDescent="0.25">
      <c r="BJ85" s="21"/>
      <c r="BX85" s="18"/>
    </row>
    <row r="86" spans="3:76" ht="26.25" x14ac:dyDescent="0.4">
      <c r="C86" s="28" t="s">
        <v>158</v>
      </c>
      <c r="E86" s="27" t="s">
        <v>163</v>
      </c>
      <c r="F86" s="27"/>
      <c r="BJ86" s="21"/>
      <c r="BX86" s="18"/>
    </row>
    <row r="87" spans="3:76" ht="28.5" x14ac:dyDescent="0.45">
      <c r="C87" s="26"/>
      <c r="E87" s="27" t="s">
        <v>159</v>
      </c>
      <c r="F87" s="27"/>
      <c r="BJ87" s="21"/>
      <c r="BX87" s="18"/>
    </row>
    <row r="88" spans="3:76" ht="23.25" x14ac:dyDescent="0.35">
      <c r="E88" s="27" t="s">
        <v>160</v>
      </c>
      <c r="F88" s="27"/>
      <c r="BJ88" s="21"/>
      <c r="BX88" s="18"/>
    </row>
    <row r="89" spans="3:76" ht="23.25" x14ac:dyDescent="0.35">
      <c r="E89" s="27" t="s">
        <v>161</v>
      </c>
      <c r="F89" s="27"/>
      <c r="BJ89" s="21"/>
      <c r="BX89" s="18"/>
    </row>
    <row r="90" spans="3:76" ht="23.25" x14ac:dyDescent="0.35">
      <c r="E90" s="27" t="s">
        <v>162</v>
      </c>
      <c r="F90" s="27"/>
      <c r="BJ90" s="21"/>
      <c r="BX90" s="18"/>
    </row>
    <row r="91" spans="3:76" ht="23.25" x14ac:dyDescent="0.35">
      <c r="E91" s="27" t="s">
        <v>165</v>
      </c>
      <c r="F91" s="27"/>
      <c r="BJ91" s="21"/>
      <c r="BX91" s="18"/>
    </row>
    <row r="92" spans="3:76" ht="23.25" x14ac:dyDescent="0.35">
      <c r="E92" s="27" t="s">
        <v>166</v>
      </c>
      <c r="BJ92" s="21"/>
      <c r="BX92" s="18"/>
    </row>
    <row r="93" spans="3:76" ht="23.25" x14ac:dyDescent="0.35">
      <c r="E93" s="27" t="s">
        <v>167</v>
      </c>
      <c r="BJ93" s="21"/>
      <c r="BX93" s="18"/>
    </row>
    <row r="94" spans="3:76" x14ac:dyDescent="0.25">
      <c r="BJ94" s="21"/>
      <c r="BX94" s="18"/>
    </row>
    <row r="95" spans="3:76" ht="26.25" x14ac:dyDescent="0.4">
      <c r="E95" s="28" t="s">
        <v>164</v>
      </c>
      <c r="BJ95" s="21"/>
      <c r="BX95" s="18"/>
    </row>
    <row r="96" spans="3:76" x14ac:dyDescent="0.25">
      <c r="BJ96" s="21"/>
      <c r="BX96" s="18"/>
    </row>
    <row r="97" spans="62:76" x14ac:dyDescent="0.25">
      <c r="BJ97" s="21"/>
      <c r="BX97" s="18"/>
    </row>
    <row r="98" spans="62:76" x14ac:dyDescent="0.25">
      <c r="BJ98" s="21"/>
      <c r="BX98" s="18"/>
    </row>
  </sheetData>
  <mergeCells count="15">
    <mergeCell ref="CT2:CY2"/>
    <mergeCell ref="DA2:DF2"/>
    <mergeCell ref="BK2:BP2"/>
    <mergeCell ref="BR2:BW2"/>
    <mergeCell ref="BY2:CD2"/>
    <mergeCell ref="CF2:CK2"/>
    <mergeCell ref="CM2:CR2"/>
    <mergeCell ref="I2:L2"/>
    <mergeCell ref="N2:S2"/>
    <mergeCell ref="BD2:BI2"/>
    <mergeCell ref="U2:Z2"/>
    <mergeCell ref="AB2:AG2"/>
    <mergeCell ref="AI2:AN2"/>
    <mergeCell ref="AP2:AU2"/>
    <mergeCell ref="AW2:BB2"/>
  </mergeCells>
  <conditionalFormatting sqref="J5:J10 J12">
    <cfRule type="colorScale" priority="6">
      <colorScale>
        <cfvo type="percent" val="0"/>
        <cfvo type="percent" val="100"/>
        <color rgb="FFFF231B"/>
        <color rgb="FF10FF07"/>
      </colorScale>
    </cfRule>
  </conditionalFormatting>
  <conditionalFormatting sqref="J13:J20">
    <cfRule type="colorScale" priority="765">
      <colorScale>
        <cfvo type="percent" val="0"/>
        <cfvo type="percent" val="100"/>
        <color rgb="FFFF231B"/>
        <color rgb="FF10FF07"/>
      </colorScale>
    </cfRule>
  </conditionalFormatting>
  <conditionalFormatting sqref="J24">
    <cfRule type="colorScale" priority="152">
      <colorScale>
        <cfvo type="percent" val="0"/>
        <cfvo type="percent" val="100"/>
        <color rgb="FFFF231B"/>
        <color rgb="FF10FF07"/>
      </colorScale>
    </cfRule>
  </conditionalFormatting>
  <conditionalFormatting sqref="J25">
    <cfRule type="colorScale" priority="133">
      <colorScale>
        <cfvo type="percent" val="0"/>
        <cfvo type="percent" val="100"/>
        <color rgb="FFFF231B"/>
        <color rgb="FF10FF07"/>
      </colorScale>
    </cfRule>
  </conditionalFormatting>
  <conditionalFormatting sqref="J26:J33 J23">
    <cfRule type="colorScale" priority="386">
      <colorScale>
        <cfvo type="percent" val="0"/>
        <cfvo type="percent" val="100"/>
        <color rgb="FFFF231B"/>
        <color rgb="FF10FF07"/>
      </colorScale>
    </cfRule>
  </conditionalFormatting>
  <conditionalFormatting sqref="J36:J46">
    <cfRule type="colorScale" priority="664">
      <colorScale>
        <cfvo type="percent" val="0"/>
        <cfvo type="percent" val="100"/>
        <color rgb="FFFF231B"/>
        <color rgb="FF10FF07"/>
      </colorScale>
    </cfRule>
  </conditionalFormatting>
  <conditionalFormatting sqref="J50:J63">
    <cfRule type="colorScale" priority="760">
      <colorScale>
        <cfvo type="percent" val="0"/>
        <cfvo type="percent" val="100"/>
        <color rgb="FFFF231B"/>
        <color rgb="FF10FF07"/>
      </colorScale>
    </cfRule>
  </conditionalFormatting>
  <conditionalFormatting sqref="J67:J78">
    <cfRule type="colorScale" priority="757">
      <colorScale>
        <cfvo type="percent" val="0"/>
        <cfvo type="percent" val="100"/>
        <color rgb="FFFF231B"/>
        <color rgb="FF10FF07"/>
      </colorScale>
    </cfRule>
  </conditionalFormatting>
  <conditionalFormatting sqref="J6:K10">
    <cfRule type="colorScale" priority="5">
      <colorScale>
        <cfvo type="percent" val="0"/>
        <cfvo type="percent" val="100"/>
        <color rgb="FFFF231B"/>
        <color rgb="FF10FF07"/>
      </colorScale>
    </cfRule>
  </conditionalFormatting>
  <conditionalFormatting sqref="J13:K20">
    <cfRule type="colorScale" priority="768">
      <colorScale>
        <cfvo type="percent" val="0"/>
        <cfvo type="percent" val="100"/>
        <color rgb="FFFF231B"/>
        <color rgb="FF10FF07"/>
      </colorScale>
    </cfRule>
  </conditionalFormatting>
  <conditionalFormatting sqref="J24:K24">
    <cfRule type="colorScale" priority="153">
      <colorScale>
        <cfvo type="percent" val="0"/>
        <cfvo type="percent" val="100"/>
        <color rgb="FFFF231B"/>
        <color rgb="FF10FF07"/>
      </colorScale>
    </cfRule>
  </conditionalFormatting>
  <conditionalFormatting sqref="J25:K25">
    <cfRule type="colorScale" priority="134">
      <colorScale>
        <cfvo type="percent" val="0"/>
        <cfvo type="percent" val="100"/>
        <color rgb="FFFF231B"/>
        <color rgb="FF10FF07"/>
      </colorScale>
    </cfRule>
  </conditionalFormatting>
  <conditionalFormatting sqref="J26:K33">
    <cfRule type="colorScale" priority="387">
      <colorScale>
        <cfvo type="percent" val="0"/>
        <cfvo type="percent" val="100"/>
        <color rgb="FFFF231B"/>
        <color rgb="FF10FF07"/>
      </colorScale>
    </cfRule>
  </conditionalFormatting>
  <conditionalFormatting sqref="J37:K46">
    <cfRule type="colorScale" priority="662">
      <colorScale>
        <cfvo type="percent" val="0"/>
        <cfvo type="percent" val="100"/>
        <color rgb="FFFF231B"/>
        <color rgb="FF10FF07"/>
      </colorScale>
    </cfRule>
  </conditionalFormatting>
  <conditionalFormatting sqref="J51:K63">
    <cfRule type="colorScale" priority="762">
      <colorScale>
        <cfvo type="percent" val="0"/>
        <cfvo type="percent" val="100"/>
        <color rgb="FFFF231B"/>
        <color rgb="FF10FF07"/>
      </colorScale>
    </cfRule>
  </conditionalFormatting>
  <conditionalFormatting sqref="J68:K78">
    <cfRule type="colorScale" priority="756">
      <colorScale>
        <cfvo type="percent" val="0"/>
        <cfvo type="percent" val="100"/>
        <color rgb="FFFF231B"/>
        <color rgb="FF10FF07"/>
      </colorScale>
    </cfRule>
  </conditionalFormatting>
  <conditionalFormatting sqref="K5:K10 K12">
    <cfRule type="colorScale" priority="7">
      <colorScale>
        <cfvo type="percent" val="0"/>
        <cfvo type="percent" val="100"/>
        <color rgb="FFFF231B"/>
        <color rgb="FF10FF07"/>
      </colorScale>
    </cfRule>
  </conditionalFormatting>
  <conditionalFormatting sqref="K13:K20">
    <cfRule type="colorScale" priority="770">
      <colorScale>
        <cfvo type="percent" val="0"/>
        <cfvo type="percent" val="100"/>
        <color rgb="FFFF231B"/>
        <color rgb="FF10FF07"/>
      </colorScale>
    </cfRule>
  </conditionalFormatting>
  <conditionalFormatting sqref="K24">
    <cfRule type="colorScale" priority="151">
      <colorScale>
        <cfvo type="percent" val="0"/>
        <cfvo type="percent" val="100"/>
        <color rgb="FFFF231B"/>
        <color rgb="FF10FF07"/>
      </colorScale>
    </cfRule>
  </conditionalFormatting>
  <conditionalFormatting sqref="K25">
    <cfRule type="colorScale" priority="132">
      <colorScale>
        <cfvo type="percent" val="0"/>
        <cfvo type="percent" val="100"/>
        <color rgb="FFFF231B"/>
        <color rgb="FF10FF07"/>
      </colorScale>
    </cfRule>
  </conditionalFormatting>
  <conditionalFormatting sqref="K26:K33 K23">
    <cfRule type="colorScale" priority="385">
      <colorScale>
        <cfvo type="percent" val="0"/>
        <cfvo type="percent" val="100"/>
        <color rgb="FFFF231B"/>
        <color rgb="FF10FF07"/>
      </colorScale>
    </cfRule>
  </conditionalFormatting>
  <conditionalFormatting sqref="K36:K46">
    <cfRule type="colorScale" priority="666">
      <colorScale>
        <cfvo type="percent" val="0"/>
        <cfvo type="percent" val="100"/>
        <color rgb="FFFF231B"/>
        <color rgb="FF10FF07"/>
      </colorScale>
    </cfRule>
  </conditionalFormatting>
  <conditionalFormatting sqref="K50:K63">
    <cfRule type="colorScale" priority="764">
      <colorScale>
        <cfvo type="percent" val="0"/>
        <cfvo type="percent" val="100"/>
        <color rgb="FFFF231B"/>
        <color rgb="FF10FF07"/>
      </colorScale>
    </cfRule>
  </conditionalFormatting>
  <conditionalFormatting sqref="K67:K78">
    <cfRule type="colorScale" priority="759">
      <colorScale>
        <cfvo type="percent" val="0"/>
        <cfvo type="percent" val="100"/>
        <color rgb="FFFF231B"/>
        <color rgb="FF10FF07"/>
      </colorScale>
    </cfRule>
  </conditionalFormatting>
  <conditionalFormatting sqref="O5:O20 Q5:Q20 V5:V20 X5:X20 AC5:AC20 AE5:AE20 AJ5:AJ20 AL5:AL20 AQ5:AQ20 AS5:AS20 AX5:AX20 AZ5:AZ20 BE5:BE20 BG5:BG20 BL5:BL20 BN5:BN20 BS5:BS20 BU5:BU20 BZ5:BZ20 CB5:CB20 CG5:CG20 CI5:CI20 CN5:CN20 CP5:CP20 CU5:CU20 CW5:CW20 DB5:DB20 DD5:DD20 O50:O63 Q50:Q63 V50:V63 X50:X63 AC50:AC63 AE50:AE63 AJ50:AJ63 AL50:AL63 AQ50:AQ63 AS50:AS63 AX50:AX63 AZ50:AZ63 BE50:BE63 BG50:BG63 BL50:BL63 BN50:BN63 BS50:BS63 BU50:BU63 BZ50:BZ63 CB50:CB63 CG50:CG63 CI50:CI63 CN50:CN63 CP50:CP63 CU50:CU63 CW50:CW63 DB50:DB63 DD50:DD63 O67:O78 V67:V78 AC67:AC78 AE67:AE78 AJ67:AJ78 AL67:AL78 AQ67:AQ78 AS67:AS78 AX67:AX78 AZ67:AZ78 BE67:BE78 BG67:BG78 BL67:BL78 BN67:BN78 X70:X78 Q67:Q77">
    <cfRule type="expression" dxfId="117" priority="572">
      <formula>OR(IF(O5&lt;P5,TRUE),IF(AND(P5="",O5&lt;&gt;""),TRUE))</formula>
    </cfRule>
    <cfRule type="expression" dxfId="116" priority="573">
      <formula>IF(O5&gt;=P5,IF(O5="",FALSE,TRUE))</formula>
    </cfRule>
  </conditionalFormatting>
  <conditionalFormatting sqref="O23:O33 Q23:Q33">
    <cfRule type="expression" dxfId="115" priority="147">
      <formula>OR(IF(O23&lt;P23,TRUE),IF(AND(P23="",O23&lt;&gt;""),TRUE))</formula>
    </cfRule>
    <cfRule type="expression" dxfId="114" priority="148">
      <formula>IF(O23&gt;=P23,IF(O23="",FALSE,TRUE))</formula>
    </cfRule>
  </conditionalFormatting>
  <conditionalFormatting sqref="O36:O46">
    <cfRule type="expression" dxfId="113" priority="513">
      <formula>OR(IF(O36&lt;P36,TRUE),IF(AND(P36="",O36&lt;&gt;""),TRUE))</formula>
    </cfRule>
    <cfRule type="expression" dxfId="112" priority="514">
      <formula>IF(O36&gt;=P36,IF(O36="",FALSE,TRUE))</formula>
    </cfRule>
  </conditionalFormatting>
  <conditionalFormatting sqref="Q36:Q46">
    <cfRule type="expression" dxfId="111" priority="511">
      <formula>OR(IF(Q36&lt;R36,TRUE),IF(AND(R36="",Q36&lt;&gt;""),TRUE))</formula>
    </cfRule>
    <cfRule type="expression" dxfId="110" priority="512">
      <formula>IF(Q36&gt;=R36,IF(Q36="",FALSE,TRUE))</formula>
    </cfRule>
  </conditionalFormatting>
  <conditionalFormatting sqref="V23:V33 X23:X33">
    <cfRule type="expression" dxfId="109" priority="145">
      <formula>OR(IF(V23&lt;W23,TRUE),IF(AND(W23="",V23&lt;&gt;""),TRUE))</formula>
    </cfRule>
    <cfRule type="expression" dxfId="108" priority="146">
      <formula>IF(V23&gt;=W23,IF(V23="",FALSE,TRUE))</formula>
    </cfRule>
  </conditionalFormatting>
  <conditionalFormatting sqref="V36:V46">
    <cfRule type="expression" dxfId="107" priority="483">
      <formula>OR(IF(V36&lt;W36,TRUE),IF(AND(W36="",V36&lt;&gt;""),TRUE))</formula>
    </cfRule>
    <cfRule type="expression" dxfId="106" priority="484">
      <formula>IF(V36&gt;=W36,IF(V36="",FALSE,TRUE))</formula>
    </cfRule>
  </conditionalFormatting>
  <conditionalFormatting sqref="X36:X46">
    <cfRule type="expression" dxfId="105" priority="481">
      <formula>OR(IF(X36&lt;Y36,TRUE),IF(AND(Y36="",X36&lt;&gt;""),TRUE))</formula>
    </cfRule>
    <cfRule type="expression" dxfId="104" priority="482">
      <formula>IF(X36&gt;=Y36,IF(X36="",FALSE,TRUE))</formula>
    </cfRule>
  </conditionalFormatting>
  <conditionalFormatting sqref="AC23:AC33 AE23:AE33">
    <cfRule type="expression" dxfId="103" priority="143">
      <formula>OR(IF(AC23&lt;AD23,TRUE),IF(AND(AD23="",AC23&lt;&gt;""),TRUE))</formula>
    </cfRule>
    <cfRule type="expression" dxfId="102" priority="144">
      <formula>IF(AC23&gt;=AD23,IF(AC23="",FALSE,TRUE))</formula>
    </cfRule>
  </conditionalFormatting>
  <conditionalFormatting sqref="AC36:AC46">
    <cfRule type="expression" dxfId="101" priority="467">
      <formula>OR(IF(AC36&lt;AD36,TRUE),IF(AND(AD36="",AC36&lt;&gt;""),TRUE))</formula>
    </cfRule>
    <cfRule type="expression" dxfId="100" priority="468">
      <formula>IF(AC36&gt;=AD36,IF(AC36="",FALSE,TRUE))</formula>
    </cfRule>
  </conditionalFormatting>
  <conditionalFormatting sqref="AE36:AE46">
    <cfRule type="expression" dxfId="99" priority="465">
      <formula>OR(IF(AE36&lt;AF36,TRUE),IF(AND(AF36="",AE36&lt;&gt;""),TRUE))</formula>
    </cfRule>
    <cfRule type="expression" dxfId="98" priority="466">
      <formula>IF(AE36&gt;=AF36,IF(AE36="",FALSE,TRUE))</formula>
    </cfRule>
  </conditionalFormatting>
  <conditionalFormatting sqref="AJ23:AJ33 AL23:AL33">
    <cfRule type="expression" dxfId="97" priority="141">
      <formula>OR(IF(AJ23&lt;AK23,TRUE),IF(AND(AK23="",AJ23&lt;&gt;""),TRUE))</formula>
    </cfRule>
    <cfRule type="expression" dxfId="96" priority="142">
      <formula>IF(AJ23&gt;=AK23,IF(AJ23="",FALSE,TRUE))</formula>
    </cfRule>
  </conditionalFormatting>
  <conditionalFormatting sqref="AJ36:AJ46">
    <cfRule type="expression" dxfId="95" priority="451">
      <formula>OR(IF(AJ36&lt;AK36,TRUE),IF(AND(AK36="",AJ36&lt;&gt;""),TRUE))</formula>
    </cfRule>
    <cfRule type="expression" dxfId="94" priority="452">
      <formula>IF(AJ36&gt;=AK36,IF(AJ36="",FALSE,TRUE))</formula>
    </cfRule>
  </conditionalFormatting>
  <conditionalFormatting sqref="AL36:AL46">
    <cfRule type="expression" dxfId="93" priority="449">
      <formula>OR(IF(AL36&lt;AM36,TRUE),IF(AND(AM36="",AL36&lt;&gt;""),TRUE))</formula>
    </cfRule>
    <cfRule type="expression" dxfId="92" priority="450">
      <formula>IF(AL36&gt;=AM36,IF(AL36="",FALSE,TRUE))</formula>
    </cfRule>
  </conditionalFormatting>
  <conditionalFormatting sqref="AQ23:AQ33 AS23:AS33">
    <cfRule type="expression" dxfId="91" priority="139">
      <formula>OR(IF(AQ23&lt;AR23,TRUE),IF(AND(AR23="",AQ23&lt;&gt;""),TRUE))</formula>
    </cfRule>
    <cfRule type="expression" dxfId="90" priority="140">
      <formula>IF(AQ23&gt;=AR23,IF(AQ23="",FALSE,TRUE))</formula>
    </cfRule>
  </conditionalFormatting>
  <conditionalFormatting sqref="AQ36:AQ46">
    <cfRule type="expression" dxfId="89" priority="435">
      <formula>OR(IF(AQ36&lt;AR36,TRUE),IF(AND(AR36="",AQ36&lt;&gt;""),TRUE))</formula>
    </cfRule>
    <cfRule type="expression" dxfId="88" priority="436">
      <formula>IF(AQ36&gt;=AR36,IF(AQ36="",FALSE,TRUE))</formula>
    </cfRule>
  </conditionalFormatting>
  <conditionalFormatting sqref="AS36:AS46">
    <cfRule type="expression" dxfId="87" priority="433">
      <formula>OR(IF(AS36&lt;AT36,TRUE),IF(AND(AT36="",AS36&lt;&gt;""),TRUE))</formula>
    </cfRule>
    <cfRule type="expression" dxfId="86" priority="434">
      <formula>IF(AS36&gt;=AT36,IF(AS36="",FALSE,TRUE))</formula>
    </cfRule>
  </conditionalFormatting>
  <conditionalFormatting sqref="AX23:AX33 AZ23:AZ33">
    <cfRule type="expression" dxfId="85" priority="137">
      <formula>OR(IF(AX23&lt;AY23,TRUE),IF(AND(AY23="",AX23&lt;&gt;""),TRUE))</formula>
    </cfRule>
    <cfRule type="expression" dxfId="84" priority="138">
      <formula>IF(AX23&gt;=AY23,IF(AX23="",FALSE,TRUE))</formula>
    </cfRule>
  </conditionalFormatting>
  <conditionalFormatting sqref="AX36:AX46">
    <cfRule type="expression" dxfId="83" priority="419">
      <formula>OR(IF(AX36&lt;AY36,TRUE),IF(AND(AY36="",AX36&lt;&gt;""),TRUE))</formula>
    </cfRule>
    <cfRule type="expression" dxfId="82" priority="420">
      <formula>IF(AX36&gt;=AY36,IF(AX36="",FALSE,TRUE))</formula>
    </cfRule>
  </conditionalFormatting>
  <conditionalFormatting sqref="AZ36:AZ46">
    <cfRule type="expression" dxfId="81" priority="417">
      <formula>OR(IF(AZ36&lt;BA36,TRUE),IF(AND(BA36="",AZ36&lt;&gt;""),TRUE))</formula>
    </cfRule>
    <cfRule type="expression" dxfId="80" priority="418">
      <formula>IF(AZ36&gt;=BA36,IF(AZ36="",FALSE,TRUE))</formula>
    </cfRule>
  </conditionalFormatting>
  <conditionalFormatting sqref="BE23:BE33 BG23:BG33">
    <cfRule type="expression" dxfId="79" priority="135">
      <formula>OR(IF(BE23&lt;BF23,TRUE),IF(AND(BF23="",BE23&lt;&gt;""),TRUE))</formula>
    </cfRule>
    <cfRule type="expression" dxfId="78" priority="136">
      <formula>IF(BE23&gt;=BF23,IF(BE23="",FALSE,TRUE))</formula>
    </cfRule>
  </conditionalFormatting>
  <conditionalFormatting sqref="BE36:BE46">
    <cfRule type="expression" dxfId="77" priority="403">
      <formula>OR(IF(BE36&lt;BF36,TRUE),IF(AND(BF36="",BE36&lt;&gt;""),TRUE))</formula>
    </cfRule>
    <cfRule type="expression" dxfId="76" priority="404">
      <formula>IF(BE36&gt;=BF36,IF(BE36="",FALSE,TRUE))</formula>
    </cfRule>
  </conditionalFormatting>
  <conditionalFormatting sqref="BG36:BG46">
    <cfRule type="expression" dxfId="75" priority="401">
      <formula>OR(IF(BG36&lt;BH36,TRUE),IF(AND(BH36="",BG36&lt;&gt;""),TRUE))</formula>
    </cfRule>
    <cfRule type="expression" dxfId="74" priority="402">
      <formula>IF(BG36&gt;=BH36,IF(BG36="",FALSE,TRUE))</formula>
    </cfRule>
  </conditionalFormatting>
  <conditionalFormatting sqref="BL23:BL33 BN23:BN33">
    <cfRule type="expression" dxfId="73" priority="130">
      <formula>OR(IF(BL23&lt;BM23,TRUE),IF(AND(BM23="",BL23&lt;&gt;""),TRUE))</formula>
    </cfRule>
    <cfRule type="expression" dxfId="72" priority="131">
      <formula>IF(BL23&gt;=BM23,IF(BL23="",FALSE,TRUE))</formula>
    </cfRule>
  </conditionalFormatting>
  <conditionalFormatting sqref="BL36:BL46">
    <cfRule type="expression" dxfId="71" priority="379">
      <formula>OR(IF(BL36&lt;BM36,TRUE),IF(AND(BM36="",BL36&lt;&gt;""),TRUE))</formula>
    </cfRule>
    <cfRule type="expression" dxfId="70" priority="380">
      <formula>IF(BL36&gt;=BM36,IF(BL36="",FALSE,TRUE))</formula>
    </cfRule>
  </conditionalFormatting>
  <conditionalFormatting sqref="BN36:BN46">
    <cfRule type="expression" dxfId="69" priority="377">
      <formula>OR(IF(BN36&lt;BO36,TRUE),IF(AND(BO36="",BN36&lt;&gt;""),TRUE))</formula>
    </cfRule>
    <cfRule type="expression" dxfId="68" priority="378">
      <formula>IF(BN36&gt;=BO36,IF(BN36="",FALSE,TRUE))</formula>
    </cfRule>
  </conditionalFormatting>
  <conditionalFormatting sqref="BS23:BS33 BU23:BU33">
    <cfRule type="expression" dxfId="67" priority="110">
      <formula>OR(IF(BS23&lt;BT23,TRUE),IF(AND(BT23="",BS23&lt;&gt;""),TRUE))</formula>
    </cfRule>
    <cfRule type="expression" dxfId="66" priority="111">
      <formula>IF(BS23&gt;=BT23,IF(BS23="",FALSE,TRUE))</formula>
    </cfRule>
  </conditionalFormatting>
  <conditionalFormatting sqref="BS36:BS46">
    <cfRule type="expression" dxfId="65" priority="124">
      <formula>OR(IF(BS36&lt;BT36,TRUE),IF(AND(BT36="",BS36&lt;&gt;""),TRUE))</formula>
    </cfRule>
    <cfRule type="expression" dxfId="64" priority="125">
      <formula>IF(BS36&gt;=BT36,IF(BS36="",FALSE,TRUE))</formula>
    </cfRule>
  </conditionalFormatting>
  <conditionalFormatting sqref="BS67:BS78 BU67:BU78">
    <cfRule type="expression" dxfId="63" priority="128">
      <formula>OR(IF(BS67&lt;BT67,TRUE),IF(AND(BT67="",BS67&lt;&gt;""),TRUE))</formula>
    </cfRule>
    <cfRule type="expression" dxfId="62" priority="129">
      <formula>IF(BS67&gt;=BT67,IF(BS67="",FALSE,TRUE))</formula>
    </cfRule>
  </conditionalFormatting>
  <conditionalFormatting sqref="BU36:BU46">
    <cfRule type="expression" dxfId="61" priority="122">
      <formula>OR(IF(BU36&lt;BV36,TRUE),IF(AND(BV36="",BU36&lt;&gt;""),TRUE))</formula>
    </cfRule>
    <cfRule type="expression" dxfId="60" priority="123">
      <formula>IF(BU36&gt;=BV36,IF(BU36="",FALSE,TRUE))</formula>
    </cfRule>
  </conditionalFormatting>
  <conditionalFormatting sqref="BZ23:BZ33 CB23:CB33">
    <cfRule type="expression" dxfId="59" priority="90">
      <formula>OR(IF(BZ23&lt;CA23,TRUE),IF(AND(CA23="",BZ23&lt;&gt;""),TRUE))</formula>
    </cfRule>
    <cfRule type="expression" dxfId="58" priority="91">
      <formula>IF(BZ23&gt;=CA23,IF(BZ23="",FALSE,TRUE))</formula>
    </cfRule>
  </conditionalFormatting>
  <conditionalFormatting sqref="BZ36:BZ46">
    <cfRule type="expression" dxfId="57" priority="104">
      <formula>OR(IF(BZ36&lt;CA36,TRUE),IF(AND(CA36="",BZ36&lt;&gt;""),TRUE))</formula>
    </cfRule>
    <cfRule type="expression" dxfId="56" priority="105">
      <formula>IF(BZ36&gt;=CA36,IF(BZ36="",FALSE,TRUE))</formula>
    </cfRule>
  </conditionalFormatting>
  <conditionalFormatting sqref="BZ67:BZ78 CB67:CB78">
    <cfRule type="expression" dxfId="55" priority="108">
      <formula>OR(IF(BZ67&lt;CA67,TRUE),IF(AND(CA67="",BZ67&lt;&gt;""),TRUE))</formula>
    </cfRule>
    <cfRule type="expression" dxfId="54" priority="109">
      <formula>IF(BZ67&gt;=CA67,IF(BZ67="",FALSE,TRUE))</formula>
    </cfRule>
  </conditionalFormatting>
  <conditionalFormatting sqref="CB36:CB46">
    <cfRule type="expression" dxfId="53" priority="102">
      <formula>OR(IF(CB36&lt;CC36,TRUE),IF(AND(CC36="",CB36&lt;&gt;""),TRUE))</formula>
    </cfRule>
    <cfRule type="expression" dxfId="52" priority="103">
      <formula>IF(CB36&gt;=CC36,IF(CB36="",FALSE,TRUE))</formula>
    </cfRule>
  </conditionalFormatting>
  <conditionalFormatting sqref="CG23:CG33 CI23:CI33">
    <cfRule type="expression" dxfId="51" priority="70">
      <formula>OR(IF(CG23&lt;CH23,TRUE),IF(AND(CH23="",CG23&lt;&gt;""),TRUE))</formula>
    </cfRule>
    <cfRule type="expression" dxfId="50" priority="71">
      <formula>IF(CG23&gt;=CH23,IF(CG23="",FALSE,TRUE))</formula>
    </cfRule>
  </conditionalFormatting>
  <conditionalFormatting sqref="CG36:CG46">
    <cfRule type="expression" dxfId="49" priority="84">
      <formula>OR(IF(CG36&lt;CH36,TRUE),IF(AND(CH36="",CG36&lt;&gt;""),TRUE))</formula>
    </cfRule>
    <cfRule type="expression" dxfId="48" priority="85">
      <formula>IF(CG36&gt;=CH36,IF(CG36="",FALSE,TRUE))</formula>
    </cfRule>
  </conditionalFormatting>
  <conditionalFormatting sqref="CG67:CG78 CI67:CI78">
    <cfRule type="expression" dxfId="47" priority="88">
      <formula>OR(IF(CG67&lt;CH67,TRUE),IF(AND(CH67="",CG67&lt;&gt;""),TRUE))</formula>
    </cfRule>
    <cfRule type="expression" dxfId="46" priority="89">
      <formula>IF(CG67&gt;=CH67,IF(CG67="",FALSE,TRUE))</formula>
    </cfRule>
  </conditionalFormatting>
  <conditionalFormatting sqref="CI36:CI46">
    <cfRule type="expression" dxfId="45" priority="82">
      <formula>OR(IF(CI36&lt;CJ36,TRUE),IF(AND(CJ36="",CI36&lt;&gt;""),TRUE))</formula>
    </cfRule>
    <cfRule type="expression" dxfId="44" priority="83">
      <formula>IF(CI36&gt;=CJ36,IF(CI36="",FALSE,TRUE))</formula>
    </cfRule>
  </conditionalFormatting>
  <conditionalFormatting sqref="CN23:CN33 CP23:CP33">
    <cfRule type="expression" dxfId="43" priority="50">
      <formula>OR(IF(CN23&lt;CO23,TRUE),IF(AND(CO23="",CN23&lt;&gt;""),TRUE))</formula>
    </cfRule>
    <cfRule type="expression" dxfId="42" priority="51">
      <formula>IF(CN23&gt;=CO23,IF(CN23="",FALSE,TRUE))</formula>
    </cfRule>
  </conditionalFormatting>
  <conditionalFormatting sqref="CN36:CN46">
    <cfRule type="expression" dxfId="41" priority="64">
      <formula>OR(IF(CN36&lt;CO36,TRUE),IF(AND(CO36="",CN36&lt;&gt;""),TRUE))</formula>
    </cfRule>
    <cfRule type="expression" dxfId="40" priority="65">
      <formula>IF(CN36&gt;=CO36,IF(CN36="",FALSE,TRUE))</formula>
    </cfRule>
  </conditionalFormatting>
  <conditionalFormatting sqref="CN67:CN78 CP67:CP78">
    <cfRule type="expression" dxfId="39" priority="68">
      <formula>OR(IF(CN67&lt;CO67,TRUE),IF(AND(CO67="",CN67&lt;&gt;""),TRUE))</formula>
    </cfRule>
    <cfRule type="expression" dxfId="38" priority="69">
      <formula>IF(CN67&gt;=CO67,IF(CN67="",FALSE,TRUE))</formula>
    </cfRule>
  </conditionalFormatting>
  <conditionalFormatting sqref="CP36:CP46">
    <cfRule type="expression" dxfId="37" priority="62">
      <formula>OR(IF(CP36&lt;CQ36,TRUE),IF(AND(CQ36="",CP36&lt;&gt;""),TRUE))</formula>
    </cfRule>
    <cfRule type="expression" dxfId="36" priority="63">
      <formula>IF(CP36&gt;=CQ36,IF(CP36="",FALSE,TRUE))</formula>
    </cfRule>
  </conditionalFormatting>
  <conditionalFormatting sqref="CU23:CU33 CW23:CW33">
    <cfRule type="expression" dxfId="35" priority="30">
      <formula>OR(IF(CU23&lt;CV23,TRUE),IF(AND(CV23="",CU23&lt;&gt;""),TRUE))</formula>
    </cfRule>
    <cfRule type="expression" dxfId="34" priority="31">
      <formula>IF(CU23&gt;=CV23,IF(CU23="",FALSE,TRUE))</formula>
    </cfRule>
  </conditionalFormatting>
  <conditionalFormatting sqref="CU36:CU46">
    <cfRule type="expression" dxfId="33" priority="44">
      <formula>OR(IF(CU36&lt;CV36,TRUE),IF(AND(CV36="",CU36&lt;&gt;""),TRUE))</formula>
    </cfRule>
    <cfRule type="expression" dxfId="32" priority="45">
      <formula>IF(CU36&gt;=CV36,IF(CU36="",FALSE,TRUE))</formula>
    </cfRule>
  </conditionalFormatting>
  <conditionalFormatting sqref="CU67:CU78 CW67:CW78">
    <cfRule type="expression" dxfId="31" priority="48">
      <formula>OR(IF(CU67&lt;CV67,TRUE),IF(AND(CV67="",CU67&lt;&gt;""),TRUE))</formula>
    </cfRule>
    <cfRule type="expression" dxfId="30" priority="49">
      <formula>IF(CU67&gt;=CV67,IF(CU67="",FALSE,TRUE))</formula>
    </cfRule>
  </conditionalFormatting>
  <conditionalFormatting sqref="CW36:CW46">
    <cfRule type="expression" dxfId="29" priority="42">
      <formula>OR(IF(CW36&lt;CX36,TRUE),IF(AND(CX36="",CW36&lt;&gt;""),TRUE))</formula>
    </cfRule>
    <cfRule type="expression" dxfId="28" priority="43">
      <formula>IF(CW36&gt;=CX36,IF(CW36="",FALSE,TRUE))</formula>
    </cfRule>
  </conditionalFormatting>
  <conditionalFormatting sqref="DB23:DB33 DD23:DD33">
    <cfRule type="expression" dxfId="27" priority="10">
      <formula>OR(IF(DB23&lt;DC23,TRUE),IF(AND(DC23="",DB23&lt;&gt;""),TRUE))</formula>
    </cfRule>
    <cfRule type="expression" dxfId="26" priority="11">
      <formula>IF(DB23&gt;=DC23,IF(DB23="",FALSE,TRUE))</formula>
    </cfRule>
  </conditionalFormatting>
  <conditionalFormatting sqref="DB36:DB46">
    <cfRule type="expression" dxfId="25" priority="24">
      <formula>OR(IF(DB36&lt;DC36,TRUE),IF(AND(DC36="",DB36&lt;&gt;""),TRUE))</formula>
    </cfRule>
    <cfRule type="expression" dxfId="24" priority="25">
      <formula>IF(DB36&gt;=DC36,IF(DB36="",FALSE,TRUE))</formula>
    </cfRule>
  </conditionalFormatting>
  <conditionalFormatting sqref="DB67:DB78 DD67:DD78">
    <cfRule type="expression" dxfId="23" priority="28">
      <formula>OR(IF(DB67&lt;DC67,TRUE),IF(AND(DC67="",DB67&lt;&gt;""),TRUE))</formula>
    </cfRule>
    <cfRule type="expression" dxfId="22" priority="29">
      <formula>IF(DB67&gt;=DC67,IF(DB67="",FALSE,TRUE))</formula>
    </cfRule>
  </conditionalFormatting>
  <conditionalFormatting sqref="DD36:DD46">
    <cfRule type="expression" dxfId="21" priority="22">
      <formula>OR(IF(DD36&lt;DE36,TRUE),IF(AND(DE36="",DD36&lt;&gt;""),TRUE))</formula>
    </cfRule>
    <cfRule type="expression" dxfId="20" priority="23">
      <formula>IF(DD36&gt;=DE36,IF(DD36="",FALSE,TRUE))</formula>
    </cfRule>
  </conditionalFormatting>
  <conditionalFormatting sqref="X67:X68 Q78">
    <cfRule type="expression" dxfId="19" priority="773">
      <formula>OR(IF(Q67&lt;R68,TRUE),IF(AND(R68="",Q67&lt;&gt;""),TRUE))</formula>
    </cfRule>
    <cfRule type="expression" dxfId="18" priority="774">
      <formula>IF(Q67&gt;=R68,IF(Q67="",FALSE,TRUE))</formula>
    </cfRule>
  </conditionalFormatting>
  <conditionalFormatting sqref="X69">
    <cfRule type="expression" dxfId="17" priority="775">
      <formula>OR(IF(X69&lt;#REF!,TRUE),IF(AND(#REF!="",X69&lt;&gt;""),TRUE))</formula>
    </cfRule>
    <cfRule type="expression" dxfId="16" priority="776">
      <formula>IF(X69&gt;=#REF!,IF(X69="",FALSE,TRUE))</formula>
    </cfRule>
  </conditionalFormatting>
  <conditionalFormatting sqref="AK69">
    <cfRule type="expression" dxfId="15" priority="3">
      <formula>OR(IF(AK69&lt;AL69,TRUE),IF(AND(AL69="",AK69&lt;&gt;""),TRUE))</formula>
    </cfRule>
    <cfRule type="expression" dxfId="14" priority="4">
      <formula>IF(AK69&gt;=AL69,IF(AK69="",FALSE,TRUE))</formula>
    </cfRule>
  </conditionalFormatting>
  <conditionalFormatting sqref="AM69">
    <cfRule type="expression" dxfId="13" priority="1">
      <formula>OR(IF(AM69&lt;AN69,TRUE),IF(AND(AN69="",AM69&lt;&gt;""),TRUE))</formula>
    </cfRule>
    <cfRule type="expression" dxfId="12" priority="2">
      <formula>IF(AM69&gt;=AN69,IF(AM69="",FALSE,TRUE))</formula>
    </cfRule>
  </conditionalFormatting>
  <dataValidations count="1">
    <dataValidation type="list" allowBlank="1" showInputMessage="1" showErrorMessage="1" sqref="O36:R46 AC23:AF33 AJ23:AM33 AQ36:AT46 BF45:BF63 AC5:AF20 BL23:BO33 BL36:BO46 V36:Y46 AQ23:AT33 CG67:CJ78 AX23:BA33 W68:W79 AJ36:AM46 AC36:AF46 BL67:BO78 AX5:BA20 BE67:BH78 AX67:BA78 Y68:Y79 O50:R63 AJ67:AM78 BS36:BV46 BS67:BV78 BS23:BV33 BZ36:CC46 BZ67:CC78 BE23:BH33 DB67:DE78 CG36:CJ46 CG23:CJ33 CN23:CQ33 CN36:CQ46 CN67:CQ78 CU23:CX33 CU36:CX46 CU67:CX78 DB23:DE33 DB36:DE46 BZ23:CC33 V23:Y33 DB50:DE63 CU50:CX63 CN50:CQ63 CG50:CJ63 BZ50:CC63 BS50:BV63 AC50:AF63 AJ50:AM63 O23:R33 AQ67:AT78 BF36:BF43 AX50:BA63 V50:Y63 BL50:BO63 DB5:DE20 CU5:CX20 CN5:CQ20 CG5:CJ20 BS5:BV20 BZ5:CC20 V5:Y20 BL5:BO20 BE5:BH20 AQ50:AT63 AX36:AZ46 AQ5:AT20 AJ5:AM20 BE36:BE46 BG36:BH46 BE50:BE63 BG50:BH63 BA36:BA47 V67:V78 AF79 X67:X78 O5:R20 BH79 BF79 BA79 AY79 AT79 AR79 AM79 AK79 AC67:AF78 AD79 R78:R79 O67:R77 O78:Q78 P79"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workbookViewId="0">
      <selection activeCell="B2" sqref="B2"/>
    </sheetView>
  </sheetViews>
  <sheetFormatPr baseColWidth="10" defaultColWidth="10.625" defaultRowHeight="15.75" x14ac:dyDescent="0.25"/>
  <cols>
    <col min="2" max="2" width="161" customWidth="1"/>
    <col min="3" max="3" width="10.875"/>
  </cols>
  <sheetData>
    <row r="4" spans="2:2" ht="21" x14ac:dyDescent="0.35">
      <c r="B4" s="3" t="s">
        <v>9</v>
      </c>
    </row>
    <row r="6" spans="2:2" x14ac:dyDescent="0.25">
      <c r="B6" s="2" t="s">
        <v>6</v>
      </c>
    </row>
    <row r="7" spans="2:2" ht="47.25" x14ac:dyDescent="0.25">
      <c r="B7" s="1" t="s">
        <v>7</v>
      </c>
    </row>
    <row r="9" spans="2:2" x14ac:dyDescent="0.25">
      <c r="B9" s="2" t="s">
        <v>8</v>
      </c>
    </row>
    <row r="10" spans="2:2" ht="63" x14ac:dyDescent="0.25">
      <c r="B10" s="1" t="s">
        <v>28</v>
      </c>
    </row>
    <row r="12" spans="2:2" x14ac:dyDescent="0.25">
      <c r="B12" s="2" t="s">
        <v>10</v>
      </c>
    </row>
    <row r="13" spans="2:2" ht="126" x14ac:dyDescent="0.25">
      <c r="B13" s="1" t="s">
        <v>11</v>
      </c>
    </row>
    <row r="15" spans="2:2" x14ac:dyDescent="0.25">
      <c r="B15" s="2" t="s">
        <v>12</v>
      </c>
    </row>
    <row r="16" spans="2:2" ht="110.25" x14ac:dyDescent="0.25">
      <c r="B16" s="1" t="s">
        <v>13</v>
      </c>
    </row>
    <row r="17" spans="2:2" x14ac:dyDescent="0.25">
      <c r="B17" s="1"/>
    </row>
    <row r="18" spans="2:2" x14ac:dyDescent="0.25">
      <c r="B18" s="2" t="s">
        <v>27</v>
      </c>
    </row>
    <row r="19" spans="2:2" ht="141.75" x14ac:dyDescent="0.25">
      <c r="B19" s="1" t="s">
        <v>29</v>
      </c>
    </row>
    <row r="21" spans="2:2" x14ac:dyDescent="0.25">
      <c r="B21" s="2" t="s">
        <v>14</v>
      </c>
    </row>
    <row r="22" spans="2:2" ht="110.25" x14ac:dyDescent="0.25">
      <c r="B22" s="1" t="s">
        <v>30</v>
      </c>
    </row>
    <row r="24" spans="2:2" x14ac:dyDescent="0.25">
      <c r="B24" s="2" t="s">
        <v>15</v>
      </c>
    </row>
    <row r="25" spans="2:2" ht="126" x14ac:dyDescent="0.25">
      <c r="B25" s="1" t="s">
        <v>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E1" sqref="E1"/>
    </sheetView>
  </sheetViews>
  <sheetFormatPr baseColWidth="10" defaultColWidth="10.625" defaultRowHeight="15.75" x14ac:dyDescent="0.25"/>
  <cols>
    <col min="1" max="1" width="16.875" style="7" customWidth="1"/>
    <col min="2" max="2" width="19.125" style="7" customWidth="1"/>
    <col min="3" max="3" width="18.125" style="7" customWidth="1"/>
    <col min="4" max="4" width="19.5" style="7" customWidth="1"/>
    <col min="8" max="8" width="15.125" customWidth="1"/>
    <col min="10" max="10" width="42" customWidth="1"/>
    <col min="11" max="11" width="28.5" customWidth="1"/>
  </cols>
  <sheetData>
    <row r="1" spans="1:11" ht="31.5" x14ac:dyDescent="0.25">
      <c r="A1" s="7" t="s">
        <v>34</v>
      </c>
      <c r="B1" s="13" t="s">
        <v>31</v>
      </c>
      <c r="C1" s="13" t="s">
        <v>32</v>
      </c>
      <c r="D1" s="13" t="s">
        <v>33</v>
      </c>
      <c r="E1" s="1" t="s">
        <v>35</v>
      </c>
      <c r="F1" s="1" t="s">
        <v>36</v>
      </c>
      <c r="G1" s="1" t="s">
        <v>37</v>
      </c>
      <c r="H1" s="1" t="s">
        <v>38</v>
      </c>
      <c r="I1" s="1" t="s">
        <v>39</v>
      </c>
      <c r="J1" s="1" t="s">
        <v>40</v>
      </c>
      <c r="K1" s="1" t="s">
        <v>41</v>
      </c>
    </row>
    <row r="2" spans="1:11" x14ac:dyDescent="0.25">
      <c r="A2" s="12">
        <v>44118</v>
      </c>
      <c r="D2" s="9">
        <v>1</v>
      </c>
    </row>
    <row r="3" spans="1:11" x14ac:dyDescent="0.25">
      <c r="A3" s="12">
        <v>44119</v>
      </c>
    </row>
    <row r="4" spans="1:11" x14ac:dyDescent="0.25">
      <c r="A4" s="12">
        <v>44120</v>
      </c>
    </row>
    <row r="5" spans="1:11" x14ac:dyDescent="0.25">
      <c r="A5" s="12">
        <v>44121</v>
      </c>
    </row>
    <row r="6" spans="1:11" x14ac:dyDescent="0.25">
      <c r="A6" s="12">
        <v>44122</v>
      </c>
    </row>
    <row r="7" spans="1:11" x14ac:dyDescent="0.25">
      <c r="A7" s="12">
        <v>44123</v>
      </c>
    </row>
    <row r="8" spans="1:11" x14ac:dyDescent="0.25">
      <c r="A8" s="12">
        <v>44124</v>
      </c>
    </row>
    <row r="9" spans="1:11" x14ac:dyDescent="0.25">
      <c r="A9" s="12">
        <v>44125</v>
      </c>
    </row>
    <row r="10" spans="1:11" x14ac:dyDescent="0.25">
      <c r="A10" s="12">
        <v>44126</v>
      </c>
    </row>
    <row r="11" spans="1:11" x14ac:dyDescent="0.25">
      <c r="A11" s="12">
        <v>44127</v>
      </c>
    </row>
    <row r="12" spans="1:11" x14ac:dyDescent="0.25">
      <c r="A12" s="12">
        <v>44128</v>
      </c>
    </row>
    <row r="13" spans="1:11" x14ac:dyDescent="0.25">
      <c r="A13" s="12">
        <v>44129</v>
      </c>
    </row>
    <row r="14" spans="1:11" x14ac:dyDescent="0.25">
      <c r="A14" s="12">
        <v>44130</v>
      </c>
    </row>
    <row r="15" spans="1:11" x14ac:dyDescent="0.25">
      <c r="A15" s="12">
        <v>44131</v>
      </c>
    </row>
    <row r="16" spans="1:11" x14ac:dyDescent="0.25">
      <c r="A16" s="12">
        <v>44132</v>
      </c>
    </row>
    <row r="17" spans="1:1" x14ac:dyDescent="0.25">
      <c r="A17" s="12">
        <v>44133</v>
      </c>
    </row>
    <row r="18" spans="1:1" x14ac:dyDescent="0.25">
      <c r="A18" s="12">
        <v>44134</v>
      </c>
    </row>
    <row r="19" spans="1:1" x14ac:dyDescent="0.25">
      <c r="A19" s="12">
        <v>44135</v>
      </c>
    </row>
    <row r="20" spans="1:1" x14ac:dyDescent="0.25">
      <c r="A20" s="12">
        <v>44136</v>
      </c>
    </row>
    <row r="21" spans="1:1" x14ac:dyDescent="0.25">
      <c r="A21" s="12">
        <v>44137</v>
      </c>
    </row>
    <row r="22" spans="1:1" x14ac:dyDescent="0.25">
      <c r="A22" s="12">
        <v>44138</v>
      </c>
    </row>
    <row r="23" spans="1:1" x14ac:dyDescent="0.25">
      <c r="A23" s="12">
        <v>44139</v>
      </c>
    </row>
    <row r="24" spans="1:1" x14ac:dyDescent="0.25">
      <c r="A24" s="12">
        <v>44140</v>
      </c>
    </row>
    <row r="25" spans="1:1" x14ac:dyDescent="0.25">
      <c r="A25" s="12">
        <v>44141</v>
      </c>
    </row>
    <row r="26" spans="1:1" x14ac:dyDescent="0.25">
      <c r="A26" s="12">
        <v>44142</v>
      </c>
    </row>
    <row r="27" spans="1:1" x14ac:dyDescent="0.25">
      <c r="A27" s="12">
        <v>44143</v>
      </c>
    </row>
    <row r="28" spans="1:1" x14ac:dyDescent="0.25">
      <c r="A28" s="12">
        <v>44144</v>
      </c>
    </row>
    <row r="29" spans="1:1" x14ac:dyDescent="0.25">
      <c r="A29" s="12">
        <v>44145</v>
      </c>
    </row>
    <row r="30" spans="1:1" x14ac:dyDescent="0.25">
      <c r="A30" s="12">
        <v>44146</v>
      </c>
    </row>
    <row r="31" spans="1:1" x14ac:dyDescent="0.25">
      <c r="A31" s="12">
        <v>44147</v>
      </c>
    </row>
    <row r="32" spans="1:1" x14ac:dyDescent="0.25">
      <c r="A32" s="12">
        <v>44148</v>
      </c>
    </row>
    <row r="33" spans="1:1" x14ac:dyDescent="0.25">
      <c r="A33" s="12">
        <v>44149</v>
      </c>
    </row>
    <row r="34" spans="1:1" x14ac:dyDescent="0.25">
      <c r="A34" s="12">
        <v>44150</v>
      </c>
    </row>
    <row r="35" spans="1:1" x14ac:dyDescent="0.25">
      <c r="A35" s="12">
        <v>44151</v>
      </c>
    </row>
    <row r="36" spans="1:1" x14ac:dyDescent="0.25">
      <c r="A36" s="12">
        <v>44152</v>
      </c>
    </row>
    <row r="37" spans="1:1" x14ac:dyDescent="0.25">
      <c r="A37" s="12">
        <v>44153</v>
      </c>
    </row>
    <row r="38" spans="1:1" x14ac:dyDescent="0.25">
      <c r="A38" s="12">
        <v>44154</v>
      </c>
    </row>
    <row r="39" spans="1:1" x14ac:dyDescent="0.25">
      <c r="A39" s="12">
        <v>44155</v>
      </c>
    </row>
    <row r="40" spans="1:1" x14ac:dyDescent="0.25">
      <c r="A40" s="12">
        <v>44156</v>
      </c>
    </row>
    <row r="41" spans="1:1" x14ac:dyDescent="0.25">
      <c r="A41" s="12">
        <v>44157</v>
      </c>
    </row>
    <row r="42" spans="1:1" x14ac:dyDescent="0.25">
      <c r="A42" s="12">
        <v>44158</v>
      </c>
    </row>
    <row r="43" spans="1:1" x14ac:dyDescent="0.25">
      <c r="A43" s="12">
        <v>44159</v>
      </c>
    </row>
    <row r="44" spans="1:1" x14ac:dyDescent="0.25">
      <c r="A44" s="12">
        <v>44160</v>
      </c>
    </row>
    <row r="45" spans="1:1" x14ac:dyDescent="0.25">
      <c r="A45" s="12">
        <v>44161</v>
      </c>
    </row>
    <row r="46" spans="1:1" x14ac:dyDescent="0.25">
      <c r="A46" s="12">
        <v>44162</v>
      </c>
    </row>
  </sheetData>
  <conditionalFormatting sqref="B2:B46">
    <cfRule type="cellIs" dxfId="11" priority="4" operator="equal">
      <formula>"Ja"</formula>
    </cfRule>
    <cfRule type="cellIs" dxfId="10" priority="14" operator="equal">
      <formula>"Ja"</formula>
    </cfRule>
    <cfRule type="cellIs" dxfId="9" priority="15" operator="equal">
      <formula>"Nein"</formula>
    </cfRule>
  </conditionalFormatting>
  <conditionalFormatting sqref="C2:C46">
    <cfRule type="cellIs" dxfId="8" priority="1" operator="equal">
      <formula>"Ja"</formula>
    </cfRule>
    <cfRule type="cellIs" dxfId="7" priority="2" operator="equal">
      <formula>"Ja"</formula>
    </cfRule>
    <cfRule type="cellIs" dxfId="6" priority="3" operator="equal">
      <formula>"Nein"</formula>
    </cfRule>
  </conditionalFormatting>
  <conditionalFormatting sqref="D2">
    <cfRule type="cellIs" dxfId="5" priority="6" operator="equal">
      <formula>1</formula>
    </cfRule>
    <cfRule type="cellIs" dxfId="4" priority="7" operator="equal">
      <formula>0.8</formula>
    </cfRule>
    <cfRule type="cellIs" dxfId="3" priority="8" operator="equal">
      <formula>0.6</formula>
    </cfRule>
    <cfRule type="cellIs" dxfId="2" priority="9" operator="equal">
      <formula>0.4</formula>
    </cfRule>
    <cfRule type="cellIs" dxfId="1" priority="10" operator="equal">
      <formula>0.2</formula>
    </cfRule>
    <cfRule type="cellIs" dxfId="0" priority="11" operator="equal">
      <formula>0</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ANLEITUNG</vt:lpstr>
      <vt:lpstr>Semesterplan</vt:lpstr>
      <vt:lpstr>Best-Practices</vt:lpstr>
      <vt:lpstr>COMMITTMENT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Justus Brücher</cp:lastModifiedBy>
  <dcterms:created xsi:type="dcterms:W3CDTF">2020-04-19T13:33:28Z</dcterms:created>
  <dcterms:modified xsi:type="dcterms:W3CDTF">2023-11-03T14:12:33Z</dcterms:modified>
</cp:coreProperties>
</file>