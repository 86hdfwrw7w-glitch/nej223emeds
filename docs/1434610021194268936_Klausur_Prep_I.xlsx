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mo0/Downloads/"/>
    </mc:Choice>
  </mc:AlternateContent>
  <xr:revisionPtr revIDLastSave="0" documentId="8_{628A0705-1750-B745-859F-4A9F9672C8CA}" xr6:coauthVersionLast="47" xr6:coauthVersionMax="47" xr10:uidLastSave="{00000000-0000-0000-0000-000000000000}"/>
  <bookViews>
    <workbookView xWindow="-38400" yWindow="-3260" windowWidth="38400" windowHeight="2160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 i="10" l="1"/>
  <c r="G37" i="7"/>
  <c r="K47" i="7" a="1"/>
  <c r="K47" i="7" s="1"/>
  <c r="J47" i="7" a="1"/>
  <c r="J47" i="7" s="1"/>
  <c r="I47" i="7"/>
  <c r="K46" i="7" a="1"/>
  <c r="K46" i="7" s="1"/>
  <c r="J46" i="7" a="1"/>
  <c r="J46" i="7" s="1"/>
  <c r="I46" i="7"/>
  <c r="K45" i="7" a="1"/>
  <c r="K45" i="7" s="1"/>
  <c r="J45" i="7" a="1"/>
  <c r="J45" i="7" s="1"/>
  <c r="I45" i="7"/>
  <c r="K21" i="7" a="1"/>
  <c r="K21" i="7" s="1"/>
  <c r="J21" i="7" a="1"/>
  <c r="J21" i="7" s="1"/>
  <c r="I21" i="7"/>
  <c r="DO4" i="7" l="1"/>
  <c r="DH4" i="7"/>
  <c r="K67" i="7" a="1"/>
  <c r="K67" i="7" s="1"/>
  <c r="J67" i="7" a="1"/>
  <c r="J67" i="7" s="1"/>
  <c r="I67"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AP61" i="7"/>
  <c r="AI61" i="7"/>
  <c r="AB61" i="7"/>
  <c r="U61" i="7"/>
  <c r="N61" i="7"/>
  <c r="G61" i="7"/>
  <c r="DA4" i="7"/>
  <c r="CT4" i="7"/>
  <c r="CM4" i="7"/>
  <c r="CF4" i="7"/>
  <c r="BY4" i="7"/>
  <c r="BR4" i="7"/>
  <c r="K15" i="7" a="1"/>
  <c r="K15" i="7" s="1"/>
  <c r="J15" i="7" a="1"/>
  <c r="J15" i="7" s="1"/>
  <c r="I15" i="7"/>
  <c r="K14" i="7" a="1"/>
  <c r="K14" i="7" s="1"/>
  <c r="J14" i="7" a="1"/>
  <c r="J14" i="7" s="1"/>
  <c r="I14" i="7"/>
  <c r="K59" i="7" a="1"/>
  <c r="K59" i="7" s="1"/>
  <c r="J59" i="7" a="1"/>
  <c r="J59" i="7" s="1"/>
  <c r="I59" i="7"/>
  <c r="K58" i="7" a="1"/>
  <c r="K58" i="7" s="1"/>
  <c r="J58" i="7" a="1"/>
  <c r="J58" i="7" s="1"/>
  <c r="I58" i="7"/>
  <c r="K57" i="7" a="1"/>
  <c r="K57" i="7" s="1"/>
  <c r="J57" i="7" a="1"/>
  <c r="J57" i="7" s="1"/>
  <c r="I57" i="7"/>
  <c r="K56" i="7" a="1"/>
  <c r="K56" i="7" s="1"/>
  <c r="J56" i="7" a="1"/>
  <c r="J56" i="7" s="1"/>
  <c r="I56" i="7"/>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AP49" i="7"/>
  <c r="AI49" i="7"/>
  <c r="AB49" i="7"/>
  <c r="U49" i="7"/>
  <c r="N49" i="7"/>
  <c r="G49" i="7"/>
  <c r="K44" i="7" a="1"/>
  <c r="K44" i="7" s="1"/>
  <c r="J44" i="7" a="1"/>
  <c r="J44" i="7" s="1"/>
  <c r="I44" i="7"/>
  <c r="K43" i="7" a="1"/>
  <c r="K43" i="7" s="1"/>
  <c r="J43" i="7" a="1"/>
  <c r="J43" i="7" s="1"/>
  <c r="I43" i="7"/>
  <c r="K42" i="7" a="1"/>
  <c r="K42" i="7" s="1"/>
  <c r="J42" i="7" a="1"/>
  <c r="J42" i="7" s="1"/>
  <c r="I42" i="7"/>
  <c r="K41" i="7" a="1"/>
  <c r="K41" i="7" s="1"/>
  <c r="J41" i="7" a="1"/>
  <c r="J41" i="7" s="1"/>
  <c r="I41" i="7"/>
  <c r="K40" i="7" a="1"/>
  <c r="K40" i="7" s="1"/>
  <c r="J40" i="7" a="1"/>
  <c r="J40" i="7" s="1"/>
  <c r="I40" i="7"/>
  <c r="K39" i="7" a="1"/>
  <c r="K39" i="7" s="1"/>
  <c r="J39" i="7" a="1"/>
  <c r="J39" i="7" s="1"/>
  <c r="I39" i="7"/>
  <c r="K38" i="7" a="1"/>
  <c r="K38" i="7" s="1"/>
  <c r="J38" i="7" a="1"/>
  <c r="J38" i="7" s="1"/>
  <c r="I38" i="7"/>
  <c r="AP37" i="7"/>
  <c r="AI37" i="7"/>
  <c r="AB37" i="7"/>
  <c r="U37" i="7"/>
  <c r="N37" i="7"/>
  <c r="BK4" i="7"/>
  <c r="C12" i="10"/>
  <c r="K20" i="7" a="1"/>
  <c r="K20" i="7" s="1"/>
  <c r="J20" i="7" a="1"/>
  <c r="J20" i="7" s="1"/>
  <c r="K19" i="7" a="1"/>
  <c r="K19" i="7" s="1"/>
  <c r="J19" i="7" a="1"/>
  <c r="J19" i="7" s="1"/>
  <c r="K18" i="7" a="1"/>
  <c r="K18" i="7" s="1"/>
  <c r="J18" i="7" a="1"/>
  <c r="J18" i="7" s="1"/>
  <c r="K17" i="7" a="1"/>
  <c r="K17" i="7" s="1"/>
  <c r="J17" i="7" a="1"/>
  <c r="J17" i="7" s="1"/>
  <c r="K16" i="7" a="1"/>
  <c r="K16" i="7" s="1"/>
  <c r="J16" i="7" a="1"/>
  <c r="J16" i="7" s="1"/>
  <c r="K13" i="7" a="1"/>
  <c r="K13" i="7" s="1"/>
  <c r="J13" i="7" a="1"/>
  <c r="J13" i="7" s="1"/>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26" i="7" a="1"/>
  <c r="K26" i="7" s="1"/>
  <c r="J26" i="7" a="1"/>
  <c r="J26" i="7" s="1"/>
  <c r="K25" i="7" a="1"/>
  <c r="K25" i="7" s="1"/>
  <c r="J25" i="7" a="1"/>
  <c r="J25"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P12" i="7"/>
  <c r="AI12" i="7"/>
  <c r="AB12" i="7"/>
  <c r="U12" i="7"/>
  <c r="BD4" i="7"/>
  <c r="AW4" i="7"/>
  <c r="AP4" i="7"/>
  <c r="AI4" i="7"/>
  <c r="AB4" i="7"/>
  <c r="U4" i="7"/>
  <c r="G4" i="7"/>
  <c r="AP24" i="7"/>
  <c r="AI24" i="7"/>
  <c r="AB24" i="7"/>
  <c r="U24" i="7"/>
  <c r="I34" i="7"/>
  <c r="I33" i="7"/>
  <c r="I32" i="7"/>
  <c r="I31" i="7"/>
  <c r="I30" i="7"/>
  <c r="I29" i="7"/>
  <c r="I28" i="7"/>
  <c r="I27" i="7"/>
  <c r="I26" i="7"/>
  <c r="I25" i="7"/>
  <c r="I20" i="7"/>
  <c r="I19" i="7"/>
  <c r="I18" i="7"/>
  <c r="I17" i="7"/>
  <c r="I16" i="7"/>
  <c r="I13" i="7"/>
  <c r="I6" i="7"/>
  <c r="I7" i="7"/>
  <c r="I8" i="7"/>
  <c r="I9" i="7"/>
  <c r="I10" i="7"/>
  <c r="I5" i="7"/>
  <c r="N24" i="7"/>
  <c r="G24" i="7"/>
  <c r="G12" i="7"/>
  <c r="K61" i="7" l="1"/>
  <c r="I61" i="7"/>
  <c r="J61" i="7"/>
  <c r="I49" i="7"/>
  <c r="I37" i="7"/>
  <c r="J49" i="7"/>
  <c r="K49" i="7"/>
  <c r="K37" i="7"/>
  <c r="J37" i="7"/>
  <c r="I24" i="7"/>
  <c r="J24" i="7"/>
  <c r="K24" i="7"/>
  <c r="I12" i="7"/>
  <c r="J12" i="7"/>
  <c r="K12"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<sst xmlns="http://schemas.openxmlformats.org/spreadsheetml/2006/main" count="377" uniqueCount="162">
  <si>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</si>
  <si>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</si>
  <si>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</si>
  <si>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</si>
  <si>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</si>
  <si>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</si>
  <si>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</si>
  <si>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</si>
  <si>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</si>
  <si>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</si>
  <si>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</si>
  <si>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</si>
  <si>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</si>
  <si>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</si>
  <si>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</si>
  <si>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</si>
  <si>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</si>
  <si>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</si>
  <si>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</si>
  <si>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</si>
  <si>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</si>
  <si>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</si>
  <si>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</si>
  <si>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</si>
  <si>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</si>
  <si>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</si>
  <si>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</si>
  <si>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</si>
  <si>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</si>
  <si>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</si>
  <si>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</si>
  <si>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</si>
  <si>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</si>
  <si>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</si>
  <si>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</si>
  <si>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</si>
  <si>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</si>
  <si>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</si>
  <si>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Mikroökonomie</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</si>
  <si>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</si>
  <si>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</si>
  <si>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</si>
  <si>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</si>
  <si>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</si>
  <si>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</si>
  <si>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</si>
  <si>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</si>
  <si>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</si>
  <si>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</si>
  <si>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</si>
  <si>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</si>
  <si>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</si>
  <si>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</si>
  <si>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</si>
  <si>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</si>
  <si>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</si>
  <si>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</si>
  <si>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</si>
  <si>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</si>
  <si>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</si>
  <si>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</si>
  <si>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</si>
  <si>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</si>
  <si>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</si>
  <si>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</si>
  <si>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</si>
  <si>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</si>
  <si>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</si>
  <si>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</si>
  <si>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</si>
  <si>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</si>
  <si>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</si>
  <si>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</si>
  <si>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</si>
  <si>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</si>
  <si>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</si>
  <si>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</si>
  <si>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</si>
  <si>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</si>
  <si>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</si>
  <si>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</si>
  <si>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</si>
  <si>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</si>
  <si>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</si>
  <si>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</si>
  <si>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</si>
  <si>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</si>
  <si>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</si>
  <si>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</si>
  <si>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Mathe</t>
  </si>
  <si>
    <t>Makrokönomie</t>
  </si>
  <si>
    <t>Investition</t>
  </si>
  <si>
    <t>Buchhaltung</t>
  </si>
  <si>
    <t>Statistik</t>
  </si>
  <si>
    <t>KW 45</t>
  </si>
  <si>
    <t>KW 46</t>
  </si>
  <si>
    <t>KW 47</t>
  </si>
  <si>
    <t>KW 48</t>
  </si>
  <si>
    <t>KW 49</t>
  </si>
  <si>
    <t>KW 50</t>
  </si>
  <si>
    <t>KW 51</t>
  </si>
  <si>
    <t>KW 52</t>
  </si>
  <si>
    <t>KW 01</t>
  </si>
  <si>
    <t>KW 02</t>
  </si>
  <si>
    <t>KW 03</t>
  </si>
  <si>
    <t>KW 04</t>
  </si>
  <si>
    <t>KW 05</t>
  </si>
  <si>
    <t>KW 06</t>
  </si>
  <si>
    <t>KW 07</t>
  </si>
  <si>
    <t>1) VGR &amp; Grundbegriffe</t>
  </si>
  <si>
    <t xml:space="preserve">2) Priduktionsfkt., Grenzpunkte &amp; Arbeitsnachfrage </t>
  </si>
  <si>
    <t>3) Solow-Modell &amp; langfristiges Wachstum</t>
  </si>
  <si>
    <t>4) Geschlossene Volkswirtschaft: Sparen, Investieren, Zinsgleichgewicht</t>
  </si>
  <si>
    <t>5) Offene Volkswirtschaft &amp; Außenwirtschaft</t>
  </si>
  <si>
    <t>6) Geldtheorie &amp; Inflation</t>
  </si>
  <si>
    <t>7) Arbeitsmarkt (Angebot &amp; Nachfrage)</t>
  </si>
  <si>
    <t>8) Intertemporaler Konsum &amp; Sparen</t>
  </si>
  <si>
    <t>9) Preisniveau, Deflator, Wechselkursparität</t>
  </si>
  <si>
    <t>10) Theorie- &amp; R/F-Fragen (konzeptuelle Breite</t>
  </si>
  <si>
    <t>1) Marktmechanismus &amp; Konkurrenzmarkt</t>
  </si>
  <si>
    <t>2) Kostenfkt. &amp; Angebotsverhalten der Unternehmen</t>
  </si>
  <si>
    <t>3) Monopol</t>
  </si>
  <si>
    <t>4) Oligopol &amp; Duopol</t>
  </si>
  <si>
    <t>5) Steuern, Subvention &amp; Staatseingriffe</t>
  </si>
  <si>
    <t xml:space="preserve">6) Außenhandel &amp; Zölle </t>
  </si>
  <si>
    <t xml:space="preserve">7) Externe Effekte &amp; Umweltökonomie </t>
  </si>
  <si>
    <t xml:space="preserve">8) Spieltheorie &amp; Strategisches Verhalten </t>
  </si>
  <si>
    <t xml:space="preserve">9) Wohlfahrtstheorie &amp; Effizienz </t>
  </si>
  <si>
    <t xml:space="preserve">10) Sammelbegriffe, Definitionen &amp; Grundlagen </t>
  </si>
  <si>
    <t>1) Funktionenanalyse &amp; Kurvenverhalten</t>
  </si>
  <si>
    <t>2) Mehrdimensionale Funktionen &amp; Partielle Ableitung</t>
  </si>
  <si>
    <t>3) Extrema, Homogenität &amp; Totales Diffenrential</t>
  </si>
  <si>
    <t>4) Integrale, Flächeninhalte &amp; Vereinfachung</t>
  </si>
  <si>
    <t>5) Mengenlehre &amp; Logik</t>
  </si>
  <si>
    <t>6) Lineare Algebra &amp; Optimierung</t>
  </si>
  <si>
    <t>discorddis</t>
  </si>
  <si>
    <t>1) Grundlagen der Wahrscheinlichkeitsrechnung</t>
  </si>
  <si>
    <t>2) Bedingte Wahrscheinlichkeit, Bayes und Entscheidungsprobleme</t>
  </si>
  <si>
    <t>7) Implementierung &amp; Controlling</t>
  </si>
  <si>
    <t>3) Diskreptive Statistik I -  Lage und Steuerung</t>
  </si>
  <si>
    <t>4) Deskriptive Statistik II - Verteilungsform und Darstellung</t>
  </si>
  <si>
    <t>5) Zusammenhangs- &amp; Konzentrationsmaß</t>
  </si>
  <si>
    <t>6) Wahrscheinlichkeitsverteiung und Zufallsvariablen</t>
  </si>
  <si>
    <t>1) Zeitwert des Geldes und Verzinsung</t>
  </si>
  <si>
    <t>2) Rentenrechnung und Zahlungsreihen</t>
  </si>
  <si>
    <t>3) Kredit-, Tilgungs- und Annuitätenrechnung</t>
  </si>
  <si>
    <t>4) Kapitalwertvermögen (NPV)</t>
  </si>
  <si>
    <t>5) interner Zinsfuß (IRR) (MIRR)</t>
  </si>
  <si>
    <t xml:space="preserve">6) optimale Nutzungsdauer und Ersatzentscheidungen </t>
  </si>
  <si>
    <t>8) Portfolietheorie und Risikoanalyse</t>
  </si>
  <si>
    <t xml:space="preserve">9) Entscheidungen unter Unsicherheit und Szenarien </t>
  </si>
  <si>
    <t xml:space="preserve">10) Immobilien- &amp; Realinvestitionen </t>
  </si>
  <si>
    <t>1) Greundlagen der Buchführung &amp; Bilanzsystematik</t>
  </si>
  <si>
    <t xml:space="preserve">2) Buchungssätze und Geschftsvorfälle </t>
  </si>
  <si>
    <t>3) Umsatzsteuer und Wartenverkehr</t>
  </si>
  <si>
    <t>4) Anlagevermögen und Abschreibung</t>
  </si>
  <si>
    <t xml:space="preserve">5) Forderungen, Rückstellungen und Steuern </t>
  </si>
  <si>
    <t xml:space="preserve">6) Rechnungsabgrenzung und Periodenabgrenzung </t>
  </si>
  <si>
    <t xml:space="preserve">7) Personalaufwand und Löhne </t>
  </si>
  <si>
    <t>8) GuV und Jahresabschluss</t>
  </si>
  <si>
    <t>9) Inventur und Vorratsbewertung</t>
  </si>
  <si>
    <t>10) Rechenelemente, KLR &amp; Theoriefragen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</si>
</sst>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229">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28">
  <autoFilter ref="A1:K46" xr:uid="{6E266E34-2786-2747-BCE7-51B74867A564}"/>
  <tableColumns count="11">
    <tableColumn id="1" xr3:uid="{95FD92F7-3DC8-704D-A103-A7EDDAB255AB}" name="Datum" dataDxfId="227"/>
    <tableColumn id="2" xr3:uid="{F464D510-8166-E740-A343-FB84BDEF877F}" name="Lerneinheiten durchgezogen" dataDxfId="226"/>
    <tableColumn id="3" xr3:uid="{75F52B08-1A00-0848-BBE6-1EDF7B31B1AD}" name="Tagesplan erstellt" dataDxfId="225"/>
    <tableColumn id="4" xr3:uid="{E6B18D89-E799-AD48-9DAA-37AEE1D29011}" name="Konzentrationslevel" dataDxfId="22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opLeftCell="R1" workbookViewId="0">
      <selection activeCell="C15" sqref="C15"/>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f>52</f>
        <v>52</v>
      </c>
    </row>
    <row r="8" spans="1:4" x14ac:dyDescent="0.2">
      <c r="A8" t="s">
        <v>52</v>
      </c>
      <c r="B8" s="18" t="s">
        <v>51</v>
      </c>
      <c r="D8" t="s">
        <v>75</v>
      </c>
    </row>
    <row r="9" spans="1:4" x14ac:dyDescent="0.2">
      <c r="A9" t="s">
        <v>60</v>
      </c>
      <c r="B9" s="18" t="s">
        <v>73</v>
      </c>
      <c r="D9" t="s">
        <v>76</v>
      </c>
    </row>
    <row r="10" spans="1:4" x14ac:dyDescent="0.2">
      <c r="A10" t="s">
        <v>64</v>
      </c>
      <c r="B10" t="s">
        <v>63</v>
      </c>
      <c r="C10" s="16">
        <v>12</v>
      </c>
      <c r="D10" t="s">
        <v>59</v>
      </c>
    </row>
    <row r="11" spans="1:4" x14ac:dyDescent="0.2">
      <c r="A11" t="s">
        <v>65</v>
      </c>
      <c r="B11" t="s">
        <v>67</v>
      </c>
      <c r="C11" s="16">
        <v>156</v>
      </c>
      <c r="D11" t="s">
        <v>66</v>
      </c>
    </row>
    <row r="12" spans="1:4" x14ac:dyDescent="0.2">
      <c r="A12" t="s">
        <v>69</v>
      </c>
      <c r="B12" t="s">
        <v>68</v>
      </c>
      <c r="C12" s="17">
        <f>C11/C10</f>
        <v>13</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T71"/>
  <sheetViews>
    <sheetView showGridLines="0" tabSelected="1" zoomScale="108" zoomScaleNormal="83" workbookViewId="0">
      <pane xSplit="12" topLeftCell="M1" activePane="topRight" state="frozen"/>
      <selection pane="topRight" activeCell="CQ68" sqref="CQ68"/>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3" max="113" width="12.5" bestFit="1" customWidth="1"/>
    <col min="114" max="114" width="6.33203125" customWidth="1"/>
    <col min="115" max="115" width="14.83203125" bestFit="1" customWidth="1"/>
    <col min="116" max="116" width="6" customWidth="1"/>
    <col min="117" max="117" width="12.6640625" bestFit="1" customWidth="1"/>
    <col min="120" max="120" width="12.5" bestFit="1" customWidth="1"/>
    <col min="121" max="121" width="6.33203125" customWidth="1"/>
    <col min="122" max="122" width="14.83203125" bestFit="1" customWidth="1"/>
    <col min="123" max="123" width="6" customWidth="1"/>
    <col min="124" max="124" width="12.6640625" bestFit="1" customWidth="1"/>
  </cols>
  <sheetData>
    <row r="1" spans="2:124" ht="34" x14ac:dyDescent="0.4">
      <c r="B1" s="4" t="s">
        <v>0</v>
      </c>
      <c r="D1" s="4"/>
      <c r="G1" s="13" t="s">
        <v>33</v>
      </c>
      <c r="I1" s="13" t="s">
        <v>33</v>
      </c>
      <c r="J1" s="13" t="s">
        <v>33</v>
      </c>
      <c r="K1" s="13" t="s">
        <v>33</v>
      </c>
    </row>
    <row r="2" spans="2:124" x14ac:dyDescent="0.2">
      <c r="I2" s="20" t="s">
        <v>27</v>
      </c>
      <c r="J2" s="20"/>
      <c r="K2" s="20"/>
      <c r="L2" s="20"/>
      <c r="N2" s="20" t="s">
        <v>94</v>
      </c>
      <c r="O2" s="20"/>
      <c r="P2" s="20"/>
      <c r="Q2" s="20"/>
      <c r="R2" s="20"/>
      <c r="S2" s="20"/>
      <c r="U2" s="20" t="s">
        <v>95</v>
      </c>
      <c r="V2" s="20"/>
      <c r="W2" s="20"/>
      <c r="X2" s="20"/>
      <c r="Y2" s="20"/>
      <c r="Z2" s="20"/>
      <c r="AB2" s="20" t="s">
        <v>96</v>
      </c>
      <c r="AC2" s="20"/>
      <c r="AD2" s="20"/>
      <c r="AE2" s="20"/>
      <c r="AF2" s="20"/>
      <c r="AG2" s="20"/>
      <c r="AI2" s="20" t="s">
        <v>97</v>
      </c>
      <c r="AJ2" s="20"/>
      <c r="AK2" s="20"/>
      <c r="AL2" s="20"/>
      <c r="AM2" s="20"/>
      <c r="AN2" s="20"/>
      <c r="AP2" s="20" t="s">
        <v>98</v>
      </c>
      <c r="AQ2" s="20"/>
      <c r="AR2" s="20"/>
      <c r="AS2" s="20"/>
      <c r="AT2" s="20"/>
      <c r="AU2" s="20"/>
      <c r="AW2" s="20" t="s">
        <v>99</v>
      </c>
      <c r="AX2" s="20"/>
      <c r="AY2" s="20"/>
      <c r="AZ2" s="20"/>
      <c r="BA2" s="20"/>
      <c r="BB2" s="20"/>
      <c r="BD2" s="20" t="s">
        <v>100</v>
      </c>
      <c r="BE2" s="20"/>
      <c r="BF2" s="20"/>
      <c r="BG2" s="20"/>
      <c r="BH2" s="20"/>
      <c r="BI2" s="20"/>
      <c r="BK2" s="20" t="s">
        <v>101</v>
      </c>
      <c r="BL2" s="20"/>
      <c r="BM2" s="20"/>
      <c r="BN2" s="20"/>
      <c r="BO2" s="20"/>
      <c r="BP2" s="20"/>
      <c r="BR2" s="20" t="s">
        <v>102</v>
      </c>
      <c r="BS2" s="20"/>
      <c r="BT2" s="20"/>
      <c r="BU2" s="20"/>
      <c r="BV2" s="20"/>
      <c r="BW2" s="20"/>
      <c r="BY2" s="20" t="s">
        <v>103</v>
      </c>
      <c r="BZ2" s="20"/>
      <c r="CA2" s="20"/>
      <c r="CB2" s="20"/>
      <c r="CC2" s="20"/>
      <c r="CD2" s="20"/>
      <c r="CF2" s="20" t="s">
        <v>104</v>
      </c>
      <c r="CG2" s="20"/>
      <c r="CH2" s="20"/>
      <c r="CI2" s="20"/>
      <c r="CJ2" s="20"/>
      <c r="CK2" s="20"/>
      <c r="CM2" s="20" t="s">
        <v>105</v>
      </c>
      <c r="CN2" s="20"/>
      <c r="CO2" s="20"/>
      <c r="CP2" s="20"/>
      <c r="CQ2" s="20"/>
      <c r="CR2" s="20"/>
      <c r="CT2" s="20" t="s">
        <v>106</v>
      </c>
      <c r="CU2" s="20"/>
      <c r="CV2" s="20"/>
      <c r="CW2" s="20"/>
      <c r="CX2" s="20"/>
      <c r="CY2" s="20"/>
      <c r="DA2" s="20" t="s">
        <v>107</v>
      </c>
      <c r="DB2" s="20"/>
      <c r="DC2" s="20"/>
      <c r="DD2" s="20"/>
      <c r="DE2" s="20"/>
      <c r="DF2" s="20"/>
      <c r="DH2" s="20" t="s">
        <v>108</v>
      </c>
      <c r="DI2" s="20"/>
      <c r="DJ2" s="20"/>
      <c r="DK2" s="20"/>
      <c r="DL2" s="20"/>
      <c r="DM2" s="20"/>
      <c r="DO2" s="20" t="s">
        <v>88</v>
      </c>
      <c r="DP2" s="20"/>
      <c r="DQ2" s="20"/>
      <c r="DR2" s="20"/>
      <c r="DS2" s="20"/>
      <c r="DT2" s="20"/>
    </row>
    <row r="3" spans="2:124" x14ac:dyDescent="0.2">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c r="DH3" s="5" t="s">
        <v>11</v>
      </c>
      <c r="DI3" s="5" t="s">
        <v>2</v>
      </c>
      <c r="DJ3" s="5" t="s">
        <v>32</v>
      </c>
      <c r="DK3" s="5" t="s">
        <v>3</v>
      </c>
      <c r="DL3" s="5" t="s">
        <v>32</v>
      </c>
      <c r="DM3" s="5" t="s">
        <v>12</v>
      </c>
      <c r="DO3" s="5" t="s">
        <v>11</v>
      </c>
      <c r="DP3" s="5" t="s">
        <v>2</v>
      </c>
      <c r="DQ3" s="5" t="s">
        <v>32</v>
      </c>
      <c r="DR3" s="5" t="s">
        <v>3</v>
      </c>
      <c r="DS3" s="5" t="s">
        <v>32</v>
      </c>
      <c r="DT3" s="5" t="s">
        <v>12</v>
      </c>
    </row>
    <row r="4" spans="2:124" x14ac:dyDescent="0.2">
      <c r="B4" t="s">
        <v>27</v>
      </c>
      <c r="C4" t="s">
        <v>89</v>
      </c>
      <c r="D4" s="19">
        <v>45704</v>
      </c>
      <c r="E4" s="9">
        <v>6</v>
      </c>
      <c r="G4" s="10">
        <f>+SUM(G5:G10)</f>
        <v>1</v>
      </c>
      <c r="I4" s="12">
        <f>+SUM(I5:I10)</f>
        <v>0</v>
      </c>
      <c r="J4" s="11">
        <f>+SUMPRODUCT(G5:G10,J5:J10)</f>
        <v>0</v>
      </c>
      <c r="K4" s="11">
        <f>+SUMPRODUCT(G5:G10,K5:K10)</f>
        <v>0</v>
      </c>
      <c r="L4" s="9"/>
      <c r="N4" s="12">
        <v>0</v>
      </c>
      <c r="U4" s="12">
        <f>+SUM(U5:U10)</f>
        <v>0</v>
      </c>
      <c r="AB4" s="12">
        <f>+SUM(AB5:AB10)</f>
        <v>0</v>
      </c>
      <c r="AI4" s="12">
        <f>+SUM(AI5:AI10)</f>
        <v>0</v>
      </c>
      <c r="AP4" s="12">
        <f>+SUM(AP5:AP10)</f>
        <v>0</v>
      </c>
      <c r="AW4" s="12">
        <f>+SUM(AW5:AW10)</f>
        <v>0</v>
      </c>
      <c r="BD4" s="12">
        <f>+SUM(BD5:BD10)</f>
        <v>0</v>
      </c>
      <c r="BK4" s="12">
        <f>+SUM(BK5:BK10)</f>
        <v>0</v>
      </c>
      <c r="BR4" s="12">
        <f>+SUM(BR5:BR10)</f>
        <v>0</v>
      </c>
      <c r="BY4" s="12">
        <f>+SUM(BY5:BY10)</f>
        <v>0</v>
      </c>
      <c r="CF4" s="12">
        <f>+SUM(CF5:CF10)</f>
        <v>0</v>
      </c>
      <c r="CM4" s="12">
        <f>+SUM(CM5:CM10)</f>
        <v>0</v>
      </c>
      <c r="CT4" s="12">
        <f>+SUM(CT5:CT10)</f>
        <v>0</v>
      </c>
      <c r="DA4" s="12">
        <f>+SUM(DA5:DA10)</f>
        <v>0</v>
      </c>
      <c r="DH4" s="12">
        <f>+SUM(DH5:DH10)</f>
        <v>0</v>
      </c>
      <c r="DO4" s="12">
        <f>+SUM(DO5:DO10)</f>
        <v>0</v>
      </c>
    </row>
    <row r="5" spans="2:124" outlineLevel="1" x14ac:dyDescent="0.2">
      <c r="B5" t="s">
        <v>28</v>
      </c>
      <c r="C5" t="s">
        <v>89</v>
      </c>
      <c r="E5" s="9"/>
      <c r="F5" t="s">
        <v>129</v>
      </c>
      <c r="G5" s="10">
        <v>0.18</v>
      </c>
      <c r="I5" s="9">
        <f>+SUMIF($N$3:$ZZ$3,I$3,$N5:$ZZ5)</f>
        <v>0</v>
      </c>
      <c r="J5" s="11" cm="1">
        <f t="array" ref="J5">MAX(IF($N$3:$EH$3=$J$3,N5:EH5))</f>
        <v>0</v>
      </c>
      <c r="K5" s="11" cm="1">
        <f t="array" ref="K5">MAX(IF($N$3:$EH$3=$J$3,N5:EH5))</f>
        <v>0</v>
      </c>
      <c r="L5" s="9"/>
      <c r="O5" s="10"/>
      <c r="P5" s="10">
        <v>0.5</v>
      </c>
      <c r="Q5" s="10"/>
      <c r="R5" s="10">
        <v>0.5</v>
      </c>
      <c r="V5" s="10"/>
      <c r="W5" s="10">
        <v>0.5</v>
      </c>
      <c r="X5" s="10"/>
      <c r="Y5" s="10">
        <v>0.5</v>
      </c>
      <c r="AC5" s="10"/>
      <c r="AD5" s="10">
        <v>0.8</v>
      </c>
      <c r="AE5" s="10"/>
      <c r="AF5" s="10">
        <v>0.8</v>
      </c>
      <c r="AJ5" s="10"/>
      <c r="AK5" s="10">
        <v>0.8</v>
      </c>
      <c r="AL5" s="10"/>
      <c r="AM5" s="10">
        <v>0.8</v>
      </c>
      <c r="AQ5" s="10"/>
      <c r="AR5" s="10">
        <v>0.8</v>
      </c>
      <c r="AS5" s="10"/>
      <c r="AT5" s="10">
        <v>0.8</v>
      </c>
      <c r="AX5" s="10"/>
      <c r="AY5" s="10">
        <v>0.8</v>
      </c>
      <c r="AZ5" s="10"/>
      <c r="BA5" s="10">
        <v>0.8</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v>1</v>
      </c>
      <c r="CP5" s="10"/>
      <c r="CQ5" s="10">
        <v>1</v>
      </c>
      <c r="CU5" s="10"/>
      <c r="CV5" s="10"/>
      <c r="CW5" s="10"/>
      <c r="CX5" s="10"/>
      <c r="DB5" s="10"/>
      <c r="DC5" s="10"/>
      <c r="DD5" s="10"/>
      <c r="DE5" s="10"/>
      <c r="DI5" s="10"/>
      <c r="DJ5" s="10"/>
      <c r="DK5" s="10"/>
      <c r="DL5" s="10"/>
      <c r="DP5" s="10"/>
      <c r="DQ5" s="10"/>
      <c r="DR5" s="10"/>
      <c r="DS5" s="10"/>
    </row>
    <row r="6" spans="2:124" outlineLevel="1" x14ac:dyDescent="0.2">
      <c r="B6" t="s">
        <v>28</v>
      </c>
      <c r="C6" t="s">
        <v>89</v>
      </c>
      <c r="E6" s="9"/>
      <c r="F6" t="s">
        <v>130</v>
      </c>
      <c r="G6" s="10">
        <v>0.22</v>
      </c>
      <c r="I6" s="9">
        <f t="shared" ref="I6:I10" si="0">+SUMIF($N$3:$ZZ$3,I$3,$N6:$ZZ6)</f>
        <v>0</v>
      </c>
      <c r="J6" s="11" cm="1">
        <f t="array" ref="J6">MAX(IF($N$3:$EH$3=$J$3,N6:EH6))</f>
        <v>0</v>
      </c>
      <c r="K6" s="11" cm="1">
        <f t="array" ref="K6">MAX(IF($N$3:$EH$3=$J$3,N6:EH6))</f>
        <v>0</v>
      </c>
      <c r="L6" s="9"/>
      <c r="O6" s="10"/>
      <c r="P6" s="10">
        <v>0.5</v>
      </c>
      <c r="Q6" s="10"/>
      <c r="R6" s="10">
        <v>0.5</v>
      </c>
      <c r="V6" s="10"/>
      <c r="W6" s="10">
        <v>0.5</v>
      </c>
      <c r="X6" s="10"/>
      <c r="Y6" s="10">
        <v>0.5</v>
      </c>
      <c r="AC6" s="10"/>
      <c r="AD6" s="10">
        <v>0.5</v>
      </c>
      <c r="AE6" s="10"/>
      <c r="AF6" s="10">
        <v>0.5</v>
      </c>
      <c r="AJ6" s="10"/>
      <c r="AK6" s="10">
        <v>0.8</v>
      </c>
      <c r="AL6" s="10"/>
      <c r="AM6" s="10">
        <v>0.8</v>
      </c>
      <c r="AQ6" s="10"/>
      <c r="AR6" s="10">
        <v>0.8</v>
      </c>
      <c r="AS6" s="10"/>
      <c r="AT6" s="10">
        <v>0.8</v>
      </c>
      <c r="AX6" s="10"/>
      <c r="AY6" s="10">
        <v>0.8</v>
      </c>
      <c r="AZ6" s="10"/>
      <c r="BA6" s="10">
        <v>0.8</v>
      </c>
      <c r="BE6" s="10"/>
      <c r="BF6" s="10">
        <v>0.8</v>
      </c>
      <c r="BG6" s="10"/>
      <c r="BH6" s="10">
        <v>0.8</v>
      </c>
      <c r="BL6" s="10"/>
      <c r="BM6" s="10">
        <v>1</v>
      </c>
      <c r="BN6" s="10"/>
      <c r="BO6" s="10">
        <v>1</v>
      </c>
      <c r="BS6" s="10"/>
      <c r="BT6" s="10">
        <v>1</v>
      </c>
      <c r="BU6" s="10"/>
      <c r="BV6" s="10">
        <v>1</v>
      </c>
      <c r="BZ6" s="10"/>
      <c r="CA6" s="10">
        <v>1</v>
      </c>
      <c r="CB6" s="10"/>
      <c r="CC6" s="10">
        <v>1</v>
      </c>
      <c r="CG6" s="10"/>
      <c r="CH6" s="10">
        <v>1</v>
      </c>
      <c r="CI6" s="10"/>
      <c r="CJ6" s="10">
        <v>1</v>
      </c>
      <c r="CN6" s="10"/>
      <c r="CO6" s="10">
        <v>1</v>
      </c>
      <c r="CP6" s="10"/>
      <c r="CQ6" s="10">
        <v>1</v>
      </c>
      <c r="CU6" s="10"/>
      <c r="CV6" s="10"/>
      <c r="CW6" s="10"/>
      <c r="CX6" s="10"/>
      <c r="DB6" s="10"/>
      <c r="DC6" s="10"/>
      <c r="DD6" s="10"/>
      <c r="DE6" s="10"/>
      <c r="DI6" s="10"/>
      <c r="DJ6" s="10"/>
      <c r="DK6" s="10"/>
      <c r="DL6" s="10"/>
      <c r="DP6" s="10"/>
      <c r="DQ6" s="10"/>
      <c r="DR6" s="10"/>
      <c r="DS6" s="10"/>
    </row>
    <row r="7" spans="2:124" outlineLevel="1" x14ac:dyDescent="0.2">
      <c r="B7" t="s">
        <v>28</v>
      </c>
      <c r="C7" t="s">
        <v>89</v>
      </c>
      <c r="E7" s="9"/>
      <c r="F7" t="s">
        <v>131</v>
      </c>
      <c r="G7" s="10">
        <v>0.1</v>
      </c>
      <c r="I7" s="9">
        <f t="shared" si="0"/>
        <v>0</v>
      </c>
      <c r="J7" s="11" cm="1">
        <f t="array" ref="J7">MAX(IF($N$3:$EH$3=$J$3,N7:EH7))</f>
        <v>0</v>
      </c>
      <c r="K7" s="11" cm="1">
        <f t="array" ref="K7">MAX(IF($N$3:$EH$3=$J$3,N7:EH7))</f>
        <v>0</v>
      </c>
      <c r="L7" s="9"/>
      <c r="O7" s="10"/>
      <c r="P7" s="10"/>
      <c r="Q7" s="10"/>
      <c r="R7" s="10"/>
      <c r="V7" s="10"/>
      <c r="W7" s="10">
        <v>0.5</v>
      </c>
      <c r="X7" s="10"/>
      <c r="Y7" s="10">
        <v>0.5</v>
      </c>
      <c r="AC7" s="10"/>
      <c r="AD7" s="10">
        <v>0.5</v>
      </c>
      <c r="AE7" s="10"/>
      <c r="AF7" s="10">
        <v>0.5</v>
      </c>
      <c r="AJ7" s="10"/>
      <c r="AK7" s="10">
        <v>0.5</v>
      </c>
      <c r="AL7" s="10"/>
      <c r="AM7" s="10">
        <v>0.5</v>
      </c>
      <c r="AQ7" s="10"/>
      <c r="AR7" s="10">
        <v>0.5</v>
      </c>
      <c r="AS7" s="10"/>
      <c r="AT7" s="10">
        <v>0.5</v>
      </c>
      <c r="AX7" s="10"/>
      <c r="AY7" s="10">
        <v>0.8</v>
      </c>
      <c r="AZ7" s="10"/>
      <c r="BA7" s="10">
        <v>0.8</v>
      </c>
      <c r="BE7" s="10"/>
      <c r="BF7" s="10">
        <v>0.8</v>
      </c>
      <c r="BG7" s="10"/>
      <c r="BH7" s="10">
        <v>0.8</v>
      </c>
      <c r="BL7" s="10"/>
      <c r="BM7" s="10">
        <v>0.8</v>
      </c>
      <c r="BN7" s="10"/>
      <c r="BO7" s="10">
        <v>0.8</v>
      </c>
      <c r="BS7" s="10"/>
      <c r="BT7" s="10">
        <v>1</v>
      </c>
      <c r="BU7" s="10"/>
      <c r="BV7" s="10">
        <v>1</v>
      </c>
      <c r="BZ7" s="10"/>
      <c r="CA7" s="10">
        <v>1</v>
      </c>
      <c r="CB7" s="10"/>
      <c r="CC7" s="10">
        <v>1</v>
      </c>
      <c r="CG7" s="10"/>
      <c r="CH7" s="10">
        <v>1</v>
      </c>
      <c r="CI7" s="10"/>
      <c r="CJ7" s="10">
        <v>1</v>
      </c>
      <c r="CN7" s="10"/>
      <c r="CO7" s="10">
        <v>1</v>
      </c>
      <c r="CP7" s="10"/>
      <c r="CQ7" s="10">
        <v>1</v>
      </c>
      <c r="CU7" s="10"/>
      <c r="CV7" s="10"/>
      <c r="CW7" s="10"/>
      <c r="CX7" s="10"/>
      <c r="DB7" s="10"/>
      <c r="DC7" s="10"/>
      <c r="DD7" s="10"/>
      <c r="DE7" s="10"/>
      <c r="DI7" s="10"/>
      <c r="DJ7" s="10"/>
      <c r="DK7" s="10"/>
      <c r="DL7" s="10"/>
      <c r="DP7" s="10"/>
      <c r="DQ7" s="10"/>
      <c r="DR7" s="10"/>
      <c r="DS7" s="10"/>
    </row>
    <row r="8" spans="2:124" outlineLevel="1" x14ac:dyDescent="0.2">
      <c r="B8" t="s">
        <v>28</v>
      </c>
      <c r="C8" t="s">
        <v>89</v>
      </c>
      <c r="E8" s="9"/>
      <c r="F8" t="s">
        <v>132</v>
      </c>
      <c r="G8" s="10">
        <v>0.2</v>
      </c>
      <c r="I8" s="9">
        <f t="shared" si="0"/>
        <v>0</v>
      </c>
      <c r="J8" s="11" cm="1">
        <f t="array" ref="J8">MAX(IF($N$3:$EH$3=$J$3,N8:EH8))</f>
        <v>0</v>
      </c>
      <c r="K8" s="11" cm="1">
        <f t="array" ref="K8">MAX(IF($N$3:$EH$3=$J$3,N8:EH8))</f>
        <v>0</v>
      </c>
      <c r="L8" s="9"/>
      <c r="O8" s="10"/>
      <c r="P8" s="10"/>
      <c r="Q8" s="10"/>
      <c r="R8" s="10"/>
      <c r="V8" s="10"/>
      <c r="W8" s="10"/>
      <c r="X8" s="10"/>
      <c r="Y8" s="10"/>
      <c r="AC8" s="10"/>
      <c r="AD8" s="10">
        <v>0.5</v>
      </c>
      <c r="AE8" s="10"/>
      <c r="AF8" s="10">
        <v>0.5</v>
      </c>
      <c r="AJ8" s="10"/>
      <c r="AK8" s="10">
        <v>0.5</v>
      </c>
      <c r="AL8" s="10"/>
      <c r="AM8" s="10">
        <v>0.5</v>
      </c>
      <c r="AQ8" s="10"/>
      <c r="AR8" s="10">
        <v>0.5</v>
      </c>
      <c r="AS8" s="10"/>
      <c r="AT8" s="10">
        <v>0.5</v>
      </c>
      <c r="AX8" s="10"/>
      <c r="AY8" s="10">
        <v>0.5</v>
      </c>
      <c r="AZ8" s="10"/>
      <c r="BA8" s="10">
        <v>0.5</v>
      </c>
      <c r="BE8" s="10"/>
      <c r="BF8" s="10">
        <v>0.8</v>
      </c>
      <c r="BG8" s="10"/>
      <c r="BH8" s="10">
        <v>0.8</v>
      </c>
      <c r="BL8" s="10"/>
      <c r="BM8" s="10">
        <v>0.8</v>
      </c>
      <c r="BN8" s="10"/>
      <c r="BO8" s="10">
        <v>0.8</v>
      </c>
      <c r="BS8" s="10"/>
      <c r="BT8" s="10">
        <v>0.8</v>
      </c>
      <c r="BU8" s="10"/>
      <c r="BV8" s="10">
        <v>0.8</v>
      </c>
      <c r="BZ8" s="10"/>
      <c r="CA8" s="10">
        <v>0.8</v>
      </c>
      <c r="CB8" s="10"/>
      <c r="CC8" s="10">
        <v>0.8</v>
      </c>
      <c r="CG8" s="10"/>
      <c r="CH8" s="10">
        <v>1</v>
      </c>
      <c r="CI8" s="10"/>
      <c r="CJ8" s="10">
        <v>1</v>
      </c>
      <c r="CN8" s="10"/>
      <c r="CO8" s="10">
        <v>1</v>
      </c>
      <c r="CP8" s="10"/>
      <c r="CQ8" s="10">
        <v>1</v>
      </c>
      <c r="CU8" s="10"/>
      <c r="CV8" s="10"/>
      <c r="CW8" s="10"/>
      <c r="CX8" s="10"/>
      <c r="DB8" s="10"/>
      <c r="DC8" s="10"/>
      <c r="DD8" s="10"/>
      <c r="DE8" s="10"/>
      <c r="DI8" s="10"/>
      <c r="DJ8" s="10"/>
      <c r="DK8" s="10"/>
      <c r="DL8" s="10"/>
      <c r="DP8" s="10"/>
      <c r="DQ8" s="10"/>
      <c r="DR8" s="10"/>
      <c r="DS8" s="10"/>
    </row>
    <row r="9" spans="2:124" outlineLevel="1" x14ac:dyDescent="0.2">
      <c r="B9" t="s">
        <v>28</v>
      </c>
      <c r="C9" t="s">
        <v>89</v>
      </c>
      <c r="E9" s="9"/>
      <c r="F9" t="s">
        <v>133</v>
      </c>
      <c r="G9" s="10">
        <v>0.05</v>
      </c>
      <c r="I9" s="9">
        <f t="shared" si="0"/>
        <v>0</v>
      </c>
      <c r="J9" s="11" cm="1">
        <f t="array" ref="J9">MAX(IF($N$3:$EH$3=$J$3,N9:EH9))</f>
        <v>0</v>
      </c>
      <c r="K9" s="11" cm="1">
        <f t="array" ref="K9">MAX(IF($N$3:$EH$3=$J$3,N9:EH9))</f>
        <v>0</v>
      </c>
      <c r="L9" s="9"/>
      <c r="O9" s="10"/>
      <c r="P9" s="10"/>
      <c r="Q9" s="10"/>
      <c r="R9" s="10"/>
      <c r="V9" s="10"/>
      <c r="W9" s="10"/>
      <c r="X9" s="10"/>
      <c r="Y9" s="10"/>
      <c r="AC9" s="10"/>
      <c r="AD9" s="10"/>
      <c r="AE9" s="10"/>
      <c r="AF9" s="10"/>
      <c r="AJ9" s="10"/>
      <c r="AK9" s="10"/>
      <c r="AL9" s="10"/>
      <c r="AM9" s="10"/>
      <c r="AQ9" s="10"/>
      <c r="AR9" s="10">
        <v>0.5</v>
      </c>
      <c r="AS9" s="10"/>
      <c r="AT9" s="10">
        <v>0.5</v>
      </c>
      <c r="AX9" s="10"/>
      <c r="AY9" s="10">
        <v>0.5</v>
      </c>
      <c r="AZ9" s="10"/>
      <c r="BA9" s="10">
        <v>0.5</v>
      </c>
      <c r="BE9" s="10"/>
      <c r="BF9" s="10">
        <v>0.5</v>
      </c>
      <c r="BG9" s="10"/>
      <c r="BH9" s="10">
        <v>0.5</v>
      </c>
      <c r="BL9" s="10"/>
      <c r="BM9" s="10">
        <v>0.5</v>
      </c>
      <c r="BN9" s="10"/>
      <c r="BO9" s="10">
        <v>0.5</v>
      </c>
      <c r="BS9" s="10"/>
      <c r="BT9" s="10">
        <v>0.8</v>
      </c>
      <c r="BU9" s="10"/>
      <c r="BV9" s="10">
        <v>0.8</v>
      </c>
      <c r="BZ9" s="10"/>
      <c r="CA9" s="10">
        <v>0.8</v>
      </c>
      <c r="CB9" s="10"/>
      <c r="CC9" s="10">
        <v>0.8</v>
      </c>
      <c r="CG9" s="10"/>
      <c r="CH9" s="10">
        <v>1</v>
      </c>
      <c r="CI9" s="10"/>
      <c r="CJ9" s="10">
        <v>1</v>
      </c>
      <c r="CN9" s="10"/>
      <c r="CO9" s="10">
        <v>1</v>
      </c>
      <c r="CP9" s="10"/>
      <c r="CQ9" s="10">
        <v>1</v>
      </c>
      <c r="CU9" s="10"/>
      <c r="CV9" s="10"/>
      <c r="CW9" s="10"/>
      <c r="CX9" s="10"/>
      <c r="DB9" s="10"/>
      <c r="DC9" s="10"/>
      <c r="DD9" s="10"/>
      <c r="DE9" s="10"/>
      <c r="DI9" s="10"/>
      <c r="DJ9" s="10"/>
      <c r="DK9" s="10"/>
      <c r="DL9" s="10"/>
      <c r="DP9" s="10"/>
      <c r="DQ9" s="10"/>
      <c r="DR9" s="10"/>
      <c r="DS9" s="10"/>
    </row>
    <row r="10" spans="2:124" outlineLevel="1" x14ac:dyDescent="0.2">
      <c r="B10" t="s">
        <v>28</v>
      </c>
      <c r="C10" t="s">
        <v>89</v>
      </c>
      <c r="E10" s="9"/>
      <c r="F10" t="s">
        <v>134</v>
      </c>
      <c r="G10" s="10">
        <v>0.25</v>
      </c>
      <c r="I10" s="9">
        <f t="shared" si="0"/>
        <v>0</v>
      </c>
      <c r="J10" s="11" cm="1">
        <f t="array" ref="J10">MAX(IF($N$3:$EH$3=$J$3,N10:EH10))</f>
        <v>0</v>
      </c>
      <c r="K10" s="11" cm="1">
        <f t="array" ref="K10">MAX(IF($N$3:$EH$3=$J$3,N10:EH10))</f>
        <v>0</v>
      </c>
      <c r="L10" s="9"/>
      <c r="O10" s="10"/>
      <c r="P10" s="10"/>
      <c r="Q10" s="10"/>
      <c r="R10" s="10"/>
      <c r="V10" s="10"/>
      <c r="W10" s="10"/>
      <c r="X10" s="10"/>
      <c r="Y10" s="10"/>
      <c r="AC10" s="10"/>
      <c r="AD10" s="10"/>
      <c r="AE10" s="10"/>
      <c r="AF10" s="10"/>
      <c r="AJ10" s="10"/>
      <c r="AK10" s="10"/>
      <c r="AL10" s="10"/>
      <c r="AM10" s="10"/>
      <c r="AQ10" s="10"/>
      <c r="AR10" s="10"/>
      <c r="AS10" s="10"/>
      <c r="AT10" s="10"/>
      <c r="AX10" s="10"/>
      <c r="AY10" s="10">
        <v>0.5</v>
      </c>
      <c r="AZ10" s="10"/>
      <c r="BA10" s="10">
        <v>0.5</v>
      </c>
      <c r="BE10" s="10"/>
      <c r="BF10" s="10">
        <v>0.5</v>
      </c>
      <c r="BG10" s="10"/>
      <c r="BH10" s="10">
        <v>0.5</v>
      </c>
      <c r="BL10" s="10"/>
      <c r="BM10" s="10">
        <v>0.5</v>
      </c>
      <c r="BN10" s="10"/>
      <c r="BO10" s="10">
        <v>0.5</v>
      </c>
      <c r="BS10" s="10"/>
      <c r="BT10" s="10">
        <v>0.5</v>
      </c>
      <c r="BU10" s="10"/>
      <c r="BV10" s="10">
        <v>0.5</v>
      </c>
      <c r="BZ10" s="10"/>
      <c r="CA10" s="10">
        <v>0.8</v>
      </c>
      <c r="CB10" s="10"/>
      <c r="CC10" s="10">
        <v>0.8</v>
      </c>
      <c r="CG10" s="10"/>
      <c r="CH10" s="10">
        <v>0.8</v>
      </c>
      <c r="CI10" s="10"/>
      <c r="CJ10" s="10">
        <v>0.8</v>
      </c>
      <c r="CN10" s="10"/>
      <c r="CO10" s="10">
        <v>1</v>
      </c>
      <c r="CP10" s="10"/>
      <c r="CQ10" s="10">
        <v>1</v>
      </c>
      <c r="CU10" s="10"/>
      <c r="CV10" s="10"/>
      <c r="CW10" s="10"/>
      <c r="CX10" s="10"/>
      <c r="DB10" s="10"/>
      <c r="DC10" s="10"/>
      <c r="DD10" s="10"/>
      <c r="DE10" s="10"/>
      <c r="DI10" s="10"/>
      <c r="DJ10" s="10"/>
      <c r="DK10" s="10"/>
      <c r="DL10" s="10"/>
      <c r="DP10" s="10"/>
      <c r="DQ10" s="10"/>
      <c r="DR10" s="10"/>
      <c r="DS10" s="10"/>
    </row>
    <row r="11" spans="2:124" x14ac:dyDescent="0.2">
      <c r="G11" t="s">
        <v>135</v>
      </c>
    </row>
    <row r="12" spans="2:124" x14ac:dyDescent="0.2">
      <c r="B12" t="s">
        <v>27</v>
      </c>
      <c r="C12" t="s">
        <v>90</v>
      </c>
      <c r="D12" s="19">
        <v>46069</v>
      </c>
      <c r="E12" s="9">
        <v>6</v>
      </c>
      <c r="G12" s="10">
        <f>+SUM(G13:G20)</f>
        <v>1</v>
      </c>
      <c r="I12" s="12">
        <f>+SUM(I13:I20)</f>
        <v>0</v>
      </c>
      <c r="J12" s="11">
        <f>+SUMPRODUCT(G13:G20,J13:J20)</f>
        <v>0</v>
      </c>
      <c r="K12" s="11">
        <f>+SUMPRODUCT(G13:G20,K13:K20)</f>
        <v>0</v>
      </c>
      <c r="L12" s="9"/>
      <c r="N12" s="12"/>
      <c r="U12" s="12">
        <f>+SUM(U13:U20)</f>
        <v>0</v>
      </c>
      <c r="AB12" s="12">
        <f>+SUM(AB13:AB20)</f>
        <v>0</v>
      </c>
      <c r="AI12" s="12">
        <f>+SUM(AI13:AI20)</f>
        <v>0</v>
      </c>
      <c r="AP12" s="12">
        <f>+SUM(AP13:AP20)</f>
        <v>0</v>
      </c>
    </row>
    <row r="13" spans="2:124" outlineLevel="1" x14ac:dyDescent="0.2">
      <c r="B13" t="s">
        <v>28</v>
      </c>
      <c r="C13" t="s">
        <v>90</v>
      </c>
      <c r="E13" s="9"/>
      <c r="F13" t="s">
        <v>109</v>
      </c>
      <c r="G13" s="10">
        <v>0.12</v>
      </c>
      <c r="I13" s="9">
        <f t="shared" ref="I13:I21" si="1">+SUMIF($N$3:$ZZ$3,I$3,$N13:$ZZ13)</f>
        <v>0</v>
      </c>
      <c r="J13" s="11" cm="1">
        <f t="array" ref="J13">MAX(IF($N$3:$EH$3=$J$3,N13:EH13))</f>
        <v>0</v>
      </c>
      <c r="K13" s="11" cm="1">
        <f t="array" ref="K13">MAX(IF($N$3:$EH$3=$J$3,N13:EH13))</f>
        <v>0</v>
      </c>
      <c r="L13" s="9"/>
      <c r="N13">
        <v>0</v>
      </c>
      <c r="O13" s="10"/>
      <c r="P13" s="10">
        <v>0.5</v>
      </c>
      <c r="Q13" s="10"/>
      <c r="R13" s="10">
        <v>0.5</v>
      </c>
      <c r="V13" s="10"/>
      <c r="W13" s="10">
        <v>0.5</v>
      </c>
      <c r="X13" s="10"/>
      <c r="Y13" s="10">
        <v>0.5</v>
      </c>
      <c r="AC13" s="10"/>
      <c r="AD13" s="10">
        <v>0.8</v>
      </c>
      <c r="AE13" s="10"/>
      <c r="AF13" s="10">
        <v>0.8</v>
      </c>
      <c r="AJ13" s="10"/>
      <c r="AK13" s="10">
        <v>0.8</v>
      </c>
      <c r="AL13" s="10"/>
      <c r="AM13" s="10">
        <v>0.8</v>
      </c>
      <c r="AQ13" s="10"/>
      <c r="AR13" s="10">
        <v>0.8</v>
      </c>
      <c r="AS13" s="10"/>
      <c r="AT13" s="10">
        <v>0.8</v>
      </c>
      <c r="AX13" s="10"/>
      <c r="AY13" s="10">
        <v>0.8</v>
      </c>
      <c r="AZ13" s="10"/>
      <c r="BA13" s="10">
        <v>0.8</v>
      </c>
      <c r="BE13" s="10"/>
      <c r="BF13" s="10">
        <v>1</v>
      </c>
      <c r="BG13" s="10"/>
      <c r="BH13" s="10">
        <v>1</v>
      </c>
      <c r="BL13" s="10"/>
      <c r="BM13" s="10">
        <v>1</v>
      </c>
      <c r="BN13" s="10"/>
      <c r="BO13" s="10">
        <v>1</v>
      </c>
      <c r="BS13" s="10"/>
      <c r="BT13" s="10">
        <v>1</v>
      </c>
      <c r="BU13" s="10"/>
      <c r="BV13" s="10">
        <v>1</v>
      </c>
      <c r="BZ13" s="10"/>
      <c r="CA13" s="10">
        <v>1</v>
      </c>
      <c r="CB13" s="10"/>
      <c r="CC13" s="10">
        <v>1</v>
      </c>
      <c r="CG13" s="10"/>
      <c r="CH13" s="10">
        <v>1</v>
      </c>
      <c r="CI13" s="10"/>
      <c r="CJ13" s="10">
        <v>1</v>
      </c>
      <c r="CN13" s="10"/>
      <c r="CO13" s="10">
        <v>1</v>
      </c>
      <c r="CP13" s="10"/>
      <c r="CQ13" s="10">
        <v>1</v>
      </c>
      <c r="CU13" s="10"/>
      <c r="CV13" s="10"/>
      <c r="CW13" s="10"/>
      <c r="CX13" s="10"/>
      <c r="DB13" s="10"/>
      <c r="DC13" s="10"/>
      <c r="DD13" s="10"/>
      <c r="DE13" s="10"/>
      <c r="DI13" s="10"/>
      <c r="DJ13" s="10"/>
      <c r="DK13" s="10"/>
      <c r="DL13" s="10"/>
      <c r="DP13" s="10"/>
      <c r="DQ13" s="10"/>
      <c r="DR13" s="10"/>
      <c r="DS13" s="10"/>
    </row>
    <row r="14" spans="2:124" outlineLevel="1" x14ac:dyDescent="0.2">
      <c r="B14" t="s">
        <v>28</v>
      </c>
      <c r="C14" t="s">
        <v>90</v>
      </c>
      <c r="E14" s="9"/>
      <c r="F14" t="s">
        <v>110</v>
      </c>
      <c r="G14" s="10">
        <v>0.18</v>
      </c>
      <c r="I14" s="9">
        <f t="shared" si="1"/>
        <v>0</v>
      </c>
      <c r="J14" s="11" cm="1">
        <f t="array" ref="J14">MAX(IF($N$3:$EH$3=$J$3,N14:EH14))</f>
        <v>0</v>
      </c>
      <c r="K14" s="11" cm="1">
        <f t="array" ref="K14">MAX(IF($N$3:$EH$3=$J$3,N14:EH14))</f>
        <v>0</v>
      </c>
      <c r="L14" s="9"/>
      <c r="O14" s="10"/>
      <c r="P14" s="10">
        <v>0.5</v>
      </c>
      <c r="Q14" s="10"/>
      <c r="R14" s="10">
        <v>0.5</v>
      </c>
      <c r="V14" s="10"/>
      <c r="W14" s="10">
        <v>0.5</v>
      </c>
      <c r="X14" s="10"/>
      <c r="Y14" s="10">
        <v>0.5</v>
      </c>
      <c r="AC14" s="10"/>
      <c r="AD14" s="10">
        <v>0.5</v>
      </c>
      <c r="AE14" s="10"/>
      <c r="AF14" s="10">
        <v>0.5</v>
      </c>
      <c r="AJ14" s="10"/>
      <c r="AK14" s="10">
        <v>0.8</v>
      </c>
      <c r="AL14" s="10"/>
      <c r="AM14" s="10">
        <v>0.8</v>
      </c>
      <c r="AQ14" s="10"/>
      <c r="AR14" s="10">
        <v>0.8</v>
      </c>
      <c r="AS14" s="10"/>
      <c r="AT14" s="10">
        <v>0.8</v>
      </c>
      <c r="AX14" s="10"/>
      <c r="AY14" s="10">
        <v>0.8</v>
      </c>
      <c r="AZ14" s="10"/>
      <c r="BA14" s="10">
        <v>0.8</v>
      </c>
      <c r="BE14" s="10"/>
      <c r="BF14" s="10">
        <v>0.8</v>
      </c>
      <c r="BG14" s="10"/>
      <c r="BH14" s="10">
        <v>0.8</v>
      </c>
      <c r="BL14" s="10"/>
      <c r="BM14" s="10">
        <v>1</v>
      </c>
      <c r="BN14" s="10"/>
      <c r="BO14" s="10">
        <v>1</v>
      </c>
      <c r="BS14" s="10"/>
      <c r="BT14" s="10">
        <v>1</v>
      </c>
      <c r="BU14" s="10"/>
      <c r="BV14" s="10">
        <v>1</v>
      </c>
      <c r="BZ14" s="10"/>
      <c r="CA14" s="10">
        <v>1</v>
      </c>
      <c r="CB14" s="10"/>
      <c r="CC14" s="10">
        <v>1</v>
      </c>
      <c r="CG14" s="10"/>
      <c r="CH14" s="10">
        <v>1</v>
      </c>
      <c r="CI14" s="10"/>
      <c r="CJ14" s="10">
        <v>1</v>
      </c>
      <c r="CN14" s="10"/>
      <c r="CO14" s="10">
        <v>1</v>
      </c>
      <c r="CP14" s="10"/>
      <c r="CQ14" s="10">
        <v>1</v>
      </c>
      <c r="CU14" s="10"/>
      <c r="CV14" s="10"/>
      <c r="CW14" s="10"/>
      <c r="CX14" s="10"/>
      <c r="DB14" s="10"/>
      <c r="DC14" s="10"/>
      <c r="DD14" s="10"/>
      <c r="DE14" s="10"/>
      <c r="DI14" s="10"/>
      <c r="DJ14" s="10"/>
      <c r="DK14" s="10"/>
      <c r="DL14" s="10"/>
      <c r="DP14" s="10"/>
      <c r="DQ14" s="10"/>
      <c r="DR14" s="10"/>
      <c r="DS14" s="10"/>
    </row>
    <row r="15" spans="2:124" outlineLevel="1" x14ac:dyDescent="0.2">
      <c r="B15" t="s">
        <v>28</v>
      </c>
      <c r="C15" t="s">
        <v>90</v>
      </c>
      <c r="E15" s="9"/>
      <c r="F15" t="s">
        <v>111</v>
      </c>
      <c r="G15" s="10">
        <v>0.16</v>
      </c>
      <c r="I15" s="9">
        <f t="shared" si="1"/>
        <v>0</v>
      </c>
      <c r="J15" s="11" cm="1">
        <f t="array" ref="J15">MAX(IF($N$3:$EH$3=$J$3,N15:EH15))</f>
        <v>0</v>
      </c>
      <c r="K15" s="11" cm="1">
        <f t="array" ref="K15">MAX(IF($N$3:$EH$3=$J$3,N15:EH15))</f>
        <v>0</v>
      </c>
      <c r="L15" s="9"/>
      <c r="O15" s="10"/>
      <c r="P15" s="10"/>
      <c r="Q15" s="10"/>
      <c r="R15" s="10"/>
      <c r="V15" s="10"/>
      <c r="W15" s="10">
        <v>0.5</v>
      </c>
      <c r="X15" s="10"/>
      <c r="Y15" s="10">
        <v>0.5</v>
      </c>
      <c r="AC15" s="10"/>
      <c r="AD15" s="10">
        <v>0.5</v>
      </c>
      <c r="AE15" s="10"/>
      <c r="AF15" s="10">
        <v>0.5</v>
      </c>
      <c r="AJ15" s="10"/>
      <c r="AK15" s="10">
        <v>0.5</v>
      </c>
      <c r="AL15" s="10"/>
      <c r="AM15" s="10">
        <v>0.5</v>
      </c>
      <c r="AQ15" s="10"/>
      <c r="AR15" s="10">
        <v>0.8</v>
      </c>
      <c r="AS15" s="10"/>
      <c r="AT15" s="10">
        <v>0.8</v>
      </c>
      <c r="AX15" s="10"/>
      <c r="AY15" s="10">
        <v>0.8</v>
      </c>
      <c r="AZ15" s="10"/>
      <c r="BA15" s="10">
        <v>0.8</v>
      </c>
      <c r="BE15" s="10"/>
      <c r="BF15" s="10">
        <v>0.8</v>
      </c>
      <c r="BG15" s="10"/>
      <c r="BH15" s="10">
        <v>0.8</v>
      </c>
      <c r="BL15" s="10"/>
      <c r="BM15" s="10">
        <v>0.8</v>
      </c>
      <c r="BN15" s="10"/>
      <c r="BO15" s="10">
        <v>0.8</v>
      </c>
      <c r="BS15" s="10"/>
      <c r="BT15" s="10">
        <v>1</v>
      </c>
      <c r="BU15" s="10"/>
      <c r="BV15" s="10">
        <v>1</v>
      </c>
      <c r="BZ15" s="10"/>
      <c r="CA15" s="10">
        <v>1</v>
      </c>
      <c r="CB15" s="10"/>
      <c r="CC15" s="10">
        <v>1</v>
      </c>
      <c r="CG15" s="10"/>
      <c r="CH15" s="10">
        <v>1</v>
      </c>
      <c r="CI15" s="10"/>
      <c r="CJ15" s="10">
        <v>1</v>
      </c>
      <c r="CN15" s="10"/>
      <c r="CO15" s="10">
        <v>1</v>
      </c>
      <c r="CP15" s="10"/>
      <c r="CQ15" s="10">
        <v>1</v>
      </c>
      <c r="CU15" s="10"/>
      <c r="CV15" s="10"/>
      <c r="CW15" s="10"/>
      <c r="CX15" s="10"/>
      <c r="DB15" s="10"/>
      <c r="DC15" s="10"/>
      <c r="DD15" s="10"/>
      <c r="DE15" s="10"/>
      <c r="DI15" s="10"/>
      <c r="DJ15" s="10"/>
      <c r="DK15" s="10"/>
      <c r="DL15" s="10"/>
      <c r="DP15" s="10"/>
      <c r="DQ15" s="10"/>
      <c r="DR15" s="10"/>
      <c r="DS15" s="10"/>
    </row>
    <row r="16" spans="2:124" outlineLevel="1" x14ac:dyDescent="0.2">
      <c r="B16" t="s">
        <v>28</v>
      </c>
      <c r="C16" t="s">
        <v>90</v>
      </c>
      <c r="E16" s="9"/>
      <c r="F16" t="s">
        <v>112</v>
      </c>
      <c r="G16" s="10">
        <v>0.12</v>
      </c>
      <c r="I16" s="9">
        <f t="shared" si="1"/>
        <v>0</v>
      </c>
      <c r="J16" s="11" cm="1">
        <f t="array" ref="J16">MAX(IF($N$3:$EH$3=$J$3,N16:EH16))</f>
        <v>0</v>
      </c>
      <c r="K16" s="11" cm="1">
        <f t="array" ref="K16">MAX(IF($N$3:$EH$3=$J$3,N16:EH16))</f>
        <v>0</v>
      </c>
      <c r="L16" s="9"/>
      <c r="O16" s="10"/>
      <c r="P16" s="10"/>
      <c r="Q16" s="10"/>
      <c r="R16" s="10"/>
      <c r="V16" s="10"/>
      <c r="W16" s="10">
        <v>0.5</v>
      </c>
      <c r="X16" s="10"/>
      <c r="Y16" s="10">
        <v>0.5</v>
      </c>
      <c r="AC16" s="10"/>
      <c r="AD16" s="10">
        <v>0.5</v>
      </c>
      <c r="AE16" s="10"/>
      <c r="AF16" s="10">
        <v>0.5</v>
      </c>
      <c r="AJ16" s="10"/>
      <c r="AK16" s="10">
        <v>0.5</v>
      </c>
      <c r="AL16" s="10"/>
      <c r="AM16" s="10">
        <v>0.5</v>
      </c>
      <c r="AQ16" s="10"/>
      <c r="AR16" s="10">
        <v>0.8</v>
      </c>
      <c r="AS16" s="10"/>
      <c r="AT16" s="10">
        <v>0.8</v>
      </c>
      <c r="AX16" s="10"/>
      <c r="AY16" s="10">
        <v>0.8</v>
      </c>
      <c r="AZ16" s="10"/>
      <c r="BA16" s="10">
        <v>0.8</v>
      </c>
      <c r="BE16" s="10"/>
      <c r="BF16" s="10">
        <v>0.8</v>
      </c>
      <c r="BG16" s="10"/>
      <c r="BH16" s="10">
        <v>0.8</v>
      </c>
      <c r="BL16" s="10"/>
      <c r="BM16" s="10">
        <v>0.8</v>
      </c>
      <c r="BN16" s="10"/>
      <c r="BO16" s="10">
        <v>0.8</v>
      </c>
      <c r="BS16" s="10"/>
      <c r="BT16" s="10">
        <v>1</v>
      </c>
      <c r="BU16" s="10"/>
      <c r="BV16" s="10">
        <v>1</v>
      </c>
      <c r="BZ16" s="10"/>
      <c r="CA16" s="10">
        <v>1</v>
      </c>
      <c r="CB16" s="10"/>
      <c r="CC16" s="10">
        <v>1</v>
      </c>
      <c r="CG16" s="10"/>
      <c r="CH16" s="10">
        <v>1</v>
      </c>
      <c r="CI16" s="10"/>
      <c r="CJ16" s="10">
        <v>1</v>
      </c>
      <c r="CN16" s="10"/>
      <c r="CO16" s="10">
        <v>1</v>
      </c>
      <c r="CP16" s="10"/>
      <c r="CQ16" s="10">
        <v>1</v>
      </c>
      <c r="CU16" s="10"/>
      <c r="CV16" s="10"/>
      <c r="CW16" s="10"/>
      <c r="CX16" s="10"/>
      <c r="DB16" s="10"/>
      <c r="DC16" s="10"/>
      <c r="DD16" s="10"/>
      <c r="DE16" s="10"/>
      <c r="DI16" s="10"/>
      <c r="DJ16" s="10"/>
      <c r="DK16" s="10"/>
      <c r="DL16" s="10"/>
      <c r="DP16" s="10"/>
      <c r="DQ16" s="10"/>
      <c r="DR16" s="10"/>
      <c r="DS16" s="10"/>
    </row>
    <row r="17" spans="2:123" outlineLevel="1" x14ac:dyDescent="0.2">
      <c r="B17" t="s">
        <v>28</v>
      </c>
      <c r="C17" t="s">
        <v>90</v>
      </c>
      <c r="E17" s="9"/>
      <c r="F17" t="s">
        <v>113</v>
      </c>
      <c r="G17" s="10">
        <v>0.15</v>
      </c>
      <c r="I17" s="9">
        <f t="shared" si="1"/>
        <v>0</v>
      </c>
      <c r="J17" s="11" cm="1">
        <f t="array" ref="J17">MAX(IF($N$3:$EH$3=$J$3,N17:EH17))</f>
        <v>0</v>
      </c>
      <c r="K17" s="11" cm="1">
        <f t="array" ref="K17">MAX(IF($N$3:$EH$3=$J$3,N17:EH17))</f>
        <v>0</v>
      </c>
      <c r="L17" s="9"/>
      <c r="O17" s="10"/>
      <c r="P17" s="10"/>
      <c r="Q17" s="10"/>
      <c r="R17" s="10"/>
      <c r="V17" s="10"/>
      <c r="W17" s="10">
        <v>0.5</v>
      </c>
      <c r="X17" s="10"/>
      <c r="Y17" s="10">
        <v>0.5</v>
      </c>
      <c r="AC17" s="10"/>
      <c r="AD17" s="10">
        <v>0.5</v>
      </c>
      <c r="AE17" s="10"/>
      <c r="AF17" s="10">
        <v>0.5</v>
      </c>
      <c r="AJ17" s="10"/>
      <c r="AK17" s="10">
        <v>0.5</v>
      </c>
      <c r="AL17" s="10"/>
      <c r="AM17" s="10">
        <v>0.5</v>
      </c>
      <c r="AQ17" s="10"/>
      <c r="AR17" s="10">
        <v>0.5</v>
      </c>
      <c r="AS17" s="10"/>
      <c r="AT17" s="10">
        <v>0.5</v>
      </c>
      <c r="AX17" s="10"/>
      <c r="AY17" s="10">
        <v>0.8</v>
      </c>
      <c r="AZ17" s="10"/>
      <c r="BA17" s="10">
        <v>0.8</v>
      </c>
      <c r="BE17" s="10"/>
      <c r="BF17" s="10">
        <v>0.8</v>
      </c>
      <c r="BG17" s="10"/>
      <c r="BH17" s="10">
        <v>0.8</v>
      </c>
      <c r="BL17" s="10"/>
      <c r="BM17" s="10">
        <v>0.8</v>
      </c>
      <c r="BN17" s="10"/>
      <c r="BO17" s="10">
        <v>0.8</v>
      </c>
      <c r="BS17" s="10"/>
      <c r="BT17" s="10">
        <v>0.8</v>
      </c>
      <c r="BU17" s="10"/>
      <c r="BV17" s="10">
        <v>0.8</v>
      </c>
      <c r="BZ17" s="10"/>
      <c r="CA17" s="10">
        <v>1</v>
      </c>
      <c r="CB17" s="10"/>
      <c r="CC17" s="10">
        <v>1</v>
      </c>
      <c r="CG17" s="10"/>
      <c r="CH17" s="10">
        <v>1</v>
      </c>
      <c r="CI17" s="10"/>
      <c r="CJ17" s="10">
        <v>1</v>
      </c>
      <c r="CN17" s="10"/>
      <c r="CO17" s="10">
        <v>1</v>
      </c>
      <c r="CP17" s="10"/>
      <c r="CQ17" s="10">
        <v>1</v>
      </c>
      <c r="CU17" s="10"/>
      <c r="CV17" s="10"/>
      <c r="CW17" s="10"/>
      <c r="CX17" s="10"/>
      <c r="DB17" s="10"/>
      <c r="DC17" s="10"/>
      <c r="DD17" s="10"/>
      <c r="DE17" s="10"/>
      <c r="DI17" s="10"/>
      <c r="DJ17" s="10"/>
      <c r="DK17" s="10"/>
      <c r="DL17" s="10"/>
      <c r="DP17" s="10"/>
      <c r="DQ17" s="10"/>
      <c r="DR17" s="10"/>
      <c r="DS17" s="10"/>
    </row>
    <row r="18" spans="2:123" outlineLevel="1" x14ac:dyDescent="0.2">
      <c r="B18" t="s">
        <v>28</v>
      </c>
      <c r="C18" t="s">
        <v>90</v>
      </c>
      <c r="E18" s="9"/>
      <c r="F18" t="s">
        <v>114</v>
      </c>
      <c r="G18" s="10">
        <v>0.1</v>
      </c>
      <c r="I18" s="9">
        <f t="shared" si="1"/>
        <v>0</v>
      </c>
      <c r="J18" s="11" cm="1">
        <f t="array" ref="J18">MAX(IF($N$3:$EH$3=$J$3,N18:EH18))</f>
        <v>0</v>
      </c>
      <c r="K18" s="11" cm="1">
        <f t="array" ref="K18">MAX(IF($N$3:$EH$3=$J$3,N18:EH18))</f>
        <v>0</v>
      </c>
      <c r="L18" s="9"/>
      <c r="O18" s="10"/>
      <c r="P18" s="10"/>
      <c r="Q18" s="10"/>
      <c r="R18" s="10"/>
      <c r="V18" s="10"/>
      <c r="W18" s="10"/>
      <c r="X18" s="10"/>
      <c r="Y18" s="10"/>
      <c r="AC18" s="10"/>
      <c r="AD18" s="10">
        <v>0.5</v>
      </c>
      <c r="AE18" s="10"/>
      <c r="AF18" s="10">
        <v>0.5</v>
      </c>
      <c r="AJ18" s="10"/>
      <c r="AK18" s="10">
        <v>0.5</v>
      </c>
      <c r="AL18" s="10"/>
      <c r="AM18" s="10">
        <v>0.5</v>
      </c>
      <c r="AQ18" s="10"/>
      <c r="AR18" s="10">
        <v>0.5</v>
      </c>
      <c r="AS18" s="10"/>
      <c r="AT18" s="10">
        <v>0.5</v>
      </c>
      <c r="AX18" s="10"/>
      <c r="AY18" s="10">
        <v>0.5</v>
      </c>
      <c r="AZ18" s="10"/>
      <c r="BA18" s="10">
        <v>0.5</v>
      </c>
      <c r="BE18" s="10"/>
      <c r="BF18" s="10">
        <v>0.8</v>
      </c>
      <c r="BG18" s="10"/>
      <c r="BH18" s="10">
        <v>0.8</v>
      </c>
      <c r="BL18" s="10"/>
      <c r="BM18" s="10">
        <v>0.8</v>
      </c>
      <c r="BN18" s="10"/>
      <c r="BO18" s="10">
        <v>0.8</v>
      </c>
      <c r="BS18" s="10"/>
      <c r="BT18" s="10">
        <v>0.8</v>
      </c>
      <c r="BU18" s="10"/>
      <c r="BV18" s="10">
        <v>0.8</v>
      </c>
      <c r="BZ18" s="10"/>
      <c r="CA18" s="10">
        <v>0.8</v>
      </c>
      <c r="CB18" s="10"/>
      <c r="CC18" s="10">
        <v>0.8</v>
      </c>
      <c r="CG18" s="10"/>
      <c r="CH18" s="10">
        <v>1</v>
      </c>
      <c r="CI18" s="10"/>
      <c r="CJ18" s="10">
        <v>1</v>
      </c>
      <c r="CN18" s="10"/>
      <c r="CO18" s="10">
        <v>1</v>
      </c>
      <c r="CP18" s="10"/>
      <c r="CQ18" s="10">
        <v>1</v>
      </c>
      <c r="CU18" s="10"/>
      <c r="CV18" s="10"/>
      <c r="CW18" s="10"/>
      <c r="CX18" s="10"/>
      <c r="DB18" s="10"/>
      <c r="DC18" s="10"/>
      <c r="DD18" s="10"/>
      <c r="DE18" s="10"/>
      <c r="DI18" s="10"/>
      <c r="DJ18" s="10"/>
      <c r="DK18" s="10"/>
      <c r="DL18" s="10"/>
      <c r="DP18" s="10"/>
      <c r="DQ18" s="10"/>
      <c r="DR18" s="10"/>
      <c r="DS18" s="10"/>
    </row>
    <row r="19" spans="2:123" outlineLevel="1" x14ac:dyDescent="0.2">
      <c r="B19" t="s">
        <v>28</v>
      </c>
      <c r="C19" t="s">
        <v>90</v>
      </c>
      <c r="E19" s="9"/>
      <c r="F19" t="s">
        <v>115</v>
      </c>
      <c r="G19" s="10">
        <v>0.1</v>
      </c>
      <c r="I19" s="9">
        <f t="shared" si="1"/>
        <v>0</v>
      </c>
      <c r="J19" s="11" cm="1">
        <f t="array" ref="J19">MAX(IF($N$3:$EH$3=$J$3,N19:EH19))</f>
        <v>0</v>
      </c>
      <c r="K19" s="11" cm="1">
        <f t="array" ref="K19">MAX(IF($N$3:$EH$3=$J$3,N19:EH19))</f>
        <v>0</v>
      </c>
      <c r="L19" s="9"/>
      <c r="O19" s="10"/>
      <c r="P19" s="10"/>
      <c r="Q19" s="10"/>
      <c r="R19" s="10"/>
      <c r="V19" s="10"/>
      <c r="W19" s="10"/>
      <c r="X19" s="10"/>
      <c r="Y19" s="10"/>
      <c r="AC19" s="10"/>
      <c r="AD19" s="10"/>
      <c r="AE19" s="10"/>
      <c r="AF19" s="10"/>
      <c r="AJ19" s="10"/>
      <c r="AK19" s="10">
        <v>0.5</v>
      </c>
      <c r="AL19" s="10"/>
      <c r="AM19" s="10">
        <v>0.5</v>
      </c>
      <c r="AQ19" s="10"/>
      <c r="AR19" s="10">
        <v>0.5</v>
      </c>
      <c r="AS19" s="10"/>
      <c r="AT19" s="10">
        <v>0.5</v>
      </c>
      <c r="AX19" s="10"/>
      <c r="AY19" s="10">
        <v>0.5</v>
      </c>
      <c r="AZ19" s="10"/>
      <c r="BA19" s="10">
        <v>0.5</v>
      </c>
      <c r="BE19" s="10"/>
      <c r="BF19" s="10">
        <v>0.8</v>
      </c>
      <c r="BG19" s="10"/>
      <c r="BH19" s="10">
        <v>0.8</v>
      </c>
      <c r="BL19" s="10"/>
      <c r="BM19" s="10">
        <v>0.8</v>
      </c>
      <c r="BN19" s="10"/>
      <c r="BO19" s="10">
        <v>0.8</v>
      </c>
      <c r="BS19" s="10"/>
      <c r="BT19" s="10">
        <v>0.8</v>
      </c>
      <c r="BU19" s="10"/>
      <c r="BV19" s="10">
        <v>0.8</v>
      </c>
      <c r="BZ19" s="10"/>
      <c r="CA19" s="10">
        <v>0.8</v>
      </c>
      <c r="CB19" s="10"/>
      <c r="CC19" s="10">
        <v>0.8</v>
      </c>
      <c r="CG19" s="10"/>
      <c r="CH19" s="10">
        <v>1</v>
      </c>
      <c r="CI19" s="10"/>
      <c r="CJ19" s="10">
        <v>1</v>
      </c>
      <c r="CN19" s="10"/>
      <c r="CO19" s="10">
        <v>1</v>
      </c>
      <c r="CP19" s="10"/>
      <c r="CQ19" s="10">
        <v>1</v>
      </c>
      <c r="CU19" s="10"/>
      <c r="CV19" s="10"/>
      <c r="CW19" s="10"/>
      <c r="CX19" s="10"/>
      <c r="DB19" s="10"/>
      <c r="DC19" s="10"/>
      <c r="DD19" s="10"/>
      <c r="DE19" s="10"/>
      <c r="DI19" s="10"/>
      <c r="DJ19" s="10"/>
      <c r="DK19" s="10"/>
      <c r="DL19" s="10"/>
      <c r="DP19" s="10"/>
      <c r="DQ19" s="10"/>
      <c r="DR19" s="10"/>
      <c r="DS19" s="10"/>
    </row>
    <row r="20" spans="2:123" outlineLevel="1" x14ac:dyDescent="0.2">
      <c r="B20" t="s">
        <v>28</v>
      </c>
      <c r="C20" t="s">
        <v>90</v>
      </c>
      <c r="E20" s="9"/>
      <c r="F20" t="s">
        <v>116</v>
      </c>
      <c r="G20" s="10">
        <v>7.0000000000000007E-2</v>
      </c>
      <c r="I20" s="9">
        <f t="shared" si="1"/>
        <v>0</v>
      </c>
      <c r="J20" s="11" cm="1">
        <f t="array" ref="J20">MAX(IF($N$3:$EH$3=$J$3,N20:EH20))</f>
        <v>0</v>
      </c>
      <c r="K20" s="11" cm="1">
        <f t="array" ref="K20">MAX(IF($N$3:$EH$3=$J$3,N20:EH20))</f>
        <v>0</v>
      </c>
      <c r="L20" s="9"/>
      <c r="O20" s="10"/>
      <c r="P20" s="10"/>
      <c r="Q20" s="10"/>
      <c r="R20" s="10"/>
      <c r="V20" s="10"/>
      <c r="W20" s="10"/>
      <c r="X20" s="10"/>
      <c r="Y20" s="10"/>
      <c r="AC20" s="10"/>
      <c r="AD20" s="10"/>
      <c r="AE20" s="10"/>
      <c r="AF20" s="10"/>
      <c r="AJ20" s="10"/>
      <c r="AK20" s="10">
        <v>0.5</v>
      </c>
      <c r="AL20" s="10"/>
      <c r="AM20" s="10">
        <v>0.5</v>
      </c>
      <c r="AQ20" s="10"/>
      <c r="AR20" s="10">
        <v>0.5</v>
      </c>
      <c r="AS20" s="10"/>
      <c r="AT20" s="10">
        <v>0.5</v>
      </c>
      <c r="AX20" s="10"/>
      <c r="AY20" s="10">
        <v>0.5</v>
      </c>
      <c r="AZ20" s="10"/>
      <c r="BA20" s="10">
        <v>0.5</v>
      </c>
      <c r="BE20" s="10"/>
      <c r="BF20" s="10">
        <v>0.5</v>
      </c>
      <c r="BG20" s="10"/>
      <c r="BH20" s="10">
        <v>0.5</v>
      </c>
      <c r="BL20" s="10"/>
      <c r="BM20" s="10">
        <v>0.8</v>
      </c>
      <c r="BN20" s="10"/>
      <c r="BO20" s="10">
        <v>0.8</v>
      </c>
      <c r="BS20" s="10"/>
      <c r="BT20" s="10">
        <v>0.8</v>
      </c>
      <c r="BU20" s="10"/>
      <c r="BV20" s="10">
        <v>0.8</v>
      </c>
      <c r="BZ20" s="10"/>
      <c r="CA20" s="10">
        <v>0.8</v>
      </c>
      <c r="CB20" s="10"/>
      <c r="CC20" s="10">
        <v>0.8</v>
      </c>
      <c r="CG20" s="10"/>
      <c r="CH20" s="10">
        <v>1</v>
      </c>
      <c r="CI20" s="10"/>
      <c r="CJ20" s="10">
        <v>1</v>
      </c>
      <c r="CN20" s="10"/>
      <c r="CO20" s="10">
        <v>1</v>
      </c>
      <c r="CP20" s="10"/>
      <c r="CQ20" s="10">
        <v>1</v>
      </c>
      <c r="CU20" s="10"/>
      <c r="CV20" s="10"/>
      <c r="CW20" s="10"/>
      <c r="CX20" s="10"/>
      <c r="DB20" s="10"/>
      <c r="DC20" s="10"/>
      <c r="DD20" s="10"/>
      <c r="DE20" s="10"/>
      <c r="DI20" s="10"/>
      <c r="DJ20" s="10"/>
      <c r="DK20" s="10"/>
      <c r="DL20" s="10"/>
      <c r="DP20" s="10"/>
      <c r="DQ20" s="10"/>
      <c r="DR20" s="10"/>
      <c r="DS20" s="10"/>
    </row>
    <row r="21" spans="2:123" outlineLevel="1" x14ac:dyDescent="0.2">
      <c r="B21" t="s">
        <v>28</v>
      </c>
      <c r="C21" t="s">
        <v>90</v>
      </c>
      <c r="E21" s="9"/>
      <c r="F21" t="s">
        <v>117</v>
      </c>
      <c r="G21" s="10">
        <v>0.05</v>
      </c>
      <c r="I21" s="9">
        <f t="shared" si="1"/>
        <v>0</v>
      </c>
      <c r="J21" s="11" cm="1">
        <f t="array" ref="J21">MAX(IF($N$3:$EH$3=$J$3,N21:EH21))</f>
        <v>0</v>
      </c>
      <c r="K21" s="11" cm="1">
        <f t="array" ref="K21">MAX(IF($N$3:$EH$3=$J$3,N21:EH21))</f>
        <v>0</v>
      </c>
      <c r="L21" s="9"/>
      <c r="O21" s="10"/>
      <c r="P21" s="10"/>
      <c r="Q21" s="10"/>
      <c r="R21" s="10"/>
      <c r="V21" s="10"/>
      <c r="W21" s="10"/>
      <c r="X21" s="10"/>
      <c r="Y21" s="10"/>
      <c r="AC21" s="10"/>
      <c r="AD21" s="10"/>
      <c r="AE21" s="10"/>
      <c r="AF21" s="10"/>
      <c r="AJ21" s="10"/>
      <c r="AK21" s="10"/>
      <c r="AL21" s="10"/>
      <c r="AM21" s="10"/>
      <c r="AQ21" s="10"/>
      <c r="AR21" s="10">
        <v>0.5</v>
      </c>
      <c r="AS21" s="10"/>
      <c r="AT21" s="10">
        <v>0.5</v>
      </c>
      <c r="AX21" s="10"/>
      <c r="AY21" s="10">
        <v>0.5</v>
      </c>
      <c r="AZ21" s="10"/>
      <c r="BA21" s="10">
        <v>0.5</v>
      </c>
      <c r="BE21" s="10"/>
      <c r="BF21" s="10">
        <v>0.5</v>
      </c>
      <c r="BG21" s="10"/>
      <c r="BH21" s="10">
        <v>0.5</v>
      </c>
      <c r="BL21" s="10"/>
      <c r="BM21" s="10">
        <v>0.5</v>
      </c>
      <c r="BN21" s="10"/>
      <c r="BO21" s="10">
        <v>0.5</v>
      </c>
      <c r="BS21" s="10"/>
      <c r="BT21" s="10">
        <v>0.8</v>
      </c>
      <c r="BU21" s="10"/>
      <c r="BV21" s="10">
        <v>0.8</v>
      </c>
      <c r="BZ21" s="10"/>
      <c r="CA21" s="10">
        <v>0.8</v>
      </c>
      <c r="CB21" s="10"/>
      <c r="CC21" s="10">
        <v>0.8</v>
      </c>
      <c r="CG21" s="10"/>
      <c r="CH21" s="10">
        <v>0.8</v>
      </c>
      <c r="CI21" s="10"/>
      <c r="CJ21" s="10">
        <v>0.8</v>
      </c>
      <c r="CN21" s="10"/>
      <c r="CO21" s="10">
        <v>1</v>
      </c>
      <c r="CP21" s="10"/>
      <c r="CQ21" s="10">
        <v>1</v>
      </c>
      <c r="CU21" s="10"/>
      <c r="CV21" s="10"/>
      <c r="CW21" s="10"/>
      <c r="CX21" s="10"/>
      <c r="DB21" s="10"/>
      <c r="DC21" s="10"/>
      <c r="DD21" s="10"/>
      <c r="DE21" s="10"/>
      <c r="DI21" s="10"/>
      <c r="DJ21" s="10"/>
      <c r="DK21" s="10"/>
      <c r="DL21" s="10"/>
      <c r="DP21" s="10"/>
      <c r="DQ21" s="10"/>
      <c r="DR21" s="10"/>
      <c r="DS21" s="10"/>
    </row>
    <row r="22" spans="2:123" outlineLevel="1" x14ac:dyDescent="0.2">
      <c r="B22" t="s">
        <v>28</v>
      </c>
      <c r="C22" t="s">
        <v>90</v>
      </c>
      <c r="E22" s="9"/>
      <c r="F22" t="s">
        <v>118</v>
      </c>
      <c r="G22" s="10">
        <v>0.1</v>
      </c>
      <c r="I22" s="9"/>
      <c r="J22" s="11"/>
      <c r="K22" s="11"/>
      <c r="L22" s="9"/>
      <c r="O22" s="10"/>
      <c r="P22" s="10"/>
      <c r="Q22" s="10"/>
      <c r="R22" s="10"/>
      <c r="V22" s="10"/>
      <c r="W22" s="10"/>
      <c r="X22" s="10"/>
      <c r="Y22" s="10"/>
      <c r="AC22" s="10"/>
      <c r="AD22" s="10"/>
      <c r="AE22" s="10"/>
      <c r="AF22" s="10"/>
      <c r="AJ22" s="10"/>
      <c r="AK22" s="10"/>
      <c r="AL22" s="10"/>
      <c r="AM22" s="10"/>
      <c r="AQ22" s="10"/>
      <c r="AR22" s="10"/>
      <c r="AS22" s="10"/>
      <c r="AT22" s="10"/>
      <c r="AX22" s="10"/>
      <c r="AY22" s="10">
        <v>0.5</v>
      </c>
      <c r="AZ22" s="10"/>
      <c r="BA22" s="10">
        <v>0.5</v>
      </c>
      <c r="BE22" s="10"/>
      <c r="BF22" s="10">
        <v>0.5</v>
      </c>
      <c r="BG22" s="10"/>
      <c r="BH22" s="10">
        <v>0.5</v>
      </c>
      <c r="BL22" s="10"/>
      <c r="BM22" s="10">
        <v>0.5</v>
      </c>
      <c r="BN22" s="10"/>
      <c r="BO22" s="10">
        <v>0.5</v>
      </c>
      <c r="BS22" s="10"/>
      <c r="BT22" s="10">
        <v>0.5</v>
      </c>
      <c r="BU22" s="10"/>
      <c r="BV22" s="10">
        <v>0.5</v>
      </c>
      <c r="BZ22" s="10"/>
      <c r="CA22" s="10">
        <v>0.8</v>
      </c>
      <c r="CB22" s="10"/>
      <c r="CC22" s="10">
        <v>0.8</v>
      </c>
      <c r="CG22" s="10"/>
      <c r="CH22" s="10">
        <v>0.8</v>
      </c>
      <c r="CI22" s="10"/>
      <c r="CJ22" s="10">
        <v>0.8</v>
      </c>
      <c r="CN22" s="10"/>
      <c r="CO22" s="10"/>
      <c r="CP22" s="10"/>
      <c r="CQ22" s="10"/>
      <c r="CU22" s="10"/>
      <c r="CV22" s="10"/>
      <c r="CW22" s="10"/>
      <c r="CX22" s="10"/>
      <c r="DB22" s="10"/>
      <c r="DC22" s="10"/>
      <c r="DD22" s="10"/>
      <c r="DE22" s="10"/>
      <c r="DI22" s="10"/>
      <c r="DJ22" s="10"/>
      <c r="DK22" s="10"/>
      <c r="DL22" s="10"/>
      <c r="DP22" s="10"/>
      <c r="DQ22" s="10"/>
      <c r="DR22" s="10"/>
      <c r="DS22" s="10"/>
    </row>
    <row r="23" spans="2:123" outlineLevel="1" x14ac:dyDescent="0.2">
      <c r="E23" s="9"/>
      <c r="G23" s="10"/>
      <c r="I23" s="9"/>
      <c r="J23" s="11"/>
      <c r="K23" s="11"/>
      <c r="L23" s="9"/>
      <c r="O23" s="10"/>
      <c r="P23" s="10"/>
      <c r="Q23" s="10"/>
      <c r="R23" s="10"/>
      <c r="V23" s="10"/>
      <c r="W23" s="10"/>
      <c r="X23" s="10"/>
      <c r="Y23" s="10"/>
      <c r="AC23" s="10"/>
      <c r="AD23" s="10"/>
      <c r="AE23" s="10"/>
      <c r="AF23" s="10"/>
      <c r="AJ23" s="10"/>
      <c r="AK23" s="10"/>
      <c r="AL23" s="10"/>
      <c r="AM23" s="10"/>
      <c r="AQ23" s="10"/>
      <c r="AR23" s="10"/>
      <c r="AS23" s="10"/>
      <c r="AT23" s="10"/>
      <c r="AX23" s="10"/>
      <c r="AY23" s="10"/>
      <c r="AZ23" s="10"/>
      <c r="BA23" s="10"/>
      <c r="BE23" s="10"/>
      <c r="BF23" s="10"/>
      <c r="BG23" s="10"/>
      <c r="BH23" s="10"/>
      <c r="BL23" s="10"/>
      <c r="BM23" s="10"/>
      <c r="BN23" s="10"/>
      <c r="BO23" s="10"/>
      <c r="BS23" s="10"/>
      <c r="BT23" s="10"/>
      <c r="BU23" s="10"/>
      <c r="BV23" s="10"/>
      <c r="BZ23" s="10"/>
      <c r="CA23" s="10"/>
      <c r="CB23" s="10"/>
      <c r="CC23" s="10"/>
      <c r="CG23" s="10"/>
      <c r="CH23" s="10"/>
      <c r="CI23" s="10"/>
      <c r="CJ23" s="10"/>
      <c r="CN23" s="10"/>
      <c r="CO23" s="10"/>
      <c r="CP23" s="10"/>
      <c r="CQ23" s="10"/>
      <c r="CU23" s="10"/>
      <c r="CV23" s="10"/>
      <c r="CW23" s="10"/>
      <c r="CX23" s="10"/>
      <c r="DB23" s="10"/>
      <c r="DC23" s="10"/>
      <c r="DD23" s="10"/>
      <c r="DE23" s="10"/>
      <c r="DI23" s="10"/>
      <c r="DJ23" s="10"/>
      <c r="DK23" s="10"/>
      <c r="DL23" s="10"/>
      <c r="DP23" s="10"/>
      <c r="DQ23" s="10"/>
      <c r="DR23" s="10"/>
      <c r="DS23" s="10"/>
    </row>
    <row r="24" spans="2:123" x14ac:dyDescent="0.2">
      <c r="B24" t="s">
        <v>27</v>
      </c>
      <c r="C24" t="s">
        <v>38</v>
      </c>
      <c r="D24" s="19">
        <v>46070</v>
      </c>
      <c r="E24" s="9">
        <v>6</v>
      </c>
      <c r="G24" s="10">
        <f>+SUM(G25:G35)</f>
        <v>1</v>
      </c>
      <c r="I24" s="12">
        <f>+SUM(I25:I35)</f>
        <v>0</v>
      </c>
      <c r="J24" s="11">
        <f>+SUMPRODUCT(G25:G35,J25:J35)</f>
        <v>0</v>
      </c>
      <c r="K24" s="11">
        <f>+SUMPRODUCT(G25:G35,K25:K35)</f>
        <v>0</v>
      </c>
      <c r="L24" s="9"/>
      <c r="N24" s="12">
        <f>+SUM(N25:N35)</f>
        <v>0</v>
      </c>
      <c r="U24" s="12">
        <f>+SUM(U25:U35)</f>
        <v>0</v>
      </c>
      <c r="AB24" s="12">
        <f>+SUM(AB25:AB35)</f>
        <v>0</v>
      </c>
      <c r="AI24" s="12">
        <f>+SUM(AI25:AI35)</f>
        <v>0</v>
      </c>
      <c r="AP24" s="12">
        <f>+SUM(AP25:AP35)</f>
        <v>0</v>
      </c>
    </row>
    <row r="25" spans="2:123" outlineLevel="1" x14ac:dyDescent="0.2">
      <c r="B25" t="s">
        <v>28</v>
      </c>
      <c r="C25" t="s">
        <v>38</v>
      </c>
      <c r="E25" s="9"/>
      <c r="F25" t="s">
        <v>119</v>
      </c>
      <c r="G25" s="10">
        <v>0.12</v>
      </c>
      <c r="I25" s="9">
        <f t="shared" ref="I25:I34" si="2">+SUMIF($N$3:$ZZ$3,I$3,$N25:$ZZ25)</f>
        <v>0</v>
      </c>
      <c r="J25" s="11" cm="1">
        <f t="array" ref="J25">MAX(IF($N$3:$EH$3=$J$3,N25:EH25))</f>
        <v>0</v>
      </c>
      <c r="K25" s="11" cm="1">
        <f t="array" ref="K25">MAX(IF($N$3:$EH$3=$J$3,N25:EH25))</f>
        <v>0</v>
      </c>
      <c r="L25" s="9"/>
      <c r="O25" s="10"/>
      <c r="P25" s="10">
        <v>0.5</v>
      </c>
      <c r="Q25" s="10"/>
      <c r="R25" s="10">
        <v>0.5</v>
      </c>
      <c r="V25" s="10"/>
      <c r="W25" s="10">
        <v>0.5</v>
      </c>
      <c r="X25" s="10"/>
      <c r="Y25" s="10">
        <v>0.5</v>
      </c>
      <c r="AC25" s="10"/>
      <c r="AD25" s="10">
        <v>0.8</v>
      </c>
      <c r="AE25" s="10"/>
      <c r="AF25" s="10">
        <v>0.8</v>
      </c>
      <c r="AJ25" s="10"/>
      <c r="AK25" s="10">
        <v>0.8</v>
      </c>
      <c r="AL25" s="10"/>
      <c r="AM25" s="10">
        <v>0.8</v>
      </c>
      <c r="AQ25" s="10"/>
      <c r="AR25" s="10">
        <v>0.8</v>
      </c>
      <c r="AS25" s="10"/>
      <c r="AT25" s="10">
        <v>0.8</v>
      </c>
      <c r="AX25" s="10"/>
      <c r="AY25" s="10">
        <v>0.8</v>
      </c>
      <c r="AZ25" s="10"/>
      <c r="BA25" s="10">
        <v>0.8</v>
      </c>
      <c r="BE25" s="10"/>
      <c r="BF25" s="10">
        <v>1</v>
      </c>
      <c r="BG25" s="10"/>
      <c r="BH25" s="10">
        <v>1</v>
      </c>
      <c r="BL25" s="10"/>
      <c r="BM25" s="10">
        <v>1</v>
      </c>
      <c r="BN25" s="10"/>
      <c r="BO25" s="10">
        <v>1</v>
      </c>
      <c r="BS25" s="10"/>
      <c r="BT25" s="10">
        <v>1</v>
      </c>
      <c r="BU25" s="10"/>
      <c r="BV25" s="10">
        <v>1</v>
      </c>
      <c r="BZ25" s="10"/>
      <c r="CA25" s="10">
        <v>1</v>
      </c>
      <c r="CB25" s="10"/>
      <c r="CC25" s="10">
        <v>1</v>
      </c>
      <c r="CG25" s="10"/>
      <c r="CH25" s="10">
        <v>1</v>
      </c>
      <c r="CI25" s="10"/>
      <c r="CJ25" s="10">
        <v>1</v>
      </c>
      <c r="CN25" s="10"/>
      <c r="CO25" s="10">
        <v>1</v>
      </c>
      <c r="CP25" s="10"/>
      <c r="CQ25" s="10">
        <v>1</v>
      </c>
      <c r="CU25" s="10"/>
      <c r="CV25" s="10"/>
      <c r="CW25" s="10"/>
      <c r="CX25" s="10"/>
      <c r="DB25" s="10"/>
      <c r="DC25" s="10"/>
      <c r="DD25" s="10"/>
      <c r="DE25" s="10"/>
      <c r="DI25" s="10"/>
      <c r="DJ25" s="10"/>
      <c r="DK25" s="10"/>
      <c r="DL25" s="10"/>
      <c r="DP25" s="10"/>
      <c r="DQ25" s="10"/>
      <c r="DR25" s="10"/>
      <c r="DS25" s="10"/>
    </row>
    <row r="26" spans="2:123" outlineLevel="1" x14ac:dyDescent="0.2">
      <c r="B26" t="s">
        <v>28</v>
      </c>
      <c r="C26" t="s">
        <v>38</v>
      </c>
      <c r="E26" s="9"/>
      <c r="F26" t="s">
        <v>120</v>
      </c>
      <c r="G26" s="10">
        <v>7.0000000000000007E-2</v>
      </c>
      <c r="I26" s="9">
        <f t="shared" si="2"/>
        <v>0</v>
      </c>
      <c r="J26" s="11" cm="1">
        <f t="array" ref="J26">MAX(IF($N$3:$EH$3=$J$3,N26:EH26))</f>
        <v>0</v>
      </c>
      <c r="K26" s="11" cm="1">
        <f t="array" ref="K26">MAX(IF($N$3:$EH$3=$J$3,N26:EH26))</f>
        <v>0</v>
      </c>
      <c r="L26" s="9"/>
      <c r="O26" s="10"/>
      <c r="P26" s="10">
        <v>0.5</v>
      </c>
      <c r="Q26" s="10"/>
      <c r="R26" s="10">
        <v>0.5</v>
      </c>
      <c r="V26" s="10"/>
      <c r="W26" s="10">
        <v>0.5</v>
      </c>
      <c r="X26" s="10"/>
      <c r="Y26" s="10">
        <v>0.5</v>
      </c>
      <c r="AC26" s="10"/>
      <c r="AD26" s="10">
        <v>0.5</v>
      </c>
      <c r="AE26" s="10"/>
      <c r="AF26" s="10">
        <v>0.5</v>
      </c>
      <c r="AJ26" s="10"/>
      <c r="AK26" s="10">
        <v>0.8</v>
      </c>
      <c r="AL26" s="10"/>
      <c r="AM26" s="10">
        <v>0.8</v>
      </c>
      <c r="AQ26" s="10"/>
      <c r="AR26" s="10">
        <v>0.8</v>
      </c>
      <c r="AS26" s="10"/>
      <c r="AT26" s="10">
        <v>0.8</v>
      </c>
      <c r="AX26" s="10"/>
      <c r="AY26" s="10">
        <v>0.8</v>
      </c>
      <c r="AZ26" s="10"/>
      <c r="BA26" s="10">
        <v>0.8</v>
      </c>
      <c r="BE26" s="10"/>
      <c r="BF26" s="10">
        <v>0.8</v>
      </c>
      <c r="BG26" s="10"/>
      <c r="BH26" s="10">
        <v>0.8</v>
      </c>
      <c r="BL26" s="10"/>
      <c r="BM26" s="10">
        <v>1</v>
      </c>
      <c r="BN26" s="10"/>
      <c r="BO26" s="10">
        <v>1</v>
      </c>
      <c r="BS26" s="10"/>
      <c r="BT26" s="10">
        <v>1</v>
      </c>
      <c r="BU26" s="10"/>
      <c r="BV26" s="10">
        <v>1</v>
      </c>
      <c r="BZ26" s="10"/>
      <c r="CA26" s="10">
        <v>1</v>
      </c>
      <c r="CB26" s="10"/>
      <c r="CC26" s="10">
        <v>1</v>
      </c>
      <c r="CG26" s="10"/>
      <c r="CH26" s="10">
        <v>1</v>
      </c>
      <c r="CI26" s="10"/>
      <c r="CJ26" s="10">
        <v>1</v>
      </c>
      <c r="CN26" s="10"/>
      <c r="CO26" s="10">
        <v>1</v>
      </c>
      <c r="CP26" s="10"/>
      <c r="CQ26" s="10">
        <v>1</v>
      </c>
      <c r="CU26" s="10"/>
      <c r="CV26" s="10"/>
      <c r="CW26" s="10"/>
      <c r="CX26" s="10"/>
      <c r="DB26" s="10"/>
      <c r="DC26" s="10"/>
      <c r="DD26" s="10"/>
      <c r="DE26" s="10"/>
      <c r="DI26" s="10"/>
      <c r="DJ26" s="10"/>
      <c r="DK26" s="10"/>
      <c r="DL26" s="10"/>
      <c r="DP26" s="10"/>
      <c r="DQ26" s="10"/>
      <c r="DR26" s="10"/>
      <c r="DS26" s="10"/>
    </row>
    <row r="27" spans="2:123" outlineLevel="1" x14ac:dyDescent="0.2">
      <c r="B27" t="s">
        <v>28</v>
      </c>
      <c r="C27" t="s">
        <v>38</v>
      </c>
      <c r="E27" s="9"/>
      <c r="F27" t="s">
        <v>121</v>
      </c>
      <c r="G27" s="10">
        <v>0.12</v>
      </c>
      <c r="I27" s="9">
        <f t="shared" si="2"/>
        <v>0</v>
      </c>
      <c r="J27" s="11" cm="1">
        <f t="array" ref="J27">MAX(IF($N$3:$EH$3=$J$3,N27:EH27))</f>
        <v>0</v>
      </c>
      <c r="K27" s="11" cm="1">
        <f t="array" ref="K27">MAX(IF($N$3:$EH$3=$J$3,N27:EH27))</f>
        <v>0</v>
      </c>
      <c r="L27" s="9"/>
      <c r="O27" s="10"/>
      <c r="P27" s="10">
        <v>0.5</v>
      </c>
      <c r="Q27" s="10"/>
      <c r="R27" s="10">
        <v>0.5</v>
      </c>
      <c r="V27" s="10"/>
      <c r="W27" s="10">
        <v>0.5</v>
      </c>
      <c r="X27" s="10"/>
      <c r="Y27" s="10">
        <v>0.5</v>
      </c>
      <c r="AC27" s="10"/>
      <c r="AD27" s="10">
        <v>0.5</v>
      </c>
      <c r="AE27" s="10"/>
      <c r="AF27" s="10">
        <v>0.5</v>
      </c>
      <c r="AJ27" s="10"/>
      <c r="AK27" s="10">
        <v>0.5</v>
      </c>
      <c r="AL27" s="10"/>
      <c r="AM27" s="10">
        <v>0.5</v>
      </c>
      <c r="AQ27" s="10"/>
      <c r="AR27" s="10">
        <v>0.8</v>
      </c>
      <c r="AS27" s="10"/>
      <c r="AT27" s="10">
        <v>0.8</v>
      </c>
      <c r="AX27" s="10"/>
      <c r="AY27" s="10">
        <v>0.8</v>
      </c>
      <c r="AZ27" s="10"/>
      <c r="BA27" s="10">
        <v>0.8</v>
      </c>
      <c r="BE27" s="10"/>
      <c r="BF27" s="10">
        <v>0.8</v>
      </c>
      <c r="BG27" s="10"/>
      <c r="BH27" s="10">
        <v>0.8</v>
      </c>
      <c r="BL27" s="10"/>
      <c r="BM27" s="10">
        <v>0.8</v>
      </c>
      <c r="BN27" s="10"/>
      <c r="BO27" s="10">
        <v>0.8</v>
      </c>
      <c r="BS27" s="10"/>
      <c r="BT27" s="10">
        <v>1</v>
      </c>
      <c r="BU27" s="10"/>
      <c r="BV27" s="10">
        <v>1</v>
      </c>
      <c r="BZ27" s="10"/>
      <c r="CA27" s="10">
        <v>1</v>
      </c>
      <c r="CB27" s="10"/>
      <c r="CC27" s="10">
        <v>1</v>
      </c>
      <c r="CG27" s="10"/>
      <c r="CH27" s="10">
        <v>1</v>
      </c>
      <c r="CI27" s="10"/>
      <c r="CJ27" s="10">
        <v>1</v>
      </c>
      <c r="CN27" s="10"/>
      <c r="CO27" s="10">
        <v>1</v>
      </c>
      <c r="CP27" s="10"/>
      <c r="CQ27" s="10">
        <v>1</v>
      </c>
      <c r="CU27" s="10"/>
      <c r="CV27" s="10"/>
      <c r="CW27" s="10"/>
      <c r="CX27" s="10"/>
      <c r="DB27" s="10"/>
      <c r="DC27" s="10"/>
      <c r="DD27" s="10"/>
      <c r="DE27" s="10"/>
      <c r="DI27" s="10"/>
      <c r="DJ27" s="10"/>
      <c r="DK27" s="10"/>
      <c r="DL27" s="10"/>
      <c r="DP27" s="10"/>
      <c r="DQ27" s="10"/>
      <c r="DR27" s="10"/>
      <c r="DS27" s="10"/>
    </row>
    <row r="28" spans="2:123" outlineLevel="1" x14ac:dyDescent="0.2">
      <c r="B28" t="s">
        <v>28</v>
      </c>
      <c r="C28" t="s">
        <v>38</v>
      </c>
      <c r="E28" s="9"/>
      <c r="F28" t="s">
        <v>122</v>
      </c>
      <c r="G28" s="10">
        <v>0.19</v>
      </c>
      <c r="I28" s="9">
        <f t="shared" si="2"/>
        <v>0</v>
      </c>
      <c r="J28" s="11" cm="1">
        <f t="array" ref="J28">MAX(IF($N$3:$EH$3=$J$3,N28:EH28))</f>
        <v>0</v>
      </c>
      <c r="K28" s="11" cm="1">
        <f t="array" ref="K28">MAX(IF($N$3:$EH$3=$J$3,N28:EH28))</f>
        <v>0</v>
      </c>
      <c r="L28" s="9"/>
      <c r="O28" s="10"/>
      <c r="P28" s="10"/>
      <c r="Q28" s="10"/>
      <c r="R28" s="10"/>
      <c r="V28" s="10"/>
      <c r="W28" s="10">
        <v>0.5</v>
      </c>
      <c r="X28" s="10"/>
      <c r="Y28" s="10">
        <v>0.5</v>
      </c>
      <c r="AC28" s="10"/>
      <c r="AD28" s="10">
        <v>0.5</v>
      </c>
      <c r="AE28" s="10"/>
      <c r="AF28" s="10">
        <v>0.5</v>
      </c>
      <c r="AJ28" s="10"/>
      <c r="AK28" s="10">
        <v>0.5</v>
      </c>
      <c r="AL28" s="10"/>
      <c r="AM28" s="10">
        <v>0.5</v>
      </c>
      <c r="AQ28" s="10"/>
      <c r="AR28" s="10">
        <v>0.8</v>
      </c>
      <c r="AS28" s="10"/>
      <c r="AT28" s="10">
        <v>0.8</v>
      </c>
      <c r="AX28" s="10"/>
      <c r="AY28" s="10">
        <v>0.8</v>
      </c>
      <c r="AZ28" s="10"/>
      <c r="BA28" s="10">
        <v>0.8</v>
      </c>
      <c r="BE28" s="10"/>
      <c r="BF28" s="10">
        <v>0.8</v>
      </c>
      <c r="BG28" s="10"/>
      <c r="BH28" s="10">
        <v>0.8</v>
      </c>
      <c r="BL28" s="10"/>
      <c r="BM28" s="10">
        <v>0.8</v>
      </c>
      <c r="BN28" s="10"/>
      <c r="BO28" s="10">
        <v>0.8</v>
      </c>
      <c r="BS28" s="10"/>
      <c r="BT28" s="10">
        <v>0.8</v>
      </c>
      <c r="BU28" s="10"/>
      <c r="BV28" s="10">
        <v>0.8</v>
      </c>
      <c r="BZ28" s="10"/>
      <c r="CA28" s="10">
        <v>1</v>
      </c>
      <c r="CB28" s="10"/>
      <c r="CC28" s="10">
        <v>1</v>
      </c>
      <c r="CG28" s="10"/>
      <c r="CH28" s="10">
        <v>1</v>
      </c>
      <c r="CI28" s="10"/>
      <c r="CJ28" s="10">
        <v>1</v>
      </c>
      <c r="CN28" s="10"/>
      <c r="CO28" s="10">
        <v>1</v>
      </c>
      <c r="CP28" s="10"/>
      <c r="CQ28" s="10">
        <v>1</v>
      </c>
      <c r="CU28" s="10"/>
      <c r="CV28" s="10"/>
      <c r="CW28" s="10"/>
      <c r="CX28" s="10"/>
      <c r="DB28" s="10"/>
      <c r="DC28" s="10"/>
      <c r="DD28" s="10"/>
      <c r="DE28" s="10"/>
      <c r="DI28" s="10"/>
      <c r="DJ28" s="10"/>
      <c r="DK28" s="10"/>
      <c r="DL28" s="10"/>
      <c r="DP28" s="10"/>
      <c r="DQ28" s="10"/>
      <c r="DR28" s="10"/>
      <c r="DS28" s="10"/>
    </row>
    <row r="29" spans="2:123" outlineLevel="1" x14ac:dyDescent="0.2">
      <c r="B29" t="s">
        <v>28</v>
      </c>
      <c r="C29" t="s">
        <v>38</v>
      </c>
      <c r="E29" s="9"/>
      <c r="F29" t="s">
        <v>123</v>
      </c>
      <c r="G29" s="10">
        <v>0.12</v>
      </c>
      <c r="I29" s="9">
        <f t="shared" si="2"/>
        <v>0</v>
      </c>
      <c r="J29" s="11" cm="1">
        <f t="array" ref="J29">MAX(IF($N$3:$EH$3=$J$3,N29:EH29))</f>
        <v>0</v>
      </c>
      <c r="K29" s="11" cm="1">
        <f t="array" ref="K29">MAX(IF($N$3:$EH$3=$J$3,N29:EH29))</f>
        <v>0</v>
      </c>
      <c r="L29" s="9"/>
      <c r="O29" s="10"/>
      <c r="P29" s="10"/>
      <c r="Q29" s="10"/>
      <c r="R29" s="10"/>
      <c r="V29" s="10"/>
      <c r="W29" s="10">
        <v>0.5</v>
      </c>
      <c r="X29" s="10"/>
      <c r="Y29" s="10">
        <v>0.5</v>
      </c>
      <c r="AC29" s="10"/>
      <c r="AD29" s="10">
        <v>0.5</v>
      </c>
      <c r="AE29" s="10"/>
      <c r="AF29" s="10">
        <v>0.5</v>
      </c>
      <c r="AJ29" s="10"/>
      <c r="AK29" s="10">
        <v>0.5</v>
      </c>
      <c r="AL29" s="10"/>
      <c r="AM29" s="10">
        <v>0.5</v>
      </c>
      <c r="AQ29" s="10"/>
      <c r="AR29" s="10">
        <v>0.5</v>
      </c>
      <c r="AS29" s="10"/>
      <c r="AT29" s="10">
        <v>0.5</v>
      </c>
      <c r="AX29" s="10"/>
      <c r="AY29" s="10">
        <v>0.8</v>
      </c>
      <c r="AZ29" s="10"/>
      <c r="BA29" s="10">
        <v>0.8</v>
      </c>
      <c r="BE29" s="10"/>
      <c r="BF29" s="10">
        <v>0.8</v>
      </c>
      <c r="BG29" s="10"/>
      <c r="BH29" s="10">
        <v>0.8</v>
      </c>
      <c r="BL29" s="10"/>
      <c r="BM29" s="10">
        <v>0.8</v>
      </c>
      <c r="BN29" s="10"/>
      <c r="BO29" s="10">
        <v>0.8</v>
      </c>
      <c r="BS29" s="10"/>
      <c r="BT29" s="10">
        <v>0.8</v>
      </c>
      <c r="BU29" s="10"/>
      <c r="BV29" s="10">
        <v>0.8</v>
      </c>
      <c r="BZ29" s="10"/>
      <c r="CA29" s="10">
        <v>1</v>
      </c>
      <c r="CB29" s="10"/>
      <c r="CC29" s="10">
        <v>1</v>
      </c>
      <c r="CG29" s="10"/>
      <c r="CH29" s="10">
        <v>1</v>
      </c>
      <c r="CI29" s="10"/>
      <c r="CJ29" s="10">
        <v>1</v>
      </c>
      <c r="CN29" s="10"/>
      <c r="CO29" s="10">
        <v>1</v>
      </c>
      <c r="CP29" s="10"/>
      <c r="CQ29" s="10">
        <v>1</v>
      </c>
      <c r="CU29" s="10"/>
      <c r="CV29" s="10"/>
      <c r="CW29" s="10"/>
      <c r="CX29" s="10"/>
      <c r="DB29" s="10"/>
      <c r="DC29" s="10"/>
      <c r="DD29" s="10"/>
      <c r="DE29" s="10"/>
      <c r="DI29" s="10"/>
      <c r="DJ29" s="10"/>
      <c r="DK29" s="10"/>
      <c r="DL29" s="10"/>
      <c r="DP29" s="10"/>
      <c r="DQ29" s="10"/>
      <c r="DR29" s="10"/>
      <c r="DS29" s="10"/>
    </row>
    <row r="30" spans="2:123" outlineLevel="1" x14ac:dyDescent="0.2">
      <c r="B30" t="s">
        <v>28</v>
      </c>
      <c r="C30" t="s">
        <v>38</v>
      </c>
      <c r="E30" s="9"/>
      <c r="F30" t="s">
        <v>124</v>
      </c>
      <c r="G30" s="10">
        <v>0.11</v>
      </c>
      <c r="I30" s="9">
        <f t="shared" si="2"/>
        <v>0</v>
      </c>
      <c r="J30" s="11" cm="1">
        <f t="array" ref="J30">MAX(IF($N$3:$EH$3=$J$3,N30:EH30))</f>
        <v>0</v>
      </c>
      <c r="K30" s="11" cm="1">
        <f t="array" ref="K30">MAX(IF($N$3:$EH$3=$J$3,N30:EH30))</f>
        <v>0</v>
      </c>
      <c r="L30" s="9"/>
      <c r="O30" s="10"/>
      <c r="P30" s="10"/>
      <c r="Q30" s="10"/>
      <c r="R30" s="10"/>
      <c r="V30" s="10"/>
      <c r="W30" s="10"/>
      <c r="X30" s="10"/>
      <c r="Y30" s="10"/>
      <c r="AC30" s="10"/>
      <c r="AD30" s="10">
        <v>0.5</v>
      </c>
      <c r="AE30" s="10"/>
      <c r="AF30" s="10">
        <v>0.5</v>
      </c>
      <c r="AJ30" s="10"/>
      <c r="AK30" s="10">
        <v>0.5</v>
      </c>
      <c r="AL30" s="10"/>
      <c r="AM30" s="10">
        <v>0.5</v>
      </c>
      <c r="AQ30" s="10"/>
      <c r="AR30" s="10">
        <v>0.5</v>
      </c>
      <c r="AS30" s="10"/>
      <c r="AT30" s="10">
        <v>0.5</v>
      </c>
      <c r="AX30" s="10"/>
      <c r="AY30" s="10">
        <v>0.5</v>
      </c>
      <c r="AZ30" s="10"/>
      <c r="BA30" s="10">
        <v>0.5</v>
      </c>
      <c r="BE30" s="10"/>
      <c r="BF30" s="10">
        <v>0.8</v>
      </c>
      <c r="BG30" s="10"/>
      <c r="BH30" s="10">
        <v>0.8</v>
      </c>
      <c r="BL30" s="10"/>
      <c r="BM30" s="10">
        <v>0.8</v>
      </c>
      <c r="BN30" s="10"/>
      <c r="BO30" s="10">
        <v>0.8</v>
      </c>
      <c r="BS30" s="10"/>
      <c r="BT30" s="10">
        <v>0.8</v>
      </c>
      <c r="BU30" s="10"/>
      <c r="BV30" s="10">
        <v>0.8</v>
      </c>
      <c r="BZ30" s="10"/>
      <c r="CA30" s="10">
        <v>0.8</v>
      </c>
      <c r="CB30" s="10"/>
      <c r="CC30" s="10">
        <v>0.8</v>
      </c>
      <c r="CG30" s="10"/>
      <c r="CH30" s="10">
        <v>1</v>
      </c>
      <c r="CI30" s="10"/>
      <c r="CJ30" s="10">
        <v>1</v>
      </c>
      <c r="CN30" s="10"/>
      <c r="CO30" s="10">
        <v>1</v>
      </c>
      <c r="CP30" s="10"/>
      <c r="CQ30" s="10">
        <v>1</v>
      </c>
      <c r="CU30" s="10"/>
      <c r="CV30" s="10"/>
      <c r="CW30" s="10"/>
      <c r="CX30" s="10"/>
      <c r="DB30" s="10"/>
      <c r="DC30" s="10"/>
      <c r="DD30" s="10"/>
      <c r="DE30" s="10"/>
      <c r="DI30" s="10"/>
      <c r="DJ30" s="10"/>
      <c r="DK30" s="10"/>
      <c r="DL30" s="10"/>
      <c r="DP30" s="10"/>
      <c r="DQ30" s="10"/>
      <c r="DR30" s="10"/>
      <c r="DS30" s="10"/>
    </row>
    <row r="31" spans="2:123" outlineLevel="1" x14ac:dyDescent="0.2">
      <c r="B31" t="s">
        <v>28</v>
      </c>
      <c r="C31" t="s">
        <v>38</v>
      </c>
      <c r="E31" s="9"/>
      <c r="F31" t="s">
        <v>125</v>
      </c>
      <c r="G31" s="10">
        <v>0.08</v>
      </c>
      <c r="I31" s="9">
        <f t="shared" si="2"/>
        <v>0</v>
      </c>
      <c r="J31" s="11" cm="1">
        <f t="array" ref="J31">MAX(IF($N$3:$EH$3=$J$3,N31:EH31))</f>
        <v>0</v>
      </c>
      <c r="K31" s="11" cm="1">
        <f t="array" ref="K31">MAX(IF($N$3:$EH$3=$J$3,N31:EH31))</f>
        <v>0</v>
      </c>
      <c r="L31" s="9"/>
      <c r="O31" s="10"/>
      <c r="P31" s="10"/>
      <c r="Q31" s="10"/>
      <c r="R31" s="10"/>
      <c r="V31" s="10"/>
      <c r="W31" s="10"/>
      <c r="X31" s="10"/>
      <c r="Y31" s="10"/>
      <c r="AC31" s="10"/>
      <c r="AD31" s="10">
        <v>0.5</v>
      </c>
      <c r="AE31" s="10"/>
      <c r="AF31" s="10">
        <v>0.5</v>
      </c>
      <c r="AJ31" s="10"/>
      <c r="AK31" s="10">
        <v>0.5</v>
      </c>
      <c r="AL31" s="10"/>
      <c r="AM31" s="10">
        <v>0.5</v>
      </c>
      <c r="AQ31" s="10"/>
      <c r="AR31" s="10">
        <v>0.5</v>
      </c>
      <c r="AS31" s="10"/>
      <c r="AT31" s="10">
        <v>0.5</v>
      </c>
      <c r="AX31" s="10"/>
      <c r="AY31" s="10">
        <v>0.5</v>
      </c>
      <c r="AZ31" s="10"/>
      <c r="BA31" s="10">
        <v>0.5</v>
      </c>
      <c r="BE31" s="10"/>
      <c r="BF31" s="10">
        <v>0.5</v>
      </c>
      <c r="BG31" s="10"/>
      <c r="BH31" s="10">
        <v>0.5</v>
      </c>
      <c r="BL31" s="10"/>
      <c r="BM31" s="10">
        <v>0.8</v>
      </c>
      <c r="BN31" s="10"/>
      <c r="BO31" s="10">
        <v>0.8</v>
      </c>
      <c r="BS31" s="10"/>
      <c r="BT31" s="10">
        <v>0.8</v>
      </c>
      <c r="BU31" s="10"/>
      <c r="BV31" s="10">
        <v>0.8</v>
      </c>
      <c r="BZ31" s="10"/>
      <c r="CA31" s="10">
        <v>0.8</v>
      </c>
      <c r="CB31" s="10"/>
      <c r="CC31" s="10">
        <v>0.8</v>
      </c>
      <c r="CG31" s="10"/>
      <c r="CH31" s="10">
        <v>1</v>
      </c>
      <c r="CI31" s="10"/>
      <c r="CJ31" s="10">
        <v>1</v>
      </c>
      <c r="CN31" s="10"/>
      <c r="CO31" s="10">
        <v>1</v>
      </c>
      <c r="CP31" s="10"/>
      <c r="CQ31" s="10">
        <v>1</v>
      </c>
      <c r="CU31" s="10"/>
      <c r="CV31" s="10"/>
      <c r="CW31" s="10"/>
      <c r="CX31" s="10"/>
      <c r="DB31" s="10"/>
      <c r="DC31" s="10"/>
      <c r="DD31" s="10"/>
      <c r="DE31" s="10"/>
      <c r="DI31" s="10"/>
      <c r="DJ31" s="10"/>
      <c r="DK31" s="10"/>
      <c r="DL31" s="10"/>
      <c r="DP31" s="10"/>
      <c r="DQ31" s="10"/>
      <c r="DR31" s="10"/>
      <c r="DS31" s="10"/>
    </row>
    <row r="32" spans="2:123" outlineLevel="1" x14ac:dyDescent="0.2">
      <c r="B32" t="s">
        <v>28</v>
      </c>
      <c r="C32" t="s">
        <v>38</v>
      </c>
      <c r="E32" s="9"/>
      <c r="F32" t="s">
        <v>126</v>
      </c>
      <c r="G32" s="10">
        <v>7.0000000000000007E-2</v>
      </c>
      <c r="I32" s="9">
        <f t="shared" si="2"/>
        <v>0</v>
      </c>
      <c r="J32" s="11" cm="1">
        <f t="array" ref="J32">MAX(IF($N$3:$EH$3=$J$3,N32:EH32))</f>
        <v>0</v>
      </c>
      <c r="K32" s="11" cm="1">
        <f t="array" ref="K32">MAX(IF($N$3:$EH$3=$J$3,N32:EH32))</f>
        <v>0</v>
      </c>
      <c r="L32" s="9"/>
      <c r="O32" s="10"/>
      <c r="P32" s="10"/>
      <c r="Q32" s="10"/>
      <c r="R32" s="10"/>
      <c r="V32" s="10"/>
      <c r="W32" s="10"/>
      <c r="X32" s="10"/>
      <c r="Y32" s="10"/>
      <c r="AC32" s="10"/>
      <c r="AD32" s="10"/>
      <c r="AE32" s="10"/>
      <c r="AF32" s="10"/>
      <c r="AJ32" s="10"/>
      <c r="AK32" s="10">
        <v>0.5</v>
      </c>
      <c r="AL32" s="10"/>
      <c r="AM32" s="10">
        <v>0.5</v>
      </c>
      <c r="AQ32" s="10"/>
      <c r="AR32" s="10">
        <v>0.5</v>
      </c>
      <c r="AS32" s="10"/>
      <c r="AT32" s="10">
        <v>0.5</v>
      </c>
      <c r="AX32" s="10"/>
      <c r="AY32" s="10">
        <v>0.5</v>
      </c>
      <c r="AZ32" s="10"/>
      <c r="BA32" s="10">
        <v>0.5</v>
      </c>
      <c r="BE32" s="10"/>
      <c r="BF32" s="10">
        <v>0.5</v>
      </c>
      <c r="BG32" s="10"/>
      <c r="BH32" s="10">
        <v>0.5</v>
      </c>
      <c r="BL32" s="10"/>
      <c r="BM32" s="10">
        <v>0.8</v>
      </c>
      <c r="BN32" s="10"/>
      <c r="BO32" s="10">
        <v>0.8</v>
      </c>
      <c r="BS32" s="10"/>
      <c r="BT32" s="10">
        <v>0.8</v>
      </c>
      <c r="BU32" s="10"/>
      <c r="BV32" s="10">
        <v>0.8</v>
      </c>
      <c r="BZ32" s="10"/>
      <c r="CA32" s="10">
        <v>0.8</v>
      </c>
      <c r="CB32" s="10"/>
      <c r="CC32" s="10">
        <v>0.8</v>
      </c>
      <c r="CG32" s="10"/>
      <c r="CH32" s="10">
        <v>0.8</v>
      </c>
      <c r="CI32" s="10"/>
      <c r="CJ32" s="10">
        <v>0.8</v>
      </c>
      <c r="CN32" s="10"/>
      <c r="CO32" s="10">
        <v>1</v>
      </c>
      <c r="CP32" s="10"/>
      <c r="CQ32" s="10">
        <v>1</v>
      </c>
      <c r="CU32" s="10"/>
      <c r="CV32" s="10"/>
      <c r="CW32" s="10"/>
      <c r="CX32" s="10"/>
      <c r="DB32" s="10"/>
      <c r="DC32" s="10"/>
      <c r="DD32" s="10"/>
      <c r="DE32" s="10"/>
      <c r="DI32" s="10"/>
      <c r="DJ32" s="10"/>
      <c r="DK32" s="10"/>
      <c r="DL32" s="10"/>
      <c r="DP32" s="10"/>
      <c r="DQ32" s="10"/>
      <c r="DR32" s="10"/>
      <c r="DS32" s="10"/>
    </row>
    <row r="33" spans="2:123" outlineLevel="1" x14ac:dyDescent="0.2">
      <c r="B33" t="s">
        <v>28</v>
      </c>
      <c r="C33" t="s">
        <v>38</v>
      </c>
      <c r="E33" s="9"/>
      <c r="F33" t="s">
        <v>127</v>
      </c>
      <c r="G33" s="10">
        <v>0.06</v>
      </c>
      <c r="I33" s="9">
        <f t="shared" si="2"/>
        <v>0</v>
      </c>
      <c r="J33" s="11" cm="1">
        <f t="array" ref="J33">MAX(IF($N$3:$EH$3=$J$3,N33:EH33))</f>
        <v>0</v>
      </c>
      <c r="K33" s="11" cm="1">
        <f t="array" ref="K33">MAX(IF($N$3:$EH$3=$J$3,N33:EH33))</f>
        <v>0</v>
      </c>
      <c r="L33" s="9"/>
      <c r="O33" s="10"/>
      <c r="P33" s="10"/>
      <c r="Q33" s="10"/>
      <c r="R33" s="10"/>
      <c r="V33" s="10"/>
      <c r="W33" s="10"/>
      <c r="X33" s="10"/>
      <c r="Y33" s="10"/>
      <c r="AC33" s="10"/>
      <c r="AD33" s="10"/>
      <c r="AE33" s="10"/>
      <c r="AF33" s="10"/>
      <c r="AJ33" s="10"/>
      <c r="AK33" s="10"/>
      <c r="AL33" s="10"/>
      <c r="AM33" s="10"/>
      <c r="AQ33" s="10"/>
      <c r="AR33" s="10">
        <v>0.5</v>
      </c>
      <c r="AS33" s="10"/>
      <c r="AT33" s="10">
        <v>0.5</v>
      </c>
      <c r="AX33" s="10"/>
      <c r="AY33" s="10">
        <v>0.5</v>
      </c>
      <c r="AZ33" s="10"/>
      <c r="BA33" s="10">
        <v>0.5</v>
      </c>
      <c r="BE33" s="10"/>
      <c r="BF33" s="10">
        <v>0.5</v>
      </c>
      <c r="BG33" s="10"/>
      <c r="BH33" s="10">
        <v>0.5</v>
      </c>
      <c r="BL33" s="10"/>
      <c r="BM33" s="10">
        <v>0.5</v>
      </c>
      <c r="BN33" s="10"/>
      <c r="BO33" s="10">
        <v>0.5</v>
      </c>
      <c r="BS33" s="10"/>
      <c r="BT33" s="10">
        <v>0.8</v>
      </c>
      <c r="BU33" s="10"/>
      <c r="BV33" s="10">
        <v>0.8</v>
      </c>
      <c r="BZ33" s="10"/>
      <c r="CA33" s="10">
        <v>0.8</v>
      </c>
      <c r="CB33" s="10"/>
      <c r="CC33" s="10">
        <v>0.8</v>
      </c>
      <c r="CG33" s="10"/>
      <c r="CH33" s="10">
        <v>0.8</v>
      </c>
      <c r="CI33" s="10"/>
      <c r="CJ33" s="10">
        <v>0.8</v>
      </c>
      <c r="CN33" s="10"/>
      <c r="CO33" s="10">
        <v>1</v>
      </c>
      <c r="CP33" s="10"/>
      <c r="CQ33" s="10">
        <v>1</v>
      </c>
      <c r="CU33" s="10"/>
      <c r="CV33" s="10"/>
      <c r="CW33" s="10"/>
      <c r="CX33" s="10"/>
      <c r="DB33" s="10"/>
      <c r="DC33" s="10"/>
      <c r="DD33" s="10"/>
      <c r="DE33" s="10"/>
      <c r="DI33" s="10"/>
      <c r="DJ33" s="10"/>
      <c r="DK33" s="10"/>
      <c r="DL33" s="10"/>
      <c r="DP33" s="10"/>
      <c r="DQ33" s="10"/>
      <c r="DR33" s="10"/>
      <c r="DS33" s="10"/>
    </row>
    <row r="34" spans="2:123" outlineLevel="1" x14ac:dyDescent="0.2">
      <c r="B34" t="s">
        <v>28</v>
      </c>
      <c r="C34" t="s">
        <v>38</v>
      </c>
      <c r="E34" s="9"/>
      <c r="F34" t="s">
        <v>128</v>
      </c>
      <c r="G34" s="10">
        <v>0.06</v>
      </c>
      <c r="I34" s="9">
        <f t="shared" si="2"/>
        <v>0</v>
      </c>
      <c r="J34" s="11" cm="1">
        <f t="array" ref="J34">MAX(IF($N$3:$EH$3=$J$3,N34:EH34))</f>
        <v>0</v>
      </c>
      <c r="K34" s="11" cm="1">
        <f t="array" ref="K34">MAX(IF($N$3:$EH$3=$J$3,N34:EH34))</f>
        <v>0</v>
      </c>
      <c r="L34" s="9"/>
      <c r="O34" s="10"/>
      <c r="P34" s="10"/>
      <c r="Q34" s="10"/>
      <c r="R34" s="10"/>
      <c r="V34" s="10"/>
      <c r="W34" s="10"/>
      <c r="X34" s="10"/>
      <c r="Y34" s="10"/>
      <c r="AC34" s="10"/>
      <c r="AD34" s="10"/>
      <c r="AE34" s="10"/>
      <c r="AF34" s="10"/>
      <c r="AJ34" s="10"/>
      <c r="AK34" s="10"/>
      <c r="AL34" s="10"/>
      <c r="AM34" s="10"/>
      <c r="AQ34" s="10"/>
      <c r="AR34" s="10"/>
      <c r="AS34" s="10"/>
      <c r="AT34" s="10"/>
      <c r="AX34" s="10"/>
      <c r="AY34" s="10">
        <v>0.5</v>
      </c>
      <c r="AZ34" s="10"/>
      <c r="BA34" s="10">
        <v>0.5</v>
      </c>
      <c r="BE34" s="10"/>
      <c r="BF34" s="10">
        <v>0.5</v>
      </c>
      <c r="BG34" s="10"/>
      <c r="BH34" s="10">
        <v>0.5</v>
      </c>
      <c r="BL34" s="10"/>
      <c r="BM34" s="10">
        <v>0.5</v>
      </c>
      <c r="BN34" s="10"/>
      <c r="BO34" s="10">
        <v>0.5</v>
      </c>
      <c r="BS34" s="10"/>
      <c r="BT34" s="10">
        <v>0.5</v>
      </c>
      <c r="BU34" s="10"/>
      <c r="BV34" s="10">
        <v>0.5</v>
      </c>
      <c r="BZ34" s="10"/>
      <c r="CA34" s="10">
        <v>0.8</v>
      </c>
      <c r="CB34" s="10"/>
      <c r="CC34" s="10">
        <v>0.8</v>
      </c>
      <c r="CG34" s="10"/>
      <c r="CH34" s="10">
        <v>0.8</v>
      </c>
      <c r="CI34" s="10"/>
      <c r="CJ34" s="10">
        <v>0.8</v>
      </c>
      <c r="CN34" s="10"/>
      <c r="CO34" s="10">
        <v>1</v>
      </c>
      <c r="CP34" s="10"/>
      <c r="CQ34" s="10">
        <v>1</v>
      </c>
      <c r="CU34" s="10"/>
      <c r="CV34" s="10"/>
      <c r="CW34" s="10"/>
      <c r="CX34" s="10"/>
      <c r="DB34" s="10"/>
      <c r="DC34" s="10"/>
      <c r="DD34" s="10"/>
      <c r="DE34" s="10"/>
      <c r="DI34" s="10"/>
      <c r="DJ34" s="10"/>
      <c r="DK34" s="10"/>
      <c r="DL34" s="10"/>
      <c r="DP34" s="10"/>
      <c r="DQ34" s="10"/>
      <c r="DR34" s="10"/>
      <c r="DS34" s="10"/>
    </row>
    <row r="35" spans="2:123" outlineLevel="1" x14ac:dyDescent="0.2">
      <c r="E35" s="9"/>
      <c r="G35" s="10"/>
      <c r="I35" s="9"/>
      <c r="J35" s="11"/>
      <c r="K35" s="11"/>
      <c r="L35" s="9"/>
      <c r="O35" s="10"/>
      <c r="P35" s="10"/>
      <c r="Q35" s="10"/>
      <c r="R35" s="10"/>
      <c r="V35" s="10"/>
      <c r="W35" s="10"/>
      <c r="X35" s="10"/>
      <c r="Y35" s="10"/>
      <c r="AC35" s="10"/>
      <c r="AD35" s="10"/>
      <c r="AE35" s="10"/>
      <c r="AF35" s="10"/>
      <c r="AJ35" s="10"/>
      <c r="AK35" s="10"/>
      <c r="AL35" s="10"/>
      <c r="AM35" s="10"/>
      <c r="AQ35" s="10"/>
      <c r="AR35" s="10"/>
      <c r="AS35" s="10"/>
      <c r="AT35" s="10"/>
      <c r="AX35" s="10"/>
      <c r="AY35" s="10"/>
      <c r="AZ35" s="10"/>
      <c r="BA35" s="10"/>
      <c r="BE35" s="10"/>
      <c r="BF35" s="10"/>
      <c r="BG35" s="10"/>
      <c r="BH35" s="10"/>
      <c r="BL35" s="10"/>
      <c r="BM35" s="10"/>
      <c r="BN35" s="10"/>
      <c r="BO35" s="10"/>
      <c r="BS35" s="10"/>
      <c r="BT35" s="10"/>
      <c r="BU35" s="10"/>
      <c r="BV35" s="10"/>
      <c r="BZ35" s="10"/>
      <c r="CA35" s="10"/>
      <c r="CB35" s="10"/>
      <c r="CC35" s="10"/>
      <c r="CG35" s="10"/>
      <c r="CH35" s="10"/>
      <c r="CI35" s="10"/>
      <c r="CJ35" s="10"/>
      <c r="CN35" s="10"/>
      <c r="CO35" s="10"/>
      <c r="CP35" s="10"/>
      <c r="CQ35" s="10"/>
      <c r="CU35" s="10"/>
      <c r="CV35" s="10"/>
      <c r="CW35" s="10"/>
      <c r="CX35" s="10"/>
      <c r="DB35" s="10"/>
      <c r="DC35" s="10"/>
      <c r="DD35" s="10"/>
      <c r="DE35" s="10"/>
      <c r="DI35" s="10"/>
      <c r="DJ35" s="10"/>
      <c r="DK35" s="10"/>
      <c r="DL35" s="10"/>
      <c r="DP35" s="10"/>
      <c r="DQ35" s="10"/>
      <c r="DR35" s="10"/>
      <c r="DS35" s="10"/>
    </row>
    <row r="37" spans="2:123" x14ac:dyDescent="0.2">
      <c r="B37" t="s">
        <v>27</v>
      </c>
      <c r="C37" t="s">
        <v>91</v>
      </c>
      <c r="D37" s="19">
        <v>46070</v>
      </c>
      <c r="E37" s="9">
        <v>6</v>
      </c>
      <c r="G37" s="10">
        <f>+SUM(G38:G47)</f>
        <v>0.99999999999999989</v>
      </c>
      <c r="I37" s="12">
        <f>+SUM(I38:I44)</f>
        <v>0</v>
      </c>
      <c r="J37" s="11">
        <f>+SUMPRODUCT(G38:G44,J38:J44)</f>
        <v>0</v>
      </c>
      <c r="K37" s="11">
        <f>+SUMPRODUCT(G38:G44,K38:K44)</f>
        <v>0</v>
      </c>
      <c r="L37" s="9"/>
      <c r="N37" s="12">
        <f>+SUM(N38:N44)</f>
        <v>0</v>
      </c>
      <c r="U37" s="12">
        <f>+SUM(U38:U44)</f>
        <v>0</v>
      </c>
      <c r="AB37" s="12">
        <f>+SUM(AB38:AB44)</f>
        <v>0</v>
      </c>
      <c r="AI37" s="12">
        <f>+SUM(AI38:AI44)</f>
        <v>0</v>
      </c>
      <c r="AP37" s="12">
        <f>+SUM(AP38:AP44)</f>
        <v>0</v>
      </c>
    </row>
    <row r="38" spans="2:123" outlineLevel="1" x14ac:dyDescent="0.2">
      <c r="B38" t="s">
        <v>28</v>
      </c>
      <c r="C38" t="s">
        <v>91</v>
      </c>
      <c r="E38" s="9"/>
      <c r="F38" t="s">
        <v>143</v>
      </c>
      <c r="G38" s="10">
        <v>0.13</v>
      </c>
      <c r="I38" s="9">
        <f t="shared" ref="I38:I67" si="3">+SUMIF($N$3:$ZZ$3,I$3,$N38:$ZZ38)</f>
        <v>0</v>
      </c>
      <c r="J38" s="11" cm="1">
        <f t="array" ref="J38">MAX(IF($N$3:$EH$3=$J$3,N38:EH38))</f>
        <v>0</v>
      </c>
      <c r="K38" s="11" cm="1">
        <f t="array" ref="K38">MAX(IF($N$3:$EH$3=$J$3,N38:EH38))</f>
        <v>0</v>
      </c>
      <c r="L38" s="9"/>
      <c r="O38" s="10"/>
      <c r="P38" s="10">
        <v>0.5</v>
      </c>
      <c r="Q38" s="10"/>
      <c r="R38" s="10">
        <v>0.5</v>
      </c>
      <c r="V38" s="10"/>
      <c r="W38" s="10">
        <v>0.5</v>
      </c>
      <c r="X38" s="10"/>
      <c r="Y38" s="10">
        <v>0.5</v>
      </c>
      <c r="AC38" s="10"/>
      <c r="AD38" s="10">
        <v>0.8</v>
      </c>
      <c r="AE38" s="10"/>
      <c r="AF38" s="10">
        <v>0.8</v>
      </c>
      <c r="AJ38" s="10"/>
      <c r="AK38" s="10">
        <v>0.8</v>
      </c>
      <c r="AL38" s="10"/>
      <c r="AM38" s="10">
        <v>0.8</v>
      </c>
      <c r="AQ38" s="10"/>
      <c r="AR38" s="10">
        <v>0.8</v>
      </c>
      <c r="AS38" s="10"/>
      <c r="AT38" s="10">
        <v>0.8</v>
      </c>
      <c r="AX38" s="10"/>
      <c r="AY38" s="10">
        <v>0.8</v>
      </c>
      <c r="AZ38" s="10"/>
      <c r="BA38" s="10">
        <v>0.8</v>
      </c>
      <c r="BE38" s="10"/>
      <c r="BF38" s="10">
        <v>1</v>
      </c>
      <c r="BG38" s="10"/>
      <c r="BH38" s="10">
        <v>1</v>
      </c>
      <c r="BL38" s="10"/>
      <c r="BM38" s="10">
        <v>1</v>
      </c>
      <c r="BN38" s="10"/>
      <c r="BO38" s="10">
        <v>1</v>
      </c>
      <c r="BS38" s="10"/>
      <c r="BT38" s="10">
        <v>1</v>
      </c>
      <c r="BU38" s="10"/>
      <c r="BV38" s="10">
        <v>1</v>
      </c>
      <c r="BZ38" s="10"/>
      <c r="CA38" s="10">
        <v>1</v>
      </c>
      <c r="CB38" s="10"/>
      <c r="CC38" s="10">
        <v>1</v>
      </c>
      <c r="CG38" s="10"/>
      <c r="CH38" s="10">
        <v>1</v>
      </c>
      <c r="CI38" s="10"/>
      <c r="CJ38" s="10">
        <v>1</v>
      </c>
      <c r="CN38" s="10"/>
      <c r="CO38" s="10">
        <v>1</v>
      </c>
      <c r="CP38" s="10"/>
      <c r="CQ38" s="10">
        <v>1</v>
      </c>
      <c r="CU38" s="10"/>
      <c r="CV38" s="10"/>
      <c r="CW38" s="10"/>
      <c r="CX38" s="10"/>
      <c r="DB38" s="10"/>
      <c r="DC38" s="10"/>
      <c r="DD38" s="10"/>
      <c r="DE38" s="10"/>
      <c r="DI38" s="10"/>
      <c r="DJ38" s="10"/>
      <c r="DK38" s="10"/>
      <c r="DL38" s="10"/>
      <c r="DP38" s="10"/>
      <c r="DQ38" s="10"/>
      <c r="DR38" s="10"/>
      <c r="DS38" s="10"/>
    </row>
    <row r="39" spans="2:123" outlineLevel="1" x14ac:dyDescent="0.2">
      <c r="B39" t="s">
        <v>28</v>
      </c>
      <c r="C39" t="s">
        <v>91</v>
      </c>
      <c r="E39" s="9"/>
      <c r="F39" t="s">
        <v>144</v>
      </c>
      <c r="G39" s="10">
        <v>0.1</v>
      </c>
      <c r="I39" s="9">
        <f t="shared" si="3"/>
        <v>0</v>
      </c>
      <c r="J39" s="11" cm="1">
        <f t="array" ref="J39">MAX(IF($N$3:$EH$3=$J$3,N39:EH39))</f>
        <v>0</v>
      </c>
      <c r="K39" s="11" cm="1">
        <f t="array" ref="K39">MAX(IF($N$3:$EH$3=$J$3,N39:EH39))</f>
        <v>0</v>
      </c>
      <c r="L39" s="9"/>
      <c r="O39" s="10"/>
      <c r="P39" s="10">
        <v>0.5</v>
      </c>
      <c r="Q39" s="10"/>
      <c r="R39" s="10">
        <v>0.5</v>
      </c>
      <c r="V39" s="10"/>
      <c r="W39" s="10">
        <v>0.5</v>
      </c>
      <c r="X39" s="10"/>
      <c r="Y39" s="10">
        <v>0.5</v>
      </c>
      <c r="AC39" s="10"/>
      <c r="AD39" s="10">
        <v>0.5</v>
      </c>
      <c r="AE39" s="10"/>
      <c r="AF39" s="10">
        <v>0.5</v>
      </c>
      <c r="AJ39" s="10"/>
      <c r="AK39" s="10">
        <v>0.8</v>
      </c>
      <c r="AL39" s="10"/>
      <c r="AM39" s="10">
        <v>0.8</v>
      </c>
      <c r="AQ39" s="10"/>
      <c r="AR39" s="10">
        <v>0.8</v>
      </c>
      <c r="AS39" s="10"/>
      <c r="AT39" s="10">
        <v>0.8</v>
      </c>
      <c r="AX39" s="10"/>
      <c r="AY39" s="10">
        <v>0.8</v>
      </c>
      <c r="AZ39" s="10"/>
      <c r="BA39" s="10">
        <v>0.8</v>
      </c>
      <c r="BE39" s="10"/>
      <c r="BF39" s="10">
        <v>0.8</v>
      </c>
      <c r="BG39" s="10"/>
      <c r="BH39" s="10">
        <v>0.8</v>
      </c>
      <c r="BL39" s="10"/>
      <c r="BM39" s="10">
        <v>1</v>
      </c>
      <c r="BN39" s="10"/>
      <c r="BO39" s="10">
        <v>1</v>
      </c>
      <c r="BS39" s="10"/>
      <c r="BT39" s="10">
        <v>1</v>
      </c>
      <c r="BU39" s="10"/>
      <c r="BV39" s="10">
        <v>1</v>
      </c>
      <c r="BZ39" s="10"/>
      <c r="CA39" s="10">
        <v>1</v>
      </c>
      <c r="CB39" s="10"/>
      <c r="CC39" s="10">
        <v>1</v>
      </c>
      <c r="CG39" s="10"/>
      <c r="CH39" s="10">
        <v>1</v>
      </c>
      <c r="CI39" s="10"/>
      <c r="CJ39" s="10">
        <v>1</v>
      </c>
      <c r="CN39" s="10"/>
      <c r="CO39" s="10">
        <v>1</v>
      </c>
      <c r="CP39" s="10"/>
      <c r="CQ39" s="10">
        <v>1</v>
      </c>
      <c r="CU39" s="10"/>
      <c r="CV39" s="10"/>
      <c r="CW39" s="10"/>
      <c r="CX39" s="10"/>
      <c r="DB39" s="10"/>
      <c r="DC39" s="10"/>
      <c r="DD39" s="10"/>
      <c r="DE39" s="10"/>
      <c r="DI39" s="10"/>
      <c r="DJ39" s="10"/>
      <c r="DK39" s="10"/>
      <c r="DL39" s="10"/>
      <c r="DP39" s="10"/>
      <c r="DQ39" s="10"/>
      <c r="DR39" s="10"/>
      <c r="DS39" s="10"/>
    </row>
    <row r="40" spans="2:123" outlineLevel="1" x14ac:dyDescent="0.2">
      <c r="B40" t="s">
        <v>28</v>
      </c>
      <c r="C40" t="s">
        <v>91</v>
      </c>
      <c r="E40" s="9"/>
      <c r="F40" t="s">
        <v>145</v>
      </c>
      <c r="G40" s="10">
        <v>0.08</v>
      </c>
      <c r="I40" s="9">
        <f t="shared" si="3"/>
        <v>0</v>
      </c>
      <c r="J40" s="11" cm="1">
        <f t="array" ref="J40">MAX(IF($N$3:$EH$3=$J$3,N40:EH40))</f>
        <v>0</v>
      </c>
      <c r="K40" s="11" cm="1">
        <f t="array" ref="K40">MAX(IF($N$3:$EH$3=$J$3,N40:EH40))</f>
        <v>0</v>
      </c>
      <c r="L40" s="9"/>
      <c r="O40" s="10"/>
      <c r="P40" s="10"/>
      <c r="Q40" s="10"/>
      <c r="R40" s="10"/>
      <c r="V40" s="10"/>
      <c r="W40" s="10">
        <v>0.5</v>
      </c>
      <c r="X40" s="10"/>
      <c r="Y40" s="10">
        <v>0.5</v>
      </c>
      <c r="AC40" s="10"/>
      <c r="AD40" s="10">
        <v>0.5</v>
      </c>
      <c r="AE40" s="10"/>
      <c r="AF40" s="10">
        <v>0.5</v>
      </c>
      <c r="AJ40" s="10"/>
      <c r="AK40" s="10">
        <v>0.5</v>
      </c>
      <c r="AL40" s="10"/>
      <c r="AM40" s="10">
        <v>0.5</v>
      </c>
      <c r="AQ40" s="10"/>
      <c r="AR40" s="10">
        <v>0.8</v>
      </c>
      <c r="AS40" s="10"/>
      <c r="AT40" s="10">
        <v>0.8</v>
      </c>
      <c r="AX40" s="10"/>
      <c r="AY40" s="10">
        <v>0.8</v>
      </c>
      <c r="AZ40" s="10"/>
      <c r="BA40" s="10">
        <v>0.8</v>
      </c>
      <c r="BE40" s="10"/>
      <c r="BF40" s="10">
        <v>0.8</v>
      </c>
      <c r="BG40" s="10"/>
      <c r="BH40" s="10">
        <v>0.8</v>
      </c>
      <c r="BL40" s="10"/>
      <c r="BM40" s="10">
        <v>0.8</v>
      </c>
      <c r="BN40" s="10"/>
      <c r="BO40" s="10">
        <v>0.8</v>
      </c>
      <c r="BS40" s="10"/>
      <c r="BT40" s="10">
        <v>1</v>
      </c>
      <c r="BU40" s="10"/>
      <c r="BV40" s="10">
        <v>1</v>
      </c>
      <c r="BZ40" s="10"/>
      <c r="CA40" s="10">
        <v>1</v>
      </c>
      <c r="CB40" s="10"/>
      <c r="CC40" s="10">
        <v>1</v>
      </c>
      <c r="CG40" s="10"/>
      <c r="CH40" s="10">
        <v>1</v>
      </c>
      <c r="CI40" s="10"/>
      <c r="CJ40" s="10">
        <v>1</v>
      </c>
      <c r="CN40" s="10"/>
      <c r="CO40" s="10">
        <v>1</v>
      </c>
      <c r="CP40" s="10"/>
      <c r="CQ40" s="10">
        <v>1</v>
      </c>
      <c r="CU40" s="10"/>
      <c r="CV40" s="10"/>
      <c r="CW40" s="10"/>
      <c r="CX40" s="10"/>
      <c r="DB40" s="10"/>
      <c r="DC40" s="10"/>
      <c r="DD40" s="10"/>
      <c r="DE40" s="10"/>
      <c r="DI40" s="10"/>
      <c r="DJ40" s="10"/>
      <c r="DK40" s="10"/>
      <c r="DL40" s="10"/>
      <c r="DP40" s="10"/>
      <c r="DQ40" s="10"/>
      <c r="DR40" s="10"/>
      <c r="DS40" s="10"/>
    </row>
    <row r="41" spans="2:123" outlineLevel="1" x14ac:dyDescent="0.2">
      <c r="B41" t="s">
        <v>28</v>
      </c>
      <c r="C41" t="s">
        <v>91</v>
      </c>
      <c r="E41" s="9"/>
      <c r="F41" t="s">
        <v>146</v>
      </c>
      <c r="G41" s="10">
        <v>0.1</v>
      </c>
      <c r="I41" s="9">
        <f t="shared" si="3"/>
        <v>0</v>
      </c>
      <c r="J41" s="11" cm="1">
        <f t="array" ref="J41">MAX(IF($N$3:$EH$3=$J$3,N41:EH41))</f>
        <v>0</v>
      </c>
      <c r="K41" s="11" cm="1">
        <f t="array" ref="K41">MAX(IF($N$3:$EH$3=$J$3,N41:EH41))</f>
        <v>0</v>
      </c>
      <c r="L41" s="9"/>
      <c r="O41" s="10"/>
      <c r="P41" s="10"/>
      <c r="Q41" s="10"/>
      <c r="R41" s="10"/>
      <c r="V41" s="10"/>
      <c r="W41" s="10">
        <v>0.5</v>
      </c>
      <c r="X41" s="10"/>
      <c r="Y41" s="10">
        <v>0.5</v>
      </c>
      <c r="AC41" s="10"/>
      <c r="AD41" s="10">
        <v>0.5</v>
      </c>
      <c r="AE41" s="10"/>
      <c r="AF41" s="10">
        <v>0.5</v>
      </c>
      <c r="AJ41" s="10"/>
      <c r="AK41" s="10">
        <v>0.5</v>
      </c>
      <c r="AL41" s="10"/>
      <c r="AM41" s="10">
        <v>0.5</v>
      </c>
      <c r="AQ41" s="10"/>
      <c r="AR41" s="10">
        <v>0.5</v>
      </c>
      <c r="AS41" s="10"/>
      <c r="AT41" s="10">
        <v>0.5</v>
      </c>
      <c r="AX41" s="10"/>
      <c r="AY41" s="10">
        <v>0.8</v>
      </c>
      <c r="AZ41" s="10"/>
      <c r="BA41" s="10">
        <v>0.8</v>
      </c>
      <c r="BE41" s="10"/>
      <c r="BF41" s="10">
        <v>0.8</v>
      </c>
      <c r="BG41" s="10"/>
      <c r="BH41" s="10">
        <v>0.8</v>
      </c>
      <c r="BL41" s="10"/>
      <c r="BM41" s="10">
        <v>0.8</v>
      </c>
      <c r="BN41" s="10"/>
      <c r="BO41" s="10">
        <v>0.8</v>
      </c>
      <c r="BS41" s="10"/>
      <c r="BT41" s="10">
        <v>0.8</v>
      </c>
      <c r="BU41" s="10"/>
      <c r="BV41" s="10">
        <v>0.8</v>
      </c>
      <c r="BZ41" s="10"/>
      <c r="CA41" s="10">
        <v>1</v>
      </c>
      <c r="CB41" s="10"/>
      <c r="CC41" s="10">
        <v>1</v>
      </c>
      <c r="CG41" s="10"/>
      <c r="CH41" s="10">
        <v>1</v>
      </c>
      <c r="CI41" s="10"/>
      <c r="CJ41" s="10">
        <v>1</v>
      </c>
      <c r="CN41" s="10"/>
      <c r="CO41" s="10">
        <v>1</v>
      </c>
      <c r="CP41" s="10"/>
      <c r="CQ41" s="10">
        <v>1</v>
      </c>
      <c r="CU41" s="10"/>
      <c r="CV41" s="10"/>
      <c r="CW41" s="10"/>
      <c r="CX41" s="10"/>
      <c r="DB41" s="10"/>
      <c r="DC41" s="10"/>
      <c r="DD41" s="10"/>
      <c r="DE41" s="10"/>
      <c r="DI41" s="10"/>
      <c r="DJ41" s="10"/>
      <c r="DK41" s="10"/>
      <c r="DL41" s="10"/>
      <c r="DP41" s="10"/>
      <c r="DQ41" s="10"/>
      <c r="DR41" s="10"/>
      <c r="DS41" s="10"/>
    </row>
    <row r="42" spans="2:123" outlineLevel="1" x14ac:dyDescent="0.2">
      <c r="B42" t="s">
        <v>28</v>
      </c>
      <c r="C42" t="s">
        <v>91</v>
      </c>
      <c r="E42" s="9"/>
      <c r="F42" t="s">
        <v>147</v>
      </c>
      <c r="G42" s="10">
        <v>0.1</v>
      </c>
      <c r="I42" s="9">
        <f t="shared" si="3"/>
        <v>0</v>
      </c>
      <c r="J42" s="11" cm="1">
        <f t="array" ref="J42">MAX(IF($N$3:$EH$3=$J$3,N42:EH42))</f>
        <v>0</v>
      </c>
      <c r="K42" s="11" cm="1">
        <f t="array" ref="K42">MAX(IF($N$3:$EH$3=$J$3,N42:EH42))</f>
        <v>0</v>
      </c>
      <c r="L42" s="9"/>
      <c r="O42" s="10"/>
      <c r="P42" s="10"/>
      <c r="Q42" s="10"/>
      <c r="R42" s="10"/>
      <c r="V42" s="10"/>
      <c r="W42" s="10">
        <v>0.5</v>
      </c>
      <c r="X42" s="10"/>
      <c r="Y42" s="10">
        <v>0.5</v>
      </c>
      <c r="AC42" s="10"/>
      <c r="AD42" s="10">
        <v>0.5</v>
      </c>
      <c r="AE42" s="10"/>
      <c r="AF42" s="10">
        <v>0.5</v>
      </c>
      <c r="AJ42" s="10"/>
      <c r="AK42" s="10">
        <v>0.5</v>
      </c>
      <c r="AL42" s="10"/>
      <c r="AM42" s="10">
        <v>0.5</v>
      </c>
      <c r="AQ42" s="10"/>
      <c r="AR42" s="10">
        <v>0.5</v>
      </c>
      <c r="AS42" s="10"/>
      <c r="AT42" s="10">
        <v>0.5</v>
      </c>
      <c r="AX42" s="10"/>
      <c r="AY42" s="10">
        <v>0.8</v>
      </c>
      <c r="AZ42" s="10"/>
      <c r="BA42" s="10">
        <v>0.8</v>
      </c>
      <c r="BE42" s="10"/>
      <c r="BF42" s="10">
        <v>0.8</v>
      </c>
      <c r="BG42" s="10"/>
      <c r="BH42" s="10">
        <v>0.8</v>
      </c>
      <c r="BL42" s="10"/>
      <c r="BM42" s="10">
        <v>0.8</v>
      </c>
      <c r="BN42" s="10"/>
      <c r="BO42" s="10">
        <v>0.8</v>
      </c>
      <c r="BS42" s="10"/>
      <c r="BT42" s="10">
        <v>0.8</v>
      </c>
      <c r="BU42" s="10"/>
      <c r="BV42" s="10">
        <v>0.8</v>
      </c>
      <c r="BZ42" s="10"/>
      <c r="CA42" s="10">
        <v>1</v>
      </c>
      <c r="CB42" s="10"/>
      <c r="CC42" s="10">
        <v>1</v>
      </c>
      <c r="CG42" s="10"/>
      <c r="CH42" s="10">
        <v>1</v>
      </c>
      <c r="CI42" s="10"/>
      <c r="CJ42" s="10">
        <v>1</v>
      </c>
      <c r="CN42" s="10"/>
      <c r="CO42" s="10">
        <v>1</v>
      </c>
      <c r="CP42" s="10"/>
      <c r="CQ42" s="10">
        <v>1</v>
      </c>
      <c r="CU42" s="10"/>
      <c r="CV42" s="10"/>
      <c r="CW42" s="10"/>
      <c r="CX42" s="10"/>
      <c r="DB42" s="10"/>
      <c r="DC42" s="10"/>
      <c r="DD42" s="10"/>
      <c r="DE42" s="10"/>
      <c r="DI42" s="10"/>
      <c r="DJ42" s="10"/>
      <c r="DK42" s="10"/>
      <c r="DL42" s="10"/>
      <c r="DP42" s="10"/>
      <c r="DQ42" s="10"/>
      <c r="DR42" s="10"/>
      <c r="DS42" s="10"/>
    </row>
    <row r="43" spans="2:123" outlineLevel="1" x14ac:dyDescent="0.2">
      <c r="B43" t="s">
        <v>28</v>
      </c>
      <c r="C43" t="s">
        <v>91</v>
      </c>
      <c r="E43" s="9"/>
      <c r="F43" t="s">
        <v>148</v>
      </c>
      <c r="G43" s="10">
        <v>0.1</v>
      </c>
      <c r="I43" s="9">
        <f t="shared" si="3"/>
        <v>0</v>
      </c>
      <c r="J43" s="11" cm="1">
        <f t="array" ref="J43">MAX(IF($N$3:$EH$3=$J$3,N43:EH43))</f>
        <v>0</v>
      </c>
      <c r="K43" s="11" cm="1">
        <f t="array" ref="K43">MAX(IF($N$3:$EH$3=$J$3,N43:EH43))</f>
        <v>0</v>
      </c>
      <c r="L43" s="9"/>
      <c r="O43" s="10"/>
      <c r="P43" s="10"/>
      <c r="Q43" s="10"/>
      <c r="R43" s="10"/>
      <c r="V43" s="10"/>
      <c r="W43" s="10"/>
      <c r="X43" s="10"/>
      <c r="Y43" s="10"/>
      <c r="AC43" s="10"/>
      <c r="AD43" s="10">
        <v>0.5</v>
      </c>
      <c r="AE43" s="10"/>
      <c r="AF43" s="10">
        <v>0.5</v>
      </c>
      <c r="AJ43" s="10"/>
      <c r="AK43" s="10">
        <v>0.5</v>
      </c>
      <c r="AL43" s="10"/>
      <c r="AM43" s="10">
        <v>0.5</v>
      </c>
      <c r="AQ43" s="10"/>
      <c r="AR43" s="10">
        <v>0.5</v>
      </c>
      <c r="AS43" s="10"/>
      <c r="AT43" s="10">
        <v>0.5</v>
      </c>
      <c r="AX43" s="10"/>
      <c r="AY43" s="10">
        <v>0.5</v>
      </c>
      <c r="AZ43" s="10"/>
      <c r="BA43" s="10">
        <v>0.5</v>
      </c>
      <c r="BE43" s="10"/>
      <c r="BF43" s="10">
        <v>0.8</v>
      </c>
      <c r="BG43" s="10"/>
      <c r="BH43" s="10">
        <v>0.8</v>
      </c>
      <c r="BL43" s="10"/>
      <c r="BM43" s="10">
        <v>0.8</v>
      </c>
      <c r="BN43" s="10"/>
      <c r="BO43" s="10">
        <v>0.8</v>
      </c>
      <c r="BS43" s="10"/>
      <c r="BT43" s="10">
        <v>0.8</v>
      </c>
      <c r="BU43" s="10"/>
      <c r="BV43" s="10">
        <v>0.8</v>
      </c>
      <c r="BZ43" s="10"/>
      <c r="CA43" s="10">
        <v>0.8</v>
      </c>
      <c r="CB43" s="10"/>
      <c r="CC43" s="10">
        <v>0.8</v>
      </c>
      <c r="CG43" s="10"/>
      <c r="CH43" s="10">
        <v>1</v>
      </c>
      <c r="CI43" s="10"/>
      <c r="CJ43" s="10">
        <v>1</v>
      </c>
      <c r="CN43" s="10"/>
      <c r="CO43" s="10">
        <v>1</v>
      </c>
      <c r="CP43" s="10"/>
      <c r="CQ43" s="10">
        <v>1</v>
      </c>
      <c r="CU43" s="10"/>
      <c r="CV43" s="10"/>
      <c r="CW43" s="10"/>
      <c r="CX43" s="10"/>
      <c r="DB43" s="10"/>
      <c r="DC43" s="10"/>
      <c r="DD43" s="10"/>
      <c r="DE43" s="10"/>
      <c r="DI43" s="10"/>
      <c r="DJ43" s="10"/>
      <c r="DK43" s="10"/>
      <c r="DL43" s="10"/>
      <c r="DP43" s="10"/>
      <c r="DQ43" s="10"/>
      <c r="DR43" s="10"/>
      <c r="DS43" s="10"/>
    </row>
    <row r="44" spans="2:123" outlineLevel="1" x14ac:dyDescent="0.2">
      <c r="B44" t="s">
        <v>28</v>
      </c>
      <c r="C44" t="s">
        <v>91</v>
      </c>
      <c r="E44" s="9"/>
      <c r="F44" t="s">
        <v>138</v>
      </c>
      <c r="G44" s="10">
        <v>0.1</v>
      </c>
      <c r="I44" s="9">
        <f t="shared" si="3"/>
        <v>0</v>
      </c>
      <c r="J44" s="11" cm="1">
        <f t="array" ref="J44">MAX(IF($N$3:$EH$3=$J$3,N44:EH44))</f>
        <v>0</v>
      </c>
      <c r="K44" s="11" cm="1">
        <f t="array" ref="K44">MAX(IF($N$3:$EH$3=$J$3,N44:EH44))</f>
        <v>0</v>
      </c>
      <c r="L44" s="9"/>
      <c r="O44" s="10"/>
      <c r="P44" s="10"/>
      <c r="Q44" s="10"/>
      <c r="R44" s="10"/>
      <c r="V44" s="10"/>
      <c r="W44" s="10"/>
      <c r="X44" s="10"/>
      <c r="Y44" s="10"/>
      <c r="AC44" s="10"/>
      <c r="AD44" s="10"/>
      <c r="AE44" s="10"/>
      <c r="AF44" s="10"/>
      <c r="AJ44" s="10"/>
      <c r="AK44" s="10">
        <v>0.5</v>
      </c>
      <c r="AL44" s="10"/>
      <c r="AM44" s="10">
        <v>0.5</v>
      </c>
      <c r="AQ44" s="10"/>
      <c r="AR44" s="10">
        <v>0.5</v>
      </c>
      <c r="AS44" s="10"/>
      <c r="AT44" s="10">
        <v>0.5</v>
      </c>
      <c r="AX44" s="10"/>
      <c r="AY44" s="10">
        <v>0.5</v>
      </c>
      <c r="AZ44" s="10"/>
      <c r="BA44" s="10">
        <v>0.5</v>
      </c>
      <c r="BE44" s="10"/>
      <c r="BF44" s="10">
        <v>0.5</v>
      </c>
      <c r="BG44" s="10"/>
      <c r="BH44" s="10">
        <v>0.5</v>
      </c>
      <c r="BL44" s="10"/>
      <c r="BM44" s="10">
        <v>0.8</v>
      </c>
      <c r="BN44" s="10"/>
      <c r="BO44" s="10">
        <v>0.8</v>
      </c>
      <c r="BS44" s="10"/>
      <c r="BT44" s="10">
        <v>0.8</v>
      </c>
      <c r="BU44" s="10"/>
      <c r="BV44" s="10">
        <v>0.8</v>
      </c>
      <c r="BZ44" s="10"/>
      <c r="CA44" s="10">
        <v>0.8</v>
      </c>
      <c r="CB44" s="10"/>
      <c r="CC44" s="10">
        <v>0.8</v>
      </c>
      <c r="CG44" s="10"/>
      <c r="CH44" s="10">
        <v>1</v>
      </c>
      <c r="CI44" s="10"/>
      <c r="CJ44" s="10">
        <v>1</v>
      </c>
      <c r="CN44" s="10"/>
      <c r="CO44" s="10">
        <v>1</v>
      </c>
      <c r="CP44" s="10"/>
      <c r="CQ44" s="10">
        <v>1</v>
      </c>
      <c r="CU44" s="10"/>
      <c r="CV44" s="10"/>
      <c r="CW44" s="10"/>
      <c r="CX44" s="10"/>
      <c r="DB44" s="10"/>
      <c r="DC44" s="10"/>
      <c r="DD44" s="10"/>
      <c r="DE44" s="10"/>
      <c r="DI44" s="10"/>
      <c r="DJ44" s="10"/>
      <c r="DK44" s="10"/>
      <c r="DL44" s="10"/>
      <c r="DP44" s="10"/>
      <c r="DQ44" s="10"/>
      <c r="DR44" s="10"/>
      <c r="DS44" s="10"/>
    </row>
    <row r="45" spans="2:123" outlineLevel="1" x14ac:dyDescent="0.2">
      <c r="B45" t="s">
        <v>28</v>
      </c>
      <c r="C45" t="s">
        <v>91</v>
      </c>
      <c r="E45" s="9"/>
      <c r="F45" t="s">
        <v>149</v>
      </c>
      <c r="G45" s="10">
        <v>0.1</v>
      </c>
      <c r="I45" s="9">
        <f t="shared" si="3"/>
        <v>0</v>
      </c>
      <c r="J45" s="11" cm="1">
        <f t="array" ref="J45">MAX(IF($N$3:$EH$3=$J$3,N45:EH45))</f>
        <v>0</v>
      </c>
      <c r="K45" s="11" cm="1">
        <f t="array" ref="K45">MAX(IF($N$3:$EH$3=$J$3,N45:EH45))</f>
        <v>0</v>
      </c>
      <c r="L45" s="9"/>
      <c r="O45" s="10"/>
      <c r="P45" s="10"/>
      <c r="Q45" s="10"/>
      <c r="R45" s="10"/>
      <c r="V45" s="10"/>
      <c r="W45" s="10"/>
      <c r="X45" s="10"/>
      <c r="Y45" s="10"/>
      <c r="AC45" s="10"/>
      <c r="AD45" s="10"/>
      <c r="AE45" s="10"/>
      <c r="AF45" s="10"/>
      <c r="AJ45" s="10"/>
      <c r="AK45" s="10">
        <v>0.5</v>
      </c>
      <c r="AL45" s="10"/>
      <c r="AM45" s="10">
        <v>0.5</v>
      </c>
      <c r="AQ45" s="10"/>
      <c r="AR45" s="10">
        <v>0.5</v>
      </c>
      <c r="AS45" s="10"/>
      <c r="AT45" s="10">
        <v>0.5</v>
      </c>
      <c r="AX45" s="10"/>
      <c r="AY45" s="10">
        <v>0.5</v>
      </c>
      <c r="AZ45" s="10"/>
      <c r="BA45" s="10">
        <v>0.5</v>
      </c>
      <c r="BE45" s="10"/>
      <c r="BF45" s="10">
        <v>0.5</v>
      </c>
      <c r="BG45" s="10"/>
      <c r="BH45" s="10">
        <v>0.5</v>
      </c>
      <c r="BL45" s="10"/>
      <c r="BM45" s="10">
        <v>0.8</v>
      </c>
      <c r="BN45" s="10"/>
      <c r="BO45" s="10">
        <v>0.8</v>
      </c>
      <c r="BS45" s="10"/>
      <c r="BT45" s="10">
        <v>0.8</v>
      </c>
      <c r="BU45" s="10"/>
      <c r="BV45" s="10">
        <v>0.8</v>
      </c>
      <c r="BZ45" s="10"/>
      <c r="CA45" s="10">
        <v>0.8</v>
      </c>
      <c r="CB45" s="10"/>
      <c r="CC45" s="10">
        <v>0.8</v>
      </c>
      <c r="CG45" s="10"/>
      <c r="CH45" s="10">
        <v>0.8</v>
      </c>
      <c r="CI45" s="10"/>
      <c r="CJ45" s="10">
        <v>0.8</v>
      </c>
      <c r="CN45" s="10"/>
      <c r="CO45" s="10">
        <v>1</v>
      </c>
      <c r="CP45" s="10"/>
      <c r="CQ45" s="10">
        <v>1</v>
      </c>
      <c r="CU45" s="10"/>
      <c r="CV45" s="10"/>
      <c r="CW45" s="10"/>
      <c r="CX45" s="10"/>
      <c r="DB45" s="10"/>
      <c r="DC45" s="10"/>
      <c r="DD45" s="10"/>
      <c r="DE45" s="10"/>
      <c r="DI45" s="10"/>
      <c r="DJ45" s="10"/>
      <c r="DK45" s="10"/>
      <c r="DL45" s="10"/>
      <c r="DP45" s="10"/>
      <c r="DQ45" s="10"/>
      <c r="DR45" s="10"/>
      <c r="DS45" s="10"/>
    </row>
    <row r="46" spans="2:123" outlineLevel="1" x14ac:dyDescent="0.2">
      <c r="B46" t="s">
        <v>28</v>
      </c>
      <c r="C46" t="s">
        <v>91</v>
      </c>
      <c r="E46" s="9"/>
      <c r="F46" t="s">
        <v>150</v>
      </c>
      <c r="G46" s="10">
        <v>0.1</v>
      </c>
      <c r="I46" s="9">
        <f t="shared" si="3"/>
        <v>0</v>
      </c>
      <c r="J46" s="11" cm="1">
        <f t="array" ref="J46">MAX(IF($N$3:$EH$3=$J$3,N46:EH46))</f>
        <v>0</v>
      </c>
      <c r="K46" s="11" cm="1">
        <f t="array" ref="K46">MAX(IF($N$3:$EH$3=$J$3,N46:EH46))</f>
        <v>0</v>
      </c>
      <c r="L46" s="9"/>
      <c r="O46" s="10"/>
      <c r="P46" s="10"/>
      <c r="Q46" s="10"/>
      <c r="R46" s="10"/>
      <c r="V46" s="10"/>
      <c r="W46" s="10"/>
      <c r="X46" s="10"/>
      <c r="Y46" s="10"/>
      <c r="AC46" s="10"/>
      <c r="AD46" s="10"/>
      <c r="AE46" s="10"/>
      <c r="AF46" s="10"/>
      <c r="AJ46" s="10"/>
      <c r="AK46" s="10"/>
      <c r="AL46" s="10"/>
      <c r="AM46" s="10"/>
      <c r="AQ46" s="10"/>
      <c r="AR46" s="10">
        <v>0.5</v>
      </c>
      <c r="AS46" s="10"/>
      <c r="AT46" s="10">
        <v>0.5</v>
      </c>
      <c r="AX46" s="10"/>
      <c r="AY46" s="10">
        <v>0.5</v>
      </c>
      <c r="AZ46" s="10"/>
      <c r="BA46" s="10">
        <v>0.5</v>
      </c>
      <c r="BE46" s="10"/>
      <c r="BF46" s="10">
        <v>0.5</v>
      </c>
      <c r="BG46" s="10"/>
      <c r="BH46" s="10">
        <v>0.5</v>
      </c>
      <c r="BL46" s="10"/>
      <c r="BM46" s="10">
        <v>0.5</v>
      </c>
      <c r="BN46" s="10"/>
      <c r="BO46" s="10">
        <v>0.5</v>
      </c>
      <c r="BS46" s="10"/>
      <c r="BT46" s="10">
        <v>0.8</v>
      </c>
      <c r="BU46" s="10"/>
      <c r="BV46" s="10">
        <v>0.8</v>
      </c>
      <c r="BZ46" s="10"/>
      <c r="CA46" s="10">
        <v>0.8</v>
      </c>
      <c r="CB46" s="10"/>
      <c r="CC46" s="10">
        <v>0.8</v>
      </c>
      <c r="CG46" s="10"/>
      <c r="CH46" s="10">
        <v>0.8</v>
      </c>
      <c r="CI46" s="10"/>
      <c r="CJ46" s="10">
        <v>0.8</v>
      </c>
      <c r="CN46" s="10"/>
      <c r="CO46" s="10">
        <v>1</v>
      </c>
      <c r="CP46" s="10"/>
      <c r="CQ46" s="10">
        <v>1</v>
      </c>
      <c r="CU46" s="10"/>
      <c r="CV46" s="10"/>
      <c r="CW46" s="10"/>
      <c r="CX46" s="10"/>
      <c r="DB46" s="10"/>
      <c r="DC46" s="10"/>
      <c r="DD46" s="10"/>
      <c r="DE46" s="10"/>
      <c r="DI46" s="10"/>
      <c r="DJ46" s="10"/>
      <c r="DK46" s="10"/>
      <c r="DL46" s="10"/>
      <c r="DP46" s="10"/>
      <c r="DQ46" s="10"/>
      <c r="DR46" s="10"/>
      <c r="DS46" s="10"/>
    </row>
    <row r="47" spans="2:123" outlineLevel="1" x14ac:dyDescent="0.2">
      <c r="B47" t="s">
        <v>28</v>
      </c>
      <c r="C47" t="s">
        <v>91</v>
      </c>
      <c r="E47" s="9"/>
      <c r="F47" t="s">
        <v>151</v>
      </c>
      <c r="G47" s="10">
        <v>0.09</v>
      </c>
      <c r="I47" s="9">
        <f t="shared" si="3"/>
        <v>0</v>
      </c>
      <c r="J47" s="11" cm="1">
        <f t="array" ref="J47">MAX(IF($N$3:$EH$3=$J$3,N47:EH47))</f>
        <v>0</v>
      </c>
      <c r="K47" s="11" cm="1">
        <f t="array" ref="K47">MAX(IF($N$3:$EH$3=$J$3,N47:EH47))</f>
        <v>0</v>
      </c>
      <c r="L47" s="9"/>
      <c r="O47" s="10"/>
      <c r="P47" s="10"/>
      <c r="Q47" s="10"/>
      <c r="R47" s="10"/>
      <c r="V47" s="10"/>
      <c r="W47" s="10"/>
      <c r="X47" s="10"/>
      <c r="Y47" s="10"/>
      <c r="AC47" s="10"/>
      <c r="AD47" s="10"/>
      <c r="AE47" s="10"/>
      <c r="AF47" s="10"/>
      <c r="AJ47" s="10"/>
      <c r="AK47" s="10"/>
      <c r="AL47" s="10"/>
      <c r="AM47" s="10"/>
      <c r="AQ47" s="10"/>
      <c r="AR47" s="10"/>
      <c r="AS47" s="10"/>
      <c r="AT47" s="10"/>
      <c r="AX47" s="10"/>
      <c r="AY47" s="10">
        <v>0.5</v>
      </c>
      <c r="AZ47" s="10"/>
      <c r="BA47" s="10">
        <v>0.5</v>
      </c>
      <c r="BE47" s="10"/>
      <c r="BF47" s="10">
        <v>0.5</v>
      </c>
      <c r="BG47" s="10"/>
      <c r="BH47" s="10">
        <v>0.5</v>
      </c>
      <c r="BL47" s="10"/>
      <c r="BM47" s="10">
        <v>0.5</v>
      </c>
      <c r="BN47" s="10"/>
      <c r="BO47" s="10">
        <v>0.5</v>
      </c>
      <c r="BS47" s="10"/>
      <c r="BT47" s="10">
        <v>0.5</v>
      </c>
      <c r="BU47" s="10"/>
      <c r="BV47" s="10">
        <v>0.5</v>
      </c>
      <c r="BZ47" s="10"/>
      <c r="CA47" s="10">
        <v>0.8</v>
      </c>
      <c r="CB47" s="10"/>
      <c r="CC47" s="10">
        <v>0.8</v>
      </c>
      <c r="CG47" s="10"/>
      <c r="CH47" s="10">
        <v>0.8</v>
      </c>
      <c r="CI47" s="10"/>
      <c r="CJ47" s="10">
        <v>0.8</v>
      </c>
      <c r="CN47" s="10"/>
      <c r="CO47" s="10">
        <v>1</v>
      </c>
      <c r="CP47" s="10"/>
      <c r="CQ47" s="10">
        <v>1</v>
      </c>
      <c r="CU47" s="10"/>
      <c r="CV47" s="10"/>
      <c r="CW47" s="10"/>
      <c r="CX47" s="10"/>
      <c r="DB47" s="10"/>
      <c r="DC47" s="10"/>
      <c r="DD47" s="10"/>
      <c r="DE47" s="10"/>
      <c r="DI47" s="10"/>
      <c r="DJ47" s="10"/>
      <c r="DK47" s="10"/>
      <c r="DL47" s="10"/>
      <c r="DP47" s="10"/>
      <c r="DQ47" s="10"/>
      <c r="DR47" s="10"/>
      <c r="DS47" s="10"/>
    </row>
    <row r="48" spans="2:123" outlineLevel="1" x14ac:dyDescent="0.2">
      <c r="E48" s="9"/>
      <c r="G48" s="10"/>
      <c r="I48" s="9"/>
      <c r="J48" s="11"/>
      <c r="K48" s="11"/>
      <c r="L48" s="9"/>
      <c r="O48" s="10"/>
      <c r="P48" s="10"/>
      <c r="Q48" s="10"/>
      <c r="R48" s="10"/>
      <c r="V48" s="10"/>
      <c r="W48" s="10"/>
      <c r="X48" s="10"/>
      <c r="Y48" s="10"/>
      <c r="AC48" s="10"/>
      <c r="AD48" s="10"/>
      <c r="AE48" s="10"/>
      <c r="AF48" s="10"/>
      <c r="AJ48" s="10"/>
      <c r="AK48" s="10"/>
      <c r="AL48" s="10"/>
      <c r="AM48" s="10"/>
      <c r="AQ48" s="10"/>
      <c r="AR48" s="10"/>
      <c r="AS48" s="10"/>
      <c r="AT48" s="10"/>
      <c r="AX48" s="10"/>
      <c r="AY48" s="10"/>
      <c r="AZ48" s="10"/>
      <c r="BA48" s="10"/>
      <c r="BE48" s="10"/>
      <c r="BF48" s="10"/>
      <c r="BG48" s="10"/>
      <c r="BH48" s="10"/>
      <c r="BL48" s="10"/>
      <c r="BM48" s="10"/>
      <c r="BN48" s="10"/>
      <c r="BO48" s="10"/>
      <c r="BS48" s="10"/>
      <c r="BT48" s="10"/>
      <c r="BU48" s="10"/>
      <c r="BV48" s="10"/>
      <c r="BZ48" s="10"/>
      <c r="CA48" s="10"/>
      <c r="CB48" s="10"/>
      <c r="CC48" s="10"/>
      <c r="CG48" s="10"/>
      <c r="CH48" s="10"/>
      <c r="CI48" s="10"/>
      <c r="CJ48" s="10"/>
      <c r="CN48" s="10"/>
      <c r="CO48" s="10"/>
      <c r="CP48" s="10"/>
      <c r="CQ48" s="10"/>
      <c r="CU48" s="10"/>
      <c r="CV48" s="10"/>
      <c r="CW48" s="10"/>
      <c r="CX48" s="10"/>
      <c r="DB48" s="10"/>
      <c r="DC48" s="10"/>
      <c r="DD48" s="10"/>
      <c r="DE48" s="10"/>
      <c r="DI48" s="10"/>
      <c r="DJ48" s="10"/>
      <c r="DK48" s="10"/>
      <c r="DL48" s="10"/>
      <c r="DP48" s="10"/>
      <c r="DQ48" s="10"/>
      <c r="DR48" s="10"/>
      <c r="DS48" s="10"/>
    </row>
    <row r="49" spans="2:123" x14ac:dyDescent="0.2">
      <c r="B49" t="s">
        <v>27</v>
      </c>
      <c r="C49" t="s">
        <v>92</v>
      </c>
      <c r="D49" s="19">
        <v>46070</v>
      </c>
      <c r="E49" s="9">
        <v>6</v>
      </c>
      <c r="G49" s="10">
        <f>+SUM(G50:G59)</f>
        <v>0.99999999999999989</v>
      </c>
      <c r="I49" s="12">
        <f>+SUM(I50:I59)</f>
        <v>0</v>
      </c>
      <c r="J49" s="11">
        <f>+SUMPRODUCT(G50:G59,J50:J59)</f>
        <v>0</v>
      </c>
      <c r="K49" s="11">
        <f>+SUMPRODUCT(G50:G59,K50:K59)</f>
        <v>0</v>
      </c>
      <c r="L49" s="9"/>
      <c r="N49" s="12">
        <f>+SUM(N50:N59)</f>
        <v>0</v>
      </c>
      <c r="U49" s="12">
        <f>+SUM(U50:U59)</f>
        <v>0</v>
      </c>
      <c r="AB49" s="12">
        <f>+SUM(AB50:AB59)</f>
        <v>0</v>
      </c>
      <c r="AI49" s="12">
        <f>+SUM(AI50:AI59)</f>
        <v>0</v>
      </c>
      <c r="AP49" s="12">
        <f>+SUM(AP50:AP59)</f>
        <v>0</v>
      </c>
    </row>
    <row r="50" spans="2:123" outlineLevel="1" x14ac:dyDescent="0.2">
      <c r="B50" t="s">
        <v>28</v>
      </c>
      <c r="C50" t="s">
        <v>92</v>
      </c>
      <c r="E50" s="9"/>
      <c r="F50" t="s">
        <v>152</v>
      </c>
      <c r="G50" s="10">
        <v>0.1</v>
      </c>
      <c r="I50" s="9">
        <f t="shared" si="3"/>
        <v>0</v>
      </c>
      <c r="J50" s="11" cm="1">
        <f t="array" ref="J50">MAX(IF($N$3:$EH$3=$J$3,N50:EH50))</f>
        <v>0</v>
      </c>
      <c r="K50" s="11" cm="1">
        <f t="array" ref="K50">MAX(IF($N$3:$EH$3=$J$3,N50:EH50))</f>
        <v>0</v>
      </c>
      <c r="L50" s="9"/>
      <c r="O50" s="10"/>
      <c r="P50" s="10">
        <v>0.5</v>
      </c>
      <c r="Q50" s="10"/>
      <c r="R50" s="10">
        <v>0.5</v>
      </c>
      <c r="V50" s="10"/>
      <c r="W50" s="10">
        <v>0.5</v>
      </c>
      <c r="X50" s="10"/>
      <c r="Y50" s="10">
        <v>0.5</v>
      </c>
      <c r="AC50" s="10"/>
      <c r="AD50" s="10">
        <v>0.8</v>
      </c>
      <c r="AE50" s="10"/>
      <c r="AF50" s="10">
        <v>0.8</v>
      </c>
      <c r="AJ50" s="10"/>
      <c r="AK50" s="10">
        <v>0.8</v>
      </c>
      <c r="AL50" s="10"/>
      <c r="AM50" s="10">
        <v>0.8</v>
      </c>
      <c r="AQ50" s="10"/>
      <c r="AR50" s="10">
        <v>0.8</v>
      </c>
      <c r="AS50" s="10"/>
      <c r="AT50" s="10">
        <v>0.8</v>
      </c>
      <c r="AX50" s="10"/>
      <c r="AY50" s="10">
        <v>0.8</v>
      </c>
      <c r="AZ50" s="10"/>
      <c r="BA50" s="10">
        <v>0.8</v>
      </c>
      <c r="BE50" s="10"/>
      <c r="BF50" s="10">
        <v>1</v>
      </c>
      <c r="BG50" s="10"/>
      <c r="BH50" s="10">
        <v>1</v>
      </c>
      <c r="BL50" s="10"/>
      <c r="BM50" s="10">
        <v>1</v>
      </c>
      <c r="BN50" s="10"/>
      <c r="BO50" s="10">
        <v>1</v>
      </c>
      <c r="BS50" s="10"/>
      <c r="BT50" s="10">
        <v>1</v>
      </c>
      <c r="BU50" s="10"/>
      <c r="BV50" s="10">
        <v>1</v>
      </c>
      <c r="BZ50" s="10"/>
      <c r="CA50" s="10">
        <v>1</v>
      </c>
      <c r="CB50" s="10"/>
      <c r="CC50" s="10">
        <v>1</v>
      </c>
      <c r="CG50" s="10"/>
      <c r="CH50" s="10">
        <v>1</v>
      </c>
      <c r="CI50" s="10"/>
      <c r="CJ50" s="10">
        <v>1</v>
      </c>
      <c r="CN50" s="10"/>
      <c r="CO50" s="10">
        <v>1</v>
      </c>
      <c r="CP50" s="10"/>
      <c r="CQ50" s="10">
        <v>1</v>
      </c>
      <c r="CU50" s="10"/>
      <c r="CV50" s="10"/>
      <c r="CW50" s="10"/>
      <c r="CX50" s="10"/>
      <c r="DB50" s="10"/>
      <c r="DC50" s="10"/>
      <c r="DD50" s="10"/>
      <c r="DE50" s="10"/>
      <c r="DI50" s="10"/>
      <c r="DJ50" s="10"/>
      <c r="DK50" s="10"/>
      <c r="DL50" s="10"/>
      <c r="DP50" s="10"/>
      <c r="DQ50" s="10"/>
      <c r="DR50" s="10"/>
      <c r="DS50" s="10"/>
    </row>
    <row r="51" spans="2:123" outlineLevel="1" x14ac:dyDescent="0.2">
      <c r="B51" t="s">
        <v>28</v>
      </c>
      <c r="C51" t="s">
        <v>92</v>
      </c>
      <c r="E51" s="9"/>
      <c r="F51" t="s">
        <v>153</v>
      </c>
      <c r="G51" s="10">
        <v>0.1</v>
      </c>
      <c r="I51" s="9">
        <f t="shared" si="3"/>
        <v>0</v>
      </c>
      <c r="J51" s="11" cm="1">
        <f t="array" ref="J51">MAX(IF($N$3:$EH$3=$J$3,N51:EH51))</f>
        <v>0</v>
      </c>
      <c r="K51" s="11" cm="1">
        <f t="array" ref="K51">MAX(IF($N$3:$EH$3=$J$3,N51:EH51))</f>
        <v>0</v>
      </c>
      <c r="L51" s="9"/>
      <c r="O51" s="10"/>
      <c r="P51" s="10">
        <v>0.5</v>
      </c>
      <c r="Q51" s="10"/>
      <c r="R51" s="10">
        <v>0.5</v>
      </c>
      <c r="V51" s="10"/>
      <c r="W51" s="10">
        <v>0.5</v>
      </c>
      <c r="X51" s="10"/>
      <c r="Y51" s="10">
        <v>0.5</v>
      </c>
      <c r="AC51" s="10"/>
      <c r="AD51" s="10">
        <v>0.5</v>
      </c>
      <c r="AE51" s="10"/>
      <c r="AF51" s="10">
        <v>0.5</v>
      </c>
      <c r="AJ51" s="10"/>
      <c r="AK51" s="10">
        <v>0.8</v>
      </c>
      <c r="AL51" s="10"/>
      <c r="AM51" s="10">
        <v>0.8</v>
      </c>
      <c r="AQ51" s="10"/>
      <c r="AR51" s="10">
        <v>0.8</v>
      </c>
      <c r="AS51" s="10"/>
      <c r="AT51" s="10">
        <v>0.8</v>
      </c>
      <c r="AX51" s="10"/>
      <c r="AY51" s="10">
        <v>0.8</v>
      </c>
      <c r="AZ51" s="10"/>
      <c r="BA51" s="10">
        <v>0.8</v>
      </c>
      <c r="BE51" s="10"/>
      <c r="BF51" s="10">
        <v>0.8</v>
      </c>
      <c r="BG51" s="10"/>
      <c r="BH51" s="10">
        <v>0.8</v>
      </c>
      <c r="BL51" s="10"/>
      <c r="BM51" s="10">
        <v>1</v>
      </c>
      <c r="BN51" s="10"/>
      <c r="BO51" s="10">
        <v>1</v>
      </c>
      <c r="BS51" s="10"/>
      <c r="BT51" s="10">
        <v>1</v>
      </c>
      <c r="BU51" s="10"/>
      <c r="BV51" s="10">
        <v>1</v>
      </c>
      <c r="BZ51" s="10"/>
      <c r="CA51" s="10">
        <v>1</v>
      </c>
      <c r="CB51" s="10"/>
      <c r="CC51" s="10">
        <v>1</v>
      </c>
      <c r="CG51" s="10"/>
      <c r="CH51" s="10">
        <v>1</v>
      </c>
      <c r="CI51" s="10"/>
      <c r="CJ51" s="10">
        <v>1</v>
      </c>
      <c r="CN51" s="10"/>
      <c r="CO51" s="10">
        <v>1</v>
      </c>
      <c r="CP51" s="10"/>
      <c r="CQ51" s="10">
        <v>1</v>
      </c>
      <c r="CU51" s="10"/>
      <c r="CV51" s="10"/>
      <c r="CW51" s="10"/>
      <c r="CX51" s="10"/>
      <c r="DB51" s="10"/>
      <c r="DC51" s="10"/>
      <c r="DD51" s="10"/>
      <c r="DE51" s="10"/>
      <c r="DI51" s="10"/>
      <c r="DJ51" s="10"/>
      <c r="DK51" s="10"/>
      <c r="DL51" s="10"/>
      <c r="DP51" s="10"/>
      <c r="DQ51" s="10"/>
      <c r="DR51" s="10"/>
      <c r="DS51" s="10"/>
    </row>
    <row r="52" spans="2:123" outlineLevel="1" x14ac:dyDescent="0.2">
      <c r="B52" t="s">
        <v>28</v>
      </c>
      <c r="C52" t="s">
        <v>92</v>
      </c>
      <c r="E52" s="9"/>
      <c r="F52" t="s">
        <v>154</v>
      </c>
      <c r="G52" s="10">
        <v>0.1</v>
      </c>
      <c r="I52" s="9">
        <f t="shared" si="3"/>
        <v>0</v>
      </c>
      <c r="J52" s="11" cm="1">
        <f t="array" ref="J52">MAX(IF($N$3:$EH$3=$J$3,N52:EH52))</f>
        <v>0</v>
      </c>
      <c r="K52" s="11" cm="1">
        <f t="array" ref="K52">MAX(IF($N$3:$EH$3=$J$3,N52:EH52))</f>
        <v>0</v>
      </c>
      <c r="L52" s="9"/>
      <c r="O52" s="10"/>
      <c r="P52" s="10"/>
      <c r="Q52" s="10"/>
      <c r="R52" s="10"/>
      <c r="V52" s="10"/>
      <c r="W52" s="10">
        <v>0.5</v>
      </c>
      <c r="X52" s="10"/>
      <c r="Y52" s="10">
        <v>0.5</v>
      </c>
      <c r="AC52" s="10"/>
      <c r="AD52" s="10">
        <v>0.5</v>
      </c>
      <c r="AE52" s="10"/>
      <c r="AF52" s="10">
        <v>0.5</v>
      </c>
      <c r="AJ52" s="10"/>
      <c r="AK52" s="10">
        <v>0.5</v>
      </c>
      <c r="AL52" s="10"/>
      <c r="AM52" s="10">
        <v>0.5</v>
      </c>
      <c r="AQ52" s="10"/>
      <c r="AR52" s="10">
        <v>0.8</v>
      </c>
      <c r="AS52" s="10"/>
      <c r="AT52" s="10">
        <v>0.8</v>
      </c>
      <c r="AX52" s="10"/>
      <c r="AY52" s="10">
        <v>0.8</v>
      </c>
      <c r="AZ52" s="10"/>
      <c r="BA52" s="10">
        <v>0.8</v>
      </c>
      <c r="BE52" s="10"/>
      <c r="BF52" s="10">
        <v>0.8</v>
      </c>
      <c r="BG52" s="10"/>
      <c r="BH52" s="10">
        <v>0.8</v>
      </c>
      <c r="BL52" s="10"/>
      <c r="BM52" s="10">
        <v>0.8</v>
      </c>
      <c r="BN52" s="10"/>
      <c r="BO52" s="10">
        <v>0.8</v>
      </c>
      <c r="BS52" s="10"/>
      <c r="BT52" s="10">
        <v>1</v>
      </c>
      <c r="BU52" s="10"/>
      <c r="BV52" s="10">
        <v>1</v>
      </c>
      <c r="BZ52" s="10"/>
      <c r="CA52" s="10">
        <v>1</v>
      </c>
      <c r="CB52" s="10"/>
      <c r="CC52" s="10">
        <v>1</v>
      </c>
      <c r="CG52" s="10"/>
      <c r="CH52" s="10">
        <v>1</v>
      </c>
      <c r="CI52" s="10"/>
      <c r="CJ52" s="10">
        <v>1</v>
      </c>
      <c r="CN52" s="10"/>
      <c r="CO52" s="10">
        <v>1</v>
      </c>
      <c r="CP52" s="10"/>
      <c r="CQ52" s="10">
        <v>1</v>
      </c>
      <c r="CU52" s="10"/>
      <c r="CV52" s="10"/>
      <c r="CW52" s="10"/>
      <c r="CX52" s="10"/>
      <c r="DB52" s="10"/>
      <c r="DC52" s="10"/>
      <c r="DD52" s="10"/>
      <c r="DE52" s="10"/>
      <c r="DI52" s="10"/>
      <c r="DJ52" s="10"/>
      <c r="DK52" s="10"/>
      <c r="DL52" s="10"/>
      <c r="DP52" s="10"/>
      <c r="DQ52" s="10"/>
      <c r="DR52" s="10"/>
      <c r="DS52" s="10"/>
    </row>
    <row r="53" spans="2:123" outlineLevel="1" x14ac:dyDescent="0.2">
      <c r="B53" t="s">
        <v>28</v>
      </c>
      <c r="C53" t="s">
        <v>92</v>
      </c>
      <c r="E53" s="9"/>
      <c r="F53" t="s">
        <v>155</v>
      </c>
      <c r="G53" s="10">
        <v>0.1</v>
      </c>
      <c r="I53" s="9">
        <f t="shared" si="3"/>
        <v>0</v>
      </c>
      <c r="J53" s="11" cm="1">
        <f t="array" ref="J53">MAX(IF($N$3:$EH$3=$J$3,N53:EH53))</f>
        <v>0</v>
      </c>
      <c r="K53" s="11" cm="1">
        <f t="array" ref="K53">MAX(IF($N$3:$EH$3=$J$3,N53:EH53))</f>
        <v>0</v>
      </c>
      <c r="L53" s="9"/>
      <c r="O53" s="10"/>
      <c r="P53" s="10"/>
      <c r="Q53" s="10"/>
      <c r="R53" s="10"/>
      <c r="V53" s="10"/>
      <c r="W53" s="10">
        <v>0.5</v>
      </c>
      <c r="X53" s="10"/>
      <c r="Y53" s="10">
        <v>0.5</v>
      </c>
      <c r="AC53" s="10"/>
      <c r="AD53" s="10">
        <v>0.5</v>
      </c>
      <c r="AE53" s="10"/>
      <c r="AF53" s="10">
        <v>0.5</v>
      </c>
      <c r="AJ53" s="10"/>
      <c r="AK53" s="10">
        <v>0.5</v>
      </c>
      <c r="AL53" s="10"/>
      <c r="AM53" s="10">
        <v>0.5</v>
      </c>
      <c r="AQ53" s="10"/>
      <c r="AR53" s="10">
        <v>0.8</v>
      </c>
      <c r="AS53" s="10"/>
      <c r="AT53" s="10">
        <v>0.8</v>
      </c>
      <c r="AX53" s="10"/>
      <c r="AY53" s="10">
        <v>0.8</v>
      </c>
      <c r="AZ53" s="10"/>
      <c r="BA53" s="10">
        <v>0.8</v>
      </c>
      <c r="BE53" s="10"/>
      <c r="BF53" s="10">
        <v>0.8</v>
      </c>
      <c r="BG53" s="10"/>
      <c r="BH53" s="10">
        <v>0.8</v>
      </c>
      <c r="BL53" s="10"/>
      <c r="BM53" s="10">
        <v>0.8</v>
      </c>
      <c r="BN53" s="10"/>
      <c r="BO53" s="10">
        <v>0.8</v>
      </c>
      <c r="BS53" s="10"/>
      <c r="BT53" s="10">
        <v>0.8</v>
      </c>
      <c r="BU53" s="10"/>
      <c r="BV53" s="10">
        <v>0.8</v>
      </c>
      <c r="BZ53" s="10"/>
      <c r="CA53" s="10">
        <v>1</v>
      </c>
      <c r="CB53" s="10"/>
      <c r="CC53" s="10">
        <v>1</v>
      </c>
      <c r="CG53" s="10"/>
      <c r="CH53" s="10">
        <v>1</v>
      </c>
      <c r="CI53" s="10"/>
      <c r="CJ53" s="10">
        <v>1</v>
      </c>
      <c r="CN53" s="10"/>
      <c r="CO53" s="10">
        <v>1</v>
      </c>
      <c r="CP53" s="10"/>
      <c r="CQ53" s="10">
        <v>1</v>
      </c>
      <c r="CU53" s="10"/>
      <c r="CV53" s="10"/>
      <c r="CW53" s="10"/>
      <c r="CX53" s="10"/>
      <c r="DB53" s="10"/>
      <c r="DC53" s="10"/>
      <c r="DD53" s="10"/>
      <c r="DE53" s="10"/>
      <c r="DI53" s="10"/>
      <c r="DJ53" s="10"/>
      <c r="DK53" s="10"/>
      <c r="DL53" s="10"/>
      <c r="DP53" s="10"/>
      <c r="DQ53" s="10"/>
      <c r="DR53" s="10"/>
      <c r="DS53" s="10"/>
    </row>
    <row r="54" spans="2:123" outlineLevel="1" x14ac:dyDescent="0.2">
      <c r="B54" t="s">
        <v>28</v>
      </c>
      <c r="C54" t="s">
        <v>92</v>
      </c>
      <c r="E54" s="9"/>
      <c r="F54" t="s">
        <v>156</v>
      </c>
      <c r="G54" s="10">
        <v>0.1</v>
      </c>
      <c r="I54" s="9">
        <f t="shared" si="3"/>
        <v>0</v>
      </c>
      <c r="J54" s="11" cm="1">
        <f t="array" ref="J54">MAX(IF($N$3:$EH$3=$J$3,N54:EH54))</f>
        <v>0</v>
      </c>
      <c r="K54" s="11" cm="1">
        <f t="array" ref="K54">MAX(IF($N$3:$EH$3=$J$3,N54:EH54))</f>
        <v>0</v>
      </c>
      <c r="L54" s="9"/>
      <c r="O54" s="10"/>
      <c r="P54" s="10"/>
      <c r="Q54" s="10"/>
      <c r="R54" s="10"/>
      <c r="V54" s="10"/>
      <c r="W54" s="10">
        <v>0.5</v>
      </c>
      <c r="X54" s="10"/>
      <c r="Y54" s="10">
        <v>0.5</v>
      </c>
      <c r="AC54" s="10"/>
      <c r="AD54" s="10">
        <v>0.5</v>
      </c>
      <c r="AE54" s="10"/>
      <c r="AF54" s="10">
        <v>0.5</v>
      </c>
      <c r="AJ54" s="10"/>
      <c r="AK54" s="10">
        <v>0.5</v>
      </c>
      <c r="AL54" s="10"/>
      <c r="AM54" s="10">
        <v>0.5</v>
      </c>
      <c r="AQ54" s="10"/>
      <c r="AR54" s="10">
        <v>0.5</v>
      </c>
      <c r="AS54" s="10"/>
      <c r="AT54" s="10">
        <v>0.5</v>
      </c>
      <c r="AX54" s="10"/>
      <c r="AY54" s="10">
        <v>0.8</v>
      </c>
      <c r="AZ54" s="10"/>
      <c r="BA54" s="10">
        <v>0.8</v>
      </c>
      <c r="BE54" s="10"/>
      <c r="BF54" s="10">
        <v>0.8</v>
      </c>
      <c r="BG54" s="10"/>
      <c r="BH54" s="10">
        <v>0.8</v>
      </c>
      <c r="BL54" s="10"/>
      <c r="BM54" s="10">
        <v>0.8</v>
      </c>
      <c r="BN54" s="10"/>
      <c r="BO54" s="10">
        <v>0.8</v>
      </c>
      <c r="BS54" s="10"/>
      <c r="BT54" s="10">
        <v>0.8</v>
      </c>
      <c r="BU54" s="10"/>
      <c r="BV54" s="10">
        <v>0.8</v>
      </c>
      <c r="BZ54" s="10"/>
      <c r="CA54" s="10">
        <v>1</v>
      </c>
      <c r="CB54" s="10"/>
      <c r="CC54" s="10">
        <v>1</v>
      </c>
      <c r="CG54" s="10"/>
      <c r="CH54" s="10">
        <v>1</v>
      </c>
      <c r="CI54" s="10"/>
      <c r="CJ54" s="10">
        <v>1</v>
      </c>
      <c r="CN54" s="10"/>
      <c r="CO54" s="10">
        <v>1</v>
      </c>
      <c r="CP54" s="10"/>
      <c r="CQ54" s="10">
        <v>1</v>
      </c>
      <c r="CU54" s="10"/>
      <c r="CV54" s="10"/>
      <c r="CW54" s="10"/>
      <c r="CX54" s="10"/>
      <c r="DB54" s="10"/>
      <c r="DC54" s="10"/>
      <c r="DD54" s="10"/>
      <c r="DE54" s="10"/>
      <c r="DI54" s="10"/>
      <c r="DJ54" s="10"/>
      <c r="DK54" s="10"/>
      <c r="DL54" s="10"/>
      <c r="DP54" s="10"/>
      <c r="DQ54" s="10"/>
      <c r="DR54" s="10"/>
      <c r="DS54" s="10"/>
    </row>
    <row r="55" spans="2:123" outlineLevel="1" x14ac:dyDescent="0.2">
      <c r="B55" t="s">
        <v>28</v>
      </c>
      <c r="C55" t="s">
        <v>92</v>
      </c>
      <c r="E55" s="9"/>
      <c r="F55" t="s">
        <v>157</v>
      </c>
      <c r="G55" s="10">
        <v>0.1</v>
      </c>
      <c r="I55" s="9">
        <f t="shared" si="3"/>
        <v>0</v>
      </c>
      <c r="J55" s="11" cm="1">
        <f t="array" ref="J55">MAX(IF($N$3:$EH$3=$J$3,N55:EH55))</f>
        <v>0</v>
      </c>
      <c r="K55" s="11" cm="1">
        <f t="array" ref="K55">MAX(IF($N$3:$EH$3=$J$3,N55:EH55))</f>
        <v>0</v>
      </c>
      <c r="L55" s="9"/>
      <c r="O55" s="10"/>
      <c r="P55" s="10"/>
      <c r="Q55" s="10"/>
      <c r="R55" s="10"/>
      <c r="V55" s="10"/>
      <c r="W55" s="10"/>
      <c r="X55" s="10"/>
      <c r="Y55" s="10"/>
      <c r="AC55" s="10"/>
      <c r="AD55" s="10">
        <v>0.5</v>
      </c>
      <c r="AE55" s="10"/>
      <c r="AF55" s="10">
        <v>0.5</v>
      </c>
      <c r="AJ55" s="10"/>
      <c r="AK55" s="10">
        <v>0.5</v>
      </c>
      <c r="AL55" s="10"/>
      <c r="AM55" s="10">
        <v>0.5</v>
      </c>
      <c r="AQ55" s="10"/>
      <c r="AR55" s="10">
        <v>0.5</v>
      </c>
      <c r="AS55" s="10"/>
      <c r="AT55" s="10">
        <v>0.5</v>
      </c>
      <c r="AX55" s="10"/>
      <c r="AY55" s="10">
        <v>0.5</v>
      </c>
      <c r="AZ55" s="10"/>
      <c r="BA55" s="10">
        <v>0.5</v>
      </c>
      <c r="BE55" s="10"/>
      <c r="BF55" s="10">
        <v>0.8</v>
      </c>
      <c r="BG55" s="10"/>
      <c r="BH55" s="10">
        <v>0.8</v>
      </c>
      <c r="BL55" s="10"/>
      <c r="BM55" s="10">
        <v>0.8</v>
      </c>
      <c r="BN55" s="10"/>
      <c r="BO55" s="10">
        <v>0.8</v>
      </c>
      <c r="BS55" s="10"/>
      <c r="BT55" s="10">
        <v>0.8</v>
      </c>
      <c r="BU55" s="10"/>
      <c r="BV55" s="10">
        <v>0.8</v>
      </c>
      <c r="BZ55" s="10"/>
      <c r="CA55" s="10">
        <v>0.8</v>
      </c>
      <c r="CB55" s="10"/>
      <c r="CC55" s="10">
        <v>0.8</v>
      </c>
      <c r="CG55" s="10"/>
      <c r="CH55" s="10">
        <v>1</v>
      </c>
      <c r="CI55" s="10"/>
      <c r="CJ55" s="10">
        <v>1</v>
      </c>
      <c r="CN55" s="10"/>
      <c r="CO55" s="10">
        <v>1</v>
      </c>
      <c r="CP55" s="10"/>
      <c r="CQ55" s="10">
        <v>1</v>
      </c>
      <c r="CU55" s="10"/>
      <c r="CV55" s="10"/>
      <c r="CW55" s="10"/>
      <c r="CX55" s="10"/>
      <c r="DB55" s="10"/>
      <c r="DC55" s="10"/>
      <c r="DD55" s="10"/>
      <c r="DE55" s="10"/>
      <c r="DI55" s="10"/>
      <c r="DJ55" s="10"/>
      <c r="DK55" s="10"/>
      <c r="DL55" s="10"/>
      <c r="DP55" s="10"/>
      <c r="DQ55" s="10"/>
      <c r="DR55" s="10"/>
      <c r="DS55" s="10"/>
    </row>
    <row r="56" spans="2:123" outlineLevel="1" x14ac:dyDescent="0.2">
      <c r="B56" t="s">
        <v>28</v>
      </c>
      <c r="C56" t="s">
        <v>92</v>
      </c>
      <c r="E56" s="9"/>
      <c r="F56" t="s">
        <v>158</v>
      </c>
      <c r="G56" s="10">
        <v>0.1</v>
      </c>
      <c r="I56" s="9">
        <f t="shared" si="3"/>
        <v>0</v>
      </c>
      <c r="J56" s="11" cm="1">
        <f t="array" ref="J56">MAX(IF($N$3:$EH$3=$J$3,N56:EH56))</f>
        <v>0</v>
      </c>
      <c r="K56" s="11" cm="1">
        <f t="array" ref="K56">MAX(IF($N$3:$EH$3=$J$3,N56:EH56))</f>
        <v>0</v>
      </c>
      <c r="L56" s="9"/>
      <c r="O56" s="10"/>
      <c r="P56" s="10"/>
      <c r="Q56" s="10"/>
      <c r="R56" s="10"/>
      <c r="V56" s="10"/>
      <c r="W56" s="10"/>
      <c r="X56" s="10"/>
      <c r="Y56" s="10"/>
      <c r="AC56" s="10"/>
      <c r="AD56" s="10"/>
      <c r="AE56" s="10"/>
      <c r="AF56" s="10"/>
      <c r="AJ56" s="10"/>
      <c r="AK56" s="10">
        <v>0.5</v>
      </c>
      <c r="AL56" s="10"/>
      <c r="AM56" s="10">
        <v>0.5</v>
      </c>
      <c r="AQ56" s="10"/>
      <c r="AR56" s="10">
        <v>0.5</v>
      </c>
      <c r="AS56" s="10"/>
      <c r="AT56" s="10">
        <v>0.5</v>
      </c>
      <c r="AX56" s="10"/>
      <c r="AY56" s="10">
        <v>0.5</v>
      </c>
      <c r="AZ56" s="10"/>
      <c r="BA56" s="10">
        <v>0.5</v>
      </c>
      <c r="BE56" s="10"/>
      <c r="BF56" s="10">
        <v>0.5</v>
      </c>
      <c r="BG56" s="10"/>
      <c r="BH56" s="10">
        <v>0.5</v>
      </c>
      <c r="BL56" s="10"/>
      <c r="BM56" s="10">
        <v>0.8</v>
      </c>
      <c r="BN56" s="10"/>
      <c r="BO56" s="10">
        <v>0.8</v>
      </c>
      <c r="BS56" s="10"/>
      <c r="BT56" s="10">
        <v>0.8</v>
      </c>
      <c r="BU56" s="10"/>
      <c r="BV56" s="10">
        <v>0.8</v>
      </c>
      <c r="BZ56" s="10"/>
      <c r="CA56" s="10">
        <v>0.8</v>
      </c>
      <c r="CB56" s="10"/>
      <c r="CC56" s="10">
        <v>0.8</v>
      </c>
      <c r="CG56" s="10"/>
      <c r="CH56" s="10">
        <v>1</v>
      </c>
      <c r="CI56" s="10"/>
      <c r="CJ56" s="10">
        <v>1</v>
      </c>
      <c r="CN56" s="10"/>
      <c r="CO56" s="10">
        <v>1</v>
      </c>
      <c r="CP56" s="10"/>
      <c r="CQ56" s="10">
        <v>1</v>
      </c>
      <c r="CU56" s="10"/>
      <c r="CV56" s="10"/>
      <c r="CW56" s="10"/>
      <c r="CX56" s="10"/>
      <c r="DB56" s="10"/>
      <c r="DC56" s="10"/>
      <c r="DD56" s="10"/>
      <c r="DE56" s="10"/>
      <c r="DI56" s="10"/>
      <c r="DJ56" s="10"/>
      <c r="DK56" s="10"/>
      <c r="DL56" s="10"/>
      <c r="DP56" s="10"/>
      <c r="DQ56" s="10"/>
      <c r="DR56" s="10"/>
      <c r="DS56" s="10"/>
    </row>
    <row r="57" spans="2:123" outlineLevel="1" x14ac:dyDescent="0.2">
      <c r="B57" t="s">
        <v>28</v>
      </c>
      <c r="C57" t="s">
        <v>92</v>
      </c>
      <c r="E57" s="9"/>
      <c r="F57" t="s">
        <v>159</v>
      </c>
      <c r="G57" s="10">
        <v>0.1</v>
      </c>
      <c r="I57" s="9">
        <f t="shared" si="3"/>
        <v>0</v>
      </c>
      <c r="J57" s="11" cm="1">
        <f t="array" ref="J57">MAX(IF($N$3:$EH$3=$J$3,N57:EH57))</f>
        <v>0</v>
      </c>
      <c r="K57" s="11" cm="1">
        <f t="array" ref="K57">MAX(IF($N$3:$EH$3=$J$3,N57:EH57))</f>
        <v>0</v>
      </c>
      <c r="L57" s="9"/>
      <c r="O57" s="10"/>
      <c r="P57" s="10"/>
      <c r="Q57" s="10"/>
      <c r="R57" s="10"/>
      <c r="V57" s="10"/>
      <c r="W57" s="10"/>
      <c r="X57" s="10"/>
      <c r="Y57" s="10"/>
      <c r="AC57" s="10"/>
      <c r="AD57" s="10"/>
      <c r="AE57" s="10"/>
      <c r="AF57" s="10"/>
      <c r="AJ57" s="10"/>
      <c r="AK57" s="10">
        <v>0.5</v>
      </c>
      <c r="AL57" s="10"/>
      <c r="AM57" s="10">
        <v>0.5</v>
      </c>
      <c r="AQ57" s="10"/>
      <c r="AR57" s="10">
        <v>0.5</v>
      </c>
      <c r="AS57" s="10"/>
      <c r="AT57" s="10">
        <v>0.5</v>
      </c>
      <c r="AX57" s="10"/>
      <c r="AY57" s="10">
        <v>0.5</v>
      </c>
      <c r="AZ57" s="10"/>
      <c r="BA57" s="10">
        <v>0.5</v>
      </c>
      <c r="BE57" s="10"/>
      <c r="BF57" s="10">
        <v>0.5</v>
      </c>
      <c r="BG57" s="10"/>
      <c r="BH57" s="10">
        <v>0.5</v>
      </c>
      <c r="BL57" s="10"/>
      <c r="BM57" s="10">
        <v>0.8</v>
      </c>
      <c r="BN57" s="10"/>
      <c r="BO57" s="10">
        <v>0.8</v>
      </c>
      <c r="BS57" s="10"/>
      <c r="BT57" s="10">
        <v>0.8</v>
      </c>
      <c r="BU57" s="10"/>
      <c r="BV57" s="10">
        <v>0.8</v>
      </c>
      <c r="BZ57" s="10"/>
      <c r="CA57" s="10">
        <v>0.8</v>
      </c>
      <c r="CB57" s="10"/>
      <c r="CC57" s="10">
        <v>0.8</v>
      </c>
      <c r="CG57" s="10"/>
      <c r="CH57" s="10">
        <v>0.8</v>
      </c>
      <c r="CI57" s="10"/>
      <c r="CJ57" s="10">
        <v>0.8</v>
      </c>
      <c r="CN57" s="10"/>
      <c r="CO57" s="10">
        <v>1</v>
      </c>
      <c r="CP57" s="10"/>
      <c r="CQ57" s="10">
        <v>1</v>
      </c>
      <c r="CU57" s="10"/>
      <c r="CV57" s="10"/>
      <c r="CW57" s="10"/>
      <c r="CX57" s="10"/>
      <c r="DB57" s="10"/>
      <c r="DC57" s="10"/>
      <c r="DD57" s="10"/>
      <c r="DE57" s="10"/>
      <c r="DI57" s="10"/>
      <c r="DJ57" s="10"/>
      <c r="DK57" s="10"/>
      <c r="DL57" s="10"/>
      <c r="DP57" s="10"/>
      <c r="DQ57" s="10"/>
      <c r="DR57" s="10"/>
      <c r="DS57" s="10"/>
    </row>
    <row r="58" spans="2:123" outlineLevel="1" x14ac:dyDescent="0.2">
      <c r="B58" t="s">
        <v>28</v>
      </c>
      <c r="C58" t="s">
        <v>92</v>
      </c>
      <c r="E58" s="9"/>
      <c r="F58" t="s">
        <v>160</v>
      </c>
      <c r="G58" s="10">
        <v>0.1</v>
      </c>
      <c r="I58" s="9">
        <f t="shared" si="3"/>
        <v>0</v>
      </c>
      <c r="J58" s="11" cm="1">
        <f t="array" ref="J58">MAX(IF($N$3:$EH$3=$J$3,N58:EH58))</f>
        <v>0</v>
      </c>
      <c r="K58" s="11" cm="1">
        <f t="array" ref="K58">MAX(IF($N$3:$EH$3=$J$3,N58:EH58))</f>
        <v>0</v>
      </c>
      <c r="L58" s="9"/>
      <c r="O58" s="10"/>
      <c r="P58" s="10"/>
      <c r="Q58" s="10"/>
      <c r="R58" s="10"/>
      <c r="V58" s="10"/>
      <c r="W58" s="10"/>
      <c r="X58" s="10"/>
      <c r="Y58" s="10"/>
      <c r="AC58" s="10"/>
      <c r="AD58" s="10"/>
      <c r="AE58" s="10"/>
      <c r="AF58" s="10"/>
      <c r="AJ58" s="10"/>
      <c r="AK58" s="10"/>
      <c r="AL58" s="10"/>
      <c r="AM58" s="10"/>
      <c r="AQ58" s="10"/>
      <c r="AR58" s="10">
        <v>0.5</v>
      </c>
      <c r="AS58" s="10"/>
      <c r="AT58" s="10">
        <v>0.5</v>
      </c>
      <c r="AX58" s="10"/>
      <c r="AY58" s="10">
        <v>0.5</v>
      </c>
      <c r="AZ58" s="10"/>
      <c r="BA58" s="10">
        <v>0.5</v>
      </c>
      <c r="BE58" s="10"/>
      <c r="BF58" s="10">
        <v>0.5</v>
      </c>
      <c r="BG58" s="10"/>
      <c r="BH58" s="10">
        <v>0.5</v>
      </c>
      <c r="BL58" s="10"/>
      <c r="BM58" s="10">
        <v>0.5</v>
      </c>
      <c r="BN58" s="10"/>
      <c r="BO58" s="10">
        <v>0.5</v>
      </c>
      <c r="BS58" s="10"/>
      <c r="BT58" s="10">
        <v>0.8</v>
      </c>
      <c r="BU58" s="10"/>
      <c r="BV58" s="10">
        <v>0.8</v>
      </c>
      <c r="BZ58" s="10"/>
      <c r="CA58" s="10">
        <v>0.8</v>
      </c>
      <c r="CB58" s="10"/>
      <c r="CC58" s="10">
        <v>0.8</v>
      </c>
      <c r="CG58" s="10"/>
      <c r="CH58" s="10">
        <v>0.8</v>
      </c>
      <c r="CI58" s="10"/>
      <c r="CJ58" s="10">
        <v>0.8</v>
      </c>
      <c r="CN58" s="10"/>
      <c r="CO58" s="10">
        <v>1</v>
      </c>
      <c r="CP58" s="10"/>
      <c r="CQ58" s="10">
        <v>1</v>
      </c>
      <c r="CU58" s="10"/>
      <c r="CV58" s="10"/>
      <c r="CW58" s="10"/>
      <c r="CX58" s="10"/>
      <c r="DB58" s="10"/>
      <c r="DC58" s="10"/>
      <c r="DD58" s="10"/>
      <c r="DE58" s="10"/>
      <c r="DI58" s="10"/>
      <c r="DJ58" s="10"/>
      <c r="DK58" s="10"/>
      <c r="DL58" s="10"/>
      <c r="DP58" s="10"/>
      <c r="DQ58" s="10"/>
      <c r="DR58" s="10"/>
      <c r="DS58" s="10"/>
    </row>
    <row r="59" spans="2:123" outlineLevel="1" x14ac:dyDescent="0.2">
      <c r="B59" t="s">
        <v>28</v>
      </c>
      <c r="C59" t="s">
        <v>92</v>
      </c>
      <c r="E59" s="9"/>
      <c r="F59" t="s">
        <v>161</v>
      </c>
      <c r="G59" s="10">
        <v>0.1</v>
      </c>
      <c r="I59" s="9">
        <f t="shared" si="3"/>
        <v>0</v>
      </c>
      <c r="J59" s="11" cm="1">
        <f t="array" ref="J59">MAX(IF($N$3:$EH$3=$J$3,N59:EH59))</f>
        <v>0</v>
      </c>
      <c r="K59" s="11" cm="1">
        <f t="array" ref="K59">MAX(IF($N$3:$EH$3=$J$3,N59:EH59))</f>
        <v>0</v>
      </c>
      <c r="L59" s="9"/>
      <c r="O59" s="10"/>
      <c r="P59" s="10"/>
      <c r="Q59" s="10"/>
      <c r="R59" s="10"/>
      <c r="V59" s="10"/>
      <c r="W59" s="10"/>
      <c r="X59" s="10"/>
      <c r="Y59" s="10"/>
      <c r="AC59" s="10"/>
      <c r="AD59" s="10"/>
      <c r="AE59" s="10"/>
      <c r="AF59" s="10"/>
      <c r="AJ59" s="10"/>
      <c r="AK59" s="10"/>
      <c r="AL59" s="10"/>
      <c r="AM59" s="10"/>
      <c r="AQ59" s="10"/>
      <c r="AR59" s="10"/>
      <c r="AS59" s="10"/>
      <c r="AT59" s="10"/>
      <c r="AX59" s="10"/>
      <c r="AY59" s="10">
        <v>0.5</v>
      </c>
      <c r="AZ59" s="10"/>
      <c r="BA59" s="10">
        <v>0.5</v>
      </c>
      <c r="BE59" s="10"/>
      <c r="BF59" s="10">
        <v>0.5</v>
      </c>
      <c r="BG59" s="10"/>
      <c r="BH59" s="10">
        <v>0.5</v>
      </c>
      <c r="BL59" s="10"/>
      <c r="BM59" s="10">
        <v>0.5</v>
      </c>
      <c r="BN59" s="10"/>
      <c r="BO59" s="10">
        <v>0.5</v>
      </c>
      <c r="BS59" s="10"/>
      <c r="BT59" s="10">
        <v>0.5</v>
      </c>
      <c r="BU59" s="10"/>
      <c r="BV59" s="10">
        <v>0.5</v>
      </c>
      <c r="BZ59" s="10"/>
      <c r="CA59" s="10">
        <v>0.8</v>
      </c>
      <c r="CB59" s="10"/>
      <c r="CC59" s="10">
        <v>0.8</v>
      </c>
      <c r="CG59" s="10"/>
      <c r="CH59" s="10">
        <v>0.8</v>
      </c>
      <c r="CI59" s="10"/>
      <c r="CJ59" s="10">
        <v>0.8</v>
      </c>
      <c r="CN59" s="10"/>
      <c r="CO59" s="10">
        <v>1</v>
      </c>
      <c r="CP59" s="10"/>
      <c r="CQ59" s="10">
        <v>1</v>
      </c>
      <c r="CU59" s="10"/>
      <c r="CV59" s="10"/>
      <c r="CW59" s="10"/>
      <c r="CX59" s="10"/>
      <c r="DB59" s="10"/>
      <c r="DC59" s="10"/>
      <c r="DD59" s="10"/>
      <c r="DE59" s="10"/>
      <c r="DI59" s="10"/>
      <c r="DJ59" s="10"/>
      <c r="DK59" s="10"/>
      <c r="DL59" s="10"/>
      <c r="DP59" s="10"/>
      <c r="DQ59" s="10"/>
      <c r="DR59" s="10"/>
      <c r="DS59" s="10"/>
    </row>
    <row r="61" spans="2:123" x14ac:dyDescent="0.2">
      <c r="B61" t="s">
        <v>27</v>
      </c>
      <c r="C61" t="s">
        <v>93</v>
      </c>
      <c r="D61" s="19">
        <v>46071</v>
      </c>
      <c r="E61" s="9">
        <v>6</v>
      </c>
      <c r="G61" s="10">
        <f>+SUM(G62:G71)</f>
        <v>1</v>
      </c>
      <c r="I61" s="12">
        <f>+SUM(I62:I71)</f>
        <v>0</v>
      </c>
      <c r="J61" s="11">
        <f>+SUMPRODUCT(G62:G71,J62:J71)</f>
        <v>0</v>
      </c>
      <c r="K61" s="11">
        <f>+SUMPRODUCT(G62:G71,K62:K71)</f>
        <v>0</v>
      </c>
      <c r="L61" s="9"/>
      <c r="N61" s="12">
        <f>+SUM(N62:N71)</f>
        <v>0</v>
      </c>
      <c r="U61" s="12">
        <f>+SUM(U62:U71)</f>
        <v>0</v>
      </c>
      <c r="AB61" s="12">
        <f>+SUM(AB62:AB71)</f>
        <v>0</v>
      </c>
      <c r="AI61" s="12">
        <f>+SUM(AI62:AI71)</f>
        <v>0</v>
      </c>
      <c r="AP61" s="12">
        <f>+SUM(AP62:AP71)</f>
        <v>0</v>
      </c>
    </row>
    <row r="62" spans="2:123" outlineLevel="1" x14ac:dyDescent="0.2">
      <c r="B62" t="s">
        <v>28</v>
      </c>
      <c r="C62" t="s">
        <v>93</v>
      </c>
      <c r="E62" s="9"/>
      <c r="F62" t="s">
        <v>136</v>
      </c>
      <c r="G62" s="10">
        <v>0.09</v>
      </c>
      <c r="I62" s="9">
        <f t="shared" si="3"/>
        <v>0</v>
      </c>
      <c r="J62" s="11" cm="1">
        <f t="array" ref="J62">MAX(IF($N$3:$EH$3=$J$3,N62:EH62))</f>
        <v>0</v>
      </c>
      <c r="K62" s="11" cm="1">
        <f t="array" ref="K62">MAX(IF($N$3:$EH$3=$J$3,N62:EH62))</f>
        <v>0</v>
      </c>
      <c r="L62" s="9"/>
      <c r="O62" s="10"/>
      <c r="P62" s="10">
        <v>0.5</v>
      </c>
      <c r="Q62" s="10"/>
      <c r="R62" s="10">
        <v>0.5</v>
      </c>
      <c r="V62" s="10"/>
      <c r="W62" s="10">
        <v>0.5</v>
      </c>
      <c r="X62" s="10"/>
      <c r="Y62" s="10">
        <v>0.5</v>
      </c>
      <c r="AC62" s="10"/>
      <c r="AD62" s="10">
        <v>0.8</v>
      </c>
      <c r="AE62" s="10"/>
      <c r="AF62" s="10">
        <v>0.8</v>
      </c>
      <c r="AJ62" s="10"/>
      <c r="AK62" s="10">
        <v>0.8</v>
      </c>
      <c r="AL62" s="10"/>
      <c r="AM62" s="10">
        <v>0.8</v>
      </c>
      <c r="AQ62" s="10"/>
      <c r="AR62" s="10">
        <v>0.8</v>
      </c>
      <c r="AS62" s="10"/>
      <c r="AT62" s="10">
        <v>0.8</v>
      </c>
      <c r="AX62" s="10"/>
      <c r="AY62" s="10">
        <v>0.8</v>
      </c>
      <c r="AZ62" s="10"/>
      <c r="BA62" s="10">
        <v>0.8</v>
      </c>
      <c r="BE62" s="10"/>
      <c r="BF62" s="10">
        <v>1</v>
      </c>
      <c r="BG62" s="10"/>
      <c r="BH62" s="10">
        <v>1</v>
      </c>
      <c r="BL62" s="10"/>
      <c r="BM62" s="10">
        <v>1</v>
      </c>
      <c r="BN62" s="10"/>
      <c r="BO62" s="10">
        <v>1</v>
      </c>
      <c r="BS62" s="10"/>
      <c r="BT62" s="10">
        <v>1</v>
      </c>
      <c r="BU62" s="10"/>
      <c r="BV62" s="10">
        <v>1</v>
      </c>
      <c r="BZ62" s="10"/>
      <c r="CA62" s="10">
        <v>1</v>
      </c>
      <c r="CB62" s="10"/>
      <c r="CC62" s="10">
        <v>1</v>
      </c>
      <c r="CG62" s="10"/>
      <c r="CH62" s="10">
        <v>1</v>
      </c>
      <c r="CI62" s="10"/>
      <c r="CJ62" s="10">
        <v>1</v>
      </c>
      <c r="CN62" s="10"/>
      <c r="CO62" s="10">
        <v>1</v>
      </c>
      <c r="CP62" s="10"/>
      <c r="CQ62" s="10">
        <v>1</v>
      </c>
      <c r="CU62" s="10"/>
      <c r="CV62" s="10"/>
      <c r="CW62" s="10"/>
      <c r="CX62" s="10"/>
      <c r="DB62" s="10"/>
      <c r="DC62" s="10"/>
      <c r="DD62" s="10"/>
      <c r="DE62" s="10"/>
      <c r="DI62" s="10"/>
      <c r="DJ62" s="10"/>
      <c r="DK62" s="10"/>
      <c r="DL62" s="10"/>
      <c r="DP62" s="10"/>
      <c r="DQ62" s="10"/>
      <c r="DR62" s="10"/>
      <c r="DS62" s="10"/>
    </row>
    <row r="63" spans="2:123" outlineLevel="1" x14ac:dyDescent="0.2">
      <c r="B63" t="s">
        <v>28</v>
      </c>
      <c r="C63" t="s">
        <v>93</v>
      </c>
      <c r="E63" s="9"/>
      <c r="F63" t="s">
        <v>137</v>
      </c>
      <c r="G63" s="10">
        <v>0.1</v>
      </c>
      <c r="I63" s="9">
        <f t="shared" si="3"/>
        <v>0</v>
      </c>
      <c r="J63" s="11" cm="1">
        <f t="array" ref="J63">MAX(IF($N$3:$EH$3=$J$3,N63:EH63))</f>
        <v>0</v>
      </c>
      <c r="K63" s="11" cm="1">
        <f t="array" ref="K63">MAX(IF($N$3:$EH$3=$J$3,N63:EH63))</f>
        <v>0</v>
      </c>
      <c r="L63" s="9"/>
      <c r="O63" s="10"/>
      <c r="P63" s="10">
        <v>0.5</v>
      </c>
      <c r="Q63" s="10"/>
      <c r="R63" s="10">
        <v>0.5</v>
      </c>
      <c r="V63" s="10"/>
      <c r="W63" s="10">
        <v>0.5</v>
      </c>
      <c r="X63" s="10"/>
      <c r="Y63" s="10">
        <v>0.5</v>
      </c>
      <c r="AC63" s="10"/>
      <c r="AD63" s="10">
        <v>0.5</v>
      </c>
      <c r="AE63" s="10"/>
      <c r="AF63" s="10">
        <v>0.5</v>
      </c>
      <c r="AJ63" s="10"/>
      <c r="AK63" s="10">
        <v>0.8</v>
      </c>
      <c r="AL63" s="10"/>
      <c r="AM63" s="10">
        <v>0.8</v>
      </c>
      <c r="AQ63" s="10"/>
      <c r="AR63" s="10">
        <v>0.8</v>
      </c>
      <c r="AS63" s="10"/>
      <c r="AT63" s="10">
        <v>0.8</v>
      </c>
      <c r="AX63" s="10"/>
      <c r="AY63" s="10">
        <v>0.8</v>
      </c>
      <c r="AZ63" s="10"/>
      <c r="BA63" s="10">
        <v>0.8</v>
      </c>
      <c r="BE63" s="10"/>
      <c r="BF63" s="10">
        <v>0.8</v>
      </c>
      <c r="BG63" s="10"/>
      <c r="BH63" s="10">
        <v>0.8</v>
      </c>
      <c r="BL63" s="10"/>
      <c r="BM63" s="10">
        <v>1</v>
      </c>
      <c r="BN63" s="10"/>
      <c r="BO63" s="10">
        <v>0.9</v>
      </c>
      <c r="BS63" s="10"/>
      <c r="BT63" s="10">
        <v>1</v>
      </c>
      <c r="BU63" s="10"/>
      <c r="BV63" s="10">
        <v>1</v>
      </c>
      <c r="BZ63" s="10"/>
      <c r="CA63" s="10">
        <v>1</v>
      </c>
      <c r="CB63" s="10"/>
      <c r="CC63" s="10">
        <v>1</v>
      </c>
      <c r="CG63" s="10"/>
      <c r="CH63" s="10">
        <v>1</v>
      </c>
      <c r="CI63" s="10"/>
      <c r="CJ63" s="10">
        <v>1</v>
      </c>
      <c r="CN63" s="10"/>
      <c r="CO63" s="10">
        <v>1</v>
      </c>
      <c r="CP63" s="10"/>
      <c r="CQ63" s="10">
        <v>1</v>
      </c>
      <c r="CU63" s="10"/>
      <c r="CV63" s="10"/>
      <c r="CW63" s="10"/>
      <c r="CX63" s="10"/>
      <c r="DB63" s="10"/>
      <c r="DC63" s="10"/>
      <c r="DD63" s="10"/>
      <c r="DE63" s="10"/>
      <c r="DI63" s="10"/>
      <c r="DJ63" s="10"/>
      <c r="DK63" s="10"/>
      <c r="DL63" s="10"/>
      <c r="DP63" s="10"/>
      <c r="DQ63" s="10"/>
      <c r="DR63" s="10"/>
      <c r="DS63" s="10"/>
    </row>
    <row r="64" spans="2:123" outlineLevel="1" x14ac:dyDescent="0.2">
      <c r="B64" t="s">
        <v>28</v>
      </c>
      <c r="C64" t="s">
        <v>93</v>
      </c>
      <c r="E64" s="9"/>
      <c r="F64" t="s">
        <v>139</v>
      </c>
      <c r="G64" s="10">
        <v>0.2</v>
      </c>
      <c r="I64" s="9">
        <f t="shared" si="3"/>
        <v>0</v>
      </c>
      <c r="J64" s="11" cm="1">
        <f t="array" ref="J64">MAX(IF($N$3:$EH$3=$J$3,N64:EH64))</f>
        <v>0</v>
      </c>
      <c r="K64" s="11" cm="1">
        <f t="array" ref="K64">MAX(IF($N$3:$EH$3=$J$3,N64:EH64))</f>
        <v>0</v>
      </c>
      <c r="L64" s="9"/>
      <c r="O64" s="10"/>
      <c r="P64" s="10"/>
      <c r="Q64" s="10"/>
      <c r="R64" s="10"/>
      <c r="V64" s="10"/>
      <c r="W64" s="10">
        <v>0.5</v>
      </c>
      <c r="X64" s="10"/>
      <c r="Y64" s="10">
        <v>0.5</v>
      </c>
      <c r="AC64" s="10"/>
      <c r="AD64" s="10">
        <v>0.5</v>
      </c>
      <c r="AE64" s="10"/>
      <c r="AF64" s="10">
        <v>0.5</v>
      </c>
      <c r="AJ64" s="10"/>
      <c r="AK64" s="10">
        <v>0.5</v>
      </c>
      <c r="AL64" s="10"/>
      <c r="AM64" s="10">
        <v>0.5</v>
      </c>
      <c r="AQ64" s="10"/>
      <c r="AR64" s="10">
        <v>0.5</v>
      </c>
      <c r="AS64" s="10"/>
      <c r="AT64" s="10">
        <v>0.5</v>
      </c>
      <c r="AX64" s="10"/>
      <c r="AY64" s="10">
        <v>0.8</v>
      </c>
      <c r="AZ64" s="10"/>
      <c r="BA64" s="10">
        <v>0.8</v>
      </c>
      <c r="BE64" s="10"/>
      <c r="BF64" s="10">
        <v>0.8</v>
      </c>
      <c r="BG64" s="10"/>
      <c r="BH64" s="10">
        <v>0.8</v>
      </c>
      <c r="BL64" s="10"/>
      <c r="BM64" s="10">
        <v>0.8</v>
      </c>
      <c r="BN64" s="10"/>
      <c r="BO64" s="10">
        <v>0.8</v>
      </c>
      <c r="BS64" s="10"/>
      <c r="BT64" s="10">
        <v>0.8</v>
      </c>
      <c r="BU64" s="10"/>
      <c r="BV64" s="10">
        <v>0.8</v>
      </c>
      <c r="BZ64" s="10"/>
      <c r="CA64" s="10">
        <v>1</v>
      </c>
      <c r="CB64" s="10"/>
      <c r="CC64" s="10">
        <v>1</v>
      </c>
      <c r="CG64" s="10"/>
      <c r="CH64" s="10">
        <v>1</v>
      </c>
      <c r="CI64" s="10"/>
      <c r="CJ64" s="10">
        <v>1</v>
      </c>
      <c r="CN64" s="10"/>
      <c r="CO64" s="10">
        <v>1</v>
      </c>
      <c r="CP64" s="10"/>
      <c r="CQ64" s="10">
        <v>1</v>
      </c>
      <c r="CU64" s="10"/>
      <c r="CV64" s="10"/>
      <c r="CW64" s="10"/>
      <c r="CX64" s="10"/>
      <c r="DB64" s="10"/>
      <c r="DC64" s="10"/>
      <c r="DD64" s="10"/>
      <c r="DE64" s="10"/>
      <c r="DI64" s="10"/>
      <c r="DJ64" s="10"/>
      <c r="DK64" s="10"/>
      <c r="DL64" s="10"/>
      <c r="DP64" s="10"/>
      <c r="DQ64" s="10"/>
      <c r="DR64" s="10"/>
      <c r="DS64" s="10"/>
    </row>
    <row r="65" spans="2:123" outlineLevel="1" x14ac:dyDescent="0.2">
      <c r="B65" t="s">
        <v>28</v>
      </c>
      <c r="C65" t="s">
        <v>93</v>
      </c>
      <c r="E65" s="9"/>
      <c r="F65" t="s">
        <v>140</v>
      </c>
      <c r="G65" s="10">
        <v>0.16</v>
      </c>
      <c r="I65" s="9">
        <f t="shared" si="3"/>
        <v>0</v>
      </c>
      <c r="J65" s="11" cm="1">
        <f t="array" ref="J65">MAX(IF($N$3:$EH$3=$J$3,N65:EH65))</f>
        <v>0</v>
      </c>
      <c r="K65" s="11" cm="1">
        <f t="array" ref="K65">MAX(IF($N$3:$EH$3=$J$3,N65:EH65))</f>
        <v>0</v>
      </c>
      <c r="L65" s="9"/>
      <c r="O65" s="10"/>
      <c r="P65" s="10"/>
      <c r="Q65" s="10"/>
      <c r="R65" s="10"/>
      <c r="V65" s="10"/>
      <c r="W65" s="10"/>
      <c r="X65" s="10"/>
      <c r="Y65" s="10"/>
      <c r="AC65" s="10"/>
      <c r="AD65" s="10">
        <v>0.5</v>
      </c>
      <c r="AE65" s="10"/>
      <c r="AF65" s="10">
        <v>0.5</v>
      </c>
      <c r="AJ65" s="10"/>
      <c r="AK65" s="10">
        <v>0.5</v>
      </c>
      <c r="AL65" s="10"/>
      <c r="AM65" s="10">
        <v>0.5</v>
      </c>
      <c r="AQ65" s="10"/>
      <c r="AR65" s="10">
        <v>0.5</v>
      </c>
      <c r="AS65" s="10"/>
      <c r="AT65" s="10">
        <v>0.5</v>
      </c>
      <c r="AX65" s="10"/>
      <c r="AY65" s="10">
        <v>0.5</v>
      </c>
      <c r="AZ65" s="10"/>
      <c r="BA65" s="10">
        <v>0.5</v>
      </c>
      <c r="BE65" s="10"/>
      <c r="BF65" s="10">
        <v>0.8</v>
      </c>
      <c r="BG65" s="10"/>
      <c r="BH65" s="10">
        <v>0.8</v>
      </c>
      <c r="BL65" s="10"/>
      <c r="BM65" s="10">
        <v>0.8</v>
      </c>
      <c r="BN65" s="10"/>
      <c r="BO65" s="10">
        <v>0.8</v>
      </c>
      <c r="BS65" s="10"/>
      <c r="BT65" s="10">
        <v>0.8</v>
      </c>
      <c r="BU65" s="10"/>
      <c r="BV65" s="10">
        <v>0.8</v>
      </c>
      <c r="BZ65" s="10"/>
      <c r="CA65" s="10">
        <v>0.8</v>
      </c>
      <c r="CB65" s="10"/>
      <c r="CC65" s="10">
        <v>0.8</v>
      </c>
      <c r="CG65" s="10"/>
      <c r="CH65" s="10">
        <v>1</v>
      </c>
      <c r="CI65" s="10"/>
      <c r="CJ65" s="10">
        <v>1</v>
      </c>
      <c r="CN65" s="10"/>
      <c r="CO65" s="10">
        <v>1</v>
      </c>
      <c r="CP65" s="10"/>
      <c r="CQ65" s="10">
        <v>1</v>
      </c>
      <c r="CU65" s="10"/>
      <c r="CV65" s="10"/>
      <c r="CW65" s="10"/>
      <c r="CX65" s="10"/>
      <c r="DB65" s="10"/>
      <c r="DC65" s="10"/>
      <c r="DD65" s="10"/>
      <c r="DE65" s="10"/>
      <c r="DI65" s="10"/>
      <c r="DJ65" s="10"/>
      <c r="DK65" s="10"/>
      <c r="DL65" s="10"/>
      <c r="DP65" s="10"/>
      <c r="DQ65" s="10"/>
      <c r="DR65" s="10"/>
      <c r="DS65" s="10"/>
    </row>
    <row r="66" spans="2:123" outlineLevel="1" x14ac:dyDescent="0.2">
      <c r="B66" t="s">
        <v>28</v>
      </c>
      <c r="C66" t="s">
        <v>93</v>
      </c>
      <c r="E66" s="9"/>
      <c r="F66" t="s">
        <v>141</v>
      </c>
      <c r="G66" s="10">
        <v>0.27</v>
      </c>
      <c r="I66" s="9">
        <f t="shared" si="3"/>
        <v>0</v>
      </c>
      <c r="J66" s="11" cm="1">
        <f t="array" ref="J66">MAX(IF($N$3:$EH$3=$J$3,N66:EH66))</f>
        <v>0</v>
      </c>
      <c r="K66" s="11" cm="1">
        <f t="array" ref="K66">MAX(IF($N$3:$EH$3=$J$3,N66:EH66))</f>
        <v>0</v>
      </c>
      <c r="L66" s="9"/>
      <c r="O66" s="10"/>
      <c r="P66" s="10"/>
      <c r="Q66" s="10"/>
      <c r="R66" s="10"/>
      <c r="V66" s="10"/>
      <c r="W66" s="10"/>
      <c r="X66" s="10"/>
      <c r="Y66" s="10"/>
      <c r="AC66" s="10"/>
      <c r="AD66" s="10"/>
      <c r="AE66" s="10"/>
      <c r="AF66" s="10"/>
      <c r="AJ66" s="10"/>
      <c r="AK66" s="10"/>
      <c r="AL66" s="10"/>
      <c r="AM66" s="10"/>
      <c r="AQ66" s="10"/>
      <c r="AR66" s="10">
        <v>0.5</v>
      </c>
      <c r="AS66" s="10"/>
      <c r="AT66" s="10">
        <v>0.5</v>
      </c>
      <c r="AX66" s="10"/>
      <c r="AY66" s="10">
        <v>0.5</v>
      </c>
      <c r="AZ66" s="10"/>
      <c r="BA66" s="10">
        <v>0.5</v>
      </c>
      <c r="BE66" s="10"/>
      <c r="BF66" s="10">
        <v>0.5</v>
      </c>
      <c r="BG66" s="10"/>
      <c r="BH66" s="10">
        <v>0.5</v>
      </c>
      <c r="BL66" s="10"/>
      <c r="BM66" s="10">
        <v>0.5</v>
      </c>
      <c r="BN66" s="10"/>
      <c r="BO66" s="10">
        <v>0.5</v>
      </c>
      <c r="BS66" s="10"/>
      <c r="BT66" s="10">
        <v>0.8</v>
      </c>
      <c r="BU66" s="10"/>
      <c r="BV66" s="10">
        <v>0.8</v>
      </c>
      <c r="BZ66" s="10"/>
      <c r="CA66" s="10">
        <v>0.8</v>
      </c>
      <c r="CB66" s="10"/>
      <c r="CC66" s="10">
        <v>0.8</v>
      </c>
      <c r="CG66" s="10"/>
      <c r="CH66" s="10">
        <v>1</v>
      </c>
      <c r="CI66" s="10"/>
      <c r="CJ66" s="10">
        <v>1</v>
      </c>
      <c r="CN66" s="10"/>
      <c r="CO66" s="10">
        <v>1</v>
      </c>
      <c r="CP66" s="10"/>
      <c r="CQ66" s="10">
        <v>1</v>
      </c>
      <c r="CU66" s="10"/>
      <c r="CV66" s="10"/>
      <c r="CW66" s="10"/>
      <c r="CX66" s="10"/>
      <c r="DB66" s="10"/>
      <c r="DC66" s="10"/>
      <c r="DD66" s="10"/>
      <c r="DE66" s="10"/>
      <c r="DI66" s="10"/>
      <c r="DJ66" s="10"/>
      <c r="DK66" s="10"/>
      <c r="DL66" s="10"/>
      <c r="DP66" s="10"/>
      <c r="DQ66" s="10"/>
      <c r="DR66" s="10"/>
      <c r="DS66" s="10"/>
    </row>
    <row r="67" spans="2:123" outlineLevel="1" x14ac:dyDescent="0.2">
      <c r="B67" t="s">
        <v>28</v>
      </c>
      <c r="C67" t="s">
        <v>93</v>
      </c>
      <c r="E67" s="9"/>
      <c r="F67" t="s">
        <v>142</v>
      </c>
      <c r="G67" s="10">
        <v>0.18</v>
      </c>
      <c r="I67" s="9">
        <f t="shared" si="3"/>
        <v>0</v>
      </c>
      <c r="J67" s="11" cm="1">
        <f t="array" ref="J67">MAX(IF($N$3:$EH$3=$J$3,N67:EH67))</f>
        <v>0</v>
      </c>
      <c r="K67" s="11" cm="1">
        <f t="array" ref="K67">MAX(IF($N$3:$EH$3=$J$3,N67:EH67))</f>
        <v>0</v>
      </c>
      <c r="L67" s="9"/>
      <c r="O67" s="10"/>
      <c r="P67" s="10"/>
      <c r="Q67" s="10"/>
      <c r="R67" s="10"/>
      <c r="V67" s="10"/>
      <c r="W67" s="10"/>
      <c r="X67" s="10"/>
      <c r="Y67" s="10"/>
      <c r="AC67" s="10"/>
      <c r="AD67" s="10"/>
      <c r="AE67" s="10"/>
      <c r="AF67" s="10"/>
      <c r="AJ67" s="10"/>
      <c r="AK67" s="10"/>
      <c r="AL67" s="10"/>
      <c r="AM67" s="10"/>
      <c r="AQ67" s="10"/>
      <c r="AR67" s="10"/>
      <c r="AS67" s="10"/>
      <c r="AT67" s="10"/>
      <c r="AX67" s="10"/>
      <c r="AY67" s="10">
        <v>0.5</v>
      </c>
      <c r="AZ67" s="10"/>
      <c r="BA67" s="10">
        <v>0.5</v>
      </c>
      <c r="BE67" s="10"/>
      <c r="BF67" s="10">
        <v>0.5</v>
      </c>
      <c r="BG67" s="10"/>
      <c r="BH67" s="10">
        <v>0.5</v>
      </c>
      <c r="BL67" s="10"/>
      <c r="BM67" s="10">
        <v>0.5</v>
      </c>
      <c r="BN67" s="10"/>
      <c r="BO67" s="10">
        <v>0.5</v>
      </c>
      <c r="BS67" s="10"/>
      <c r="BT67" s="10">
        <v>0.5</v>
      </c>
      <c r="BU67" s="10"/>
      <c r="BV67" s="10">
        <v>0.5</v>
      </c>
      <c r="BZ67" s="10"/>
      <c r="CA67" s="10">
        <v>0.8</v>
      </c>
      <c r="CB67" s="10"/>
      <c r="CC67" s="10">
        <v>0.8</v>
      </c>
      <c r="CG67" s="10"/>
      <c r="CH67" s="10">
        <v>0.8</v>
      </c>
      <c r="CI67" s="10"/>
      <c r="CJ67" s="10">
        <v>0.8</v>
      </c>
      <c r="CN67" s="10"/>
      <c r="CO67" s="10">
        <v>1</v>
      </c>
      <c r="CP67" s="10"/>
      <c r="CQ67" s="10">
        <v>1</v>
      </c>
      <c r="CU67" s="10"/>
      <c r="CV67" s="10"/>
      <c r="CW67" s="10"/>
      <c r="CX67" s="10"/>
      <c r="DB67" s="10"/>
      <c r="DC67" s="10"/>
      <c r="DD67" s="10"/>
      <c r="DE67" s="10"/>
      <c r="DI67" s="10"/>
      <c r="DJ67" s="10"/>
      <c r="DK67" s="10"/>
      <c r="DL67" s="10"/>
      <c r="DP67" s="10"/>
      <c r="DQ67" s="10"/>
      <c r="DR67" s="10"/>
      <c r="DS67" s="10"/>
    </row>
    <row r="68" spans="2:123" outlineLevel="1" x14ac:dyDescent="0.2">
      <c r="E68" s="9"/>
      <c r="G68" s="10"/>
      <c r="I68" s="9"/>
      <c r="J68" s="11"/>
      <c r="K68" s="11"/>
      <c r="L68" s="9"/>
      <c r="O68" s="10"/>
      <c r="P68" s="10"/>
      <c r="Q68" s="10"/>
      <c r="R68" s="10"/>
      <c r="V68" s="10"/>
      <c r="W68" s="10"/>
      <c r="X68" s="10"/>
      <c r="Y68" s="10"/>
      <c r="AC68" s="10"/>
      <c r="AD68" s="10"/>
      <c r="AE68" s="10"/>
      <c r="AF68" s="10"/>
      <c r="AJ68" s="10"/>
      <c r="AK68" s="10"/>
      <c r="AL68" s="10"/>
      <c r="AM68" s="10"/>
      <c r="AQ68" s="10"/>
      <c r="AR68" s="10"/>
      <c r="AS68" s="10"/>
      <c r="AT68" s="10"/>
      <c r="AX68" s="10"/>
      <c r="AY68" s="10"/>
      <c r="AZ68" s="10"/>
      <c r="BA68" s="10"/>
      <c r="BE68" s="10"/>
      <c r="BF68" s="10"/>
      <c r="BG68" s="10"/>
      <c r="BH68" s="10"/>
      <c r="BL68" s="10"/>
      <c r="BM68" s="10"/>
      <c r="BN68" s="10"/>
      <c r="BO68" s="10"/>
      <c r="BS68" s="10"/>
      <c r="BT68" s="10"/>
      <c r="BU68" s="10"/>
      <c r="BV68" s="10"/>
      <c r="BZ68" s="10"/>
      <c r="CA68" s="10"/>
      <c r="CB68" s="10"/>
      <c r="CC68" s="10"/>
      <c r="CG68" s="10"/>
      <c r="CH68" s="10"/>
      <c r="CI68" s="10"/>
      <c r="CJ68" s="10"/>
      <c r="CN68" s="10"/>
      <c r="CO68" s="10"/>
      <c r="CP68" s="10"/>
      <c r="CQ68" s="10"/>
      <c r="CU68" s="10"/>
      <c r="CV68" s="10"/>
      <c r="CW68" s="10"/>
      <c r="CX68" s="10"/>
      <c r="DB68" s="10"/>
      <c r="DC68" s="10"/>
      <c r="DD68" s="10"/>
      <c r="DE68" s="10"/>
      <c r="DI68" s="10"/>
      <c r="DJ68" s="10"/>
      <c r="DK68" s="10"/>
      <c r="DL68" s="10"/>
      <c r="DP68" s="10"/>
      <c r="DQ68" s="10"/>
      <c r="DR68" s="10"/>
      <c r="DS68" s="10"/>
    </row>
    <row r="69" spans="2:123" outlineLevel="1" x14ac:dyDescent="0.2">
      <c r="E69" s="9"/>
      <c r="G69" s="10"/>
      <c r="I69" s="9"/>
      <c r="J69" s="11"/>
      <c r="K69" s="11"/>
      <c r="L69" s="9"/>
      <c r="O69" s="10"/>
      <c r="P69" s="10"/>
      <c r="Q69" s="10"/>
      <c r="R69" s="10"/>
      <c r="V69" s="10"/>
      <c r="W69" s="10"/>
      <c r="X69" s="10"/>
      <c r="Y69" s="10"/>
      <c r="AC69" s="10"/>
      <c r="AD69" s="10"/>
      <c r="AE69" s="10"/>
      <c r="AF69" s="10"/>
      <c r="AJ69" s="10"/>
      <c r="AK69" s="10"/>
      <c r="AL69" s="10"/>
      <c r="AM69" s="10"/>
      <c r="AQ69" s="10"/>
      <c r="AR69" s="10"/>
      <c r="AS69" s="10"/>
      <c r="AT69" s="10"/>
      <c r="AX69" s="10"/>
      <c r="AY69" s="10"/>
      <c r="AZ69" s="10"/>
      <c r="BA69" s="10"/>
      <c r="BE69" s="10"/>
      <c r="BF69" s="10"/>
      <c r="BG69" s="10"/>
      <c r="BH69" s="10"/>
      <c r="BL69" s="10"/>
      <c r="BM69" s="10"/>
      <c r="BN69" s="10"/>
      <c r="BO69" s="10"/>
      <c r="BS69" s="10"/>
      <c r="BT69" s="10"/>
      <c r="BU69" s="10"/>
      <c r="BV69" s="10"/>
      <c r="BZ69" s="10"/>
      <c r="CA69" s="10"/>
      <c r="CB69" s="10"/>
      <c r="CC69" s="10"/>
      <c r="CG69" s="10"/>
      <c r="CH69" s="10"/>
      <c r="CI69" s="10"/>
      <c r="CJ69" s="10"/>
      <c r="CN69" s="10"/>
      <c r="CO69" s="10"/>
      <c r="CP69" s="10"/>
      <c r="CQ69" s="10"/>
      <c r="CU69" s="10"/>
      <c r="CV69" s="10"/>
      <c r="CW69" s="10"/>
      <c r="CX69" s="10"/>
      <c r="DB69" s="10"/>
      <c r="DC69" s="10"/>
      <c r="DD69" s="10"/>
      <c r="DE69" s="10"/>
      <c r="DI69" s="10"/>
      <c r="DJ69" s="10"/>
      <c r="DK69" s="10"/>
      <c r="DL69" s="10"/>
      <c r="DP69" s="10"/>
      <c r="DQ69" s="10"/>
      <c r="DR69" s="10"/>
      <c r="DS69" s="10"/>
    </row>
    <row r="70" spans="2:123" outlineLevel="1" x14ac:dyDescent="0.2">
      <c r="E70" s="9"/>
      <c r="G70" s="10"/>
      <c r="I70" s="9"/>
      <c r="J70" s="11"/>
      <c r="K70" s="11"/>
      <c r="L70" s="9"/>
      <c r="O70" s="10"/>
      <c r="P70" s="10"/>
      <c r="Q70" s="10"/>
      <c r="R70" s="10"/>
      <c r="V70" s="10"/>
      <c r="W70" s="10"/>
      <c r="X70" s="10"/>
      <c r="Y70" s="10"/>
      <c r="AC70" s="10"/>
      <c r="AD70" s="10"/>
      <c r="AE70" s="10"/>
      <c r="AF70" s="10"/>
      <c r="AJ70" s="10"/>
      <c r="AK70" s="10"/>
      <c r="AL70" s="10"/>
      <c r="AM70" s="10"/>
      <c r="AQ70" s="10"/>
      <c r="AR70" s="10"/>
      <c r="AS70" s="10"/>
      <c r="AT70" s="10"/>
      <c r="AX70" s="10"/>
      <c r="AY70" s="10"/>
      <c r="AZ70" s="10"/>
      <c r="BA70" s="10"/>
      <c r="BE70" s="10"/>
      <c r="BF70" s="10"/>
      <c r="BG70" s="10"/>
      <c r="BH70" s="10"/>
      <c r="BL70" s="10"/>
      <c r="BM70" s="10"/>
      <c r="BN70" s="10"/>
      <c r="BO70" s="10"/>
      <c r="BS70" s="10"/>
      <c r="BT70" s="10"/>
      <c r="BU70" s="10"/>
      <c r="BV70" s="10"/>
      <c r="BZ70" s="10"/>
      <c r="CA70" s="10"/>
      <c r="CB70" s="10"/>
      <c r="CC70" s="10"/>
      <c r="CG70" s="10"/>
      <c r="CH70" s="10"/>
      <c r="CI70" s="10"/>
      <c r="CJ70" s="10"/>
      <c r="CN70" s="10"/>
      <c r="CO70" s="10"/>
      <c r="CP70" s="10"/>
      <c r="CQ70" s="10"/>
      <c r="CU70" s="10"/>
      <c r="CV70" s="10"/>
      <c r="CW70" s="10"/>
      <c r="CX70" s="10"/>
      <c r="DB70" s="10"/>
      <c r="DC70" s="10"/>
      <c r="DD70" s="10"/>
      <c r="DE70" s="10"/>
      <c r="DI70" s="10"/>
      <c r="DJ70" s="10"/>
      <c r="DK70" s="10"/>
      <c r="DL70" s="10"/>
      <c r="DP70" s="10"/>
      <c r="DQ70" s="10"/>
      <c r="DR70" s="10"/>
      <c r="DS70" s="10"/>
    </row>
    <row r="71" spans="2:123" outlineLevel="1" x14ac:dyDescent="0.2">
      <c r="E71" s="9"/>
      <c r="G71" s="10"/>
      <c r="I71" s="9"/>
      <c r="J71" s="11"/>
      <c r="K71" s="11"/>
      <c r="L71" s="9"/>
      <c r="O71" s="10"/>
      <c r="P71" s="10"/>
      <c r="Q71" s="10"/>
      <c r="R71" s="10"/>
      <c r="V71" s="10"/>
      <c r="W71" s="10"/>
      <c r="X71" s="10"/>
      <c r="Y71" s="10"/>
      <c r="AC71" s="10"/>
      <c r="AD71" s="10"/>
      <c r="AE71" s="10"/>
      <c r="AF71" s="10"/>
      <c r="AJ71" s="10"/>
      <c r="AK71" s="10"/>
      <c r="AL71" s="10"/>
      <c r="AM71" s="10"/>
      <c r="AQ71" s="10"/>
      <c r="AR71" s="10"/>
      <c r="AS71" s="10"/>
      <c r="AT71" s="10"/>
      <c r="AX71" s="10"/>
      <c r="AY71" s="10"/>
      <c r="AZ71" s="10"/>
      <c r="BA71" s="10"/>
      <c r="BE71" s="10"/>
      <c r="BF71" s="10"/>
      <c r="BG71" s="10"/>
      <c r="BH71" s="10"/>
      <c r="BL71" s="10"/>
      <c r="BM71" s="10"/>
      <c r="BN71" s="10"/>
      <c r="BO71" s="10"/>
      <c r="BS71" s="10"/>
      <c r="BT71" s="10"/>
      <c r="BU71" s="10"/>
      <c r="BV71" s="10"/>
      <c r="BZ71" s="10"/>
      <c r="CA71" s="10"/>
      <c r="CB71" s="10"/>
      <c r="CC71" s="10"/>
      <c r="CG71" s="10"/>
      <c r="CH71" s="10"/>
      <c r="CI71" s="10"/>
      <c r="CJ71" s="10"/>
      <c r="CN71" s="10"/>
      <c r="CO71" s="10"/>
      <c r="CP71" s="10"/>
      <c r="CQ71" s="10"/>
      <c r="CU71" s="10"/>
      <c r="CV71" s="10"/>
      <c r="CW71" s="10"/>
      <c r="CX71" s="10"/>
      <c r="DB71" s="10"/>
      <c r="DC71" s="10"/>
      <c r="DD71" s="10"/>
      <c r="DE71" s="10"/>
      <c r="DI71" s="10"/>
      <c r="DJ71" s="10"/>
      <c r="DK71" s="10"/>
      <c r="DL71" s="10"/>
      <c r="DP71" s="10"/>
      <c r="DQ71" s="10"/>
      <c r="DR71" s="10"/>
      <c r="DS71" s="10"/>
    </row>
  </sheetData>
  <mergeCells count="17">
    <mergeCell ref="DH2:DM2"/>
    <mergeCell ref="DO2:DT2"/>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CM2:CR2"/>
  </mergeCells>
  <conditionalFormatting sqref="J5:J10">
    <cfRule type="colorScale" priority="644">
      <colorScale>
        <cfvo type="percent" val="0"/>
        <cfvo type="percent" val="100"/>
        <color rgb="FFFF231B"/>
        <color rgb="FF10FF07"/>
      </colorScale>
    </cfRule>
  </conditionalFormatting>
  <conditionalFormatting sqref="J14">
    <cfRule type="colorScale" priority="192">
      <colorScale>
        <cfvo type="percent" val="0"/>
        <cfvo type="percent" val="100"/>
        <color rgb="FFFF231B"/>
        <color rgb="FF10FF07"/>
      </colorScale>
    </cfRule>
  </conditionalFormatting>
  <conditionalFormatting sqref="J15">
    <cfRule type="colorScale" priority="173">
      <colorScale>
        <cfvo type="percent" val="0"/>
        <cfvo type="percent" val="100"/>
        <color rgb="FFFF231B"/>
        <color rgb="FF10FF07"/>
      </colorScale>
    </cfRule>
  </conditionalFormatting>
  <conditionalFormatting sqref="J16:J23 J13">
    <cfRule type="colorScale" priority="426">
      <colorScale>
        <cfvo type="percent" val="0"/>
        <cfvo type="percent" val="100"/>
        <color rgb="FFFF231B"/>
        <color rgb="FF10FF07"/>
      </colorScale>
    </cfRule>
  </conditionalFormatting>
  <conditionalFormatting sqref="J25:J35">
    <cfRule type="colorScale" priority="704">
      <colorScale>
        <cfvo type="percent" val="0"/>
        <cfvo type="percent" val="100"/>
        <color rgb="FFFF231B"/>
        <color rgb="FF10FF07"/>
      </colorScale>
    </cfRule>
  </conditionalFormatting>
  <conditionalFormatting sqref="J38:J48">
    <cfRule type="colorScale" priority="737">
      <colorScale>
        <cfvo type="percent" val="0"/>
        <cfvo type="percent" val="100"/>
        <color rgb="FFFF231B"/>
        <color rgb="FF10FF07"/>
      </colorScale>
    </cfRule>
  </conditionalFormatting>
  <conditionalFormatting sqref="J50:J59">
    <cfRule type="colorScale" priority="797">
      <colorScale>
        <cfvo type="percent" val="0"/>
        <cfvo type="percent" val="100"/>
        <color rgb="FFFF231B"/>
        <color rgb="FF10FF07"/>
      </colorScale>
    </cfRule>
  </conditionalFormatting>
  <conditionalFormatting sqref="J6:K10">
    <cfRule type="colorScale" priority="615">
      <colorScale>
        <cfvo type="percent" val="0"/>
        <cfvo type="percent" val="100"/>
        <color rgb="FFFF231B"/>
        <color rgb="FF10FF07"/>
      </colorScale>
    </cfRule>
  </conditionalFormatting>
  <conditionalFormatting sqref="J14:K14">
    <cfRule type="colorScale" priority="193">
      <colorScale>
        <cfvo type="percent" val="0"/>
        <cfvo type="percent" val="100"/>
        <color rgb="FFFF231B"/>
        <color rgb="FF10FF07"/>
      </colorScale>
    </cfRule>
  </conditionalFormatting>
  <conditionalFormatting sqref="J15:K15">
    <cfRule type="colorScale" priority="174">
      <colorScale>
        <cfvo type="percent" val="0"/>
        <cfvo type="percent" val="100"/>
        <color rgb="FFFF231B"/>
        <color rgb="FF10FF07"/>
      </colorScale>
    </cfRule>
  </conditionalFormatting>
  <conditionalFormatting sqref="J16:K20">
    <cfRule type="colorScale" priority="427">
      <colorScale>
        <cfvo type="percent" val="0"/>
        <cfvo type="percent" val="100"/>
        <color rgb="FFFF231B"/>
        <color rgb="FF10FF07"/>
      </colorScale>
    </cfRule>
  </conditionalFormatting>
  <conditionalFormatting sqref="J26:K35">
    <cfRule type="colorScale" priority="702">
      <colorScale>
        <cfvo type="percent" val="0"/>
        <cfvo type="percent" val="100"/>
        <color rgb="FFFF231B"/>
        <color rgb="FF10FF07"/>
      </colorScale>
    </cfRule>
  </conditionalFormatting>
  <conditionalFormatting sqref="J39:K44">
    <cfRule type="colorScale" priority="735">
      <colorScale>
        <cfvo type="percent" val="0"/>
        <cfvo type="percent" val="100"/>
        <color rgb="FFFF231B"/>
        <color rgb="FF10FF07"/>
      </colorScale>
    </cfRule>
  </conditionalFormatting>
  <conditionalFormatting sqref="J51:K59">
    <cfRule type="colorScale" priority="796">
      <colorScale>
        <cfvo type="percent" val="0"/>
        <cfvo type="percent" val="100"/>
        <color rgb="FFFF231B"/>
        <color rgb="FF10FF07"/>
      </colorScale>
    </cfRule>
  </conditionalFormatting>
  <conditionalFormatting sqref="K5:K10">
    <cfRule type="colorScale" priority="645">
      <colorScale>
        <cfvo type="percent" val="0"/>
        <cfvo type="percent" val="100"/>
        <color rgb="FFFF231B"/>
        <color rgb="FF10FF07"/>
      </colorScale>
    </cfRule>
  </conditionalFormatting>
  <conditionalFormatting sqref="K14">
    <cfRule type="colorScale" priority="191">
      <colorScale>
        <cfvo type="percent" val="0"/>
        <cfvo type="percent" val="100"/>
        <color rgb="FFFF231B"/>
        <color rgb="FF10FF07"/>
      </colorScale>
    </cfRule>
  </conditionalFormatting>
  <conditionalFormatting sqref="K15">
    <cfRule type="colorScale" priority="172">
      <colorScale>
        <cfvo type="percent" val="0"/>
        <cfvo type="percent" val="100"/>
        <color rgb="FFFF231B"/>
        <color rgb="FF10FF07"/>
      </colorScale>
    </cfRule>
  </conditionalFormatting>
  <conditionalFormatting sqref="K16:K23 K13">
    <cfRule type="colorScale" priority="425">
      <colorScale>
        <cfvo type="percent" val="0"/>
        <cfvo type="percent" val="100"/>
        <color rgb="FFFF231B"/>
        <color rgb="FF10FF07"/>
      </colorScale>
    </cfRule>
  </conditionalFormatting>
  <conditionalFormatting sqref="K25:K35">
    <cfRule type="colorScale" priority="706">
      <colorScale>
        <cfvo type="percent" val="0"/>
        <cfvo type="percent" val="100"/>
        <color rgb="FFFF231B"/>
        <color rgb="FF10FF07"/>
      </colorScale>
    </cfRule>
  </conditionalFormatting>
  <conditionalFormatting sqref="K38:K48">
    <cfRule type="colorScale" priority="739">
      <colorScale>
        <cfvo type="percent" val="0"/>
        <cfvo type="percent" val="100"/>
        <color rgb="FFFF231B"/>
        <color rgb="FF10FF07"/>
      </colorScale>
    </cfRule>
  </conditionalFormatting>
  <conditionalFormatting sqref="K50:K59">
    <cfRule type="colorScale" priority="799">
      <colorScale>
        <cfvo type="percent" val="0"/>
        <cfvo type="percent" val="100"/>
        <color rgb="FFFF231B"/>
        <color rgb="FF10FF07"/>
      </colorScale>
    </cfRule>
  </conditionalFormatting>
  <conditionalFormatting sqref="O5:O10 Q5:Q10 V5:V10 X5:X10 AC5:AC10 AE5:AE10 AJ5:AJ10 AL5:AL10 AQ5:AQ10 AS5:AS10 AX5:AX10 AZ5:AZ10 BE5:BE10 BG5:BG10 BL5:BL10 BN5:BN10 O50:O59 Q50:Q59 V50:V59 X50:X59 AC50:AC59 AE50:AE59 AJ50:AJ59 AL50:AL59 AQ50:AQ59 AS50:AS59 AX50:AX59 AZ50:AZ59 BE50:BE59 BG50:BG59 BL50:BL59 BN50:BN59">
    <cfRule type="expression" dxfId="223" priority="612">
      <formula>OR(IF(O5&lt;P5,TRUE),IF(AND(P5="",O5&lt;&gt;""),TRUE))</formula>
    </cfRule>
    <cfRule type="expression" dxfId="222" priority="613">
      <formula>IF(O5&gt;=P5,IF(O5="",FALSE,TRUE))</formula>
    </cfRule>
  </conditionalFormatting>
  <conditionalFormatting sqref="O13:O23 Q13:Q23">
    <cfRule type="expression" dxfId="221" priority="187">
      <formula>OR(IF(O13&lt;P13,TRUE),IF(AND(P13="",O13&lt;&gt;""),TRUE))</formula>
    </cfRule>
    <cfRule type="expression" dxfId="220" priority="188">
      <formula>IF(O13&gt;=P13,IF(O13="",FALSE,TRUE))</formula>
    </cfRule>
  </conditionalFormatting>
  <conditionalFormatting sqref="O25:O35">
    <cfRule type="expression" dxfId="219" priority="553">
      <formula>OR(IF(O25&lt;P25,TRUE),IF(AND(P25="",O25&lt;&gt;""),TRUE))</formula>
    </cfRule>
    <cfRule type="expression" dxfId="218" priority="554">
      <formula>IF(O25&gt;=P25,IF(O25="",FALSE,TRUE))</formula>
    </cfRule>
  </conditionalFormatting>
  <conditionalFormatting sqref="O38:O48">
    <cfRule type="expression" dxfId="217" priority="340">
      <formula>OR(IF(O38&lt;P38,TRUE),IF(AND(P38="",O38&lt;&gt;""),TRUE))</formula>
    </cfRule>
    <cfRule type="expression" dxfId="216" priority="341">
      <formula>IF(O38&gt;=P38,IF(O38="",FALSE,TRUE))</formula>
    </cfRule>
  </conditionalFormatting>
  <conditionalFormatting sqref="Q25:Q35">
    <cfRule type="expression" dxfId="215" priority="551">
      <formula>OR(IF(Q25&lt;R25,TRUE),IF(AND(R25="",Q25&lt;&gt;""),TRUE))</formula>
    </cfRule>
    <cfRule type="expression" dxfId="214" priority="552">
      <formula>IF(Q25&gt;=R25,IF(Q25="",FALSE,TRUE))</formula>
    </cfRule>
  </conditionalFormatting>
  <conditionalFormatting sqref="Q38:Q48">
    <cfRule type="expression" dxfId="213" priority="338">
      <formula>OR(IF(Q38&lt;R38,TRUE),IF(AND(R38="",Q38&lt;&gt;""),TRUE))</formula>
    </cfRule>
    <cfRule type="expression" dxfId="212" priority="339">
      <formula>IF(Q38&gt;=R38,IF(Q38="",FALSE,TRUE))</formula>
    </cfRule>
  </conditionalFormatting>
  <conditionalFormatting sqref="V13:V23 X13:X23">
    <cfRule type="expression" dxfId="211" priority="185">
      <formula>OR(IF(V13&lt;W13,TRUE),IF(AND(W13="",V13&lt;&gt;""),TRUE))</formula>
    </cfRule>
    <cfRule type="expression" dxfId="210" priority="186">
      <formula>IF(V13&gt;=W13,IF(V13="",FALSE,TRUE))</formula>
    </cfRule>
  </conditionalFormatting>
  <conditionalFormatting sqref="V25:V35">
    <cfRule type="expression" dxfId="209" priority="523">
      <formula>OR(IF(V25&lt;W25,TRUE),IF(AND(W25="",V25&lt;&gt;""),TRUE))</formula>
    </cfRule>
    <cfRule type="expression" dxfId="208" priority="524">
      <formula>IF(V25&gt;=W25,IF(V25="",FALSE,TRUE))</formula>
    </cfRule>
  </conditionalFormatting>
  <conditionalFormatting sqref="V38:V48">
    <cfRule type="expression" dxfId="207" priority="332">
      <formula>OR(IF(V38&lt;W38,TRUE),IF(AND(W38="",V38&lt;&gt;""),TRUE))</formula>
    </cfRule>
    <cfRule type="expression" dxfId="206" priority="333">
      <formula>IF(V38&gt;=W38,IF(V38="",FALSE,TRUE))</formula>
    </cfRule>
  </conditionalFormatting>
  <conditionalFormatting sqref="X25:X35">
    <cfRule type="expression" dxfId="205" priority="521">
      <formula>OR(IF(X25&lt;Y25,TRUE),IF(AND(Y25="",X25&lt;&gt;""),TRUE))</formula>
    </cfRule>
    <cfRule type="expression" dxfId="204" priority="522">
      <formula>IF(X25&gt;=Y25,IF(X25="",FALSE,TRUE))</formula>
    </cfRule>
  </conditionalFormatting>
  <conditionalFormatting sqref="X38:X48">
    <cfRule type="expression" dxfId="203" priority="330">
      <formula>OR(IF(X38&lt;Y38,TRUE),IF(AND(Y38="",X38&lt;&gt;""),TRUE))</formula>
    </cfRule>
    <cfRule type="expression" dxfId="202" priority="331">
      <formula>IF(X38&gt;=Y38,IF(X38="",FALSE,TRUE))</formula>
    </cfRule>
  </conditionalFormatting>
  <conditionalFormatting sqref="AC13:AC23 AE13:AE23">
    <cfRule type="expression" dxfId="201" priority="183">
      <formula>OR(IF(AC13&lt;AD13,TRUE),IF(AND(AD13="",AC13&lt;&gt;""),TRUE))</formula>
    </cfRule>
    <cfRule type="expression" dxfId="200" priority="184">
      <formula>IF(AC13&gt;=AD13,IF(AC13="",FALSE,TRUE))</formula>
    </cfRule>
  </conditionalFormatting>
  <conditionalFormatting sqref="AC25:AC35">
    <cfRule type="expression" dxfId="199" priority="507">
      <formula>OR(IF(AC25&lt;AD25,TRUE),IF(AND(AD25="",AC25&lt;&gt;""),TRUE))</formula>
    </cfRule>
    <cfRule type="expression" dxfId="198" priority="508">
      <formula>IF(AC25&gt;=AD25,IF(AC25="",FALSE,TRUE))</formula>
    </cfRule>
  </conditionalFormatting>
  <conditionalFormatting sqref="AC38:AC48">
    <cfRule type="expression" dxfId="197" priority="324">
      <formula>OR(IF(AC38&lt;AD38,TRUE),IF(AND(AD38="",AC38&lt;&gt;""),TRUE))</formula>
    </cfRule>
    <cfRule type="expression" dxfId="196" priority="325">
      <formula>IF(AC38&gt;=AD38,IF(AC38="",FALSE,TRUE))</formula>
    </cfRule>
  </conditionalFormatting>
  <conditionalFormatting sqref="AE25:AE35">
    <cfRule type="expression" dxfId="195" priority="505">
      <formula>OR(IF(AE25&lt;AF25,TRUE),IF(AND(AF25="",AE25&lt;&gt;""),TRUE))</formula>
    </cfRule>
    <cfRule type="expression" dxfId="194" priority="506">
      <formula>IF(AE25&gt;=AF25,IF(AE25="",FALSE,TRUE))</formula>
    </cfRule>
  </conditionalFormatting>
  <conditionalFormatting sqref="AE38:AE48">
    <cfRule type="expression" dxfId="193" priority="322">
      <formula>OR(IF(AE38&lt;AF38,TRUE),IF(AND(AF38="",AE38&lt;&gt;""),TRUE))</formula>
    </cfRule>
    <cfRule type="expression" dxfId="192" priority="323">
      <formula>IF(AE38&gt;=AF38,IF(AE38="",FALSE,TRUE))</formula>
    </cfRule>
  </conditionalFormatting>
  <conditionalFormatting sqref="AJ13:AJ23 AL13:AL23">
    <cfRule type="expression" dxfId="191" priority="181">
      <formula>OR(IF(AJ13&lt;AK13,TRUE),IF(AND(AK13="",AJ13&lt;&gt;""),TRUE))</formula>
    </cfRule>
    <cfRule type="expression" dxfId="190" priority="182">
      <formula>IF(AJ13&gt;=AK13,IF(AJ13="",FALSE,TRUE))</formula>
    </cfRule>
  </conditionalFormatting>
  <conditionalFormatting sqref="AJ25:AJ35">
    <cfRule type="expression" dxfId="189" priority="491">
      <formula>OR(IF(AJ25&lt;AK25,TRUE),IF(AND(AK25="",AJ25&lt;&gt;""),TRUE))</formula>
    </cfRule>
    <cfRule type="expression" dxfId="188" priority="492">
      <formula>IF(AJ25&gt;=AK25,IF(AJ25="",FALSE,TRUE))</formula>
    </cfRule>
  </conditionalFormatting>
  <conditionalFormatting sqref="AJ38:AJ48">
    <cfRule type="expression" dxfId="187" priority="316">
      <formula>OR(IF(AJ38&lt;AK38,TRUE),IF(AND(AK38="",AJ38&lt;&gt;""),TRUE))</formula>
    </cfRule>
    <cfRule type="expression" dxfId="186" priority="317">
      <formula>IF(AJ38&gt;=AK38,IF(AJ38="",FALSE,TRUE))</formula>
    </cfRule>
  </conditionalFormatting>
  <conditionalFormatting sqref="AL25:AL35">
    <cfRule type="expression" dxfId="185" priority="489">
      <formula>OR(IF(AL25&lt;AM25,TRUE),IF(AND(AM25="",AL25&lt;&gt;""),TRUE))</formula>
    </cfRule>
    <cfRule type="expression" dxfId="184" priority="490">
      <formula>IF(AL25&gt;=AM25,IF(AL25="",FALSE,TRUE))</formula>
    </cfRule>
  </conditionalFormatting>
  <conditionalFormatting sqref="AL38:AL48">
    <cfRule type="expression" dxfId="183" priority="314">
      <formula>OR(IF(AL38&lt;AM38,TRUE),IF(AND(AM38="",AL38&lt;&gt;""),TRUE))</formula>
    </cfRule>
    <cfRule type="expression" dxfId="182" priority="315">
      <formula>IF(AL38&gt;=AM38,IF(AL38="",FALSE,TRUE))</formula>
    </cfRule>
  </conditionalFormatting>
  <conditionalFormatting sqref="AQ13:AQ23 AS13:AS23">
    <cfRule type="expression" dxfId="181" priority="179">
      <formula>OR(IF(AQ13&lt;AR13,TRUE),IF(AND(AR13="",AQ13&lt;&gt;""),TRUE))</formula>
    </cfRule>
    <cfRule type="expression" dxfId="180" priority="180">
      <formula>IF(AQ13&gt;=AR13,IF(AQ13="",FALSE,TRUE))</formula>
    </cfRule>
  </conditionalFormatting>
  <conditionalFormatting sqref="AQ25:AQ35">
    <cfRule type="expression" dxfId="179" priority="475">
      <formula>OR(IF(AQ25&lt;AR25,TRUE),IF(AND(AR25="",AQ25&lt;&gt;""),TRUE))</formula>
    </cfRule>
    <cfRule type="expression" dxfId="178" priority="476">
      <formula>IF(AQ25&gt;=AR25,IF(AQ25="",FALSE,TRUE))</formula>
    </cfRule>
  </conditionalFormatting>
  <conditionalFormatting sqref="AQ38:AQ48">
    <cfRule type="expression" dxfId="177" priority="308">
      <formula>OR(IF(AQ38&lt;AR38,TRUE),IF(AND(AR38="",AQ38&lt;&gt;""),TRUE))</formula>
    </cfRule>
    <cfRule type="expression" dxfId="176" priority="309">
      <formula>IF(AQ38&gt;=AR38,IF(AQ38="",FALSE,TRUE))</formula>
    </cfRule>
  </conditionalFormatting>
  <conditionalFormatting sqref="AS25:AS35">
    <cfRule type="expression" dxfId="175" priority="473">
      <formula>OR(IF(AS25&lt;AT25,TRUE),IF(AND(AT25="",AS25&lt;&gt;""),TRUE))</formula>
    </cfRule>
    <cfRule type="expression" dxfId="174" priority="474">
      <formula>IF(AS25&gt;=AT25,IF(AS25="",FALSE,TRUE))</formula>
    </cfRule>
  </conditionalFormatting>
  <conditionalFormatting sqref="AS38:AS48">
    <cfRule type="expression" dxfId="173" priority="306">
      <formula>OR(IF(AS38&lt;AT38,TRUE),IF(AND(AT38="",AS38&lt;&gt;""),TRUE))</formula>
    </cfRule>
    <cfRule type="expression" dxfId="172" priority="307">
      <formula>IF(AS38&gt;=AT38,IF(AS38="",FALSE,TRUE))</formula>
    </cfRule>
  </conditionalFormatting>
  <conditionalFormatting sqref="AX13:AX23 AZ13:AZ23">
    <cfRule type="expression" dxfId="171" priority="177">
      <formula>OR(IF(AX13&lt;AY13,TRUE),IF(AND(AY13="",AX13&lt;&gt;""),TRUE))</formula>
    </cfRule>
    <cfRule type="expression" dxfId="170" priority="178">
      <formula>IF(AX13&gt;=AY13,IF(AX13="",FALSE,TRUE))</formula>
    </cfRule>
  </conditionalFormatting>
  <conditionalFormatting sqref="AX25:AX35">
    <cfRule type="expression" dxfId="169" priority="459">
      <formula>OR(IF(AX25&lt;AY25,TRUE),IF(AND(AY25="",AX25&lt;&gt;""),TRUE))</formula>
    </cfRule>
    <cfRule type="expression" dxfId="168" priority="460">
      <formula>IF(AX25&gt;=AY25,IF(AX25="",FALSE,TRUE))</formula>
    </cfRule>
  </conditionalFormatting>
  <conditionalFormatting sqref="AX38:AX48">
    <cfRule type="expression" dxfId="167" priority="300">
      <formula>OR(IF(AX38&lt;AY38,TRUE),IF(AND(AY38="",AX38&lt;&gt;""),TRUE))</formula>
    </cfRule>
    <cfRule type="expression" dxfId="166" priority="301">
      <formula>IF(AX38&gt;=AY38,IF(AX38="",FALSE,TRUE))</formula>
    </cfRule>
  </conditionalFormatting>
  <conditionalFormatting sqref="AZ25:AZ35">
    <cfRule type="expression" dxfId="165" priority="457">
      <formula>OR(IF(AZ25&lt;BA25,TRUE),IF(AND(BA25="",AZ25&lt;&gt;""),TRUE))</formula>
    </cfRule>
    <cfRule type="expression" dxfId="164" priority="458">
      <formula>IF(AZ25&gt;=BA25,IF(AZ25="",FALSE,TRUE))</formula>
    </cfRule>
  </conditionalFormatting>
  <conditionalFormatting sqref="AZ38:AZ48">
    <cfRule type="expression" dxfId="163" priority="298">
      <formula>OR(IF(AZ38&lt;BA38,TRUE),IF(AND(BA38="",AZ38&lt;&gt;""),TRUE))</formula>
    </cfRule>
    <cfRule type="expression" dxfId="162" priority="299">
      <formula>IF(AZ38&gt;=BA38,IF(AZ38="",FALSE,TRUE))</formula>
    </cfRule>
  </conditionalFormatting>
  <conditionalFormatting sqref="BE13:BE23 BG13:BG23">
    <cfRule type="expression" dxfId="161" priority="175">
      <formula>OR(IF(BE13&lt;BF13,TRUE),IF(AND(BF13="",BE13&lt;&gt;""),TRUE))</formula>
    </cfRule>
    <cfRule type="expression" dxfId="160" priority="176">
      <formula>IF(BE13&gt;=BF13,IF(BE13="",FALSE,TRUE))</formula>
    </cfRule>
  </conditionalFormatting>
  <conditionalFormatting sqref="BE25:BE35">
    <cfRule type="expression" dxfId="159" priority="443">
      <formula>OR(IF(BE25&lt;BF25,TRUE),IF(AND(BF25="",BE25&lt;&gt;""),TRUE))</formula>
    </cfRule>
    <cfRule type="expression" dxfId="158" priority="444">
      <formula>IF(BE25&gt;=BF25,IF(BE25="",FALSE,TRUE))</formula>
    </cfRule>
  </conditionalFormatting>
  <conditionalFormatting sqref="BE38:BE48">
    <cfRule type="expression" dxfId="157" priority="292">
      <formula>OR(IF(BE38&lt;BF38,TRUE),IF(AND(BF38="",BE38&lt;&gt;""),TRUE))</formula>
    </cfRule>
    <cfRule type="expression" dxfId="156" priority="293">
      <formula>IF(BE38&gt;=BF38,IF(BE38="",FALSE,TRUE))</formula>
    </cfRule>
  </conditionalFormatting>
  <conditionalFormatting sqref="BG25:BG35">
    <cfRule type="expression" dxfId="155" priority="441">
      <formula>OR(IF(BG25&lt;BH25,TRUE),IF(AND(BH25="",BG25&lt;&gt;""),TRUE))</formula>
    </cfRule>
    <cfRule type="expression" dxfId="154" priority="442">
      <formula>IF(BG25&gt;=BH25,IF(BG25="",FALSE,TRUE))</formula>
    </cfRule>
  </conditionalFormatting>
  <conditionalFormatting sqref="BG38:BG48">
    <cfRule type="expression" dxfId="153" priority="290">
      <formula>OR(IF(BG38&lt;BH38,TRUE),IF(AND(BH38="",BG38&lt;&gt;""),TRUE))</formula>
    </cfRule>
    <cfRule type="expression" dxfId="152" priority="291">
      <formula>IF(BG38&gt;=BH38,IF(BG38="",FALSE,TRUE))</formula>
    </cfRule>
  </conditionalFormatting>
  <conditionalFormatting sqref="BL13:BL23 BN13:BN23">
    <cfRule type="expression" dxfId="151" priority="170">
      <formula>OR(IF(BL13&lt;BM13,TRUE),IF(AND(BM13="",BL13&lt;&gt;""),TRUE))</formula>
    </cfRule>
    <cfRule type="expression" dxfId="150" priority="171">
      <formula>IF(BL13&gt;=BM13,IF(BL13="",FALSE,TRUE))</formula>
    </cfRule>
  </conditionalFormatting>
  <conditionalFormatting sqref="BL25:BL35">
    <cfRule type="expression" dxfId="149" priority="419">
      <formula>OR(IF(BL25&lt;BM25,TRUE),IF(AND(BM25="",BL25&lt;&gt;""),TRUE))</formula>
    </cfRule>
    <cfRule type="expression" dxfId="148" priority="420">
      <formula>IF(BL25&gt;=BM25,IF(BL25="",FALSE,TRUE))</formula>
    </cfRule>
  </conditionalFormatting>
  <conditionalFormatting sqref="BL38:BL48">
    <cfRule type="expression" dxfId="147" priority="281">
      <formula>OR(IF(BL38&lt;BM38,TRUE),IF(AND(BM38="",BL38&lt;&gt;""),TRUE))</formula>
    </cfRule>
    <cfRule type="expression" dxfId="146" priority="282">
      <formula>IF(BL38&gt;=BM38,IF(BL38="",FALSE,TRUE))</formula>
    </cfRule>
  </conditionalFormatting>
  <conditionalFormatting sqref="BN25:BN35">
    <cfRule type="expression" dxfId="145" priority="417">
      <formula>OR(IF(BN25&lt;BO25,TRUE),IF(AND(BO25="",BN25&lt;&gt;""),TRUE))</formula>
    </cfRule>
    <cfRule type="expression" dxfId="144" priority="418">
      <formula>IF(BN25&gt;=BO25,IF(BN25="",FALSE,TRUE))</formula>
    </cfRule>
  </conditionalFormatting>
  <conditionalFormatting sqref="BN38:BN48">
    <cfRule type="expression" dxfId="143" priority="279">
      <formula>OR(IF(BN38&lt;BO38,TRUE),IF(AND(BO38="",BN38&lt;&gt;""),TRUE))</formula>
    </cfRule>
    <cfRule type="expression" dxfId="142" priority="280">
      <formula>IF(BN38&gt;=BO38,IF(BN38="",FALSE,TRUE))</formula>
    </cfRule>
  </conditionalFormatting>
  <conditionalFormatting sqref="BS5:BS10 BU5:BU10 BS50:BS59 BU50:BU59">
    <cfRule type="expression" dxfId="141" priority="168">
      <formula>OR(IF(BS5&lt;BT5,TRUE),IF(AND(BT5="",BS5&lt;&gt;""),TRUE))</formula>
    </cfRule>
    <cfRule type="expression" dxfId="140" priority="169">
      <formula>IF(BS5&gt;=BT5,IF(BS5="",FALSE,TRUE))</formula>
    </cfRule>
  </conditionalFormatting>
  <conditionalFormatting sqref="BS13:BS23 BU13:BU23">
    <cfRule type="expression" dxfId="139" priority="150">
      <formula>OR(IF(BS13&lt;BT13,TRUE),IF(AND(BT13="",BS13&lt;&gt;""),TRUE))</formula>
    </cfRule>
    <cfRule type="expression" dxfId="138" priority="151">
      <formula>IF(BS13&gt;=BT13,IF(BS13="",FALSE,TRUE))</formula>
    </cfRule>
  </conditionalFormatting>
  <conditionalFormatting sqref="BS25:BS35">
    <cfRule type="expression" dxfId="137" priority="164">
      <formula>OR(IF(BS25&lt;BT25,TRUE),IF(AND(BT25="",BS25&lt;&gt;""),TRUE))</formula>
    </cfRule>
    <cfRule type="expression" dxfId="136" priority="165">
      <formula>IF(BS25&gt;=BT25,IF(BS25="",FALSE,TRUE))</formula>
    </cfRule>
  </conditionalFormatting>
  <conditionalFormatting sqref="BS38:BS48">
    <cfRule type="expression" dxfId="135" priority="156">
      <formula>OR(IF(BS38&lt;BT38,TRUE),IF(AND(BT38="",BS38&lt;&gt;""),TRUE))</formula>
    </cfRule>
    <cfRule type="expression" dxfId="134" priority="157">
      <formula>IF(BS38&gt;=BT38,IF(BS38="",FALSE,TRUE))</formula>
    </cfRule>
  </conditionalFormatting>
  <conditionalFormatting sqref="BU25:BU35">
    <cfRule type="expression" dxfId="133" priority="162">
      <formula>OR(IF(BU25&lt;BV25,TRUE),IF(AND(BV25="",BU25&lt;&gt;""),TRUE))</formula>
    </cfRule>
    <cfRule type="expression" dxfId="132" priority="163">
      <formula>IF(BU25&gt;=BV25,IF(BU25="",FALSE,TRUE))</formula>
    </cfRule>
  </conditionalFormatting>
  <conditionalFormatting sqref="BU38:BU48">
    <cfRule type="expression" dxfId="131" priority="154">
      <formula>OR(IF(BU38&lt;BV38,TRUE),IF(AND(BV38="",BU38&lt;&gt;""),TRUE))</formula>
    </cfRule>
    <cfRule type="expression" dxfId="130" priority="155">
      <formula>IF(BU38&gt;=BV38,IF(BU38="",FALSE,TRUE))</formula>
    </cfRule>
  </conditionalFormatting>
  <conditionalFormatting sqref="BZ5:BZ10 BZ50:BZ59 CB50:CB59">
    <cfRule type="expression" dxfId="129" priority="148">
      <formula>OR(IF(BZ5&lt;CA5,TRUE),IF(AND(CA5="",BZ5&lt;&gt;""),TRUE))</formula>
    </cfRule>
    <cfRule type="expression" dxfId="128" priority="149">
      <formula>IF(BZ5&gt;=CA5,IF(BZ5="",FALSE,TRUE))</formula>
    </cfRule>
  </conditionalFormatting>
  <conditionalFormatting sqref="BZ13:BZ23 CB13:CB23">
    <cfRule type="expression" dxfId="127" priority="130">
      <formula>OR(IF(BZ13&lt;CA13,TRUE),IF(AND(CA13="",BZ13&lt;&gt;""),TRUE))</formula>
    </cfRule>
    <cfRule type="expression" dxfId="126" priority="131">
      <formula>IF(BZ13&gt;=CA13,IF(BZ13="",FALSE,TRUE))</formula>
    </cfRule>
  </conditionalFormatting>
  <conditionalFormatting sqref="BZ25:BZ35">
    <cfRule type="expression" dxfId="125" priority="144">
      <formula>OR(IF(BZ25&lt;CA25,TRUE),IF(AND(CA25="",BZ25&lt;&gt;""),TRUE))</formula>
    </cfRule>
    <cfRule type="expression" dxfId="124" priority="145">
      <formula>IF(BZ25&gt;=CA25,IF(BZ25="",FALSE,TRUE))</formula>
    </cfRule>
  </conditionalFormatting>
  <conditionalFormatting sqref="BZ38:BZ48">
    <cfRule type="expression" dxfId="123" priority="136">
      <formula>OR(IF(BZ38&lt;CA38,TRUE),IF(AND(CA38="",BZ38&lt;&gt;""),TRUE))</formula>
    </cfRule>
    <cfRule type="expression" dxfId="122" priority="137">
      <formula>IF(BZ38&gt;=CA38,IF(BZ38="",FALSE,TRUE))</formula>
    </cfRule>
  </conditionalFormatting>
  <conditionalFormatting sqref="CB5:CB10">
    <cfRule type="expression" dxfId="121" priority="48">
      <formula>OR(IF(CB5&lt;CC5,TRUE),IF(AND(CC5="",CB5&lt;&gt;""),TRUE))</formula>
    </cfRule>
    <cfRule type="expression" dxfId="120" priority="49">
      <formula>IF(CB5&gt;=CC5,IF(CB5="",FALSE,TRUE))</formula>
    </cfRule>
  </conditionalFormatting>
  <conditionalFormatting sqref="CB25:CB35">
    <cfRule type="expression" dxfId="119" priority="142">
      <formula>OR(IF(CB25&lt;CC25,TRUE),IF(AND(CC25="",CB25&lt;&gt;""),TRUE))</formula>
    </cfRule>
    <cfRule type="expression" dxfId="118" priority="143">
      <formula>IF(CB25&gt;=CC25,IF(CB25="",FALSE,TRUE))</formula>
    </cfRule>
  </conditionalFormatting>
  <conditionalFormatting sqref="CB38:CB48">
    <cfRule type="expression" dxfId="117" priority="134">
      <formula>OR(IF(CB38&lt;CC38,TRUE),IF(AND(CC38="",CB38&lt;&gt;""),TRUE))</formula>
    </cfRule>
    <cfRule type="expression" dxfId="116" priority="135">
      <formula>IF(CB38&gt;=CC38,IF(CB38="",FALSE,TRUE))</formula>
    </cfRule>
  </conditionalFormatting>
  <conditionalFormatting sqref="CG5:CG10 CI5:CI10 CG50:CG59 CI50:CI59">
    <cfRule type="expression" dxfId="115" priority="128">
      <formula>OR(IF(CG5&lt;CH5,TRUE),IF(AND(CH5="",CG5&lt;&gt;""),TRUE))</formula>
    </cfRule>
    <cfRule type="expression" dxfId="114" priority="129">
      <formula>IF(CG5&gt;=CH5,IF(CG5="",FALSE,TRUE))</formula>
    </cfRule>
  </conditionalFormatting>
  <conditionalFormatting sqref="CG13:CG23 CI13:CI23">
    <cfRule type="expression" dxfId="113" priority="110">
      <formula>OR(IF(CG13&lt;CH13,TRUE),IF(AND(CH13="",CG13&lt;&gt;""),TRUE))</formula>
    </cfRule>
    <cfRule type="expression" dxfId="112" priority="111">
      <formula>IF(CG13&gt;=CH13,IF(CG13="",FALSE,TRUE))</formula>
    </cfRule>
  </conditionalFormatting>
  <conditionalFormatting sqref="CG25:CG35">
    <cfRule type="expression" dxfId="111" priority="124">
      <formula>OR(IF(CG25&lt;CH25,TRUE),IF(AND(CH25="",CG25&lt;&gt;""),TRUE))</formula>
    </cfRule>
    <cfRule type="expression" dxfId="110" priority="125">
      <formula>IF(CG25&gt;=CH25,IF(CG25="",FALSE,TRUE))</formula>
    </cfRule>
  </conditionalFormatting>
  <conditionalFormatting sqref="CG38:CG48">
    <cfRule type="expression" dxfId="109" priority="116">
      <formula>OR(IF(CG38&lt;CH38,TRUE),IF(AND(CH38="",CG38&lt;&gt;""),TRUE))</formula>
    </cfRule>
    <cfRule type="expression" dxfId="108" priority="117">
      <formula>IF(CG38&gt;=CH38,IF(CG38="",FALSE,TRUE))</formula>
    </cfRule>
  </conditionalFormatting>
  <conditionalFormatting sqref="CI25:CI35">
    <cfRule type="expression" dxfId="107" priority="122">
      <formula>OR(IF(CI25&lt;CJ25,TRUE),IF(AND(CJ25="",CI25&lt;&gt;""),TRUE))</formula>
    </cfRule>
    <cfRule type="expression" dxfId="106" priority="123">
      <formula>IF(CI25&gt;=CJ25,IF(CI25="",FALSE,TRUE))</formula>
    </cfRule>
  </conditionalFormatting>
  <conditionalFormatting sqref="CI38:CI48">
    <cfRule type="expression" dxfId="105" priority="114">
      <formula>OR(IF(CI38&lt;CJ38,TRUE),IF(AND(CJ38="",CI38&lt;&gt;""),TRUE))</formula>
    </cfRule>
    <cfRule type="expression" dxfId="104" priority="115">
      <formula>IF(CI38&gt;=CJ38,IF(CI38="",FALSE,TRUE))</formula>
    </cfRule>
  </conditionalFormatting>
  <conditionalFormatting sqref="CP5:CP10 CN50:CN59 CP50:CP59 CN5:CN10">
    <cfRule type="expression" dxfId="103" priority="108">
      <formula>OR(IF(CN5&lt;CO5,TRUE),IF(AND(CO5="",CN5&lt;&gt;""),TRUE))</formula>
    </cfRule>
    <cfRule type="expression" dxfId="102" priority="109">
      <formula>IF(CN5&gt;=CO5,IF(CN5="",FALSE,TRUE))</formula>
    </cfRule>
  </conditionalFormatting>
  <conditionalFormatting sqref="CN13:CN23 CP13:CP23">
    <cfRule type="expression" dxfId="101" priority="90">
      <formula>OR(IF(CN13&lt;CO13,TRUE),IF(AND(CO13="",CN13&lt;&gt;""),TRUE))</formula>
    </cfRule>
    <cfRule type="expression" dxfId="100" priority="91">
      <formula>IF(CN13&gt;=CO13,IF(CN13="",FALSE,TRUE))</formula>
    </cfRule>
  </conditionalFormatting>
  <conditionalFormatting sqref="CN25:CN35">
    <cfRule type="expression" dxfId="99" priority="104">
      <formula>OR(IF(CN25&lt;CO25,TRUE),IF(AND(CO25="",CN25&lt;&gt;""),TRUE))</formula>
    </cfRule>
    <cfRule type="expression" dxfId="98" priority="105">
      <formula>IF(CN25&gt;=CO25,IF(CN25="",FALSE,TRUE))</formula>
    </cfRule>
  </conditionalFormatting>
  <conditionalFormatting sqref="CN38:CN48">
    <cfRule type="expression" dxfId="97" priority="96">
      <formula>OR(IF(CN38&lt;CO38,TRUE),IF(AND(CO38="",CN38&lt;&gt;""),TRUE))</formula>
    </cfRule>
    <cfRule type="expression" dxfId="96" priority="97">
      <formula>IF(CN38&gt;=CO38,IF(CN38="",FALSE,TRUE))</formula>
    </cfRule>
  </conditionalFormatting>
  <conditionalFormatting sqref="CP25:CP35">
    <cfRule type="expression" dxfId="95" priority="102">
      <formula>OR(IF(CP25&lt;CQ25,TRUE),IF(AND(CQ25="",CP25&lt;&gt;""),TRUE))</formula>
    </cfRule>
    <cfRule type="expression" dxfId="94" priority="103">
      <formula>IF(CP25&gt;=CQ25,IF(CP25="",FALSE,TRUE))</formula>
    </cfRule>
  </conditionalFormatting>
  <conditionalFormatting sqref="CP38:CP48">
    <cfRule type="expression" dxfId="93" priority="94">
      <formula>OR(IF(CP38&lt;CQ38,TRUE),IF(AND(CQ38="",CP38&lt;&gt;""),TRUE))</formula>
    </cfRule>
    <cfRule type="expression" dxfId="92" priority="95">
      <formula>IF(CP38&gt;=CQ38,IF(CP38="",FALSE,TRUE))</formula>
    </cfRule>
  </conditionalFormatting>
  <conditionalFormatting sqref="CU5:CU10 CW5:CW10 CU50:CU59 CW50:CW59">
    <cfRule type="expression" dxfId="91" priority="88">
      <formula>OR(IF(CU5&lt;CV5,TRUE),IF(AND(CV5="",CU5&lt;&gt;""),TRUE))</formula>
    </cfRule>
    <cfRule type="expression" dxfId="90" priority="89">
      <formula>IF(CU5&gt;=CV5,IF(CU5="",FALSE,TRUE))</formula>
    </cfRule>
  </conditionalFormatting>
  <conditionalFormatting sqref="CU13:CU23 CW13:CW23">
    <cfRule type="expression" dxfId="89" priority="70">
      <formula>OR(IF(CU13&lt;CV13,TRUE),IF(AND(CV13="",CU13&lt;&gt;""),TRUE))</formula>
    </cfRule>
    <cfRule type="expression" dxfId="88" priority="71">
      <formula>IF(CU13&gt;=CV13,IF(CU13="",FALSE,TRUE))</formula>
    </cfRule>
  </conditionalFormatting>
  <conditionalFormatting sqref="CU25:CU35">
    <cfRule type="expression" dxfId="87" priority="84">
      <formula>OR(IF(CU25&lt;CV25,TRUE),IF(AND(CV25="",CU25&lt;&gt;""),TRUE))</formula>
    </cfRule>
    <cfRule type="expression" dxfId="86" priority="85">
      <formula>IF(CU25&gt;=CV25,IF(CU25="",FALSE,TRUE))</formula>
    </cfRule>
  </conditionalFormatting>
  <conditionalFormatting sqref="CU38:CU48">
    <cfRule type="expression" dxfId="85" priority="76">
      <formula>OR(IF(CU38&lt;CV38,TRUE),IF(AND(CV38="",CU38&lt;&gt;""),TRUE))</formula>
    </cfRule>
    <cfRule type="expression" dxfId="84" priority="77">
      <formula>IF(CU38&gt;=CV38,IF(CU38="",FALSE,TRUE))</formula>
    </cfRule>
  </conditionalFormatting>
  <conditionalFormatting sqref="CW25:CW35">
    <cfRule type="expression" dxfId="83" priority="82">
      <formula>OR(IF(CW25&lt;CX25,TRUE),IF(AND(CX25="",CW25&lt;&gt;""),TRUE))</formula>
    </cfRule>
    <cfRule type="expression" dxfId="82" priority="83">
      <formula>IF(CW25&gt;=CX25,IF(CW25="",FALSE,TRUE))</formula>
    </cfRule>
  </conditionalFormatting>
  <conditionalFormatting sqref="CW38:CW48">
    <cfRule type="expression" dxfId="81" priority="74">
      <formula>OR(IF(CW38&lt;CX38,TRUE),IF(AND(CX38="",CW38&lt;&gt;""),TRUE))</formula>
    </cfRule>
    <cfRule type="expression" dxfId="80" priority="75">
      <formula>IF(CW38&gt;=CX38,IF(CW38="",FALSE,TRUE))</formula>
    </cfRule>
  </conditionalFormatting>
  <conditionalFormatting sqref="DB5:DB10 DD5:DD10 DB50:DB59 DD50:DD59">
    <cfRule type="expression" dxfId="79" priority="68">
      <formula>OR(IF(DB5&lt;DC5,TRUE),IF(AND(DC5="",DB5&lt;&gt;""),TRUE))</formula>
    </cfRule>
    <cfRule type="expression" dxfId="78" priority="69">
      <formula>IF(DB5&gt;=DC5,IF(DB5="",FALSE,TRUE))</formula>
    </cfRule>
  </conditionalFormatting>
  <conditionalFormatting sqref="DB13:DB23 DD13:DD23">
    <cfRule type="expression" dxfId="77" priority="50">
      <formula>OR(IF(DB13&lt;DC13,TRUE),IF(AND(DC13="",DB13&lt;&gt;""),TRUE))</formula>
    </cfRule>
    <cfRule type="expression" dxfId="76" priority="51">
      <formula>IF(DB13&gt;=DC13,IF(DB13="",FALSE,TRUE))</formula>
    </cfRule>
  </conditionalFormatting>
  <conditionalFormatting sqref="DB25:DB35">
    <cfRule type="expression" dxfId="75" priority="64">
      <formula>OR(IF(DB25&lt;DC25,TRUE),IF(AND(DC25="",DB25&lt;&gt;""),TRUE))</formula>
    </cfRule>
    <cfRule type="expression" dxfId="74" priority="65">
      <formula>IF(DB25&gt;=DC25,IF(DB25="",FALSE,TRUE))</formula>
    </cfRule>
  </conditionalFormatting>
  <conditionalFormatting sqref="DB38:DB48">
    <cfRule type="expression" dxfId="73" priority="56">
      <formula>OR(IF(DB38&lt;DC38,TRUE),IF(AND(DC38="",DB38&lt;&gt;""),TRUE))</formula>
    </cfRule>
    <cfRule type="expression" dxfId="72" priority="57">
      <formula>IF(DB38&gt;=DC38,IF(DB38="",FALSE,TRUE))</formula>
    </cfRule>
  </conditionalFormatting>
  <conditionalFormatting sqref="DD25:DD35">
    <cfRule type="expression" dxfId="71" priority="62">
      <formula>OR(IF(DD25&lt;DE25,TRUE),IF(AND(DE25="",DD25&lt;&gt;""),TRUE))</formula>
    </cfRule>
    <cfRule type="expression" dxfId="70" priority="63">
      <formula>IF(DD25&gt;=DE25,IF(DD25="",FALSE,TRUE))</formula>
    </cfRule>
  </conditionalFormatting>
  <conditionalFormatting sqref="DD38:DD48">
    <cfRule type="expression" dxfId="69" priority="54">
      <formula>OR(IF(DD38&lt;DE38,TRUE),IF(AND(DE38="",DD38&lt;&gt;""),TRUE))</formula>
    </cfRule>
    <cfRule type="expression" dxfId="68" priority="55">
      <formula>IF(DD38&gt;=DE38,IF(DD38="",FALSE,TRUE))</formula>
    </cfRule>
  </conditionalFormatting>
  <conditionalFormatting sqref="J62:J71">
    <cfRule type="colorScale" priority="46">
      <colorScale>
        <cfvo type="percent" val="0"/>
        <cfvo type="percent" val="100"/>
        <color rgb="FFFF231B"/>
        <color rgb="FF10FF07"/>
      </colorScale>
    </cfRule>
  </conditionalFormatting>
  <conditionalFormatting sqref="J63:K71">
    <cfRule type="colorScale" priority="45">
      <colorScale>
        <cfvo type="percent" val="0"/>
        <cfvo type="percent" val="100"/>
        <color rgb="FFFF231B"/>
        <color rgb="FF10FF07"/>
      </colorScale>
    </cfRule>
  </conditionalFormatting>
  <conditionalFormatting sqref="K62:K71">
    <cfRule type="colorScale" priority="47">
      <colorScale>
        <cfvo type="percent" val="0"/>
        <cfvo type="percent" val="100"/>
        <color rgb="FFFF231B"/>
        <color rgb="FF10FF07"/>
      </colorScale>
    </cfRule>
  </conditionalFormatting>
  <conditionalFormatting sqref="O62:O71 Q62:Q71 V62:V71 X62:X71 AC62:AC71 AE62:AE71 AJ62:AJ71 AL62:AL71 AQ62:AQ71 AS62:AS71 AX62:AX71 AZ62:AZ71 BE62:BE71 BG62:BG71 BL62:BL71 BN62:BN71">
    <cfRule type="expression" dxfId="53" priority="43">
      <formula>OR(IF(O62&lt;P62,TRUE),IF(AND(P62="",O62&lt;&gt;""),TRUE))</formula>
    </cfRule>
    <cfRule type="expression" dxfId="52" priority="44">
      <formula>IF(O62&gt;=P62,IF(O62="",FALSE,TRUE))</formula>
    </cfRule>
  </conditionalFormatting>
  <conditionalFormatting sqref="BS62:BS71 BU62:BU71">
    <cfRule type="expression" dxfId="51" priority="41">
      <formula>OR(IF(BS62&lt;BT62,TRUE),IF(AND(BT62="",BS62&lt;&gt;""),TRUE))</formula>
    </cfRule>
    <cfRule type="expression" dxfId="50" priority="42">
      <formula>IF(BS62&gt;=BT62,IF(BS62="",FALSE,TRUE))</formula>
    </cfRule>
  </conditionalFormatting>
  <conditionalFormatting sqref="BZ62:BZ71 CB62:CB71">
    <cfRule type="expression" dxfId="49" priority="39">
      <formula>OR(IF(BZ62&lt;CA62,TRUE),IF(AND(CA62="",BZ62&lt;&gt;""),TRUE))</formula>
    </cfRule>
    <cfRule type="expression" dxfId="48" priority="40">
      <formula>IF(BZ62&gt;=CA62,IF(BZ62="",FALSE,TRUE))</formula>
    </cfRule>
  </conditionalFormatting>
  <conditionalFormatting sqref="CG62:CG71 CI62:CI71">
    <cfRule type="expression" dxfId="47" priority="37">
      <formula>OR(IF(CG62&lt;CH62,TRUE),IF(AND(CH62="",CG62&lt;&gt;""),TRUE))</formula>
    </cfRule>
    <cfRule type="expression" dxfId="46" priority="38">
      <formula>IF(CG62&gt;=CH62,IF(CG62="",FALSE,TRUE))</formula>
    </cfRule>
  </conditionalFormatting>
  <conditionalFormatting sqref="CN62:CN71 CP62:CP71">
    <cfRule type="expression" dxfId="45" priority="35">
      <formula>OR(IF(CN62&lt;CO62,TRUE),IF(AND(CO62="",CN62&lt;&gt;""),TRUE))</formula>
    </cfRule>
    <cfRule type="expression" dxfId="44" priority="36">
      <formula>IF(CN62&gt;=CO62,IF(CN62="",FALSE,TRUE))</formula>
    </cfRule>
  </conditionalFormatting>
  <conditionalFormatting sqref="CU62:CU71 CW62:CW71">
    <cfRule type="expression" dxfId="43" priority="33">
      <formula>OR(IF(CU62&lt;CV62,TRUE),IF(AND(CV62="",CU62&lt;&gt;""),TRUE))</formula>
    </cfRule>
    <cfRule type="expression" dxfId="42" priority="34">
      <formula>IF(CU62&gt;=CV62,IF(CU62="",FALSE,TRUE))</formula>
    </cfRule>
  </conditionalFormatting>
  <conditionalFormatting sqref="DB62:DB71 DD62:DD71">
    <cfRule type="expression" dxfId="41" priority="31">
      <formula>OR(IF(DB62&lt;DC62,TRUE),IF(AND(DC62="",DB62&lt;&gt;""),TRUE))</formula>
    </cfRule>
    <cfRule type="expression" dxfId="40" priority="32">
      <formula>IF(DB62&gt;=DC62,IF(DB62="",FALSE,TRUE))</formula>
    </cfRule>
  </conditionalFormatting>
  <conditionalFormatting sqref="DI5:DI10 DK5:DK10 DI50:DI59 DK50:DK59">
    <cfRule type="expression" dxfId="39" priority="29">
      <formula>OR(IF(DI5&lt;DJ5,TRUE),IF(AND(DJ5="",DI5&lt;&gt;""),TRUE))</formula>
    </cfRule>
    <cfRule type="expression" dxfId="38" priority="30">
      <formula>IF(DI5&gt;=DJ5,IF(DI5="",FALSE,TRUE))</formula>
    </cfRule>
  </conditionalFormatting>
  <conditionalFormatting sqref="DI13:DI23 DK13:DK23">
    <cfRule type="expression" dxfId="37" priority="19">
      <formula>OR(IF(DI13&lt;DJ13,TRUE),IF(AND(DJ13="",DI13&lt;&gt;""),TRUE))</formula>
    </cfRule>
    <cfRule type="expression" dxfId="36" priority="20">
      <formula>IF(DI13&gt;=DJ13,IF(DI13="",FALSE,TRUE))</formula>
    </cfRule>
  </conditionalFormatting>
  <conditionalFormatting sqref="DI25:DI35">
    <cfRule type="expression" dxfId="35" priority="27">
      <formula>OR(IF(DI25&lt;DJ25,TRUE),IF(AND(DJ25="",DI25&lt;&gt;""),TRUE))</formula>
    </cfRule>
    <cfRule type="expression" dxfId="34" priority="28">
      <formula>IF(DI25&gt;=DJ25,IF(DI25="",FALSE,TRUE))</formula>
    </cfRule>
  </conditionalFormatting>
  <conditionalFormatting sqref="DI38:DI48">
    <cfRule type="expression" dxfId="33" priority="23">
      <formula>OR(IF(DI38&lt;DJ38,TRUE),IF(AND(DJ38="",DI38&lt;&gt;""),TRUE))</formula>
    </cfRule>
    <cfRule type="expression" dxfId="32" priority="24">
      <formula>IF(DI38&gt;=DJ38,IF(DI38="",FALSE,TRUE))</formula>
    </cfRule>
  </conditionalFormatting>
  <conditionalFormatting sqref="DK25:DK35">
    <cfRule type="expression" dxfId="31" priority="25">
      <formula>OR(IF(DK25&lt;DL25,TRUE),IF(AND(DL25="",DK25&lt;&gt;""),TRUE))</formula>
    </cfRule>
    <cfRule type="expression" dxfId="30" priority="26">
      <formula>IF(DK25&gt;=DL25,IF(DK25="",FALSE,TRUE))</formula>
    </cfRule>
  </conditionalFormatting>
  <conditionalFormatting sqref="DK38:DK48">
    <cfRule type="expression" dxfId="29" priority="21">
      <formula>OR(IF(DK38&lt;DL38,TRUE),IF(AND(DL38="",DK38&lt;&gt;""),TRUE))</formula>
    </cfRule>
    <cfRule type="expression" dxfId="28" priority="22">
      <formula>IF(DK38&gt;=DL38,IF(DK38="",FALSE,TRUE))</formula>
    </cfRule>
  </conditionalFormatting>
  <conditionalFormatting sqref="DI62:DI71 DK62:DK71">
    <cfRule type="expression" dxfId="27" priority="17">
      <formula>OR(IF(DI62&lt;DJ62,TRUE),IF(AND(DJ62="",DI62&lt;&gt;""),TRUE))</formula>
    </cfRule>
    <cfRule type="expression" dxfId="26" priority="18">
      <formula>IF(DI62&gt;=DJ62,IF(DI62="",FALSE,TRUE))</formula>
    </cfRule>
  </conditionalFormatting>
  <conditionalFormatting sqref="DP5:DP10 DR5:DR10 DP50:DP59 DR50:DR59">
    <cfRule type="expression" dxfId="25" priority="15">
      <formula>OR(IF(DP5&lt;DQ5,TRUE),IF(AND(DQ5="",DP5&lt;&gt;""),TRUE))</formula>
    </cfRule>
    <cfRule type="expression" dxfId="24" priority="16">
      <formula>IF(DP5&gt;=DQ5,IF(DP5="",FALSE,TRUE))</formula>
    </cfRule>
  </conditionalFormatting>
  <conditionalFormatting sqref="DP13:DP23 DR13:DR23">
    <cfRule type="expression" dxfId="23" priority="5">
      <formula>OR(IF(DP13&lt;DQ13,TRUE),IF(AND(DQ13="",DP13&lt;&gt;""),TRUE))</formula>
    </cfRule>
    <cfRule type="expression" dxfId="22" priority="6">
      <formula>IF(DP13&gt;=DQ13,IF(DP13="",FALSE,TRUE))</formula>
    </cfRule>
  </conditionalFormatting>
  <conditionalFormatting sqref="DP25:DP35">
    <cfRule type="expression" dxfId="21" priority="13">
      <formula>OR(IF(DP25&lt;DQ25,TRUE),IF(AND(DQ25="",DP25&lt;&gt;""),TRUE))</formula>
    </cfRule>
    <cfRule type="expression" dxfId="20" priority="14">
      <formula>IF(DP25&gt;=DQ25,IF(DP25="",FALSE,TRUE))</formula>
    </cfRule>
  </conditionalFormatting>
  <conditionalFormatting sqref="DP38:DP48">
    <cfRule type="expression" dxfId="19" priority="9">
      <formula>OR(IF(DP38&lt;DQ38,TRUE),IF(AND(DQ38="",DP38&lt;&gt;""),TRUE))</formula>
    </cfRule>
    <cfRule type="expression" dxfId="18" priority="10">
      <formula>IF(DP38&gt;=DQ38,IF(DP38="",FALSE,TRUE))</formula>
    </cfRule>
  </conditionalFormatting>
  <conditionalFormatting sqref="DR25:DR35">
    <cfRule type="expression" dxfId="17" priority="11">
      <formula>OR(IF(DR25&lt;DS25,TRUE),IF(AND(DS25="",DR25&lt;&gt;""),TRUE))</formula>
    </cfRule>
    <cfRule type="expression" dxfId="16" priority="12">
      <formula>IF(DR25&gt;=DS25,IF(DR25="",FALSE,TRUE))</formula>
    </cfRule>
  </conditionalFormatting>
  <conditionalFormatting sqref="DR38:DR48">
    <cfRule type="expression" dxfId="15" priority="7">
      <formula>OR(IF(DR38&lt;DS38,TRUE),IF(AND(DS38="",DR38&lt;&gt;""),TRUE))</formula>
    </cfRule>
    <cfRule type="expression" dxfId="14" priority="8">
      <formula>IF(DR38&gt;=DS38,IF(DR38="",FALSE,TRUE))</formula>
    </cfRule>
  </conditionalFormatting>
  <conditionalFormatting sqref="DP62:DP71 DR62:DR71">
    <cfRule type="expression" dxfId="13" priority="3">
      <formula>OR(IF(DP62&lt;DQ62,TRUE),IF(AND(DQ62="",DP62&lt;&gt;""),TRUE))</formula>
    </cfRule>
    <cfRule type="expression" dxfId="12" priority="4">
      <formula>IF(DP62&gt;=DQ62,IF(DP62="",FALSE,TRUE))</formula>
    </cfRule>
  </conditionalFormatting>
  <conditionalFormatting sqref="J21:K23">
    <cfRule type="colorScale" priority="2">
      <colorScale>
        <cfvo type="percent" val="0"/>
        <cfvo type="percent" val="100"/>
        <color rgb="FFFF231B"/>
        <color rgb="FF10FF07"/>
      </colorScale>
    </cfRule>
  </conditionalFormatting>
  <conditionalFormatting sqref="J45:K48">
    <cfRule type="colorScale" priority="1">
      <colorScale>
        <cfvo type="percent" val="0"/>
        <cfvo type="percent" val="100"/>
        <color rgb="FFFF231B"/>
        <color rgb="FF10FF07"/>
      </colorScale>
    </cfRule>
  </conditionalFormatting>
  <dataValidations count="1">
    <dataValidation type="list" allowBlank="1" showInputMessage="1" showErrorMessage="1" sqref="AJ38:AM48 BL25:BO35 V62:Y71 AC50:AF59 AQ5:AT10 AQ50:AT59 BE50:BH59 BS62:BV71 O5:R10 V5:Y10 AC62:AF71 AJ5:AM10 V38:Y48 AX5:BA10 AX62:BA71 BL50:BO59 BE62:BH71 O25:R35 AX13:BA23 CG50:CJ59 AQ13:AT23 AJ13:AM23 AC13:AF23 V13:Y23 BL13:BO23 AX38:BA48 BE25:BH35 AQ38:AT48 AC38:AF48 AJ62:AM71 O50:R59 BZ5:CC10 BZ25:CC35 BS5:BV10 BS13:BV23 BS38:BV48 CG25:CJ35 BZ38:CC48 BE13:BH23 DB50:DE59 CG5:CJ10 BL62:BO71 CN62:CQ71 DP38:DS48 CN5:CQ10 CN13:CQ23 CN38:CQ48 CU5:CX10 CU13:CX23 CU25:CX35 CU50:CX59 DB5:DE10 DB13:DE23 DB25:DE35 BZ13:CC23 O13:R23 AJ50:AM59 CG62:CJ71 BL38:BO48 AX50:BA59 BE38:BH48 AQ25:AT35 AC5:AF10 V50:Y59 O62:R71 BS50:BV59 BZ62:CC71 DB62:DE71 CN50:CQ59 CU62:CX71 DI50:DL59 DI5:DL10 DI13:DL23 DI25:DL35 DI62:DL71 DP50:DS59 DP5:DS10 DP13:DS23 DP25:DS35 DP62:DS71 DI38:DL48 DB38:DE48 CU38:CX48 CN25:CQ35 CG38:CJ48 BZ50:CC59 BS25:BV35 V25:Y35 AC25:AF35 AJ25:AM35 AQ62:AT71 BE5:BH10 AX25:BA35 O38:R48 BL5:BO10 CG13:CJ23"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35</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34</v>
      </c>
    </row>
    <row r="19" spans="2:2" ht="153" x14ac:dyDescent="0.2">
      <c r="B19" s="1" t="s">
        <v>36</v>
      </c>
    </row>
    <row r="21" spans="2:2" x14ac:dyDescent="0.2">
      <c r="B21" s="2" t="s">
        <v>21</v>
      </c>
    </row>
    <row r="22" spans="2:2" ht="136" x14ac:dyDescent="0.2">
      <c r="B22" s="1" t="s">
        <v>37</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H19" sqref="H19"/>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Muhammed Kaplan</cp:lastModifiedBy>
  <dcterms:created xsi:type="dcterms:W3CDTF">2020-04-19T13:33:28Z</dcterms:created>
  <dcterms:modified xsi:type="dcterms:W3CDTF">2025-11-02T13:21:58Z</dcterms:modified>
</cp:coreProperties>
</file>