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29859D9A-A512-4DC7-A0D4-F721C53660D1}" xr6:coauthVersionLast="47" xr6:coauthVersionMax="47" xr10:uidLastSave="{00000000-0000-0000-0000-000000000000}"/>
  <bookViews>
    <workbookView xWindow="-120" yWindow="-120" windowWidth="20730" windowHeight="110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 i="10" l="1"/>
  <c r="C11" i="10"/>
  <c r="EJ4" i="7"/>
  <c r="EC4" i="7"/>
  <c r="DV4" i="7"/>
  <c r="DO4" i="7"/>
  <c r="DH4" i="7"/>
  <c r="DA4" i="7"/>
  <c r="CT4" i="7"/>
  <c r="K10" i="7" l="1" a="1"/>
  <c r="K10" i="7" s="1"/>
  <c r="J10" i="7" a="1"/>
  <c r="J10" i="7" s="1"/>
  <c r="G13" i="7"/>
  <c r="N13" i="7"/>
  <c r="U13" i="7"/>
  <c r="AB13" i="7"/>
  <c r="AI13" i="7"/>
  <c r="AP13" i="7"/>
  <c r="N4" i="7"/>
  <c r="K38" i="7" a="1"/>
  <c r="K38" i="7" s="1"/>
  <c r="J38" i="7" a="1"/>
  <c r="J38" i="7" s="1"/>
  <c r="I38" i="7"/>
  <c r="K37" i="7" a="1"/>
  <c r="K37" i="7" s="1"/>
  <c r="J37" i="7" a="1"/>
  <c r="J37" i="7" s="1"/>
  <c r="I37" i="7"/>
  <c r="K36" i="7" a="1"/>
  <c r="K36" i="7" s="1"/>
  <c r="J36" i="7" a="1"/>
  <c r="J36" i="7" s="1"/>
  <c r="I36" i="7"/>
  <c r="K61" i="7" a="1"/>
  <c r="K61" i="7" s="1"/>
  <c r="J61" i="7" a="1"/>
  <c r="J61" i="7" s="1"/>
  <c r="I61" i="7"/>
  <c r="K60" i="7" a="1"/>
  <c r="K60" i="7" s="1"/>
  <c r="J60" i="7" a="1"/>
  <c r="J60" i="7" s="1"/>
  <c r="I60" i="7"/>
  <c r="K59" i="7" a="1"/>
  <c r="K59" i="7" s="1"/>
  <c r="J59" i="7" a="1"/>
  <c r="J59" i="7" s="1"/>
  <c r="I59" i="7"/>
  <c r="K48" i="7" a="1"/>
  <c r="K48" i="7" s="1"/>
  <c r="J48" i="7" a="1"/>
  <c r="J48" i="7" s="1"/>
  <c r="I48" i="7"/>
  <c r="K47" i="7" a="1"/>
  <c r="K47" i="7" s="1"/>
  <c r="J47" i="7" a="1"/>
  <c r="J47" i="7" s="1"/>
  <c r="I47" i="7"/>
  <c r="J16" i="7" a="1"/>
  <c r="J16" i="7" s="1"/>
  <c r="J65" i="7" a="1"/>
  <c r="J65" i="7" s="1"/>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I65" i="7"/>
  <c r="AP64" i="7"/>
  <c r="AI64" i="7"/>
  <c r="AB64" i="7"/>
  <c r="U64" i="7"/>
  <c r="N64" i="7"/>
  <c r="G64" i="7"/>
  <c r="K62" i="7" a="1"/>
  <c r="K62" i="7" s="1"/>
  <c r="J62" i="7" a="1"/>
  <c r="J62" i="7" s="1"/>
  <c r="I62"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AP52" i="7"/>
  <c r="AI52" i="7"/>
  <c r="AB52" i="7"/>
  <c r="U52" i="7"/>
  <c r="N52" i="7"/>
  <c r="G52" i="7"/>
  <c r="CM4" i="7"/>
  <c r="CF4" i="7"/>
  <c r="BY4" i="7"/>
  <c r="BR4" i="7"/>
  <c r="K16" i="7" a="1"/>
  <c r="K16" i="7" s="1"/>
  <c r="I16" i="7"/>
  <c r="K50" i="7" a="1"/>
  <c r="K50" i="7" s="1"/>
  <c r="J50" i="7" a="1"/>
  <c r="J50" i="7" s="1"/>
  <c r="I50" i="7"/>
  <c r="K49" i="7" a="1"/>
  <c r="K49" i="7" s="1"/>
  <c r="J49" i="7" a="1"/>
  <c r="J49" i="7" s="1"/>
  <c r="I49"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AP41" i="7"/>
  <c r="AI41" i="7"/>
  <c r="AB41" i="7"/>
  <c r="U41" i="7"/>
  <c r="N41" i="7"/>
  <c r="G41" i="7"/>
  <c r="K39" i="7" a="1"/>
  <c r="K39" i="7" s="1"/>
  <c r="J39" i="7" a="1"/>
  <c r="J39" i="7" s="1"/>
  <c r="I39" i="7"/>
  <c r="K35" i="7" a="1"/>
  <c r="K35" i="7" s="1"/>
  <c r="J35" i="7" a="1"/>
  <c r="J35" i="7" s="1"/>
  <c r="I35" i="7"/>
  <c r="K34" i="7" a="1"/>
  <c r="K34" i="7" s="1"/>
  <c r="J34" i="7" a="1"/>
  <c r="J34" i="7" s="1"/>
  <c r="I34" i="7"/>
  <c r="K33" i="7" a="1"/>
  <c r="K33" i="7" s="1"/>
  <c r="J33" i="7" a="1"/>
  <c r="J33" i="7" s="1"/>
  <c r="K32" i="7" a="1"/>
  <c r="K32" i="7" s="1"/>
  <c r="J32" i="7" a="1"/>
  <c r="J32" i="7" s="1"/>
  <c r="I32" i="7"/>
  <c r="K31" i="7" a="1"/>
  <c r="K31" i="7" s="1"/>
  <c r="J31" i="7" a="1"/>
  <c r="J31" i="7" s="1"/>
  <c r="I31" i="7"/>
  <c r="K30" i="7" a="1"/>
  <c r="K30" i="7" s="1"/>
  <c r="J30" i="7" a="1"/>
  <c r="J30" i="7" s="1"/>
  <c r="I30" i="7"/>
  <c r="AP29" i="7"/>
  <c r="AI29" i="7"/>
  <c r="AB29" i="7"/>
  <c r="U29" i="7"/>
  <c r="N29" i="7"/>
  <c r="G29" i="7"/>
  <c r="BK4" i="7"/>
  <c r="C12" i="10"/>
  <c r="K19" i="7" a="1"/>
  <c r="K19" i="7" s="1"/>
  <c r="J19" i="7" a="1"/>
  <c r="J19" i="7" s="1"/>
  <c r="K18" i="7" a="1"/>
  <c r="K18" i="7" s="1"/>
  <c r="J18" i="7" a="1"/>
  <c r="J18" i="7" s="1"/>
  <c r="K17" i="7" a="1"/>
  <c r="K17" i="7" s="1"/>
  <c r="J17" i="7" a="1"/>
  <c r="J17"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11" i="7" a="1"/>
  <c r="K11" i="7" s="1"/>
  <c r="J11" i="7" a="1"/>
  <c r="J11" i="7" s="1"/>
  <c r="BD4" i="7"/>
  <c r="AW4" i="7"/>
  <c r="AP4" i="7"/>
  <c r="AI4" i="7"/>
  <c r="AB4" i="7"/>
  <c r="U4" i="7"/>
  <c r="AP21" i="7"/>
  <c r="AI21" i="7"/>
  <c r="AB21" i="7"/>
  <c r="U21" i="7"/>
  <c r="I27" i="7"/>
  <c r="I26" i="7"/>
  <c r="I25" i="7"/>
  <c r="I24" i="7"/>
  <c r="I23" i="7"/>
  <c r="I22" i="7"/>
  <c r="I19" i="7"/>
  <c r="I18" i="7"/>
  <c r="I17" i="7"/>
  <c r="N21" i="7"/>
  <c r="J13" i="7" l="1"/>
  <c r="K13" i="7"/>
  <c r="J52" i="7"/>
  <c r="I52" i="7"/>
  <c r="J64" i="7"/>
  <c r="I64" i="7"/>
  <c r="K64" i="7"/>
  <c r="K52" i="7"/>
  <c r="I41" i="7"/>
  <c r="I29" i="7"/>
  <c r="J41" i="7"/>
  <c r="K41" i="7"/>
  <c r="K29" i="7"/>
  <c r="J29" i="7"/>
  <c r="I21" i="7"/>
  <c r="J21" i="7"/>
  <c r="K21"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<sst xmlns="http://schemas.openxmlformats.org/spreadsheetml/2006/main" count="415" uniqueCount="146">
  <si>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</si>
  <si>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</si>
  <si>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</si>
  <si>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</si>
  <si>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</si>
  <si>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</si>
  <si>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</si>
  <si>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</si>
  <si>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</si>
  <si>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</si>
  <si>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</si>
  <si>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</si>
  <si>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</si>
  <si>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</si>
  <si>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</si>
  <si>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</si>
  <si>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</si>
  <si>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</si>
  <si>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</si>
  <si>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</si>
  <si>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</si>
  <si>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</si>
  <si>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</si>
  <si>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</si>
  <si>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</si>
  <si>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</si>
  <si>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</si>
  <si>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</si>
  <si>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</si>
  <si>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</si>
  <si>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</si>
  <si>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</si>
  <si>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</si>
  <si>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</si>
  <si>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</si>
  <si>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</si>
  <si>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</si>
  <si>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</si>
  <si>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</si>
  <si>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</si>
  <si>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</si>
  <si>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</si>
  <si>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</si>
  <si>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</si>
  <si>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</si>
  <si>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</si>
  <si>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</si>
  <si>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</si>
  <si>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</si>
  <si>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</si>
  <si>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</si>
  <si>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</si>
  <si>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</si>
  <si>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</si>
  <si>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</si>
  <si>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</si>
  <si>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</si>
  <si>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</si>
  <si>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</si>
  <si>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</si>
  <si>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</si>
  <si>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</si>
  <si>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</si>
  <si>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</si>
  <si>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</si>
  <si>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</si>
  <si>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</si>
  <si>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</si>
  <si>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</si>
  <si>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</si>
  <si>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</si>
  <si>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</si>
  <si>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</si>
  <si>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</si>
  <si>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</si>
  <si>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</si>
  <si>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</si>
  <si>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</si>
  <si>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</si>
  <si>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</si>
  <si>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</si>
  <si>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</si>
  <si>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</si>
  <si>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</si>
  <si>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</si>
  <si>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</si>
  <si>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</si>
  <si>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</si>
  <si>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W-Politik</t>
  </si>
  <si>
    <t>Februar</t>
  </si>
  <si>
    <t xml:space="preserve">6) </t>
  </si>
  <si>
    <t>1) Grundlagen des Marketings</t>
  </si>
  <si>
    <t>2) Marketing-Ziele</t>
  </si>
  <si>
    <t>3) Marktsegmentierung</t>
  </si>
  <si>
    <t>4) Marketing-Strategien und Positionierung</t>
  </si>
  <si>
    <t>5) Käuferverhalten</t>
  </si>
  <si>
    <t>6) Marktforschung</t>
  </si>
  <si>
    <t xml:space="preserve">7) </t>
  </si>
  <si>
    <t>Organisationslehre</t>
  </si>
  <si>
    <t>Wirtschaftsrecht</t>
  </si>
  <si>
    <t xml:space="preserve">1) </t>
  </si>
  <si>
    <t xml:space="preserve">2) </t>
  </si>
  <si>
    <t xml:space="preserve">3) </t>
  </si>
  <si>
    <t xml:space="preserve">5) </t>
  </si>
  <si>
    <t xml:space="preserve">4) </t>
  </si>
  <si>
    <t>Wirtschaftsprüfung</t>
  </si>
  <si>
    <t>Supply-Chain-Management</t>
  </si>
  <si>
    <t>Wirtschaftsinformatik</t>
  </si>
  <si>
    <t>KW 40</t>
  </si>
  <si>
    <t>KW 41</t>
  </si>
  <si>
    <t>KW 42</t>
  </si>
  <si>
    <t>KW 43</t>
  </si>
  <si>
    <t>KW 44</t>
  </si>
  <si>
    <t>KW 45</t>
  </si>
  <si>
    <t>KW 46</t>
  </si>
  <si>
    <t>KW 47</t>
  </si>
  <si>
    <t>KW 48</t>
  </si>
  <si>
    <t>KW 49</t>
  </si>
  <si>
    <t>KW 50</t>
  </si>
  <si>
    <t>KW 51</t>
  </si>
  <si>
    <t>KW 52</t>
  </si>
  <si>
    <t>KW 01</t>
  </si>
  <si>
    <t>KW 02</t>
  </si>
  <si>
    <t>KW 03</t>
  </si>
  <si>
    <t>KW 04</t>
  </si>
  <si>
    <t>1) Grundlagen</t>
  </si>
  <si>
    <t>2) Beschaffungslogistik</t>
  </si>
  <si>
    <t>3) Lagerlogistik</t>
  </si>
  <si>
    <t>4) Produktionslogistik</t>
  </si>
  <si>
    <t>5) Distributionslogistik</t>
  </si>
  <si>
    <t>6) Ersatzteillogistik</t>
  </si>
  <si>
    <t>7) Transportlogistik</t>
  </si>
  <si>
    <t>8) Globalisierung</t>
  </si>
  <si>
    <t>9) Industrialisierung</t>
  </si>
  <si>
    <t>10) Nachhaltige SC</t>
  </si>
  <si>
    <t>1) Grundlagen der Wirtschaftspolitik</t>
  </si>
  <si>
    <t>2) Stabilisierungspolitik 1. Teil</t>
  </si>
  <si>
    <t>3) Stabilisierungspolitik 2. Teil</t>
  </si>
  <si>
    <t>4) Arbeitsmarktpolitik 1. Teil</t>
  </si>
  <si>
    <t>5) Arbeitsmarktpolitik 2. Teil</t>
  </si>
  <si>
    <t>6) Steuerpolitik 1. Teil</t>
  </si>
  <si>
    <t>7) Steuerpolitik 2. Teil</t>
  </si>
  <si>
    <t>Prüfungen</t>
  </si>
  <si>
    <t xml:space="preserve">8) </t>
  </si>
  <si>
    <t xml:space="preserve">9) </t>
  </si>
  <si>
    <t xml:space="preserve">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</si>
</sst>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Normal" xfId="0" builtinId="0"/>
  </cellStyles>
  <dxfs count="10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04">
  <autoFilter ref="A1:K46" xr:uid="{6E266E34-2786-2747-BCE7-51B74867A564}"/>
  <tableColumns count="11">
    <tableColumn id="1" xr3:uid="{95FD92F7-3DC8-704D-A103-A7EDDAB255AB}" name="Datum" dataDxfId="103"/>
    <tableColumn id="2" xr3:uid="{F464D510-8166-E740-A343-FB84BDEF877F}" name="Lerneinheiten durchgezogen" dataDxfId="102"/>
    <tableColumn id="3" xr3:uid="{75F52B08-1A00-0848-BBE6-1EDF7B31B1AD}" name="Tagesplan erstellt" dataDxfId="101"/>
    <tableColumn id="4" xr3:uid="{E6B18D89-E799-AD48-9DAA-37AEE1D29011}" name="Konzentrationslevel" dataDxfId="10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2" sqref="C12"/>
    </sheetView>
  </sheetViews>
  <sheetFormatPr defaultColWidth="11" defaultRowHeight="15.75"/>
  <cols>
    <col min="1" max="1" width="11.875" customWidth="1"/>
    <col min="2" max="2" width="62.62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f>7+6+6+10+9+10+7</f>
        <v>55</v>
      </c>
    </row>
    <row r="8" spans="1:4">
      <c r="A8" t="s">
        <v>52</v>
      </c>
      <c r="B8" s="18" t="s">
        <v>51</v>
      </c>
      <c r="D8" t="s">
        <v>75</v>
      </c>
    </row>
    <row r="9" spans="1:4">
      <c r="A9" t="s">
        <v>60</v>
      </c>
      <c r="B9" s="18" t="s">
        <v>73</v>
      </c>
      <c r="D9" t="s">
        <v>76</v>
      </c>
    </row>
    <row r="10" spans="1:4">
      <c r="A10" t="s">
        <v>64</v>
      </c>
      <c r="B10" t="s">
        <v>63</v>
      </c>
      <c r="C10" s="16">
        <v>15</v>
      </c>
      <c r="D10" t="s">
        <v>59</v>
      </c>
    </row>
    <row r="11" spans="1:4">
      <c r="A11" t="s">
        <v>65</v>
      </c>
      <c r="B11" t="s">
        <v>67</v>
      </c>
      <c r="C11" s="16">
        <f>55*3</f>
        <v>165</v>
      </c>
      <c r="D11" t="s">
        <v>66</v>
      </c>
    </row>
    <row r="12" spans="1:4">
      <c r="A12" t="s">
        <v>69</v>
      </c>
      <c r="B12" t="s">
        <v>68</v>
      </c>
      <c r="C12" s="17">
        <f>C11/C10</f>
        <v>11</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71"/>
  <sheetViews>
    <sheetView showGridLines="0" tabSelected="1" zoomScale="55" zoomScaleNormal="55" workbookViewId="0">
      <pane xSplit="12" topLeftCell="M1" activePane="topRight" state="frozen"/>
      <selection pane="topRight" activeCell="F73" sqref="F73"/>
    </sheetView>
  </sheetViews>
  <sheetFormatPr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s>
  <sheetData>
    <row r="1" spans="2:145" ht="33.75">
      <c r="B1" s="4" t="s">
        <v>0</v>
      </c>
      <c r="D1" s="4"/>
      <c r="G1" s="13" t="s">
        <v>34</v>
      </c>
      <c r="I1" s="13" t="s">
        <v>34</v>
      </c>
      <c r="J1" s="13" t="s">
        <v>34</v>
      </c>
      <c r="K1" s="13" t="s">
        <v>34</v>
      </c>
    </row>
    <row r="2" spans="2:145">
      <c r="I2" s="20" t="s">
        <v>28</v>
      </c>
      <c r="J2" s="20"/>
      <c r="K2" s="20"/>
      <c r="L2" s="20"/>
      <c r="N2" s="20" t="s">
        <v>108</v>
      </c>
      <c r="O2" s="20"/>
      <c r="P2" s="20"/>
      <c r="Q2" s="20"/>
      <c r="R2" s="20"/>
      <c r="S2" s="20"/>
      <c r="U2" s="20" t="s">
        <v>109</v>
      </c>
      <c r="V2" s="20"/>
      <c r="W2" s="20"/>
      <c r="X2" s="20"/>
      <c r="Y2" s="20"/>
      <c r="Z2" s="20"/>
      <c r="AB2" s="20" t="s">
        <v>110</v>
      </c>
      <c r="AC2" s="20"/>
      <c r="AD2" s="20"/>
      <c r="AE2" s="20"/>
      <c r="AF2" s="20"/>
      <c r="AG2" s="20"/>
      <c r="AI2" s="20" t="s">
        <v>111</v>
      </c>
      <c r="AJ2" s="20"/>
      <c r="AK2" s="20"/>
      <c r="AL2" s="20"/>
      <c r="AM2" s="20"/>
      <c r="AN2" s="20"/>
      <c r="AP2" s="20" t="s">
        <v>112</v>
      </c>
      <c r="AQ2" s="20"/>
      <c r="AR2" s="20"/>
      <c r="AS2" s="20"/>
      <c r="AT2" s="20"/>
      <c r="AU2" s="20"/>
      <c r="AW2" s="20" t="s">
        <v>113</v>
      </c>
      <c r="AX2" s="20"/>
      <c r="AY2" s="20"/>
      <c r="AZ2" s="20"/>
      <c r="BA2" s="20"/>
      <c r="BB2" s="20"/>
      <c r="BD2" s="20" t="s">
        <v>114</v>
      </c>
      <c r="BE2" s="20"/>
      <c r="BF2" s="20"/>
      <c r="BG2" s="20"/>
      <c r="BH2" s="20"/>
      <c r="BI2" s="20"/>
      <c r="BK2" s="20" t="s">
        <v>115</v>
      </c>
      <c r="BL2" s="20"/>
      <c r="BM2" s="20"/>
      <c r="BN2" s="20"/>
      <c r="BO2" s="20"/>
      <c r="BP2" s="20"/>
      <c r="BR2" s="20" t="s">
        <v>116</v>
      </c>
      <c r="BS2" s="20"/>
      <c r="BT2" s="20"/>
      <c r="BU2" s="20"/>
      <c r="BV2" s="20"/>
      <c r="BW2" s="20"/>
      <c r="BY2" s="20" t="s">
        <v>117</v>
      </c>
      <c r="BZ2" s="20"/>
      <c r="CA2" s="20"/>
      <c r="CB2" s="20"/>
      <c r="CC2" s="20"/>
      <c r="CD2" s="20"/>
      <c r="CF2" s="20" t="s">
        <v>118</v>
      </c>
      <c r="CG2" s="20"/>
      <c r="CH2" s="20"/>
      <c r="CI2" s="20"/>
      <c r="CJ2" s="20"/>
      <c r="CK2" s="20"/>
      <c r="CM2" s="20" t="s">
        <v>119</v>
      </c>
      <c r="CN2" s="20"/>
      <c r="CO2" s="20"/>
      <c r="CP2" s="20"/>
      <c r="CQ2" s="20"/>
      <c r="CR2" s="20"/>
      <c r="CT2" s="20" t="s">
        <v>120</v>
      </c>
      <c r="CU2" s="20"/>
      <c r="CV2" s="20"/>
      <c r="CW2" s="20"/>
      <c r="CX2" s="20"/>
      <c r="CY2" s="20"/>
      <c r="DA2" s="20" t="s">
        <v>121</v>
      </c>
      <c r="DB2" s="20"/>
      <c r="DC2" s="20"/>
      <c r="DD2" s="20"/>
      <c r="DE2" s="20"/>
      <c r="DF2" s="20"/>
      <c r="DH2" s="20" t="s">
        <v>122</v>
      </c>
      <c r="DI2" s="20"/>
      <c r="DJ2" s="20"/>
      <c r="DK2" s="20"/>
      <c r="DL2" s="20"/>
      <c r="DM2" s="20"/>
      <c r="DO2" s="20" t="s">
        <v>123</v>
      </c>
      <c r="DP2" s="20"/>
      <c r="DQ2" s="20"/>
      <c r="DR2" s="20"/>
      <c r="DS2" s="20"/>
      <c r="DT2" s="20"/>
      <c r="DV2" s="20" t="s">
        <v>124</v>
      </c>
      <c r="DW2" s="20"/>
      <c r="DX2" s="20"/>
      <c r="DY2" s="20"/>
      <c r="DZ2" s="20"/>
      <c r="EA2" s="20"/>
      <c r="EC2" s="20" t="s">
        <v>142</v>
      </c>
      <c r="ED2" s="20"/>
      <c r="EE2" s="20"/>
      <c r="EF2" s="20"/>
      <c r="EG2" s="20"/>
      <c r="EH2" s="20"/>
      <c r="EJ2" s="20" t="s">
        <v>142</v>
      </c>
      <c r="EK2" s="20"/>
      <c r="EL2" s="20"/>
      <c r="EM2" s="20"/>
      <c r="EN2" s="20"/>
      <c r="EO2" s="20"/>
    </row>
    <row r="3" spans="2:145">
      <c r="B3" s="5" t="s">
        <v>27</v>
      </c>
      <c r="C3" s="5" t="s">
        <v>1</v>
      </c>
      <c r="D3" s="5" t="s">
        <v>25</v>
      </c>
      <c r="E3" s="6" t="s">
        <v>31</v>
      </c>
      <c r="F3" s="5" t="s">
        <v>30</v>
      </c>
      <c r="G3" s="5" t="s">
        <v>32</v>
      </c>
      <c r="I3" s="6" t="s">
        <v>12</v>
      </c>
      <c r="J3" s="6" t="s">
        <v>3</v>
      </c>
      <c r="K3" s="6" t="s">
        <v>4</v>
      </c>
      <c r="L3" s="6" t="s">
        <v>13</v>
      </c>
      <c r="N3" s="5" t="s">
        <v>12</v>
      </c>
      <c r="O3" s="5" t="s">
        <v>3</v>
      </c>
      <c r="P3" s="5" t="s">
        <v>33</v>
      </c>
      <c r="Q3" s="5" t="s">
        <v>4</v>
      </c>
      <c r="R3" s="5" t="s">
        <v>33</v>
      </c>
      <c r="S3" s="5" t="s">
        <v>13</v>
      </c>
      <c r="U3" s="5" t="s">
        <v>12</v>
      </c>
      <c r="V3" s="5" t="s">
        <v>3</v>
      </c>
      <c r="W3" s="5" t="s">
        <v>33</v>
      </c>
      <c r="X3" s="5" t="s">
        <v>4</v>
      </c>
      <c r="Y3" s="5" t="s">
        <v>33</v>
      </c>
      <c r="Z3" s="5" t="s">
        <v>13</v>
      </c>
      <c r="AB3" s="5" t="s">
        <v>12</v>
      </c>
      <c r="AC3" s="5" t="s">
        <v>3</v>
      </c>
      <c r="AD3" s="5" t="s">
        <v>33</v>
      </c>
      <c r="AE3" s="5" t="s">
        <v>4</v>
      </c>
      <c r="AF3" s="5" t="s">
        <v>33</v>
      </c>
      <c r="AG3" s="5" t="s">
        <v>13</v>
      </c>
      <c r="AI3" s="5" t="s">
        <v>12</v>
      </c>
      <c r="AJ3" s="5" t="s">
        <v>3</v>
      </c>
      <c r="AK3" s="5" t="s">
        <v>33</v>
      </c>
      <c r="AL3" s="5" t="s">
        <v>4</v>
      </c>
      <c r="AM3" s="5" t="s">
        <v>33</v>
      </c>
      <c r="AN3" s="5" t="s">
        <v>13</v>
      </c>
      <c r="AP3" s="5" t="s">
        <v>12</v>
      </c>
      <c r="AQ3" s="5" t="s">
        <v>3</v>
      </c>
      <c r="AR3" s="5" t="s">
        <v>33</v>
      </c>
      <c r="AS3" s="5" t="s">
        <v>4</v>
      </c>
      <c r="AT3" s="5" t="s">
        <v>33</v>
      </c>
      <c r="AU3" s="5" t="s">
        <v>13</v>
      </c>
      <c r="AW3" s="5" t="s">
        <v>12</v>
      </c>
      <c r="AX3" s="5" t="s">
        <v>3</v>
      </c>
      <c r="AY3" s="5" t="s">
        <v>33</v>
      </c>
      <c r="AZ3" s="5" t="s">
        <v>4</v>
      </c>
      <c r="BA3" s="5" t="s">
        <v>33</v>
      </c>
      <c r="BB3" s="5" t="s">
        <v>13</v>
      </c>
      <c r="BD3" s="5" t="s">
        <v>12</v>
      </c>
      <c r="BE3" s="5" t="s">
        <v>3</v>
      </c>
      <c r="BF3" s="5" t="s">
        <v>33</v>
      </c>
      <c r="BG3" s="5" t="s">
        <v>4</v>
      </c>
      <c r="BH3" s="5" t="s">
        <v>33</v>
      </c>
      <c r="BI3" s="5" t="s">
        <v>13</v>
      </c>
      <c r="BK3" s="5" t="s">
        <v>12</v>
      </c>
      <c r="BL3" s="5" t="s">
        <v>3</v>
      </c>
      <c r="BM3" s="5" t="s">
        <v>33</v>
      </c>
      <c r="BN3" s="5" t="s">
        <v>4</v>
      </c>
      <c r="BO3" s="5" t="s">
        <v>33</v>
      </c>
      <c r="BP3" s="5" t="s">
        <v>13</v>
      </c>
      <c r="BR3" s="5" t="s">
        <v>12</v>
      </c>
      <c r="BS3" s="5" t="s">
        <v>3</v>
      </c>
      <c r="BT3" s="5" t="s">
        <v>33</v>
      </c>
      <c r="BU3" s="5" t="s">
        <v>4</v>
      </c>
      <c r="BV3" s="5" t="s">
        <v>33</v>
      </c>
      <c r="BW3" s="5" t="s">
        <v>13</v>
      </c>
      <c r="BY3" s="5" t="s">
        <v>12</v>
      </c>
      <c r="BZ3" s="5" t="s">
        <v>3</v>
      </c>
      <c r="CA3" s="5" t="s">
        <v>33</v>
      </c>
      <c r="CB3" s="5" t="s">
        <v>4</v>
      </c>
      <c r="CC3" s="5" t="s">
        <v>33</v>
      </c>
      <c r="CD3" s="5" t="s">
        <v>13</v>
      </c>
      <c r="CF3" s="5" t="s">
        <v>12</v>
      </c>
      <c r="CG3" s="5" t="s">
        <v>3</v>
      </c>
      <c r="CH3" s="5" t="s">
        <v>33</v>
      </c>
      <c r="CI3" s="5" t="s">
        <v>4</v>
      </c>
      <c r="CJ3" s="5" t="s">
        <v>33</v>
      </c>
      <c r="CK3" s="5" t="s">
        <v>13</v>
      </c>
      <c r="CM3" s="5" t="s">
        <v>12</v>
      </c>
      <c r="CN3" s="5" t="s">
        <v>3</v>
      </c>
      <c r="CO3" s="5" t="s">
        <v>33</v>
      </c>
      <c r="CP3" s="5" t="s">
        <v>4</v>
      </c>
      <c r="CQ3" s="5" t="s">
        <v>33</v>
      </c>
      <c r="CR3" s="5" t="s">
        <v>13</v>
      </c>
      <c r="CT3" s="5" t="s">
        <v>12</v>
      </c>
      <c r="CU3" s="5" t="s">
        <v>3</v>
      </c>
      <c r="CV3" s="5" t="s">
        <v>33</v>
      </c>
      <c r="CW3" s="5" t="s">
        <v>4</v>
      </c>
      <c r="CX3" s="5" t="s">
        <v>33</v>
      </c>
      <c r="CY3" s="5" t="s">
        <v>13</v>
      </c>
      <c r="DA3" s="5" t="s">
        <v>12</v>
      </c>
      <c r="DB3" s="5" t="s">
        <v>3</v>
      </c>
      <c r="DC3" s="5" t="s">
        <v>33</v>
      </c>
      <c r="DD3" s="5" t="s">
        <v>4</v>
      </c>
      <c r="DE3" s="5" t="s">
        <v>33</v>
      </c>
      <c r="DF3" s="5" t="s">
        <v>13</v>
      </c>
      <c r="DH3" s="5" t="s">
        <v>12</v>
      </c>
      <c r="DI3" s="5" t="s">
        <v>3</v>
      </c>
      <c r="DJ3" s="5" t="s">
        <v>33</v>
      </c>
      <c r="DK3" s="5" t="s">
        <v>4</v>
      </c>
      <c r="DL3" s="5" t="s">
        <v>33</v>
      </c>
      <c r="DM3" s="5" t="s">
        <v>13</v>
      </c>
      <c r="DO3" s="5" t="s">
        <v>12</v>
      </c>
      <c r="DP3" s="5" t="s">
        <v>3</v>
      </c>
      <c r="DQ3" s="5" t="s">
        <v>33</v>
      </c>
      <c r="DR3" s="5" t="s">
        <v>4</v>
      </c>
      <c r="DS3" s="5" t="s">
        <v>33</v>
      </c>
      <c r="DT3" s="5" t="s">
        <v>13</v>
      </c>
      <c r="DV3" s="5" t="s">
        <v>12</v>
      </c>
      <c r="DW3" s="5" t="s">
        <v>3</v>
      </c>
      <c r="DX3" s="5" t="s">
        <v>33</v>
      </c>
      <c r="DY3" s="5" t="s">
        <v>4</v>
      </c>
      <c r="DZ3" s="5" t="s">
        <v>33</v>
      </c>
      <c r="EA3" s="5" t="s">
        <v>13</v>
      </c>
      <c r="EC3" s="5" t="s">
        <v>12</v>
      </c>
      <c r="ED3" s="5" t="s">
        <v>3</v>
      </c>
      <c r="EE3" s="5" t="s">
        <v>33</v>
      </c>
      <c r="EF3" s="5" t="s">
        <v>4</v>
      </c>
      <c r="EG3" s="5" t="s">
        <v>33</v>
      </c>
      <c r="EH3" s="5" t="s">
        <v>13</v>
      </c>
      <c r="EJ3" s="5" t="s">
        <v>12</v>
      </c>
      <c r="EK3" s="5" t="s">
        <v>3</v>
      </c>
      <c r="EL3" s="5" t="s">
        <v>33</v>
      </c>
      <c r="EM3" s="5" t="s">
        <v>4</v>
      </c>
      <c r="EN3" s="5" t="s">
        <v>33</v>
      </c>
      <c r="EO3" s="5" t="s">
        <v>13</v>
      </c>
    </row>
    <row r="4" spans="2:145">
      <c r="B4" t="s">
        <v>28</v>
      </c>
      <c r="C4" t="s">
        <v>88</v>
      </c>
      <c r="D4" s="19" t="s">
        <v>89</v>
      </c>
      <c r="E4" s="9">
        <v>5</v>
      </c>
      <c r="G4" s="10">
        <v>1</v>
      </c>
      <c r="I4" s="12">
        <v>0</v>
      </c>
      <c r="J4" s="11">
        <f>+SUMPRODUCT(G5:G11,J5:J11)</f>
        <v>0</v>
      </c>
      <c r="K4" s="11">
        <f>+SUMPRODUCT(G5:G11,K5:K11)</f>
        <v>0</v>
      </c>
      <c r="L4" s="9"/>
      <c r="N4" s="12">
        <f>+SUM(N5:N11)</f>
        <v>0</v>
      </c>
      <c r="U4" s="12">
        <f>+SUM(U5:U11)</f>
        <v>0</v>
      </c>
      <c r="AB4" s="12">
        <f>+SUM(AB5:AB11)</f>
        <v>0</v>
      </c>
      <c r="AI4" s="12">
        <f>+SUM(AI5:AI11)</f>
        <v>0</v>
      </c>
      <c r="AP4" s="12">
        <f>+SUM(AP5:AP11)</f>
        <v>0</v>
      </c>
      <c r="AW4" s="12">
        <f>+SUM(AW5:AW11)</f>
        <v>0</v>
      </c>
      <c r="BD4" s="12">
        <f>+SUM(BD5:BD11)</f>
        <v>0</v>
      </c>
      <c r="BK4" s="12">
        <f>+SUM(BK5:BK11)</f>
        <v>0</v>
      </c>
      <c r="BR4" s="12">
        <f>+SUM(BR5:BR11)</f>
        <v>0</v>
      </c>
      <c r="BY4" s="12">
        <f>+SUM(BY5:BY11)</f>
        <v>0</v>
      </c>
      <c r="CF4" s="12">
        <f>+SUM(CF5:CF11)</f>
        <v>0</v>
      </c>
      <c r="CM4" s="12">
        <f>+SUM(CM5:CM11)</f>
        <v>0</v>
      </c>
      <c r="CT4" s="12">
        <f>+SUM(CT5:CT11)</f>
        <v>0</v>
      </c>
      <c r="DA4" s="12">
        <f>+SUM(DA5:DA11)</f>
        <v>0</v>
      </c>
      <c r="DH4" s="12">
        <f>+SUM(DH5:DH11)</f>
        <v>0</v>
      </c>
      <c r="DO4" s="12">
        <f>+SUM(DO5:DO11)</f>
        <v>0</v>
      </c>
      <c r="DV4" s="12">
        <f>+SUM(DV5:DV11)</f>
        <v>0</v>
      </c>
      <c r="EC4" s="12">
        <f>+SUM(EC5:EC11)</f>
        <v>0</v>
      </c>
      <c r="EJ4" s="12">
        <f>+SUM(EJ5:EJ11)</f>
        <v>0</v>
      </c>
    </row>
    <row r="5" spans="2:145" outlineLevel="1">
      <c r="B5" t="s">
        <v>29</v>
      </c>
      <c r="C5" t="s">
        <v>88</v>
      </c>
      <c r="E5" s="9"/>
      <c r="F5" t="s">
        <v>135</v>
      </c>
      <c r="G5" s="10">
        <v>0.1</v>
      </c>
      <c r="I5" s="12">
        <v>0</v>
      </c>
      <c r="J5" s="11">
        <v>0</v>
      </c>
      <c r="K5" s="11">
        <v>0</v>
      </c>
      <c r="L5" s="9"/>
      <c r="O5" s="10"/>
      <c r="P5" s="10"/>
      <c r="Q5" s="10"/>
      <c r="R5" s="10"/>
      <c r="V5" s="10"/>
      <c r="W5" s="10"/>
      <c r="X5" s="10"/>
      <c r="Y5" s="10"/>
      <c r="AC5" s="10"/>
      <c r="AD5" s="10"/>
      <c r="AE5" s="10"/>
      <c r="AF5" s="10"/>
      <c r="AJ5" s="10"/>
      <c r="AK5" s="10"/>
      <c r="AL5" s="10"/>
      <c r="AM5" s="10"/>
      <c r="AQ5" s="10"/>
      <c r="AR5" s="10"/>
      <c r="AS5" s="10"/>
      <c r="AT5" s="10"/>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c r="DR5" s="10"/>
      <c r="DS5" s="10"/>
      <c r="DW5" s="10"/>
      <c r="DX5" s="10"/>
      <c r="DY5" s="10"/>
      <c r="DZ5" s="10"/>
      <c r="ED5" s="10"/>
      <c r="EE5" s="10"/>
      <c r="EF5" s="10"/>
      <c r="EG5" s="10"/>
      <c r="EK5" s="10"/>
      <c r="EL5" s="10"/>
      <c r="EM5" s="10"/>
      <c r="EN5" s="10"/>
    </row>
    <row r="6" spans="2:145" outlineLevel="1">
      <c r="B6" t="s">
        <v>29</v>
      </c>
      <c r="C6" t="s">
        <v>88</v>
      </c>
      <c r="E6" s="9"/>
      <c r="F6" t="s">
        <v>136</v>
      </c>
      <c r="G6" s="10">
        <v>0.15</v>
      </c>
      <c r="I6" s="12">
        <v>0</v>
      </c>
      <c r="J6" s="11">
        <v>0</v>
      </c>
      <c r="K6" s="11">
        <v>0</v>
      </c>
      <c r="L6" s="9"/>
      <c r="O6" s="10"/>
      <c r="P6" s="10"/>
      <c r="Q6" s="10"/>
      <c r="R6" s="10"/>
      <c r="V6" s="10"/>
      <c r="W6" s="10"/>
      <c r="X6" s="10"/>
      <c r="Y6" s="10"/>
      <c r="AC6" s="10"/>
      <c r="AD6" s="10"/>
      <c r="AE6" s="10"/>
      <c r="AF6" s="10"/>
      <c r="AJ6" s="10"/>
      <c r="AK6" s="10"/>
      <c r="AL6" s="10"/>
      <c r="AM6" s="10"/>
      <c r="AQ6" s="10"/>
      <c r="AR6" s="10"/>
      <c r="AS6" s="10"/>
      <c r="AT6" s="10"/>
      <c r="AX6" s="10"/>
      <c r="AY6" s="10">
        <v>0.3</v>
      </c>
      <c r="AZ6" s="10"/>
      <c r="BA6" s="10">
        <v>0.3</v>
      </c>
      <c r="BE6" s="10"/>
      <c r="BF6" s="10">
        <v>0.5</v>
      </c>
      <c r="BG6" s="10"/>
      <c r="BH6" s="10">
        <v>0.5</v>
      </c>
      <c r="BL6" s="10"/>
      <c r="BM6" s="10">
        <v>0.8</v>
      </c>
      <c r="BN6" s="10"/>
      <c r="BO6" s="10">
        <v>0.8</v>
      </c>
      <c r="BS6" s="10"/>
      <c r="BT6" s="10">
        <v>0.8</v>
      </c>
      <c r="BU6" s="10"/>
      <c r="BV6" s="10">
        <v>0.8</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c r="DR6" s="10"/>
      <c r="DS6" s="10"/>
      <c r="DW6" s="10"/>
      <c r="DX6" s="10"/>
      <c r="DY6" s="10"/>
      <c r="DZ6" s="10"/>
      <c r="ED6" s="10"/>
      <c r="EE6" s="10"/>
      <c r="EF6" s="10"/>
      <c r="EG6" s="10"/>
      <c r="EK6" s="10"/>
      <c r="EL6" s="10"/>
      <c r="EM6" s="10"/>
      <c r="EN6" s="10"/>
    </row>
    <row r="7" spans="2:145" outlineLevel="1">
      <c r="B7" t="s">
        <v>29</v>
      </c>
      <c r="C7" t="s">
        <v>88</v>
      </c>
      <c r="E7" s="9"/>
      <c r="F7" t="s">
        <v>137</v>
      </c>
      <c r="G7" s="10">
        <v>0.15</v>
      </c>
      <c r="I7" s="12">
        <v>0</v>
      </c>
      <c r="J7" s="11">
        <v>0</v>
      </c>
      <c r="K7" s="11">
        <v>0</v>
      </c>
      <c r="L7" s="9"/>
      <c r="O7" s="10"/>
      <c r="P7" s="10"/>
      <c r="Q7" s="10"/>
      <c r="R7" s="10"/>
      <c r="V7" s="10"/>
      <c r="W7" s="10"/>
      <c r="X7" s="10"/>
      <c r="Y7" s="10"/>
      <c r="AC7" s="10"/>
      <c r="AD7" s="10"/>
      <c r="AE7" s="10"/>
      <c r="AF7" s="10"/>
      <c r="AJ7" s="10"/>
      <c r="AK7" s="10"/>
      <c r="AL7" s="10"/>
      <c r="AM7" s="10"/>
      <c r="AQ7" s="10"/>
      <c r="AR7" s="10"/>
      <c r="AS7" s="10"/>
      <c r="AT7" s="10"/>
      <c r="AX7" s="10"/>
      <c r="AY7" s="10">
        <v>0.3</v>
      </c>
      <c r="AZ7" s="10"/>
      <c r="BA7" s="10">
        <v>0.3</v>
      </c>
      <c r="BE7" s="10"/>
      <c r="BF7" s="10">
        <v>0.5</v>
      </c>
      <c r="BG7" s="10"/>
      <c r="BH7" s="10">
        <v>0.5</v>
      </c>
      <c r="BL7" s="10"/>
      <c r="BM7" s="10">
        <v>0.8</v>
      </c>
      <c r="BN7" s="10"/>
      <c r="BO7" s="10">
        <v>0.8</v>
      </c>
      <c r="BS7" s="10"/>
      <c r="BT7" s="10">
        <v>0.8</v>
      </c>
      <c r="BU7" s="10"/>
      <c r="BV7" s="10">
        <v>0.8</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c r="DR7" s="10"/>
      <c r="DS7" s="10"/>
      <c r="DW7" s="10"/>
      <c r="DX7" s="10"/>
      <c r="DY7" s="10"/>
      <c r="DZ7" s="10"/>
      <c r="ED7" s="10"/>
      <c r="EE7" s="10"/>
      <c r="EF7" s="10"/>
      <c r="EG7" s="10"/>
      <c r="EK7" s="10"/>
      <c r="EL7" s="10"/>
      <c r="EM7" s="10"/>
      <c r="EN7" s="10"/>
    </row>
    <row r="8" spans="2:145" outlineLevel="1">
      <c r="B8" t="s">
        <v>29</v>
      </c>
      <c r="C8" t="s">
        <v>88</v>
      </c>
      <c r="E8" s="9"/>
      <c r="F8" t="s">
        <v>138</v>
      </c>
      <c r="G8" s="10">
        <v>0.15</v>
      </c>
      <c r="I8" s="12">
        <v>0</v>
      </c>
      <c r="J8" s="11">
        <v>0</v>
      </c>
      <c r="K8" s="11">
        <v>0</v>
      </c>
      <c r="L8" s="9"/>
      <c r="O8" s="10"/>
      <c r="P8" s="10"/>
      <c r="Q8" s="10"/>
      <c r="R8" s="10"/>
      <c r="V8" s="10"/>
      <c r="W8" s="10"/>
      <c r="X8" s="10"/>
      <c r="Y8" s="10"/>
      <c r="AC8" s="10"/>
      <c r="AD8" s="10"/>
      <c r="AE8" s="10"/>
      <c r="AF8" s="10"/>
      <c r="AJ8" s="10"/>
      <c r="AK8" s="10"/>
      <c r="AL8" s="10"/>
      <c r="AM8" s="10"/>
      <c r="AQ8" s="10"/>
      <c r="AR8" s="10"/>
      <c r="AS8" s="10"/>
      <c r="AT8" s="10"/>
      <c r="AX8" s="10"/>
      <c r="AY8" s="10"/>
      <c r="AZ8" s="10"/>
      <c r="BA8" s="10"/>
      <c r="BE8" s="10"/>
      <c r="BF8" s="10">
        <v>0.3</v>
      </c>
      <c r="BG8" s="10"/>
      <c r="BH8" s="10">
        <v>0.3</v>
      </c>
      <c r="BL8" s="10"/>
      <c r="BM8" s="10">
        <v>0.3</v>
      </c>
      <c r="BN8" s="10"/>
      <c r="BO8" s="10">
        <v>0.3</v>
      </c>
      <c r="BS8" s="10"/>
      <c r="BT8" s="10">
        <v>0.5</v>
      </c>
      <c r="BU8" s="10"/>
      <c r="BV8" s="10">
        <v>0.5</v>
      </c>
      <c r="BZ8" s="10"/>
      <c r="CA8" s="10">
        <v>0.5</v>
      </c>
      <c r="CB8" s="10"/>
      <c r="CC8" s="10">
        <v>0.5</v>
      </c>
      <c r="CG8" s="10"/>
      <c r="CH8" s="10">
        <v>0.8</v>
      </c>
      <c r="CI8" s="10"/>
      <c r="CJ8" s="10">
        <v>0.8</v>
      </c>
      <c r="CN8" s="10"/>
      <c r="CO8" s="10">
        <v>0.8</v>
      </c>
      <c r="CP8" s="10"/>
      <c r="CQ8" s="10">
        <v>0.8</v>
      </c>
      <c r="CU8" s="10"/>
      <c r="CV8" s="10">
        <v>1</v>
      </c>
      <c r="CW8" s="10"/>
      <c r="CX8" s="10">
        <v>1</v>
      </c>
      <c r="DB8" s="10"/>
      <c r="DC8" s="10">
        <v>1</v>
      </c>
      <c r="DD8" s="10"/>
      <c r="DE8" s="10">
        <v>1</v>
      </c>
      <c r="DI8" s="10"/>
      <c r="DJ8" s="10">
        <v>1</v>
      </c>
      <c r="DK8" s="10"/>
      <c r="DL8" s="10">
        <v>1</v>
      </c>
      <c r="DP8" s="10"/>
      <c r="DQ8" s="10"/>
      <c r="DR8" s="10"/>
      <c r="DS8" s="10"/>
      <c r="DW8" s="10"/>
      <c r="DX8" s="10"/>
      <c r="DY8" s="10"/>
      <c r="DZ8" s="10"/>
      <c r="ED8" s="10"/>
      <c r="EE8" s="10"/>
      <c r="EF8" s="10"/>
      <c r="EG8" s="10"/>
      <c r="EK8" s="10"/>
      <c r="EL8" s="10"/>
      <c r="EM8" s="10"/>
      <c r="EN8" s="10"/>
    </row>
    <row r="9" spans="2:145" outlineLevel="1">
      <c r="B9" t="s">
        <v>29</v>
      </c>
      <c r="C9" t="s">
        <v>88</v>
      </c>
      <c r="E9" s="9"/>
      <c r="F9" t="s">
        <v>139</v>
      </c>
      <c r="G9" s="10">
        <v>0.15</v>
      </c>
      <c r="I9" s="12">
        <v>0</v>
      </c>
      <c r="J9" s="11">
        <v>0</v>
      </c>
      <c r="K9" s="11">
        <v>0</v>
      </c>
      <c r="L9" s="9"/>
      <c r="O9" s="10"/>
      <c r="P9" s="10"/>
      <c r="Q9" s="10"/>
      <c r="R9" s="10"/>
      <c r="V9" s="10"/>
      <c r="W9" s="10"/>
      <c r="X9" s="10"/>
      <c r="Y9" s="10"/>
      <c r="AC9" s="10"/>
      <c r="AD9" s="10"/>
      <c r="AE9" s="10"/>
      <c r="AF9" s="10"/>
      <c r="AJ9" s="10"/>
      <c r="AK9" s="10"/>
      <c r="AL9" s="10"/>
      <c r="AM9" s="10"/>
      <c r="AQ9" s="10"/>
      <c r="AR9" s="10"/>
      <c r="AS9" s="10"/>
      <c r="AT9" s="10"/>
      <c r="AX9" s="10"/>
      <c r="AY9" s="10"/>
      <c r="AZ9" s="10"/>
      <c r="BA9" s="10"/>
      <c r="BE9" s="10"/>
      <c r="BF9" s="10">
        <v>0.3</v>
      </c>
      <c r="BG9" s="10"/>
      <c r="BH9" s="10">
        <v>0.3</v>
      </c>
      <c r="BL9" s="10"/>
      <c r="BM9" s="10">
        <v>0.3</v>
      </c>
      <c r="BN9" s="10"/>
      <c r="BO9" s="10">
        <v>0.3</v>
      </c>
      <c r="BS9" s="10"/>
      <c r="BT9" s="10">
        <v>0.5</v>
      </c>
      <c r="BU9" s="10"/>
      <c r="BV9" s="10">
        <v>0.5</v>
      </c>
      <c r="BZ9" s="10"/>
      <c r="CA9" s="10">
        <v>0.5</v>
      </c>
      <c r="CB9" s="10"/>
      <c r="CC9" s="10">
        <v>0.5</v>
      </c>
      <c r="CG9" s="10"/>
      <c r="CH9" s="10">
        <v>0.8</v>
      </c>
      <c r="CI9" s="10"/>
      <c r="CJ9" s="10">
        <v>0.8</v>
      </c>
      <c r="CN9" s="10"/>
      <c r="CO9" s="10">
        <v>0.8</v>
      </c>
      <c r="CP9" s="10"/>
      <c r="CQ9" s="10">
        <v>0.8</v>
      </c>
      <c r="CU9" s="10"/>
      <c r="CV9" s="10">
        <v>1</v>
      </c>
      <c r="CW9" s="10"/>
      <c r="CX9" s="10">
        <v>1</v>
      </c>
      <c r="DB9" s="10"/>
      <c r="DC9" s="10">
        <v>1</v>
      </c>
      <c r="DD9" s="10"/>
      <c r="DE9" s="10">
        <v>1</v>
      </c>
      <c r="DI9" s="10"/>
      <c r="DJ9" s="10">
        <v>1</v>
      </c>
      <c r="DK9" s="10"/>
      <c r="DL9" s="10">
        <v>1</v>
      </c>
      <c r="DP9" s="10"/>
      <c r="DQ9" s="10"/>
      <c r="DR9" s="10"/>
      <c r="DS9" s="10"/>
      <c r="DW9" s="10"/>
      <c r="DX9" s="10"/>
      <c r="DY9" s="10"/>
      <c r="DZ9" s="10"/>
      <c r="ED9" s="10"/>
      <c r="EE9" s="10"/>
      <c r="EF9" s="10"/>
      <c r="EG9" s="10"/>
      <c r="EK9" s="10"/>
      <c r="EL9" s="10"/>
      <c r="EM9" s="10"/>
      <c r="EN9" s="10"/>
    </row>
    <row r="10" spans="2:145" outlineLevel="1">
      <c r="B10" t="s">
        <v>29</v>
      </c>
      <c r="C10" t="s">
        <v>88</v>
      </c>
      <c r="E10" s="9"/>
      <c r="F10" t="s">
        <v>140</v>
      </c>
      <c r="G10" s="10">
        <v>0.15</v>
      </c>
      <c r="I10" s="12">
        <v>0</v>
      </c>
      <c r="J10" s="11" cm="1">
        <f t="array" ref="J10">MAX(IF($N$3:$CY$3=$J$3,N10:CY10))</f>
        <v>0</v>
      </c>
      <c r="K10" s="11" cm="1">
        <f t="array" ref="K10">MAX(IF($N$3:$CY$3=$J$3,N10:CY10))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L10" s="10"/>
      <c r="BM10" s="10"/>
      <c r="BN10" s="10"/>
      <c r="BO10" s="10"/>
      <c r="BS10" s="10"/>
      <c r="BT10" s="10"/>
      <c r="BU10" s="10"/>
      <c r="BV10" s="10"/>
      <c r="BZ10" s="10"/>
      <c r="CA10" s="10">
        <v>0.3</v>
      </c>
      <c r="CB10" s="10"/>
      <c r="CC10" s="10">
        <v>0.3</v>
      </c>
      <c r="CG10" s="10"/>
      <c r="CH10" s="10">
        <v>0.5</v>
      </c>
      <c r="CI10" s="10"/>
      <c r="CJ10" s="10">
        <v>0.5</v>
      </c>
      <c r="CN10" s="10"/>
      <c r="CO10" s="10">
        <v>0.5</v>
      </c>
      <c r="CP10" s="10"/>
      <c r="CQ10" s="10">
        <v>0.5</v>
      </c>
      <c r="CU10" s="10"/>
      <c r="CV10" s="10">
        <v>0.5</v>
      </c>
      <c r="CW10" s="10"/>
      <c r="CX10" s="10">
        <v>0.5</v>
      </c>
      <c r="DB10" s="10"/>
      <c r="DC10" s="10">
        <v>0.8</v>
      </c>
      <c r="DD10" s="10"/>
      <c r="DE10" s="10">
        <v>0.8</v>
      </c>
      <c r="DI10" s="10"/>
      <c r="DJ10" s="10">
        <v>1</v>
      </c>
      <c r="DK10" s="10"/>
      <c r="DL10" s="10">
        <v>1</v>
      </c>
      <c r="DP10" s="10"/>
      <c r="DQ10" s="10"/>
      <c r="DR10" s="10"/>
      <c r="DS10" s="10"/>
      <c r="DW10" s="10"/>
      <c r="DX10" s="10"/>
      <c r="DY10" s="10"/>
      <c r="DZ10" s="10"/>
      <c r="ED10" s="10"/>
      <c r="EE10" s="10"/>
      <c r="EF10" s="10"/>
      <c r="EG10" s="10"/>
      <c r="EK10" s="10"/>
      <c r="EL10" s="10"/>
      <c r="EM10" s="10"/>
      <c r="EN10" s="10"/>
    </row>
    <row r="11" spans="2:145" outlineLevel="1">
      <c r="B11" t="s">
        <v>29</v>
      </c>
      <c r="C11" t="s">
        <v>88</v>
      </c>
      <c r="E11" s="9"/>
      <c r="F11" t="s">
        <v>141</v>
      </c>
      <c r="G11" s="10">
        <v>0.15</v>
      </c>
      <c r="I11" s="12">
        <v>0</v>
      </c>
      <c r="J11" s="11" cm="1">
        <f t="array" ref="J11">MAX(IF($N$3:$CY$3=$J$3,N11:CY11))</f>
        <v>0</v>
      </c>
      <c r="K11" s="11" cm="1">
        <f t="array" ref="K11">MAX(IF($N$3:$CY$3=$J$3,N11:CY11))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10"/>
      <c r="BN11" s="10"/>
      <c r="BO11" s="10"/>
      <c r="BS11" s="10"/>
      <c r="BT11" s="10"/>
      <c r="BU11" s="10"/>
      <c r="BV11" s="10"/>
      <c r="BZ11" s="10"/>
      <c r="CA11" s="10">
        <v>0.3</v>
      </c>
      <c r="CB11" s="10"/>
      <c r="CC11" s="10">
        <v>0.3</v>
      </c>
      <c r="CG11" s="10"/>
      <c r="CH11" s="10">
        <v>0.5</v>
      </c>
      <c r="CI11" s="10"/>
      <c r="CJ11" s="10">
        <v>0.5</v>
      </c>
      <c r="CN11" s="10"/>
      <c r="CO11" s="10">
        <v>0.5</v>
      </c>
      <c r="CP11" s="10"/>
      <c r="CQ11" s="10">
        <v>0.5</v>
      </c>
      <c r="CU11" s="10"/>
      <c r="CV11" s="10">
        <v>0.5</v>
      </c>
      <c r="CW11" s="10"/>
      <c r="CX11" s="10">
        <v>0.5</v>
      </c>
      <c r="DB11" s="10"/>
      <c r="DC11" s="10">
        <v>0.8</v>
      </c>
      <c r="DD11" s="10"/>
      <c r="DE11" s="10">
        <v>0.8</v>
      </c>
      <c r="DI11" s="10"/>
      <c r="DJ11" s="10">
        <v>1</v>
      </c>
      <c r="DK11" s="10"/>
      <c r="DL11" s="10">
        <v>1</v>
      </c>
      <c r="DP11" s="10"/>
      <c r="DQ11" s="10"/>
      <c r="DR11" s="10"/>
      <c r="DS11" s="10"/>
      <c r="DW11" s="10"/>
      <c r="DX11" s="10"/>
      <c r="DY11" s="10"/>
      <c r="DZ11" s="10"/>
      <c r="ED11" s="10"/>
      <c r="EE11" s="10"/>
      <c r="EF11" s="10"/>
      <c r="EG11" s="10"/>
      <c r="EK11" s="10"/>
      <c r="EL11" s="10"/>
      <c r="EM11" s="10"/>
      <c r="EN11" s="10"/>
    </row>
    <row r="12" spans="2:145">
      <c r="AX12" s="10"/>
    </row>
    <row r="13" spans="2:145">
      <c r="B13" t="s">
        <v>28</v>
      </c>
      <c r="C13" t="s">
        <v>2</v>
      </c>
      <c r="D13" s="19" t="s">
        <v>89</v>
      </c>
      <c r="E13" s="9">
        <v>5</v>
      </c>
      <c r="G13" s="10">
        <f>+SUM(G14:G19)</f>
        <v>1</v>
      </c>
      <c r="I13" s="12">
        <v>0</v>
      </c>
      <c r="J13" s="11">
        <f>+SUMPRODUCT(G14:G19,J14:J19)</f>
        <v>0</v>
      </c>
      <c r="K13" s="11">
        <f>+SUMPRODUCT(G14:G19,K14:K19)</f>
        <v>0</v>
      </c>
      <c r="L13" s="9"/>
      <c r="N13" s="12">
        <f>+SUM(N14:N19)</f>
        <v>0</v>
      </c>
      <c r="U13" s="12">
        <f>+SUM(U14:U19)</f>
        <v>0</v>
      </c>
      <c r="AB13" s="12">
        <f>+SUM(AB14:AB19)</f>
        <v>0</v>
      </c>
      <c r="AI13" s="12">
        <f>+SUM(AI14:AI19)</f>
        <v>0</v>
      </c>
      <c r="AP13" s="12">
        <f>+SUM(AP14:AP19)</f>
        <v>0</v>
      </c>
      <c r="AX13" s="10"/>
    </row>
    <row r="14" spans="2:145" outlineLevel="1">
      <c r="B14" t="s">
        <v>29</v>
      </c>
      <c r="C14" t="s">
        <v>2</v>
      </c>
      <c r="E14" s="9"/>
      <c r="F14" t="s">
        <v>91</v>
      </c>
      <c r="G14" s="10">
        <v>0.16</v>
      </c>
      <c r="I14" s="9">
        <v>0</v>
      </c>
      <c r="J14" s="11">
        <v>0</v>
      </c>
      <c r="K14" s="11">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c r="BU14" s="10"/>
      <c r="BV14" s="10"/>
      <c r="BZ14" s="10"/>
      <c r="CA14" s="10"/>
      <c r="CB14" s="10"/>
      <c r="CC14" s="10"/>
      <c r="CG14" s="10"/>
      <c r="CH14" s="10"/>
      <c r="CI14" s="10"/>
      <c r="CJ14" s="10"/>
      <c r="CN14" s="10"/>
      <c r="CO14" s="10"/>
      <c r="CP14" s="10"/>
      <c r="CQ14" s="10"/>
      <c r="CU14" s="10"/>
      <c r="CV14" s="10"/>
      <c r="CW14" s="10"/>
      <c r="CX14" s="10"/>
      <c r="DB14" s="10"/>
      <c r="DC14" s="10">
        <v>1</v>
      </c>
      <c r="DD14" s="10"/>
      <c r="DE14" s="10">
        <v>1</v>
      </c>
      <c r="DI14" s="10"/>
      <c r="DJ14" s="10">
        <v>1</v>
      </c>
      <c r="DK14" s="10"/>
      <c r="DL14" s="10">
        <v>1</v>
      </c>
      <c r="DP14" s="10"/>
      <c r="DQ14" s="10"/>
      <c r="DR14" s="10"/>
      <c r="DS14" s="10"/>
      <c r="DW14" s="10"/>
      <c r="DX14" s="10"/>
      <c r="DY14" s="10"/>
      <c r="DZ14" s="10"/>
      <c r="ED14" s="10"/>
      <c r="EE14" s="10"/>
      <c r="EF14" s="10"/>
      <c r="EG14" s="10"/>
      <c r="EK14" s="10"/>
      <c r="EL14" s="10"/>
      <c r="EM14" s="10"/>
      <c r="EN14" s="10"/>
    </row>
    <row r="15" spans="2:145" outlineLevel="1">
      <c r="B15" t="s">
        <v>29</v>
      </c>
      <c r="C15" t="s">
        <v>2</v>
      </c>
      <c r="E15" s="9"/>
      <c r="F15" t="s">
        <v>92</v>
      </c>
      <c r="G15" s="10">
        <v>0.16</v>
      </c>
      <c r="I15" s="9">
        <v>0</v>
      </c>
      <c r="J15" s="11">
        <v>0</v>
      </c>
      <c r="K15" s="11">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c r="CI15" s="10"/>
      <c r="CJ15" s="10"/>
      <c r="CN15" s="10"/>
      <c r="CO15" s="10"/>
      <c r="CP15" s="10"/>
      <c r="CQ15" s="10"/>
      <c r="CU15" s="10"/>
      <c r="CV15" s="10"/>
      <c r="CW15" s="10"/>
      <c r="CX15" s="10"/>
      <c r="DB15" s="10"/>
      <c r="DC15" s="10">
        <v>1</v>
      </c>
      <c r="DD15" s="10"/>
      <c r="DE15" s="10">
        <v>1</v>
      </c>
      <c r="DI15" s="10"/>
      <c r="DJ15" s="10">
        <v>1</v>
      </c>
      <c r="DK15" s="10"/>
      <c r="DL15" s="10">
        <v>1</v>
      </c>
      <c r="DP15" s="10"/>
      <c r="DQ15" s="10"/>
      <c r="DR15" s="10"/>
      <c r="DS15" s="10"/>
      <c r="DW15" s="10"/>
      <c r="DX15" s="10"/>
      <c r="DY15" s="10"/>
      <c r="DZ15" s="10"/>
      <c r="ED15" s="10"/>
      <c r="EE15" s="10"/>
      <c r="EF15" s="10"/>
      <c r="EG15" s="10"/>
      <c r="EK15" s="10"/>
      <c r="EL15" s="10"/>
      <c r="EM15" s="10"/>
      <c r="EN15" s="10"/>
    </row>
    <row r="16" spans="2:145" outlineLevel="1">
      <c r="B16" t="s">
        <v>29</v>
      </c>
      <c r="C16" t="s">
        <v>2</v>
      </c>
      <c r="E16" s="9"/>
      <c r="F16" t="s">
        <v>93</v>
      </c>
      <c r="G16" s="10">
        <v>0.17</v>
      </c>
      <c r="I16" s="9">
        <f>+SUMIF($N$3:$YJ$3,I$3,$N16:$YJ16)</f>
        <v>0</v>
      </c>
      <c r="J16" s="11" cm="1">
        <f t="array" ref="J16">MAX(IF($N$3:$CY$3=$J$3,N16:CY16))</f>
        <v>0</v>
      </c>
      <c r="K16" s="11" cm="1">
        <f t="array" ref="K16">MAX(IF($N$3:$CY$3=$J$3,N16:CY16))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c r="CB16" s="10"/>
      <c r="CC16" s="10"/>
      <c r="CG16" s="10"/>
      <c r="CH16" s="10"/>
      <c r="CI16" s="10"/>
      <c r="CJ16" s="10"/>
      <c r="CN16" s="10"/>
      <c r="CO16" s="10"/>
      <c r="CP16" s="10"/>
      <c r="CQ16" s="10"/>
      <c r="CU16" s="10"/>
      <c r="CV16" s="10"/>
      <c r="CW16" s="10"/>
      <c r="CX16" s="10"/>
      <c r="DB16" s="10"/>
      <c r="DC16" s="10">
        <v>1</v>
      </c>
      <c r="DD16" s="10"/>
      <c r="DE16" s="10">
        <v>1</v>
      </c>
      <c r="DI16" s="10"/>
      <c r="DJ16" s="10">
        <v>1</v>
      </c>
      <c r="DK16" s="10"/>
      <c r="DL16" s="10">
        <v>1</v>
      </c>
      <c r="DP16" s="10"/>
      <c r="DQ16" s="10"/>
      <c r="DR16" s="10"/>
      <c r="DS16" s="10"/>
      <c r="DW16" s="10"/>
      <c r="DX16" s="10"/>
      <c r="DY16" s="10"/>
      <c r="DZ16" s="10"/>
      <c r="ED16" s="10"/>
      <c r="EE16" s="10"/>
      <c r="EF16" s="10"/>
      <c r="EG16" s="10"/>
      <c r="EK16" s="10"/>
      <c r="EL16" s="10"/>
      <c r="EM16" s="10"/>
      <c r="EN16" s="10"/>
    </row>
    <row r="17" spans="2:144" outlineLevel="1">
      <c r="B17" t="s">
        <v>29</v>
      </c>
      <c r="C17" t="s">
        <v>2</v>
      </c>
      <c r="E17" s="9"/>
      <c r="F17" t="s">
        <v>94</v>
      </c>
      <c r="G17" s="10">
        <v>0.17</v>
      </c>
      <c r="I17" s="9">
        <f ca="1">+SUMIF($N$3:$YJ$3,I$3,$N17:$YG17)</f>
        <v>0</v>
      </c>
      <c r="J17" s="11" cm="1">
        <f t="array" ref="J17">MAX(IF($N$3:$CY$3=$J$3,N17:CY17))</f>
        <v>0</v>
      </c>
      <c r="K17" s="11" cm="1">
        <f t="array" ref="K17">MAX(IF($N$3:$CY$3=$J$3,N17:CY17))</f>
        <v>0</v>
      </c>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U17" s="10"/>
      <c r="CV17" s="10"/>
      <c r="CW17" s="10"/>
      <c r="CX17" s="10"/>
      <c r="DB17" s="10"/>
      <c r="DC17" s="10">
        <v>1</v>
      </c>
      <c r="DD17" s="10"/>
      <c r="DE17" s="10">
        <v>1</v>
      </c>
      <c r="DI17" s="10"/>
      <c r="DJ17" s="10">
        <v>1</v>
      </c>
      <c r="DK17" s="10"/>
      <c r="DL17" s="10">
        <v>1</v>
      </c>
      <c r="DP17" s="10"/>
      <c r="DQ17" s="10"/>
      <c r="DR17" s="10"/>
      <c r="DS17" s="10"/>
      <c r="DW17" s="10"/>
      <c r="DX17" s="10"/>
      <c r="DY17" s="10"/>
      <c r="DZ17" s="10"/>
      <c r="ED17" s="10"/>
      <c r="EE17" s="10"/>
      <c r="EF17" s="10"/>
      <c r="EG17" s="10"/>
      <c r="EK17" s="10"/>
      <c r="EL17" s="10"/>
      <c r="EM17" s="10"/>
      <c r="EN17" s="10"/>
    </row>
    <row r="18" spans="2:144" outlineLevel="1">
      <c r="B18" t="s">
        <v>29</v>
      </c>
      <c r="C18" t="s">
        <v>2</v>
      </c>
      <c r="E18" s="9"/>
      <c r="F18" t="s">
        <v>95</v>
      </c>
      <c r="G18" s="10">
        <v>0.17</v>
      </c>
      <c r="I18" s="9">
        <f>+SUMIF($N$3:$YJ$3,I$3,$N18:$YJ18)</f>
        <v>0</v>
      </c>
      <c r="J18" s="11" cm="1">
        <f t="array" ref="J18">MAX(IF($N$3:$CY$3=$J$3,N18:CY18))</f>
        <v>0</v>
      </c>
      <c r="K18" s="11" cm="1">
        <f t="array" ref="K18">MAX(IF($N$3:$CY$3=$J$3,N18:CY18))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U18" s="10"/>
      <c r="CV18" s="10"/>
      <c r="CW18" s="10"/>
      <c r="CX18" s="10"/>
      <c r="DB18" s="10"/>
      <c r="DC18" s="10">
        <v>1</v>
      </c>
      <c r="DD18" s="10"/>
      <c r="DE18" s="10">
        <v>1</v>
      </c>
      <c r="DI18" s="10"/>
      <c r="DJ18" s="10">
        <v>1</v>
      </c>
      <c r="DK18" s="10"/>
      <c r="DL18" s="10">
        <v>1</v>
      </c>
      <c r="DP18" s="10"/>
      <c r="DQ18" s="10"/>
      <c r="DR18" s="10"/>
      <c r="DS18" s="10"/>
      <c r="DW18" s="10"/>
      <c r="DX18" s="10"/>
      <c r="DY18" s="10"/>
      <c r="DZ18" s="10"/>
      <c r="ED18" s="10"/>
      <c r="EE18" s="10"/>
      <c r="EF18" s="10"/>
      <c r="EG18" s="10"/>
      <c r="EK18" s="10"/>
      <c r="EL18" s="10"/>
      <c r="EM18" s="10"/>
      <c r="EN18" s="10"/>
    </row>
    <row r="19" spans="2:144" outlineLevel="1">
      <c r="B19" t="s">
        <v>29</v>
      </c>
      <c r="C19" t="s">
        <v>2</v>
      </c>
      <c r="E19" s="9"/>
      <c r="F19" t="s">
        <v>96</v>
      </c>
      <c r="G19" s="10">
        <v>0.17</v>
      </c>
      <c r="I19" s="9">
        <f>+SUMIF($N$3:$YJ$3,I$3,$N19:$YJ19)</f>
        <v>0</v>
      </c>
      <c r="J19" s="11" cm="1">
        <f t="array" ref="J19">MAX(IF($N$3:$CY$3=$J$3,N19:CY19))</f>
        <v>0</v>
      </c>
      <c r="K19" s="11" cm="1">
        <f t="array" ref="K19">MAX(IF($N$3:$CY$3=$J$3,N19:CY19))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c r="BN19" s="10"/>
      <c r="BO19" s="10"/>
      <c r="BS19" s="10"/>
      <c r="BT19" s="10"/>
      <c r="BU19" s="10"/>
      <c r="BV19" s="10"/>
      <c r="BZ19" s="10"/>
      <c r="CA19" s="10"/>
      <c r="CB19" s="10"/>
      <c r="CC19" s="10"/>
      <c r="CG19" s="10"/>
      <c r="CH19" s="10"/>
      <c r="CI19" s="10"/>
      <c r="CJ19" s="10"/>
      <c r="CN19" s="10"/>
      <c r="CO19" s="10"/>
      <c r="CP19" s="10"/>
      <c r="CQ19" s="10"/>
      <c r="CU19" s="10"/>
      <c r="CV19" s="10"/>
      <c r="CW19" s="10"/>
      <c r="CX19" s="10"/>
      <c r="DB19" s="10"/>
      <c r="DC19" s="10">
        <v>0.8</v>
      </c>
      <c r="DD19" s="10"/>
      <c r="DE19" s="10">
        <v>0.8</v>
      </c>
      <c r="DI19" s="10"/>
      <c r="DJ19" s="10">
        <v>1</v>
      </c>
      <c r="DK19" s="10"/>
      <c r="DL19" s="10">
        <v>1</v>
      </c>
      <c r="DP19" s="10"/>
      <c r="DQ19" s="10"/>
      <c r="DR19" s="10"/>
      <c r="DS19" s="10"/>
      <c r="DW19" s="10"/>
      <c r="DX19" s="10"/>
      <c r="DY19" s="10"/>
      <c r="DZ19" s="10"/>
      <c r="ED19" s="10"/>
      <c r="EE19" s="10"/>
      <c r="EF19" s="10"/>
      <c r="EG19" s="10"/>
      <c r="EK19" s="10"/>
      <c r="EL19" s="10"/>
      <c r="EM19" s="10"/>
      <c r="EN19" s="10"/>
    </row>
    <row r="20" spans="2:144">
      <c r="AX20" s="10"/>
    </row>
    <row r="21" spans="2:144">
      <c r="B21" t="s">
        <v>28</v>
      </c>
      <c r="C21" t="s">
        <v>98</v>
      </c>
      <c r="D21" s="19" t="s">
        <v>89</v>
      </c>
      <c r="E21" s="9">
        <v>5</v>
      </c>
      <c r="G21" s="10">
        <v>1</v>
      </c>
      <c r="I21" s="12">
        <f>+SUM(I22:I27)</f>
        <v>0</v>
      </c>
      <c r="J21" s="11">
        <f>+SUMPRODUCT(G22:G27,J22:J27)</f>
        <v>0</v>
      </c>
      <c r="K21" s="11">
        <f>+SUMPRODUCT(G22:G27,K22:K27)</f>
        <v>0</v>
      </c>
      <c r="L21" s="9"/>
      <c r="N21" s="12">
        <f>+SUM(N22:N27)</f>
        <v>0</v>
      </c>
      <c r="U21" s="12">
        <f>+SUM(U22:U27)</f>
        <v>0</v>
      </c>
      <c r="AB21" s="12">
        <f>+SUM(AB22:AB27)</f>
        <v>0</v>
      </c>
      <c r="AI21" s="12">
        <f>+SUM(AI22:AI27)</f>
        <v>0</v>
      </c>
      <c r="AP21" s="12">
        <f>+SUM(AP22:AP27)</f>
        <v>0</v>
      </c>
      <c r="AX21" s="10"/>
    </row>
    <row r="22" spans="2:144" outlineLevel="1">
      <c r="B22" t="s">
        <v>29</v>
      </c>
      <c r="C22" t="s">
        <v>98</v>
      </c>
      <c r="D22" s="19"/>
      <c r="E22" s="9"/>
      <c r="F22" t="s">
        <v>100</v>
      </c>
      <c r="G22" s="10">
        <v>0.16</v>
      </c>
      <c r="I22" s="9">
        <f t="shared" ref="I22:I27" si="0">+SUMIF($N$3:$YJ$3,I$3,$N22:$YJ22)</f>
        <v>0</v>
      </c>
      <c r="J22" s="11" cm="1">
        <f t="array" ref="J22">MAX(IF($N$3:$CY$3=$J$3,N22:CY22))</f>
        <v>0</v>
      </c>
      <c r="K22" s="11" cm="1">
        <f t="array" ref="K22">MAX(IF($N$3:$CY$3=$J$3,N22:CY22))</f>
        <v>0</v>
      </c>
      <c r="L22" s="9"/>
      <c r="O22" s="10"/>
      <c r="P22" s="10">
        <v>1</v>
      </c>
      <c r="Q22" s="10"/>
      <c r="R22" s="10">
        <v>1</v>
      </c>
      <c r="V22" s="10"/>
      <c r="W22" s="10">
        <v>1</v>
      </c>
      <c r="X22" s="10"/>
      <c r="Y22" s="10">
        <v>1</v>
      </c>
      <c r="AC22" s="10"/>
      <c r="AD22" s="10">
        <v>1</v>
      </c>
      <c r="AE22" s="10"/>
      <c r="AF22" s="10">
        <v>1</v>
      </c>
      <c r="AJ22" s="10"/>
      <c r="AK22" s="10">
        <v>1</v>
      </c>
      <c r="AL22" s="10"/>
      <c r="AM22" s="10">
        <v>1</v>
      </c>
      <c r="AQ22" s="10"/>
      <c r="AR22" s="10">
        <v>1</v>
      </c>
      <c r="AS22" s="10"/>
      <c r="AT22" s="10">
        <v>1</v>
      </c>
      <c r="AX22" s="10"/>
      <c r="AY22" s="10"/>
      <c r="AZ22" s="10"/>
      <c r="BA22" s="10"/>
      <c r="BE22" s="10"/>
      <c r="BF22" s="10"/>
      <c r="BG22" s="10"/>
      <c r="BH22" s="10"/>
      <c r="BL22" s="10"/>
      <c r="BM22" s="10"/>
      <c r="BN22" s="10"/>
      <c r="BO22" s="10"/>
      <c r="BS22" s="10"/>
      <c r="BT22" s="10"/>
      <c r="BU22" s="10"/>
      <c r="BV22" s="10"/>
      <c r="BZ22" s="10"/>
      <c r="CA22" s="10"/>
      <c r="CB22" s="10"/>
      <c r="CC22" s="10"/>
      <c r="CG22" s="10"/>
      <c r="CH22" s="10"/>
      <c r="CI22" s="10"/>
      <c r="CJ22" s="10"/>
      <c r="CN22" s="10"/>
      <c r="CO22" s="10"/>
      <c r="CP22" s="10"/>
      <c r="CQ22" s="10"/>
      <c r="CU22" s="10"/>
      <c r="CV22" s="10"/>
      <c r="CW22" s="10"/>
      <c r="CX22" s="10"/>
      <c r="DB22" s="10"/>
      <c r="DC22" s="10"/>
      <c r="DD22" s="10"/>
      <c r="DE22" s="10"/>
      <c r="DI22" s="10"/>
      <c r="DJ22" s="10"/>
      <c r="DK22" s="10"/>
      <c r="DL22" s="10"/>
      <c r="DP22" s="10"/>
      <c r="DQ22" s="10"/>
      <c r="DR22" s="10"/>
      <c r="DS22" s="10"/>
      <c r="DW22" s="10"/>
      <c r="DX22" s="10"/>
      <c r="DY22" s="10"/>
      <c r="DZ22" s="10"/>
      <c r="ED22" s="10"/>
      <c r="EE22" s="10"/>
      <c r="EF22" s="10"/>
      <c r="EG22" s="10"/>
      <c r="EK22" s="10"/>
      <c r="EL22" s="10"/>
      <c r="EM22" s="10"/>
      <c r="EN22" s="10"/>
    </row>
    <row r="23" spans="2:144" outlineLevel="1">
      <c r="B23" t="s">
        <v>29</v>
      </c>
      <c r="C23" t="s">
        <v>98</v>
      </c>
      <c r="E23" s="9"/>
      <c r="F23" t="s">
        <v>101</v>
      </c>
      <c r="G23" s="10">
        <v>0.16</v>
      </c>
      <c r="I23" s="9">
        <f t="shared" si="0"/>
        <v>0</v>
      </c>
      <c r="J23" s="11" cm="1">
        <f t="array" ref="J23">MAX(IF($N$3:$CY$3=$J$3,N23:CY23))</f>
        <v>0</v>
      </c>
      <c r="K23" s="11" cm="1">
        <f t="array" ref="K23">MAX(IF($N$3:$CY$3=$J$3,N23:CY23))</f>
        <v>0</v>
      </c>
      <c r="L23" s="9"/>
      <c r="O23" s="10"/>
      <c r="P23" s="10"/>
      <c r="Q23" s="10"/>
      <c r="R23" s="10"/>
      <c r="V23" s="10"/>
      <c r="W23" s="10">
        <v>1</v>
      </c>
      <c r="X23" s="10"/>
      <c r="Y23" s="10">
        <v>1</v>
      </c>
      <c r="AC23" s="10"/>
      <c r="AD23" s="10">
        <v>1</v>
      </c>
      <c r="AE23" s="10"/>
      <c r="AF23" s="10">
        <v>1</v>
      </c>
      <c r="AJ23" s="10"/>
      <c r="AK23" s="10">
        <v>1</v>
      </c>
      <c r="AL23" s="10"/>
      <c r="AM23" s="10">
        <v>1</v>
      </c>
      <c r="AQ23" s="10"/>
      <c r="AR23" s="10">
        <v>1</v>
      </c>
      <c r="AS23" s="10"/>
      <c r="AT23" s="10">
        <v>1</v>
      </c>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outlineLevel="1">
      <c r="B24" t="s">
        <v>29</v>
      </c>
      <c r="C24" t="s">
        <v>98</v>
      </c>
      <c r="E24" s="9"/>
      <c r="F24" t="s">
        <v>102</v>
      </c>
      <c r="G24" s="10">
        <v>0.17</v>
      </c>
      <c r="I24" s="9">
        <f t="shared" si="0"/>
        <v>0</v>
      </c>
      <c r="J24" s="11" cm="1">
        <f t="array" ref="J24">MAX(IF($N$3:$CY$3=$J$3,N24:CY24))</f>
        <v>0</v>
      </c>
      <c r="K24" s="11" cm="1">
        <f t="array" ref="K24">MAX(IF($N$3:$CY$3=$J$3,N24:CY24))</f>
        <v>0</v>
      </c>
      <c r="L24" s="9"/>
      <c r="O24" s="10"/>
      <c r="P24" s="10"/>
      <c r="Q24" s="10"/>
      <c r="R24" s="10"/>
      <c r="V24" s="10"/>
      <c r="W24" s="10"/>
      <c r="X24" s="10"/>
      <c r="Y24" s="10"/>
      <c r="AC24" s="10"/>
      <c r="AD24" s="10">
        <v>1</v>
      </c>
      <c r="AE24" s="10"/>
      <c r="AF24" s="10">
        <v>1</v>
      </c>
      <c r="AJ24" s="10"/>
      <c r="AK24" s="10">
        <v>1</v>
      </c>
      <c r="AL24" s="10"/>
      <c r="AM24" s="10">
        <v>1</v>
      </c>
      <c r="AQ24" s="10"/>
      <c r="AR24" s="10">
        <v>1</v>
      </c>
      <c r="AS24" s="10"/>
      <c r="AT24" s="10">
        <v>1</v>
      </c>
      <c r="AX24" s="10"/>
      <c r="AY24" s="10"/>
      <c r="AZ24" s="10"/>
      <c r="BA24" s="10"/>
      <c r="BE24" s="10"/>
      <c r="BF24" s="10"/>
      <c r="BG24" s="10"/>
      <c r="BH24" s="10"/>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outlineLevel="1">
      <c r="B25" t="s">
        <v>29</v>
      </c>
      <c r="C25" t="s">
        <v>98</v>
      </c>
      <c r="E25" s="9"/>
      <c r="F25" t="s">
        <v>104</v>
      </c>
      <c r="G25" s="10">
        <v>0.17</v>
      </c>
      <c r="I25" s="9">
        <f t="shared" si="0"/>
        <v>0</v>
      </c>
      <c r="J25" s="11" cm="1">
        <f t="array" ref="J25">MAX(IF($N$3:$CY$3=$J$3,N25:CY25))</f>
        <v>0</v>
      </c>
      <c r="K25" s="11" cm="1">
        <f t="array" ref="K25">MAX(IF($N$3:$CY$3=$J$3,N25:CY25))</f>
        <v>0</v>
      </c>
      <c r="L25" s="9"/>
      <c r="O25" s="10"/>
      <c r="P25" s="10"/>
      <c r="Q25" s="10"/>
      <c r="R25" s="10"/>
      <c r="V25" s="10"/>
      <c r="W25" s="10"/>
      <c r="X25" s="10"/>
      <c r="Y25" s="10"/>
      <c r="AC25" s="10"/>
      <c r="AD25" s="10"/>
      <c r="AE25" s="10"/>
      <c r="AF25" s="10"/>
      <c r="AJ25" s="10"/>
      <c r="AK25" s="10">
        <v>1</v>
      </c>
      <c r="AL25" s="10"/>
      <c r="AM25" s="10">
        <v>1</v>
      </c>
      <c r="AQ25" s="10"/>
      <c r="AR25" s="10">
        <v>1</v>
      </c>
      <c r="AS25" s="10"/>
      <c r="AT25" s="10">
        <v>1</v>
      </c>
      <c r="AX25" s="10"/>
      <c r="AY25" s="10"/>
      <c r="AZ25" s="10"/>
      <c r="BA25" s="10"/>
      <c r="BE25" s="10"/>
      <c r="BF25" s="10"/>
      <c r="BG25" s="10"/>
      <c r="BH25" s="10"/>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outlineLevel="1">
      <c r="B26" t="s">
        <v>29</v>
      </c>
      <c r="C26" t="s">
        <v>98</v>
      </c>
      <c r="E26" s="9"/>
      <c r="F26" t="s">
        <v>103</v>
      </c>
      <c r="G26" s="10">
        <v>0.17</v>
      </c>
      <c r="I26" s="9">
        <f t="shared" si="0"/>
        <v>0</v>
      </c>
      <c r="J26" s="11" cm="1">
        <f t="array" ref="J26">MAX(IF($N$3:$CY$3=$J$3,N26:CY26))</f>
        <v>0</v>
      </c>
      <c r="K26" s="11" cm="1">
        <f t="array" ref="K26">MAX(IF($N$3:$CY$3=$J$3,N26:CY26))</f>
        <v>0</v>
      </c>
      <c r="L26" s="9"/>
      <c r="O26" s="10"/>
      <c r="P26" s="10"/>
      <c r="Q26" s="10"/>
      <c r="R26" s="10"/>
      <c r="V26" s="10"/>
      <c r="W26" s="10"/>
      <c r="X26" s="10"/>
      <c r="Y26" s="10"/>
      <c r="AC26" s="10"/>
      <c r="AD26" s="10"/>
      <c r="AE26" s="10"/>
      <c r="AF26" s="10"/>
      <c r="AJ26" s="10"/>
      <c r="AK26" s="10"/>
      <c r="AL26" s="10"/>
      <c r="AM26" s="10"/>
      <c r="AQ26" s="10"/>
      <c r="AR26" s="10">
        <v>1</v>
      </c>
      <c r="AS26" s="10"/>
      <c r="AT26" s="10">
        <v>1</v>
      </c>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outlineLevel="1">
      <c r="B27" t="s">
        <v>29</v>
      </c>
      <c r="C27" t="s">
        <v>98</v>
      </c>
      <c r="E27" s="9"/>
      <c r="F27" t="s">
        <v>90</v>
      </c>
      <c r="G27" s="10">
        <v>0.17</v>
      </c>
      <c r="I27" s="9">
        <f t="shared" si="0"/>
        <v>0</v>
      </c>
      <c r="J27" s="11" cm="1">
        <f t="array" ref="J27">MAX(IF($N$3:$CY$3=$J$3,N27:CY27))</f>
        <v>0</v>
      </c>
      <c r="K27" s="11" cm="1">
        <f t="array" ref="K27">MAX(IF($N$3:$CY$3=$J$3,N27:CY27))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c r="AX28" s="10"/>
    </row>
    <row r="29" spans="2:144">
      <c r="B29" t="s">
        <v>28</v>
      </c>
      <c r="C29" t="s">
        <v>99</v>
      </c>
      <c r="D29" s="19" t="s">
        <v>89</v>
      </c>
      <c r="E29" s="9">
        <v>5</v>
      </c>
      <c r="G29" s="10">
        <f>+SUM(G30:G39)</f>
        <v>0.99999999999999989</v>
      </c>
      <c r="I29" s="12">
        <f>+SUM(I30:I39)</f>
        <v>0</v>
      </c>
      <c r="J29" s="11">
        <f>+SUMPRODUCT(G30:G39,J30:J39)</f>
        <v>0</v>
      </c>
      <c r="K29" s="11">
        <f>+SUMPRODUCT(G30:G39,K30:K39)</f>
        <v>0</v>
      </c>
      <c r="L29" s="9"/>
      <c r="N29" s="12">
        <f>+SUM(N30:N39)</f>
        <v>0</v>
      </c>
      <c r="U29" s="12">
        <f>+SUM(U30:U39)</f>
        <v>0</v>
      </c>
      <c r="AB29" s="12">
        <f>+SUM(AB30:AB39)</f>
        <v>0</v>
      </c>
      <c r="AI29" s="12">
        <f>+SUM(AI30:AI39)</f>
        <v>0</v>
      </c>
      <c r="AP29" s="12">
        <f>+SUM(AP30:AP39)</f>
        <v>0</v>
      </c>
      <c r="AX29" s="10"/>
    </row>
    <row r="30" spans="2:144" outlineLevel="1">
      <c r="B30" t="s">
        <v>29</v>
      </c>
      <c r="C30" t="s">
        <v>99</v>
      </c>
      <c r="E30" s="9"/>
      <c r="F30" t="s">
        <v>100</v>
      </c>
      <c r="G30" s="10">
        <v>0.1</v>
      </c>
      <c r="I30" s="9">
        <f>+SUMIF($N$3:$YJ$3,I$3,$N30:$YJ30)</f>
        <v>0</v>
      </c>
      <c r="J30" s="11" cm="1">
        <f t="array" ref="J30">MAX(IF($N$3:$CY$3=$J$3,N30:CY30))</f>
        <v>0</v>
      </c>
      <c r="K30" s="11" cm="1">
        <f t="array" ref="K30">MAX(IF($N$3:$CY$3=$J$3,N30:CY30))</f>
        <v>0</v>
      </c>
      <c r="L30" s="9"/>
      <c r="O30" s="10"/>
      <c r="P30" s="10">
        <v>1</v>
      </c>
      <c r="Q30" s="10"/>
      <c r="R30" s="10">
        <v>1</v>
      </c>
      <c r="V30" s="10"/>
      <c r="W30" s="10">
        <v>1</v>
      </c>
      <c r="X30" s="10"/>
      <c r="Y30" s="10">
        <v>1</v>
      </c>
      <c r="AC30" s="10"/>
      <c r="AD30" s="10">
        <v>1</v>
      </c>
      <c r="AE30" s="10"/>
      <c r="AF30" s="10">
        <v>1</v>
      </c>
      <c r="AJ30" s="10"/>
      <c r="AK30" s="10">
        <v>1</v>
      </c>
      <c r="AL30" s="10"/>
      <c r="AM30" s="10">
        <v>1</v>
      </c>
      <c r="AQ30" s="10"/>
      <c r="AR30" s="10">
        <v>1</v>
      </c>
      <c r="AS30" s="10"/>
      <c r="AT30" s="10">
        <v>1</v>
      </c>
      <c r="AX30" s="10"/>
      <c r="AY30" s="10"/>
      <c r="AZ30" s="10"/>
      <c r="BA30" s="10"/>
      <c r="BE30" s="10"/>
      <c r="BF30" s="10"/>
      <c r="BG30" s="10"/>
      <c r="BH30" s="10"/>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outlineLevel="1">
      <c r="B31" t="s">
        <v>29</v>
      </c>
      <c r="C31" t="s">
        <v>99</v>
      </c>
      <c r="E31" s="9"/>
      <c r="F31" t="s">
        <v>101</v>
      </c>
      <c r="G31" s="10">
        <v>0.1</v>
      </c>
      <c r="I31" s="9">
        <f>+SUMIF($N$3:$YJ$3,I$3,$N31:$YJ31)</f>
        <v>0</v>
      </c>
      <c r="J31" s="11" cm="1">
        <f t="array" ref="J31">MAX(IF($N$3:$CY$3=$J$3,N31:CY31))</f>
        <v>0</v>
      </c>
      <c r="K31" s="11" cm="1">
        <f t="array" ref="K31">MAX(IF($N$3:$CY$3=$J$3,N31:CY31))</f>
        <v>0</v>
      </c>
      <c r="L31" s="9"/>
      <c r="V31" s="10"/>
      <c r="W31" s="10">
        <v>1</v>
      </c>
      <c r="X31" s="10"/>
      <c r="Y31" s="10">
        <v>1</v>
      </c>
      <c r="AC31" s="10"/>
      <c r="AD31" s="10">
        <v>1</v>
      </c>
      <c r="AE31" s="10"/>
      <c r="AF31" s="10">
        <v>1</v>
      </c>
      <c r="AJ31" s="10"/>
      <c r="AK31" s="10">
        <v>1</v>
      </c>
      <c r="AL31" s="10"/>
      <c r="AM31" s="10">
        <v>1</v>
      </c>
      <c r="AQ31" s="10"/>
      <c r="AR31" s="10">
        <v>1</v>
      </c>
      <c r="AS31" s="10"/>
      <c r="AT31" s="10">
        <v>1</v>
      </c>
      <c r="AX31" s="10"/>
      <c r="AY31" s="10"/>
      <c r="AZ31" s="10"/>
      <c r="BA31" s="10"/>
      <c r="BE31" s="10"/>
      <c r="BF31" s="10"/>
      <c r="BG31" s="10"/>
      <c r="BH31" s="10"/>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outlineLevel="1">
      <c r="B32" t="s">
        <v>29</v>
      </c>
      <c r="C32" t="s">
        <v>99</v>
      </c>
      <c r="E32" s="9"/>
      <c r="F32" t="s">
        <v>102</v>
      </c>
      <c r="G32" s="10">
        <v>0.1</v>
      </c>
      <c r="I32" s="9">
        <f>+SUMIF($N$3:$YJ$3,I$3,$N32:$YJ32)</f>
        <v>0</v>
      </c>
      <c r="J32" s="11" cm="1">
        <f t="array" ref="J32">MAX(IF($N$3:$CY$3=$J$3,N32:CY32))</f>
        <v>0</v>
      </c>
      <c r="K32" s="11" cm="1">
        <f t="array" ref="K32">MAX(IF($N$3:$CY$3=$J$3,N32:CY32))</f>
        <v>0</v>
      </c>
      <c r="L32" s="9"/>
      <c r="O32" s="10"/>
      <c r="P32" s="10"/>
      <c r="Q32" s="10"/>
      <c r="R32" s="10"/>
      <c r="V32" s="10"/>
      <c r="W32" s="10"/>
      <c r="X32" s="10"/>
      <c r="Y32" s="10"/>
      <c r="AC32" s="10"/>
      <c r="AD32" s="10">
        <v>1</v>
      </c>
      <c r="AE32" s="10"/>
      <c r="AF32" s="10">
        <v>1</v>
      </c>
      <c r="AJ32" s="10"/>
      <c r="AK32" s="10">
        <v>1</v>
      </c>
      <c r="AL32" s="10"/>
      <c r="AM32" s="10">
        <v>1</v>
      </c>
      <c r="AQ32" s="10"/>
      <c r="AR32" s="10">
        <v>1</v>
      </c>
      <c r="AS32" s="10"/>
      <c r="AT32" s="10">
        <v>1</v>
      </c>
      <c r="AX32" s="10"/>
      <c r="AY32" s="10"/>
      <c r="AZ32" s="10"/>
      <c r="BA32" s="10"/>
      <c r="BE32" s="10"/>
      <c r="BF32" s="10"/>
      <c r="BG32" s="10"/>
      <c r="BH32" s="10"/>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outlineLevel="1">
      <c r="B33" t="s">
        <v>29</v>
      </c>
      <c r="C33" t="s">
        <v>99</v>
      </c>
      <c r="E33" s="9"/>
      <c r="F33" t="s">
        <v>104</v>
      </c>
      <c r="G33" s="10">
        <v>0.1</v>
      </c>
      <c r="I33" s="9"/>
      <c r="J33" s="11" cm="1">
        <f t="array" ref="J33">MAX(IF($N$3:$CY$3=$J$3,N33:CY33))</f>
        <v>0</v>
      </c>
      <c r="K33" s="11" cm="1">
        <f t="array" ref="K33">MAX(IF($N$3:$CY$3=$J$3,N33:CY33))</f>
        <v>0</v>
      </c>
      <c r="L33" s="9"/>
      <c r="O33" s="10"/>
      <c r="P33" s="10"/>
      <c r="Q33" s="10"/>
      <c r="R33" s="10"/>
      <c r="V33" s="10"/>
      <c r="W33" s="10"/>
      <c r="X33" s="10"/>
      <c r="Y33" s="10"/>
      <c r="AC33" s="10"/>
      <c r="AD33" s="10"/>
      <c r="AE33" s="10"/>
      <c r="AF33" s="10"/>
      <c r="AJ33" s="10"/>
      <c r="AK33" s="10">
        <v>1</v>
      </c>
      <c r="AL33" s="10"/>
      <c r="AM33" s="10">
        <v>1</v>
      </c>
      <c r="AQ33" s="10"/>
      <c r="AR33" s="10">
        <v>1</v>
      </c>
      <c r="AS33" s="10"/>
      <c r="AT33" s="10">
        <v>1</v>
      </c>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outlineLevel="1">
      <c r="B34" t="s">
        <v>29</v>
      </c>
      <c r="C34" t="s">
        <v>99</v>
      </c>
      <c r="E34" s="9"/>
      <c r="F34" t="s">
        <v>103</v>
      </c>
      <c r="G34" s="10">
        <v>0.1</v>
      </c>
      <c r="I34" s="9">
        <f t="shared" ref="I34:I39" si="1">+SUMIF($N$3:$YJ$3,I$3,$N34:$YJ34)</f>
        <v>0</v>
      </c>
      <c r="J34" s="11" cm="1">
        <f t="array" ref="J34">MAX(IF($N$3:$CY$3=$J$3,N34:CY34))</f>
        <v>0</v>
      </c>
      <c r="K34" s="11" cm="1">
        <f t="array" ref="K34">MAX(IF($N$3:$CY$3=$J$3,N34:CY34))</f>
        <v>0</v>
      </c>
      <c r="L34" s="9"/>
      <c r="O34" s="10"/>
      <c r="P34" s="10"/>
      <c r="Q34" s="10"/>
      <c r="R34" s="10"/>
      <c r="V34" s="10"/>
      <c r="W34" s="10"/>
      <c r="X34" s="10"/>
      <c r="Y34" s="10"/>
      <c r="AC34" s="10"/>
      <c r="AD34" s="10"/>
      <c r="AE34" s="10"/>
      <c r="AF34" s="10"/>
      <c r="AJ34" s="10"/>
      <c r="AK34" s="10"/>
      <c r="AL34" s="10"/>
      <c r="AM34" s="10"/>
      <c r="AQ34" s="10"/>
      <c r="AR34" s="10">
        <v>1</v>
      </c>
      <c r="AS34" s="10"/>
      <c r="AT34" s="10">
        <v>1</v>
      </c>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row>
    <row r="35" spans="2:144" outlineLevel="1">
      <c r="B35" t="s">
        <v>29</v>
      </c>
      <c r="C35" t="s">
        <v>99</v>
      </c>
      <c r="E35" s="9"/>
      <c r="F35" t="s">
        <v>90</v>
      </c>
      <c r="G35" s="10">
        <v>0.1</v>
      </c>
      <c r="I35" s="9">
        <f t="shared" si="1"/>
        <v>0</v>
      </c>
      <c r="J35" s="11" cm="1">
        <f t="array" ref="J35">MAX(IF($N$3:$CY$3=$J$3,N35:CY35))</f>
        <v>0</v>
      </c>
      <c r="K35" s="11" cm="1">
        <f t="array" ref="K35">MAX(IF($N$3:$CY$3=$J$3,N35:CY35))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c r="BU35" s="10"/>
      <c r="BV35" s="10"/>
      <c r="BZ35" s="10"/>
      <c r="CA35" s="10"/>
      <c r="CB35" s="10"/>
      <c r="CC35" s="10"/>
      <c r="CG35" s="10"/>
      <c r="CH35" s="10"/>
      <c r="CI35" s="10"/>
      <c r="CJ35" s="10"/>
      <c r="CN35" s="10"/>
      <c r="CO35" s="10"/>
      <c r="CP35" s="10"/>
      <c r="CQ35" s="10"/>
      <c r="CU35" s="10"/>
      <c r="CV35" s="10"/>
      <c r="CW35" s="10"/>
      <c r="CX35" s="10"/>
      <c r="DB35" s="10"/>
      <c r="DC35" s="10"/>
      <c r="DD35" s="10"/>
      <c r="DE35" s="10"/>
      <c r="DI35" s="10"/>
      <c r="DJ35" s="10"/>
      <c r="DK35" s="10"/>
      <c r="DL35" s="10"/>
      <c r="DP35" s="10"/>
      <c r="DQ35" s="10"/>
      <c r="DR35" s="10"/>
      <c r="DS35" s="10"/>
      <c r="DW35" s="10"/>
      <c r="DX35" s="10"/>
      <c r="DY35" s="10"/>
      <c r="DZ35" s="10"/>
      <c r="ED35" s="10"/>
      <c r="EE35" s="10"/>
      <c r="EF35" s="10"/>
      <c r="EG35" s="10"/>
      <c r="EK35" s="10"/>
      <c r="EL35" s="10"/>
      <c r="EM35" s="10"/>
      <c r="EN35" s="10"/>
    </row>
    <row r="36" spans="2:144" outlineLevel="1">
      <c r="B36" t="s">
        <v>29</v>
      </c>
      <c r="C36" t="s">
        <v>99</v>
      </c>
      <c r="E36" s="9"/>
      <c r="F36" t="s">
        <v>97</v>
      </c>
      <c r="G36" s="10">
        <v>0.1</v>
      </c>
      <c r="I36" s="9">
        <f t="shared" si="1"/>
        <v>0</v>
      </c>
      <c r="J36" s="11" cm="1">
        <f t="array" ref="J36">MAX(IF($N$3:$CY$3=$J$3,N36:CY36))</f>
        <v>0</v>
      </c>
      <c r="K36" s="11" cm="1">
        <f t="array" ref="K36">MAX(IF($N$3:$CY$3=$J$3,N36:CY36))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c r="BU36" s="10"/>
      <c r="BV36" s="10"/>
      <c r="BZ36" s="10"/>
      <c r="CA36" s="10"/>
      <c r="CB36" s="10"/>
      <c r="CC36" s="10"/>
      <c r="CG36" s="10"/>
      <c r="CH36" s="10"/>
      <c r="CI36" s="10"/>
      <c r="CJ36" s="10"/>
      <c r="CN36" s="10"/>
      <c r="CO36" s="10"/>
      <c r="CP36" s="10"/>
      <c r="CQ36" s="10"/>
      <c r="CU36" s="10"/>
      <c r="CV36" s="10"/>
      <c r="CW36" s="10"/>
      <c r="CX36" s="10"/>
      <c r="DB36" s="10"/>
      <c r="DC36" s="10"/>
      <c r="DD36" s="10"/>
      <c r="DE36" s="10"/>
      <c r="DI36" s="10"/>
      <c r="DJ36" s="10"/>
      <c r="DK36" s="10"/>
      <c r="DL36" s="10"/>
      <c r="DP36" s="10"/>
      <c r="DQ36" s="10"/>
      <c r="DR36" s="10"/>
      <c r="DS36" s="10"/>
      <c r="DW36" s="10"/>
      <c r="DX36" s="10"/>
      <c r="DY36" s="10"/>
      <c r="DZ36" s="10"/>
      <c r="ED36" s="10"/>
      <c r="EE36" s="10"/>
      <c r="EF36" s="10"/>
      <c r="EG36" s="10"/>
      <c r="EK36" s="10"/>
      <c r="EL36" s="10"/>
      <c r="EM36" s="10"/>
      <c r="EN36" s="10"/>
    </row>
    <row r="37" spans="2:144" outlineLevel="1">
      <c r="B37" t="s">
        <v>29</v>
      </c>
      <c r="C37" t="s">
        <v>99</v>
      </c>
      <c r="E37" s="9"/>
      <c r="F37" t="s">
        <v>143</v>
      </c>
      <c r="G37" s="10">
        <v>0.1</v>
      </c>
      <c r="I37" s="9">
        <f t="shared" si="1"/>
        <v>0</v>
      </c>
      <c r="J37" s="11" cm="1">
        <f t="array" ref="J37">MAX(IF($N$3:$CY$3=$J$3,N37:CY37))</f>
        <v>0</v>
      </c>
      <c r="K37" s="11" cm="1">
        <f t="array" ref="K37">MAX(IF($N$3:$CY$3=$J$3,N37:CY37))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c r="BU37" s="10"/>
      <c r="BV37" s="10"/>
      <c r="BZ37" s="10"/>
      <c r="CA37" s="10"/>
      <c r="CB37" s="10"/>
      <c r="CC37" s="10"/>
      <c r="CG37" s="10"/>
      <c r="CH37" s="10"/>
      <c r="CI37" s="10"/>
      <c r="CJ37" s="10"/>
      <c r="CN37" s="10"/>
      <c r="CO37" s="10"/>
      <c r="CP37" s="10"/>
      <c r="CQ37" s="10"/>
      <c r="CU37" s="10"/>
      <c r="CV37" s="10"/>
      <c r="CW37" s="10"/>
      <c r="CX37" s="10"/>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outlineLevel="1">
      <c r="B38" t="s">
        <v>29</v>
      </c>
      <c r="C38" t="s">
        <v>99</v>
      </c>
      <c r="E38" s="9"/>
      <c r="F38" t="s">
        <v>144</v>
      </c>
      <c r="G38" s="10">
        <v>0.1</v>
      </c>
      <c r="I38" s="9">
        <f t="shared" si="1"/>
        <v>0</v>
      </c>
      <c r="J38" s="11" cm="1">
        <f t="array" ref="J38">MAX(IF($N$3:$CY$3=$J$3,N38:CY38))</f>
        <v>0</v>
      </c>
      <c r="K38" s="11" cm="1">
        <f t="array" ref="K38">MAX(IF($N$3:$CY$3=$J$3,N38:CY38))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c r="CI38" s="10"/>
      <c r="CJ38" s="10"/>
      <c r="CN38" s="10"/>
      <c r="CO38" s="10"/>
      <c r="CP38" s="10"/>
      <c r="CQ38" s="10"/>
      <c r="CU38" s="10"/>
      <c r="CV38" s="10"/>
      <c r="CW38" s="10"/>
      <c r="CX38" s="10"/>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outlineLevel="1">
      <c r="B39" t="s">
        <v>29</v>
      </c>
      <c r="C39" t="s">
        <v>99</v>
      </c>
      <c r="E39" s="9"/>
      <c r="F39" t="s">
        <v>145</v>
      </c>
      <c r="G39" s="10">
        <v>0.1</v>
      </c>
      <c r="I39" s="9">
        <f t="shared" si="1"/>
        <v>0</v>
      </c>
      <c r="J39" s="11" cm="1">
        <f t="array" ref="J39">MAX(IF($N$3:$CY$3=$J$3,N39:CY39))</f>
        <v>0</v>
      </c>
      <c r="K39" s="11" cm="1">
        <f t="array" ref="K39">MAX(IF($N$3:$CY$3=$J$3,N39:CY39))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c r="BZ39" s="10"/>
      <c r="CA39" s="10"/>
      <c r="CB39" s="10"/>
      <c r="CC39" s="10"/>
      <c r="CG39" s="10"/>
      <c r="CH39" s="10"/>
      <c r="CI39" s="10"/>
      <c r="CJ39" s="10"/>
      <c r="CN39" s="10"/>
      <c r="CO39" s="10"/>
      <c r="CP39" s="10"/>
      <c r="CQ39" s="10"/>
      <c r="CU39" s="10"/>
      <c r="CV39" s="10"/>
      <c r="CW39" s="10"/>
      <c r="CX39" s="10"/>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c r="AX40" s="10"/>
    </row>
    <row r="41" spans="2:144">
      <c r="B41" t="s">
        <v>28</v>
      </c>
      <c r="C41" t="s">
        <v>105</v>
      </c>
      <c r="D41" s="19" t="s">
        <v>89</v>
      </c>
      <c r="E41" s="9">
        <v>5</v>
      </c>
      <c r="G41" s="10">
        <f>+SUM(G42:G50)</f>
        <v>0.99999999999999989</v>
      </c>
      <c r="I41" s="12">
        <f>+SUM(I42:I50)</f>
        <v>0</v>
      </c>
      <c r="J41" s="11">
        <f>+SUMPRODUCT(G42:G50,J42:J50)</f>
        <v>0</v>
      </c>
      <c r="K41" s="11">
        <f>+SUMPRODUCT(G42:G50,K42:K50)</f>
        <v>0</v>
      </c>
      <c r="L41" s="9"/>
      <c r="N41" s="12">
        <f>+SUM(N42:N50)</f>
        <v>0</v>
      </c>
      <c r="U41" s="12">
        <f>+SUM(U42:U50)</f>
        <v>0</v>
      </c>
      <c r="AB41" s="12">
        <f>+SUM(AB42:AB50)</f>
        <v>0</v>
      </c>
      <c r="AI41" s="12">
        <f>+SUM(AI42:AI50)</f>
        <v>0</v>
      </c>
      <c r="AP41" s="12">
        <f>+SUM(AP42:AP50)</f>
        <v>0</v>
      </c>
    </row>
    <row r="42" spans="2:144" outlineLevel="1">
      <c r="B42" t="s">
        <v>29</v>
      </c>
      <c r="C42" t="s">
        <v>105</v>
      </c>
      <c r="E42" s="9"/>
      <c r="F42" t="s">
        <v>100</v>
      </c>
      <c r="G42" s="10">
        <v>0.1</v>
      </c>
      <c r="I42" s="9">
        <f t="shared" ref="I42:I50" si="2">+SUMIF($N$3:$YJ$3,I$3,$N42:$YJ42)</f>
        <v>0</v>
      </c>
      <c r="J42" s="11" cm="1">
        <f t="array" ref="J42">MAX(IF($N$3:$CY$3=$J$3,N42:CY42))</f>
        <v>0</v>
      </c>
      <c r="K42" s="11" cm="1">
        <f t="array" ref="K42">MAX(IF($N$3:$CY$3=$J$3,N42:CY42))</f>
        <v>0</v>
      </c>
      <c r="L42" s="9"/>
      <c r="O42" s="10"/>
      <c r="P42" s="10">
        <v>1</v>
      </c>
      <c r="Q42" s="10"/>
      <c r="R42" s="10">
        <v>1</v>
      </c>
      <c r="V42" s="10"/>
      <c r="W42" s="10">
        <v>1</v>
      </c>
      <c r="X42" s="10"/>
      <c r="Y42" s="10">
        <v>1</v>
      </c>
      <c r="AC42" s="10"/>
      <c r="AD42" s="10">
        <v>1</v>
      </c>
      <c r="AE42" s="10"/>
      <c r="AF42" s="10">
        <v>1</v>
      </c>
      <c r="AJ42" s="10"/>
      <c r="AK42" s="10">
        <v>1</v>
      </c>
      <c r="AL42" s="10"/>
      <c r="AM42" s="10">
        <v>1</v>
      </c>
      <c r="AQ42" s="10"/>
      <c r="AR42" s="10"/>
      <c r="AS42" s="10"/>
      <c r="AT42" s="10"/>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outlineLevel="1">
      <c r="B43" t="s">
        <v>29</v>
      </c>
      <c r="C43" t="s">
        <v>105</v>
      </c>
      <c r="E43" s="9"/>
      <c r="F43" t="s">
        <v>101</v>
      </c>
      <c r="G43" s="10">
        <v>0.1</v>
      </c>
      <c r="I43" s="9">
        <f t="shared" si="2"/>
        <v>0</v>
      </c>
      <c r="J43" s="11" cm="1">
        <f t="array" ref="J43">MAX(IF($N$3:$CY$3=$J$3,N43:CY43))</f>
        <v>0</v>
      </c>
      <c r="K43" s="11" cm="1">
        <f t="array" ref="K43">MAX(IF($N$3:$CY$3=$J$3,N43:CY43))</f>
        <v>0</v>
      </c>
      <c r="L43" s="9"/>
      <c r="V43" s="10"/>
      <c r="W43" s="10">
        <v>1</v>
      </c>
      <c r="X43" s="10"/>
      <c r="Y43" s="10">
        <v>1</v>
      </c>
      <c r="AC43" s="10"/>
      <c r="AD43" s="10">
        <v>1</v>
      </c>
      <c r="AE43" s="10"/>
      <c r="AF43" s="10">
        <v>1</v>
      </c>
      <c r="AJ43" s="10"/>
      <c r="AK43" s="10">
        <v>1</v>
      </c>
      <c r="AL43" s="10"/>
      <c r="AM43" s="10">
        <v>1</v>
      </c>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c r="DI43" s="10"/>
      <c r="DJ43" s="10"/>
      <c r="DK43" s="10"/>
      <c r="DL43" s="10"/>
      <c r="DP43" s="10"/>
      <c r="DQ43" s="10"/>
      <c r="DR43" s="10"/>
      <c r="DS43" s="10"/>
      <c r="DW43" s="10"/>
      <c r="DX43" s="10"/>
      <c r="DY43" s="10"/>
      <c r="DZ43" s="10"/>
      <c r="ED43" s="10"/>
      <c r="EE43" s="10"/>
      <c r="EF43" s="10"/>
      <c r="EG43" s="10"/>
      <c r="EK43" s="10"/>
      <c r="EL43" s="10"/>
      <c r="EM43" s="10"/>
      <c r="EN43" s="10"/>
    </row>
    <row r="44" spans="2:144" outlineLevel="1">
      <c r="B44" t="s">
        <v>29</v>
      </c>
      <c r="C44" t="s">
        <v>105</v>
      </c>
      <c r="E44" s="9"/>
      <c r="F44" t="s">
        <v>102</v>
      </c>
      <c r="G44" s="10">
        <v>0.15</v>
      </c>
      <c r="I44" s="9">
        <f t="shared" si="2"/>
        <v>0</v>
      </c>
      <c r="J44" s="11" cm="1">
        <f t="array" ref="J44">MAX(IF($N$3:$CY$3=$J$3,N44:CY44))</f>
        <v>0</v>
      </c>
      <c r="K44" s="11" cm="1">
        <f t="array" ref="K44">MAX(IF($N$3:$CY$3=$J$3,N44:CY44))</f>
        <v>0</v>
      </c>
      <c r="L44" s="9"/>
      <c r="AC44" s="10"/>
      <c r="AD44" s="10">
        <v>1</v>
      </c>
      <c r="AE44" s="10"/>
      <c r="AF44" s="10">
        <v>1</v>
      </c>
      <c r="AJ44" s="10"/>
      <c r="AK44" s="10">
        <v>1</v>
      </c>
      <c r="AL44" s="10"/>
      <c r="AM44" s="10">
        <v>1</v>
      </c>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c r="DD44" s="10"/>
      <c r="DE44" s="10"/>
      <c r="DI44" s="10"/>
      <c r="DJ44" s="10"/>
      <c r="DK44" s="10"/>
      <c r="DL44" s="10"/>
      <c r="DP44" s="10"/>
      <c r="DQ44" s="10"/>
      <c r="DR44" s="10"/>
      <c r="DS44" s="10"/>
      <c r="DW44" s="10"/>
      <c r="DX44" s="10"/>
      <c r="DY44" s="10"/>
      <c r="DZ44" s="10"/>
      <c r="ED44" s="10"/>
      <c r="EE44" s="10"/>
      <c r="EF44" s="10"/>
      <c r="EG44" s="10"/>
      <c r="EK44" s="10"/>
      <c r="EL44" s="10"/>
      <c r="EM44" s="10"/>
      <c r="EN44" s="10"/>
    </row>
    <row r="45" spans="2:144" outlineLevel="1">
      <c r="B45" t="s">
        <v>29</v>
      </c>
      <c r="C45" t="s">
        <v>105</v>
      </c>
      <c r="E45" s="9"/>
      <c r="F45" t="s">
        <v>104</v>
      </c>
      <c r="G45" s="10">
        <v>0.1</v>
      </c>
      <c r="I45" s="9">
        <f t="shared" si="2"/>
        <v>0</v>
      </c>
      <c r="J45" s="11" cm="1">
        <f t="array" ref="J45">MAX(IF($N$3:$CY$3=$J$3,N45:CY45))</f>
        <v>0</v>
      </c>
      <c r="K45" s="11" cm="1">
        <f t="array" ref="K45">MAX(IF($N$3:$CY$3=$J$3,N45:CY45))</f>
        <v>0</v>
      </c>
      <c r="L45" s="9"/>
      <c r="AJ45" s="10"/>
      <c r="AK45" s="10">
        <v>1</v>
      </c>
      <c r="AL45" s="10"/>
      <c r="AM45" s="10">
        <v>1</v>
      </c>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outlineLevel="1">
      <c r="B46" t="s">
        <v>29</v>
      </c>
      <c r="C46" t="s">
        <v>105</v>
      </c>
      <c r="E46" s="9"/>
      <c r="F46" t="s">
        <v>103</v>
      </c>
      <c r="G46" s="10">
        <v>0.1</v>
      </c>
      <c r="I46" s="9">
        <f t="shared" si="2"/>
        <v>0</v>
      </c>
      <c r="J46" s="11" cm="1">
        <f t="array" ref="J46">MAX(IF($N$3:$CY$3=$J$3,N46:CY46))</f>
        <v>0</v>
      </c>
      <c r="K46" s="11" cm="1">
        <f t="array" ref="K46">MAX(IF($N$3:$CY$3=$J$3,N46:CY46))</f>
        <v>0</v>
      </c>
      <c r="L46" s="9"/>
      <c r="O46" s="10"/>
      <c r="P46" s="10"/>
      <c r="Q46" s="10"/>
      <c r="R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c r="CP46" s="10"/>
      <c r="CQ46" s="10"/>
      <c r="CU46" s="10"/>
      <c r="CV46" s="10"/>
      <c r="CW46" s="10"/>
      <c r="CX46" s="10"/>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outlineLevel="1">
      <c r="B47" t="s">
        <v>29</v>
      </c>
      <c r="C47" t="s">
        <v>105</v>
      </c>
      <c r="E47" s="9"/>
      <c r="F47" t="s">
        <v>90</v>
      </c>
      <c r="G47" s="10">
        <v>0.15</v>
      </c>
      <c r="I47" s="9">
        <f t="shared" si="2"/>
        <v>0</v>
      </c>
      <c r="J47" s="11" cm="1">
        <f t="array" ref="J47">MAX(IF($N$3:$CY$3=$J$3,N47:CY47))</f>
        <v>0</v>
      </c>
      <c r="K47" s="11" cm="1">
        <f t="array" ref="K47">MAX(IF($N$3:$CY$3=$J$3,N47:CY47))</f>
        <v>0</v>
      </c>
      <c r="L47" s="9"/>
      <c r="O47" s="10"/>
      <c r="P47" s="10"/>
      <c r="Q47" s="10"/>
      <c r="R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U47" s="10"/>
      <c r="CV47" s="10"/>
      <c r="CW47" s="10"/>
      <c r="CX47" s="10"/>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outlineLevel="1">
      <c r="B48" t="s">
        <v>29</v>
      </c>
      <c r="C48" t="s">
        <v>105</v>
      </c>
      <c r="E48" s="9"/>
      <c r="F48" t="s">
        <v>97</v>
      </c>
      <c r="G48" s="10">
        <v>0.1</v>
      </c>
      <c r="I48" s="9">
        <f t="shared" si="2"/>
        <v>0</v>
      </c>
      <c r="J48" s="11" cm="1">
        <f t="array" ref="J48">MAX(IF($N$3:$CY$3=$J$3,N48:CY48))</f>
        <v>0</v>
      </c>
      <c r="K48" s="11" cm="1">
        <f t="array" ref="K48">MAX(IF($N$3:$CY$3=$J$3,N48:CY48))</f>
        <v>0</v>
      </c>
      <c r="L48" s="9"/>
      <c r="O48" s="10"/>
      <c r="P48" s="10"/>
      <c r="Q48" s="10"/>
      <c r="R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49" spans="2:144" outlineLevel="1">
      <c r="B49" t="s">
        <v>29</v>
      </c>
      <c r="C49" t="s">
        <v>105</v>
      </c>
      <c r="E49" s="9"/>
      <c r="F49" t="s">
        <v>143</v>
      </c>
      <c r="G49" s="10">
        <v>0.1</v>
      </c>
      <c r="I49" s="9">
        <f t="shared" si="2"/>
        <v>0</v>
      </c>
      <c r="J49" s="11" cm="1">
        <f t="array" ref="J49">MAX(IF($N$3:$CY$3=$J$3,N49:CY49))</f>
        <v>0</v>
      </c>
      <c r="K49" s="11" cm="1">
        <f t="array" ref="K49">MAX(IF($N$3:$CY$3=$J$3,N49:CY49))</f>
        <v>0</v>
      </c>
      <c r="L49" s="9"/>
      <c r="O49" s="10"/>
      <c r="P49" s="10"/>
      <c r="Q49" s="10"/>
      <c r="R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c r="DD49" s="10"/>
      <c r="DE49" s="10"/>
      <c r="DI49" s="10"/>
      <c r="DJ49" s="10"/>
      <c r="DK49" s="10"/>
      <c r="DL49" s="10"/>
      <c r="DP49" s="10"/>
      <c r="DQ49" s="10"/>
      <c r="DR49" s="10"/>
      <c r="DS49" s="10"/>
      <c r="DW49" s="10"/>
      <c r="DX49" s="10"/>
      <c r="DY49" s="10"/>
      <c r="DZ49" s="10"/>
      <c r="ED49" s="10"/>
      <c r="EE49" s="10"/>
      <c r="EF49" s="10"/>
      <c r="EG49" s="10"/>
      <c r="EK49" s="10"/>
      <c r="EL49" s="10"/>
      <c r="EM49" s="10"/>
      <c r="EN49" s="10"/>
    </row>
    <row r="50" spans="2:144" outlineLevel="1">
      <c r="B50" t="s">
        <v>29</v>
      </c>
      <c r="C50" t="s">
        <v>105</v>
      </c>
      <c r="E50" s="9"/>
      <c r="F50" t="s">
        <v>144</v>
      </c>
      <c r="G50" s="10">
        <v>0.1</v>
      </c>
      <c r="I50" s="9">
        <f t="shared" si="2"/>
        <v>0</v>
      </c>
      <c r="J50" s="11" cm="1">
        <f t="array" ref="J50">MAX(IF($N$3:$CY$3=$J$3,N50:CY50))</f>
        <v>0</v>
      </c>
      <c r="K50" s="11" cm="1">
        <f t="array" ref="K50">MAX(IF($N$3:$CY$3=$J$3,N50:CY50))</f>
        <v>0</v>
      </c>
      <c r="L50" s="9"/>
      <c r="O50" s="10"/>
      <c r="P50" s="10"/>
      <c r="Q50" s="10"/>
      <c r="R50" s="10"/>
      <c r="V50" s="10"/>
      <c r="W50" s="10"/>
      <c r="X50" s="10"/>
      <c r="Y50" s="10"/>
      <c r="AX50" s="10"/>
      <c r="AY50" s="10"/>
      <c r="AZ50" s="10"/>
      <c r="BA50" s="10"/>
      <c r="BE50" s="10"/>
      <c r="BF50" s="10"/>
      <c r="BG50" s="10"/>
      <c r="BH50" s="10"/>
      <c r="BL50" s="10"/>
      <c r="BM50" s="10"/>
      <c r="BN50" s="10"/>
      <c r="BO50" s="10"/>
      <c r="BS50" s="10"/>
      <c r="BT50" s="10"/>
      <c r="BU50" s="10"/>
      <c r="BV50" s="10"/>
      <c r="BZ50" s="10"/>
      <c r="CA50" s="10"/>
      <c r="CB50" s="10"/>
      <c r="CC50" s="10"/>
      <c r="CG50" s="10"/>
      <c r="CH50" s="10"/>
      <c r="CI50" s="10"/>
      <c r="CJ50" s="10"/>
      <c r="CN50" s="10"/>
      <c r="CO50" s="10"/>
      <c r="CP50" s="10"/>
      <c r="CQ50" s="10"/>
      <c r="CU50" s="10"/>
      <c r="CV50" s="10"/>
      <c r="CW50" s="10"/>
      <c r="CX50" s="10"/>
      <c r="DB50" s="10"/>
      <c r="DC50" s="10"/>
      <c r="DD50" s="10"/>
      <c r="DE50" s="10"/>
      <c r="DI50" s="10"/>
      <c r="DJ50" s="10"/>
      <c r="DK50" s="10"/>
      <c r="DL50" s="10"/>
      <c r="DP50" s="10"/>
      <c r="DQ50" s="10"/>
      <c r="DR50" s="10"/>
      <c r="DS50" s="10"/>
      <c r="DW50" s="10"/>
      <c r="DX50" s="10"/>
      <c r="DY50" s="10"/>
      <c r="DZ50" s="10"/>
      <c r="ED50" s="10"/>
      <c r="EE50" s="10"/>
      <c r="EF50" s="10"/>
      <c r="EG50" s="10"/>
      <c r="EK50" s="10"/>
      <c r="EL50" s="10"/>
      <c r="EM50" s="10"/>
      <c r="EN50" s="10"/>
    </row>
    <row r="52" spans="2:144" ht="13.5" customHeight="1">
      <c r="B52" t="s">
        <v>28</v>
      </c>
      <c r="C52" t="s">
        <v>106</v>
      </c>
      <c r="D52" s="19" t="s">
        <v>89</v>
      </c>
      <c r="E52" s="9">
        <v>5</v>
      </c>
      <c r="G52" s="10">
        <f>+SUM(G53:G62)</f>
        <v>0.99999999999999989</v>
      </c>
      <c r="I52" s="12">
        <f>+SUM(I53:I62)</f>
        <v>0</v>
      </c>
      <c r="J52" s="11">
        <f>+SUMPRODUCT(G53:G62,J53:J62)</f>
        <v>0</v>
      </c>
      <c r="K52" s="11">
        <f>+SUMPRODUCT(G53:G62,K53:K62)</f>
        <v>0</v>
      </c>
      <c r="L52" s="9"/>
      <c r="N52" s="12">
        <f>+SUM(N53:N62)</f>
        <v>0</v>
      </c>
      <c r="U52" s="12">
        <f>+SUM(U53:U62)</f>
        <v>0</v>
      </c>
      <c r="AB52" s="12">
        <f>+SUM(AB53:AB62)</f>
        <v>0</v>
      </c>
      <c r="AI52" s="12">
        <f>+SUM(AI53:AI62)</f>
        <v>0</v>
      </c>
      <c r="AP52" s="12">
        <f>+SUM(AP53:AP62)</f>
        <v>0</v>
      </c>
    </row>
    <row r="53" spans="2:144" outlineLevel="1">
      <c r="B53" t="s">
        <v>29</v>
      </c>
      <c r="C53" t="s">
        <v>106</v>
      </c>
      <c r="E53" s="9"/>
      <c r="F53" t="s">
        <v>125</v>
      </c>
      <c r="G53" s="10">
        <v>0.1</v>
      </c>
      <c r="I53" s="9">
        <f t="shared" ref="I53:I62" si="3">+SUMIF($N$3:$YJ$3,I$3,$N53:$YJ53)</f>
        <v>0</v>
      </c>
      <c r="J53" s="11" cm="1">
        <f t="array" ref="J53">MAX(IF($N$3:$CY$3=$J$3,N53:CY53))</f>
        <v>0</v>
      </c>
      <c r="K53" s="11" cm="1">
        <f t="array" ref="K53">MAX(IF($N$3:$CY$3=$J$3,N53:CY53))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c r="CB53" s="10"/>
      <c r="CC53" s="10"/>
      <c r="CG53" s="10"/>
      <c r="CH53" s="10"/>
      <c r="CI53" s="10"/>
      <c r="CJ53" s="10"/>
      <c r="CN53" s="10"/>
      <c r="CO53" s="10"/>
      <c r="CP53" s="10"/>
      <c r="CQ53" s="10"/>
      <c r="CU53" s="10"/>
      <c r="CV53" s="10"/>
      <c r="CW53" s="10"/>
      <c r="CX53" s="10"/>
      <c r="DB53" s="10"/>
      <c r="DC53" s="10">
        <v>1</v>
      </c>
      <c r="DD53" s="10"/>
      <c r="DE53" s="10">
        <v>1</v>
      </c>
      <c r="DI53" s="10"/>
      <c r="DJ53" s="10">
        <v>1</v>
      </c>
      <c r="DK53" s="10"/>
      <c r="DL53" s="10">
        <v>1</v>
      </c>
      <c r="DP53" s="10"/>
      <c r="DQ53" s="10"/>
      <c r="DR53" s="10"/>
      <c r="DS53" s="10"/>
      <c r="DW53" s="10"/>
      <c r="DX53" s="10"/>
      <c r="DY53" s="10"/>
      <c r="DZ53" s="10"/>
      <c r="ED53" s="10"/>
      <c r="EE53" s="10"/>
      <c r="EF53" s="10"/>
      <c r="EG53" s="10"/>
      <c r="EK53" s="10"/>
      <c r="EL53" s="10"/>
      <c r="EM53" s="10"/>
      <c r="EN53" s="10"/>
    </row>
    <row r="54" spans="2:144" outlineLevel="1">
      <c r="B54" t="s">
        <v>29</v>
      </c>
      <c r="C54" t="s">
        <v>106</v>
      </c>
      <c r="E54" s="9"/>
      <c r="F54" t="s">
        <v>126</v>
      </c>
      <c r="G54" s="10">
        <v>0.1</v>
      </c>
      <c r="I54" s="9">
        <f t="shared" si="3"/>
        <v>0</v>
      </c>
      <c r="J54" s="11" cm="1">
        <f t="array" ref="J54">MAX(IF($N$3:$CY$3=$J$3,N54:CY54))</f>
        <v>0</v>
      </c>
      <c r="K54" s="11" cm="1">
        <f t="array" ref="K54">MAX(IF($N$3:$CY$3=$J$3,N54:CY54))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c r="CP54" s="10"/>
      <c r="CQ54" s="10"/>
      <c r="CU54" s="10"/>
      <c r="CV54" s="10"/>
      <c r="CW54" s="10"/>
      <c r="CX54" s="10"/>
      <c r="DB54" s="10"/>
      <c r="DC54" s="10">
        <v>1</v>
      </c>
      <c r="DD54" s="10"/>
      <c r="DE54" s="10">
        <v>1</v>
      </c>
      <c r="DI54" s="10"/>
      <c r="DJ54" s="10">
        <v>1</v>
      </c>
      <c r="DK54" s="10"/>
      <c r="DL54" s="10">
        <v>1</v>
      </c>
      <c r="DP54" s="10"/>
      <c r="DQ54" s="10"/>
      <c r="DR54" s="10"/>
      <c r="DS54" s="10"/>
      <c r="DW54" s="10"/>
      <c r="DX54" s="10"/>
      <c r="DY54" s="10"/>
      <c r="DZ54" s="10"/>
      <c r="ED54" s="10"/>
      <c r="EE54" s="10"/>
      <c r="EF54" s="10"/>
      <c r="EG54" s="10"/>
      <c r="EK54" s="10"/>
      <c r="EL54" s="10"/>
      <c r="EM54" s="10"/>
      <c r="EN54" s="10"/>
    </row>
    <row r="55" spans="2:144" outlineLevel="1">
      <c r="B55" t="s">
        <v>29</v>
      </c>
      <c r="C55" t="s">
        <v>106</v>
      </c>
      <c r="E55" s="9"/>
      <c r="F55" t="s">
        <v>127</v>
      </c>
      <c r="G55" s="10">
        <v>0.1</v>
      </c>
      <c r="I55" s="9">
        <f t="shared" si="3"/>
        <v>0</v>
      </c>
      <c r="J55" s="11" cm="1">
        <f t="array" ref="J55">MAX(IF($N$3:$CY$3=$J$3,N55:CY55))</f>
        <v>0</v>
      </c>
      <c r="K55" s="11" cm="1">
        <f t="array" ref="K55">MAX(IF($N$3:$CY$3=$J$3,N55:CY55))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c r="CW55" s="10"/>
      <c r="CX55" s="10"/>
      <c r="DB55" s="10"/>
      <c r="DC55" s="10">
        <v>1</v>
      </c>
      <c r="DD55" s="10"/>
      <c r="DE55" s="10">
        <v>1</v>
      </c>
      <c r="DI55" s="10"/>
      <c r="DJ55" s="10">
        <v>1</v>
      </c>
      <c r="DK55" s="10"/>
      <c r="DL55" s="10">
        <v>1</v>
      </c>
      <c r="DP55" s="10"/>
      <c r="DQ55" s="10"/>
      <c r="DR55" s="10"/>
      <c r="DS55" s="10"/>
      <c r="DW55" s="10"/>
      <c r="DX55" s="10"/>
      <c r="DY55" s="10"/>
      <c r="DZ55" s="10"/>
      <c r="ED55" s="10"/>
      <c r="EE55" s="10"/>
      <c r="EF55" s="10"/>
      <c r="EG55" s="10"/>
      <c r="EK55" s="10"/>
      <c r="EL55" s="10"/>
      <c r="EM55" s="10"/>
      <c r="EN55" s="10"/>
    </row>
    <row r="56" spans="2:144" outlineLevel="1">
      <c r="B56" t="s">
        <v>29</v>
      </c>
      <c r="C56" t="s">
        <v>106</v>
      </c>
      <c r="E56" s="9"/>
      <c r="F56" t="s">
        <v>128</v>
      </c>
      <c r="G56" s="10">
        <v>0.1</v>
      </c>
      <c r="I56" s="9">
        <f t="shared" si="3"/>
        <v>0</v>
      </c>
      <c r="J56" s="11" cm="1">
        <f t="array" ref="J56">MAX(IF($N$3:$CY$3=$J$3,N56:CY56))</f>
        <v>0</v>
      </c>
      <c r="K56" s="11" cm="1">
        <f t="array" ref="K56">MAX(IF($N$3:$CY$3=$J$3,N56:CY56))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c r="CW56" s="10"/>
      <c r="CX56" s="10"/>
      <c r="DB56" s="10"/>
      <c r="DC56" s="10">
        <v>1</v>
      </c>
      <c r="DD56" s="10"/>
      <c r="DE56" s="10">
        <v>1</v>
      </c>
      <c r="DI56" s="10"/>
      <c r="DJ56" s="10">
        <v>1</v>
      </c>
      <c r="DK56" s="10"/>
      <c r="DL56" s="10">
        <v>1</v>
      </c>
      <c r="DP56" s="10"/>
      <c r="DQ56" s="10"/>
      <c r="DR56" s="10"/>
      <c r="DS56" s="10"/>
      <c r="DW56" s="10"/>
      <c r="DX56" s="10"/>
      <c r="DY56" s="10"/>
      <c r="DZ56" s="10"/>
      <c r="ED56" s="10"/>
      <c r="EE56" s="10"/>
      <c r="EF56" s="10"/>
      <c r="EG56" s="10"/>
      <c r="EK56" s="10"/>
      <c r="EL56" s="10"/>
      <c r="EM56" s="10"/>
      <c r="EN56" s="10"/>
    </row>
    <row r="57" spans="2:144" outlineLevel="1">
      <c r="B57" t="s">
        <v>29</v>
      </c>
      <c r="C57" t="s">
        <v>106</v>
      </c>
      <c r="E57" s="9"/>
      <c r="F57" t="s">
        <v>129</v>
      </c>
      <c r="G57" s="10">
        <v>0.1</v>
      </c>
      <c r="I57" s="9">
        <f t="shared" si="3"/>
        <v>0</v>
      </c>
      <c r="J57" s="11" cm="1">
        <f t="array" ref="J57">MAX(IF($N$3:$CY$3=$J$3,N57:CY57))</f>
        <v>0</v>
      </c>
      <c r="K57" s="11" cm="1">
        <f t="array" ref="K57">MAX(IF($N$3:$CY$3=$J$3,N57:CY57))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c r="BU57" s="10"/>
      <c r="BV57" s="10"/>
      <c r="BZ57" s="10"/>
      <c r="CA57" s="10"/>
      <c r="CB57" s="10"/>
      <c r="CC57" s="10"/>
      <c r="CG57" s="10"/>
      <c r="CH57" s="10"/>
      <c r="CI57" s="10"/>
      <c r="CJ57" s="10"/>
      <c r="CN57" s="10"/>
      <c r="CO57" s="10"/>
      <c r="CP57" s="10"/>
      <c r="CQ57" s="10"/>
      <c r="CU57" s="10"/>
      <c r="CV57" s="10"/>
      <c r="CW57" s="10"/>
      <c r="CX57" s="10"/>
      <c r="DB57" s="10"/>
      <c r="DC57" s="10">
        <v>1</v>
      </c>
      <c r="DD57" s="10"/>
      <c r="DE57" s="10">
        <v>1</v>
      </c>
      <c r="DI57" s="10"/>
      <c r="DJ57" s="10">
        <v>1</v>
      </c>
      <c r="DK57" s="10"/>
      <c r="DL57" s="10">
        <v>1</v>
      </c>
      <c r="DP57" s="10"/>
      <c r="DQ57" s="10"/>
      <c r="DR57" s="10"/>
      <c r="DS57" s="10"/>
      <c r="DW57" s="10"/>
      <c r="DX57" s="10"/>
      <c r="DY57" s="10"/>
      <c r="DZ57" s="10"/>
      <c r="ED57" s="10"/>
      <c r="EE57" s="10"/>
      <c r="EF57" s="10"/>
      <c r="EG57" s="10"/>
      <c r="EK57" s="10"/>
      <c r="EL57" s="10"/>
      <c r="EM57" s="10"/>
      <c r="EN57" s="10"/>
    </row>
    <row r="58" spans="2:144" outlineLevel="1">
      <c r="B58" t="s">
        <v>29</v>
      </c>
      <c r="C58" t="s">
        <v>106</v>
      </c>
      <c r="E58" s="9"/>
      <c r="F58" t="s">
        <v>130</v>
      </c>
      <c r="G58" s="10">
        <v>0.1</v>
      </c>
      <c r="I58" s="9">
        <f t="shared" si="3"/>
        <v>0</v>
      </c>
      <c r="J58" s="11" cm="1">
        <f t="array" ref="J58">MAX(IF($N$3:$CY$3=$J$3,N58:CY58))</f>
        <v>0</v>
      </c>
      <c r="K58" s="11" cm="1">
        <f t="array" ref="K58">MAX(IF($N$3:$CY$3=$J$3,N58:CY58))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c r="CW58" s="10"/>
      <c r="CX58" s="10"/>
      <c r="DB58" s="10"/>
      <c r="DC58" s="10">
        <v>1</v>
      </c>
      <c r="DD58" s="10"/>
      <c r="DE58" s="10">
        <v>1</v>
      </c>
      <c r="DI58" s="10"/>
      <c r="DJ58" s="10">
        <v>1</v>
      </c>
      <c r="DK58" s="10"/>
      <c r="DL58" s="10">
        <v>1</v>
      </c>
      <c r="DP58" s="10"/>
      <c r="DQ58" s="10"/>
      <c r="DR58" s="10"/>
      <c r="DS58" s="10"/>
      <c r="DW58" s="10"/>
      <c r="DX58" s="10"/>
      <c r="DY58" s="10"/>
      <c r="DZ58" s="10"/>
      <c r="ED58" s="10"/>
      <c r="EE58" s="10"/>
      <c r="EF58" s="10"/>
      <c r="EG58" s="10"/>
      <c r="EK58" s="10"/>
      <c r="EL58" s="10"/>
      <c r="EM58" s="10"/>
      <c r="EN58" s="10"/>
    </row>
    <row r="59" spans="2:144" outlineLevel="1">
      <c r="B59" t="s">
        <v>29</v>
      </c>
      <c r="C59" t="s">
        <v>106</v>
      </c>
      <c r="E59" s="9"/>
      <c r="F59" t="s">
        <v>131</v>
      </c>
      <c r="G59" s="10">
        <v>0.1</v>
      </c>
      <c r="I59" s="9">
        <f t="shared" si="3"/>
        <v>0</v>
      </c>
      <c r="J59" s="11" cm="1">
        <f t="array" ref="J59">MAX(IF($N$3:$CY$3=$J$3,N59:CY59))</f>
        <v>0</v>
      </c>
      <c r="K59" s="11" cm="1">
        <f t="array" ref="K59">MAX(IF($N$3:$CY$3=$J$3,N59:CY59))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c r="BU59" s="10"/>
      <c r="BV59" s="10"/>
      <c r="BZ59" s="10"/>
      <c r="CA59" s="10"/>
      <c r="CB59" s="10"/>
      <c r="CC59" s="10"/>
      <c r="CG59" s="10"/>
      <c r="CH59" s="10"/>
      <c r="CI59" s="10"/>
      <c r="CJ59" s="10"/>
      <c r="CN59" s="10"/>
      <c r="CO59" s="10"/>
      <c r="CP59" s="10"/>
      <c r="CQ59" s="10"/>
      <c r="CU59" s="10"/>
      <c r="CV59" s="10"/>
      <c r="CW59" s="10"/>
      <c r="CX59" s="10"/>
      <c r="DB59" s="10"/>
      <c r="DC59" s="10">
        <v>1</v>
      </c>
      <c r="DD59" s="10"/>
      <c r="DE59" s="10">
        <v>1</v>
      </c>
      <c r="DI59" s="10"/>
      <c r="DJ59" s="10">
        <v>1</v>
      </c>
      <c r="DK59" s="10"/>
      <c r="DL59" s="10">
        <v>1</v>
      </c>
      <c r="DP59" s="10"/>
      <c r="DQ59" s="10"/>
      <c r="DR59" s="10"/>
      <c r="DS59" s="10"/>
      <c r="DW59" s="10"/>
      <c r="DX59" s="10"/>
      <c r="DY59" s="10"/>
      <c r="DZ59" s="10"/>
      <c r="ED59" s="10"/>
      <c r="EE59" s="10"/>
      <c r="EF59" s="10"/>
      <c r="EG59" s="10"/>
      <c r="EK59" s="10"/>
      <c r="EL59" s="10"/>
      <c r="EM59" s="10"/>
      <c r="EN59" s="10"/>
    </row>
    <row r="60" spans="2:144" outlineLevel="1">
      <c r="B60" t="s">
        <v>29</v>
      </c>
      <c r="C60" t="s">
        <v>106</v>
      </c>
      <c r="E60" s="9"/>
      <c r="F60" t="s">
        <v>132</v>
      </c>
      <c r="G60" s="10">
        <v>0.1</v>
      </c>
      <c r="I60" s="9">
        <f t="shared" si="3"/>
        <v>0</v>
      </c>
      <c r="J60" s="11" cm="1">
        <f t="array" ref="J60">MAX(IF($N$3:$CY$3=$J$3,N60:CY60))</f>
        <v>0</v>
      </c>
      <c r="K60" s="11" cm="1">
        <f t="array" ref="K60">MAX(IF($N$3:$CY$3=$J$3,N60:CY60))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c r="CW60" s="10"/>
      <c r="CX60" s="10"/>
      <c r="DB60" s="10"/>
      <c r="DC60" s="10">
        <v>1</v>
      </c>
      <c r="DD60" s="10"/>
      <c r="DE60" s="10">
        <v>1</v>
      </c>
      <c r="DI60" s="10"/>
      <c r="DJ60" s="10">
        <v>1</v>
      </c>
      <c r="DK60" s="10"/>
      <c r="DL60" s="10">
        <v>1</v>
      </c>
      <c r="DP60" s="10"/>
      <c r="DQ60" s="10"/>
      <c r="DR60" s="10"/>
      <c r="DS60" s="10"/>
      <c r="DW60" s="10"/>
      <c r="DX60" s="10"/>
      <c r="DY60" s="10"/>
      <c r="DZ60" s="10"/>
      <c r="ED60" s="10"/>
      <c r="EE60" s="10"/>
      <c r="EF60" s="10"/>
      <c r="EG60" s="10"/>
      <c r="EK60" s="10"/>
      <c r="EL60" s="10"/>
      <c r="EM60" s="10"/>
      <c r="EN60" s="10"/>
    </row>
    <row r="61" spans="2:144" outlineLevel="1">
      <c r="B61" t="s">
        <v>29</v>
      </c>
      <c r="C61" t="s">
        <v>106</v>
      </c>
      <c r="E61" s="9"/>
      <c r="F61" t="s">
        <v>133</v>
      </c>
      <c r="G61" s="10">
        <v>0.1</v>
      </c>
      <c r="I61" s="9">
        <f t="shared" si="3"/>
        <v>0</v>
      </c>
      <c r="J61" s="11" cm="1">
        <f t="array" ref="J61">MAX(IF($N$3:$CY$3=$J$3,N61:CY61))</f>
        <v>0</v>
      </c>
      <c r="K61" s="11" cm="1">
        <f t="array" ref="K61">MAX(IF($N$3:$CY$3=$J$3,N61:CY61))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c r="CW61" s="10"/>
      <c r="CX61" s="10"/>
      <c r="DB61" s="10"/>
      <c r="DC61" s="10">
        <v>1</v>
      </c>
      <c r="DD61" s="10"/>
      <c r="DE61" s="10">
        <v>1</v>
      </c>
      <c r="DI61" s="10"/>
      <c r="DJ61" s="10">
        <v>1</v>
      </c>
      <c r="DK61" s="10"/>
      <c r="DL61" s="10">
        <v>1</v>
      </c>
      <c r="DP61" s="10"/>
      <c r="DQ61" s="10"/>
      <c r="DR61" s="10"/>
      <c r="DS61" s="10"/>
      <c r="DW61" s="10"/>
      <c r="DX61" s="10"/>
      <c r="DY61" s="10"/>
      <c r="DZ61" s="10"/>
      <c r="ED61" s="10"/>
      <c r="EE61" s="10"/>
      <c r="EF61" s="10"/>
      <c r="EG61" s="10"/>
      <c r="EK61" s="10"/>
      <c r="EL61" s="10"/>
      <c r="EM61" s="10"/>
      <c r="EN61" s="10"/>
    </row>
    <row r="62" spans="2:144" outlineLevel="1">
      <c r="B62" t="s">
        <v>29</v>
      </c>
      <c r="C62" t="s">
        <v>106</v>
      </c>
      <c r="E62" s="9"/>
      <c r="F62" t="s">
        <v>134</v>
      </c>
      <c r="G62" s="10">
        <v>0.1</v>
      </c>
      <c r="I62" s="9">
        <f t="shared" si="3"/>
        <v>0</v>
      </c>
      <c r="J62" s="11" cm="1">
        <f t="array" ref="J62">MAX(IF($N$3:$CY$3=$J$3,N62:CY62))</f>
        <v>0</v>
      </c>
      <c r="K62" s="11" cm="1">
        <f t="array" ref="K62">MAX(IF($N$3:$CY$3=$J$3,N62:CY62))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c r="CW62" s="10"/>
      <c r="CX62" s="10"/>
      <c r="DB62" s="10"/>
      <c r="DC62" s="10">
        <v>0.8</v>
      </c>
      <c r="DD62" s="10"/>
      <c r="DE62" s="10">
        <v>0.8</v>
      </c>
      <c r="DI62" s="10"/>
      <c r="DJ62" s="10">
        <v>1</v>
      </c>
      <c r="DK62" s="10"/>
      <c r="DL62" s="10">
        <v>1</v>
      </c>
      <c r="DP62" s="10"/>
      <c r="DQ62" s="10"/>
      <c r="DR62" s="10"/>
      <c r="DS62" s="10"/>
      <c r="DW62" s="10"/>
      <c r="DX62" s="10"/>
      <c r="DY62" s="10"/>
      <c r="DZ62" s="10"/>
      <c r="ED62" s="10"/>
      <c r="EE62" s="10"/>
      <c r="EF62" s="10"/>
      <c r="EG62" s="10"/>
      <c r="EK62" s="10"/>
      <c r="EL62" s="10"/>
      <c r="EM62" s="10"/>
      <c r="EN62" s="10"/>
    </row>
    <row r="64" spans="2:144" ht="13.5" customHeight="1">
      <c r="B64" t="s">
        <v>28</v>
      </c>
      <c r="C64" t="s">
        <v>107</v>
      </c>
      <c r="D64" s="19" t="s">
        <v>89</v>
      </c>
      <c r="E64" s="9">
        <v>10</v>
      </c>
      <c r="G64" s="10">
        <f>+SUM(G65:G71)</f>
        <v>1</v>
      </c>
      <c r="I64" s="12">
        <f>+SUM(I65:I71)</f>
        <v>0</v>
      </c>
      <c r="J64" s="11">
        <f>+SUMPRODUCT(G65:G71,J65:J71)</f>
        <v>0</v>
      </c>
      <c r="K64" s="11">
        <f>+SUMPRODUCT(G65:G71,K65:K71)</f>
        <v>0</v>
      </c>
      <c r="L64" s="9"/>
      <c r="N64" s="12">
        <f>+SUM(N65:N71)</f>
        <v>0</v>
      </c>
      <c r="U64" s="12">
        <f>+SUM(U65:U71)</f>
        <v>0</v>
      </c>
      <c r="AB64" s="12">
        <f>+SUM(AB65:AB71)</f>
        <v>0</v>
      </c>
      <c r="AI64" s="12">
        <f>+SUM(AI65:AI71)</f>
        <v>0</v>
      </c>
      <c r="AP64" s="12">
        <f>+SUM(AP65:AP71)</f>
        <v>0</v>
      </c>
    </row>
    <row r="65" spans="2:144" outlineLevel="1">
      <c r="B65" t="s">
        <v>29</v>
      </c>
      <c r="C65" t="s">
        <v>107</v>
      </c>
      <c r="E65" s="9"/>
      <c r="F65" t="s">
        <v>100</v>
      </c>
      <c r="G65" s="10">
        <v>0.16</v>
      </c>
      <c r="I65" s="9">
        <f t="shared" ref="I65:I71" si="4">+SUMIF($N$3:$YJ$3,I$3,$N65:$YJ65)</f>
        <v>0</v>
      </c>
      <c r="J65" s="11" cm="1">
        <f t="array" ref="J65">MAX(IF($N$3:$CY$3=$J$3,N65:CY65))</f>
        <v>0</v>
      </c>
      <c r="K65" s="11" cm="1">
        <f t="array" ref="K65">MAX(IF($N$3:$CY$3=$J$3,N65:CY65))</f>
        <v>0</v>
      </c>
      <c r="L65" s="9"/>
      <c r="O65" s="10"/>
      <c r="P65" s="10"/>
      <c r="Q65" s="10"/>
      <c r="R65" s="10"/>
      <c r="V65" s="10"/>
      <c r="W65" s="10">
        <v>1</v>
      </c>
      <c r="X65" s="10"/>
      <c r="Y65" s="10">
        <v>1</v>
      </c>
      <c r="AC65" s="10"/>
      <c r="AD65" s="10">
        <v>1</v>
      </c>
      <c r="AE65" s="10"/>
      <c r="AF65" s="10">
        <v>1</v>
      </c>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c r="DW65" s="10"/>
      <c r="DX65" s="10"/>
      <c r="DY65" s="10"/>
      <c r="DZ65" s="10"/>
      <c r="ED65" s="10"/>
      <c r="EE65" s="10"/>
      <c r="EF65" s="10"/>
      <c r="EG65" s="10"/>
      <c r="EK65" s="10"/>
      <c r="EL65" s="10"/>
      <c r="EM65" s="10"/>
      <c r="EN65" s="10"/>
    </row>
    <row r="66" spans="2:144" outlineLevel="1">
      <c r="B66" t="s">
        <v>29</v>
      </c>
      <c r="C66" t="s">
        <v>107</v>
      </c>
      <c r="E66" s="9"/>
      <c r="F66" t="s">
        <v>101</v>
      </c>
      <c r="G66" s="10">
        <v>0.16</v>
      </c>
      <c r="I66" s="9">
        <f t="shared" si="4"/>
        <v>0</v>
      </c>
      <c r="J66" s="11" cm="1">
        <f t="array" ref="J66">MAX(IF($N$3:$CY$3=$J$3,N66:CY66))</f>
        <v>0</v>
      </c>
      <c r="K66" s="11" cm="1">
        <f t="array" ref="K66">MAX(IF($N$3:$CY$3=$J$3,N66:CY66))</f>
        <v>0</v>
      </c>
      <c r="L66" s="9"/>
      <c r="O66" s="10"/>
      <c r="P66" s="10"/>
      <c r="Q66" s="10"/>
      <c r="R66" s="10"/>
      <c r="V66" s="10"/>
      <c r="W66" s="10"/>
      <c r="X66" s="10"/>
      <c r="Y66" s="10"/>
      <c r="AC66" s="10"/>
      <c r="AD66" s="10">
        <v>1</v>
      </c>
      <c r="AE66" s="10"/>
      <c r="AF66" s="10">
        <v>1</v>
      </c>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c r="CW66" s="10"/>
      <c r="CX66" s="10"/>
      <c r="DB66" s="10"/>
      <c r="DC66" s="10"/>
      <c r="DD66" s="10"/>
      <c r="DE66" s="10"/>
      <c r="DI66" s="10"/>
      <c r="DJ66" s="10"/>
      <c r="DK66" s="10"/>
      <c r="DL66" s="10"/>
      <c r="DP66" s="10"/>
      <c r="DQ66" s="10"/>
      <c r="DR66" s="10"/>
      <c r="DS66" s="10"/>
      <c r="DW66" s="10"/>
      <c r="DX66" s="10"/>
      <c r="DY66" s="10"/>
      <c r="DZ66" s="10"/>
      <c r="ED66" s="10"/>
      <c r="EE66" s="10"/>
      <c r="EF66" s="10"/>
      <c r="EG66" s="10"/>
      <c r="EK66" s="10"/>
      <c r="EL66" s="10"/>
      <c r="EM66" s="10"/>
      <c r="EN66" s="10"/>
    </row>
    <row r="67" spans="2:144" outlineLevel="1">
      <c r="B67" t="s">
        <v>29</v>
      </c>
      <c r="C67" t="s">
        <v>107</v>
      </c>
      <c r="E67" s="9"/>
      <c r="F67" t="s">
        <v>102</v>
      </c>
      <c r="G67" s="10">
        <v>0.17</v>
      </c>
      <c r="I67" s="9">
        <f t="shared" si="4"/>
        <v>0</v>
      </c>
      <c r="J67" s="11" cm="1">
        <f t="array" ref="J67">MAX(IF($N$3:$CY$3=$J$3,N67:CY67))</f>
        <v>0</v>
      </c>
      <c r="K67" s="11" cm="1">
        <f t="array" ref="K67">MAX(IF($N$3:$CY$3=$J$3,N67:CY67))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c r="CW67" s="10"/>
      <c r="CX67" s="10"/>
      <c r="DB67" s="10"/>
      <c r="DC67" s="10"/>
      <c r="DD67" s="10"/>
      <c r="DE67" s="10"/>
      <c r="DI67" s="10"/>
      <c r="DJ67" s="10"/>
      <c r="DK67" s="10"/>
      <c r="DL67" s="10"/>
      <c r="DP67" s="10"/>
      <c r="DQ67" s="10"/>
      <c r="DR67" s="10"/>
      <c r="DS67" s="10"/>
      <c r="DW67" s="10"/>
      <c r="DX67" s="10"/>
      <c r="DY67" s="10"/>
      <c r="DZ67" s="10"/>
      <c r="ED67" s="10"/>
      <c r="EE67" s="10"/>
      <c r="EF67" s="10"/>
      <c r="EG67" s="10"/>
      <c r="EK67" s="10"/>
      <c r="EL67" s="10"/>
      <c r="EM67" s="10"/>
      <c r="EN67" s="10"/>
    </row>
    <row r="68" spans="2:144" outlineLevel="1">
      <c r="B68" t="s">
        <v>29</v>
      </c>
      <c r="C68" t="s">
        <v>107</v>
      </c>
      <c r="E68" s="9"/>
      <c r="F68" t="s">
        <v>104</v>
      </c>
      <c r="G68" s="10">
        <v>0.17</v>
      </c>
      <c r="I68" s="9">
        <f t="shared" si="4"/>
        <v>0</v>
      </c>
      <c r="J68" s="11" cm="1">
        <f t="array" ref="J68">MAX(IF($N$3:$CY$3=$J$3,N68:CY68))</f>
        <v>0</v>
      </c>
      <c r="K68" s="11" cm="1">
        <f t="array" ref="K68">MAX(IF($N$3:$CY$3=$J$3,N68:CY68))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c r="DW68" s="10"/>
      <c r="DX68" s="10"/>
      <c r="DY68" s="10"/>
      <c r="DZ68" s="10"/>
      <c r="ED68" s="10"/>
      <c r="EE68" s="10"/>
      <c r="EF68" s="10"/>
      <c r="EG68" s="10"/>
      <c r="EK68" s="10"/>
      <c r="EL68" s="10"/>
      <c r="EM68" s="10"/>
      <c r="EN68" s="10"/>
    </row>
    <row r="69" spans="2:144" outlineLevel="1">
      <c r="B69" t="s">
        <v>29</v>
      </c>
      <c r="C69" t="s">
        <v>107</v>
      </c>
      <c r="E69" s="9"/>
      <c r="F69" t="s">
        <v>103</v>
      </c>
      <c r="G69" s="10">
        <v>0.1</v>
      </c>
      <c r="I69" s="9">
        <f t="shared" si="4"/>
        <v>0</v>
      </c>
      <c r="J69" s="11" cm="1">
        <f t="array" ref="J69">MAX(IF($N$3:$CY$3=$J$3,N69:CY69))</f>
        <v>0</v>
      </c>
      <c r="K69" s="11" cm="1">
        <f t="array" ref="K69">MAX(IF($N$3:$CY$3=$J$3,N69:CY69))</f>
        <v>0</v>
      </c>
      <c r="L69" s="9"/>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c r="BN69" s="10"/>
      <c r="BO69" s="10"/>
      <c r="BS69" s="10"/>
      <c r="BT69" s="10"/>
      <c r="BU69" s="10"/>
      <c r="BV69" s="10"/>
      <c r="BZ69" s="10"/>
      <c r="CA69" s="10"/>
      <c r="CB69" s="10"/>
      <c r="CC69" s="10"/>
      <c r="CG69" s="10"/>
      <c r="CH69" s="10"/>
      <c r="CI69" s="10"/>
      <c r="CJ69" s="10"/>
      <c r="CN69" s="10"/>
      <c r="CO69" s="10"/>
      <c r="CP69" s="10"/>
      <c r="CQ69" s="10"/>
      <c r="CU69" s="10"/>
      <c r="CV69" s="10"/>
      <c r="CW69" s="10"/>
      <c r="CX69" s="10"/>
      <c r="DB69" s="10"/>
      <c r="DC69" s="10"/>
      <c r="DD69" s="10"/>
      <c r="DE69" s="10"/>
      <c r="DI69" s="10"/>
      <c r="DJ69" s="10"/>
      <c r="DK69" s="10"/>
      <c r="DL69" s="10"/>
      <c r="DP69" s="10"/>
      <c r="DQ69" s="10"/>
      <c r="DR69" s="10"/>
      <c r="DS69" s="10"/>
      <c r="DW69" s="10"/>
      <c r="DX69" s="10"/>
      <c r="DY69" s="10"/>
      <c r="DZ69" s="10"/>
      <c r="ED69" s="10"/>
      <c r="EE69" s="10"/>
      <c r="EF69" s="10"/>
      <c r="EG69" s="10"/>
      <c r="EK69" s="10"/>
      <c r="EL69" s="10"/>
      <c r="EM69" s="10"/>
      <c r="EN69" s="10"/>
    </row>
    <row r="70" spans="2:144" outlineLevel="1">
      <c r="B70" t="s">
        <v>29</v>
      </c>
      <c r="C70" t="s">
        <v>107</v>
      </c>
      <c r="E70" s="9"/>
      <c r="F70" t="s">
        <v>90</v>
      </c>
      <c r="G70" s="10">
        <v>0.1</v>
      </c>
      <c r="I70" s="9">
        <f t="shared" si="4"/>
        <v>0</v>
      </c>
      <c r="J70" s="11" cm="1">
        <f t="array" ref="J70">MAX(IF($N$3:$CY$3=$J$3,N70:CY70))</f>
        <v>0</v>
      </c>
      <c r="K70" s="11" cm="1">
        <f t="array" ref="K70">MAX(IF($N$3:$CY$3=$J$3,N70:CY70))</f>
        <v>0</v>
      </c>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c r="BN70" s="10"/>
      <c r="BO70" s="10"/>
      <c r="BS70" s="10"/>
      <c r="BT70" s="10"/>
      <c r="BU70" s="10"/>
      <c r="BV70" s="10"/>
      <c r="BZ70" s="10"/>
      <c r="CA70" s="10"/>
      <c r="CB70" s="10"/>
      <c r="CC70" s="10"/>
      <c r="CG70" s="10"/>
      <c r="CH70" s="10"/>
      <c r="CI70" s="10"/>
      <c r="CJ70" s="10"/>
      <c r="CN70" s="10"/>
      <c r="CO70" s="10"/>
      <c r="CP70" s="10"/>
      <c r="CQ70" s="10"/>
      <c r="CU70" s="10"/>
      <c r="CV70" s="10"/>
      <c r="CW70" s="10"/>
      <c r="CX70" s="10"/>
      <c r="DB70" s="10"/>
      <c r="DC70" s="10"/>
      <c r="DD70" s="10"/>
      <c r="DE70" s="10"/>
      <c r="DI70" s="10"/>
      <c r="DJ70" s="10"/>
      <c r="DK70" s="10"/>
      <c r="DL70" s="10"/>
      <c r="DP70" s="10"/>
      <c r="DQ70" s="10"/>
      <c r="DR70" s="10"/>
      <c r="DS70" s="10"/>
      <c r="DW70" s="10"/>
      <c r="DX70" s="10"/>
      <c r="DY70" s="10"/>
      <c r="DZ70" s="10"/>
      <c r="ED70" s="10"/>
      <c r="EE70" s="10"/>
      <c r="EF70" s="10"/>
      <c r="EG70" s="10"/>
      <c r="EK70" s="10"/>
      <c r="EL70" s="10"/>
      <c r="EM70" s="10"/>
      <c r="EN70" s="10"/>
    </row>
    <row r="71" spans="2:144" outlineLevel="1">
      <c r="B71" t="s">
        <v>29</v>
      </c>
      <c r="C71" t="s">
        <v>107</v>
      </c>
      <c r="E71" s="9"/>
      <c r="F71" t="s">
        <v>97</v>
      </c>
      <c r="G71" s="10">
        <v>0.14000000000000001</v>
      </c>
      <c r="I71" s="9">
        <f t="shared" si="4"/>
        <v>0</v>
      </c>
      <c r="J71" s="11" cm="1">
        <f t="array" ref="J71">MAX(IF($N$3:$CY$3=$J$3,N71:CY71))</f>
        <v>0</v>
      </c>
      <c r="K71" s="11" cm="1">
        <f t="array" ref="K71">MAX(IF($N$3:$CY$3=$J$3,N71:CY71))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I71" s="10"/>
      <c r="DJ71" s="10"/>
      <c r="DK71" s="10"/>
      <c r="DL71" s="10"/>
      <c r="DP71" s="10"/>
      <c r="DQ71" s="10"/>
      <c r="DR71" s="10"/>
      <c r="DS71" s="10"/>
      <c r="DW71" s="10"/>
      <c r="DX71" s="10"/>
      <c r="DY71" s="10"/>
      <c r="DZ71" s="10"/>
      <c r="ED71" s="10"/>
      <c r="EE71" s="10"/>
      <c r="EF71" s="10"/>
      <c r="EG71" s="10"/>
      <c r="EK71" s="10"/>
      <c r="EL71" s="10"/>
      <c r="EM71" s="10"/>
      <c r="EN71" s="10"/>
    </row>
  </sheetData>
  <mergeCells count="20">
    <mergeCell ref="CF2:CK2"/>
    <mergeCell ref="CM2:CR2"/>
    <mergeCell ref="EC2:EH2"/>
    <mergeCell ref="EJ2:EO2"/>
    <mergeCell ref="DA2:DF2"/>
    <mergeCell ref="DH2:DM2"/>
    <mergeCell ref="DO2:DT2"/>
    <mergeCell ref="DV2:EA2"/>
    <mergeCell ref="CT2:CY2"/>
    <mergeCell ref="BK2:BP2"/>
    <mergeCell ref="BR2:BW2"/>
    <mergeCell ref="BY2:CD2"/>
    <mergeCell ref="I2:L2"/>
    <mergeCell ref="N2:S2"/>
    <mergeCell ref="BD2:BI2"/>
    <mergeCell ref="U2:Z2"/>
    <mergeCell ref="AB2:AG2"/>
    <mergeCell ref="AI2:AN2"/>
    <mergeCell ref="AP2:AU2"/>
    <mergeCell ref="AW2:BB2"/>
  </mergeCells>
  <phoneticPr fontId="5" type="noConversion"/>
  <conditionalFormatting sqref="J5:J11">
    <cfRule type="colorScale" priority="913">
      <colorScale>
        <cfvo type="percent" val="0"/>
        <cfvo type="percent" val="100"/>
        <color rgb="FFFF231B"/>
        <color rgb="FF10FF07"/>
      </colorScale>
    </cfRule>
  </conditionalFormatting>
  <conditionalFormatting sqref="J15">
    <cfRule type="colorScale" priority="289">
      <colorScale>
        <cfvo type="percent" val="0"/>
        <cfvo type="percent" val="100"/>
        <color rgb="FFFF231B"/>
        <color rgb="FF10FF07"/>
      </colorScale>
    </cfRule>
  </conditionalFormatting>
  <conditionalFormatting sqref="J16">
    <cfRule type="colorScale" priority="270">
      <colorScale>
        <cfvo type="percent" val="0"/>
        <cfvo type="percent" val="100"/>
        <color rgb="FFFF231B"/>
        <color rgb="FF10FF07"/>
      </colorScale>
    </cfRule>
  </conditionalFormatting>
  <conditionalFormatting sqref="J17:J19 J14">
    <cfRule type="colorScale" priority="897">
      <colorScale>
        <cfvo type="percent" val="0"/>
        <cfvo type="percent" val="100"/>
        <color rgb="FFFF231B"/>
        <color rgb="FF10FF07"/>
      </colorScale>
    </cfRule>
  </conditionalFormatting>
  <conditionalFormatting sqref="J22:J27">
    <cfRule type="colorScale" priority="901">
      <colorScale>
        <cfvo type="percent" val="0"/>
        <cfvo type="percent" val="100"/>
        <color rgb="FFFF231B"/>
        <color rgb="FF10FF07"/>
      </colorScale>
    </cfRule>
  </conditionalFormatting>
  <conditionalFormatting sqref="J30:J39">
    <cfRule type="colorScale" priority="834">
      <colorScale>
        <cfvo type="percent" val="0"/>
        <cfvo type="percent" val="100"/>
        <color rgb="FFFF231B"/>
        <color rgb="FF10FF07"/>
      </colorScale>
    </cfRule>
  </conditionalFormatting>
  <conditionalFormatting sqref="J42:J50">
    <cfRule type="colorScale" priority="904">
      <colorScale>
        <cfvo type="percent" val="0"/>
        <cfvo type="percent" val="100"/>
        <color rgb="FFFF231B"/>
        <color rgb="FF10FF07"/>
      </colorScale>
    </cfRule>
  </conditionalFormatting>
  <conditionalFormatting sqref="J53:J62">
    <cfRule type="colorScale" priority="910">
      <colorScale>
        <cfvo type="percent" val="0"/>
        <cfvo type="percent" val="100"/>
        <color rgb="FFFF231B"/>
        <color rgb="FF10FF07"/>
      </colorScale>
    </cfRule>
  </conditionalFormatting>
  <conditionalFormatting sqref="J65:J71">
    <cfRule type="colorScale" priority="907">
      <colorScale>
        <cfvo type="percent" val="0"/>
        <cfvo type="percent" val="100"/>
        <color rgb="FFFF231B"/>
        <color rgb="FF10FF07"/>
      </colorScale>
    </cfRule>
  </conditionalFormatting>
  <conditionalFormatting sqref="J6:K11">
    <cfRule type="colorScale" priority="914">
      <colorScale>
        <cfvo type="percent" val="0"/>
        <cfvo type="percent" val="100"/>
        <color rgb="FFFF231B"/>
        <color rgb="FF10FF07"/>
      </colorScale>
    </cfRule>
  </conditionalFormatting>
  <conditionalFormatting sqref="J15:K15">
    <cfRule type="colorScale" priority="290">
      <colorScale>
        <cfvo type="percent" val="0"/>
        <cfvo type="percent" val="100"/>
        <color rgb="FFFF231B"/>
        <color rgb="FF10FF07"/>
      </colorScale>
    </cfRule>
  </conditionalFormatting>
  <conditionalFormatting sqref="J16:K16">
    <cfRule type="colorScale" priority="271">
      <colorScale>
        <cfvo type="percent" val="0"/>
        <cfvo type="percent" val="100"/>
        <color rgb="FFFF231B"/>
        <color rgb="FF10FF07"/>
      </colorScale>
    </cfRule>
  </conditionalFormatting>
  <conditionalFormatting sqref="J17:K19">
    <cfRule type="colorScale" priority="899">
      <colorScale>
        <cfvo type="percent" val="0"/>
        <cfvo type="percent" val="100"/>
        <color rgb="FFFF231B"/>
        <color rgb="FF10FF07"/>
      </colorScale>
    </cfRule>
  </conditionalFormatting>
  <conditionalFormatting sqref="J23:K27">
    <cfRule type="colorScale" priority="902">
      <colorScale>
        <cfvo type="percent" val="0"/>
        <cfvo type="percent" val="100"/>
        <color rgb="FFFF231B"/>
        <color rgb="FF10FF07"/>
      </colorScale>
    </cfRule>
  </conditionalFormatting>
  <conditionalFormatting sqref="J31:K39">
    <cfRule type="colorScale" priority="832">
      <colorScale>
        <cfvo type="percent" val="0"/>
        <cfvo type="percent" val="100"/>
        <color rgb="FFFF231B"/>
        <color rgb="FF10FF07"/>
      </colorScale>
    </cfRule>
  </conditionalFormatting>
  <conditionalFormatting sqref="J43:K50">
    <cfRule type="colorScale" priority="905">
      <colorScale>
        <cfvo type="percent" val="0"/>
        <cfvo type="percent" val="100"/>
        <color rgb="FFFF231B"/>
        <color rgb="FF10FF07"/>
      </colorScale>
    </cfRule>
  </conditionalFormatting>
  <conditionalFormatting sqref="J54:K62">
    <cfRule type="colorScale" priority="911">
      <colorScale>
        <cfvo type="percent" val="0"/>
        <cfvo type="percent" val="100"/>
        <color rgb="FFFF231B"/>
        <color rgb="FF10FF07"/>
      </colorScale>
    </cfRule>
  </conditionalFormatting>
  <conditionalFormatting sqref="J66:K71">
    <cfRule type="colorScale" priority="908">
      <colorScale>
        <cfvo type="percent" val="0"/>
        <cfvo type="percent" val="100"/>
        <color rgb="FFFF231B"/>
        <color rgb="FF10FF07"/>
      </colorScale>
    </cfRule>
  </conditionalFormatting>
  <conditionalFormatting sqref="K5:K11">
    <cfRule type="colorScale" priority="915">
      <colorScale>
        <cfvo type="percent" val="0"/>
        <cfvo type="percent" val="100"/>
        <color rgb="FFFF231B"/>
        <color rgb="FF10FF07"/>
      </colorScale>
    </cfRule>
  </conditionalFormatting>
  <conditionalFormatting sqref="K15">
    <cfRule type="colorScale" priority="288">
      <colorScale>
        <cfvo type="percent" val="0"/>
        <cfvo type="percent" val="100"/>
        <color rgb="FFFF231B"/>
        <color rgb="FF10FF07"/>
      </colorScale>
    </cfRule>
  </conditionalFormatting>
  <conditionalFormatting sqref="K16">
    <cfRule type="colorScale" priority="269">
      <colorScale>
        <cfvo type="percent" val="0"/>
        <cfvo type="percent" val="100"/>
        <color rgb="FFFF231B"/>
        <color rgb="FF10FF07"/>
      </colorScale>
    </cfRule>
  </conditionalFormatting>
  <conditionalFormatting sqref="K17:K19 K14">
    <cfRule type="colorScale" priority="900">
      <colorScale>
        <cfvo type="percent" val="0"/>
        <cfvo type="percent" val="100"/>
        <color rgb="FFFF231B"/>
        <color rgb="FF10FF07"/>
      </colorScale>
    </cfRule>
  </conditionalFormatting>
  <conditionalFormatting sqref="K22:K27">
    <cfRule type="colorScale" priority="903">
      <colorScale>
        <cfvo type="percent" val="0"/>
        <cfvo type="percent" val="100"/>
        <color rgb="FFFF231B"/>
        <color rgb="FF10FF07"/>
      </colorScale>
    </cfRule>
  </conditionalFormatting>
  <conditionalFormatting sqref="K30:K39">
    <cfRule type="colorScale" priority="836">
      <colorScale>
        <cfvo type="percent" val="0"/>
        <cfvo type="percent" val="100"/>
        <color rgb="FFFF231B"/>
        <color rgb="FF10FF07"/>
      </colorScale>
    </cfRule>
  </conditionalFormatting>
  <conditionalFormatting sqref="K42:K50">
    <cfRule type="colorScale" priority="906">
      <colorScale>
        <cfvo type="percent" val="0"/>
        <cfvo type="percent" val="100"/>
        <color rgb="FFFF231B"/>
        <color rgb="FF10FF07"/>
      </colorScale>
    </cfRule>
  </conditionalFormatting>
  <conditionalFormatting sqref="K53:K62">
    <cfRule type="colorScale" priority="912">
      <colorScale>
        <cfvo type="percent" val="0"/>
        <cfvo type="percent" val="100"/>
        <color rgb="FFFF231B"/>
        <color rgb="FF10FF07"/>
      </colorScale>
    </cfRule>
  </conditionalFormatting>
  <conditionalFormatting sqref="K65:K71">
    <cfRule type="colorScale" priority="909">
      <colorScale>
        <cfvo type="percent" val="0"/>
        <cfvo type="percent" val="100"/>
        <color rgb="FFFF231B"/>
        <color rgb="FF10FF07"/>
      </colorScale>
    </cfRule>
  </conditionalFormatting>
  <conditionalFormatting sqref="O5:O11 Q5:Q11 V5:V11 X5:X11 AC5:AC11 AE5:AE11 AJ5:AJ11 AL5:AL11 AQ5:AQ11 AS5:AS11 AZ5:AZ11 BE5:BE11 BG5:BG11 BL5:BL11 BN5:BN11 BS5:BS11 BU5:BU11 BZ5:BZ11 CB5:CB11 CG5:CG11 CI5:CI11 CN5:CN11 CP5:CP11 CU5:CU11 CW5:CW11 AX5:AX40 O14:O19 Q14:Q19 V14:V19 X14:X19 AC14:AC19 AE14:AE19 AJ14:AJ19 AL14:AL19 AQ14:AQ19 AS14:AS19 AZ14:AZ19 BE14:BE19 BG14:BG19 BL14:BL19 BN14:BN19 BS14:BS19 BU14:BU19 BZ14:BZ19 CB14:CB19 CG14:CG19 CI14:CI19 CN14:CN19 CP14:CP19 CU14:CU19 CW14:CW19 O22:O27 Q22:Q27 V22:V27 X22:X27 AC22:AC27 AE22:AE27 AJ22:AJ27 AL22:AL27 AQ22:AQ27 AS22:AS27 AZ22:AZ27 BE22:BE27 BG22:BG27 BL22:BL27 BN22:BN27 BS22:BS27 BU22:BU27 BZ22:BZ27 CB22:CB27 CG22:CG27 CI22:CI27 CN22:CN27 CP22:CP27 CU22:CU27 CW22:CW27 O42 Q42 V42:V43 X42:X43 AC42:AC44 AE42:AE44 AJ42:AJ45 AL42:AL45 AQ42:AQ46 AS42:AS46 AX42:AX50 AZ42:AZ50 BE42:BE50 BG42:BG50 BL42:BL50 BN42:BN50 BS42:BS50 BU42:BU50 BZ42:BZ50 CB42:CB50 CG42:CG50 CI42:CI50 CN42:CN50 CP42:CP50 CU42:CU50 CW42:CW50 O46:O50 Q46:Q50 V50 X50 O53:O62 Q53:Q62 V53:V62 X53:X62 AC53:AC62 AE53:AE62 AJ53:AJ62 AL53:AL62 AQ53:AQ62 AS53:AS62 AX53:AX62 AZ53:AZ62 BE53:BE62 BG53:BG62 BL53:BL62 BN53:BN62 BS53:BS62 BU53:BU62 BZ53:BZ62 CB53:CB62 CG53:CG62 CI53:CI62 CN53:CN62 CP53:CP62 CU53:CU62 CW53:CW62 O65:O71 Q65:Q71 V65:V71 X65:X71 AC65:AC71 AE65:AE71 AJ65:AJ71 AL65:AL71 AQ65:AQ71 AS65:AS71 AX65:AX71 AZ65:AZ71 BE65:BE71 BG65:BG71 BL65:BL71 BN65:BN71 BS65:BS71 BU65:BU71 BZ65:BZ71 CB65:CB71 CG65:CG71 CI65:CI71 CN65:CN71 CP65:CP71 CU65:CU71 CW65:CW71">
    <cfRule type="expression" dxfId="99" priority="710">
      <formula>IF(O5&gt;=P5,IF(O5="",FALSE,TRUE))</formula>
    </cfRule>
    <cfRule type="expression" dxfId="98" priority="709">
      <formula>OR(IF(O5&lt;P5,TRUE),IF(AND(P5="",O5&lt;&gt;""),TRUE))</formula>
    </cfRule>
  </conditionalFormatting>
  <conditionalFormatting sqref="O30 O32:O39">
    <cfRule type="expression" dxfId="97" priority="438">
      <formula>IF(O30&gt;=P30,IF(O30="",FALSE,TRUE))</formula>
    </cfRule>
    <cfRule type="expression" dxfId="96" priority="437">
      <formula>OR(IF(O30&lt;P30,TRUE),IF(AND(P30="",O30&lt;&gt;""),TRUE))</formula>
    </cfRule>
  </conditionalFormatting>
  <conditionalFormatting sqref="Q30 Q32:Q39">
    <cfRule type="expression" dxfId="95" priority="436">
      <formula>IF(Q30&gt;=R30,IF(Q30="",FALSE,TRUE))</formula>
    </cfRule>
    <cfRule type="expression" dxfId="94" priority="435">
      <formula>OR(IF(Q30&lt;R30,TRUE),IF(AND(R30="",Q30&lt;&gt;""),TRUE))</formula>
    </cfRule>
  </conditionalFormatting>
  <conditionalFormatting sqref="V30:V39">
    <cfRule type="expression" dxfId="93" priority="429">
      <formula>OR(IF(V30&lt;W30,TRUE),IF(AND(W30="",V30&lt;&gt;""),TRUE))</formula>
    </cfRule>
    <cfRule type="expression" dxfId="92" priority="430">
      <formula>IF(V30&gt;=W30,IF(V30="",FALSE,TRUE))</formula>
    </cfRule>
  </conditionalFormatting>
  <conditionalFormatting sqref="X30:X39">
    <cfRule type="expression" dxfId="91" priority="428">
      <formula>IF(X30&gt;=Y30,IF(X30="",FALSE,TRUE))</formula>
    </cfRule>
    <cfRule type="expression" dxfId="90" priority="427">
      <formula>OR(IF(X30&lt;Y30,TRUE),IF(AND(Y30="",X30&lt;&gt;""),TRUE))</formula>
    </cfRule>
  </conditionalFormatting>
  <conditionalFormatting sqref="AC30:AC39">
    <cfRule type="expression" dxfId="89" priority="422">
      <formula>IF(AC30&gt;=AD30,IF(AC30="",FALSE,TRUE))</formula>
    </cfRule>
    <cfRule type="expression" dxfId="88" priority="421">
      <formula>OR(IF(AC30&lt;AD30,TRUE),IF(AND(AD30="",AC30&lt;&gt;""),TRUE))</formula>
    </cfRule>
  </conditionalFormatting>
  <conditionalFormatting sqref="AE30:AE39">
    <cfRule type="expression" dxfId="87" priority="420">
      <formula>IF(AE30&gt;=AF30,IF(AE30="",FALSE,TRUE))</formula>
    </cfRule>
    <cfRule type="expression" dxfId="86" priority="419">
      <formula>OR(IF(AE30&lt;AF30,TRUE),IF(AND(AF30="",AE30&lt;&gt;""),TRUE))</formula>
    </cfRule>
  </conditionalFormatting>
  <conditionalFormatting sqref="AJ30:AJ39">
    <cfRule type="expression" dxfId="85" priority="414">
      <formula>IF(AJ30&gt;=AK30,IF(AJ30="",FALSE,TRUE))</formula>
    </cfRule>
    <cfRule type="expression" dxfId="84" priority="413">
      <formula>OR(IF(AJ30&lt;AK30,TRUE),IF(AND(AK30="",AJ30&lt;&gt;""),TRUE))</formula>
    </cfRule>
  </conditionalFormatting>
  <conditionalFormatting sqref="AL30:AL39">
    <cfRule type="expression" dxfId="83" priority="412">
      <formula>IF(AL30&gt;=AM30,IF(AL30="",FALSE,TRUE))</formula>
    </cfRule>
    <cfRule type="expression" dxfId="82" priority="411">
      <formula>OR(IF(AL30&lt;AM30,TRUE),IF(AND(AM30="",AL30&lt;&gt;""),TRUE))</formula>
    </cfRule>
  </conditionalFormatting>
  <conditionalFormatting sqref="AQ30:AQ39">
    <cfRule type="expression" dxfId="81" priority="405">
      <formula>OR(IF(AQ30&lt;AR30,TRUE),IF(AND(AR30="",AQ30&lt;&gt;""),TRUE))</formula>
    </cfRule>
    <cfRule type="expression" dxfId="80" priority="406">
      <formula>IF(AQ30&gt;=AR30,IF(AQ30="",FALSE,TRUE))</formula>
    </cfRule>
  </conditionalFormatting>
  <conditionalFormatting sqref="AS30:AS39">
    <cfRule type="expression" dxfId="79" priority="403">
      <formula>OR(IF(AS30&lt;AT30,TRUE),IF(AND(AT30="",AS30&lt;&gt;""),TRUE))</formula>
    </cfRule>
    <cfRule type="expression" dxfId="78" priority="404">
      <formula>IF(AS30&gt;=AT30,IF(AS30="",FALSE,TRUE))</formula>
    </cfRule>
  </conditionalFormatting>
  <conditionalFormatting sqref="AZ30:AZ39">
    <cfRule type="expression" dxfId="77" priority="396">
      <formula>IF(AZ30&gt;=BA30,IF(AZ30="",FALSE,TRUE))</formula>
    </cfRule>
    <cfRule type="expression" dxfId="76" priority="395">
      <formula>OR(IF(AZ30&lt;BA30,TRUE),IF(AND(BA30="",AZ30&lt;&gt;""),TRUE))</formula>
    </cfRule>
  </conditionalFormatting>
  <conditionalFormatting sqref="BE30:BE39">
    <cfRule type="expression" dxfId="75" priority="389">
      <formula>OR(IF(BE30&lt;BF30,TRUE),IF(AND(BF30="",BE30&lt;&gt;""),TRUE))</formula>
    </cfRule>
    <cfRule type="expression" dxfId="74" priority="390">
      <formula>IF(BE30&gt;=BF30,IF(BE30="",FALSE,TRUE))</formula>
    </cfRule>
  </conditionalFormatting>
  <conditionalFormatting sqref="BG30:BG39">
    <cfRule type="expression" dxfId="73" priority="388">
      <formula>IF(BG30&gt;=BH30,IF(BG30="",FALSE,TRUE))</formula>
    </cfRule>
    <cfRule type="expression" dxfId="72" priority="387">
      <formula>OR(IF(BG30&lt;BH30,TRUE),IF(AND(BH30="",BG30&lt;&gt;""),TRUE))</formula>
    </cfRule>
  </conditionalFormatting>
  <conditionalFormatting sqref="BL30:BL39">
    <cfRule type="expression" dxfId="71" priority="378">
      <formula>OR(IF(BL30&lt;BM30,TRUE),IF(AND(BM30="",BL30&lt;&gt;""),TRUE))</formula>
    </cfRule>
    <cfRule type="expression" dxfId="70" priority="379">
      <formula>IF(BL30&gt;=BM30,IF(BL30="",FALSE,TRUE))</formula>
    </cfRule>
  </conditionalFormatting>
  <conditionalFormatting sqref="BN30:BN39">
    <cfRule type="expression" dxfId="69" priority="376">
      <formula>OR(IF(BN30&lt;BO30,TRUE),IF(AND(BO30="",BN30&lt;&gt;""),TRUE))</formula>
    </cfRule>
    <cfRule type="expression" dxfId="68" priority="377">
      <formula>IF(BN30&gt;=BO30,IF(BN30="",FALSE,TRUE))</formula>
    </cfRule>
  </conditionalFormatting>
  <conditionalFormatting sqref="BS30:BS39">
    <cfRule type="expression" dxfId="67" priority="253">
      <formula>OR(IF(BS30&lt;BT30,TRUE),IF(AND(BT30="",BS30&lt;&gt;""),TRUE))</formula>
    </cfRule>
    <cfRule type="expression" dxfId="66" priority="254">
      <formula>IF(BS30&gt;=BT30,IF(BS30="",FALSE,TRUE))</formula>
    </cfRule>
  </conditionalFormatting>
  <conditionalFormatting sqref="BU30:BU39">
    <cfRule type="expression" dxfId="65" priority="252">
      <formula>IF(BU30&gt;=BV30,IF(BU30="",FALSE,TRUE))</formula>
    </cfRule>
    <cfRule type="expression" dxfId="64" priority="251">
      <formula>OR(IF(BU30&lt;BV30,TRUE),IF(AND(BV30="",BU30&lt;&gt;""),TRUE))</formula>
    </cfRule>
  </conditionalFormatting>
  <conditionalFormatting sqref="BZ30:BZ39">
    <cfRule type="expression" dxfId="63" priority="234">
      <formula>IF(BZ30&gt;=CA30,IF(BZ30="",FALSE,TRUE))</formula>
    </cfRule>
    <cfRule type="expression" dxfId="62" priority="233">
      <formula>OR(IF(BZ30&lt;CA30,TRUE),IF(AND(CA30="",BZ30&lt;&gt;""),TRUE))</formula>
    </cfRule>
  </conditionalFormatting>
  <conditionalFormatting sqref="CB30:CB39">
    <cfRule type="expression" dxfId="61" priority="231">
      <formula>OR(IF(CB30&lt;CC30,TRUE),IF(AND(CC30="",CB30&lt;&gt;""),TRUE))</formula>
    </cfRule>
    <cfRule type="expression" dxfId="60" priority="232">
      <formula>IF(CB30&gt;=CC30,IF(CB30="",FALSE,TRUE))</formula>
    </cfRule>
  </conditionalFormatting>
  <conditionalFormatting sqref="CG30:CG39">
    <cfRule type="expression" dxfId="59" priority="214">
      <formula>IF(CG30&gt;=CH30,IF(CG30="",FALSE,TRUE))</formula>
    </cfRule>
    <cfRule type="expression" dxfId="58" priority="213">
      <formula>OR(IF(CG30&lt;CH30,TRUE),IF(AND(CH30="",CG30&lt;&gt;""),TRUE))</formula>
    </cfRule>
  </conditionalFormatting>
  <conditionalFormatting sqref="CI30:CI39">
    <cfRule type="expression" dxfId="57" priority="212">
      <formula>IF(CI30&gt;=CJ30,IF(CI30="",FALSE,TRUE))</formula>
    </cfRule>
    <cfRule type="expression" dxfId="56" priority="211">
      <formula>OR(IF(CI30&lt;CJ30,TRUE),IF(AND(CJ30="",CI30&lt;&gt;""),TRUE))</formula>
    </cfRule>
  </conditionalFormatting>
  <conditionalFormatting sqref="CN30:CN39">
    <cfRule type="expression" dxfId="55" priority="193">
      <formula>OR(IF(CN30&lt;CO30,TRUE),IF(AND(CO30="",CN30&lt;&gt;""),TRUE))</formula>
    </cfRule>
    <cfRule type="expression" dxfId="54" priority="194">
      <formula>IF(CN30&gt;=CO30,IF(CN30="",FALSE,TRUE))</formula>
    </cfRule>
  </conditionalFormatting>
  <conditionalFormatting sqref="CP30:CP39">
    <cfRule type="expression" dxfId="53" priority="192">
      <formula>IF(CP30&gt;=CQ30,IF(CP30="",FALSE,TRUE))</formula>
    </cfRule>
    <cfRule type="expression" dxfId="52" priority="191">
      <formula>OR(IF(CP30&lt;CQ30,TRUE),IF(AND(CQ30="",CP30&lt;&gt;""),TRUE))</formula>
    </cfRule>
  </conditionalFormatting>
  <conditionalFormatting sqref="CU30:CU39">
    <cfRule type="expression" dxfId="51" priority="40">
      <formula>IF(CU30&gt;=CV30,IF(CU30="",FALSE,TRUE))</formula>
    </cfRule>
    <cfRule type="expression" dxfId="50" priority="39">
      <formula>OR(IF(CU30&lt;CV30,TRUE),IF(AND(CV30="",CU30&lt;&gt;""),TRUE))</formula>
    </cfRule>
  </conditionalFormatting>
  <conditionalFormatting sqref="CW30:CW39">
    <cfRule type="expression" dxfId="49" priority="38">
      <formula>IF(CW30&gt;=CX30,IF(CW30="",FALSE,TRUE))</formula>
    </cfRule>
    <cfRule type="expression" dxfId="48" priority="37">
      <formula>OR(IF(CW30&lt;CX30,TRUE),IF(AND(CX30="",CW30&lt;&gt;""),TRUE))</formula>
    </cfRule>
  </conditionalFormatting>
  <conditionalFormatting sqref="DB5:DB11 DD5:DD11 DB14:DB19 DD14:DD19 DB22:DB27 DD22:DD27 DB42:DB50 DD42:DD50 DB53:DB62 DD53:DD62 DB65:DB71 DD65:DD71">
    <cfRule type="expression" dxfId="47" priority="36">
      <formula>IF(DB5&gt;=DC5,IF(DB5="",FALSE,TRUE))</formula>
    </cfRule>
    <cfRule type="expression" dxfId="46" priority="35">
      <formula>OR(IF(DB5&lt;DC5,TRUE),IF(AND(DC5="",DB5&lt;&gt;""),TRUE))</formula>
    </cfRule>
  </conditionalFormatting>
  <conditionalFormatting sqref="DB30:DB39">
    <cfRule type="expression" dxfId="45" priority="34">
      <formula>IF(DB30&gt;=DC30,IF(DB30="",FALSE,TRUE))</formula>
    </cfRule>
    <cfRule type="expression" dxfId="44" priority="33">
      <formula>OR(IF(DB30&lt;DC30,TRUE),IF(AND(DC30="",DB30&lt;&gt;""),TRUE))</formula>
    </cfRule>
  </conditionalFormatting>
  <conditionalFormatting sqref="DD30:DD39">
    <cfRule type="expression" dxfId="43" priority="32">
      <formula>IF(DD30&gt;=DE30,IF(DD30="",FALSE,TRUE))</formula>
    </cfRule>
    <cfRule type="expression" dxfId="42" priority="31">
      <formula>OR(IF(DD30&lt;DE30,TRUE),IF(AND(DE30="",DD30&lt;&gt;""),TRUE))</formula>
    </cfRule>
  </conditionalFormatting>
  <conditionalFormatting sqref="DI5:DI11 DK5:DK11 DI14:DI19 DK14:DK19 DI22:DI27 DK22:DK27 DI42:DI50 DK42:DK50 DI53:DI62 DK53:DK62 DI65:DI71 DK65:DK71">
    <cfRule type="expression" dxfId="41" priority="29">
      <formula>OR(IF(DI5&lt;DJ5,TRUE),IF(AND(DJ5="",DI5&lt;&gt;""),TRUE))</formula>
    </cfRule>
    <cfRule type="expression" dxfId="40" priority="30">
      <formula>IF(DI5&gt;=DJ5,IF(DI5="",FALSE,TRUE))</formula>
    </cfRule>
  </conditionalFormatting>
  <conditionalFormatting sqref="DI30:DI39">
    <cfRule type="expression" dxfId="39" priority="27">
      <formula>OR(IF(DI30&lt;DJ30,TRUE),IF(AND(DJ30="",DI30&lt;&gt;""),TRUE))</formula>
    </cfRule>
    <cfRule type="expression" dxfId="38" priority="28">
      <formula>IF(DI30&gt;=DJ30,IF(DI30="",FALSE,TRUE))</formula>
    </cfRule>
  </conditionalFormatting>
  <conditionalFormatting sqref="DK30:DK39">
    <cfRule type="expression" dxfId="37" priority="25">
      <formula>OR(IF(DK30&lt;DL30,TRUE),IF(AND(DL30="",DK30&lt;&gt;""),TRUE))</formula>
    </cfRule>
    <cfRule type="expression" dxfId="36" priority="26">
      <formula>IF(DK30&gt;=DL30,IF(DK30="",FALSE,TRUE))</formula>
    </cfRule>
  </conditionalFormatting>
  <conditionalFormatting sqref="DP5:DP11 DR5:DR11 DP14:DP19 DR14:DR19 DP22:DP27 DR22:DR27 DP42:DP50 DR42:DR50 DP53:DP62 DR53:DR62 DP65:DP71 DR65:DR71">
    <cfRule type="expression" dxfId="35" priority="23">
      <formula>OR(IF(DP5&lt;DQ5,TRUE),IF(AND(DQ5="",DP5&lt;&gt;""),TRUE))</formula>
    </cfRule>
    <cfRule type="expression" dxfId="34" priority="24">
      <formula>IF(DP5&gt;=DQ5,IF(DP5="",FALSE,TRUE))</formula>
    </cfRule>
  </conditionalFormatting>
  <conditionalFormatting sqref="DP30:DP39">
    <cfRule type="expression" dxfId="33" priority="21">
      <formula>OR(IF(DP30&lt;DQ30,TRUE),IF(AND(DQ30="",DP30&lt;&gt;""),TRUE))</formula>
    </cfRule>
    <cfRule type="expression" dxfId="32" priority="22">
      <formula>IF(DP30&gt;=DQ30,IF(DP30="",FALSE,TRUE))</formula>
    </cfRule>
  </conditionalFormatting>
  <conditionalFormatting sqref="DR30:DR39">
    <cfRule type="expression" dxfId="31" priority="20">
      <formula>IF(DR30&gt;=DS30,IF(DR30="",FALSE,TRUE))</formula>
    </cfRule>
    <cfRule type="expression" dxfId="30" priority="19">
      <formula>OR(IF(DR30&lt;DS30,TRUE),IF(AND(DS30="",DR30&lt;&gt;""),TRUE))</formula>
    </cfRule>
  </conditionalFormatting>
  <conditionalFormatting sqref="DW5:DW11 DY5:DY11 DW14:DW19 DY14:DY19 DW22:DW27 DY22:DY27 DW42:DW50 DY42:DY50 DW53:DW62 DY53:DY62 DW65:DW71 DY65:DY71">
    <cfRule type="expression" dxfId="29" priority="18">
      <formula>IF(DW5&gt;=DX5,IF(DW5="",FALSE,TRUE))</formula>
    </cfRule>
    <cfRule type="expression" dxfId="28" priority="17">
      <formula>OR(IF(DW5&lt;DX5,TRUE),IF(AND(DX5="",DW5&lt;&gt;""),TRUE))</formula>
    </cfRule>
  </conditionalFormatting>
  <conditionalFormatting sqref="DW30:DW39">
    <cfRule type="expression" dxfId="27" priority="15">
      <formula>OR(IF(DW30&lt;DX30,TRUE),IF(AND(DX30="",DW30&lt;&gt;""),TRUE))</formula>
    </cfRule>
    <cfRule type="expression" dxfId="26" priority="16">
      <formula>IF(DW30&gt;=DX30,IF(DW30="",FALSE,TRUE))</formula>
    </cfRule>
  </conditionalFormatting>
  <conditionalFormatting sqref="DY30:DY39">
    <cfRule type="expression" dxfId="25" priority="14">
      <formula>IF(DY30&gt;=DZ30,IF(DY30="",FALSE,TRUE))</formula>
    </cfRule>
    <cfRule type="expression" dxfId="24" priority="13">
      <formula>OR(IF(DY30&lt;DZ30,TRUE),IF(AND(DZ30="",DY30&lt;&gt;""),TRUE))</formula>
    </cfRule>
  </conditionalFormatting>
  <conditionalFormatting sqref="ED5:ED11 EF5:EF11 ED14:ED19 EF14:EF19 ED22:ED27 EF22:EF27 ED42:ED50 EF42:EF50 ED53:ED62 EF53:EF62 ED65:ED71 EF65:EF71">
    <cfRule type="expression" dxfId="23" priority="12">
      <formula>IF(ED5&gt;=EE5,IF(ED5="",FALSE,TRUE))</formula>
    </cfRule>
    <cfRule type="expression" dxfId="22" priority="11">
      <formula>OR(IF(ED5&lt;EE5,TRUE),IF(AND(EE5="",ED5&lt;&gt;""),TRUE))</formula>
    </cfRule>
  </conditionalFormatting>
  <conditionalFormatting sqref="ED30:ED39">
    <cfRule type="expression" dxfId="21" priority="9">
      <formula>OR(IF(ED30&lt;EE30,TRUE),IF(AND(EE30="",ED30&lt;&gt;""),TRUE))</formula>
    </cfRule>
    <cfRule type="expression" dxfId="20" priority="10">
      <formula>IF(ED30&gt;=EE30,IF(ED30="",FALSE,TRUE))</formula>
    </cfRule>
  </conditionalFormatting>
  <conditionalFormatting sqref="EF30:EF39">
    <cfRule type="expression" dxfId="19" priority="8">
      <formula>IF(EF30&gt;=EG30,IF(EF30="",FALSE,TRUE))</formula>
    </cfRule>
    <cfRule type="expression" dxfId="18" priority="7">
      <formula>OR(IF(EF30&lt;EG30,TRUE),IF(AND(EG30="",EF30&lt;&gt;""),TRUE))</formula>
    </cfRule>
  </conditionalFormatting>
  <conditionalFormatting sqref="EK5:EK11 EM5:EM11 EK14:EK19 EM14:EM19 EK22:EK27 EM22:EM27 EK42:EK50 EM42:EM50 EK53:EK62 EM53:EM62 EK65:EK71 EM65:EM71">
    <cfRule type="expression" dxfId="17" priority="6">
      <formula>IF(EK5&gt;=EL5,IF(EK5="",FALSE,TRUE))</formula>
    </cfRule>
    <cfRule type="expression" dxfId="16" priority="5">
      <formula>OR(IF(EK5&lt;EL5,TRUE),IF(AND(EL5="",EK5&lt;&gt;""),TRUE))</formula>
    </cfRule>
  </conditionalFormatting>
  <conditionalFormatting sqref="EK30:EK39">
    <cfRule type="expression" dxfId="15" priority="4">
      <formula>IF(EK30&gt;=EL30,IF(EK30="",FALSE,TRUE))</formula>
    </cfRule>
    <cfRule type="expression" dxfId="14" priority="3">
      <formula>OR(IF(EK30&lt;EL30,TRUE),IF(AND(EL30="",EK30&lt;&gt;""),TRUE))</formula>
    </cfRule>
  </conditionalFormatting>
  <conditionalFormatting sqref="EM30:EM39">
    <cfRule type="expression" dxfId="13" priority="1">
      <formula>OR(IF(EM30&lt;EN30,TRUE),IF(AND(EN30="",EM30&lt;&gt;""),TRUE))</formula>
    </cfRule>
    <cfRule type="expression" dxfId="12" priority="2">
      <formula>IF(EM30&gt;=EN30,IF(EM30="",FALSE,TRUE))</formula>
    </cfRule>
  </conditionalFormatting>
  <dataValidations count="1">
    <dataValidation type="list" allowBlank="1" showInputMessage="1" showErrorMessage="1" sqref="CN22:CQ27 V14:Y19 AC14:AF19 AJ14:AM19 AQ14:AT19 AQ42:AT46 BE14:BH19 BL14:BO19 BL22:BO27 O22:R27 CU5:CX11 AJ22:AM27 AC22:AF27 V22:Y27 BZ14:CC19 O14:R19 V65:Y71 BS22:BV27 O65:R71 BS14:BV19 BZ22:CC27 BS65:BV71 BE22:BH27 BZ65:CC71 CG22:CJ27 CG14:CJ19 CN14:CQ19 CN65:CQ71 AJ65:AM71 CG65:CJ71 BL65:BO71 AX65:BA71 BE65:BH71 AQ65:AT71 AC65:AF71 AJ53:AM62 AC42:AF44 CG42:CJ50 BL42:BO50 AX42:BA50 BE42:BH50 AJ42:AM45 V50:Y50 O46:R50 O32:R39 BS42:BV50 BZ42:CC50 CN42:CQ50 CN53:CQ62 BZ53:CC62 BS53:BV62 O53:R62 V53:Y62 AC53:AF62 AQ53:AT62 BE53:BH62 AX53:BA62 BL53:BO62 CG53:CJ62 CG30:CJ39 BZ30:CC39 BS30:BV39 V30:Y39 AC30:AF39 AJ30:AM39 AQ22:AT27 BE30:BH39 CN30:CQ39 BL30:BO39 O30:R30 O42:R42 V42:Y43 AY14:BA19 AY30:BA39 AY22:BA27 AX5:BA8 V5:Y11 AC5:AF11 AJ5:AM11 AQ5:AT11 BE5:BH11 BL5:BO11 O5:R11 BZ5:CC11 BS5:BV11 CG5:CJ11 CN5:CQ11 AY9:BA11 AX9:AX40 CU22:CX27 CU14:CX19 CU65:CX71 CU42:CX50 CU53:CX62 CU30:CX39 DB53:DE62 DB22:DE27 DB14:DE19 DB65:DE71 DB42:DE50 EK5:EN11 DB30:DE39 DB5:DE11 DI22:DL27 DI14:DL19 DI65:DL71 DI42:DL50 DI53:DL62 DI30:DL39 DI5:DL11 DP22:DS27 DP14:DS19 DP65:DS71 DP42:DS50 DP53:DS62 DP30:DS39 DP5:DS11 DW22:DZ27 DW14:DZ19 DW65:DZ71 DW42:DZ50 DW53:DZ62 DW30:DZ39 DW5:DZ11 ED22:EG27 ED14:EG19 ED65:EG71 ED42:EG50 ED53:EG62 ED30:EG39 ED5:EG11 EK22:EN27 EK14:EN19 EK65:EN71 EK42:EN50 EK53:EN62 EK30:EN39 AQ30:AT3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B4" workbookViewId="0">
      <selection activeCell="B25" sqref="B25"/>
    </sheetView>
  </sheetViews>
  <sheetFormatPr defaultColWidth="10.625" defaultRowHeight="15.75"/>
  <cols>
    <col min="2" max="2" width="161" customWidth="1"/>
    <col min="3" max="3" width="10.875"/>
  </cols>
  <sheetData>
    <row r="4" spans="2:2" ht="21">
      <c r="B4" s="3" t="s">
        <v>17</v>
      </c>
    </row>
    <row r="6" spans="2:2">
      <c r="B6" s="2" t="s">
        <v>14</v>
      </c>
    </row>
    <row r="7" spans="2:2" ht="47.25">
      <c r="B7" s="1" t="s">
        <v>15</v>
      </c>
    </row>
    <row r="9" spans="2:2">
      <c r="B9" s="2" t="s">
        <v>16</v>
      </c>
    </row>
    <row r="10" spans="2:2" ht="63">
      <c r="B10" s="1" t="s">
        <v>36</v>
      </c>
    </row>
    <row r="12" spans="2:2">
      <c r="B12" s="2" t="s">
        <v>18</v>
      </c>
    </row>
    <row r="13" spans="2:2" ht="126">
      <c r="B13" s="1" t="s">
        <v>19</v>
      </c>
    </row>
    <row r="15" spans="2:2">
      <c r="B15" s="2" t="s">
        <v>20</v>
      </c>
    </row>
    <row r="16" spans="2:2" ht="110.25">
      <c r="B16" s="1" t="s">
        <v>21</v>
      </c>
    </row>
    <row r="17" spans="2:2">
      <c r="B17" s="1"/>
    </row>
    <row r="18" spans="2:2">
      <c r="B18" s="2" t="s">
        <v>35</v>
      </c>
    </row>
    <row r="19" spans="2:2" ht="141.75">
      <c r="B19" s="1" t="s">
        <v>37</v>
      </c>
    </row>
    <row r="21" spans="2:2">
      <c r="B21" s="2" t="s">
        <v>22</v>
      </c>
    </row>
    <row r="22" spans="2:2" ht="126">
      <c r="B22" s="1" t="s">
        <v>38</v>
      </c>
    </row>
    <row r="24" spans="2:2">
      <c r="B24" s="2" t="s">
        <v>23</v>
      </c>
    </row>
    <row r="25" spans="2:2" ht="126">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 zoomScale="117" workbookViewId="0">
      <selection activeCell="B10" sqref="B10"/>
    </sheetView>
  </sheetViews>
  <sheetFormatPr defaultColWidth="10.625" defaultRowHeight="15.75"/>
  <sheetData>
    <row r="1" spans="1:8" ht="26.25">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25" defaultRowHeight="15.75"/>
  <sheetData>
    <row r="1" spans="1:8" ht="26.25">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Admin</cp:lastModifiedBy>
  <dcterms:created xsi:type="dcterms:W3CDTF">2020-04-19T13:33:28Z</dcterms:created>
  <dcterms:modified xsi:type="dcterms:W3CDTF">2024-09-30T13:19:31Z</dcterms:modified>
</cp:coreProperties>
</file>