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defaultThemeVersion="166925"/>
  <mc:AlternateContent xmlns:mc="http://schemas.openxmlformats.org/markup-compatibility/2006">
    <mc:Choice Requires="x15">
      <x15ac:absPath xmlns:x15ac="http://schemas.microsoft.com/office/spreadsheetml/2010/11/ac" url="G:\Meine Ablage\8. Studium\8.2 Prüfungen\Semesterplanung\5.Semester\"/>
    </mc:Choice>
  </mc:AlternateContent>
  <xr:revisionPtr revIDLastSave="0" documentId="13_ncr:1_{7D347013-9C6E-4E65-9C7F-824080CBBD86}" xr6:coauthVersionLast="47" xr6:coauthVersionMax="47" xr10:uidLastSave="{00000000-0000-0000-0000-000000000000}"/>
  <bookViews>
    <workbookView xWindow="38280" yWindow="-120" windowWidth="29040" windowHeight="15720" xr2:uid="{50F29292-BE80-0C47-A0D2-DD086CB3D310}"/>
  </bookViews>
  <sheets>
    <sheet name="ANLEITUNG" sheetId="10" r:id="rId1"/>
    <sheet name="Semesterplan" sheetId="7" r:id="rId2"/>
    <sheet name="Best-Practices" sheetId="2" r:id="rId3"/>
    <sheet name="COMMITTMENT" sheetId="9" r:id="rId4"/>
    <sheet name="Wochenplan KW 19" sheetId="3" r:id="rId5"/>
    <sheet name="Wochenplan KW 20" sheetId="8" r:id="rId6"/>
    <sheet name="Kalorien#" sheetId="11"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7" i="10" l="1"/>
  <c r="N4" i="7"/>
  <c r="C11" i="10"/>
  <c r="K68" i="7" a="1"/>
  <c r="K68" i="7" s="1"/>
  <c r="J68" i="7" a="1"/>
  <c r="J68" i="7" s="1"/>
  <c r="I68" i="7"/>
  <c r="K67" i="7" a="1"/>
  <c r="K67" i="7" s="1"/>
  <c r="J67" i="7" a="1"/>
  <c r="J67" i="7" s="1"/>
  <c r="I67" i="7"/>
  <c r="K66" i="7" a="1"/>
  <c r="K66" i="7" s="1"/>
  <c r="J66" i="7" a="1"/>
  <c r="J66" i="7" s="1"/>
  <c r="I66" i="7"/>
  <c r="K65" i="7" a="1"/>
  <c r="K65" i="7" s="1"/>
  <c r="J65" i="7" a="1"/>
  <c r="J65" i="7" s="1"/>
  <c r="I65" i="7"/>
  <c r="K64" i="7" a="1"/>
  <c r="K64" i="7" s="1"/>
  <c r="J64" i="7" a="1"/>
  <c r="J64" i="7" s="1"/>
  <c r="I64" i="7"/>
  <c r="K63" i="7" a="1"/>
  <c r="K63" i="7" s="1"/>
  <c r="J63" i="7" a="1"/>
  <c r="J63" i="7" s="1"/>
  <c r="I63" i="7"/>
  <c r="K62" i="7" a="1"/>
  <c r="K62" i="7" s="1"/>
  <c r="J62" i="7" a="1"/>
  <c r="J62" i="7" s="1"/>
  <c r="I62" i="7"/>
  <c r="AP61" i="7"/>
  <c r="AI61" i="7"/>
  <c r="AB61" i="7"/>
  <c r="U61" i="7"/>
  <c r="N61" i="7"/>
  <c r="G61" i="7"/>
  <c r="G24" i="7"/>
  <c r="G4" i="7"/>
  <c r="K59" i="7" a="1"/>
  <c r="K59" i="7" s="1"/>
  <c r="J59" i="7" a="1"/>
  <c r="J59" i="7" s="1"/>
  <c r="I59" i="7"/>
  <c r="K58" i="7" a="1"/>
  <c r="K58" i="7" s="1"/>
  <c r="J58" i="7" a="1"/>
  <c r="J58" i="7" s="1"/>
  <c r="I58" i="7"/>
  <c r="K57" i="7" a="1"/>
  <c r="K57" i="7" s="1"/>
  <c r="J57" i="7" a="1"/>
  <c r="J57" i="7" s="1"/>
  <c r="I57" i="7"/>
  <c r="K56" i="7" a="1"/>
  <c r="K56" i="7" s="1"/>
  <c r="J56" i="7" a="1"/>
  <c r="J56" i="7" s="1"/>
  <c r="I56" i="7"/>
  <c r="K55" i="7" a="1"/>
  <c r="K55" i="7" s="1"/>
  <c r="J55" i="7" a="1"/>
  <c r="J55" i="7" s="1"/>
  <c r="I55" i="7"/>
  <c r="K54" i="7" a="1"/>
  <c r="K54" i="7" s="1"/>
  <c r="J54" i="7" a="1"/>
  <c r="J54" i="7" s="1"/>
  <c r="I54" i="7"/>
  <c r="K53" i="7" a="1"/>
  <c r="K53" i="7" s="1"/>
  <c r="J53" i="7" a="1"/>
  <c r="J53" i="7" s="1"/>
  <c r="I53" i="7"/>
  <c r="K52" i="7" a="1"/>
  <c r="K52" i="7" s="1"/>
  <c r="J52" i="7" a="1"/>
  <c r="J52" i="7" s="1"/>
  <c r="I52" i="7"/>
  <c r="K51" i="7" a="1"/>
  <c r="K51" i="7" s="1"/>
  <c r="J51" i="7" a="1"/>
  <c r="J51" i="7" s="1"/>
  <c r="I51" i="7"/>
  <c r="K50" i="7" a="1"/>
  <c r="K50" i="7" s="1"/>
  <c r="J50" i="7" a="1"/>
  <c r="J50" i="7" s="1"/>
  <c r="I50" i="7"/>
  <c r="K49" i="7" a="1"/>
  <c r="K49" i="7" s="1"/>
  <c r="J49" i="7" a="1"/>
  <c r="J49" i="7" s="1"/>
  <c r="I49" i="7"/>
  <c r="K48" i="7" a="1"/>
  <c r="K48" i="7" s="1"/>
  <c r="J48" i="7" a="1"/>
  <c r="J48" i="7" s="1"/>
  <c r="I48" i="7"/>
  <c r="K47" i="7" a="1"/>
  <c r="K47" i="7" s="1"/>
  <c r="J47" i="7" a="1"/>
  <c r="J47" i="7" s="1"/>
  <c r="I47" i="7"/>
  <c r="K46" i="7" a="1"/>
  <c r="K46" i="7" s="1"/>
  <c r="J46" i="7" a="1"/>
  <c r="J46" i="7" s="1"/>
  <c r="I46" i="7"/>
  <c r="K45" i="7" a="1"/>
  <c r="K45" i="7" s="1"/>
  <c r="J45" i="7" a="1"/>
  <c r="J45" i="7" s="1"/>
  <c r="I45" i="7"/>
  <c r="K44" i="7" a="1"/>
  <c r="K44" i="7" s="1"/>
  <c r="J44" i="7" a="1"/>
  <c r="J44" i="7" s="1"/>
  <c r="I44" i="7"/>
  <c r="K43" i="7" a="1"/>
  <c r="K43" i="7" s="1"/>
  <c r="J43" i="7" a="1"/>
  <c r="J43" i="7" s="1"/>
  <c r="I43" i="7"/>
  <c r="K42" i="7" a="1"/>
  <c r="K42" i="7" s="1"/>
  <c r="J42" i="7" a="1"/>
  <c r="J42" i="7" s="1"/>
  <c r="I42" i="7"/>
  <c r="BY41" i="7"/>
  <c r="BR41" i="7"/>
  <c r="BK41" i="7"/>
  <c r="BD41" i="7"/>
  <c r="AW41" i="7"/>
  <c r="AP41" i="7"/>
  <c r="AI41" i="7"/>
  <c r="AB41" i="7"/>
  <c r="U41" i="7"/>
  <c r="N41" i="7"/>
  <c r="G41" i="7"/>
  <c r="N24" i="7"/>
  <c r="U24" i="7"/>
  <c r="AB24" i="7"/>
  <c r="AI24" i="7"/>
  <c r="AP24" i="7"/>
  <c r="I25" i="7"/>
  <c r="J25" i="7" a="1"/>
  <c r="J25" i="7" s="1"/>
  <c r="K25" i="7" a="1"/>
  <c r="K25" i="7" s="1"/>
  <c r="I26" i="7"/>
  <c r="J26" i="7" a="1"/>
  <c r="J26" i="7" s="1"/>
  <c r="K26" i="7" a="1"/>
  <c r="K26" i="7" s="1"/>
  <c r="I27" i="7"/>
  <c r="J27" i="7" a="1"/>
  <c r="J27" i="7" s="1"/>
  <c r="K27" i="7" a="1"/>
  <c r="K27" i="7" s="1"/>
  <c r="I28" i="7"/>
  <c r="J28" i="7" a="1"/>
  <c r="J28" i="7" s="1"/>
  <c r="K28" i="7" a="1"/>
  <c r="K28" i="7" s="1"/>
  <c r="I29" i="7"/>
  <c r="J29" i="7" a="1"/>
  <c r="J29" i="7" s="1"/>
  <c r="K29" i="7" a="1"/>
  <c r="K29" i="7" s="1"/>
  <c r="I30" i="7"/>
  <c r="J30" i="7" a="1"/>
  <c r="J30" i="7" s="1"/>
  <c r="K30" i="7" a="1"/>
  <c r="K30" i="7" s="1"/>
  <c r="G32" i="7"/>
  <c r="N32" i="7"/>
  <c r="U32" i="7"/>
  <c r="AB32" i="7"/>
  <c r="AI32" i="7"/>
  <c r="AP32" i="7"/>
  <c r="I33" i="7"/>
  <c r="J33" i="7" a="1"/>
  <c r="J33" i="7" s="1"/>
  <c r="K33" i="7" a="1"/>
  <c r="K33" i="7" s="1"/>
  <c r="I34" i="7"/>
  <c r="J34" i="7" a="1"/>
  <c r="J34" i="7" s="1"/>
  <c r="K34" i="7" a="1"/>
  <c r="K34" i="7" s="1"/>
  <c r="I35" i="7"/>
  <c r="J35" i="7" a="1"/>
  <c r="J35" i="7" s="1"/>
  <c r="K35" i="7" a="1"/>
  <c r="K35" i="7" s="1"/>
  <c r="I36" i="7"/>
  <c r="J36" i="7" a="1"/>
  <c r="J36" i="7" s="1"/>
  <c r="K36" i="7" a="1"/>
  <c r="K36" i="7" s="1"/>
  <c r="K22" i="7" a="1"/>
  <c r="K22" i="7" s="1"/>
  <c r="J22" i="7" a="1"/>
  <c r="J22" i="7" s="1"/>
  <c r="I22" i="7"/>
  <c r="K21" i="7" a="1"/>
  <c r="K21" i="7" s="1"/>
  <c r="J21" i="7" a="1"/>
  <c r="J21" i="7" s="1"/>
  <c r="I21" i="7"/>
  <c r="K20" i="7" a="1"/>
  <c r="K20" i="7" s="1"/>
  <c r="J20" i="7" a="1"/>
  <c r="J20" i="7" s="1"/>
  <c r="I20" i="7"/>
  <c r="K19" i="7" a="1"/>
  <c r="K19" i="7" s="1"/>
  <c r="J19" i="7" a="1"/>
  <c r="J19" i="7" s="1"/>
  <c r="I19" i="7"/>
  <c r="K18" i="7" a="1"/>
  <c r="K18" i="7" s="1"/>
  <c r="J18" i="7" a="1"/>
  <c r="J18" i="7" s="1"/>
  <c r="I18" i="7"/>
  <c r="K17" i="7" a="1"/>
  <c r="K17" i="7" s="1"/>
  <c r="J17" i="7" a="1"/>
  <c r="J17" i="7" s="1"/>
  <c r="I17" i="7"/>
  <c r="K16" i="7" a="1"/>
  <c r="K16" i="7" s="1"/>
  <c r="J16" i="7" a="1"/>
  <c r="J16" i="7" s="1"/>
  <c r="I16" i="7"/>
  <c r="K15" i="7" a="1"/>
  <c r="K15" i="7" s="1"/>
  <c r="J15" i="7" a="1"/>
  <c r="J15" i="7" s="1"/>
  <c r="I15" i="7"/>
  <c r="K14" i="7" a="1"/>
  <c r="K14" i="7" s="1"/>
  <c r="J14" i="7" a="1"/>
  <c r="J14" i="7" s="1"/>
  <c r="I14" i="7"/>
  <c r="K13" i="7" a="1"/>
  <c r="K13" i="7" s="1"/>
  <c r="J13" i="7" a="1"/>
  <c r="J13" i="7" s="1"/>
  <c r="I13" i="7"/>
  <c r="K12" i="7" a="1"/>
  <c r="K12" i="7" s="1"/>
  <c r="J12" i="7" a="1"/>
  <c r="J12" i="7" s="1"/>
  <c r="I12" i="7"/>
  <c r="K11" i="7" a="1"/>
  <c r="K11" i="7" s="1"/>
  <c r="J11" i="7" a="1"/>
  <c r="J11" i="7" s="1"/>
  <c r="I11" i="7"/>
  <c r="B2" i="11"/>
  <c r="C2" i="11"/>
  <c r="D2" i="11"/>
  <c r="BY4" i="7"/>
  <c r="BR4" i="7"/>
  <c r="K39" i="7" a="1"/>
  <c r="K39" i="7" s="1"/>
  <c r="J39" i="7" a="1"/>
  <c r="J39" i="7" s="1"/>
  <c r="I39" i="7"/>
  <c r="K38" i="7" a="1"/>
  <c r="K38" i="7" s="1"/>
  <c r="J38" i="7" a="1"/>
  <c r="J38" i="7" s="1"/>
  <c r="I38" i="7"/>
  <c r="K37" i="7" a="1"/>
  <c r="K37" i="7" s="1"/>
  <c r="J37" i="7" a="1"/>
  <c r="J37" i="7" s="1"/>
  <c r="I37" i="7"/>
  <c r="BK4" i="7"/>
  <c r="C12" i="10"/>
  <c r="K10" i="7" a="1"/>
  <c r="K10" i="7" s="1"/>
  <c r="J10" i="7" a="1"/>
  <c r="J10" i="7" s="1"/>
  <c r="K9" i="7" a="1"/>
  <c r="K9" i="7" s="1"/>
  <c r="J9" i="7" a="1"/>
  <c r="J9" i="7" s="1"/>
  <c r="K8" i="7" a="1"/>
  <c r="K8" i="7" s="1"/>
  <c r="J8" i="7" a="1"/>
  <c r="J8" i="7" s="1"/>
  <c r="K7" i="7" a="1"/>
  <c r="K7" i="7" s="1"/>
  <c r="J7" i="7" a="1"/>
  <c r="J7" i="7" s="1"/>
  <c r="K6" i="7" a="1"/>
  <c r="K6" i="7" s="1"/>
  <c r="J6" i="7" a="1"/>
  <c r="J6" i="7" s="1"/>
  <c r="K5" i="7" a="1"/>
  <c r="K5" i="7" s="1"/>
  <c r="J5" i="7" a="1"/>
  <c r="J5" i="7" s="1"/>
  <c r="BD4" i="7"/>
  <c r="AW4" i="7"/>
  <c r="AP4" i="7"/>
  <c r="AI4" i="7"/>
  <c r="AB4" i="7"/>
  <c r="U4" i="7"/>
  <c r="I6" i="7"/>
  <c r="I7" i="7"/>
  <c r="I8" i="7"/>
  <c r="I9" i="7"/>
  <c r="I10" i="7"/>
  <c r="I5" i="7"/>
  <c r="I61" i="7" l="1"/>
  <c r="K61" i="7"/>
  <c r="J61" i="7"/>
  <c r="J24" i="7"/>
  <c r="I24" i="7"/>
  <c r="K4" i="7"/>
  <c r="I4" i="7"/>
  <c r="I41" i="7"/>
  <c r="J41" i="7"/>
  <c r="K41" i="7"/>
  <c r="I32" i="7"/>
  <c r="J32" i="7"/>
  <c r="K24" i="7"/>
  <c r="K32"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tc={41B88647-2DB9-470C-A850-E21783AA4B7F}</author>
    <author>tc={5A79F528-924A-4DD9-9439-51D200DF64C3}</author>
    <author>tc={EFC560DE-7976-4630-9E46-D4146D14284E}</author>
  </authors>
  <commentList>
    <comment ref="B1" authorId="0" shapeId="0" xr:uid="{41B88647-2DB9-470C-A850-E21783AA4B7F}">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Weitere Module kopieren der Zeilen mit shift gedrückt halten
</t>
      </text>
    </comment>
    <comment ref="AL43" authorId="1" shapeId="0" xr:uid="{5A79F528-924A-4DD9-9439-51D200DF64C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5 Level Ups zu verteilen</t>
      </text>
    </comment>
    <comment ref="AR43" authorId="2" shapeId="0" xr:uid="{EFC560DE-7976-4630-9E46-D4146D14284E}">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5 Level Up zu verteilen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<sst xmlns="http://schemas.openxmlformats.org/spreadsheetml/2006/main" count="349" uniqueCount="138">
  <si>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</si>
  <si>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</si>
  <si>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</si>
  <si>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</si>
  <si>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</si>
  <si>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</si>
  <si>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</si>
  <si>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</si>
  <si>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</si>
  <si>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</si>
  <si>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</si>
  <si>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</si>
  <si>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</si>
  <si>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</si>
  <si>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</si>
  <si>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</si>
  <si>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</si>
  <si>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</si>
  <si>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</si>
  <si>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</si>
  <si>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</si>
  <si>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</si>
  <si>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</si>
  <si>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</si>
  <si>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</si>
  <si>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</si>
  <si>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</si>
  <si>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</si>
  <si>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</si>
  <si>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</si>
  <si>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1) Einführung</t>
  </si>
  <si>
    <t>8) Marke</t>
  </si>
  <si>
    <t>9) Preis</t>
  </si>
  <si>
    <t>10) Kommunikation</t>
  </si>
  <si>
    <t>11) Distribution &amp; E-Commerce</t>
  </si>
  <si>
    <t>12) Implementierung &amp; Controlling</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</si>
  <si>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</si>
  <si>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</si>
  <si>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</si>
  <si>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</si>
  <si>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</si>
  <si>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</si>
  <si>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</si>
  <si>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</si>
  <si>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</si>
  <si>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</si>
  <si>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</si>
  <si>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</si>
  <si>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</si>
  <si>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</si>
  <si>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</si>
  <si>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</si>
  <si>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</si>
  <si>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</si>
  <si>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</si>
  <si>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</si>
  <si>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</si>
  <si>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</si>
  <si>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</si>
  <si>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</si>
  <si>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</si>
  <si>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</si>
  <si>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</si>
  <si>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</si>
  <si>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</si>
  <si>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</si>
  <si>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</si>
  <si>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</si>
  <si>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</si>
  <si>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</si>
  <si>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</si>
  <si>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</si>
  <si>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</si>
  <si>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</si>
  <si>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</si>
  <si>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</si>
  <si>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</si>
  <si>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</si>
  <si>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</si>
  <si>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</si>
  <si>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</si>
  <si>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</si>
  <si>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</si>
  <si>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</si>
  <si>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</si>
  <si>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</si>
  <si>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</si>
  <si>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</si>
  <si>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</si>
  <si>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</si>
  <si>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</si>
  <si>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</si>
  <si>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</si>
  <si>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2) Ethik in der Vergangenheit</t>
  </si>
  <si>
    <t>KLAUSUREN!!!</t>
  </si>
  <si>
    <t>KlausurFrüh</t>
  </si>
  <si>
    <t>Vertrieb</t>
  </si>
  <si>
    <t>Automatisierungstechnik</t>
  </si>
  <si>
    <t>SPS</t>
  </si>
  <si>
    <t>fats</t>
  </si>
  <si>
    <t>proteins</t>
  </si>
  <si>
    <t>carbs</t>
  </si>
  <si>
    <t>2) Produktmanagement</t>
  </si>
  <si>
    <t>3)Produktinnovationsprozess</t>
  </si>
  <si>
    <t>4)Produktentwicklung</t>
  </si>
  <si>
    <t>5) Marktforschung</t>
  </si>
  <si>
    <t>6) Innovationen generieren</t>
  </si>
  <si>
    <t>7)Produkte testen</t>
  </si>
  <si>
    <t>8) Markteinführung</t>
  </si>
  <si>
    <t>9) Vertriebsmanagement</t>
  </si>
  <si>
    <t>10) „Sales Excellence“</t>
  </si>
  <si>
    <t>11) Organisation</t>
  </si>
  <si>
    <t>12) Marktplanung</t>
  </si>
  <si>
    <t>13) Kundenplanung</t>
  </si>
  <si>
    <t>14) Geschäftsanbahnung</t>
  </si>
  <si>
    <t>15) Prüfung der Anfragen</t>
  </si>
  <si>
    <t>16) Angebote erstellen</t>
  </si>
  <si>
    <t>17) Geschäftsabschluss vorbereiten</t>
  </si>
  <si>
    <t>18) Aftersales</t>
  </si>
  <si>
    <r>
      <t>1)</t>
    </r>
    <r>
      <rPr>
        <sz val="12"/>
        <color rgb="FFFF0000"/>
        <rFont val="Calibri"/>
        <family val="2"/>
        <scheme val="minor"/>
      </rPr>
      <t xml:space="preserve"> Einleitung: Produktinnovationsprozess</t>
    </r>
  </si>
  <si>
    <t>Geschäftsprozesse und Digitalisierung</t>
  </si>
  <si>
    <t>1) Was ist Automatisierungstechnik</t>
  </si>
  <si>
    <t>2) Grundfunktionen von Automatisierungssystemen</t>
  </si>
  <si>
    <t>3) Dynamische Systeme</t>
  </si>
  <si>
    <t>4) Messtechnik</t>
  </si>
  <si>
    <t>5) Kontinuierliche Systeme</t>
  </si>
  <si>
    <t>6) Ereignisdiskrete Systeme</t>
  </si>
  <si>
    <t>SPC</t>
  </si>
  <si>
    <t>KW    42</t>
  </si>
  <si>
    <t>KW 43</t>
  </si>
  <si>
    <t>KW 44</t>
  </si>
  <si>
    <t>KW 45</t>
  </si>
  <si>
    <t>KW 46</t>
  </si>
  <si>
    <t>KW 48</t>
  </si>
  <si>
    <t>KW 49</t>
  </si>
  <si>
    <t>KLAUSUR Früh</t>
  </si>
  <si>
    <t>alles andere 100%</t>
  </si>
  <si>
    <t>SPC / SPS100%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</si>
</sst>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12"/>
      <color theme="1"/>
      <name val="Calibri"/>
      <family val="2"/>
      <scheme val="minor"/>
    </font>
    <font>
      <sz val="12"/>
      <color rgb="FFFF0000"/>
      <name val="Calibri"/>
      <family val="2"/>
      <scheme val="minor"/>
    </font>
    <font>
      <sz val="9"/>
      <color indexed="81"/>
      <name val="Segoe UI"/>
      <family val="2"/>
    </font>
  </fonts>
  <fills count="7">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s>
  <borders count="1">
    <border>
      <left/>
      <right/>
      <top/>
      <bottom/>
      <diagonal/>
    </border>
  </borders>
  <cellStyleXfs count="2">
    <xf numFmtId="0" fontId="0" fillId="0" borderId="0"/>
    <xf numFmtId="9" fontId="5" fillId="0" borderId="0" applyFont="0" applyFill="0" applyBorder="0" applyAlignment="0" applyProtection="0"/>
  </cellStyleXfs>
  <cellXfs count="22">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20" fontId="0" fillId="0" borderId="0" xfId="0" applyNumberForma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0" fontId="0" fillId="4" borderId="0" xfId="0" applyFill="1"/>
    <xf numFmtId="0" fontId="0" fillId="5" borderId="0" xfId="0" applyFill="1"/>
    <xf numFmtId="0" fontId="0" fillId="6" borderId="0" xfId="0" applyFill="1"/>
    <xf numFmtId="14" fontId="0" fillId="0" borderId="0" xfId="0" applyNumberFormat="1"/>
    <xf numFmtId="0" fontId="1" fillId="2" borderId="0" xfId="0" applyFont="1" applyFill="1" applyAlignment="1">
      <alignment horizontal="center"/>
    </xf>
    <xf numFmtId="9" fontId="0" fillId="0" borderId="0" xfId="1" applyFont="1"/>
  </cellXfs>
  <cellStyles count="2">
    <cellStyle name="Prozent" xfId="1" builtinId="5"/>
    <cellStyle name="Standard" xfId="0" builtinId="0"/>
  </cellStyles>
  <dxfs count="149">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Peter Neukirch" id="{BE322740-BCB4-46A9-9AD5-0A56E602BFFB}" userId="0645757697140e6e" providerId="Windows Live"/>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148">
  <autoFilter ref="A1:K46" xr:uid="{6E266E34-2786-2747-BCE7-51B74867A564}"/>
  <tableColumns count="11">
    <tableColumn id="1" xr3:uid="{95FD92F7-3DC8-704D-A103-A7EDDAB255AB}" name="Datum" dataDxfId="147"/>
    <tableColumn id="2" xr3:uid="{F464D510-8166-E740-A343-FB84BDEF877F}" name="Lerneinheiten durchgezogen" dataDxfId="146"/>
    <tableColumn id="3" xr3:uid="{75F52B08-1A00-0848-BBE6-1EDF7B31B1AD}" name="Tagesplan erstellt" dataDxfId="145"/>
    <tableColumn id="4" xr3:uid="{E6B18D89-E799-AD48-9DAA-37AEE1D29011}" name="Konzentrationslevel" dataDxfId="144"/>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 dT="2023-10-10T19:58:56.45" personId="{BE322740-BCB4-46A9-9AD5-0A56E602BFFB}" id="{41B88647-2DB9-470C-A850-E21783AA4B7F}">
    <text xml:space="preserve">Weitere Module kopieren der Zeilen mit shift gedrückt halten
</text>
  </threadedComment>
  <threadedComment ref="AL43" dT="2023-10-14T19:02:28.34" personId="{BE322740-BCB4-46A9-9AD5-0A56E602BFFB}" id="{5A79F528-924A-4DD9-9439-51D200DF64C3}">
    <text>5 Level Ups zu verteilen</text>
  </threadedComment>
  <threadedComment ref="AR43" dT="2023-10-14T18:54:52.10" personId="{BE322740-BCB4-46A9-9AD5-0A56E602BFFB}" id="{EFC560DE-7976-4630-9E46-D4146D14284E}">
    <text xml:space="preserve">5 Level Up zu verteilen
</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tabSelected="1" zoomScale="115" zoomScaleNormal="115" workbookViewId="0">
      <selection activeCell="D18" sqref="D18"/>
    </sheetView>
  </sheetViews>
  <sheetFormatPr baseColWidth="10" defaultRowHeight="15.5"/>
  <cols>
    <col min="1" max="1" width="11.83203125" customWidth="1"/>
    <col min="2" max="2" width="62.6640625" customWidth="1"/>
  </cols>
  <sheetData>
    <row r="2" spans="1:4">
      <c r="C2" s="18" t="s">
        <v>77</v>
      </c>
    </row>
    <row r="3" spans="1:4">
      <c r="C3" s="17" t="s">
        <v>62</v>
      </c>
    </row>
    <row r="4" spans="1:4">
      <c r="C4" s="16" t="s">
        <v>76</v>
      </c>
    </row>
    <row r="5" spans="1:4">
      <c r="A5" s="2" t="s">
        <v>59</v>
      </c>
      <c r="B5" s="2" t="s">
        <v>60</v>
      </c>
      <c r="C5" s="2" t="s">
        <v>61</v>
      </c>
      <c r="D5" s="2" t="s">
        <v>63</v>
      </c>
    </row>
    <row r="6" spans="1:4">
      <c r="A6" t="s">
        <v>55</v>
      </c>
      <c r="B6" s="18" t="s">
        <v>58</v>
      </c>
      <c r="D6" t="s">
        <v>92</v>
      </c>
    </row>
    <row r="7" spans="1:4">
      <c r="A7" t="s">
        <v>66</v>
      </c>
      <c r="B7" t="s">
        <v>67</v>
      </c>
      <c r="C7" s="16">
        <f>18+6+6+8+6</f>
        <v>44</v>
      </c>
    </row>
    <row r="8" spans="1:4">
      <c r="A8" t="s">
        <v>57</v>
      </c>
      <c r="B8" s="18" t="s">
        <v>56</v>
      </c>
      <c r="D8" t="s">
        <v>80</v>
      </c>
    </row>
    <row r="9" spans="1:4">
      <c r="A9" t="s">
        <v>65</v>
      </c>
      <c r="B9" s="18" t="s">
        <v>78</v>
      </c>
      <c r="D9" t="s">
        <v>81</v>
      </c>
    </row>
    <row r="10" spans="1:4">
      <c r="A10" t="s">
        <v>69</v>
      </c>
      <c r="B10" t="s">
        <v>68</v>
      </c>
      <c r="C10" s="16">
        <v>5</v>
      </c>
      <c r="D10" t="s">
        <v>64</v>
      </c>
    </row>
    <row r="11" spans="1:4">
      <c r="A11" t="s">
        <v>70</v>
      </c>
      <c r="B11" t="s">
        <v>72</v>
      </c>
      <c r="C11" s="16">
        <f>24*3</f>
        <v>72</v>
      </c>
      <c r="D11" t="s">
        <v>71</v>
      </c>
    </row>
    <row r="12" spans="1:4">
      <c r="A12" t="s">
        <v>74</v>
      </c>
      <c r="B12" t="s">
        <v>73</v>
      </c>
      <c r="C12" s="17">
        <f>C11/C10</f>
        <v>14.4</v>
      </c>
    </row>
    <row r="13" spans="1:4">
      <c r="A13" t="s">
        <v>79</v>
      </c>
      <c r="B13" t="s">
        <v>75</v>
      </c>
      <c r="D13" t="s">
        <v>82</v>
      </c>
    </row>
    <row r="14" spans="1:4">
      <c r="A14" t="s">
        <v>83</v>
      </c>
      <c r="B14" t="s">
        <v>84</v>
      </c>
      <c r="D14" t="s">
        <v>85</v>
      </c>
    </row>
    <row r="15" spans="1:4">
      <c r="A15" t="s">
        <v>86</v>
      </c>
      <c r="B15" s="18" t="s">
        <v>87</v>
      </c>
    </row>
    <row r="16" spans="1:4">
      <c r="A16" t="s">
        <v>90</v>
      </c>
      <c r="B16" s="18" t="s">
        <v>88</v>
      </c>
    </row>
    <row r="17" spans="1:2">
      <c r="A17" t="s">
        <v>91</v>
      </c>
      <c r="B17" t="s">
        <v>89</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CD68"/>
  <sheetViews>
    <sheetView showGridLines="0" zoomScale="40" zoomScaleNormal="40" workbookViewId="0">
      <pane xSplit="12" topLeftCell="M1" activePane="topRight" state="frozen"/>
      <selection pane="topRight" activeCell="O65" sqref="O65"/>
    </sheetView>
  </sheetViews>
  <sheetFormatPr baseColWidth="10" defaultColWidth="8.83203125" defaultRowHeight="15.5" outlineLevelRow="1"/>
  <cols>
    <col min="3" max="3" width="29.75" customWidth="1"/>
    <col min="4" max="4" width="13" bestFit="1" customWidth="1"/>
    <col min="5" max="5" width="4.83203125" bestFit="1" customWidth="1"/>
    <col min="6" max="6" width="41.1640625" bestFit="1" customWidth="1"/>
    <col min="7" max="7" width="15.5" bestFit="1" customWidth="1"/>
    <col min="8" max="8" width="2.5" customWidth="1"/>
    <col min="10" max="10" width="12.5" bestFit="1" customWidth="1"/>
    <col min="11" max="11" width="14.83203125" bestFit="1" customWidth="1"/>
    <col min="12" max="12" width="12.6640625" bestFit="1" customWidth="1"/>
    <col min="13" max="13" width="2.5" customWidth="1"/>
    <col min="14" max="14" width="15.75" customWidth="1"/>
    <col min="15" max="15" width="20.6640625" customWidth="1"/>
    <col min="16" max="16" width="17.5" customWidth="1"/>
    <col min="17" max="17" width="21.75" customWidth="1"/>
    <col min="18" max="18" width="19.6640625" customWidth="1"/>
    <col min="19" max="19" width="19.33203125" customWidth="1"/>
    <col min="20" max="20" width="11.9140625" customWidth="1"/>
    <col min="21" max="21" width="18.83203125" customWidth="1"/>
    <col min="22" max="22" width="20.6640625" customWidth="1"/>
    <col min="23" max="23" width="12" customWidth="1"/>
    <col min="24" max="24" width="21.83203125" customWidth="1"/>
    <col min="25" max="25" width="13.5" customWidth="1"/>
    <col min="26" max="26" width="18.25" customWidth="1"/>
    <col min="27" max="27" width="9.5" customWidth="1"/>
    <col min="29" max="29" width="20" customWidth="1"/>
    <col min="30" max="30" width="13.83203125" customWidth="1"/>
    <col min="31" max="31" width="19" customWidth="1"/>
    <col min="32" max="32" width="13" customWidth="1"/>
    <col min="33" max="33" width="20.83203125" customWidth="1"/>
    <col min="34" max="34" width="11.9140625" customWidth="1"/>
    <col min="36" max="36" width="12.5" bestFit="1" customWidth="1"/>
    <col min="37" max="37" width="6.33203125" customWidth="1"/>
    <col min="38" max="38" width="33" customWidth="1"/>
    <col min="39" max="39" width="6" customWidth="1"/>
    <col min="40" max="40" width="28.58203125" customWidth="1"/>
    <col min="41" max="41" width="2.5" customWidth="1"/>
    <col min="43" max="43" width="20.25" customWidth="1"/>
    <col min="44" max="44" width="14.33203125" customWidth="1"/>
    <col min="45" max="45" width="14.83203125" bestFit="1" customWidth="1"/>
    <col min="46" max="46" width="6" customWidth="1"/>
    <col min="47" max="47" width="12.6640625" bestFit="1" customWidth="1"/>
    <col min="48" max="48" width="2.5" customWidth="1"/>
    <col min="50" max="50" width="24.4140625" customWidth="1"/>
    <col min="51" max="51" width="33.25" customWidth="1"/>
    <col min="52" max="52" width="28.5" customWidth="1"/>
    <col min="53" max="53" width="11.5" customWidth="1"/>
    <col min="54" max="54" width="26.08203125" customWidth="1"/>
    <col min="55" max="55" width="2.5" customWidth="1"/>
    <col min="57" max="57" width="12.5" bestFit="1" customWidth="1"/>
    <col min="58" max="58" width="6.33203125" customWidth="1"/>
    <col min="59" max="59" width="14.83203125" bestFit="1" customWidth="1"/>
    <col min="60" max="60" width="6" customWidth="1"/>
    <col min="61" max="61" width="12.6640625" bestFit="1" customWidth="1"/>
    <col min="62" max="62" width="2.5" customWidth="1"/>
    <col min="64" max="64" width="12.5" bestFit="1" customWidth="1"/>
    <col min="65" max="65" width="6.33203125" customWidth="1"/>
    <col min="66" max="66" width="14.83203125" bestFit="1" customWidth="1"/>
    <col min="67" max="67" width="6" customWidth="1"/>
    <col min="68" max="68" width="12.6640625" bestFit="1" customWidth="1"/>
    <col min="69" max="69" width="2.5" customWidth="1"/>
    <col min="71" max="71" width="12.5" bestFit="1" customWidth="1"/>
    <col min="72" max="72" width="6.33203125" customWidth="1"/>
    <col min="73" max="73" width="14.83203125" bestFit="1" customWidth="1"/>
    <col min="74" max="74" width="6" customWidth="1"/>
    <col min="75" max="75" width="12.6640625" bestFit="1" customWidth="1"/>
    <col min="76" max="76" width="2.5" customWidth="1"/>
    <col min="78" max="78" width="12.5" bestFit="1" customWidth="1"/>
    <col min="79" max="79" width="6.33203125" customWidth="1"/>
    <col min="80" max="80" width="14.83203125" bestFit="1" customWidth="1"/>
    <col min="81" max="81" width="6" customWidth="1"/>
    <col min="82" max="82" width="18.83203125" customWidth="1"/>
  </cols>
  <sheetData>
    <row r="1" spans="2:82" ht="33.5">
      <c r="B1" s="4" t="s">
        <v>0</v>
      </c>
      <c r="D1" s="4"/>
      <c r="G1" s="13" t="s">
        <v>39</v>
      </c>
      <c r="I1" s="13" t="s">
        <v>39</v>
      </c>
      <c r="J1" s="13" t="s">
        <v>39</v>
      </c>
      <c r="K1" s="13" t="s">
        <v>39</v>
      </c>
    </row>
    <row r="2" spans="2:82">
      <c r="I2" s="20" t="s">
        <v>27</v>
      </c>
      <c r="J2" s="20"/>
      <c r="K2" s="20"/>
      <c r="L2" s="20"/>
      <c r="N2" s="20" t="s">
        <v>128</v>
      </c>
      <c r="O2" s="20"/>
      <c r="P2" s="20"/>
      <c r="Q2" s="20"/>
      <c r="R2" s="20"/>
      <c r="S2" s="20"/>
      <c r="U2" s="20" t="s">
        <v>129</v>
      </c>
      <c r="V2" s="20"/>
      <c r="W2" s="20"/>
      <c r="X2" s="20"/>
      <c r="Y2" s="20"/>
      <c r="Z2" s="20"/>
      <c r="AB2" s="20" t="s">
        <v>130</v>
      </c>
      <c r="AC2" s="20"/>
      <c r="AD2" s="20"/>
      <c r="AE2" s="20"/>
      <c r="AF2" s="20"/>
      <c r="AG2" s="20"/>
      <c r="AI2" s="20" t="s">
        <v>131</v>
      </c>
      <c r="AJ2" s="20"/>
      <c r="AK2" s="20"/>
      <c r="AL2" s="20"/>
      <c r="AM2" s="20"/>
      <c r="AN2" s="20"/>
      <c r="AP2" s="20" t="s">
        <v>132</v>
      </c>
      <c r="AQ2" s="20"/>
      <c r="AR2" s="20"/>
      <c r="AS2" s="20"/>
      <c r="AT2" s="20"/>
      <c r="AU2" s="20"/>
      <c r="AW2" s="20" t="s">
        <v>95</v>
      </c>
      <c r="AX2" s="20"/>
      <c r="AY2" s="20"/>
      <c r="AZ2" s="20"/>
      <c r="BA2" s="20"/>
      <c r="BB2" s="20"/>
      <c r="BD2" s="20" t="s">
        <v>133</v>
      </c>
      <c r="BE2" s="20"/>
      <c r="BF2" s="20"/>
      <c r="BG2" s="20"/>
      <c r="BH2" s="20"/>
      <c r="BI2" s="20"/>
      <c r="BK2" s="20" t="s">
        <v>134</v>
      </c>
      <c r="BL2" s="20"/>
      <c r="BM2" s="20"/>
      <c r="BN2" s="20"/>
      <c r="BO2" s="20"/>
      <c r="BP2" s="20"/>
      <c r="BR2" s="20" t="s">
        <v>135</v>
      </c>
      <c r="BS2" s="20"/>
      <c r="BT2" s="20"/>
      <c r="BU2" s="20"/>
      <c r="BV2" s="20"/>
      <c r="BW2" s="20"/>
      <c r="BY2" s="20" t="s">
        <v>94</v>
      </c>
      <c r="BZ2" s="20"/>
      <c r="CA2" s="20"/>
      <c r="CB2" s="20"/>
      <c r="CC2" s="20"/>
      <c r="CD2" s="20"/>
    </row>
    <row r="3" spans="2:82">
      <c r="B3" s="5" t="s">
        <v>26</v>
      </c>
      <c r="C3" s="5" t="s">
        <v>1</v>
      </c>
      <c r="D3" s="5" t="s">
        <v>24</v>
      </c>
      <c r="E3" s="6" t="s">
        <v>36</v>
      </c>
      <c r="F3" s="5" t="s">
        <v>29</v>
      </c>
      <c r="G3" s="5" t="s">
        <v>37</v>
      </c>
      <c r="I3" s="6" t="s">
        <v>11</v>
      </c>
      <c r="J3" s="6" t="s">
        <v>2</v>
      </c>
      <c r="K3" s="6" t="s">
        <v>3</v>
      </c>
      <c r="L3" s="6" t="s">
        <v>12</v>
      </c>
      <c r="N3" s="5" t="s">
        <v>11</v>
      </c>
      <c r="O3" s="5" t="s">
        <v>2</v>
      </c>
      <c r="P3" s="5" t="s">
        <v>38</v>
      </c>
      <c r="Q3" s="5" t="s">
        <v>3</v>
      </c>
      <c r="R3" s="5" t="s">
        <v>38</v>
      </c>
      <c r="S3" s="5" t="s">
        <v>12</v>
      </c>
      <c r="U3" s="5" t="s">
        <v>11</v>
      </c>
      <c r="V3" s="5" t="s">
        <v>2</v>
      </c>
      <c r="W3" s="5" t="s">
        <v>38</v>
      </c>
      <c r="X3" s="5" t="s">
        <v>3</v>
      </c>
      <c r="Y3" s="5" t="s">
        <v>38</v>
      </c>
      <c r="Z3" s="5" t="s">
        <v>12</v>
      </c>
      <c r="AB3" s="5" t="s">
        <v>11</v>
      </c>
      <c r="AC3" s="5" t="s">
        <v>2</v>
      </c>
      <c r="AD3" s="5" t="s">
        <v>38</v>
      </c>
      <c r="AE3" s="5" t="s">
        <v>3</v>
      </c>
      <c r="AF3" s="5" t="s">
        <v>38</v>
      </c>
      <c r="AG3" s="5" t="s">
        <v>12</v>
      </c>
      <c r="AI3" s="5" t="s">
        <v>11</v>
      </c>
      <c r="AJ3" s="5" t="s">
        <v>2</v>
      </c>
      <c r="AK3" s="5" t="s">
        <v>38</v>
      </c>
      <c r="AL3" s="5" t="s">
        <v>3</v>
      </c>
      <c r="AM3" s="5" t="s">
        <v>38</v>
      </c>
      <c r="AN3" s="5" t="s">
        <v>12</v>
      </c>
      <c r="AP3" s="5" t="s">
        <v>11</v>
      </c>
      <c r="AQ3" s="5" t="s">
        <v>2</v>
      </c>
      <c r="AR3" s="5" t="s">
        <v>38</v>
      </c>
      <c r="AS3" s="5" t="s">
        <v>3</v>
      </c>
      <c r="AT3" s="5" t="s">
        <v>38</v>
      </c>
      <c r="AU3" s="5" t="s">
        <v>12</v>
      </c>
      <c r="AW3" s="5" t="s">
        <v>11</v>
      </c>
      <c r="AX3" s="5" t="s">
        <v>2</v>
      </c>
      <c r="AY3" s="5" t="s">
        <v>38</v>
      </c>
      <c r="AZ3" s="5" t="s">
        <v>3</v>
      </c>
      <c r="BA3" s="5" t="s">
        <v>38</v>
      </c>
      <c r="BB3" s="5" t="s">
        <v>12</v>
      </c>
      <c r="BD3" s="5" t="s">
        <v>11</v>
      </c>
      <c r="BE3" s="5" t="s">
        <v>2</v>
      </c>
      <c r="BF3" s="5" t="s">
        <v>38</v>
      </c>
      <c r="BG3" s="5" t="s">
        <v>3</v>
      </c>
      <c r="BH3" s="5" t="s">
        <v>38</v>
      </c>
      <c r="BI3" s="5" t="s">
        <v>12</v>
      </c>
      <c r="BK3" s="5" t="s">
        <v>11</v>
      </c>
      <c r="BL3" s="5" t="s">
        <v>2</v>
      </c>
      <c r="BM3" s="5" t="s">
        <v>38</v>
      </c>
      <c r="BN3" s="5" t="s">
        <v>3</v>
      </c>
      <c r="BO3" s="5" t="s">
        <v>38</v>
      </c>
      <c r="BP3" s="5" t="s">
        <v>12</v>
      </c>
      <c r="BR3" s="5" t="s">
        <v>11</v>
      </c>
      <c r="BS3" s="5" t="s">
        <v>2</v>
      </c>
      <c r="BT3" s="5" t="s">
        <v>38</v>
      </c>
      <c r="BU3" s="5" t="s">
        <v>3</v>
      </c>
      <c r="BV3" s="5" t="s">
        <v>38</v>
      </c>
      <c r="BW3" s="5" t="s">
        <v>12</v>
      </c>
      <c r="BY3" s="5" t="s">
        <v>11</v>
      </c>
      <c r="BZ3" s="5" t="s">
        <v>2</v>
      </c>
      <c r="CA3" s="5" t="s">
        <v>38</v>
      </c>
      <c r="CB3" s="5" t="s">
        <v>3</v>
      </c>
      <c r="CC3" s="5" t="s">
        <v>38</v>
      </c>
      <c r="CD3" s="5" t="s">
        <v>12</v>
      </c>
    </row>
    <row r="4" spans="2:82">
      <c r="B4" t="s">
        <v>27</v>
      </c>
      <c r="C4" t="s">
        <v>96</v>
      </c>
      <c r="D4" s="19">
        <v>45279</v>
      </c>
      <c r="E4" s="9">
        <v>5</v>
      </c>
      <c r="G4" s="10">
        <f>SUM(G5:G22)</f>
        <v>0.9950889679715289</v>
      </c>
      <c r="I4" s="12">
        <f>+SUM(I5:I22)</f>
        <v>21</v>
      </c>
      <c r="J4" s="11">
        <v>1</v>
      </c>
      <c r="K4" s="11">
        <f>+SUMPRODUCT(G5:G22,K5:K22)</f>
        <v>0</v>
      </c>
      <c r="L4" s="9"/>
      <c r="N4" s="12" t="b">
        <f>Semesterplan!A49=+SUM(N5:N22)</f>
        <v>0</v>
      </c>
      <c r="U4" s="12">
        <f>+SUM(U5:U10)</f>
        <v>0</v>
      </c>
      <c r="AB4" s="12">
        <f>+SUM(AB5:AB10)</f>
        <v>0</v>
      </c>
      <c r="AI4" s="12">
        <f>+SUM(AI5:AI10)</f>
        <v>0</v>
      </c>
      <c r="AN4" t="s">
        <v>137</v>
      </c>
      <c r="AP4" s="12">
        <f>+SUM(AP5:AP10)</f>
        <v>0</v>
      </c>
      <c r="AW4" s="12">
        <f>+SUM(AW5:AW10)</f>
        <v>0</v>
      </c>
      <c r="BB4" t="s">
        <v>136</v>
      </c>
      <c r="BD4" s="12">
        <f>+SUM(BD5:BD10)</f>
        <v>0</v>
      </c>
      <c r="BK4" s="12">
        <f>+SUM(BK5:BK10)</f>
        <v>0</v>
      </c>
      <c r="BR4" s="12">
        <f>+SUM(BR5:BR10)</f>
        <v>0</v>
      </c>
      <c r="BY4" s="12">
        <f>+SUM(BY5:BY10)</f>
        <v>0</v>
      </c>
    </row>
    <row r="5" spans="2:82" outlineLevel="1">
      <c r="B5" t="s">
        <v>28</v>
      </c>
      <c r="C5" t="s">
        <v>96</v>
      </c>
      <c r="E5" s="9"/>
      <c r="F5" t="s">
        <v>119</v>
      </c>
      <c r="G5" s="10">
        <v>0.02</v>
      </c>
      <c r="I5" s="9">
        <f>+SUMIF($N$3:$YX$3,I$3,$N5:$YX5)</f>
        <v>2</v>
      </c>
      <c r="J5" s="11" cm="1">
        <f t="array" ref="J5">MAX(IF($N$3:$DF$3=$J$3,N5:DF5))</f>
        <v>0</v>
      </c>
      <c r="K5" s="11" cm="1">
        <f t="array" ref="K5">MAX(IF($N$3:$DF$3=$J$3,N5:DF5))</f>
        <v>0</v>
      </c>
      <c r="L5" s="9"/>
      <c r="N5">
        <v>2</v>
      </c>
      <c r="O5" s="10"/>
      <c r="P5" s="10">
        <v>0.5</v>
      </c>
      <c r="Q5" s="10"/>
      <c r="R5" s="10">
        <v>0.5</v>
      </c>
      <c r="V5" s="10"/>
      <c r="W5" s="10">
        <v>0.8</v>
      </c>
      <c r="X5" s="10"/>
      <c r="Y5" s="10">
        <v>0.8</v>
      </c>
      <c r="AC5" s="10"/>
      <c r="AD5" s="10">
        <v>1</v>
      </c>
      <c r="AE5" s="10"/>
      <c r="AF5" s="10">
        <v>1</v>
      </c>
      <c r="AJ5" s="10"/>
      <c r="AK5" s="10"/>
      <c r="AL5" s="10"/>
      <c r="AM5" s="10"/>
      <c r="AQ5" s="10"/>
      <c r="AR5" s="10">
        <v>1</v>
      </c>
      <c r="AS5" s="10"/>
      <c r="AT5" s="10">
        <v>1</v>
      </c>
      <c r="AX5" s="10"/>
      <c r="AY5" s="10">
        <v>1</v>
      </c>
      <c r="AZ5" s="10"/>
      <c r="BA5" s="10">
        <v>1</v>
      </c>
      <c r="BE5" s="10"/>
      <c r="BF5" s="10"/>
      <c r="BG5" s="10"/>
      <c r="BH5" s="10"/>
      <c r="BL5" s="10"/>
      <c r="BM5" s="10"/>
      <c r="BN5" s="10"/>
      <c r="BO5" s="10"/>
      <c r="BS5" s="10"/>
      <c r="BT5" s="10">
        <v>1</v>
      </c>
      <c r="BU5" s="10"/>
      <c r="BV5" s="10">
        <v>1</v>
      </c>
      <c r="BZ5" s="10"/>
      <c r="CA5" s="10">
        <v>1</v>
      </c>
      <c r="CB5" s="10"/>
      <c r="CC5" s="10">
        <v>1</v>
      </c>
    </row>
    <row r="6" spans="2:82" outlineLevel="1">
      <c r="B6" t="s">
        <v>28</v>
      </c>
      <c r="C6" t="s">
        <v>96</v>
      </c>
      <c r="E6" s="9"/>
      <c r="F6" t="s">
        <v>102</v>
      </c>
      <c r="G6" s="10">
        <v>0.128113879003558</v>
      </c>
      <c r="I6" s="9">
        <f>+SUMIF($N$3:$YX$3,I$3,$N6:$YX6)</f>
        <v>1.5</v>
      </c>
      <c r="J6" s="11" cm="1">
        <f t="array" ref="J6">MAX(IF($N$3:$DF$3=$J$3,N6:DF6))</f>
        <v>0</v>
      </c>
      <c r="K6" s="11" cm="1">
        <f t="array" ref="K6">MAX(IF($N$3:$DF$3=$J$3,N6:DF6))</f>
        <v>0</v>
      </c>
      <c r="L6" s="9"/>
      <c r="N6">
        <v>1.5</v>
      </c>
      <c r="O6" s="10"/>
      <c r="P6" s="10">
        <v>0.5</v>
      </c>
      <c r="Q6" s="10"/>
      <c r="R6" s="10">
        <v>0.5</v>
      </c>
      <c r="V6" s="10"/>
      <c r="W6" s="10">
        <v>0.8</v>
      </c>
      <c r="X6" s="10"/>
      <c r="Y6" s="10">
        <v>0.8</v>
      </c>
      <c r="AC6" s="10"/>
      <c r="AD6" s="10">
        <v>1</v>
      </c>
      <c r="AE6" s="10"/>
      <c r="AF6" s="10">
        <v>1</v>
      </c>
      <c r="AJ6" s="10"/>
      <c r="AK6" s="10">
        <v>1</v>
      </c>
      <c r="AL6" s="10"/>
      <c r="AM6" s="10">
        <v>1</v>
      </c>
      <c r="AQ6" s="10"/>
      <c r="AR6" s="10">
        <v>1</v>
      </c>
      <c r="AS6" s="10"/>
      <c r="AT6" s="10">
        <v>1</v>
      </c>
      <c r="AX6" s="10"/>
      <c r="AY6" s="10">
        <v>1</v>
      </c>
      <c r="AZ6" s="10"/>
      <c r="BA6" s="10">
        <v>1</v>
      </c>
      <c r="BE6" s="10"/>
      <c r="BF6" s="10"/>
      <c r="BG6" s="10"/>
      <c r="BH6" s="10"/>
      <c r="BL6" s="10"/>
      <c r="BM6" s="10"/>
      <c r="BN6" s="10"/>
      <c r="BO6" s="10"/>
      <c r="BS6" s="10"/>
      <c r="BT6" s="10">
        <v>0.8</v>
      </c>
      <c r="BU6" s="10"/>
      <c r="BV6" s="10">
        <v>0.8</v>
      </c>
      <c r="BZ6" s="10"/>
      <c r="CA6" s="10">
        <v>1</v>
      </c>
      <c r="CB6" s="10"/>
      <c r="CC6" s="10">
        <v>1</v>
      </c>
    </row>
    <row r="7" spans="2:82" outlineLevel="1">
      <c r="B7" t="s">
        <v>28</v>
      </c>
      <c r="C7" t="s">
        <v>96</v>
      </c>
      <c r="E7" s="9"/>
      <c r="F7" t="s">
        <v>103</v>
      </c>
      <c r="G7" s="10">
        <v>1.7793594306049799E-2</v>
      </c>
      <c r="I7" s="9">
        <f>+SUMIF($N$3:$YX$3,I$3,$N7:$YX7)</f>
        <v>1.5</v>
      </c>
      <c r="J7" s="11" cm="1">
        <f t="array" ref="J7">MAX(IF($N$3:$DF$3=$J$3,N7:DF7))</f>
        <v>0</v>
      </c>
      <c r="K7" s="11" cm="1">
        <f t="array" ref="K7">MAX(IF($N$3:$DF$3=$J$3,N7:DF7))</f>
        <v>0</v>
      </c>
      <c r="L7" s="9"/>
      <c r="N7">
        <v>1.5</v>
      </c>
      <c r="O7" s="10"/>
      <c r="P7" s="10">
        <v>0.5</v>
      </c>
      <c r="Q7" s="10"/>
      <c r="R7" s="10">
        <v>0.5</v>
      </c>
      <c r="V7" s="10"/>
      <c r="W7" s="10">
        <v>0.8</v>
      </c>
      <c r="X7" s="10"/>
      <c r="Y7" s="10">
        <v>0.8</v>
      </c>
      <c r="AC7" s="10"/>
      <c r="AD7" s="10">
        <v>1</v>
      </c>
      <c r="AE7" s="10"/>
      <c r="AF7" s="10">
        <v>1</v>
      </c>
      <c r="AJ7" s="10"/>
      <c r="AK7" s="10">
        <v>1</v>
      </c>
      <c r="AL7" s="10"/>
      <c r="AM7" s="10">
        <v>1</v>
      </c>
      <c r="AQ7" s="10"/>
      <c r="AR7" s="10">
        <v>1</v>
      </c>
      <c r="AS7" s="10"/>
      <c r="AT7" s="10">
        <v>1</v>
      </c>
      <c r="AX7" s="10"/>
      <c r="AY7" s="10">
        <v>1</v>
      </c>
      <c r="AZ7" s="10"/>
      <c r="BA7" s="10">
        <v>1</v>
      </c>
      <c r="BE7" s="10"/>
      <c r="BF7" s="10"/>
      <c r="BG7" s="10"/>
      <c r="BH7" s="10"/>
      <c r="BL7" s="10"/>
      <c r="BM7" s="10"/>
      <c r="BN7" s="10"/>
      <c r="BO7" s="10"/>
      <c r="BS7" s="10"/>
      <c r="BT7" s="10">
        <v>0.8</v>
      </c>
      <c r="BU7" s="10"/>
      <c r="BV7" s="10">
        <v>0.8</v>
      </c>
      <c r="BZ7" s="10"/>
      <c r="CA7" s="10">
        <v>1</v>
      </c>
      <c r="CB7" s="10"/>
      <c r="CC7" s="10">
        <v>1</v>
      </c>
    </row>
    <row r="8" spans="2:82" outlineLevel="1">
      <c r="B8" t="s">
        <v>28</v>
      </c>
      <c r="C8" t="s">
        <v>96</v>
      </c>
      <c r="E8" s="9"/>
      <c r="F8" t="s">
        <v>104</v>
      </c>
      <c r="G8" s="10">
        <v>8.1850533807829196E-2</v>
      </c>
      <c r="I8" s="9">
        <f>+SUMIF($N$3:$YX$3,I$3,$N8:$YX8)</f>
        <v>2</v>
      </c>
      <c r="J8" s="11" cm="1">
        <f t="array" ref="J8">MAX(IF($N$3:$DF$3=$J$3,N8:DF8))</f>
        <v>0</v>
      </c>
      <c r="K8" s="11" cm="1">
        <f t="array" ref="K8">MAX(IF($N$3:$DF$3=$J$3,N8:DF8))</f>
        <v>0</v>
      </c>
      <c r="L8" s="9"/>
      <c r="N8">
        <v>2</v>
      </c>
      <c r="O8" s="10"/>
      <c r="P8" s="10">
        <v>0.5</v>
      </c>
      <c r="Q8" s="10"/>
      <c r="R8" s="10">
        <v>0.5</v>
      </c>
      <c r="V8" s="10"/>
      <c r="W8" s="10">
        <v>0.8</v>
      </c>
      <c r="X8" s="10"/>
      <c r="Y8" s="10">
        <v>0.8</v>
      </c>
      <c r="AC8" s="10"/>
      <c r="AD8" s="10">
        <v>1</v>
      </c>
      <c r="AE8" s="10"/>
      <c r="AF8" s="10">
        <v>1</v>
      </c>
      <c r="AJ8" s="10"/>
      <c r="AK8" s="10">
        <v>1</v>
      </c>
      <c r="AL8" s="10"/>
      <c r="AM8" s="10">
        <v>1</v>
      </c>
      <c r="AQ8" s="10"/>
      <c r="AR8" s="10">
        <v>1</v>
      </c>
      <c r="AS8" s="10"/>
      <c r="AT8" s="10">
        <v>1</v>
      </c>
      <c r="AX8" s="10"/>
      <c r="AY8" s="10">
        <v>1</v>
      </c>
      <c r="AZ8" s="10"/>
      <c r="BA8" s="10">
        <v>1</v>
      </c>
      <c r="BE8" s="10"/>
      <c r="BF8" s="10"/>
      <c r="BG8" s="10"/>
      <c r="BH8" s="10"/>
      <c r="BL8" s="10"/>
      <c r="BM8" s="10"/>
      <c r="BN8" s="10"/>
      <c r="BO8" s="10"/>
      <c r="BS8" s="10"/>
      <c r="BT8" s="10">
        <v>0.8</v>
      </c>
      <c r="BU8" s="10"/>
      <c r="BV8" s="10">
        <v>0.8</v>
      </c>
      <c r="BZ8" s="10"/>
      <c r="CA8" s="10">
        <v>1</v>
      </c>
      <c r="CB8" s="10"/>
      <c r="CC8" s="10">
        <v>1</v>
      </c>
    </row>
    <row r="9" spans="2:82" outlineLevel="1">
      <c r="B9" t="s">
        <v>28</v>
      </c>
      <c r="C9" t="s">
        <v>96</v>
      </c>
      <c r="E9" s="9"/>
      <c r="F9" t="s">
        <v>105</v>
      </c>
      <c r="G9" s="10">
        <v>0.149466192170818</v>
      </c>
      <c r="I9" s="9">
        <f>+SUMIF($N$3:$YX$3,I$3,$N9:$YX9)</f>
        <v>0</v>
      </c>
      <c r="J9" s="11" cm="1">
        <f t="array" ref="J9">MAX(IF($N$3:$DF$3=$J$3,N9:DF9))</f>
        <v>0</v>
      </c>
      <c r="K9" s="11" cm="1">
        <f t="array" ref="K9">MAX(IF($N$3:$DF$3=$J$3,N9:DF9))</f>
        <v>0</v>
      </c>
      <c r="L9" s="9"/>
      <c r="O9" s="10"/>
      <c r="P9" s="10">
        <v>0.5</v>
      </c>
      <c r="Q9" s="10"/>
      <c r="R9" s="10">
        <v>0.5</v>
      </c>
      <c r="V9" s="10"/>
      <c r="W9" s="10">
        <v>0.8</v>
      </c>
      <c r="X9" s="10"/>
      <c r="Y9" s="10">
        <v>0.8</v>
      </c>
      <c r="AC9" s="10"/>
      <c r="AD9" s="10">
        <v>1</v>
      </c>
      <c r="AE9" s="10"/>
      <c r="AF9" s="10">
        <v>1</v>
      </c>
      <c r="AJ9" s="10"/>
      <c r="AK9" s="10">
        <v>1</v>
      </c>
      <c r="AL9" s="10"/>
      <c r="AM9" s="10">
        <v>1</v>
      </c>
      <c r="AQ9" s="10"/>
      <c r="AR9" s="10">
        <v>1</v>
      </c>
      <c r="AS9" s="10"/>
      <c r="AT9" s="10">
        <v>1</v>
      </c>
      <c r="AX9" s="10"/>
      <c r="AY9" s="10">
        <v>1</v>
      </c>
      <c r="AZ9" s="10"/>
      <c r="BA9" s="10">
        <v>1</v>
      </c>
      <c r="BE9" s="10"/>
      <c r="BF9" s="10"/>
      <c r="BG9" s="10"/>
      <c r="BH9" s="10"/>
      <c r="BL9" s="10"/>
      <c r="BM9" s="10"/>
      <c r="BN9" s="10"/>
      <c r="BO9" s="10"/>
      <c r="BS9" s="10"/>
      <c r="BT9" s="10">
        <v>0.8</v>
      </c>
      <c r="BU9" s="10"/>
      <c r="BV9" s="10">
        <v>0.8</v>
      </c>
      <c r="BZ9" s="10"/>
      <c r="CA9" s="10">
        <v>0.8</v>
      </c>
      <c r="CB9" s="10"/>
      <c r="CC9" s="10">
        <v>0.8</v>
      </c>
    </row>
    <row r="10" spans="2:82" outlineLevel="1">
      <c r="B10" t="s">
        <v>28</v>
      </c>
      <c r="C10" t="s">
        <v>96</v>
      </c>
      <c r="E10" s="9"/>
      <c r="F10" t="s">
        <v>106</v>
      </c>
      <c r="G10" s="10">
        <v>6.76156583629893E-2</v>
      </c>
      <c r="I10" s="9">
        <f>+SUMIF($N$3:$YX$3,I$3,$N10:$YX10)</f>
        <v>0</v>
      </c>
      <c r="J10" s="11" cm="1">
        <f t="array" ref="J10">MAX(IF($N$3:$DF$3=$J$3,N10:DF10))</f>
        <v>0</v>
      </c>
      <c r="K10" s="11" cm="1">
        <f t="array" ref="K10">MAX(IF($N$3:$DF$3=$J$3,N10:DF10))</f>
        <v>0</v>
      </c>
      <c r="L10" s="9"/>
      <c r="O10" s="10"/>
      <c r="P10" s="10">
        <v>0.5</v>
      </c>
      <c r="Q10" s="10"/>
      <c r="R10" s="10">
        <v>0.5</v>
      </c>
      <c r="V10" s="10"/>
      <c r="W10" s="10">
        <v>0.8</v>
      </c>
      <c r="X10" s="10"/>
      <c r="Y10" s="10">
        <v>0.8</v>
      </c>
      <c r="AC10" s="10"/>
      <c r="AD10" s="10">
        <v>1</v>
      </c>
      <c r="AE10" s="10"/>
      <c r="AF10" s="10">
        <v>1</v>
      </c>
      <c r="AJ10" s="10"/>
      <c r="AK10" s="10">
        <v>1</v>
      </c>
      <c r="AL10" s="10"/>
      <c r="AM10" s="10">
        <v>1</v>
      </c>
      <c r="AQ10" s="10"/>
      <c r="AR10" s="10">
        <v>1</v>
      </c>
      <c r="AS10" s="10"/>
      <c r="AT10" s="10">
        <v>1</v>
      </c>
      <c r="AX10" s="10"/>
      <c r="AY10" s="10">
        <v>1</v>
      </c>
      <c r="AZ10" s="10"/>
      <c r="BA10" s="10">
        <v>1</v>
      </c>
      <c r="BE10" s="10"/>
      <c r="BF10" s="10"/>
      <c r="BG10" s="10"/>
      <c r="BH10" s="10"/>
      <c r="BL10" s="10"/>
      <c r="BM10" s="10"/>
      <c r="BN10" s="10"/>
      <c r="BO10" s="10"/>
      <c r="BS10" s="10"/>
      <c r="BT10" s="10">
        <v>0.8</v>
      </c>
      <c r="BU10" s="10"/>
      <c r="BV10" s="10">
        <v>0.8</v>
      </c>
      <c r="BZ10" s="10"/>
      <c r="CA10" s="10">
        <v>0.8</v>
      </c>
      <c r="CB10" s="10"/>
      <c r="CC10" s="10">
        <v>0.8</v>
      </c>
    </row>
    <row r="11" spans="2:82" outlineLevel="1">
      <c r="B11" t="s">
        <v>28</v>
      </c>
      <c r="C11" t="s">
        <v>96</v>
      </c>
      <c r="E11" s="9"/>
      <c r="F11" t="s">
        <v>107</v>
      </c>
      <c r="G11" s="10">
        <v>1.7793594306049799E-2</v>
      </c>
      <c r="I11" s="9">
        <f>+SUMIF($N$3:$YX$3,I$3,$N11:$YX11)</f>
        <v>2</v>
      </c>
      <c r="J11" s="11" cm="1">
        <f t="array" ref="J11">MAX(IF($N$3:$DF$3=$J$3,N11:DF11))</f>
        <v>0</v>
      </c>
      <c r="K11" s="11" cm="1">
        <f t="array" ref="K11">MAX(IF($N$3:$DF$3=$J$3,N11:DF11))</f>
        <v>0</v>
      </c>
      <c r="L11" s="9"/>
      <c r="N11">
        <v>2</v>
      </c>
      <c r="O11" s="10"/>
      <c r="P11" s="10">
        <v>0.5</v>
      </c>
      <c r="Q11" s="10"/>
      <c r="R11" s="10">
        <v>0.5</v>
      </c>
      <c r="V11" s="10"/>
      <c r="W11" s="10">
        <v>0.8</v>
      </c>
      <c r="X11" s="10"/>
      <c r="Y11" s="10">
        <v>0.8</v>
      </c>
      <c r="AC11" s="10"/>
      <c r="AD11" s="10">
        <v>0.8</v>
      </c>
      <c r="AE11" s="10"/>
      <c r="AF11" s="10">
        <v>0.8</v>
      </c>
      <c r="AJ11" s="10"/>
      <c r="AK11" s="10">
        <v>1</v>
      </c>
      <c r="AL11" s="10"/>
      <c r="AM11" s="10">
        <v>1</v>
      </c>
      <c r="AQ11" s="10"/>
      <c r="AR11" s="10">
        <v>1</v>
      </c>
      <c r="AS11" s="10"/>
      <c r="AT11" s="10">
        <v>1</v>
      </c>
      <c r="AX11" s="10"/>
      <c r="AY11" s="10">
        <v>1</v>
      </c>
      <c r="AZ11" s="10"/>
      <c r="BA11" s="10">
        <v>1</v>
      </c>
      <c r="BE11" s="10"/>
      <c r="BF11" s="10"/>
      <c r="BG11" s="10"/>
      <c r="BH11" s="10"/>
      <c r="BL11" s="10"/>
      <c r="BM11" s="10"/>
      <c r="BN11" s="10"/>
      <c r="BO11" s="10"/>
      <c r="BS11" s="10"/>
      <c r="BT11" s="10">
        <v>1</v>
      </c>
      <c r="BU11" s="10"/>
      <c r="BV11" s="10">
        <v>1</v>
      </c>
      <c r="BZ11" s="10"/>
      <c r="CA11" s="10">
        <v>1</v>
      </c>
      <c r="CB11" s="10"/>
      <c r="CC11" s="10">
        <v>1</v>
      </c>
    </row>
    <row r="12" spans="2:82" outlineLevel="1">
      <c r="B12" t="s">
        <v>28</v>
      </c>
      <c r="C12" t="s">
        <v>96</v>
      </c>
      <c r="E12" s="9"/>
      <c r="F12" t="s">
        <v>108</v>
      </c>
      <c r="G12" s="10">
        <v>6.0498220640569401E-2</v>
      </c>
      <c r="I12" s="9">
        <f>+SUMIF($N$3:$YX$3,I$3,$N12:$YX12)</f>
        <v>1.5</v>
      </c>
      <c r="J12" s="11" cm="1">
        <f t="array" ref="J12">MAX(IF($N$3:$DF$3=$J$3,N12:DF12))</f>
        <v>0</v>
      </c>
      <c r="K12" s="11" cm="1">
        <f t="array" ref="K12">MAX(IF($N$3:$DF$3=$J$3,N12:DF12))</f>
        <v>0</v>
      </c>
      <c r="L12" s="9"/>
      <c r="N12">
        <v>1.5</v>
      </c>
      <c r="O12" s="10"/>
      <c r="P12" s="10">
        <v>0.5</v>
      </c>
      <c r="Q12" s="10"/>
      <c r="R12" s="10">
        <v>0.5</v>
      </c>
      <c r="V12" s="10"/>
      <c r="W12" s="10">
        <v>0.8</v>
      </c>
      <c r="X12" s="10"/>
      <c r="Y12" s="10">
        <v>0.8</v>
      </c>
      <c r="AC12" s="10"/>
      <c r="AD12" s="10">
        <v>0.8</v>
      </c>
      <c r="AE12" s="10"/>
      <c r="AF12" s="10">
        <v>0.8</v>
      </c>
      <c r="AJ12" s="10"/>
      <c r="AK12" s="10">
        <v>1</v>
      </c>
      <c r="AL12" s="10"/>
      <c r="AM12" s="10">
        <v>1</v>
      </c>
      <c r="AQ12" s="10"/>
      <c r="AR12" s="10">
        <v>1</v>
      </c>
      <c r="AS12" s="10"/>
      <c r="AT12" s="10">
        <v>1</v>
      </c>
      <c r="AX12" s="10"/>
      <c r="AY12" s="10">
        <v>1</v>
      </c>
      <c r="AZ12" s="10"/>
      <c r="BA12" s="10">
        <v>1</v>
      </c>
      <c r="BE12" s="10"/>
      <c r="BF12" s="10"/>
      <c r="BG12" s="10"/>
      <c r="BH12" s="10"/>
      <c r="BL12" s="10"/>
      <c r="BM12" s="10"/>
      <c r="BN12" s="10"/>
      <c r="BO12" s="10"/>
      <c r="BS12" s="10"/>
      <c r="BT12" s="10">
        <v>0.8</v>
      </c>
      <c r="BU12" s="10"/>
      <c r="BV12" s="10">
        <v>0.8</v>
      </c>
      <c r="BZ12" s="10"/>
      <c r="CA12" s="10">
        <v>1</v>
      </c>
      <c r="CB12" s="10"/>
      <c r="CC12" s="10">
        <v>1</v>
      </c>
    </row>
    <row r="13" spans="2:82" outlineLevel="1">
      <c r="B13" t="s">
        <v>28</v>
      </c>
      <c r="C13" t="s">
        <v>96</v>
      </c>
      <c r="E13" s="9"/>
      <c r="F13" t="s">
        <v>109</v>
      </c>
      <c r="G13" s="10">
        <v>9.6085409252668993E-2</v>
      </c>
      <c r="I13" s="9">
        <f>+SUMIF($N$3:$YX$3,I$3,$N13:$YX13)</f>
        <v>1.5</v>
      </c>
      <c r="J13" s="11" cm="1">
        <f t="array" ref="J13">MAX(IF($N$3:$DF$3=$J$3,N13:DF13))</f>
        <v>0</v>
      </c>
      <c r="K13" s="11" cm="1">
        <f t="array" ref="K13">MAX(IF($N$3:$DF$3=$J$3,N13:DF13))</f>
        <v>0</v>
      </c>
      <c r="L13" s="9"/>
      <c r="N13">
        <v>1.5</v>
      </c>
      <c r="O13" s="10"/>
      <c r="P13" s="10">
        <v>0.5</v>
      </c>
      <c r="Q13" s="10"/>
      <c r="R13" s="10">
        <v>0.5</v>
      </c>
      <c r="V13" s="10"/>
      <c r="W13" s="10">
        <v>0.8</v>
      </c>
      <c r="X13" s="10"/>
      <c r="Y13" s="10">
        <v>0.8</v>
      </c>
      <c r="AC13" s="10"/>
      <c r="AD13" s="10">
        <v>0.8</v>
      </c>
      <c r="AE13" s="10"/>
      <c r="AF13" s="10">
        <v>0.8</v>
      </c>
      <c r="AJ13" s="10"/>
      <c r="AK13" s="10">
        <v>1</v>
      </c>
      <c r="AL13" s="10"/>
      <c r="AM13" s="10">
        <v>1</v>
      </c>
      <c r="AQ13" s="10"/>
      <c r="AR13" s="10">
        <v>1</v>
      </c>
      <c r="AS13" s="10"/>
      <c r="AT13" s="10">
        <v>1</v>
      </c>
      <c r="AX13" s="10"/>
      <c r="AY13" s="10">
        <v>1</v>
      </c>
      <c r="AZ13" s="10"/>
      <c r="BA13" s="10">
        <v>1</v>
      </c>
      <c r="BE13" s="10"/>
      <c r="BF13" s="10"/>
      <c r="BG13" s="10"/>
      <c r="BH13" s="10"/>
      <c r="BL13" s="10"/>
      <c r="BM13" s="10"/>
      <c r="BN13" s="10"/>
      <c r="BO13" s="10"/>
      <c r="BS13" s="10"/>
      <c r="BT13" s="10">
        <v>0.8</v>
      </c>
      <c r="BU13" s="10"/>
      <c r="BV13" s="10">
        <v>0.8</v>
      </c>
      <c r="BZ13" s="10"/>
      <c r="CA13" s="10">
        <v>1</v>
      </c>
      <c r="CB13" s="10"/>
      <c r="CC13" s="10">
        <v>1</v>
      </c>
    </row>
    <row r="14" spans="2:82" outlineLevel="1">
      <c r="B14" t="s">
        <v>28</v>
      </c>
      <c r="C14" t="s">
        <v>96</v>
      </c>
      <c r="E14" s="9"/>
      <c r="F14" t="s">
        <v>110</v>
      </c>
      <c r="G14" s="10">
        <v>6.76156583629893E-2</v>
      </c>
      <c r="I14" s="9">
        <f>+SUMIF($N$3:$YX$3,I$3,$N14:$YX14)</f>
        <v>2</v>
      </c>
      <c r="J14" s="11" cm="1">
        <f t="array" ref="J14">MAX(IF($N$3:$DF$3=$J$3,N14:DF14))</f>
        <v>0</v>
      </c>
      <c r="K14" s="11" cm="1">
        <f t="array" ref="K14">MAX(IF($N$3:$DF$3=$J$3,N14:DF14))</f>
        <v>0</v>
      </c>
      <c r="L14" s="9"/>
      <c r="N14">
        <v>2</v>
      </c>
      <c r="O14" s="10"/>
      <c r="P14" s="10">
        <v>0.5</v>
      </c>
      <c r="Q14" s="10"/>
      <c r="R14" s="10">
        <v>0.5</v>
      </c>
      <c r="V14" s="10"/>
      <c r="W14" s="10">
        <v>0.8</v>
      </c>
      <c r="X14" s="10"/>
      <c r="Y14" s="10">
        <v>0.8</v>
      </c>
      <c r="AC14" s="10"/>
      <c r="AD14" s="10">
        <v>0.8</v>
      </c>
      <c r="AE14" s="10"/>
      <c r="AF14" s="10">
        <v>0.8</v>
      </c>
      <c r="AJ14" s="10"/>
      <c r="AK14" s="10">
        <v>1</v>
      </c>
      <c r="AL14" s="10"/>
      <c r="AM14" s="10">
        <v>1</v>
      </c>
      <c r="AQ14" s="10"/>
      <c r="AR14" s="10">
        <v>1</v>
      </c>
      <c r="AS14" s="10"/>
      <c r="AT14" s="10">
        <v>1</v>
      </c>
      <c r="AX14" s="10"/>
      <c r="AY14" s="10">
        <v>1</v>
      </c>
      <c r="AZ14" s="10"/>
      <c r="BA14" s="10">
        <v>1</v>
      </c>
      <c r="BE14" s="10"/>
      <c r="BF14" s="10"/>
      <c r="BG14" s="10"/>
      <c r="BH14" s="10"/>
      <c r="BL14" s="10"/>
      <c r="BM14" s="10"/>
      <c r="BN14" s="10"/>
      <c r="BO14" s="10"/>
      <c r="BS14" s="10"/>
      <c r="BT14" s="10">
        <v>0.8</v>
      </c>
      <c r="BU14" s="10"/>
      <c r="BV14" s="10">
        <v>0.8</v>
      </c>
      <c r="BZ14" s="10"/>
      <c r="CA14" s="10">
        <v>1</v>
      </c>
      <c r="CB14" s="10"/>
      <c r="CC14" s="10">
        <v>1</v>
      </c>
    </row>
    <row r="15" spans="2:82" outlineLevel="1">
      <c r="B15" t="s">
        <v>28</v>
      </c>
      <c r="C15" t="s">
        <v>96</v>
      </c>
      <c r="E15" s="9"/>
      <c r="F15" t="s">
        <v>111</v>
      </c>
      <c r="G15" s="10">
        <v>7.1174377224199295E-2</v>
      </c>
      <c r="I15" s="9">
        <f>+SUMIF($N$3:$YX$3,I$3,$N15:$YX15)</f>
        <v>0</v>
      </c>
      <c r="J15" s="11" cm="1">
        <f t="array" ref="J15">MAX(IF($N$3:$DF$3=$J$3,N15:DF15))</f>
        <v>0</v>
      </c>
      <c r="K15" s="11" cm="1">
        <f t="array" ref="K15">MAX(IF($N$3:$DF$3=$J$3,N15:DF15))</f>
        <v>0</v>
      </c>
      <c r="L15" s="9"/>
      <c r="O15" s="10"/>
      <c r="P15" s="10">
        <v>0.5</v>
      </c>
      <c r="Q15" s="10"/>
      <c r="R15" s="10">
        <v>0.5</v>
      </c>
      <c r="V15" s="10"/>
      <c r="W15" s="10">
        <v>0.8</v>
      </c>
      <c r="X15" s="10"/>
      <c r="Y15" s="10">
        <v>0.8</v>
      </c>
      <c r="AC15" s="10"/>
      <c r="AD15" s="10">
        <v>0.8</v>
      </c>
      <c r="AE15" s="10"/>
      <c r="AF15" s="10">
        <v>0.8</v>
      </c>
      <c r="AJ15" s="10"/>
      <c r="AK15" s="10">
        <v>0.8</v>
      </c>
      <c r="AL15" s="10"/>
      <c r="AM15" s="10">
        <v>0.8</v>
      </c>
      <c r="AQ15" s="10"/>
      <c r="AR15" s="10">
        <v>1</v>
      </c>
      <c r="AS15" s="10"/>
      <c r="AT15" s="10">
        <v>1</v>
      </c>
      <c r="AX15" s="10"/>
      <c r="AY15" s="10">
        <v>1</v>
      </c>
      <c r="AZ15" s="10"/>
      <c r="BA15" s="10">
        <v>1</v>
      </c>
      <c r="BE15" s="10"/>
      <c r="BF15" s="10"/>
      <c r="BG15" s="10"/>
      <c r="BH15" s="10"/>
      <c r="BL15" s="10"/>
      <c r="BM15" s="10"/>
      <c r="BN15" s="10"/>
      <c r="BO15" s="10"/>
      <c r="BS15" s="10"/>
      <c r="BT15" s="10">
        <v>0.8</v>
      </c>
      <c r="BU15" s="10"/>
      <c r="BV15" s="10">
        <v>0.8</v>
      </c>
      <c r="BZ15" s="10"/>
      <c r="CA15" s="10">
        <v>0.8</v>
      </c>
      <c r="CB15" s="10"/>
      <c r="CC15" s="10">
        <v>0.8</v>
      </c>
    </row>
    <row r="16" spans="2:82" outlineLevel="1">
      <c r="B16" t="s">
        <v>28</v>
      </c>
      <c r="C16" t="s">
        <v>96</v>
      </c>
      <c r="E16" s="9"/>
      <c r="F16" t="s">
        <v>112</v>
      </c>
      <c r="G16" s="10">
        <v>2.84697508896797E-2</v>
      </c>
      <c r="I16" s="9">
        <f>+SUMIF($N$3:$YX$3,I$3,$N16:$YX16)</f>
        <v>0</v>
      </c>
      <c r="J16" s="11" cm="1">
        <f t="array" ref="J16">MAX(IF($N$3:$DF$3=$J$3,N16:DF16))</f>
        <v>0</v>
      </c>
      <c r="K16" s="11" cm="1">
        <f t="array" ref="K16">MAX(IF($N$3:$DF$3=$J$3,N16:DF16))</f>
        <v>0</v>
      </c>
      <c r="L16" s="9"/>
      <c r="O16" s="10"/>
      <c r="P16" s="10">
        <v>0.5</v>
      </c>
      <c r="Q16" s="10"/>
      <c r="R16" s="10">
        <v>0.5</v>
      </c>
      <c r="V16" s="10"/>
      <c r="W16" s="10">
        <v>0.8</v>
      </c>
      <c r="X16" s="10"/>
      <c r="Y16" s="10">
        <v>0.8</v>
      </c>
      <c r="AC16" s="10"/>
      <c r="AD16" s="10">
        <v>0.8</v>
      </c>
      <c r="AE16" s="10"/>
      <c r="AF16" s="10">
        <v>0.8</v>
      </c>
      <c r="AJ16" s="10"/>
      <c r="AK16" s="10">
        <v>0.8</v>
      </c>
      <c r="AL16" s="10"/>
      <c r="AM16" s="10">
        <v>0.8</v>
      </c>
      <c r="AQ16" s="10"/>
      <c r="AR16" s="10">
        <v>0.8</v>
      </c>
      <c r="AS16" s="10"/>
      <c r="AT16" s="10">
        <v>0.8</v>
      </c>
      <c r="AX16" s="10"/>
      <c r="AY16" s="10">
        <v>1</v>
      </c>
      <c r="AZ16" s="10"/>
      <c r="BA16" s="10">
        <v>1</v>
      </c>
      <c r="BE16" s="10"/>
      <c r="BF16" s="10"/>
      <c r="BG16" s="10"/>
      <c r="BH16" s="10"/>
      <c r="BL16" s="10"/>
      <c r="BM16" s="10"/>
      <c r="BN16" s="10"/>
      <c r="BO16" s="10"/>
      <c r="BS16" s="10"/>
      <c r="BT16" s="10">
        <v>0.8</v>
      </c>
      <c r="BU16" s="10"/>
      <c r="BV16" s="10">
        <v>0.8</v>
      </c>
      <c r="BZ16" s="10"/>
      <c r="CA16" s="10">
        <v>0.8</v>
      </c>
      <c r="CB16" s="10"/>
      <c r="CC16" s="10">
        <v>0.8</v>
      </c>
    </row>
    <row r="17" spans="2:81" outlineLevel="1">
      <c r="B17" t="s">
        <v>28</v>
      </c>
      <c r="C17" t="s">
        <v>96</v>
      </c>
      <c r="E17" s="9"/>
      <c r="F17" t="s">
        <v>113</v>
      </c>
      <c r="G17" s="10">
        <v>1.42348754448399E-2</v>
      </c>
      <c r="I17" s="9">
        <f>+SUMIF($N$3:$YX$3,I$3,$N17:$YX17)</f>
        <v>2</v>
      </c>
      <c r="J17" s="11" cm="1">
        <f t="array" ref="J17">MAX(IF($N$3:$DF$3=$J$3,N17:DF17))</f>
        <v>0</v>
      </c>
      <c r="K17" s="11" cm="1">
        <f t="array" ref="K17">MAX(IF($N$3:$DF$3=$J$3,N17:DF17))</f>
        <v>0</v>
      </c>
      <c r="L17" s="9"/>
      <c r="N17">
        <v>2</v>
      </c>
      <c r="O17" s="10"/>
      <c r="P17" s="10">
        <v>0.5</v>
      </c>
      <c r="Q17" s="10"/>
      <c r="R17" s="10">
        <v>0.5</v>
      </c>
      <c r="V17" s="10"/>
      <c r="W17" s="10">
        <v>0.8</v>
      </c>
      <c r="X17" s="10"/>
      <c r="Y17" s="10">
        <v>0.8</v>
      </c>
      <c r="AC17" s="10"/>
      <c r="AD17" s="10">
        <v>0.8</v>
      </c>
      <c r="AE17" s="10"/>
      <c r="AF17" s="10">
        <v>0.8</v>
      </c>
      <c r="AJ17" s="10"/>
      <c r="AK17" s="10">
        <v>0.8</v>
      </c>
      <c r="AL17" s="10"/>
      <c r="AM17" s="10">
        <v>0.8</v>
      </c>
      <c r="AQ17" s="10"/>
      <c r="AR17" s="10">
        <v>0.8</v>
      </c>
      <c r="AS17" s="10"/>
      <c r="AT17" s="10">
        <v>0.8</v>
      </c>
      <c r="AX17" s="10"/>
      <c r="AY17" s="10">
        <v>1</v>
      </c>
      <c r="AZ17" s="10"/>
      <c r="BA17" s="10">
        <v>1</v>
      </c>
      <c r="BE17" s="10"/>
      <c r="BF17" s="10"/>
      <c r="BG17" s="10"/>
      <c r="BH17" s="10"/>
      <c r="BL17" s="10"/>
      <c r="BM17" s="10"/>
      <c r="BN17" s="10"/>
      <c r="BO17" s="10"/>
      <c r="BS17" s="10"/>
      <c r="BT17" s="10">
        <v>1</v>
      </c>
      <c r="BU17" s="10"/>
      <c r="BV17" s="10">
        <v>1</v>
      </c>
      <c r="BZ17" s="10"/>
      <c r="CA17" s="10">
        <v>1</v>
      </c>
      <c r="CB17" s="10"/>
      <c r="CC17" s="10">
        <v>1</v>
      </c>
    </row>
    <row r="18" spans="2:81" outlineLevel="1">
      <c r="B18" t="s">
        <v>28</v>
      </c>
      <c r="C18" t="s">
        <v>96</v>
      </c>
      <c r="E18" s="9"/>
      <c r="F18" t="s">
        <v>114</v>
      </c>
      <c r="G18" s="10">
        <v>3.2028469750889701E-2</v>
      </c>
      <c r="I18" s="9">
        <f>+SUMIF($N$3:$YX$3,I$3,$N18:$YX18)</f>
        <v>1.5</v>
      </c>
      <c r="J18" s="11" cm="1">
        <f t="array" ref="J18">MAX(IF($N$3:$DF$3=$J$3,N18:DF18))</f>
        <v>0</v>
      </c>
      <c r="K18" s="11" cm="1">
        <f t="array" ref="K18">MAX(IF($N$3:$DF$3=$J$3,N18:DF18))</f>
        <v>0</v>
      </c>
      <c r="L18" s="9"/>
      <c r="N18">
        <v>1.5</v>
      </c>
      <c r="O18" s="10"/>
      <c r="P18" s="10">
        <v>0.5</v>
      </c>
      <c r="Q18" s="10"/>
      <c r="R18" s="10">
        <v>0.5</v>
      </c>
      <c r="V18" s="10"/>
      <c r="W18" s="10">
        <v>0.8</v>
      </c>
      <c r="X18" s="10"/>
      <c r="Y18" s="10">
        <v>0.8</v>
      </c>
      <c r="AC18" s="10"/>
      <c r="AD18" s="10">
        <v>0.8</v>
      </c>
      <c r="AE18" s="10"/>
      <c r="AF18" s="10">
        <v>0.8</v>
      </c>
      <c r="AJ18" s="10"/>
      <c r="AK18" s="10">
        <v>0.8</v>
      </c>
      <c r="AL18" s="10"/>
      <c r="AM18" s="10">
        <v>0.8</v>
      </c>
      <c r="AQ18" s="10"/>
      <c r="AR18" s="10">
        <v>0.8</v>
      </c>
      <c r="AS18" s="10"/>
      <c r="AT18" s="10">
        <v>0.8</v>
      </c>
      <c r="AX18" s="10"/>
      <c r="AY18" s="10">
        <v>1</v>
      </c>
      <c r="AZ18" s="10"/>
      <c r="BA18" s="10">
        <v>1</v>
      </c>
      <c r="BE18" s="10"/>
      <c r="BF18" s="10"/>
      <c r="BG18" s="10"/>
      <c r="BH18" s="10"/>
      <c r="BL18" s="10"/>
      <c r="BM18" s="10"/>
      <c r="BN18" s="10"/>
      <c r="BO18" s="10"/>
      <c r="BS18" s="10"/>
      <c r="BT18" s="10">
        <v>0.8</v>
      </c>
      <c r="BU18" s="10"/>
      <c r="BV18" s="10">
        <v>0.8</v>
      </c>
      <c r="BZ18" s="10"/>
      <c r="CA18" s="10">
        <v>1</v>
      </c>
      <c r="CB18" s="10"/>
      <c r="CC18" s="10">
        <v>1</v>
      </c>
    </row>
    <row r="19" spans="2:81" outlineLevel="1">
      <c r="B19" t="s">
        <v>28</v>
      </c>
      <c r="C19" t="s">
        <v>96</v>
      </c>
      <c r="E19" s="9"/>
      <c r="F19" t="s">
        <v>115</v>
      </c>
      <c r="G19" s="10">
        <v>4.9822064056939501E-2</v>
      </c>
      <c r="I19" s="9">
        <f>+SUMIF($N$3:$YX$3,I$3,$N19:$YX19)</f>
        <v>1.5</v>
      </c>
      <c r="J19" s="11" cm="1">
        <f t="array" ref="J19">MAX(IF($N$3:$DF$3=$J$3,N19:DF19))</f>
        <v>0</v>
      </c>
      <c r="K19" s="11" cm="1">
        <f t="array" ref="K19">MAX(IF($N$3:$DF$3=$J$3,N19:DF19))</f>
        <v>0</v>
      </c>
      <c r="L19" s="9"/>
      <c r="N19">
        <v>1.5</v>
      </c>
      <c r="O19" s="10"/>
      <c r="P19" s="10">
        <v>0.5</v>
      </c>
      <c r="Q19" s="10"/>
      <c r="R19" s="10">
        <v>0.5</v>
      </c>
      <c r="V19" s="10"/>
      <c r="W19" s="10">
        <v>0.8</v>
      </c>
      <c r="X19" s="10"/>
      <c r="Y19" s="10">
        <v>0.8</v>
      </c>
      <c r="AC19" s="10"/>
      <c r="AD19" s="10">
        <v>0.8</v>
      </c>
      <c r="AE19" s="10"/>
      <c r="AF19" s="10">
        <v>0.8</v>
      </c>
      <c r="AJ19" s="10"/>
      <c r="AK19" s="10">
        <v>0.8</v>
      </c>
      <c r="AL19" s="10"/>
      <c r="AM19" s="10">
        <v>0.8</v>
      </c>
      <c r="AQ19" s="10"/>
      <c r="AR19" s="10">
        <v>0.8</v>
      </c>
      <c r="AS19" s="10"/>
      <c r="AT19" s="10">
        <v>0.8</v>
      </c>
      <c r="AX19" s="10"/>
      <c r="AY19" s="10">
        <v>1</v>
      </c>
      <c r="AZ19" s="10"/>
      <c r="BA19" s="10">
        <v>1</v>
      </c>
      <c r="BE19" s="10"/>
      <c r="BF19" s="10"/>
      <c r="BG19" s="10"/>
      <c r="BH19" s="10"/>
      <c r="BL19" s="10"/>
      <c r="BM19" s="10"/>
      <c r="BN19" s="10"/>
      <c r="BO19" s="10"/>
      <c r="BS19" s="10"/>
      <c r="BT19" s="10">
        <v>0.8</v>
      </c>
      <c r="BU19" s="10"/>
      <c r="BV19" s="10">
        <v>0.8</v>
      </c>
      <c r="BZ19" s="10"/>
      <c r="CA19" s="10">
        <v>1</v>
      </c>
      <c r="CB19" s="10"/>
      <c r="CC19" s="10">
        <v>1</v>
      </c>
    </row>
    <row r="20" spans="2:81" outlineLevel="1">
      <c r="B20" t="s">
        <v>28</v>
      </c>
      <c r="C20" t="s">
        <v>96</v>
      </c>
      <c r="E20" s="9"/>
      <c r="F20" t="s">
        <v>116</v>
      </c>
      <c r="G20" s="10">
        <v>4.6263345195729499E-2</v>
      </c>
      <c r="I20" s="9">
        <f>+SUMIF($N$3:$YX$3,I$3,$N20:$YX20)</f>
        <v>2</v>
      </c>
      <c r="J20" s="11" cm="1">
        <f t="array" ref="J20">MAX(IF($N$3:$DF$3=$J$3,N20:DF20))</f>
        <v>0</v>
      </c>
      <c r="K20" s="11" cm="1">
        <f t="array" ref="K20">MAX(IF($N$3:$DF$3=$J$3,N20:DF20))</f>
        <v>0</v>
      </c>
      <c r="L20" s="9"/>
      <c r="N20">
        <v>2</v>
      </c>
      <c r="O20" s="10"/>
      <c r="P20" s="10">
        <v>0.5</v>
      </c>
      <c r="Q20" s="10"/>
      <c r="R20" s="10">
        <v>0.5</v>
      </c>
      <c r="V20" s="10"/>
      <c r="W20" s="10">
        <v>0.8</v>
      </c>
      <c r="X20" s="10"/>
      <c r="Y20" s="10">
        <v>0.8</v>
      </c>
      <c r="AC20" s="10"/>
      <c r="AD20" s="10">
        <v>0.8</v>
      </c>
      <c r="AE20" s="10"/>
      <c r="AF20" s="10">
        <v>0.8</v>
      </c>
      <c r="AJ20" s="10"/>
      <c r="AK20" s="10">
        <v>0.8</v>
      </c>
      <c r="AL20" s="10"/>
      <c r="AM20" s="10">
        <v>0.8</v>
      </c>
      <c r="AQ20" s="10"/>
      <c r="AR20" s="10">
        <v>0.8</v>
      </c>
      <c r="AS20" s="10"/>
      <c r="AT20" s="10">
        <v>0.8</v>
      </c>
      <c r="AX20" s="10"/>
      <c r="AY20" s="10">
        <v>1</v>
      </c>
      <c r="AZ20" s="10"/>
      <c r="BA20" s="10">
        <v>1</v>
      </c>
      <c r="BE20" s="10"/>
      <c r="BF20" s="10"/>
      <c r="BG20" s="10"/>
      <c r="BH20" s="10"/>
      <c r="BL20" s="10"/>
      <c r="BM20" s="10"/>
      <c r="BN20" s="10"/>
      <c r="BO20" s="10"/>
      <c r="BS20" s="10"/>
      <c r="BT20" s="10">
        <v>0.8</v>
      </c>
      <c r="BU20" s="10"/>
      <c r="BV20" s="10">
        <v>0.8</v>
      </c>
      <c r="BZ20" s="10"/>
      <c r="CA20" s="10">
        <v>1</v>
      </c>
      <c r="CB20" s="10"/>
      <c r="CC20" s="10">
        <v>1</v>
      </c>
    </row>
    <row r="21" spans="2:81" outlineLevel="1">
      <c r="B21" t="s">
        <v>28</v>
      </c>
      <c r="C21" t="s">
        <v>96</v>
      </c>
      <c r="E21" s="9"/>
      <c r="F21" t="s">
        <v>117</v>
      </c>
      <c r="G21" s="10">
        <v>2.4911032028469799E-2</v>
      </c>
      <c r="I21" s="9">
        <f>+SUMIF($N$3:$YX$3,I$3,$N21:$YX21)</f>
        <v>0</v>
      </c>
      <c r="J21" s="11" cm="1">
        <f t="array" ref="J21">MAX(IF($N$3:$DF$3=$J$3,N21:DF21))</f>
        <v>0</v>
      </c>
      <c r="K21" s="11" cm="1">
        <f t="array" ref="K21">MAX(IF($N$3:$DF$3=$J$3,N21:DF21))</f>
        <v>0</v>
      </c>
      <c r="L21" s="9"/>
      <c r="O21" s="10"/>
      <c r="P21" s="10">
        <v>0.5</v>
      </c>
      <c r="Q21" s="10"/>
      <c r="R21" s="10">
        <v>0.5</v>
      </c>
      <c r="V21" s="10"/>
      <c r="W21" s="10">
        <v>0.8</v>
      </c>
      <c r="X21" s="10"/>
      <c r="Y21" s="10">
        <v>0.8</v>
      </c>
      <c r="AC21" s="10"/>
      <c r="AD21" s="10">
        <v>0.8</v>
      </c>
      <c r="AE21" s="10"/>
      <c r="AF21" s="10">
        <v>0.8</v>
      </c>
      <c r="AJ21" s="10"/>
      <c r="AK21" s="10">
        <v>0.8</v>
      </c>
      <c r="AL21" s="10"/>
      <c r="AM21" s="10">
        <v>0.8</v>
      </c>
      <c r="AQ21" s="10"/>
      <c r="AR21" s="10">
        <v>0.8</v>
      </c>
      <c r="AS21" s="10"/>
      <c r="AT21" s="10">
        <v>0.8</v>
      </c>
      <c r="AX21" s="10"/>
      <c r="AY21" s="10">
        <v>1</v>
      </c>
      <c r="AZ21" s="10"/>
      <c r="BA21" s="10">
        <v>1</v>
      </c>
      <c r="BE21" s="10"/>
      <c r="BF21" s="10"/>
      <c r="BG21" s="10"/>
      <c r="BH21" s="10"/>
      <c r="BL21" s="10"/>
      <c r="BM21" s="10"/>
      <c r="BN21" s="10"/>
      <c r="BO21" s="10"/>
      <c r="BS21" s="10"/>
      <c r="BT21" s="10">
        <v>0.8</v>
      </c>
      <c r="BU21" s="10"/>
      <c r="BV21" s="10">
        <v>0.8</v>
      </c>
      <c r="BZ21" s="10"/>
      <c r="CA21" s="10">
        <v>0.8</v>
      </c>
      <c r="CB21" s="10"/>
      <c r="CC21" s="10">
        <v>0.8</v>
      </c>
    </row>
    <row r="22" spans="2:81" outlineLevel="1">
      <c r="B22" t="s">
        <v>28</v>
      </c>
      <c r="C22" t="s">
        <v>96</v>
      </c>
      <c r="E22" s="9"/>
      <c r="F22" t="s">
        <v>118</v>
      </c>
      <c r="G22" s="10">
        <v>2.1352313167259801E-2</v>
      </c>
      <c r="I22" s="9">
        <f>+SUMIF($N$3:$YX$3,I$3,$N22:$YX22)</f>
        <v>0</v>
      </c>
      <c r="J22" s="11" cm="1">
        <f t="array" ref="J22">MAX(IF($N$3:$DF$3=$J$3,N22:DF22))</f>
        <v>0</v>
      </c>
      <c r="K22" s="11" cm="1">
        <f t="array" ref="K22">MAX(IF($N$3:$DF$3=$J$3,N22:DF22))</f>
        <v>0</v>
      </c>
      <c r="L22" s="9"/>
      <c r="O22" s="10"/>
      <c r="P22" s="10">
        <v>0.5</v>
      </c>
      <c r="Q22" s="10"/>
      <c r="R22" s="10">
        <v>0.5</v>
      </c>
      <c r="V22" s="10"/>
      <c r="W22" s="10">
        <v>0.8</v>
      </c>
      <c r="X22" s="10"/>
      <c r="Y22" s="10">
        <v>0.8</v>
      </c>
      <c r="AC22" s="10"/>
      <c r="AD22" s="10">
        <v>0.8</v>
      </c>
      <c r="AE22" s="10"/>
      <c r="AF22" s="10">
        <v>0.8</v>
      </c>
      <c r="AJ22" s="10"/>
      <c r="AK22" s="10">
        <v>0.8</v>
      </c>
      <c r="AL22" s="10"/>
      <c r="AM22" s="10">
        <v>0.8</v>
      </c>
      <c r="AQ22" s="10"/>
      <c r="AR22" s="10">
        <v>0.8</v>
      </c>
      <c r="AS22" s="10"/>
      <c r="AT22" s="10">
        <v>0.8</v>
      </c>
      <c r="AX22" s="10"/>
      <c r="AY22" s="10">
        <v>1</v>
      </c>
      <c r="AZ22" s="10"/>
      <c r="BA22" s="10">
        <v>1</v>
      </c>
      <c r="BE22" s="10"/>
      <c r="BF22" s="10"/>
      <c r="BG22" s="10"/>
      <c r="BH22" s="10"/>
      <c r="BL22" s="10"/>
      <c r="BM22" s="10"/>
      <c r="BN22" s="10"/>
      <c r="BO22" s="10"/>
      <c r="BS22" s="10"/>
      <c r="BT22" s="10">
        <v>0.8</v>
      </c>
      <c r="BU22" s="10"/>
      <c r="BV22" s="10">
        <v>0.8</v>
      </c>
      <c r="BZ22" s="10"/>
      <c r="CA22" s="10">
        <v>0.8</v>
      </c>
      <c r="CB22" s="10"/>
      <c r="CC22" s="10">
        <v>0.8</v>
      </c>
    </row>
    <row r="23" spans="2:81">
      <c r="BA23" s="10"/>
    </row>
    <row r="24" spans="2:81">
      <c r="B24" t="s">
        <v>27</v>
      </c>
      <c r="C24" t="s">
        <v>97</v>
      </c>
      <c r="D24" s="19">
        <v>45271</v>
      </c>
      <c r="E24" s="9">
        <v>3.3</v>
      </c>
      <c r="G24" s="10">
        <f>+SUM(G25:G30)</f>
        <v>1.0016129032258059</v>
      </c>
      <c r="I24" s="12">
        <f>SUM(I25:I30)</f>
        <v>0</v>
      </c>
      <c r="J24" s="11">
        <f>+SUMPRODUCT(G25:G30,J25:J30)</f>
        <v>0</v>
      </c>
      <c r="K24" s="11">
        <f>+SUMPRODUCT(G25:G30,K25:K30)</f>
        <v>0</v>
      </c>
      <c r="L24" s="9"/>
      <c r="N24" s="12">
        <f>+SUM(N25:N30)</f>
        <v>0</v>
      </c>
      <c r="U24" s="12">
        <f>+SUM(U25:U30)</f>
        <v>0</v>
      </c>
      <c r="AB24" s="12">
        <f>+SUM(AB25:AB30)</f>
        <v>0</v>
      </c>
      <c r="AI24" s="12">
        <f>+SUM(AI25:AI30)</f>
        <v>0</v>
      </c>
      <c r="AP24" s="12">
        <f>+SUM(AP25:AP30)</f>
        <v>0</v>
      </c>
    </row>
    <row r="25" spans="2:81" outlineLevel="1">
      <c r="B25" t="s">
        <v>28</v>
      </c>
      <c r="C25" t="s">
        <v>97</v>
      </c>
      <c r="E25" s="9"/>
      <c r="F25" t="s">
        <v>121</v>
      </c>
      <c r="G25" s="10">
        <v>0.05</v>
      </c>
      <c r="I25" s="9">
        <f>+SUMIF($N$3:$YX$3,I$3,$N25:$YX25)</f>
        <v>0</v>
      </c>
      <c r="J25" s="11" cm="1">
        <f t="array" ref="J25">MAX(IF($N$3:$DF$3=$J$3,N25:DF25))</f>
        <v>0</v>
      </c>
      <c r="K25" s="11" cm="1">
        <f t="array" ref="K25">MAX(IF($N$3:$DF$3=$J$3,N25:DF25))</f>
        <v>0</v>
      </c>
      <c r="L25" s="9"/>
      <c r="O25" s="10"/>
      <c r="P25" s="10">
        <v>0.5</v>
      </c>
      <c r="Q25" s="10"/>
      <c r="R25" s="10">
        <v>0.5</v>
      </c>
      <c r="V25" s="10"/>
      <c r="W25" s="10">
        <v>1</v>
      </c>
      <c r="X25" s="10"/>
      <c r="Y25" s="10">
        <v>1</v>
      </c>
      <c r="AC25" s="10"/>
      <c r="AD25" s="10">
        <v>1</v>
      </c>
      <c r="AE25" s="10"/>
      <c r="AF25" s="10">
        <v>1</v>
      </c>
      <c r="AJ25" s="10"/>
      <c r="AK25" s="10">
        <v>1</v>
      </c>
      <c r="AL25" s="10"/>
      <c r="AM25" s="10">
        <v>1</v>
      </c>
      <c r="AQ25" s="10"/>
      <c r="AR25" s="10">
        <v>1</v>
      </c>
      <c r="AS25" s="10"/>
      <c r="AT25" s="10">
        <v>1</v>
      </c>
      <c r="AX25" s="10"/>
      <c r="AY25" s="10">
        <v>1</v>
      </c>
      <c r="AZ25" s="10"/>
      <c r="BA25" s="10">
        <v>1</v>
      </c>
      <c r="BE25" s="10"/>
      <c r="BF25" s="10">
        <v>1</v>
      </c>
      <c r="BG25" s="10"/>
      <c r="BH25" s="10">
        <v>1</v>
      </c>
      <c r="BL25" s="10"/>
      <c r="BM25" s="10"/>
      <c r="BN25" s="10"/>
      <c r="BO25" s="10"/>
      <c r="BS25" s="10"/>
      <c r="BT25" s="10"/>
      <c r="BU25" s="10"/>
      <c r="BV25" s="10"/>
      <c r="BZ25" s="10"/>
      <c r="CA25" s="10"/>
      <c r="CB25" s="10"/>
      <c r="CC25" s="10"/>
    </row>
    <row r="26" spans="2:81" outlineLevel="1">
      <c r="B26" t="s">
        <v>28</v>
      </c>
      <c r="C26" t="s">
        <v>97</v>
      </c>
      <c r="E26" s="9"/>
      <c r="F26" t="s">
        <v>122</v>
      </c>
      <c r="G26" s="10">
        <v>7.5268817204301106E-2</v>
      </c>
      <c r="I26" s="9">
        <f>+SUMIF($N$3:$YX$3,I$3,$N26:$YX26)</f>
        <v>0</v>
      </c>
      <c r="J26" s="11" cm="1">
        <f t="array" ref="J26">MAX(IF($N$3:$DF$3=$J$3,N26:DF26))</f>
        <v>0</v>
      </c>
      <c r="K26" s="11" cm="1">
        <f t="array" ref="K26">MAX(IF($N$3:$DF$3=$J$3,N26:DF26))</f>
        <v>0</v>
      </c>
      <c r="L26" s="9"/>
      <c r="O26" s="10"/>
      <c r="P26" s="10">
        <v>0.5</v>
      </c>
      <c r="Q26" s="10"/>
      <c r="R26" s="10">
        <v>0.5</v>
      </c>
      <c r="V26" s="10"/>
      <c r="W26" s="10">
        <v>1</v>
      </c>
      <c r="X26" s="10"/>
      <c r="Y26" s="10">
        <v>1</v>
      </c>
      <c r="AC26" s="10"/>
      <c r="AD26" s="10">
        <v>1</v>
      </c>
      <c r="AE26" s="10"/>
      <c r="AF26" s="10">
        <v>1</v>
      </c>
      <c r="AJ26" s="10"/>
      <c r="AK26" s="10">
        <v>1</v>
      </c>
      <c r="AL26" s="10"/>
      <c r="AM26" s="10">
        <v>1</v>
      </c>
      <c r="AQ26" s="10"/>
      <c r="AR26" s="10">
        <v>1</v>
      </c>
      <c r="AS26" s="10"/>
      <c r="AT26" s="10">
        <v>1</v>
      </c>
      <c r="AX26" s="10"/>
      <c r="AY26" s="10">
        <v>1</v>
      </c>
      <c r="AZ26" s="10"/>
      <c r="BA26" s="10">
        <v>1</v>
      </c>
      <c r="BE26" s="10"/>
      <c r="BF26" s="10">
        <v>1</v>
      </c>
      <c r="BG26" s="10"/>
      <c r="BH26" s="10">
        <v>1</v>
      </c>
      <c r="BL26" s="10"/>
      <c r="BM26" s="10"/>
      <c r="BN26" s="10"/>
      <c r="BO26" s="10"/>
      <c r="BS26" s="10"/>
      <c r="BT26" s="10"/>
      <c r="BU26" s="10"/>
      <c r="BV26" s="10"/>
      <c r="BZ26" s="10"/>
      <c r="CA26" s="10"/>
      <c r="CB26" s="10"/>
      <c r="CC26" s="10"/>
    </row>
    <row r="27" spans="2:81" outlineLevel="1">
      <c r="B27" t="s">
        <v>28</v>
      </c>
      <c r="C27" t="s">
        <v>97</v>
      </c>
      <c r="E27" s="9"/>
      <c r="F27" t="s">
        <v>123</v>
      </c>
      <c r="G27" s="10">
        <v>7.5268817204301106E-2</v>
      </c>
      <c r="I27" s="9">
        <f>+SUMIF($N$3:$YX$3,I$3,$N27:$YX27)</f>
        <v>0</v>
      </c>
      <c r="J27" s="11" cm="1">
        <f t="array" ref="J27">MAX(IF($N$3:$DF$3=$J$3,N27:DF27))</f>
        <v>0</v>
      </c>
      <c r="K27" s="11" cm="1">
        <f t="array" ref="K27">MAX(IF($N$3:$DF$3=$J$3,N27:DF27))</f>
        <v>0</v>
      </c>
      <c r="L27" s="9"/>
      <c r="O27" s="10"/>
      <c r="P27" s="10">
        <v>0.5</v>
      </c>
      <c r="Q27" s="10"/>
      <c r="R27" s="10">
        <v>0.5</v>
      </c>
      <c r="V27" s="10"/>
      <c r="W27" s="10">
        <v>1</v>
      </c>
      <c r="X27" s="10"/>
      <c r="Y27" s="10">
        <v>1</v>
      </c>
      <c r="AC27" s="10"/>
      <c r="AD27" s="10">
        <v>0.8</v>
      </c>
      <c r="AE27" s="10"/>
      <c r="AF27" s="10">
        <v>0.8</v>
      </c>
      <c r="AJ27" s="10"/>
      <c r="AK27" s="10">
        <v>1</v>
      </c>
      <c r="AL27" s="10"/>
      <c r="AM27" s="10">
        <v>1</v>
      </c>
      <c r="AQ27" s="10"/>
      <c r="AR27" s="10">
        <v>1</v>
      </c>
      <c r="AS27" s="10"/>
      <c r="AT27" s="10">
        <v>1</v>
      </c>
      <c r="AX27" s="10"/>
      <c r="AY27" s="10">
        <v>1</v>
      </c>
      <c r="AZ27" s="10"/>
      <c r="BA27" s="10">
        <v>1</v>
      </c>
      <c r="BE27" s="10"/>
      <c r="BF27" s="10">
        <v>1</v>
      </c>
      <c r="BG27" s="10"/>
      <c r="BH27" s="10">
        <v>1</v>
      </c>
      <c r="BL27" s="10"/>
      <c r="BM27" s="10"/>
      <c r="BN27" s="10"/>
      <c r="BO27" s="10"/>
      <c r="BS27" s="10"/>
      <c r="BT27" s="10"/>
      <c r="BU27" s="10"/>
      <c r="BV27" s="10"/>
      <c r="BZ27" s="10"/>
      <c r="CA27" s="10"/>
      <c r="CB27" s="10"/>
      <c r="CC27" s="10"/>
    </row>
    <row r="28" spans="2:81" outlineLevel="1">
      <c r="B28" t="s">
        <v>28</v>
      </c>
      <c r="C28" t="s">
        <v>97</v>
      </c>
      <c r="E28" s="9"/>
      <c r="F28" t="s">
        <v>124</v>
      </c>
      <c r="G28" s="10">
        <v>6.9892473118279605E-2</v>
      </c>
      <c r="I28" s="9">
        <f>+SUMIF($N$3:$YX$3,I$3,$N28:$YX28)</f>
        <v>0</v>
      </c>
      <c r="J28" s="11" cm="1">
        <f t="array" ref="J28">MAX(IF($N$3:$DF$3=$J$3,N28:DF28))</f>
        <v>0</v>
      </c>
      <c r="K28" s="11" cm="1">
        <f t="array" ref="K28">MAX(IF($N$3:$DF$3=$J$3,N28:DF28))</f>
        <v>0</v>
      </c>
      <c r="L28" s="9"/>
      <c r="O28" s="10"/>
      <c r="P28" s="10">
        <v>0.5</v>
      </c>
      <c r="Q28" s="10"/>
      <c r="R28" s="10">
        <v>0.5</v>
      </c>
      <c r="V28" s="10"/>
      <c r="W28" s="10">
        <v>1</v>
      </c>
      <c r="X28" s="10"/>
      <c r="Y28" s="10">
        <v>1</v>
      </c>
      <c r="AC28" s="10"/>
      <c r="AD28" s="10">
        <v>0.8</v>
      </c>
      <c r="AE28" s="10"/>
      <c r="AF28" s="10">
        <v>0.8</v>
      </c>
      <c r="AJ28" s="10"/>
      <c r="AK28" s="10">
        <v>1</v>
      </c>
      <c r="AL28" s="10"/>
      <c r="AM28" s="10">
        <v>1</v>
      </c>
      <c r="AQ28" s="10"/>
      <c r="AR28" s="10">
        <v>1</v>
      </c>
      <c r="AS28" s="10"/>
      <c r="AT28" s="10">
        <v>1</v>
      </c>
      <c r="AX28" s="10"/>
      <c r="AY28" s="10">
        <v>1</v>
      </c>
      <c r="AZ28" s="10"/>
      <c r="BA28" s="10">
        <v>1</v>
      </c>
      <c r="BE28" s="10"/>
      <c r="BF28" s="10">
        <v>1</v>
      </c>
      <c r="BG28" s="10"/>
      <c r="BH28" s="10">
        <v>1</v>
      </c>
      <c r="BL28" s="10"/>
      <c r="BM28" s="10"/>
      <c r="BN28" s="10"/>
      <c r="BO28" s="10"/>
      <c r="BS28" s="10"/>
      <c r="BT28" s="10"/>
      <c r="BU28" s="10"/>
      <c r="BV28" s="10"/>
      <c r="BZ28" s="10"/>
      <c r="CA28" s="10"/>
      <c r="CB28" s="10"/>
      <c r="CC28" s="10"/>
    </row>
    <row r="29" spans="2:81" outlineLevel="1">
      <c r="B29" t="s">
        <v>28</v>
      </c>
      <c r="C29" t="s">
        <v>97</v>
      </c>
      <c r="E29" s="9"/>
      <c r="F29" t="s">
        <v>125</v>
      </c>
      <c r="G29" s="10">
        <v>0.36559139784946199</v>
      </c>
      <c r="I29" s="9">
        <f>+SUMIF($N$3:$YX$3,I$3,$N29:$YX29)</f>
        <v>0</v>
      </c>
      <c r="J29" s="11" cm="1">
        <f t="array" ref="J29">MAX(IF($N$3:$DF$3=$J$3,N29:DF29))</f>
        <v>0</v>
      </c>
      <c r="K29" s="11" cm="1">
        <f t="array" ref="K29">MAX(IF($N$3:$DF$3=$J$3,N29:DF29))</f>
        <v>0</v>
      </c>
      <c r="L29" s="9"/>
      <c r="O29" s="10"/>
      <c r="P29" s="10">
        <v>0.5</v>
      </c>
      <c r="Q29" s="10"/>
      <c r="R29" s="10">
        <v>0.5</v>
      </c>
      <c r="V29" s="10"/>
      <c r="W29" s="10">
        <v>0.5</v>
      </c>
      <c r="X29" s="10"/>
      <c r="Y29" s="10">
        <v>0.5</v>
      </c>
      <c r="AC29" s="10"/>
      <c r="AD29" s="10">
        <v>0.5</v>
      </c>
      <c r="AE29" s="10"/>
      <c r="AF29" s="10">
        <v>0.5</v>
      </c>
      <c r="AJ29" s="10"/>
      <c r="AK29" s="10">
        <v>0.8</v>
      </c>
      <c r="AL29" s="10"/>
      <c r="AM29" s="10">
        <v>0.8</v>
      </c>
      <c r="AQ29" s="10"/>
      <c r="AR29" s="10">
        <v>1</v>
      </c>
      <c r="AS29" s="10"/>
      <c r="AT29" s="10">
        <v>1</v>
      </c>
      <c r="AX29" s="10"/>
      <c r="AY29" s="10">
        <v>1</v>
      </c>
      <c r="AZ29" s="10"/>
      <c r="BA29" s="10">
        <v>1</v>
      </c>
      <c r="BE29" s="10"/>
      <c r="BF29" s="10">
        <v>1</v>
      </c>
      <c r="BG29" s="10"/>
      <c r="BH29" s="10">
        <v>1</v>
      </c>
      <c r="BL29" s="10"/>
      <c r="BM29" s="10"/>
      <c r="BN29" s="10"/>
      <c r="BO29" s="10"/>
      <c r="BS29" s="10"/>
      <c r="BT29" s="10"/>
      <c r="BU29" s="10"/>
      <c r="BV29" s="10"/>
      <c r="BZ29" s="10"/>
      <c r="CA29" s="10"/>
      <c r="CB29" s="10"/>
      <c r="CC29" s="10"/>
    </row>
    <row r="30" spans="2:81" outlineLevel="1">
      <c r="B30" t="s">
        <v>28</v>
      </c>
      <c r="C30" t="s">
        <v>97</v>
      </c>
      <c r="E30" s="9"/>
      <c r="F30" t="s">
        <v>126</v>
      </c>
      <c r="G30" s="10">
        <v>0.36559139784946199</v>
      </c>
      <c r="I30" s="9">
        <f>+SUMIF($N$3:$YX$3,I$3,$N30:$YX30)</f>
        <v>0</v>
      </c>
      <c r="J30" s="11" cm="1">
        <f t="array" ref="J30">MAX(IF($N$3:$DF$3=$J$3,N30:DF30))</f>
        <v>0</v>
      </c>
      <c r="K30" s="11" cm="1">
        <f t="array" ref="K30">MAX(IF($N$3:$DF$3=$J$3,N30:DF30))</f>
        <v>0</v>
      </c>
      <c r="L30" s="9"/>
      <c r="O30" s="10"/>
      <c r="P30" s="10">
        <v>0.5</v>
      </c>
      <c r="Q30" s="10"/>
      <c r="R30" s="10">
        <v>0.5</v>
      </c>
      <c r="V30" s="10"/>
      <c r="W30" s="10">
        <v>0.5</v>
      </c>
      <c r="X30" s="10"/>
      <c r="Y30" s="10">
        <v>0.5</v>
      </c>
      <c r="AC30" s="10"/>
      <c r="AD30" s="10">
        <v>0.5</v>
      </c>
      <c r="AE30" s="10"/>
      <c r="AF30" s="10">
        <v>0.5</v>
      </c>
      <c r="AJ30" s="10"/>
      <c r="AK30" s="10">
        <v>0.8</v>
      </c>
      <c r="AL30" s="10"/>
      <c r="AM30" s="10">
        <v>0.8</v>
      </c>
      <c r="AQ30" s="10"/>
      <c r="AR30" s="10">
        <v>0.8</v>
      </c>
      <c r="AS30" s="10"/>
      <c r="AT30" s="10">
        <v>0.8</v>
      </c>
      <c r="AX30" s="10"/>
      <c r="AY30" s="10">
        <v>1</v>
      </c>
      <c r="AZ30" s="10"/>
      <c r="BA30" s="10">
        <v>1</v>
      </c>
      <c r="BE30" s="10"/>
      <c r="BF30" s="10">
        <v>1</v>
      </c>
      <c r="BG30" s="10"/>
      <c r="BH30" s="10">
        <v>1</v>
      </c>
      <c r="BL30" s="10"/>
      <c r="BM30" s="10"/>
      <c r="BN30" s="10"/>
      <c r="BO30" s="10"/>
      <c r="BS30" s="10"/>
      <c r="BT30" s="10"/>
      <c r="BU30" s="10"/>
      <c r="BV30" s="10"/>
      <c r="BZ30" s="10"/>
      <c r="CA30" s="10"/>
      <c r="CB30" s="10"/>
      <c r="CC30" s="10"/>
    </row>
    <row r="31" spans="2:81">
      <c r="R31" s="10"/>
    </row>
    <row r="32" spans="2:81">
      <c r="B32" t="s">
        <v>27</v>
      </c>
      <c r="C32" t="s">
        <v>98</v>
      </c>
      <c r="D32" s="19">
        <v>45265</v>
      </c>
      <c r="E32" s="9">
        <v>1.7</v>
      </c>
      <c r="G32" s="10">
        <f>+SUM(G33:G39)</f>
        <v>0.64999999999999991</v>
      </c>
      <c r="I32" s="12">
        <f>+SUM(I33:I39)</f>
        <v>0</v>
      </c>
      <c r="J32" s="11">
        <f>+SUMPRODUCT(G33:G39,J33:J39)</f>
        <v>0</v>
      </c>
      <c r="K32" s="11">
        <f>+SUMPRODUCT(G33:G39,K33:K39)</f>
        <v>0</v>
      </c>
      <c r="L32" s="9"/>
      <c r="N32" s="12">
        <f>+SUM(N33:N39)</f>
        <v>0</v>
      </c>
      <c r="U32" s="12">
        <f>+SUM(U33:U39)</f>
        <v>0</v>
      </c>
      <c r="AB32" s="12">
        <f>+SUM(AB33:AB39)</f>
        <v>0</v>
      </c>
      <c r="AI32" s="12">
        <f>+SUM(AI33:AI39)</f>
        <v>0</v>
      </c>
      <c r="AP32" s="12">
        <f>+SUM(AP33:AP39)</f>
        <v>0</v>
      </c>
    </row>
    <row r="33" spans="2:81" outlineLevel="1">
      <c r="B33" t="s">
        <v>28</v>
      </c>
      <c r="C33" t="s">
        <v>98</v>
      </c>
      <c r="E33" s="9"/>
      <c r="F33" t="s">
        <v>30</v>
      </c>
      <c r="G33" s="10">
        <v>0.1</v>
      </c>
      <c r="I33" s="9">
        <f>+SUMIF($N$3:$YX$3,I$3,$N33:$YX33)</f>
        <v>0</v>
      </c>
      <c r="J33" s="11" cm="1">
        <f t="array" ref="J33">MAX(IF($N$3:$DF$3=$J$3,N33:DF33))</f>
        <v>0</v>
      </c>
      <c r="K33" s="11" cm="1">
        <f t="array" ref="K33">MAX(IF($N$3:$DF$3=$J$3,N33:DF33))</f>
        <v>0</v>
      </c>
      <c r="L33" s="9"/>
      <c r="O33" s="10"/>
      <c r="P33" s="10">
        <v>0.5</v>
      </c>
      <c r="Q33" s="10"/>
      <c r="R33" s="10">
        <v>0.5</v>
      </c>
      <c r="V33" s="10"/>
      <c r="W33" s="10">
        <v>0.8</v>
      </c>
      <c r="X33" s="10"/>
      <c r="Y33" s="10">
        <v>0.8</v>
      </c>
      <c r="AC33" s="10"/>
      <c r="AD33" s="10">
        <v>1</v>
      </c>
      <c r="AE33" s="10"/>
      <c r="AF33" s="10">
        <v>1</v>
      </c>
      <c r="AJ33" s="10"/>
      <c r="AK33" s="10">
        <v>1</v>
      </c>
      <c r="AL33" s="10"/>
      <c r="AM33" s="10">
        <v>1</v>
      </c>
      <c r="AQ33" s="10"/>
      <c r="AR33" s="10">
        <v>1</v>
      </c>
      <c r="AS33" s="10"/>
      <c r="AT33" s="10">
        <v>1</v>
      </c>
      <c r="AX33" s="10"/>
      <c r="AY33" s="10"/>
      <c r="AZ33" s="10"/>
      <c r="BA33" s="10"/>
      <c r="BE33" s="10"/>
      <c r="BF33" s="10"/>
      <c r="BG33" s="10"/>
      <c r="BH33" s="10"/>
      <c r="BL33" s="10"/>
      <c r="BM33" s="10"/>
      <c r="BN33" s="10"/>
      <c r="BO33" s="10"/>
      <c r="BS33" s="10"/>
      <c r="BT33" s="10">
        <v>1</v>
      </c>
      <c r="BU33" s="10"/>
      <c r="BV33" s="10">
        <v>1</v>
      </c>
      <c r="BZ33" s="10"/>
      <c r="CA33" s="10">
        <v>1</v>
      </c>
      <c r="CB33" s="10"/>
      <c r="CC33" s="10">
        <v>1</v>
      </c>
    </row>
    <row r="34" spans="2:81" outlineLevel="1">
      <c r="B34" t="s">
        <v>28</v>
      </c>
      <c r="C34" t="s">
        <v>98</v>
      </c>
      <c r="E34" s="9"/>
      <c r="F34" t="s">
        <v>93</v>
      </c>
      <c r="G34" s="10">
        <v>0.05</v>
      </c>
      <c r="I34" s="9">
        <f>+SUMIF($N$3:$YX$3,I$3,$N34:$YX34)</f>
        <v>0</v>
      </c>
      <c r="J34" s="11" cm="1">
        <f t="array" ref="J34">MAX(IF($N$3:$DF$3=$J$3,N34:DF34))</f>
        <v>0</v>
      </c>
      <c r="K34" s="11" cm="1">
        <f t="array" ref="K34">MAX(IF($N$3:$DF$3=$J$3,N34:DF34))</f>
        <v>0</v>
      </c>
      <c r="L34" s="9"/>
      <c r="O34" s="10"/>
      <c r="P34" s="10">
        <v>0.5</v>
      </c>
      <c r="Q34" s="10"/>
      <c r="R34" s="10">
        <v>0.5</v>
      </c>
      <c r="V34" s="10"/>
      <c r="W34" s="10">
        <v>0.8</v>
      </c>
      <c r="X34" s="10"/>
      <c r="Y34" s="10">
        <v>0.8</v>
      </c>
      <c r="AC34" s="10"/>
      <c r="AD34" s="10">
        <v>1</v>
      </c>
      <c r="AE34" s="10"/>
      <c r="AF34" s="10">
        <v>1</v>
      </c>
      <c r="AJ34" s="10"/>
      <c r="AK34" s="10">
        <v>1</v>
      </c>
      <c r="AL34" s="10"/>
      <c r="AM34" s="10">
        <v>1</v>
      </c>
      <c r="AQ34" s="10"/>
      <c r="AR34" s="10">
        <v>1</v>
      </c>
      <c r="AS34" s="10"/>
      <c r="AT34" s="10">
        <v>1</v>
      </c>
      <c r="AX34" s="10"/>
      <c r="AY34" s="10"/>
      <c r="AZ34" s="10"/>
      <c r="BA34" s="10"/>
      <c r="BE34" s="10"/>
      <c r="BF34" s="10"/>
      <c r="BG34" s="10"/>
      <c r="BH34" s="10"/>
      <c r="BL34" s="10"/>
      <c r="BM34" s="10"/>
      <c r="BN34" s="10"/>
      <c r="BO34" s="10"/>
      <c r="BS34" s="10"/>
      <c r="BT34" s="10">
        <v>1</v>
      </c>
      <c r="BU34" s="10"/>
      <c r="BV34" s="10">
        <v>1</v>
      </c>
      <c r="BZ34" s="10"/>
      <c r="CA34" s="10">
        <v>1</v>
      </c>
      <c r="CB34" s="10"/>
      <c r="CC34" s="10">
        <v>1</v>
      </c>
    </row>
    <row r="35" spans="2:81" outlineLevel="1">
      <c r="B35" t="s">
        <v>28</v>
      </c>
      <c r="C35" t="s">
        <v>98</v>
      </c>
      <c r="E35" s="9"/>
      <c r="F35" t="s">
        <v>31</v>
      </c>
      <c r="G35" s="10">
        <v>0.1</v>
      </c>
      <c r="I35" s="9">
        <f>+SUMIF($N$3:$YX$3,I$3,$N35:$YX35)</f>
        <v>0</v>
      </c>
      <c r="J35" s="11" cm="1">
        <f t="array" ref="J35">MAX(IF($N$3:$DF$3=$J$3,N35:DF35))</f>
        <v>0</v>
      </c>
      <c r="K35" s="11" cm="1">
        <f t="array" ref="K35">MAX(IF($N$3:$DF$3=$J$3,N35:DF35))</f>
        <v>0</v>
      </c>
      <c r="L35" s="9"/>
      <c r="O35" s="10"/>
      <c r="P35" s="10">
        <v>0.5</v>
      </c>
      <c r="Q35" s="10"/>
      <c r="R35" s="10">
        <v>0.5</v>
      </c>
      <c r="V35" s="10"/>
      <c r="W35" s="10">
        <v>0.8</v>
      </c>
      <c r="X35" s="10"/>
      <c r="Y35" s="10">
        <v>0.8</v>
      </c>
      <c r="AC35" s="10"/>
      <c r="AD35" s="10">
        <v>1</v>
      </c>
      <c r="AE35" s="10"/>
      <c r="AF35" s="10">
        <v>1</v>
      </c>
      <c r="AJ35" s="10"/>
      <c r="AK35" s="10">
        <v>1</v>
      </c>
      <c r="AL35" s="10"/>
      <c r="AM35" s="10">
        <v>1</v>
      </c>
      <c r="AQ35" s="10"/>
      <c r="AR35" s="10">
        <v>1</v>
      </c>
      <c r="AS35" s="10"/>
      <c r="AT35" s="10">
        <v>1</v>
      </c>
      <c r="AX35" s="10"/>
      <c r="AY35" s="10"/>
      <c r="AZ35" s="10"/>
      <c r="BA35" s="10"/>
      <c r="BE35" s="10"/>
      <c r="BF35" s="10"/>
      <c r="BG35" s="10"/>
      <c r="BH35" s="10"/>
      <c r="BL35" s="10"/>
      <c r="BM35" s="10"/>
      <c r="BN35" s="10"/>
      <c r="BO35" s="10"/>
      <c r="BS35" s="10"/>
      <c r="BT35" s="10">
        <v>0.8</v>
      </c>
      <c r="BU35" s="10"/>
      <c r="BV35" s="10">
        <v>0.8</v>
      </c>
      <c r="BZ35" s="10"/>
      <c r="CA35" s="10">
        <v>1</v>
      </c>
      <c r="CB35" s="10"/>
      <c r="CC35" s="10">
        <v>1</v>
      </c>
    </row>
    <row r="36" spans="2:81" outlineLevel="1">
      <c r="B36" t="s">
        <v>28</v>
      </c>
      <c r="C36" t="s">
        <v>98</v>
      </c>
      <c r="E36" s="9"/>
      <c r="F36" t="s">
        <v>32</v>
      </c>
      <c r="G36" s="10">
        <v>0.1</v>
      </c>
      <c r="I36" s="9">
        <f>+SUMIF($N$3:$YX$3,I$3,$N36:$YX36)</f>
        <v>0</v>
      </c>
      <c r="J36" s="11" cm="1">
        <f t="array" ref="J36">MAX(IF($N$3:$DF$3=$J$3,N36:DF36))</f>
        <v>0</v>
      </c>
      <c r="K36" s="11" cm="1">
        <f t="array" ref="K36">MAX(IF($N$3:$DF$3=$J$3,N36:DF36))</f>
        <v>0</v>
      </c>
      <c r="L36" s="9"/>
      <c r="O36" s="10"/>
      <c r="P36" s="10">
        <v>0.5</v>
      </c>
      <c r="Q36" s="10"/>
      <c r="R36" s="10">
        <v>0.5</v>
      </c>
      <c r="V36" s="10"/>
      <c r="W36" s="10">
        <v>0.8</v>
      </c>
      <c r="X36" s="10"/>
      <c r="Y36" s="10">
        <v>0.8</v>
      </c>
      <c r="AC36" s="10"/>
      <c r="AD36" s="10">
        <v>1</v>
      </c>
      <c r="AE36" s="10"/>
      <c r="AF36" s="10">
        <v>1</v>
      </c>
      <c r="AJ36" s="10"/>
      <c r="AK36" s="10">
        <v>1</v>
      </c>
      <c r="AL36" s="10"/>
      <c r="AM36" s="10">
        <v>1</v>
      </c>
      <c r="AQ36" s="10"/>
      <c r="AR36" s="10">
        <v>1</v>
      </c>
      <c r="AS36" s="10"/>
      <c r="AT36" s="10">
        <v>1</v>
      </c>
      <c r="AX36" s="10"/>
      <c r="AY36" s="10"/>
      <c r="AZ36" s="10"/>
      <c r="BA36" s="10"/>
      <c r="BE36" s="10"/>
      <c r="BF36" s="10"/>
      <c r="BG36" s="10"/>
      <c r="BH36" s="10"/>
      <c r="BL36" s="10"/>
      <c r="BM36" s="10"/>
      <c r="BN36" s="10"/>
      <c r="BO36" s="10"/>
      <c r="BS36" s="10"/>
      <c r="BT36" s="10">
        <v>0.8</v>
      </c>
      <c r="BU36" s="10"/>
      <c r="BV36" s="10">
        <v>0.8</v>
      </c>
      <c r="BZ36" s="10"/>
      <c r="CA36" s="10">
        <v>1</v>
      </c>
      <c r="CB36" s="10"/>
      <c r="CC36" s="10">
        <v>1</v>
      </c>
    </row>
    <row r="37" spans="2:81" outlineLevel="1">
      <c r="B37" t="s">
        <v>28</v>
      </c>
      <c r="C37" t="s">
        <v>98</v>
      </c>
      <c r="E37" s="9"/>
      <c r="F37" t="s">
        <v>33</v>
      </c>
      <c r="G37" s="10">
        <v>0.1</v>
      </c>
      <c r="I37" s="9">
        <f>+SUMIF($N$3:$YX$3,I$3,$N37:$YX37)</f>
        <v>0</v>
      </c>
      <c r="J37" s="11" cm="1">
        <f t="array" ref="J37">MAX(IF($N$3:$DF$3=$J$3,N37:DF37))</f>
        <v>0</v>
      </c>
      <c r="K37" s="11" cm="1">
        <f t="array" ref="K37">MAX(IF($N$3:$DF$3=$J$3,N37:DF37))</f>
        <v>0</v>
      </c>
      <c r="L37" s="9"/>
      <c r="O37" s="10"/>
      <c r="P37" s="10">
        <v>0.5</v>
      </c>
      <c r="Q37" s="10"/>
      <c r="R37" s="10">
        <v>0.5</v>
      </c>
      <c r="V37" s="10"/>
      <c r="W37" s="10">
        <v>0.8</v>
      </c>
      <c r="X37" s="10"/>
      <c r="Y37" s="10">
        <v>0.8</v>
      </c>
      <c r="AC37" s="10"/>
      <c r="AD37" s="10">
        <v>0.8</v>
      </c>
      <c r="AE37" s="10"/>
      <c r="AF37" s="10">
        <v>0.8</v>
      </c>
      <c r="AJ37" s="10"/>
      <c r="AK37" s="10">
        <v>1</v>
      </c>
      <c r="AL37" s="10"/>
      <c r="AM37" s="10">
        <v>1</v>
      </c>
      <c r="AQ37" s="10"/>
      <c r="AR37" s="10">
        <v>1</v>
      </c>
      <c r="AS37" s="10"/>
      <c r="AT37" s="10">
        <v>1</v>
      </c>
      <c r="AX37" s="10"/>
      <c r="AY37" s="10"/>
      <c r="AZ37" s="10"/>
      <c r="BA37" s="10"/>
      <c r="BE37" s="10"/>
      <c r="BF37" s="10"/>
      <c r="BG37" s="10"/>
      <c r="BH37" s="10"/>
      <c r="BL37" s="10"/>
      <c r="BM37" s="10"/>
      <c r="BN37" s="10"/>
      <c r="BO37" s="10"/>
      <c r="BS37" s="10"/>
      <c r="BT37" s="10">
        <v>0.8</v>
      </c>
      <c r="BU37" s="10"/>
      <c r="BV37" s="10">
        <v>0.8</v>
      </c>
      <c r="BZ37" s="10"/>
      <c r="CA37" s="10">
        <v>1</v>
      </c>
      <c r="CB37" s="10"/>
      <c r="CC37" s="10">
        <v>1</v>
      </c>
    </row>
    <row r="38" spans="2:81" outlineLevel="1">
      <c r="B38" t="s">
        <v>28</v>
      </c>
      <c r="C38" t="s">
        <v>98</v>
      </c>
      <c r="E38" s="9"/>
      <c r="F38" t="s">
        <v>34</v>
      </c>
      <c r="G38" s="10">
        <v>0.1</v>
      </c>
      <c r="I38" s="9">
        <f>+SUMIF($N$3:$YX$3,I$3,$N38:$YX38)</f>
        <v>0</v>
      </c>
      <c r="J38" s="11" cm="1">
        <f t="array" ref="J38">MAX(IF($N$3:$DF$3=$J$3,N38:DF38))</f>
        <v>0</v>
      </c>
      <c r="K38" s="11" cm="1">
        <f t="array" ref="K38">MAX(IF($N$3:$DF$3=$J$3,N38:DF38))</f>
        <v>0</v>
      </c>
      <c r="L38" s="9"/>
      <c r="O38" s="10"/>
      <c r="P38" s="10">
        <v>0.5</v>
      </c>
      <c r="Q38" s="10"/>
      <c r="R38" s="10">
        <v>0.5</v>
      </c>
      <c r="V38" s="10"/>
      <c r="W38" s="10">
        <v>0.8</v>
      </c>
      <c r="X38" s="10"/>
      <c r="Y38" s="10">
        <v>0.8</v>
      </c>
      <c r="AC38" s="10"/>
      <c r="AD38" s="10">
        <v>0.8</v>
      </c>
      <c r="AE38" s="10"/>
      <c r="AF38" s="10">
        <v>0.8</v>
      </c>
      <c r="AJ38" s="10"/>
      <c r="AK38" s="10">
        <v>1</v>
      </c>
      <c r="AL38" s="10"/>
      <c r="AM38" s="10">
        <v>1</v>
      </c>
      <c r="AQ38" s="10"/>
      <c r="AR38" s="10">
        <v>1</v>
      </c>
      <c r="AS38" s="10"/>
      <c r="AT38" s="10">
        <v>1</v>
      </c>
      <c r="AX38" s="10"/>
      <c r="AY38" s="10"/>
      <c r="AZ38" s="10"/>
      <c r="BA38" s="10"/>
      <c r="BE38" s="10"/>
      <c r="BF38" s="10"/>
      <c r="BG38" s="10"/>
      <c r="BH38" s="10"/>
      <c r="BL38" s="10"/>
      <c r="BM38" s="10"/>
      <c r="BN38" s="10"/>
      <c r="BO38" s="10"/>
      <c r="BS38" s="10"/>
      <c r="BT38" s="10">
        <v>0.8</v>
      </c>
      <c r="BU38" s="10"/>
      <c r="BV38" s="10">
        <v>0.8</v>
      </c>
      <c r="BZ38" s="10"/>
      <c r="CA38" s="10">
        <v>0.8</v>
      </c>
      <c r="CB38" s="10"/>
      <c r="CC38" s="10">
        <v>0.8</v>
      </c>
    </row>
    <row r="39" spans="2:81" outlineLevel="1">
      <c r="B39" t="s">
        <v>28</v>
      </c>
      <c r="C39" t="s">
        <v>98</v>
      </c>
      <c r="E39" s="9"/>
      <c r="F39" t="s">
        <v>35</v>
      </c>
      <c r="G39" s="10">
        <v>0.1</v>
      </c>
      <c r="I39" s="9">
        <f>+SUMIF($N$3:$YX$3,I$3,$N39:$YX39)</f>
        <v>0</v>
      </c>
      <c r="J39" s="11" cm="1">
        <f t="array" ref="J39">MAX(IF($N$3:$DF$3=$J$3,N39:DF39))</f>
        <v>0</v>
      </c>
      <c r="K39" s="11" cm="1">
        <f t="array" ref="K39">MAX(IF($N$3:$DF$3=$J$3,N39:DF39))</f>
        <v>0</v>
      </c>
      <c r="L39" s="9"/>
      <c r="O39" s="10"/>
      <c r="P39" s="10">
        <v>0.5</v>
      </c>
      <c r="Q39" s="10"/>
      <c r="R39" s="10">
        <v>0.5</v>
      </c>
      <c r="V39" s="10"/>
      <c r="W39" s="10">
        <v>0.8</v>
      </c>
      <c r="X39" s="10"/>
      <c r="Y39" s="10">
        <v>0.8</v>
      </c>
      <c r="AC39" s="10"/>
      <c r="AD39" s="10">
        <v>0.8</v>
      </c>
      <c r="AE39" s="10"/>
      <c r="AF39" s="10">
        <v>0.8</v>
      </c>
      <c r="AJ39" s="10"/>
      <c r="AK39" s="10">
        <v>1</v>
      </c>
      <c r="AL39" s="10"/>
      <c r="AM39" s="10">
        <v>1</v>
      </c>
      <c r="AQ39" s="10"/>
      <c r="AR39" s="10">
        <v>1</v>
      </c>
      <c r="AS39" s="10"/>
      <c r="AT39" s="10">
        <v>1</v>
      </c>
      <c r="AX39" s="10"/>
      <c r="AY39" s="10"/>
      <c r="AZ39" s="10"/>
      <c r="BA39" s="10"/>
      <c r="BE39" s="10"/>
      <c r="BF39" s="10"/>
      <c r="BG39" s="10"/>
      <c r="BH39" s="10"/>
      <c r="BL39" s="10"/>
      <c r="BM39" s="10"/>
      <c r="BN39" s="10"/>
      <c r="BO39" s="10"/>
      <c r="BS39" s="10"/>
      <c r="BT39" s="10">
        <v>0.8</v>
      </c>
      <c r="BU39" s="10"/>
      <c r="BV39" s="10">
        <v>0.8</v>
      </c>
      <c r="BZ39" s="10"/>
      <c r="CA39" s="10">
        <v>0.8</v>
      </c>
      <c r="CB39" s="10"/>
      <c r="CC39" s="10">
        <v>0.8</v>
      </c>
    </row>
    <row r="41" spans="2:81">
      <c r="B41" t="s">
        <v>27</v>
      </c>
      <c r="C41" t="s">
        <v>120</v>
      </c>
      <c r="D41" s="19">
        <v>45278</v>
      </c>
      <c r="E41" s="9">
        <v>2.5</v>
      </c>
      <c r="G41" s="10">
        <f>+SUM(G42:G47)</f>
        <v>0.53024911032028343</v>
      </c>
      <c r="I41" s="12">
        <f>+SUM(I42:I47)</f>
        <v>7</v>
      </c>
      <c r="J41" s="11">
        <f>+SUMPRODUCT(G42:G47,J42:J47)</f>
        <v>0</v>
      </c>
      <c r="K41" s="11">
        <f>+SUMPRODUCT(G42:G47,K42:K47)</f>
        <v>0</v>
      </c>
      <c r="L41" s="9"/>
      <c r="N41" s="12" t="b">
        <f>Semesterplan!A91=+SUM(N42:N47)</f>
        <v>0</v>
      </c>
      <c r="U41" s="12">
        <f>+SUM(U42:U47)</f>
        <v>0</v>
      </c>
      <c r="AB41" s="12">
        <f>+SUM(AB42:AB47)</f>
        <v>0</v>
      </c>
      <c r="AI41" s="12">
        <f>+SUM(AI42:AI47)</f>
        <v>0</v>
      </c>
      <c r="AP41" s="12">
        <f>+SUM(AP42:AP47)</f>
        <v>0</v>
      </c>
      <c r="AW41" s="12">
        <f>+SUM(AW42:AW47)</f>
        <v>0</v>
      </c>
      <c r="BD41" s="12">
        <f>+SUM(BD42:BD47)</f>
        <v>0</v>
      </c>
      <c r="BK41" s="12">
        <f>+SUM(BK42:BK47)</f>
        <v>0</v>
      </c>
      <c r="BR41" s="12">
        <f>+SUM(BR42:BR47)</f>
        <v>0</v>
      </c>
      <c r="BY41" s="12">
        <f>+SUM(BY42:BY47)</f>
        <v>0</v>
      </c>
    </row>
    <row r="42" spans="2:81" outlineLevel="1">
      <c r="B42" t="s">
        <v>28</v>
      </c>
      <c r="C42" t="s">
        <v>120</v>
      </c>
      <c r="E42" s="9"/>
      <c r="F42" t="s">
        <v>119</v>
      </c>
      <c r="G42" s="10">
        <v>8.5409252669039107E-2</v>
      </c>
      <c r="I42" s="9">
        <f>+SUMIF($N$3:$YX$3,I$3,$N42:$YX42)</f>
        <v>2</v>
      </c>
      <c r="J42" s="11" cm="1">
        <f t="array" ref="J42">MAX(IF($N$3:$DF$3=$J$3,N42:DF42))</f>
        <v>0</v>
      </c>
      <c r="K42" s="11" cm="1">
        <f t="array" ref="K42">MAX(IF($N$3:$DF$3=$J$3,N42:DF42))</f>
        <v>0</v>
      </c>
      <c r="L42" s="9"/>
      <c r="N42">
        <v>2</v>
      </c>
      <c r="O42" s="10"/>
      <c r="P42" s="10"/>
      <c r="Q42" s="10"/>
      <c r="R42" s="10"/>
      <c r="V42" s="10"/>
      <c r="W42" s="10"/>
      <c r="X42" s="10"/>
      <c r="Y42" s="10"/>
      <c r="AC42" s="10"/>
      <c r="AD42" s="10"/>
      <c r="AE42" s="10"/>
      <c r="AF42" s="10"/>
      <c r="AJ42" s="10"/>
      <c r="AK42" s="10"/>
      <c r="AL42" s="10"/>
      <c r="AM42" s="10"/>
      <c r="AQ42" s="10"/>
      <c r="AR42" s="10"/>
      <c r="AS42" s="10"/>
      <c r="AT42" s="10"/>
      <c r="AX42" s="10"/>
      <c r="AY42" s="10">
        <v>1</v>
      </c>
      <c r="AZ42" s="10"/>
      <c r="BA42" s="10">
        <v>1</v>
      </c>
      <c r="BE42" s="10"/>
      <c r="BF42" s="10"/>
      <c r="BG42" s="10"/>
      <c r="BH42" s="10"/>
      <c r="BL42" s="10"/>
      <c r="BM42" s="10"/>
      <c r="BN42" s="10"/>
      <c r="BO42" s="10"/>
      <c r="BS42" s="10"/>
      <c r="BT42" s="10">
        <v>1</v>
      </c>
      <c r="BU42" s="10"/>
      <c r="BV42" s="10">
        <v>1</v>
      </c>
      <c r="BZ42" s="10"/>
      <c r="CA42" s="10">
        <v>1</v>
      </c>
      <c r="CB42" s="10"/>
      <c r="CC42" s="10">
        <v>1</v>
      </c>
    </row>
    <row r="43" spans="2:81" outlineLevel="1">
      <c r="B43" t="s">
        <v>28</v>
      </c>
      <c r="C43" t="s">
        <v>120</v>
      </c>
      <c r="E43" s="9"/>
      <c r="F43" t="s">
        <v>102</v>
      </c>
      <c r="G43" s="10">
        <v>0.128113879003558</v>
      </c>
      <c r="I43" s="9">
        <f>+SUMIF($N$3:$YX$3,I$3,$N43:$YX43)</f>
        <v>1.5</v>
      </c>
      <c r="J43" s="11" cm="1">
        <f t="array" ref="J43">MAX(IF($N$3:$DF$3=$J$3,N43:DF43))</f>
        <v>0</v>
      </c>
      <c r="K43" s="11" cm="1">
        <f t="array" ref="K43">MAX(IF($N$3:$DF$3=$J$3,N43:DF43))</f>
        <v>0</v>
      </c>
      <c r="L43" s="9"/>
      <c r="N43">
        <v>1.5</v>
      </c>
      <c r="O43" s="10"/>
      <c r="P43" s="10"/>
      <c r="Q43" s="10"/>
      <c r="R43" s="10"/>
      <c r="V43" s="10"/>
      <c r="W43" s="10"/>
      <c r="X43" s="10"/>
      <c r="Y43" s="10"/>
      <c r="AC43" s="10"/>
      <c r="AD43" s="10"/>
      <c r="AE43" s="10"/>
      <c r="AF43" s="10"/>
      <c r="AJ43" s="10"/>
      <c r="AK43" s="10"/>
      <c r="AL43" s="10"/>
      <c r="AM43" s="10"/>
      <c r="AQ43" s="10"/>
      <c r="AR43" s="10"/>
      <c r="AS43" s="10"/>
      <c r="AT43" s="10"/>
      <c r="AX43" s="10"/>
      <c r="AY43" s="10">
        <v>1</v>
      </c>
      <c r="AZ43" s="10"/>
      <c r="BA43" s="10">
        <v>1</v>
      </c>
      <c r="BE43" s="10"/>
      <c r="BF43" s="10"/>
      <c r="BG43" s="10"/>
      <c r="BH43" s="10"/>
      <c r="BL43" s="10"/>
      <c r="BM43" s="10"/>
      <c r="BN43" s="10"/>
      <c r="BO43" s="10"/>
      <c r="BS43" s="10"/>
      <c r="BT43" s="10">
        <v>0.8</v>
      </c>
      <c r="BU43" s="10"/>
      <c r="BV43" s="10">
        <v>0.8</v>
      </c>
      <c r="BZ43" s="10"/>
      <c r="CA43" s="10">
        <v>1</v>
      </c>
      <c r="CB43" s="10"/>
      <c r="CC43" s="10">
        <v>1</v>
      </c>
    </row>
    <row r="44" spans="2:81" outlineLevel="1">
      <c r="B44" t="s">
        <v>28</v>
      </c>
      <c r="C44" t="s">
        <v>120</v>
      </c>
      <c r="E44" s="9"/>
      <c r="F44" t="s">
        <v>103</v>
      </c>
      <c r="G44" s="10">
        <v>1.7793594306049799E-2</v>
      </c>
      <c r="I44" s="9">
        <f>+SUMIF($N$3:$YX$3,I$3,$N44:$YX44)</f>
        <v>1.5</v>
      </c>
      <c r="J44" s="11" cm="1">
        <f t="array" ref="J44">MAX(IF($N$3:$DF$3=$J$3,N44:DF44))</f>
        <v>0</v>
      </c>
      <c r="K44" s="11" cm="1">
        <f t="array" ref="K44">MAX(IF($N$3:$DF$3=$J$3,N44:DF44))</f>
        <v>0</v>
      </c>
      <c r="L44" s="9"/>
      <c r="N44">
        <v>1.5</v>
      </c>
      <c r="O44" s="10"/>
      <c r="P44" s="10"/>
      <c r="Q44" s="10"/>
      <c r="R44" s="10"/>
      <c r="V44" s="10"/>
      <c r="W44" s="10"/>
      <c r="X44" s="10"/>
      <c r="Y44" s="10"/>
      <c r="AC44" s="10"/>
      <c r="AD44" s="10"/>
      <c r="AE44" s="10"/>
      <c r="AF44" s="10"/>
      <c r="AJ44" s="10"/>
      <c r="AK44" s="10"/>
      <c r="AL44" s="10"/>
      <c r="AM44" s="10"/>
      <c r="AQ44" s="10"/>
      <c r="AR44" s="10"/>
      <c r="AS44" s="10"/>
      <c r="AT44" s="10"/>
      <c r="AX44" s="10"/>
      <c r="AY44" s="10">
        <v>1</v>
      </c>
      <c r="AZ44" s="10"/>
      <c r="BA44" s="10">
        <v>1</v>
      </c>
      <c r="BE44" s="10"/>
      <c r="BF44" s="10"/>
      <c r="BG44" s="10"/>
      <c r="BH44" s="10"/>
      <c r="BL44" s="10"/>
      <c r="BM44" s="10"/>
      <c r="BN44" s="10"/>
      <c r="BO44" s="10"/>
      <c r="BS44" s="10"/>
      <c r="BT44" s="10">
        <v>0.8</v>
      </c>
      <c r="BU44" s="10"/>
      <c r="BV44" s="10">
        <v>0.8</v>
      </c>
      <c r="BZ44" s="10"/>
      <c r="CA44" s="10">
        <v>1</v>
      </c>
      <c r="CB44" s="10"/>
      <c r="CC44" s="10">
        <v>1</v>
      </c>
    </row>
    <row r="45" spans="2:81" outlineLevel="1">
      <c r="B45" t="s">
        <v>28</v>
      </c>
      <c r="C45" t="s">
        <v>120</v>
      </c>
      <c r="E45" s="9"/>
      <c r="F45" t="s">
        <v>104</v>
      </c>
      <c r="G45" s="10">
        <v>8.1850533807829196E-2</v>
      </c>
      <c r="I45" s="9">
        <f>+SUMIF($N$3:$YX$3,I$3,$N45:$YX45)</f>
        <v>2</v>
      </c>
      <c r="J45" s="11" cm="1">
        <f t="array" ref="J45">MAX(IF($N$3:$DF$3=$J$3,N45:DF45))</f>
        <v>0</v>
      </c>
      <c r="K45" s="11" cm="1">
        <f t="array" ref="K45">MAX(IF($N$3:$DF$3=$J$3,N45:DF45))</f>
        <v>0</v>
      </c>
      <c r="L45" s="9"/>
      <c r="N45">
        <v>2</v>
      </c>
      <c r="O45" s="10"/>
      <c r="P45" s="10"/>
      <c r="Q45" s="10"/>
      <c r="R45" s="10"/>
      <c r="V45" s="10"/>
      <c r="W45" s="10"/>
      <c r="X45" s="10"/>
      <c r="Y45" s="10"/>
      <c r="AC45" s="10"/>
      <c r="AD45" s="10"/>
      <c r="AE45" s="10"/>
      <c r="AF45" s="10"/>
      <c r="AJ45" s="10"/>
      <c r="AK45" s="10"/>
      <c r="AL45" s="10"/>
      <c r="AM45" s="10"/>
      <c r="AQ45" s="10"/>
      <c r="AR45" s="10"/>
      <c r="AS45" s="10"/>
      <c r="AT45" s="10"/>
      <c r="AX45" s="10"/>
      <c r="AY45" s="10">
        <v>1</v>
      </c>
      <c r="AZ45" s="10"/>
      <c r="BA45" s="10">
        <v>1</v>
      </c>
      <c r="BE45" s="10"/>
      <c r="BF45" s="10"/>
      <c r="BG45" s="10"/>
      <c r="BH45" s="10"/>
      <c r="BL45" s="10"/>
      <c r="BM45" s="10"/>
      <c r="BN45" s="10"/>
      <c r="BO45" s="10"/>
      <c r="BS45" s="10"/>
      <c r="BT45" s="10">
        <v>0.8</v>
      </c>
      <c r="BU45" s="10"/>
      <c r="BV45" s="10">
        <v>0.8</v>
      </c>
      <c r="BZ45" s="10"/>
      <c r="CA45" s="10">
        <v>1</v>
      </c>
      <c r="CB45" s="10"/>
      <c r="CC45" s="10">
        <v>1</v>
      </c>
    </row>
    <row r="46" spans="2:81" outlineLevel="1">
      <c r="B46" t="s">
        <v>28</v>
      </c>
      <c r="C46" t="s">
        <v>120</v>
      </c>
      <c r="E46" s="9"/>
      <c r="F46" t="s">
        <v>105</v>
      </c>
      <c r="G46" s="10">
        <v>0.149466192170818</v>
      </c>
      <c r="I46" s="9">
        <f>+SUMIF($N$3:$YX$3,I$3,$N46:$YX46)</f>
        <v>0</v>
      </c>
      <c r="J46" s="11" cm="1">
        <f t="array" ref="J46">MAX(IF($N$3:$DF$3=$J$3,N46:DF46))</f>
        <v>0</v>
      </c>
      <c r="K46" s="11" cm="1">
        <f t="array" ref="K46">MAX(IF($N$3:$DF$3=$J$3,N46:DF46))</f>
        <v>0</v>
      </c>
      <c r="L46" s="9"/>
      <c r="O46" s="10"/>
      <c r="P46" s="10"/>
      <c r="Q46" s="10"/>
      <c r="R46" s="10"/>
      <c r="V46" s="10"/>
      <c r="W46" s="10"/>
      <c r="X46" s="10"/>
      <c r="Y46" s="10"/>
      <c r="AC46" s="10"/>
      <c r="AD46" s="10"/>
      <c r="AE46" s="10"/>
      <c r="AF46" s="10"/>
      <c r="AJ46" s="10"/>
      <c r="AK46" s="10"/>
      <c r="AL46" s="10"/>
      <c r="AM46" s="10"/>
      <c r="AQ46" s="10"/>
      <c r="AR46" s="10"/>
      <c r="AS46" s="10"/>
      <c r="AT46" s="10"/>
      <c r="AX46" s="10"/>
      <c r="AY46" s="10">
        <v>1</v>
      </c>
      <c r="AZ46" s="10"/>
      <c r="BA46" s="10">
        <v>1</v>
      </c>
      <c r="BE46" s="10"/>
      <c r="BF46" s="10"/>
      <c r="BG46" s="10"/>
      <c r="BH46" s="10"/>
      <c r="BL46" s="10"/>
      <c r="BM46" s="10"/>
      <c r="BN46" s="10"/>
      <c r="BO46" s="10"/>
      <c r="BS46" s="10"/>
      <c r="BT46" s="10">
        <v>0.8</v>
      </c>
      <c r="BU46" s="10"/>
      <c r="BV46" s="10">
        <v>0.8</v>
      </c>
      <c r="BZ46" s="10"/>
      <c r="CA46" s="10">
        <v>0.8</v>
      </c>
      <c r="CB46" s="10"/>
      <c r="CC46" s="10">
        <v>0.8</v>
      </c>
    </row>
    <row r="47" spans="2:81" outlineLevel="1">
      <c r="B47" t="s">
        <v>28</v>
      </c>
      <c r="C47" t="s">
        <v>120</v>
      </c>
      <c r="E47" s="9"/>
      <c r="F47" t="s">
        <v>106</v>
      </c>
      <c r="G47" s="10">
        <v>6.76156583629893E-2</v>
      </c>
      <c r="I47" s="9">
        <f>+SUMIF($N$3:$YX$3,I$3,$N47:$YX47)</f>
        <v>0</v>
      </c>
      <c r="J47" s="11" cm="1">
        <f t="array" ref="J47">MAX(IF($N$3:$DF$3=$J$3,N47:DF47))</f>
        <v>0</v>
      </c>
      <c r="K47" s="11" cm="1">
        <f t="array" ref="K47">MAX(IF($N$3:$DF$3=$J$3,N47:DF47))</f>
        <v>0</v>
      </c>
      <c r="L47" s="9"/>
      <c r="O47" s="10"/>
      <c r="P47" s="10"/>
      <c r="Q47" s="10"/>
      <c r="R47" s="10"/>
      <c r="V47" s="10"/>
      <c r="W47" s="10"/>
      <c r="X47" s="10"/>
      <c r="Y47" s="10"/>
      <c r="AC47" s="10"/>
      <c r="AD47" s="10"/>
      <c r="AE47" s="10"/>
      <c r="AF47" s="10"/>
      <c r="AJ47" s="10"/>
      <c r="AK47" s="10"/>
      <c r="AL47" s="10"/>
      <c r="AM47" s="10"/>
      <c r="AQ47" s="10"/>
      <c r="AR47" s="10"/>
      <c r="AS47" s="10"/>
      <c r="AT47" s="10"/>
      <c r="AX47" s="10"/>
      <c r="AY47" s="10">
        <v>1</v>
      </c>
      <c r="AZ47" s="10"/>
      <c r="BA47" s="10">
        <v>1</v>
      </c>
      <c r="BE47" s="10"/>
      <c r="BF47" s="10"/>
      <c r="BG47" s="10"/>
      <c r="BH47" s="10"/>
      <c r="BL47" s="10"/>
      <c r="BM47" s="10"/>
      <c r="BN47" s="10"/>
      <c r="BO47" s="10"/>
      <c r="BS47" s="10"/>
      <c r="BT47" s="10">
        <v>0.8</v>
      </c>
      <c r="BU47" s="10"/>
      <c r="BV47" s="10">
        <v>0.8</v>
      </c>
      <c r="BZ47" s="10"/>
      <c r="CA47" s="10">
        <v>0.8</v>
      </c>
      <c r="CB47" s="10"/>
      <c r="CC47" s="10">
        <v>0.8</v>
      </c>
    </row>
    <row r="48" spans="2:81" outlineLevel="1">
      <c r="B48" t="s">
        <v>28</v>
      </c>
      <c r="C48" t="s">
        <v>120</v>
      </c>
      <c r="E48" s="9"/>
      <c r="F48" t="s">
        <v>107</v>
      </c>
      <c r="G48" s="10">
        <v>1.7793594306049799E-2</v>
      </c>
      <c r="I48" s="9">
        <f>+SUMIF($N$3:$YX$3,I$3,$N48:$YX48)</f>
        <v>2</v>
      </c>
      <c r="J48" s="11" cm="1">
        <f t="array" ref="J48">MAX(IF($N$3:$DF$3=$J$3,N48:DF48))</f>
        <v>0</v>
      </c>
      <c r="K48" s="11" cm="1">
        <f t="array" ref="K48">MAX(IF($N$3:$DF$3=$J$3,N48:DF48))</f>
        <v>0</v>
      </c>
      <c r="L48" s="9"/>
      <c r="N48">
        <v>2</v>
      </c>
      <c r="O48" s="10"/>
      <c r="P48" s="10"/>
      <c r="Q48" s="10"/>
      <c r="R48" s="10"/>
      <c r="V48" s="10"/>
      <c r="W48" s="10"/>
      <c r="X48" s="10"/>
      <c r="Y48" s="10"/>
      <c r="AC48" s="10"/>
      <c r="AD48" s="10"/>
      <c r="AE48" s="10"/>
      <c r="AF48" s="10"/>
      <c r="AJ48" s="10"/>
      <c r="AK48" s="10"/>
      <c r="AL48" s="10"/>
      <c r="AM48" s="10"/>
      <c r="AQ48" s="10"/>
      <c r="AR48" s="10"/>
      <c r="AS48" s="10"/>
      <c r="AT48" s="10"/>
      <c r="AX48" s="10"/>
      <c r="AY48" s="10">
        <v>1</v>
      </c>
      <c r="AZ48" s="10"/>
      <c r="BA48" s="10">
        <v>1</v>
      </c>
      <c r="BE48" s="10"/>
      <c r="BF48" s="10"/>
      <c r="BG48" s="10"/>
      <c r="BH48" s="10"/>
      <c r="BL48" s="10"/>
      <c r="BM48" s="10"/>
      <c r="BN48" s="10"/>
      <c r="BO48" s="10"/>
      <c r="BS48" s="10"/>
      <c r="BT48" s="10">
        <v>1</v>
      </c>
      <c r="BU48" s="10"/>
      <c r="BV48" s="10">
        <v>1</v>
      </c>
      <c r="BZ48" s="10"/>
      <c r="CA48" s="10">
        <v>1</v>
      </c>
      <c r="CB48" s="10"/>
      <c r="CC48" s="10">
        <v>1</v>
      </c>
    </row>
    <row r="49" spans="2:81" outlineLevel="1">
      <c r="B49" t="s">
        <v>28</v>
      </c>
      <c r="C49" t="s">
        <v>120</v>
      </c>
      <c r="E49" s="9"/>
      <c r="F49" t="s">
        <v>108</v>
      </c>
      <c r="G49" s="10">
        <v>6.0498220640569401E-2</v>
      </c>
      <c r="I49" s="9">
        <f>+SUMIF($N$3:$YX$3,I$3,$N49:$YX49)</f>
        <v>1.5</v>
      </c>
      <c r="J49" s="11" cm="1">
        <f t="array" ref="J49">MAX(IF($N$3:$DF$3=$J$3,N49:DF49))</f>
        <v>0</v>
      </c>
      <c r="K49" s="11" cm="1">
        <f t="array" ref="K49">MAX(IF($N$3:$DF$3=$J$3,N49:DF49))</f>
        <v>0</v>
      </c>
      <c r="L49" s="9"/>
      <c r="N49">
        <v>1.5</v>
      </c>
      <c r="O49" s="10"/>
      <c r="P49" s="10"/>
      <c r="Q49" s="10"/>
      <c r="R49" s="10"/>
      <c r="V49" s="10"/>
      <c r="W49" s="10"/>
      <c r="X49" s="10"/>
      <c r="Y49" s="10"/>
      <c r="AC49" s="10"/>
      <c r="AD49" s="10"/>
      <c r="AE49" s="10"/>
      <c r="AF49" s="10"/>
      <c r="AJ49" s="10"/>
      <c r="AK49" s="10"/>
      <c r="AL49" s="10"/>
      <c r="AM49" s="10"/>
      <c r="AQ49" s="10"/>
      <c r="AR49" s="10"/>
      <c r="AS49" s="10"/>
      <c r="AT49" s="10"/>
      <c r="AX49" s="10"/>
      <c r="AY49" s="10">
        <v>1</v>
      </c>
      <c r="AZ49" s="10"/>
      <c r="BA49" s="10">
        <v>1</v>
      </c>
      <c r="BE49" s="10"/>
      <c r="BF49" s="10"/>
      <c r="BG49" s="10"/>
      <c r="BH49" s="10"/>
      <c r="BL49" s="10"/>
      <c r="BM49" s="10"/>
      <c r="BN49" s="10"/>
      <c r="BO49" s="10"/>
      <c r="BS49" s="10"/>
      <c r="BT49" s="10">
        <v>0.8</v>
      </c>
      <c r="BU49" s="10"/>
      <c r="BV49" s="10">
        <v>0.8</v>
      </c>
      <c r="BZ49" s="10"/>
      <c r="CA49" s="10">
        <v>1</v>
      </c>
      <c r="CB49" s="10"/>
      <c r="CC49" s="10">
        <v>1</v>
      </c>
    </row>
    <row r="50" spans="2:81" outlineLevel="1">
      <c r="B50" t="s">
        <v>28</v>
      </c>
      <c r="C50" t="s">
        <v>120</v>
      </c>
      <c r="E50" s="9"/>
      <c r="F50" t="s">
        <v>109</v>
      </c>
      <c r="G50" s="10">
        <v>9.6085409252668993E-2</v>
      </c>
      <c r="I50" s="9">
        <f>+SUMIF($N$3:$YX$3,I$3,$N50:$YX50)</f>
        <v>1.5</v>
      </c>
      <c r="J50" s="11" cm="1">
        <f t="array" ref="J50">MAX(IF($N$3:$DF$3=$J$3,N50:DF50))</f>
        <v>0</v>
      </c>
      <c r="K50" s="11" cm="1">
        <f t="array" ref="K50">MAX(IF($N$3:$DF$3=$J$3,N50:DF50))</f>
        <v>0</v>
      </c>
      <c r="L50" s="9"/>
      <c r="N50">
        <v>1.5</v>
      </c>
      <c r="O50" s="10"/>
      <c r="P50" s="10"/>
      <c r="Q50" s="10"/>
      <c r="R50" s="10"/>
      <c r="V50" s="10"/>
      <c r="W50" s="10"/>
      <c r="X50" s="10"/>
      <c r="Y50" s="10"/>
      <c r="AC50" s="10"/>
      <c r="AD50" s="10"/>
      <c r="AE50" s="10"/>
      <c r="AF50" s="10"/>
      <c r="AJ50" s="10"/>
      <c r="AK50" s="10"/>
      <c r="AL50" s="10"/>
      <c r="AM50" s="10"/>
      <c r="AQ50" s="10"/>
      <c r="AR50" s="10"/>
      <c r="AS50" s="10"/>
      <c r="AT50" s="10"/>
      <c r="AX50" s="10"/>
      <c r="AY50" s="10">
        <v>1</v>
      </c>
      <c r="AZ50" s="10"/>
      <c r="BA50" s="10">
        <v>1</v>
      </c>
      <c r="BE50" s="10"/>
      <c r="BF50" s="10"/>
      <c r="BG50" s="10"/>
      <c r="BH50" s="10"/>
      <c r="BL50" s="10"/>
      <c r="BM50" s="10"/>
      <c r="BN50" s="10"/>
      <c r="BO50" s="10"/>
      <c r="BS50" s="10"/>
      <c r="BT50" s="10">
        <v>0.8</v>
      </c>
      <c r="BU50" s="10"/>
      <c r="BV50" s="10">
        <v>0.8</v>
      </c>
      <c r="BZ50" s="10"/>
      <c r="CA50" s="10">
        <v>1</v>
      </c>
      <c r="CB50" s="10"/>
      <c r="CC50" s="10">
        <v>1</v>
      </c>
    </row>
    <row r="51" spans="2:81" outlineLevel="1">
      <c r="B51" t="s">
        <v>28</v>
      </c>
      <c r="C51" t="s">
        <v>120</v>
      </c>
      <c r="E51" s="9"/>
      <c r="F51" t="s">
        <v>110</v>
      </c>
      <c r="G51" s="10">
        <v>6.76156583629893E-2</v>
      </c>
      <c r="I51" s="9">
        <f>+SUMIF($N$3:$YX$3,I$3,$N51:$YX51)</f>
        <v>2</v>
      </c>
      <c r="J51" s="11" cm="1">
        <f t="array" ref="J51">MAX(IF($N$3:$DF$3=$J$3,N51:DF51))</f>
        <v>0</v>
      </c>
      <c r="K51" s="11" cm="1">
        <f t="array" ref="K51">MAX(IF($N$3:$DF$3=$J$3,N51:DF51))</f>
        <v>0</v>
      </c>
      <c r="L51" s="9"/>
      <c r="N51">
        <v>2</v>
      </c>
      <c r="O51" s="10"/>
      <c r="P51" s="10"/>
      <c r="Q51" s="10"/>
      <c r="R51" s="10"/>
      <c r="V51" s="10"/>
      <c r="W51" s="10"/>
      <c r="X51" s="10"/>
      <c r="Y51" s="10"/>
      <c r="AC51" s="10"/>
      <c r="AD51" s="10"/>
      <c r="AE51" s="10"/>
      <c r="AF51" s="10"/>
      <c r="AJ51" s="10"/>
      <c r="AK51" s="10"/>
      <c r="AL51" s="10"/>
      <c r="AM51" s="10"/>
      <c r="AQ51" s="10"/>
      <c r="AR51" s="10"/>
      <c r="AS51" s="10"/>
      <c r="AT51" s="10"/>
      <c r="AX51" s="10"/>
      <c r="AY51" s="10">
        <v>1</v>
      </c>
      <c r="AZ51" s="10"/>
      <c r="BA51" s="10">
        <v>1</v>
      </c>
      <c r="BE51" s="10"/>
      <c r="BF51" s="10"/>
      <c r="BG51" s="10"/>
      <c r="BH51" s="10"/>
      <c r="BL51" s="10"/>
      <c r="BM51" s="10"/>
      <c r="BN51" s="10"/>
      <c r="BO51" s="10"/>
      <c r="BS51" s="10"/>
      <c r="BT51" s="10">
        <v>0.8</v>
      </c>
      <c r="BU51" s="10"/>
      <c r="BV51" s="10">
        <v>0.8</v>
      </c>
      <c r="BZ51" s="10"/>
      <c r="CA51" s="10">
        <v>1</v>
      </c>
      <c r="CB51" s="10"/>
      <c r="CC51" s="10">
        <v>1</v>
      </c>
    </row>
    <row r="52" spans="2:81" outlineLevel="1">
      <c r="B52" t="s">
        <v>28</v>
      </c>
      <c r="C52" t="s">
        <v>120</v>
      </c>
      <c r="E52" s="9"/>
      <c r="F52" t="s">
        <v>111</v>
      </c>
      <c r="G52" s="10">
        <v>7.1174377224199295E-2</v>
      </c>
      <c r="I52" s="9">
        <f>+SUMIF($N$3:$YX$3,I$3,$N52:$YX52)</f>
        <v>0</v>
      </c>
      <c r="J52" s="11" cm="1">
        <f t="array" ref="J52">MAX(IF($N$3:$DF$3=$J$3,N52:DF52))</f>
        <v>0</v>
      </c>
      <c r="K52" s="11" cm="1">
        <f t="array" ref="K52">MAX(IF($N$3:$DF$3=$J$3,N52:DF52))</f>
        <v>0</v>
      </c>
      <c r="L52" s="9"/>
      <c r="O52" s="10"/>
      <c r="P52" s="10"/>
      <c r="Q52" s="10"/>
      <c r="R52" s="10"/>
      <c r="V52" s="10"/>
      <c r="W52" s="10"/>
      <c r="X52" s="10"/>
      <c r="Y52" s="10"/>
      <c r="AC52" s="10"/>
      <c r="AD52" s="10"/>
      <c r="AE52" s="10"/>
      <c r="AF52" s="10"/>
      <c r="AJ52" s="10"/>
      <c r="AK52" s="10"/>
      <c r="AL52" s="10"/>
      <c r="AM52" s="10"/>
      <c r="AQ52" s="10"/>
      <c r="AR52" s="10"/>
      <c r="AS52" s="10"/>
      <c r="AT52" s="10"/>
      <c r="AX52" s="10"/>
      <c r="AY52" s="10">
        <v>1</v>
      </c>
      <c r="AZ52" s="10"/>
      <c r="BA52" s="10">
        <v>1</v>
      </c>
      <c r="BE52" s="10"/>
      <c r="BF52" s="10"/>
      <c r="BG52" s="10"/>
      <c r="BH52" s="10"/>
      <c r="BL52" s="10"/>
      <c r="BM52" s="10"/>
      <c r="BN52" s="10"/>
      <c r="BO52" s="10"/>
      <c r="BS52" s="10"/>
      <c r="BT52" s="10">
        <v>0.8</v>
      </c>
      <c r="BU52" s="10"/>
      <c r="BV52" s="10">
        <v>0.8</v>
      </c>
      <c r="BZ52" s="10"/>
      <c r="CA52" s="10">
        <v>0.8</v>
      </c>
      <c r="CB52" s="10"/>
      <c r="CC52" s="10">
        <v>0.8</v>
      </c>
    </row>
    <row r="53" spans="2:81" outlineLevel="1">
      <c r="B53" t="s">
        <v>28</v>
      </c>
      <c r="C53" t="s">
        <v>120</v>
      </c>
      <c r="E53" s="9"/>
      <c r="F53" t="s">
        <v>112</v>
      </c>
      <c r="G53" s="10">
        <v>2.84697508896797E-2</v>
      </c>
      <c r="I53" s="9">
        <f>+SUMIF($N$3:$YX$3,I$3,$N53:$YX53)</f>
        <v>0</v>
      </c>
      <c r="J53" s="11" cm="1">
        <f t="array" ref="J53">MAX(IF($N$3:$DF$3=$J$3,N53:DF53))</f>
        <v>0</v>
      </c>
      <c r="K53" s="11" cm="1">
        <f t="array" ref="K53">MAX(IF($N$3:$DF$3=$J$3,N53:DF53))</f>
        <v>0</v>
      </c>
      <c r="L53" s="9"/>
      <c r="O53" s="10"/>
      <c r="P53" s="10"/>
      <c r="Q53" s="10"/>
      <c r="R53" s="10"/>
      <c r="V53" s="10"/>
      <c r="W53" s="10"/>
      <c r="X53" s="10"/>
      <c r="Y53" s="10"/>
      <c r="AC53" s="10"/>
      <c r="AD53" s="10"/>
      <c r="AE53" s="10"/>
      <c r="AF53" s="10"/>
      <c r="AJ53" s="10"/>
      <c r="AK53" s="10"/>
      <c r="AL53" s="10"/>
      <c r="AM53" s="10"/>
      <c r="AQ53" s="10"/>
      <c r="AR53" s="10"/>
      <c r="AS53" s="10"/>
      <c r="AT53" s="10"/>
      <c r="AX53" s="10"/>
      <c r="AY53" s="10">
        <v>1</v>
      </c>
      <c r="AZ53" s="10"/>
      <c r="BA53" s="10">
        <v>1</v>
      </c>
      <c r="BE53" s="10"/>
      <c r="BF53" s="10"/>
      <c r="BG53" s="10"/>
      <c r="BH53" s="10"/>
      <c r="BL53" s="10"/>
      <c r="BM53" s="10"/>
      <c r="BN53" s="10"/>
      <c r="BO53" s="10"/>
      <c r="BS53" s="10"/>
      <c r="BT53" s="10">
        <v>0.8</v>
      </c>
      <c r="BU53" s="10"/>
      <c r="BV53" s="10">
        <v>0.8</v>
      </c>
      <c r="BZ53" s="10"/>
      <c r="CA53" s="10">
        <v>0.8</v>
      </c>
      <c r="CB53" s="10"/>
      <c r="CC53" s="10">
        <v>0.8</v>
      </c>
    </row>
    <row r="54" spans="2:81" outlineLevel="1">
      <c r="B54" t="s">
        <v>28</v>
      </c>
      <c r="C54" t="s">
        <v>120</v>
      </c>
      <c r="E54" s="9"/>
      <c r="F54" t="s">
        <v>113</v>
      </c>
      <c r="G54" s="10">
        <v>1.42348754448399E-2</v>
      </c>
      <c r="I54" s="9">
        <f>+SUMIF($N$3:$YX$3,I$3,$N54:$YX54)</f>
        <v>2</v>
      </c>
      <c r="J54" s="11" cm="1">
        <f t="array" ref="J54">MAX(IF($N$3:$DF$3=$J$3,N54:DF54))</f>
        <v>0</v>
      </c>
      <c r="K54" s="11" cm="1">
        <f t="array" ref="K54">MAX(IF($N$3:$DF$3=$J$3,N54:DF54))</f>
        <v>0</v>
      </c>
      <c r="L54" s="9"/>
      <c r="N54">
        <v>2</v>
      </c>
      <c r="O54" s="10"/>
      <c r="P54" s="10"/>
      <c r="Q54" s="10"/>
      <c r="R54" s="10"/>
      <c r="V54" s="10"/>
      <c r="W54" s="10"/>
      <c r="X54" s="10"/>
      <c r="Y54" s="10"/>
      <c r="AC54" s="10"/>
      <c r="AD54" s="10"/>
      <c r="AE54" s="10"/>
      <c r="AF54" s="10"/>
      <c r="AJ54" s="10"/>
      <c r="AK54" s="10"/>
      <c r="AL54" s="10"/>
      <c r="AM54" s="10"/>
      <c r="AQ54" s="10"/>
      <c r="AR54" s="10"/>
      <c r="AS54" s="10"/>
      <c r="AT54" s="10"/>
      <c r="AX54" s="10"/>
      <c r="AY54" s="10">
        <v>1</v>
      </c>
      <c r="AZ54" s="10"/>
      <c r="BA54" s="10">
        <v>1</v>
      </c>
      <c r="BE54" s="10"/>
      <c r="BF54" s="10"/>
      <c r="BG54" s="10"/>
      <c r="BH54" s="10"/>
      <c r="BL54" s="10"/>
      <c r="BM54" s="10"/>
      <c r="BN54" s="10"/>
      <c r="BO54" s="10"/>
      <c r="BS54" s="10"/>
      <c r="BT54" s="10">
        <v>1</v>
      </c>
      <c r="BU54" s="10"/>
      <c r="BV54" s="10">
        <v>1</v>
      </c>
      <c r="BZ54" s="10"/>
      <c r="CA54" s="10">
        <v>1</v>
      </c>
      <c r="CB54" s="10"/>
      <c r="CC54" s="10">
        <v>1</v>
      </c>
    </row>
    <row r="55" spans="2:81" outlineLevel="1">
      <c r="B55" t="s">
        <v>28</v>
      </c>
      <c r="C55" t="s">
        <v>120</v>
      </c>
      <c r="E55" s="9"/>
      <c r="F55" t="s">
        <v>114</v>
      </c>
      <c r="G55" s="10">
        <v>3.2028469750889701E-2</v>
      </c>
      <c r="I55" s="9">
        <f>+SUMIF($N$3:$YX$3,I$3,$N55:$YX55)</f>
        <v>1.5</v>
      </c>
      <c r="J55" s="11" cm="1">
        <f t="array" ref="J55">MAX(IF($N$3:$DF$3=$J$3,N55:DF55))</f>
        <v>0</v>
      </c>
      <c r="K55" s="11" cm="1">
        <f t="array" ref="K55">MAX(IF($N$3:$DF$3=$J$3,N55:DF55))</f>
        <v>0</v>
      </c>
      <c r="L55" s="9"/>
      <c r="N55">
        <v>1.5</v>
      </c>
      <c r="O55" s="10"/>
      <c r="P55" s="10"/>
      <c r="Q55" s="10"/>
      <c r="R55" s="10"/>
      <c r="V55" s="10"/>
      <c r="W55" s="10"/>
      <c r="X55" s="10"/>
      <c r="Y55" s="10"/>
      <c r="AC55" s="10"/>
      <c r="AD55" s="10"/>
      <c r="AE55" s="10"/>
      <c r="AF55" s="10"/>
      <c r="AJ55" s="10"/>
      <c r="AK55" s="10"/>
      <c r="AL55" s="10"/>
      <c r="AM55" s="10"/>
      <c r="AQ55" s="10"/>
      <c r="AR55" s="10"/>
      <c r="AS55" s="10"/>
      <c r="AT55" s="10"/>
      <c r="AX55" s="10"/>
      <c r="AY55" s="10">
        <v>1</v>
      </c>
      <c r="AZ55" s="10"/>
      <c r="BA55" s="10">
        <v>1</v>
      </c>
      <c r="BE55" s="10"/>
      <c r="BF55" s="10"/>
      <c r="BG55" s="10"/>
      <c r="BH55" s="10"/>
      <c r="BL55" s="10"/>
      <c r="BM55" s="10"/>
      <c r="BN55" s="10"/>
      <c r="BO55" s="10"/>
      <c r="BS55" s="10"/>
      <c r="BT55" s="10">
        <v>0.8</v>
      </c>
      <c r="BU55" s="10"/>
      <c r="BV55" s="10">
        <v>0.8</v>
      </c>
      <c r="BZ55" s="10"/>
      <c r="CA55" s="10">
        <v>1</v>
      </c>
      <c r="CB55" s="10"/>
      <c r="CC55" s="10">
        <v>1</v>
      </c>
    </row>
    <row r="56" spans="2:81" outlineLevel="1">
      <c r="B56" t="s">
        <v>28</v>
      </c>
      <c r="C56" t="s">
        <v>120</v>
      </c>
      <c r="E56" s="9"/>
      <c r="F56" t="s">
        <v>115</v>
      </c>
      <c r="G56" s="10">
        <v>4.9822064056939501E-2</v>
      </c>
      <c r="I56" s="9">
        <f>+SUMIF($N$3:$YX$3,I$3,$N56:$YX56)</f>
        <v>1.5</v>
      </c>
      <c r="J56" s="11" cm="1">
        <f t="array" ref="J56">MAX(IF($N$3:$DF$3=$J$3,N56:DF56))</f>
        <v>0</v>
      </c>
      <c r="K56" s="11" cm="1">
        <f t="array" ref="K56">MAX(IF($N$3:$DF$3=$J$3,N56:DF56))</f>
        <v>0</v>
      </c>
      <c r="L56" s="9"/>
      <c r="N56">
        <v>1.5</v>
      </c>
      <c r="O56" s="10"/>
      <c r="P56" s="10"/>
      <c r="Q56" s="10"/>
      <c r="R56" s="10"/>
      <c r="V56" s="10"/>
      <c r="W56" s="10"/>
      <c r="X56" s="10"/>
      <c r="Y56" s="10"/>
      <c r="AC56" s="10"/>
      <c r="AD56" s="10"/>
      <c r="AE56" s="10"/>
      <c r="AF56" s="10"/>
      <c r="AJ56" s="10"/>
      <c r="AK56" s="10"/>
      <c r="AL56" s="10"/>
      <c r="AM56" s="10"/>
      <c r="AQ56" s="10"/>
      <c r="AR56" s="10"/>
      <c r="AS56" s="10"/>
      <c r="AT56" s="10"/>
      <c r="AX56" s="10"/>
      <c r="AY56" s="10">
        <v>1</v>
      </c>
      <c r="AZ56" s="10"/>
      <c r="BA56" s="10">
        <v>1</v>
      </c>
      <c r="BE56" s="10"/>
      <c r="BF56" s="10"/>
      <c r="BG56" s="10"/>
      <c r="BH56" s="10"/>
      <c r="BL56" s="10"/>
      <c r="BM56" s="10"/>
      <c r="BN56" s="10"/>
      <c r="BO56" s="10"/>
      <c r="BS56" s="10"/>
      <c r="BT56" s="10">
        <v>0.8</v>
      </c>
      <c r="BU56" s="10"/>
      <c r="BV56" s="10">
        <v>0.8</v>
      </c>
      <c r="BZ56" s="10"/>
      <c r="CA56" s="10">
        <v>1</v>
      </c>
      <c r="CB56" s="10"/>
      <c r="CC56" s="10">
        <v>1</v>
      </c>
    </row>
    <row r="57" spans="2:81" outlineLevel="1">
      <c r="B57" t="s">
        <v>28</v>
      </c>
      <c r="C57" t="s">
        <v>120</v>
      </c>
      <c r="E57" s="9"/>
      <c r="F57" t="s">
        <v>116</v>
      </c>
      <c r="G57" s="10">
        <v>4.6263345195729499E-2</v>
      </c>
      <c r="I57" s="9">
        <f>+SUMIF($N$3:$YX$3,I$3,$N57:$YX57)</f>
        <v>2</v>
      </c>
      <c r="J57" s="11" cm="1">
        <f t="array" ref="J57">MAX(IF($N$3:$DF$3=$J$3,N57:DF57))</f>
        <v>0</v>
      </c>
      <c r="K57" s="11" cm="1">
        <f t="array" ref="K57">MAX(IF($N$3:$DF$3=$J$3,N57:DF57))</f>
        <v>0</v>
      </c>
      <c r="L57" s="9"/>
      <c r="N57">
        <v>2</v>
      </c>
      <c r="O57" s="10"/>
      <c r="P57" s="10"/>
      <c r="Q57" s="10"/>
      <c r="R57" s="10"/>
      <c r="V57" s="10"/>
      <c r="W57" s="10"/>
      <c r="X57" s="10"/>
      <c r="Y57" s="10"/>
      <c r="AC57" s="10"/>
      <c r="AD57" s="10"/>
      <c r="AE57" s="10"/>
      <c r="AF57" s="10"/>
      <c r="AJ57" s="10"/>
      <c r="AK57" s="10"/>
      <c r="AL57" s="10"/>
      <c r="AM57" s="10"/>
      <c r="AQ57" s="10"/>
      <c r="AR57" s="10"/>
      <c r="AS57" s="10"/>
      <c r="AT57" s="10"/>
      <c r="AX57" s="10"/>
      <c r="AY57" s="10">
        <v>1</v>
      </c>
      <c r="AZ57" s="10"/>
      <c r="BA57" s="10">
        <v>1</v>
      </c>
      <c r="BE57" s="10"/>
      <c r="BF57" s="10"/>
      <c r="BG57" s="10"/>
      <c r="BH57" s="10"/>
      <c r="BL57" s="10"/>
      <c r="BM57" s="10"/>
      <c r="BN57" s="10"/>
      <c r="BO57" s="10"/>
      <c r="BS57" s="10"/>
      <c r="BT57" s="10">
        <v>0.8</v>
      </c>
      <c r="BU57" s="10"/>
      <c r="BV57" s="10">
        <v>0.8</v>
      </c>
      <c r="BZ57" s="10"/>
      <c r="CA57" s="10">
        <v>1</v>
      </c>
      <c r="CB57" s="10"/>
      <c r="CC57" s="10">
        <v>1</v>
      </c>
    </row>
    <row r="58" spans="2:81" outlineLevel="1">
      <c r="B58" t="s">
        <v>28</v>
      </c>
      <c r="C58" t="s">
        <v>120</v>
      </c>
      <c r="E58" s="9"/>
      <c r="F58" t="s">
        <v>117</v>
      </c>
      <c r="G58" s="10">
        <v>2.4911032028469799E-2</v>
      </c>
      <c r="I58" s="9">
        <f>+SUMIF($N$3:$YX$3,I$3,$N58:$YX58)</f>
        <v>0</v>
      </c>
      <c r="J58" s="11" cm="1">
        <f t="array" ref="J58">MAX(IF($N$3:$DF$3=$J$3,N58:DF58))</f>
        <v>0</v>
      </c>
      <c r="K58" s="11" cm="1">
        <f t="array" ref="K58">MAX(IF($N$3:$DF$3=$J$3,N58:DF58))</f>
        <v>0</v>
      </c>
      <c r="L58" s="9"/>
      <c r="O58" s="10"/>
      <c r="P58" s="10"/>
      <c r="Q58" s="10"/>
      <c r="R58" s="10"/>
      <c r="V58" s="10"/>
      <c r="W58" s="10"/>
      <c r="X58" s="10"/>
      <c r="Y58" s="10"/>
      <c r="AC58" s="10"/>
      <c r="AD58" s="10"/>
      <c r="AE58" s="10"/>
      <c r="AF58" s="10"/>
      <c r="AJ58" s="10"/>
      <c r="AK58" s="10"/>
      <c r="AL58" s="10"/>
      <c r="AM58" s="10"/>
      <c r="AQ58" s="10"/>
      <c r="AR58" s="10"/>
      <c r="AS58" s="10"/>
      <c r="AT58" s="10"/>
      <c r="AX58" s="10"/>
      <c r="AY58" s="10">
        <v>1</v>
      </c>
      <c r="AZ58" s="10"/>
      <c r="BA58" s="10">
        <v>1</v>
      </c>
      <c r="BE58" s="10"/>
      <c r="BF58" s="10"/>
      <c r="BG58" s="10"/>
      <c r="BH58" s="10"/>
      <c r="BL58" s="10"/>
      <c r="BM58" s="10"/>
      <c r="BN58" s="10"/>
      <c r="BO58" s="10"/>
      <c r="BS58" s="10"/>
      <c r="BT58" s="10">
        <v>0.8</v>
      </c>
      <c r="BU58" s="10"/>
      <c r="BV58" s="10">
        <v>0.8</v>
      </c>
      <c r="BZ58" s="10"/>
      <c r="CA58" s="10">
        <v>0.8</v>
      </c>
      <c r="CB58" s="10"/>
      <c r="CC58" s="10">
        <v>0.8</v>
      </c>
    </row>
    <row r="59" spans="2:81" outlineLevel="1">
      <c r="B59" t="s">
        <v>28</v>
      </c>
      <c r="C59" t="s">
        <v>120</v>
      </c>
      <c r="E59" s="9"/>
      <c r="F59" t="s">
        <v>118</v>
      </c>
      <c r="G59" s="10">
        <v>2.1352313167259801E-2</v>
      </c>
      <c r="I59" s="9">
        <f>+SUMIF($N$3:$YX$3,I$3,$N59:$YX59)</f>
        <v>0</v>
      </c>
      <c r="J59" s="11" cm="1">
        <f t="array" ref="J59">MAX(IF($N$3:$DF$3=$J$3,N59:DF59))</f>
        <v>0</v>
      </c>
      <c r="K59" s="11" cm="1">
        <f t="array" ref="K59">MAX(IF($N$3:$DF$3=$J$3,N59:DF59))</f>
        <v>0</v>
      </c>
      <c r="L59" s="9"/>
      <c r="O59" s="10"/>
      <c r="P59" s="10"/>
      <c r="Q59" s="10"/>
      <c r="R59" s="10"/>
      <c r="V59" s="10"/>
      <c r="W59" s="10"/>
      <c r="X59" s="10"/>
      <c r="Y59" s="10"/>
      <c r="AC59" s="10"/>
      <c r="AD59" s="10"/>
      <c r="AE59" s="10"/>
      <c r="AF59" s="10"/>
      <c r="AJ59" s="10"/>
      <c r="AK59" s="10"/>
      <c r="AL59" s="10"/>
      <c r="AM59" s="10"/>
      <c r="AQ59" s="10"/>
      <c r="AR59" s="10"/>
      <c r="AS59" s="10"/>
      <c r="AT59" s="10"/>
      <c r="AX59" s="10"/>
      <c r="AY59" s="10">
        <v>1</v>
      </c>
      <c r="AZ59" s="10"/>
      <c r="BA59" s="10">
        <v>1</v>
      </c>
      <c r="BE59" s="10"/>
      <c r="BF59" s="10"/>
      <c r="BG59" s="10"/>
      <c r="BH59" s="10"/>
      <c r="BL59" s="10"/>
      <c r="BM59" s="10"/>
      <c r="BN59" s="10"/>
      <c r="BO59" s="10"/>
      <c r="BS59" s="10"/>
      <c r="BT59" s="10">
        <v>0.8</v>
      </c>
      <c r="BU59" s="10"/>
      <c r="BV59" s="10">
        <v>0.8</v>
      </c>
      <c r="BZ59" s="10"/>
      <c r="CA59" s="10">
        <v>0.8</v>
      </c>
      <c r="CB59" s="10"/>
      <c r="CC59" s="10">
        <v>0.8</v>
      </c>
    </row>
    <row r="60" spans="2:81">
      <c r="R60" s="10"/>
      <c r="BA60" s="10"/>
    </row>
    <row r="61" spans="2:81">
      <c r="B61" t="s">
        <v>27</v>
      </c>
      <c r="C61" t="s">
        <v>127</v>
      </c>
      <c r="D61" s="19">
        <v>45253</v>
      </c>
      <c r="E61" s="9">
        <v>2.5</v>
      </c>
      <c r="G61" s="10">
        <f>+SUM(G62:G68)</f>
        <v>0.64999999999999991</v>
      </c>
      <c r="I61" s="12">
        <f>+SUM(I62:I68)</f>
        <v>0</v>
      </c>
      <c r="J61" s="11">
        <f>+SUMPRODUCT(G62:G68,J62:J68)</f>
        <v>0</v>
      </c>
      <c r="K61" s="11">
        <f>+SUMPRODUCT(G62:G68,K62:K68)</f>
        <v>0</v>
      </c>
      <c r="L61" s="9"/>
      <c r="N61" s="12">
        <f>+SUM(N62:N68)</f>
        <v>0</v>
      </c>
      <c r="R61" s="10"/>
      <c r="U61" s="12">
        <f>+SUM(U62:U68)</f>
        <v>0</v>
      </c>
      <c r="AB61" s="12">
        <f>+SUM(AB62:AB68)</f>
        <v>0</v>
      </c>
      <c r="AI61" s="12">
        <f>+SUM(AI62:AI68)</f>
        <v>0</v>
      </c>
      <c r="AP61" s="12">
        <f>+SUM(AP62:AP68)</f>
        <v>0</v>
      </c>
    </row>
    <row r="62" spans="2:81" outlineLevel="1">
      <c r="B62" t="s">
        <v>28</v>
      </c>
      <c r="C62" t="s">
        <v>127</v>
      </c>
      <c r="E62" s="9"/>
      <c r="F62" t="s">
        <v>30</v>
      </c>
      <c r="G62" s="10">
        <v>0.1</v>
      </c>
      <c r="I62" s="9">
        <f>+SUMIF($N$3:$YX$3,I$3,$N62:$YX62)</f>
        <v>0</v>
      </c>
      <c r="J62" s="11" cm="1">
        <f t="array" ref="J62">MAX(IF($N$3:$DF$3=$J$3,N62:DF62))</f>
        <v>0</v>
      </c>
      <c r="K62" s="11" cm="1">
        <f t="array" ref="K62">MAX(IF($N$3:$DF$3=$J$3,N62:DF62))</f>
        <v>0</v>
      </c>
      <c r="L62" s="9"/>
      <c r="O62" s="10"/>
      <c r="Q62" s="10"/>
      <c r="R62" s="10"/>
      <c r="V62" s="10"/>
      <c r="W62" s="10">
        <v>0.8</v>
      </c>
      <c r="X62" s="10"/>
      <c r="Y62" s="10">
        <v>0.8</v>
      </c>
      <c r="AC62" s="10"/>
      <c r="AD62" s="10">
        <v>1</v>
      </c>
      <c r="AE62" s="10"/>
      <c r="AF62" s="10">
        <v>1</v>
      </c>
      <c r="AJ62" s="10"/>
      <c r="AK62" s="10">
        <v>1</v>
      </c>
      <c r="AL62" s="10"/>
      <c r="AM62" s="10">
        <v>1</v>
      </c>
      <c r="AQ62" s="10"/>
      <c r="AR62" s="10">
        <v>1</v>
      </c>
      <c r="AS62" s="10"/>
      <c r="AT62" s="10">
        <v>1</v>
      </c>
      <c r="AX62" s="10"/>
      <c r="AY62" s="10"/>
      <c r="AZ62" s="10"/>
      <c r="BA62" s="10"/>
      <c r="BE62" s="10"/>
      <c r="BF62" s="10"/>
      <c r="BG62" s="10"/>
      <c r="BH62" s="10"/>
      <c r="BL62" s="10"/>
      <c r="BM62" s="10"/>
      <c r="BN62" s="10"/>
      <c r="BO62" s="10"/>
      <c r="BS62" s="10"/>
      <c r="BT62" s="10">
        <v>1</v>
      </c>
      <c r="BU62" s="10"/>
      <c r="BV62" s="10">
        <v>1</v>
      </c>
      <c r="BZ62" s="10"/>
      <c r="CA62" s="10">
        <v>1</v>
      </c>
      <c r="CB62" s="10"/>
      <c r="CC62" s="10">
        <v>1</v>
      </c>
    </row>
    <row r="63" spans="2:81" outlineLevel="1">
      <c r="B63" t="s">
        <v>28</v>
      </c>
      <c r="C63" t="s">
        <v>127</v>
      </c>
      <c r="E63" s="9"/>
      <c r="F63" t="s">
        <v>93</v>
      </c>
      <c r="G63" s="10">
        <v>0.05</v>
      </c>
      <c r="I63" s="9">
        <f>+SUMIF($N$3:$YX$3,I$3,$N63:$YX63)</f>
        <v>0</v>
      </c>
      <c r="J63" s="11" cm="1">
        <f t="array" ref="J63">MAX(IF($N$3:$DF$3=$J$3,N63:DF63))</f>
        <v>0</v>
      </c>
      <c r="K63" s="11" cm="1">
        <f t="array" ref="K63">MAX(IF($N$3:$DF$3=$J$3,N63:DF63))</f>
        <v>0</v>
      </c>
      <c r="L63" s="9"/>
      <c r="O63" s="10"/>
      <c r="Q63" s="10"/>
      <c r="R63" s="10"/>
      <c r="V63" s="10"/>
      <c r="W63" s="10">
        <v>0.8</v>
      </c>
      <c r="X63" s="10"/>
      <c r="Y63" s="10">
        <v>0.8</v>
      </c>
      <c r="AC63" s="10"/>
      <c r="AD63" s="10">
        <v>1</v>
      </c>
      <c r="AE63" s="10"/>
      <c r="AF63" s="10">
        <v>1</v>
      </c>
      <c r="AJ63" s="10"/>
      <c r="AK63" s="10">
        <v>1</v>
      </c>
      <c r="AL63" s="10"/>
      <c r="AM63" s="10">
        <v>1</v>
      </c>
      <c r="AQ63" s="10"/>
      <c r="AR63" s="10">
        <v>1</v>
      </c>
      <c r="AS63" s="10"/>
      <c r="AT63" s="10">
        <v>1</v>
      </c>
      <c r="AX63" s="10"/>
      <c r="AY63" s="10"/>
      <c r="AZ63" s="10"/>
      <c r="BA63" s="10"/>
      <c r="BE63" s="10"/>
      <c r="BF63" s="10"/>
      <c r="BG63" s="10"/>
      <c r="BH63" s="10"/>
      <c r="BL63" s="10"/>
      <c r="BM63" s="10"/>
      <c r="BN63" s="10"/>
      <c r="BO63" s="10"/>
      <c r="BS63" s="10"/>
      <c r="BT63" s="10">
        <v>1</v>
      </c>
      <c r="BU63" s="10"/>
      <c r="BV63" s="10">
        <v>1</v>
      </c>
      <c r="BZ63" s="10"/>
      <c r="CA63" s="10">
        <v>1</v>
      </c>
      <c r="CB63" s="10"/>
      <c r="CC63" s="10">
        <v>1</v>
      </c>
    </row>
    <row r="64" spans="2:81" outlineLevel="1">
      <c r="B64" t="s">
        <v>28</v>
      </c>
      <c r="C64" t="s">
        <v>127</v>
      </c>
      <c r="E64" s="9"/>
      <c r="F64" t="s">
        <v>31</v>
      </c>
      <c r="G64" s="10">
        <v>0.1</v>
      </c>
      <c r="I64" s="9">
        <f>+SUMIF($N$3:$YX$3,I$3,$N64:$YX64)</f>
        <v>0</v>
      </c>
      <c r="J64" s="11" cm="1">
        <f t="array" ref="J64">MAX(IF($N$3:$DF$3=$J$3,N64:DF64))</f>
        <v>0</v>
      </c>
      <c r="K64" s="11" cm="1">
        <f t="array" ref="K64">MAX(IF($N$3:$DF$3=$J$3,N64:DF64))</f>
        <v>0</v>
      </c>
      <c r="L64" s="9"/>
      <c r="O64" s="10"/>
      <c r="Q64" s="10"/>
      <c r="R64" s="10"/>
      <c r="V64" s="10"/>
      <c r="W64" s="10">
        <v>0.8</v>
      </c>
      <c r="X64" s="10"/>
      <c r="Y64" s="10">
        <v>0.8</v>
      </c>
      <c r="AC64" s="10"/>
      <c r="AD64" s="10">
        <v>1</v>
      </c>
      <c r="AE64" s="10"/>
      <c r="AF64" s="10">
        <v>1</v>
      </c>
      <c r="AJ64" s="10"/>
      <c r="AK64" s="10">
        <v>1</v>
      </c>
      <c r="AL64" s="10"/>
      <c r="AM64" s="10">
        <v>1</v>
      </c>
      <c r="AQ64" s="10"/>
      <c r="AR64" s="10">
        <v>1</v>
      </c>
      <c r="AS64" s="10"/>
      <c r="AT64" s="10">
        <v>1</v>
      </c>
      <c r="AX64" s="10"/>
      <c r="AY64" s="10"/>
      <c r="AZ64" s="10"/>
      <c r="BA64" s="10"/>
      <c r="BE64" s="10"/>
      <c r="BF64" s="10"/>
      <c r="BG64" s="10"/>
      <c r="BH64" s="10"/>
      <c r="BL64" s="10"/>
      <c r="BM64" s="10"/>
      <c r="BN64" s="10"/>
      <c r="BO64" s="10"/>
      <c r="BS64" s="10"/>
      <c r="BT64" s="10">
        <v>0.8</v>
      </c>
      <c r="BU64" s="10"/>
      <c r="BV64" s="10">
        <v>0.8</v>
      </c>
      <c r="BZ64" s="10"/>
      <c r="CA64" s="10">
        <v>1</v>
      </c>
      <c r="CB64" s="10"/>
      <c r="CC64" s="10">
        <v>1</v>
      </c>
    </row>
    <row r="65" spans="2:81" outlineLevel="1">
      <c r="B65" t="s">
        <v>28</v>
      </c>
      <c r="C65" t="s">
        <v>127</v>
      </c>
      <c r="E65" s="9"/>
      <c r="F65" t="s">
        <v>32</v>
      </c>
      <c r="G65" s="10">
        <v>0.1</v>
      </c>
      <c r="I65" s="9">
        <f>+SUMIF($N$3:$YX$3,I$3,$N65:$YX65)</f>
        <v>0</v>
      </c>
      <c r="J65" s="11" cm="1">
        <f t="array" ref="J65">MAX(IF($N$3:$DF$3=$J$3,N65:DF65))</f>
        <v>0</v>
      </c>
      <c r="K65" s="11" cm="1">
        <f t="array" ref="K65">MAX(IF($N$3:$DF$3=$J$3,N65:DF65))</f>
        <v>0</v>
      </c>
      <c r="L65" s="9"/>
      <c r="O65" s="10"/>
      <c r="Q65" s="10"/>
      <c r="R65" s="10"/>
      <c r="V65" s="10"/>
      <c r="W65" s="10">
        <v>0.8</v>
      </c>
      <c r="X65" s="10"/>
      <c r="Y65" s="10">
        <v>0.8</v>
      </c>
      <c r="AC65" s="10"/>
      <c r="AD65" s="10">
        <v>1</v>
      </c>
      <c r="AE65" s="10"/>
      <c r="AF65" s="10">
        <v>1</v>
      </c>
      <c r="AJ65" s="10"/>
      <c r="AK65" s="10">
        <v>1</v>
      </c>
      <c r="AL65" s="10"/>
      <c r="AM65" s="10">
        <v>1</v>
      </c>
      <c r="AQ65" s="10"/>
      <c r="AR65" s="10">
        <v>1</v>
      </c>
      <c r="AS65" s="10"/>
      <c r="AT65" s="10">
        <v>1</v>
      </c>
      <c r="AX65" s="10"/>
      <c r="AY65" s="10"/>
      <c r="AZ65" s="10"/>
      <c r="BA65" s="10"/>
      <c r="BE65" s="10"/>
      <c r="BF65" s="10"/>
      <c r="BG65" s="10"/>
      <c r="BH65" s="10"/>
      <c r="BL65" s="10"/>
      <c r="BM65" s="10"/>
      <c r="BN65" s="10"/>
      <c r="BO65" s="10"/>
      <c r="BS65" s="10"/>
      <c r="BT65" s="10">
        <v>0.8</v>
      </c>
      <c r="BU65" s="10"/>
      <c r="BV65" s="10">
        <v>0.8</v>
      </c>
      <c r="BZ65" s="10"/>
      <c r="CA65" s="10">
        <v>1</v>
      </c>
      <c r="CB65" s="10"/>
      <c r="CC65" s="10">
        <v>1</v>
      </c>
    </row>
    <row r="66" spans="2:81" outlineLevel="1">
      <c r="B66" t="s">
        <v>28</v>
      </c>
      <c r="C66" t="s">
        <v>127</v>
      </c>
      <c r="E66" s="9"/>
      <c r="F66" t="s">
        <v>33</v>
      </c>
      <c r="G66" s="10">
        <v>0.1</v>
      </c>
      <c r="I66" s="9">
        <f>+SUMIF($N$3:$YX$3,I$3,$N66:$YX66)</f>
        <v>0</v>
      </c>
      <c r="J66" s="11" cm="1">
        <f t="array" ref="J66">MAX(IF($N$3:$DF$3=$J$3,N66:DF66))</f>
        <v>0</v>
      </c>
      <c r="K66" s="11" cm="1">
        <f t="array" ref="K66">MAX(IF($N$3:$DF$3=$J$3,N66:DF66))</f>
        <v>0</v>
      </c>
      <c r="L66" s="9"/>
      <c r="O66" s="10"/>
      <c r="Q66" s="10"/>
      <c r="R66" s="10"/>
      <c r="V66" s="10"/>
      <c r="W66" s="10">
        <v>0.8</v>
      </c>
      <c r="X66" s="10"/>
      <c r="Y66" s="10">
        <v>0.8</v>
      </c>
      <c r="AC66" s="10"/>
      <c r="AD66" s="10">
        <v>0.8</v>
      </c>
      <c r="AE66" s="10"/>
      <c r="AF66" s="10">
        <v>0.8</v>
      </c>
      <c r="AJ66" s="10"/>
      <c r="AK66" s="10">
        <v>1</v>
      </c>
      <c r="AL66" s="10"/>
      <c r="AM66" s="10">
        <v>1</v>
      </c>
      <c r="AQ66" s="10"/>
      <c r="AR66" s="10">
        <v>1</v>
      </c>
      <c r="AS66" s="10"/>
      <c r="AT66" s="10">
        <v>1</v>
      </c>
      <c r="AX66" s="10"/>
      <c r="AY66" s="10"/>
      <c r="AZ66" s="10"/>
      <c r="BA66" s="10"/>
      <c r="BE66" s="10"/>
      <c r="BF66" s="10"/>
      <c r="BG66" s="10"/>
      <c r="BH66" s="10"/>
      <c r="BL66" s="10"/>
      <c r="BM66" s="10"/>
      <c r="BN66" s="10"/>
      <c r="BO66" s="10"/>
      <c r="BS66" s="10"/>
      <c r="BT66" s="10">
        <v>0.8</v>
      </c>
      <c r="BU66" s="10"/>
      <c r="BV66" s="10">
        <v>0.8</v>
      </c>
      <c r="BZ66" s="10"/>
      <c r="CA66" s="10">
        <v>1</v>
      </c>
      <c r="CB66" s="10"/>
      <c r="CC66" s="10">
        <v>1</v>
      </c>
    </row>
    <row r="67" spans="2:81" outlineLevel="1">
      <c r="B67" t="s">
        <v>28</v>
      </c>
      <c r="C67" t="s">
        <v>127</v>
      </c>
      <c r="E67" s="9"/>
      <c r="F67" t="s">
        <v>34</v>
      </c>
      <c r="G67" s="10">
        <v>0.1</v>
      </c>
      <c r="I67" s="9">
        <f>+SUMIF($N$3:$YX$3,I$3,$N67:$YX67)</f>
        <v>0</v>
      </c>
      <c r="J67" s="11" cm="1">
        <f t="array" ref="J67">MAX(IF($N$3:$DF$3=$J$3,N67:DF67))</f>
        <v>0</v>
      </c>
      <c r="K67" s="11" cm="1">
        <f t="array" ref="K67">MAX(IF($N$3:$DF$3=$J$3,N67:DF67))</f>
        <v>0</v>
      </c>
      <c r="L67" s="9"/>
      <c r="O67" s="10"/>
      <c r="P67" s="10"/>
      <c r="Q67" s="10"/>
      <c r="R67" s="10"/>
      <c r="V67" s="10"/>
      <c r="W67" s="10">
        <v>0.8</v>
      </c>
      <c r="X67" s="10"/>
      <c r="Y67" s="10">
        <v>0.8</v>
      </c>
      <c r="AC67" s="10"/>
      <c r="AD67" s="10">
        <v>0.8</v>
      </c>
      <c r="AE67" s="10"/>
      <c r="AF67" s="10">
        <v>0.8</v>
      </c>
      <c r="AJ67" s="10"/>
      <c r="AK67" s="10">
        <v>1</v>
      </c>
      <c r="AL67" s="10"/>
      <c r="AM67" s="10">
        <v>1</v>
      </c>
      <c r="AQ67" s="10"/>
      <c r="AR67" s="10">
        <v>1</v>
      </c>
      <c r="AS67" s="10"/>
      <c r="AT67" s="10">
        <v>1</v>
      </c>
      <c r="AX67" s="10"/>
      <c r="AY67" s="10"/>
      <c r="AZ67" s="10"/>
      <c r="BA67" s="10"/>
      <c r="BE67" s="10"/>
      <c r="BF67" s="10"/>
      <c r="BG67" s="10"/>
      <c r="BH67" s="10"/>
      <c r="BL67" s="10"/>
      <c r="BM67" s="10"/>
      <c r="BN67" s="10"/>
      <c r="BO67" s="10"/>
      <c r="BS67" s="10"/>
      <c r="BT67" s="10">
        <v>0.8</v>
      </c>
      <c r="BU67" s="10"/>
      <c r="BV67" s="10">
        <v>0.8</v>
      </c>
      <c r="BZ67" s="10"/>
      <c r="CA67" s="10">
        <v>0.8</v>
      </c>
      <c r="CB67" s="10"/>
      <c r="CC67" s="10">
        <v>0.8</v>
      </c>
    </row>
    <row r="68" spans="2:81" outlineLevel="1">
      <c r="B68" t="s">
        <v>28</v>
      </c>
      <c r="C68" t="s">
        <v>127</v>
      </c>
      <c r="E68" s="9"/>
      <c r="F68" t="s">
        <v>35</v>
      </c>
      <c r="G68" s="10">
        <v>0.1</v>
      </c>
      <c r="I68" s="9">
        <f>+SUMIF($N$3:$YX$3,I$3,$N68:$YX68)</f>
        <v>0</v>
      </c>
      <c r="J68" s="11" cm="1">
        <f t="array" ref="J68">MAX(IF($N$3:$DF$3=$J$3,N68:DF68))</f>
        <v>0</v>
      </c>
      <c r="K68" s="11" cm="1">
        <f t="array" ref="K68">MAX(IF($N$3:$DF$3=$J$3,N68:DF68))</f>
        <v>0</v>
      </c>
      <c r="L68" s="9"/>
      <c r="O68" s="10"/>
      <c r="P68" s="10"/>
      <c r="Q68" s="10"/>
      <c r="R68" s="10"/>
      <c r="V68" s="10"/>
      <c r="W68" s="10">
        <v>0.8</v>
      </c>
      <c r="X68" s="10"/>
      <c r="Y68" s="10">
        <v>0.8</v>
      </c>
      <c r="AC68" s="10"/>
      <c r="AD68" s="10">
        <v>0.8</v>
      </c>
      <c r="AE68" s="10"/>
      <c r="AF68" s="10">
        <v>0.8</v>
      </c>
      <c r="AJ68" s="10"/>
      <c r="AK68" s="10">
        <v>1</v>
      </c>
      <c r="AL68" s="10"/>
      <c r="AM68" s="10">
        <v>1</v>
      </c>
      <c r="AQ68" s="10"/>
      <c r="AR68" s="10">
        <v>1</v>
      </c>
      <c r="AS68" s="10"/>
      <c r="AT68" s="10">
        <v>1</v>
      </c>
      <c r="AX68" s="10"/>
      <c r="AY68" s="10"/>
      <c r="AZ68" s="10"/>
      <c r="BA68" s="10"/>
      <c r="BE68" s="10"/>
      <c r="BF68" s="10"/>
      <c r="BG68" s="10"/>
      <c r="BH68" s="10"/>
      <c r="BL68" s="10"/>
      <c r="BM68" s="10"/>
      <c r="BN68" s="10"/>
      <c r="BO68" s="10"/>
      <c r="BS68" s="10"/>
      <c r="BT68" s="10">
        <v>0.8</v>
      </c>
      <c r="BU68" s="10"/>
      <c r="BV68" s="10">
        <v>0.8</v>
      </c>
      <c r="BZ68" s="10"/>
      <c r="CA68" s="10">
        <v>0.8</v>
      </c>
      <c r="CB68" s="10"/>
      <c r="CC68" s="10">
        <v>0.8</v>
      </c>
    </row>
  </sheetData>
  <mergeCells count="11">
    <mergeCell ref="BK2:BP2"/>
    <mergeCell ref="BR2:BW2"/>
    <mergeCell ref="BY2:CD2"/>
    <mergeCell ref="I2:L2"/>
    <mergeCell ref="N2:S2"/>
    <mergeCell ref="BD2:BI2"/>
    <mergeCell ref="U2:Z2"/>
    <mergeCell ref="AB2:AG2"/>
    <mergeCell ref="AI2:AN2"/>
    <mergeCell ref="AP2:AU2"/>
    <mergeCell ref="AW2:BB2"/>
  </mergeCells>
  <conditionalFormatting sqref="J5:J16">
    <cfRule type="colorScale" priority="752">
      <colorScale>
        <cfvo type="percent" val="0"/>
        <cfvo type="percent" val="100"/>
        <color rgb="FFFF231B"/>
        <color rgb="FF10FF07"/>
      </colorScale>
    </cfRule>
  </conditionalFormatting>
  <conditionalFormatting sqref="J33:J39">
    <cfRule type="colorScale" priority="845">
      <colorScale>
        <cfvo type="percent" val="0"/>
        <cfvo type="percent" val="100"/>
        <color rgb="FFFF231B"/>
        <color rgb="FF10FF07"/>
      </colorScale>
    </cfRule>
  </conditionalFormatting>
  <conditionalFormatting sqref="J6:K10">
    <cfRule type="colorScale" priority="723">
      <colorScale>
        <cfvo type="percent" val="0"/>
        <cfvo type="percent" val="100"/>
        <color rgb="FFFF231B"/>
        <color rgb="FF10FF07"/>
      </colorScale>
    </cfRule>
  </conditionalFormatting>
  <conditionalFormatting sqref="J34:K39">
    <cfRule type="colorScale" priority="843">
      <colorScale>
        <cfvo type="percent" val="0"/>
        <cfvo type="percent" val="100"/>
        <color rgb="FFFF231B"/>
        <color rgb="FF10FF07"/>
      </colorScale>
    </cfRule>
  </conditionalFormatting>
  <conditionalFormatting sqref="K5:K16">
    <cfRule type="colorScale" priority="753">
      <colorScale>
        <cfvo type="percent" val="0"/>
        <cfvo type="percent" val="100"/>
        <color rgb="FFFF231B"/>
        <color rgb="FF10FF07"/>
      </colorScale>
    </cfRule>
  </conditionalFormatting>
  <conditionalFormatting sqref="K33:K39">
    <cfRule type="colorScale" priority="847">
      <colorScale>
        <cfvo type="percent" val="0"/>
        <cfvo type="percent" val="100"/>
        <color rgb="FFFF231B"/>
        <color rgb="FF10FF07"/>
      </colorScale>
    </cfRule>
  </conditionalFormatting>
  <conditionalFormatting sqref="AC5:AC16 AE5:AE16 AJ5:AJ16 AQ5:AQ16 AX5:AX16 AZ5:AZ16 BE5:BE16 BG5:BG16 BL5:BL16 BN5:BN16 V25:V30 X25:X30 AC25:AC30 AE25:AE30 AJ25:AJ30 AL25:AL30 AQ25:AQ30 AS25:AS30 AZ25:AZ30 BE25:BE30 BG25:BG30 BL25:BL30 BN25:BN30 BS25:BS30 BU25:BU30 BZ25:BZ30 CB25:CB30 AS5:AS22 AL5 AL7:AL16 V5:V16 X5:X16 O5:O16 Q5:Q16 O25:O30 Q25:Q30">
    <cfRule type="expression" dxfId="143" priority="720">
      <formula>OR(IF(O5&lt;P5,TRUE),IF(AND(P5="",O5&lt;&gt;""),TRUE))</formula>
    </cfRule>
    <cfRule type="expression" dxfId="142" priority="721">
      <formula>IF(O5&gt;=P5,IF(O5="",FALSE,TRUE))</formula>
    </cfRule>
  </conditionalFormatting>
  <conditionalFormatting sqref="AC33:AC39">
    <cfRule type="expression" dxfId="133" priority="432">
      <formula>OR(IF(AC33&lt;AD33,TRUE),IF(AND(AD33="",AC33&lt;&gt;""),TRUE))</formula>
    </cfRule>
    <cfRule type="expression" dxfId="132" priority="433">
      <formula>IF(AC33&gt;=AD33,IF(AC33="",FALSE,TRUE))</formula>
    </cfRule>
  </conditionalFormatting>
  <conditionalFormatting sqref="AE33:AE39">
    <cfRule type="expression" dxfId="131" priority="430">
      <formula>OR(IF(AE33&lt;AF33,TRUE),IF(AND(AF33="",AE33&lt;&gt;""),TRUE))</formula>
    </cfRule>
    <cfRule type="expression" dxfId="130" priority="431">
      <formula>IF(AE33&gt;=AF33,IF(AE33="",FALSE,TRUE))</formula>
    </cfRule>
  </conditionalFormatting>
  <conditionalFormatting sqref="AJ33:AJ39">
    <cfRule type="expression" dxfId="129" priority="424">
      <formula>OR(IF(AJ33&lt;AK33,TRUE),IF(AND(AK33="",AJ33&lt;&gt;""),TRUE))</formula>
    </cfRule>
    <cfRule type="expression" dxfId="128" priority="425">
      <formula>IF(AJ33&gt;=AK33,IF(AJ33="",FALSE,TRUE))</formula>
    </cfRule>
  </conditionalFormatting>
  <conditionalFormatting sqref="AL33:AL39">
    <cfRule type="expression" dxfId="127" priority="422">
      <formula>OR(IF(AL33&lt;AM33,TRUE),IF(AND(AM33="",AL33&lt;&gt;""),TRUE))</formula>
    </cfRule>
    <cfRule type="expression" dxfId="126" priority="423">
      <formula>IF(AL33&gt;=AM33,IF(AL33="",FALSE,TRUE))</formula>
    </cfRule>
  </conditionalFormatting>
  <conditionalFormatting sqref="AQ33:AQ39">
    <cfRule type="expression" dxfId="125" priority="416">
      <formula>OR(IF(AQ33&lt;AR33,TRUE),IF(AND(AR33="",AQ33&lt;&gt;""),TRUE))</formula>
    </cfRule>
    <cfRule type="expression" dxfId="124" priority="417">
      <formula>IF(AQ33&gt;=AR33,IF(AQ33="",FALSE,TRUE))</formula>
    </cfRule>
  </conditionalFormatting>
  <conditionalFormatting sqref="AS33:AS39">
    <cfRule type="expression" dxfId="123" priority="414">
      <formula>OR(IF(AS33&lt;AT33,TRUE),IF(AND(AT33="",AS33&lt;&gt;""),TRUE))</formula>
    </cfRule>
    <cfRule type="expression" dxfId="122" priority="415">
      <formula>IF(AS33&gt;=AT33,IF(AS33="",FALSE,TRUE))</formula>
    </cfRule>
  </conditionalFormatting>
  <conditionalFormatting sqref="AX33:AX39">
    <cfRule type="expression" dxfId="121" priority="408">
      <formula>OR(IF(AX33&lt;AY33,TRUE),IF(AND(AY33="",AX33&lt;&gt;""),TRUE))</formula>
    </cfRule>
    <cfRule type="expression" dxfId="120" priority="409">
      <formula>IF(AX33&gt;=AY33,IF(AX33="",FALSE,TRUE))</formula>
    </cfRule>
  </conditionalFormatting>
  <conditionalFormatting sqref="AZ33:AZ39">
    <cfRule type="expression" dxfId="119" priority="406">
      <formula>OR(IF(AZ33&lt;BA33,TRUE),IF(AND(BA33="",AZ33&lt;&gt;""),TRUE))</formula>
    </cfRule>
    <cfRule type="expression" dxfId="118" priority="407">
      <formula>IF(AZ33&gt;=BA33,IF(AZ33="",FALSE,TRUE))</formula>
    </cfRule>
  </conditionalFormatting>
  <conditionalFormatting sqref="BE33:BE39">
    <cfRule type="expression" dxfId="117" priority="400">
      <formula>OR(IF(BE33&lt;BF33,TRUE),IF(AND(BF33="",BE33&lt;&gt;""),TRUE))</formula>
    </cfRule>
    <cfRule type="expression" dxfId="116" priority="401">
      <formula>IF(BE33&gt;=BF33,IF(BE33="",FALSE,TRUE))</formula>
    </cfRule>
  </conditionalFormatting>
  <conditionalFormatting sqref="BG33:BG39">
    <cfRule type="expression" dxfId="115" priority="398">
      <formula>OR(IF(BG33&lt;BH33,TRUE),IF(AND(BH33="",BG33&lt;&gt;""),TRUE))</formula>
    </cfRule>
    <cfRule type="expression" dxfId="114" priority="399">
      <formula>IF(BG33&gt;=BH33,IF(BG33="",FALSE,TRUE))</formula>
    </cfRule>
  </conditionalFormatting>
  <conditionalFormatting sqref="BL33:BL39">
    <cfRule type="expression" dxfId="113" priority="389">
      <formula>OR(IF(BL33&lt;BM33,TRUE),IF(AND(BM33="",BL33&lt;&gt;""),TRUE))</formula>
    </cfRule>
    <cfRule type="expression" dxfId="112" priority="390">
      <formula>IF(BL33&gt;=BM33,IF(BL33="",FALSE,TRUE))</formula>
    </cfRule>
  </conditionalFormatting>
  <conditionalFormatting sqref="BN33:BN39">
    <cfRule type="expression" dxfId="111" priority="387">
      <formula>OR(IF(BN33&lt;BO33,TRUE),IF(AND(BO33="",BN33&lt;&gt;""),TRUE))</formula>
    </cfRule>
    <cfRule type="expression" dxfId="110" priority="388">
      <formula>IF(BN33&gt;=BO33,IF(BN33="",FALSE,TRUE))</formula>
    </cfRule>
  </conditionalFormatting>
  <conditionalFormatting sqref="BS5:BS16 BU5:BU16">
    <cfRule type="expression" dxfId="109" priority="276">
      <formula>OR(IF(BS5&lt;BT5,TRUE),IF(AND(BT5="",BS5&lt;&gt;""),TRUE))</formula>
    </cfRule>
    <cfRule type="expression" dxfId="108" priority="277">
      <formula>IF(BS5&gt;=BT5,IF(BS5="",FALSE,TRUE))</formula>
    </cfRule>
  </conditionalFormatting>
  <conditionalFormatting sqref="BS33:BS39">
    <cfRule type="expression" dxfId="107" priority="264">
      <formula>OR(IF(BS33&lt;BT33,TRUE),IF(AND(BT33="",BS33&lt;&gt;""),TRUE))</formula>
    </cfRule>
    <cfRule type="expression" dxfId="106" priority="265">
      <formula>IF(BS33&gt;=BT33,IF(BS33="",FALSE,TRUE))</formula>
    </cfRule>
  </conditionalFormatting>
  <conditionalFormatting sqref="BU33:BU39">
    <cfRule type="expression" dxfId="105" priority="262">
      <formula>OR(IF(BU33&lt;BV33,TRUE),IF(AND(BV33="",BU33&lt;&gt;""),TRUE))</formula>
    </cfRule>
    <cfRule type="expression" dxfId="104" priority="263">
      <formula>IF(BU33&gt;=BV33,IF(BU33="",FALSE,TRUE))</formula>
    </cfRule>
  </conditionalFormatting>
  <conditionalFormatting sqref="BZ5:BZ16">
    <cfRule type="expression" dxfId="103" priority="256">
      <formula>OR(IF(BZ5&lt;CA5,TRUE),IF(AND(CA5="",BZ5&lt;&gt;""),TRUE))</formula>
    </cfRule>
    <cfRule type="expression" dxfId="102" priority="257">
      <formula>IF(BZ5&gt;=CA5,IF(BZ5="",FALSE,TRUE))</formula>
    </cfRule>
  </conditionalFormatting>
  <conditionalFormatting sqref="BZ33:BZ39">
    <cfRule type="expression" dxfId="101" priority="244">
      <formula>OR(IF(BZ33&lt;CA33,TRUE),IF(AND(CA33="",BZ33&lt;&gt;""),TRUE))</formula>
    </cfRule>
    <cfRule type="expression" dxfId="100" priority="245">
      <formula>IF(BZ33&gt;=CA33,IF(BZ33="",FALSE,TRUE))</formula>
    </cfRule>
  </conditionalFormatting>
  <conditionalFormatting sqref="CB5:CB16">
    <cfRule type="expression" dxfId="99" priority="156">
      <formula>OR(IF(CB5&lt;CC5,TRUE),IF(AND(CC5="",CB5&lt;&gt;""),TRUE))</formula>
    </cfRule>
    <cfRule type="expression" dxfId="98" priority="157">
      <formula>IF(CB5&gt;=CC5,IF(CB5="",FALSE,TRUE))</formula>
    </cfRule>
  </conditionalFormatting>
  <conditionalFormatting sqref="CB33:CB39">
    <cfRule type="expression" dxfId="97" priority="242">
      <formula>OR(IF(CB33&lt;CC33,TRUE),IF(AND(CC33="",CB33&lt;&gt;""),TRUE))</formula>
    </cfRule>
    <cfRule type="expression" dxfId="96" priority="243">
      <formula>IF(CB33&gt;=CC33,IF(CB33="",FALSE,TRUE))</formula>
    </cfRule>
  </conditionalFormatting>
  <conditionalFormatting sqref="J12:K16">
    <cfRule type="colorScale" priority="136">
      <colorScale>
        <cfvo type="percent" val="0"/>
        <cfvo type="percent" val="100"/>
        <color rgb="FFFF231B"/>
        <color rgb="FF10FF07"/>
      </colorScale>
    </cfRule>
  </conditionalFormatting>
  <conditionalFormatting sqref="J17:J22">
    <cfRule type="colorScale" priority="134">
      <colorScale>
        <cfvo type="percent" val="0"/>
        <cfvo type="percent" val="100"/>
        <color rgb="FFFF231B"/>
        <color rgb="FF10FF07"/>
      </colorScale>
    </cfRule>
  </conditionalFormatting>
  <conditionalFormatting sqref="K17:K22">
    <cfRule type="colorScale" priority="135">
      <colorScale>
        <cfvo type="percent" val="0"/>
        <cfvo type="percent" val="100"/>
        <color rgb="FFFF231B"/>
        <color rgb="FF10FF07"/>
      </colorScale>
    </cfRule>
  </conditionalFormatting>
  <conditionalFormatting sqref="AC17:AC22 AE17:AE22 AJ17:AJ22 AL17:AL22 AQ17:AQ22 AX17:AX22 AZ17:AZ22 BE17:BE22 BG17:BG22 BL17:BL22 BN17:BN22 V17:V22 X17:X22 O17:O22 Q17:Q22">
    <cfRule type="expression" dxfId="95" priority="132">
      <formula>OR(IF(O17&lt;P17,TRUE),IF(AND(P17="",O17&lt;&gt;""),TRUE))</formula>
    </cfRule>
    <cfRule type="expression" dxfId="94" priority="133">
      <formula>IF(O17&gt;=P17,IF(O17="",FALSE,TRUE))</formula>
    </cfRule>
  </conditionalFormatting>
  <conditionalFormatting sqref="BS17:BS22 BU17:BU22">
    <cfRule type="expression" dxfId="93" priority="130">
      <formula>OR(IF(BS17&lt;BT17,TRUE),IF(AND(BT17="",BS17&lt;&gt;""),TRUE))</formula>
    </cfRule>
    <cfRule type="expression" dxfId="92" priority="131">
      <formula>IF(BS17&gt;=BT17,IF(BS17="",FALSE,TRUE))</formula>
    </cfRule>
  </conditionalFormatting>
  <conditionalFormatting sqref="BZ17:BZ22">
    <cfRule type="expression" dxfId="91" priority="128">
      <formula>OR(IF(BZ17&lt;CA17,TRUE),IF(AND(CA17="",BZ17&lt;&gt;""),TRUE))</formula>
    </cfRule>
    <cfRule type="expression" dxfId="90" priority="129">
      <formula>IF(BZ17&gt;=CA17,IF(BZ17="",FALSE,TRUE))</formula>
    </cfRule>
  </conditionalFormatting>
  <conditionalFormatting sqref="CB17:CB22">
    <cfRule type="expression" dxfId="89" priority="118">
      <formula>OR(IF(CB17&lt;CC17,TRUE),IF(AND(CC17="",CB17&lt;&gt;""),TRUE))</formula>
    </cfRule>
    <cfRule type="expression" dxfId="88" priority="119">
      <formula>IF(CB17&gt;=CC17,IF(CB17="",FALSE,TRUE))</formula>
    </cfRule>
  </conditionalFormatting>
  <conditionalFormatting sqref="J18:K22">
    <cfRule type="colorScale" priority="117">
      <colorScale>
        <cfvo type="percent" val="0"/>
        <cfvo type="percent" val="100"/>
        <color rgb="FFFF231B"/>
        <color rgb="FF10FF07"/>
      </colorScale>
    </cfRule>
  </conditionalFormatting>
  <conditionalFormatting sqref="J42:J53">
    <cfRule type="colorScale" priority="115">
      <colorScale>
        <cfvo type="percent" val="0"/>
        <cfvo type="percent" val="100"/>
        <color rgb="FFFF231B"/>
        <color rgb="FF10FF07"/>
      </colorScale>
    </cfRule>
  </conditionalFormatting>
  <conditionalFormatting sqref="J43:K47">
    <cfRule type="colorScale" priority="114">
      <colorScale>
        <cfvo type="percent" val="0"/>
        <cfvo type="percent" val="100"/>
        <color rgb="FFFF231B"/>
        <color rgb="FF10FF07"/>
      </colorScale>
    </cfRule>
  </conditionalFormatting>
  <conditionalFormatting sqref="K42:K53">
    <cfRule type="colorScale" priority="116">
      <colorScale>
        <cfvo type="percent" val="0"/>
        <cfvo type="percent" val="100"/>
        <color rgb="FFFF231B"/>
        <color rgb="FF10FF07"/>
      </colorScale>
    </cfRule>
  </conditionalFormatting>
  <conditionalFormatting sqref="Q42:Q53 V42:V53 X42:X53 AC42:AC53 AE42:AE53 AJ42:AJ53 AL42:AL53 AQ42:AQ53 AS42:AS53 AX42:AX53 AZ42:AZ53 BE42:BE53 BG42:BG53 BL42:BL53 BN42:BN53 O42:O58">
    <cfRule type="expression" dxfId="87" priority="112">
      <formula>OR(IF(O42&lt;P42,TRUE),IF(AND(P42="",O42&lt;&gt;""),TRUE))</formula>
    </cfRule>
    <cfRule type="expression" dxfId="86" priority="113">
      <formula>IF(O42&gt;=P42,IF(O42="",FALSE,TRUE))</formula>
    </cfRule>
  </conditionalFormatting>
  <conditionalFormatting sqref="BS42:BS53 BU42:BU53">
    <cfRule type="expression" dxfId="85" priority="110">
      <formula>OR(IF(BS42&lt;BT42,TRUE),IF(AND(BT42="",BS42&lt;&gt;""),TRUE))</formula>
    </cfRule>
    <cfRule type="expression" dxfId="84" priority="111">
      <formula>IF(BS42&gt;=BT42,IF(BS42="",FALSE,TRUE))</formula>
    </cfRule>
  </conditionalFormatting>
  <conditionalFormatting sqref="BZ42:BZ53">
    <cfRule type="expression" dxfId="83" priority="108">
      <formula>OR(IF(BZ42&lt;CA42,TRUE),IF(AND(CA42="",BZ42&lt;&gt;""),TRUE))</formula>
    </cfRule>
    <cfRule type="expression" dxfId="82" priority="109">
      <formula>IF(BZ42&gt;=CA42,IF(BZ42="",FALSE,TRUE))</formula>
    </cfRule>
  </conditionalFormatting>
  <conditionalFormatting sqref="CB42:CB53">
    <cfRule type="expression" dxfId="81" priority="98">
      <formula>OR(IF(CB42&lt;CC42,TRUE),IF(AND(CC42="",CB42&lt;&gt;""),TRUE))</formula>
    </cfRule>
    <cfRule type="expression" dxfId="80" priority="99">
      <formula>IF(CB42&gt;=CC42,IF(CB42="",FALSE,TRUE))</formula>
    </cfRule>
  </conditionalFormatting>
  <conditionalFormatting sqref="J49:K53">
    <cfRule type="colorScale" priority="97">
      <colorScale>
        <cfvo type="percent" val="0"/>
        <cfvo type="percent" val="100"/>
        <color rgb="FFFF231B"/>
        <color rgb="FF10FF07"/>
      </colorScale>
    </cfRule>
  </conditionalFormatting>
  <conditionalFormatting sqref="J54:J59">
    <cfRule type="colorScale" priority="95">
      <colorScale>
        <cfvo type="percent" val="0"/>
        <cfvo type="percent" val="100"/>
        <color rgb="FFFF231B"/>
        <color rgb="FF10FF07"/>
      </colorScale>
    </cfRule>
  </conditionalFormatting>
  <conditionalFormatting sqref="K54:K59">
    <cfRule type="colorScale" priority="96">
      <colorScale>
        <cfvo type="percent" val="0"/>
        <cfvo type="percent" val="100"/>
        <color rgb="FFFF231B"/>
        <color rgb="FF10FF07"/>
      </colorScale>
    </cfRule>
  </conditionalFormatting>
  <conditionalFormatting sqref="O59 Q54:Q59 V54:V59 X54:X59 AC54:AC59 AE54:AE59 AJ54:AJ59 AL54:AL59 AQ54:AQ59 AS54:AS59 AX54:AX59 AZ54:AZ59 BE54:BE59 BG54:BG59 BL54:BL59 BN54:BN59">
    <cfRule type="expression" dxfId="79" priority="93">
      <formula>OR(IF(O54&lt;P54,TRUE),IF(AND(P54="",O54&lt;&gt;""),TRUE))</formula>
    </cfRule>
    <cfRule type="expression" dxfId="78" priority="94">
      <formula>IF(O54&gt;=P54,IF(O54="",FALSE,TRUE))</formula>
    </cfRule>
  </conditionalFormatting>
  <conditionalFormatting sqref="BS54:BS59 BU54:BU59">
    <cfRule type="expression" dxfId="77" priority="91">
      <formula>OR(IF(BS54&lt;BT54,TRUE),IF(AND(BT54="",BS54&lt;&gt;""),TRUE))</formula>
    </cfRule>
    <cfRule type="expression" dxfId="76" priority="92">
      <formula>IF(BS54&gt;=BT54,IF(BS54="",FALSE,TRUE))</formula>
    </cfRule>
  </conditionalFormatting>
  <conditionalFormatting sqref="BZ54:BZ59">
    <cfRule type="expression" dxfId="75" priority="89">
      <formula>OR(IF(BZ54&lt;CA54,TRUE),IF(AND(CA54="",BZ54&lt;&gt;""),TRUE))</formula>
    </cfRule>
    <cfRule type="expression" dxfId="74" priority="90">
      <formula>IF(BZ54&gt;=CA54,IF(BZ54="",FALSE,TRUE))</formula>
    </cfRule>
  </conditionalFormatting>
  <conditionalFormatting sqref="CB54:CB59">
    <cfRule type="expression" dxfId="73" priority="79">
      <formula>OR(IF(CB54&lt;CC54,TRUE),IF(AND(CC54="",CB54&lt;&gt;""),TRUE))</formula>
    </cfRule>
    <cfRule type="expression" dxfId="72" priority="80">
      <formula>IF(CB54&gt;=CC54,IF(CB54="",FALSE,TRUE))</formula>
    </cfRule>
  </conditionalFormatting>
  <conditionalFormatting sqref="J55:K59">
    <cfRule type="colorScale" priority="78">
      <colorScale>
        <cfvo type="percent" val="0"/>
        <cfvo type="percent" val="100"/>
        <color rgb="FFFF231B"/>
        <color rgb="FF10FF07"/>
      </colorScale>
    </cfRule>
  </conditionalFormatting>
  <conditionalFormatting sqref="J25:J30">
    <cfRule type="colorScale" priority="848">
      <colorScale>
        <cfvo type="percent" val="0"/>
        <cfvo type="percent" val="100"/>
        <color rgb="FFFF231B"/>
        <color rgb="FF10FF07"/>
      </colorScale>
    </cfRule>
  </conditionalFormatting>
  <conditionalFormatting sqref="J26:K30">
    <cfRule type="colorScale" priority="849">
      <colorScale>
        <cfvo type="percent" val="0"/>
        <cfvo type="percent" val="100"/>
        <color rgb="FFFF231B"/>
        <color rgb="FF10FF07"/>
      </colorScale>
    </cfRule>
  </conditionalFormatting>
  <conditionalFormatting sqref="K25:K30">
    <cfRule type="colorScale" priority="850">
      <colorScale>
        <cfvo type="percent" val="0"/>
        <cfvo type="percent" val="100"/>
        <color rgb="FFFF231B"/>
        <color rgb="FF10FF07"/>
      </colorScale>
    </cfRule>
  </conditionalFormatting>
  <conditionalFormatting sqref="J62:J68">
    <cfRule type="colorScale" priority="76">
      <colorScale>
        <cfvo type="percent" val="0"/>
        <cfvo type="percent" val="100"/>
        <color rgb="FFFF231B"/>
        <color rgb="FF10FF07"/>
      </colorScale>
    </cfRule>
  </conditionalFormatting>
  <conditionalFormatting sqref="J63:K68">
    <cfRule type="colorScale" priority="75">
      <colorScale>
        <cfvo type="percent" val="0"/>
        <cfvo type="percent" val="100"/>
        <color rgb="FFFF231B"/>
        <color rgb="FF10FF07"/>
      </colorScale>
    </cfRule>
  </conditionalFormatting>
  <conditionalFormatting sqref="K62:K68">
    <cfRule type="colorScale" priority="77">
      <colorScale>
        <cfvo type="percent" val="0"/>
        <cfvo type="percent" val="100"/>
        <color rgb="FFFF231B"/>
        <color rgb="FF10FF07"/>
      </colorScale>
    </cfRule>
  </conditionalFormatting>
  <conditionalFormatting sqref="O62:O68">
    <cfRule type="expression" dxfId="71" priority="73">
      <formula>OR(IF(O62&lt;P62,TRUE),IF(AND(P62="",O62&lt;&gt;""),TRUE))</formula>
    </cfRule>
    <cfRule type="expression" dxfId="70" priority="74">
      <formula>IF(O62&gt;=P62,IF(O62="",FALSE,TRUE))</formula>
    </cfRule>
  </conditionalFormatting>
  <conditionalFormatting sqref="Q62:Q68">
    <cfRule type="expression" dxfId="69" priority="71">
      <formula>OR(IF(Q62&lt;R62,TRUE),IF(AND(R62="",Q62&lt;&gt;""),TRUE))</formula>
    </cfRule>
    <cfRule type="expression" dxfId="68" priority="72">
      <formula>IF(Q62&gt;=R62,IF(Q62="",FALSE,TRUE))</formula>
    </cfRule>
  </conditionalFormatting>
  <conditionalFormatting sqref="AJ62:AJ68">
    <cfRule type="expression" dxfId="59" priority="61">
      <formula>OR(IF(AJ62&lt;AK62,TRUE),IF(AND(AK62="",AJ62&lt;&gt;""),TRUE))</formula>
    </cfRule>
    <cfRule type="expression" dxfId="58" priority="62">
      <formula>IF(AJ62&gt;=AK62,IF(AJ62="",FALSE,TRUE))</formula>
    </cfRule>
  </conditionalFormatting>
  <conditionalFormatting sqref="AL62:AL68">
    <cfRule type="expression" dxfId="57" priority="59">
      <formula>OR(IF(AL62&lt;AM62,TRUE),IF(AND(AM62="",AL62&lt;&gt;""),TRUE))</formula>
    </cfRule>
    <cfRule type="expression" dxfId="56" priority="60">
      <formula>IF(AL62&gt;=AM62,IF(AL62="",FALSE,TRUE))</formula>
    </cfRule>
  </conditionalFormatting>
  <conditionalFormatting sqref="AQ62:AQ68">
    <cfRule type="expression" dxfId="55" priority="57">
      <formula>OR(IF(AQ62&lt;AR62,TRUE),IF(AND(AR62="",AQ62&lt;&gt;""),TRUE))</formula>
    </cfRule>
    <cfRule type="expression" dxfId="54" priority="58">
      <formula>IF(AQ62&gt;=AR62,IF(AQ62="",FALSE,TRUE))</formula>
    </cfRule>
  </conditionalFormatting>
  <conditionalFormatting sqref="AS62:AS68">
    <cfRule type="expression" dxfId="53" priority="55">
      <formula>OR(IF(AS62&lt;AT62,TRUE),IF(AND(AT62="",AS62&lt;&gt;""),TRUE))</formula>
    </cfRule>
    <cfRule type="expression" dxfId="52" priority="56">
      <formula>IF(AS62&gt;=AT62,IF(AS62="",FALSE,TRUE))</formula>
    </cfRule>
  </conditionalFormatting>
  <conditionalFormatting sqref="AX62:AX68">
    <cfRule type="expression" dxfId="51" priority="53">
      <formula>OR(IF(AX62&lt;AY62,TRUE),IF(AND(AY62="",AX62&lt;&gt;""),TRUE))</formula>
    </cfRule>
    <cfRule type="expression" dxfId="50" priority="54">
      <formula>IF(AX62&gt;=AY62,IF(AX62="",FALSE,TRUE))</formula>
    </cfRule>
  </conditionalFormatting>
  <conditionalFormatting sqref="AZ62:AZ68">
    <cfRule type="expression" dxfId="49" priority="51">
      <formula>OR(IF(AZ62&lt;BA62,TRUE),IF(AND(BA62="",AZ62&lt;&gt;""),TRUE))</formula>
    </cfRule>
    <cfRule type="expression" dxfId="48" priority="52">
      <formula>IF(AZ62&gt;=BA62,IF(AZ62="",FALSE,TRUE))</formula>
    </cfRule>
  </conditionalFormatting>
  <conditionalFormatting sqref="BE62:BE68">
    <cfRule type="expression" dxfId="47" priority="49">
      <formula>OR(IF(BE62&lt;BF62,TRUE),IF(AND(BF62="",BE62&lt;&gt;""),TRUE))</formula>
    </cfRule>
    <cfRule type="expression" dxfId="46" priority="50">
      <formula>IF(BE62&gt;=BF62,IF(BE62="",FALSE,TRUE))</formula>
    </cfRule>
  </conditionalFormatting>
  <conditionalFormatting sqref="BG62:BG68">
    <cfRule type="expression" dxfId="45" priority="47">
      <formula>OR(IF(BG62&lt;BH62,TRUE),IF(AND(BH62="",BG62&lt;&gt;""),TRUE))</formula>
    </cfRule>
    <cfRule type="expression" dxfId="44" priority="48">
      <formula>IF(BG62&gt;=BH62,IF(BG62="",FALSE,TRUE))</formula>
    </cfRule>
  </conditionalFormatting>
  <conditionalFormatting sqref="BL62:BL68">
    <cfRule type="expression" dxfId="43" priority="45">
      <formula>OR(IF(BL62&lt;BM62,TRUE),IF(AND(BM62="",BL62&lt;&gt;""),TRUE))</formula>
    </cfRule>
    <cfRule type="expression" dxfId="42" priority="46">
      <formula>IF(BL62&gt;=BM62,IF(BL62="",FALSE,TRUE))</formula>
    </cfRule>
  </conditionalFormatting>
  <conditionalFormatting sqref="BN62:BN68">
    <cfRule type="expression" dxfId="41" priority="43">
      <formula>OR(IF(BN62&lt;BO62,TRUE),IF(AND(BO62="",BN62&lt;&gt;""),TRUE))</formula>
    </cfRule>
    <cfRule type="expression" dxfId="40" priority="44">
      <formula>IF(BN62&gt;=BO62,IF(BN62="",FALSE,TRUE))</formula>
    </cfRule>
  </conditionalFormatting>
  <conditionalFormatting sqref="BS62:BS68">
    <cfRule type="expression" dxfId="39" priority="41">
      <formula>OR(IF(BS62&lt;BT62,TRUE),IF(AND(BT62="",BS62&lt;&gt;""),TRUE))</formula>
    </cfRule>
    <cfRule type="expression" dxfId="38" priority="42">
      <formula>IF(BS62&gt;=BT62,IF(BS62="",FALSE,TRUE))</formula>
    </cfRule>
  </conditionalFormatting>
  <conditionalFormatting sqref="BU62:BU68">
    <cfRule type="expression" dxfId="37" priority="39">
      <formula>OR(IF(BU62&lt;BV62,TRUE),IF(AND(BV62="",BU62&lt;&gt;""),TRUE))</formula>
    </cfRule>
    <cfRule type="expression" dxfId="36" priority="40">
      <formula>IF(BU62&gt;=BV62,IF(BU62="",FALSE,TRUE))</formula>
    </cfRule>
  </conditionalFormatting>
  <conditionalFormatting sqref="BZ62:BZ68">
    <cfRule type="expression" dxfId="35" priority="37">
      <formula>OR(IF(BZ62&lt;CA62,TRUE),IF(AND(CA62="",BZ62&lt;&gt;""),TRUE))</formula>
    </cfRule>
    <cfRule type="expression" dxfId="34" priority="38">
      <formula>IF(BZ62&gt;=CA62,IF(BZ62="",FALSE,TRUE))</formula>
    </cfRule>
  </conditionalFormatting>
  <conditionalFormatting sqref="CB62:CB68">
    <cfRule type="expression" dxfId="33" priority="35">
      <formula>OR(IF(CB62&lt;CC62,TRUE),IF(AND(CC62="",CB62&lt;&gt;""),TRUE))</formula>
    </cfRule>
    <cfRule type="expression" dxfId="32" priority="36">
      <formula>IF(CB62&gt;=CC62,IF(CB62="",FALSE,TRUE))</formula>
    </cfRule>
  </conditionalFormatting>
  <conditionalFormatting sqref="AL6">
    <cfRule type="expression" dxfId="31" priority="853">
      <formula>OR(IF(AL6&lt;AM7,TRUE),IF(AND(AM7="",AL6&lt;&gt;""),TRUE))</formula>
    </cfRule>
    <cfRule type="expression" dxfId="30" priority="854">
      <formula>IF(AL6&gt;=AM7,IF(AL6="",FALSE,TRUE))</formula>
    </cfRule>
  </conditionalFormatting>
  <conditionalFormatting sqref="AX25:AX30">
    <cfRule type="expression" dxfId="29" priority="17">
      <formula>OR(IF(AX25&lt;AY25,TRUE),IF(AND(AY25="",AX25&lt;&gt;""),TRUE))</formula>
    </cfRule>
    <cfRule type="expression" dxfId="28" priority="18">
      <formula>IF(AX25&gt;=AY25,IF(AX25="",FALSE,TRUE))</formula>
    </cfRule>
  </conditionalFormatting>
  <conditionalFormatting sqref="AC62:AC68">
    <cfRule type="expression" dxfId="15" priority="15">
      <formula>OR(IF(AC62&lt;AD62,TRUE),IF(AND(AD62="",AC62&lt;&gt;""),TRUE))</formula>
    </cfRule>
    <cfRule type="expression" dxfId="14" priority="16">
      <formula>IF(AC62&gt;=AD62,IF(AC62="",FALSE,TRUE))</formula>
    </cfRule>
  </conditionalFormatting>
  <conditionalFormatting sqref="AE62:AE68">
    <cfRule type="expression" dxfId="13" priority="13">
      <formula>OR(IF(AE62&lt;AF62,TRUE),IF(AND(AF62="",AE62&lt;&gt;""),TRUE))</formula>
    </cfRule>
    <cfRule type="expression" dxfId="12" priority="14">
      <formula>IF(AE62&gt;=AF62,IF(AE62="",FALSE,TRUE))</formula>
    </cfRule>
  </conditionalFormatting>
  <conditionalFormatting sqref="V33:V39">
    <cfRule type="expression" dxfId="11" priority="11">
      <formula>OR(IF(V33&lt;W33,TRUE),IF(AND(W33="",V33&lt;&gt;""),TRUE))</formula>
    </cfRule>
    <cfRule type="expression" dxfId="10" priority="12">
      <formula>IF(V33&gt;=W33,IF(V33="",FALSE,TRUE))</formula>
    </cfRule>
  </conditionalFormatting>
  <conditionalFormatting sqref="X33:X39">
    <cfRule type="expression" dxfId="9" priority="9">
      <formula>OR(IF(X33&lt;Y33,TRUE),IF(AND(Y33="",X33&lt;&gt;""),TRUE))</formula>
    </cfRule>
    <cfRule type="expression" dxfId="8" priority="10">
      <formula>IF(X33&gt;=Y33,IF(X33="",FALSE,TRUE))</formula>
    </cfRule>
  </conditionalFormatting>
  <conditionalFormatting sqref="V62:V68">
    <cfRule type="expression" dxfId="7" priority="7">
      <formula>OR(IF(V62&lt;W62,TRUE),IF(AND(W62="",V62&lt;&gt;""),TRUE))</formula>
    </cfRule>
    <cfRule type="expression" dxfId="6" priority="8">
      <formula>IF(V62&gt;=W62,IF(V62="",FALSE,TRUE))</formula>
    </cfRule>
  </conditionalFormatting>
  <conditionalFormatting sqref="X62:X68">
    <cfRule type="expression" dxfId="5" priority="5">
      <formula>OR(IF(X62&lt;Y62,TRUE),IF(AND(Y62="",X62&lt;&gt;""),TRUE))</formula>
    </cfRule>
    <cfRule type="expression" dxfId="4" priority="6">
      <formula>IF(X62&gt;=Y62,IF(X62="",FALSE,TRUE))</formula>
    </cfRule>
  </conditionalFormatting>
  <conditionalFormatting sqref="O33:O39">
    <cfRule type="expression" dxfId="3" priority="3">
      <formula>OR(IF(O33&lt;P33,TRUE),IF(AND(P33="",O33&lt;&gt;""),TRUE))</formula>
    </cfRule>
    <cfRule type="expression" dxfId="2" priority="4">
      <formula>IF(O33&gt;=P33,IF(O33="",FALSE,TRUE))</formula>
    </cfRule>
  </conditionalFormatting>
  <conditionalFormatting sqref="Q33:Q39">
    <cfRule type="expression" dxfId="1" priority="1">
      <formula>OR(IF(Q33&lt;R33,TRUE),IF(AND(R33="",Q33&lt;&gt;""),TRUE))</formula>
    </cfRule>
    <cfRule type="expression" dxfId="0" priority="2">
      <formula>IF(Q33&gt;=R33,IF(Q33="",FALSE,TRUE))</formula>
    </cfRule>
  </conditionalFormatting>
  <dataValidations count="1">
    <dataValidation type="list" allowBlank="1" showInputMessage="1" showErrorMessage="1" sqref="BL25:BO30 AX5:AZ22 AQ25:AT30 AX25:BA30 AC25:AF30 V25:Y30 BL33:BO39 O62:O68 AX33:BA39 BE33:BH39 AQ42:AT59 AJ5:AM22 AC33:AF39 V5:Y22 BS33:BV39 BS25:BV30 BZ33:CC39 BZ25:CC30 BE25:BH30 AX42:AZ59 P67:P68 BE5:BH22 BL5:BO22 BS5:BV22 BZ5:CC22 BZ62:CC68 AC62:AF68 AJ62:AM68 AJ42:AM59 AQ33:AT39 AJ25:AM30 BE42:BH59 BL42:BO59 BS42:BV59 BZ42:CC59 O25:R30 V42:Y59 AC42:AF59 BL62:BO68 AX62:BA68 BE62:BH68 AQ62:AT68 AJ33:AM39 AC5:AF22 V33:Y39 BS62:BV68 V62:Y68 Q62:Q68 BA5:BA23 BA42:BA60 AQ5:AT22 O5:R22 O42:Q59 R42:R68 R31 O33:R39" xr:uid="{DF46768B-76BD-4AD1-BDD9-05E5E50A35C8}">
      <formula1>"10%,20%,30%,40%,50%,60%,70%,80%,90%,100%"</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B25"/>
  <sheetViews>
    <sheetView topLeftCell="A30" workbookViewId="0">
      <selection activeCell="B2" sqref="B2"/>
    </sheetView>
  </sheetViews>
  <sheetFormatPr baseColWidth="10" defaultColWidth="10.6640625" defaultRowHeight="15.5"/>
  <cols>
    <col min="2" max="2" width="161" customWidth="1"/>
    <col min="3" max="3" width="10.83203125"/>
  </cols>
  <sheetData>
    <row r="4" spans="2:2" ht="21">
      <c r="B4" s="3" t="s">
        <v>16</v>
      </c>
    </row>
    <row r="6" spans="2:2">
      <c r="B6" s="2" t="s">
        <v>13</v>
      </c>
    </row>
    <row r="7" spans="2:2" ht="46.5">
      <c r="B7" s="1" t="s">
        <v>14</v>
      </c>
    </row>
    <row r="9" spans="2:2">
      <c r="B9" s="2" t="s">
        <v>15</v>
      </c>
    </row>
    <row r="10" spans="2:2" ht="62">
      <c r="B10" s="1" t="s">
        <v>41</v>
      </c>
    </row>
    <row r="12" spans="2:2">
      <c r="B12" s="2" t="s">
        <v>17</v>
      </c>
    </row>
    <row r="13" spans="2:2" ht="124">
      <c r="B13" s="1" t="s">
        <v>18</v>
      </c>
    </row>
    <row r="15" spans="2:2">
      <c r="B15" s="2" t="s">
        <v>19</v>
      </c>
    </row>
    <row r="16" spans="2:2" ht="108.5">
      <c r="B16" s="1" t="s">
        <v>20</v>
      </c>
    </row>
    <row r="17" spans="2:2">
      <c r="B17" s="1"/>
    </row>
    <row r="18" spans="2:2">
      <c r="B18" s="2" t="s">
        <v>40</v>
      </c>
    </row>
    <row r="19" spans="2:2" ht="139.5">
      <c r="B19" s="1" t="s">
        <v>42</v>
      </c>
    </row>
    <row r="21" spans="2:2">
      <c r="B21" s="2" t="s">
        <v>21</v>
      </c>
    </row>
    <row r="22" spans="2:2" ht="124">
      <c r="B22" s="1" t="s">
        <v>43</v>
      </c>
    </row>
    <row r="24" spans="2:2">
      <c r="B24" s="2" t="s">
        <v>22</v>
      </c>
    </row>
    <row r="25" spans="2:2" ht="124">
      <c r="B25" s="1"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J10" sqref="J10"/>
    </sheetView>
  </sheetViews>
  <sheetFormatPr baseColWidth="10" defaultColWidth="10.6640625" defaultRowHeight="15.5"/>
  <cols>
    <col min="1" max="1" width="16.83203125" style="9" customWidth="1"/>
    <col min="2" max="2" width="19.1640625" style="9" customWidth="1"/>
    <col min="3" max="3" width="18.1640625" style="9" customWidth="1"/>
    <col min="4" max="4" width="19.5" style="9" customWidth="1"/>
    <col min="8" max="8" width="15.1640625" customWidth="1"/>
    <col min="10" max="10" width="42" customWidth="1"/>
    <col min="11" max="11" width="28.5" customWidth="1"/>
  </cols>
  <sheetData>
    <row r="1" spans="1:11" ht="31">
      <c r="A1" s="9" t="s">
        <v>47</v>
      </c>
      <c r="B1" s="15" t="s">
        <v>44</v>
      </c>
      <c r="C1" s="15" t="s">
        <v>45</v>
      </c>
      <c r="D1" s="15" t="s">
        <v>46</v>
      </c>
      <c r="E1" s="1" t="s">
        <v>48</v>
      </c>
      <c r="F1" s="1" t="s">
        <v>49</v>
      </c>
      <c r="G1" s="1" t="s">
        <v>50</v>
      </c>
      <c r="H1" s="1" t="s">
        <v>51</v>
      </c>
      <c r="I1" s="1" t="s">
        <v>52</v>
      </c>
      <c r="J1" s="1" t="s">
        <v>53</v>
      </c>
      <c r="K1" s="1" t="s">
        <v>54</v>
      </c>
    </row>
    <row r="2" spans="1:11">
      <c r="A2" s="14">
        <v>44118</v>
      </c>
      <c r="D2" s="11">
        <v>1</v>
      </c>
    </row>
    <row r="3" spans="1:11">
      <c r="A3" s="14">
        <v>44119</v>
      </c>
    </row>
    <row r="4" spans="1:11">
      <c r="A4" s="14">
        <v>44120</v>
      </c>
    </row>
    <row r="5" spans="1:11">
      <c r="A5" s="14">
        <v>44121</v>
      </c>
    </row>
    <row r="6" spans="1:11">
      <c r="A6" s="14">
        <v>44122</v>
      </c>
    </row>
    <row r="7" spans="1:11">
      <c r="A7" s="14">
        <v>44123</v>
      </c>
    </row>
    <row r="8" spans="1:11">
      <c r="A8" s="14">
        <v>44124</v>
      </c>
    </row>
    <row r="9" spans="1:11">
      <c r="A9" s="14">
        <v>44125</v>
      </c>
    </row>
    <row r="10" spans="1:11">
      <c r="A10" s="14">
        <v>44126</v>
      </c>
    </row>
    <row r="11" spans="1:11">
      <c r="A11" s="14">
        <v>44127</v>
      </c>
    </row>
    <row r="12" spans="1:11">
      <c r="A12" s="14">
        <v>44128</v>
      </c>
    </row>
    <row r="13" spans="1:11">
      <c r="A13" s="14">
        <v>44129</v>
      </c>
    </row>
    <row r="14" spans="1:11">
      <c r="A14" s="14">
        <v>44130</v>
      </c>
    </row>
    <row r="15" spans="1:11">
      <c r="A15" s="14">
        <v>44131</v>
      </c>
    </row>
    <row r="16" spans="1:11">
      <c r="A16" s="14">
        <v>44132</v>
      </c>
    </row>
    <row r="17" spans="1:1">
      <c r="A17" s="14">
        <v>44133</v>
      </c>
    </row>
    <row r="18" spans="1:1">
      <c r="A18" s="14">
        <v>44134</v>
      </c>
    </row>
    <row r="19" spans="1:1">
      <c r="A19" s="14">
        <v>44135</v>
      </c>
    </row>
    <row r="20" spans="1:1">
      <c r="A20" s="14">
        <v>44136</v>
      </c>
    </row>
    <row r="21" spans="1:1">
      <c r="A21" s="14">
        <v>44137</v>
      </c>
    </row>
    <row r="22" spans="1:1">
      <c r="A22" s="14">
        <v>44138</v>
      </c>
    </row>
    <row r="23" spans="1:1">
      <c r="A23" s="14">
        <v>44139</v>
      </c>
    </row>
    <row r="24" spans="1:1">
      <c r="A24" s="14">
        <v>44140</v>
      </c>
    </row>
    <row r="25" spans="1:1">
      <c r="A25" s="14">
        <v>44141</v>
      </c>
    </row>
    <row r="26" spans="1:1">
      <c r="A26" s="14">
        <v>44142</v>
      </c>
    </row>
    <row r="27" spans="1:1">
      <c r="A27" s="14">
        <v>44143</v>
      </c>
    </row>
    <row r="28" spans="1:1">
      <c r="A28" s="14">
        <v>44144</v>
      </c>
    </row>
    <row r="29" spans="1:1">
      <c r="A29" s="14">
        <v>44145</v>
      </c>
    </row>
    <row r="30" spans="1:1">
      <c r="A30" s="14">
        <v>44146</v>
      </c>
    </row>
    <row r="31" spans="1:1">
      <c r="A31" s="14">
        <v>44147</v>
      </c>
    </row>
    <row r="32" spans="1:1">
      <c r="A32" s="14">
        <v>44148</v>
      </c>
    </row>
    <row r="33" spans="1:1">
      <c r="A33" s="14">
        <v>44149</v>
      </c>
    </row>
    <row r="34" spans="1:1">
      <c r="A34" s="14">
        <v>44150</v>
      </c>
    </row>
    <row r="35" spans="1:1">
      <c r="A35" s="14">
        <v>44151</v>
      </c>
    </row>
    <row r="36" spans="1:1">
      <c r="A36" s="14">
        <v>44152</v>
      </c>
    </row>
    <row r="37" spans="1:1">
      <c r="A37" s="14">
        <v>44153</v>
      </c>
    </row>
    <row r="38" spans="1:1">
      <c r="A38" s="14">
        <v>44154</v>
      </c>
    </row>
    <row r="39" spans="1:1">
      <c r="A39" s="14">
        <v>44155</v>
      </c>
    </row>
    <row r="40" spans="1:1">
      <c r="A40" s="14">
        <v>44156</v>
      </c>
    </row>
    <row r="41" spans="1:1">
      <c r="A41" s="14">
        <v>44157</v>
      </c>
    </row>
    <row r="42" spans="1:1">
      <c r="A42" s="14">
        <v>44158</v>
      </c>
    </row>
    <row r="43" spans="1:1">
      <c r="A43" s="14">
        <v>44159</v>
      </c>
    </row>
    <row r="44" spans="1:1">
      <c r="A44" s="14">
        <v>44160</v>
      </c>
    </row>
    <row r="45" spans="1:1">
      <c r="A45" s="14">
        <v>44161</v>
      </c>
    </row>
    <row r="46" spans="1:1">
      <c r="A46" s="14">
        <v>44162</v>
      </c>
    </row>
  </sheetData>
  <conditionalFormatting sqref="B2:B46">
    <cfRule type="cellIs" dxfId="27" priority="4" operator="equal">
      <formula>"Ja"</formula>
    </cfRule>
    <cfRule type="cellIs" dxfId="26" priority="14" operator="equal">
      <formula>"Ja"</formula>
    </cfRule>
    <cfRule type="cellIs" dxfId="25" priority="15" operator="equal">
      <formula>"Nein"</formula>
    </cfRule>
  </conditionalFormatting>
  <conditionalFormatting sqref="C2:C46">
    <cfRule type="cellIs" dxfId="24" priority="1" operator="equal">
      <formula>"Ja"</formula>
    </cfRule>
    <cfRule type="cellIs" dxfId="23" priority="2" operator="equal">
      <formula>"Ja"</formula>
    </cfRule>
    <cfRule type="cellIs" dxfId="22" priority="3" operator="equal">
      <formula>"Nein"</formula>
    </cfRule>
  </conditionalFormatting>
  <conditionalFormatting sqref="D2">
    <cfRule type="cellIs" dxfId="21" priority="6" operator="equal">
      <formula>1</formula>
    </cfRule>
    <cfRule type="cellIs" dxfId="20" priority="7" operator="equal">
      <formula>0.8</formula>
    </cfRule>
    <cfRule type="cellIs" dxfId="19" priority="8" operator="equal">
      <formula>0.6</formula>
    </cfRule>
    <cfRule type="cellIs" dxfId="18" priority="9" operator="equal">
      <formula>0.4</formula>
    </cfRule>
    <cfRule type="cellIs" dxfId="17" priority="10" operator="equal">
      <formula>0.2</formula>
    </cfRule>
    <cfRule type="cellIs" dxfId="16" priority="11" operator="equal">
      <formula>0</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17" workbookViewId="0">
      <selection activeCell="C8" sqref="C8"/>
    </sheetView>
  </sheetViews>
  <sheetFormatPr baseColWidth="10" defaultColWidth="10.6640625" defaultRowHeight="15.5"/>
  <sheetData>
    <row r="1" spans="1:8" ht="25">
      <c r="B1" s="7" t="s">
        <v>25</v>
      </c>
    </row>
    <row r="4" spans="1:8">
      <c r="B4" s="2" t="s">
        <v>4</v>
      </c>
      <c r="C4" s="2" t="s">
        <v>5</v>
      </c>
      <c r="D4" s="2" t="s">
        <v>6</v>
      </c>
      <c r="E4" s="2" t="s">
        <v>7</v>
      </c>
      <c r="F4" s="2" t="s">
        <v>10</v>
      </c>
      <c r="G4" s="2" t="s">
        <v>8</v>
      </c>
      <c r="H4" s="2" t="s">
        <v>9</v>
      </c>
    </row>
    <row r="5" spans="1:8">
      <c r="A5" s="8">
        <v>0.16666666666666666</v>
      </c>
    </row>
    <row r="6" spans="1:8">
      <c r="A6" s="8">
        <v>0.1875</v>
      </c>
    </row>
    <row r="7" spans="1:8">
      <c r="A7" s="8">
        <v>0.20833333333333301</v>
      </c>
    </row>
    <row r="8" spans="1:8">
      <c r="A8" s="8">
        <v>0.22916666666666699</v>
      </c>
    </row>
    <row r="9" spans="1:8">
      <c r="A9" s="8">
        <v>0.25</v>
      </c>
    </row>
    <row r="10" spans="1:8">
      <c r="A10" s="8">
        <v>0.27083333333333398</v>
      </c>
    </row>
    <row r="11" spans="1:8">
      <c r="A11" s="8">
        <v>0.29166666666666702</v>
      </c>
    </row>
    <row r="12" spans="1:8">
      <c r="A12" s="8">
        <v>0.3125</v>
      </c>
    </row>
    <row r="13" spans="1:8">
      <c r="A13" s="8">
        <v>0.33333333333333398</v>
      </c>
    </row>
    <row r="14" spans="1:8">
      <c r="A14" s="8">
        <v>0.35416666666666702</v>
      </c>
    </row>
    <row r="15" spans="1:8">
      <c r="A15" s="8">
        <v>0.375</v>
      </c>
    </row>
    <row r="16" spans="1:8">
      <c r="A16" s="8">
        <v>0.39583333333333398</v>
      </c>
    </row>
    <row r="17" spans="1:1">
      <c r="A17" s="8">
        <v>0.41666666666666702</v>
      </c>
    </row>
    <row r="18" spans="1:1">
      <c r="A18" s="8">
        <v>0.4375</v>
      </c>
    </row>
    <row r="19" spans="1:1">
      <c r="A19" s="8">
        <v>0.45833333333333398</v>
      </c>
    </row>
    <row r="20" spans="1:1">
      <c r="A20" s="8">
        <v>0.47916666666666702</v>
      </c>
    </row>
    <row r="21" spans="1:1">
      <c r="A21" s="8">
        <v>0.5</v>
      </c>
    </row>
    <row r="22" spans="1:1">
      <c r="A22" s="8">
        <v>0.52083333333333404</v>
      </c>
    </row>
    <row r="23" spans="1:1">
      <c r="A23" s="8">
        <v>0.54166666666666696</v>
      </c>
    </row>
    <row r="24" spans="1:1">
      <c r="A24" s="8">
        <v>0.5625</v>
      </c>
    </row>
    <row r="25" spans="1:1">
      <c r="A25" s="8">
        <v>0.58333333333333404</v>
      </c>
    </row>
    <row r="26" spans="1:1">
      <c r="A26" s="8">
        <v>0.60416666666666696</v>
      </c>
    </row>
    <row r="27" spans="1:1">
      <c r="A27" s="8">
        <v>0.625000000000001</v>
      </c>
    </row>
    <row r="28" spans="1:1">
      <c r="A28" s="8">
        <v>0.64583333333333404</v>
      </c>
    </row>
    <row r="29" spans="1:1">
      <c r="A29" s="8">
        <v>0.66666666666666696</v>
      </c>
    </row>
    <row r="30" spans="1:1">
      <c r="A30" s="8">
        <v>0.687500000000001</v>
      </c>
    </row>
    <row r="31" spans="1:1">
      <c r="A31" s="8">
        <v>0.70833333333333404</v>
      </c>
    </row>
    <row r="32" spans="1:1">
      <c r="A32" s="8">
        <v>0.72916666666666696</v>
      </c>
    </row>
    <row r="33" spans="1:1">
      <c r="A33" s="8">
        <v>0.750000000000001</v>
      </c>
    </row>
    <row r="34" spans="1:1">
      <c r="A34" s="8">
        <v>0.77083333333333404</v>
      </c>
    </row>
    <row r="35" spans="1:1">
      <c r="A35" s="8">
        <v>0.79166666666666696</v>
      </c>
    </row>
    <row r="36" spans="1:1">
      <c r="A36" s="8">
        <v>0.812500000000001</v>
      </c>
    </row>
    <row r="37" spans="1:1">
      <c r="A37" s="8">
        <v>0.83333333333333404</v>
      </c>
    </row>
    <row r="38" spans="1:1">
      <c r="A38" s="8">
        <v>0.85416666666666696</v>
      </c>
    </row>
    <row r="39" spans="1:1">
      <c r="A39" s="8">
        <v>0.875000000000001</v>
      </c>
    </row>
    <row r="40" spans="1:1">
      <c r="A40" s="8">
        <v>0.89583333333333404</v>
      </c>
    </row>
    <row r="41" spans="1:1">
      <c r="A41" s="8">
        <v>0.91666666666666696</v>
      </c>
    </row>
    <row r="42" spans="1:1">
      <c r="A42" s="8">
        <v>0.937500000000001</v>
      </c>
    </row>
    <row r="43" spans="1:1">
      <c r="A43" s="8">
        <v>0.95833333333333404</v>
      </c>
    </row>
    <row r="44" spans="1:1">
      <c r="A44" s="8">
        <v>0.97916666666666696</v>
      </c>
    </row>
    <row r="45" spans="1:1">
      <c r="A45" s="8">
        <v>1</v>
      </c>
    </row>
    <row r="46" spans="1:1">
      <c r="A46" s="8">
        <v>1.0208333333333299</v>
      </c>
    </row>
    <row r="47" spans="1:1">
      <c r="A47" s="8">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baseColWidth="10" defaultColWidth="10.6640625" defaultRowHeight="15.5"/>
  <sheetData>
    <row r="1" spans="1:8" ht="25">
      <c r="B1" s="7" t="s">
        <v>25</v>
      </c>
    </row>
    <row r="4" spans="1:8">
      <c r="B4" s="2" t="s">
        <v>4</v>
      </c>
      <c r="C4" s="2" t="s">
        <v>5</v>
      </c>
      <c r="D4" s="2" t="s">
        <v>6</v>
      </c>
      <c r="E4" s="2" t="s">
        <v>7</v>
      </c>
      <c r="F4" s="2" t="s">
        <v>10</v>
      </c>
      <c r="G4" s="2" t="s">
        <v>8</v>
      </c>
      <c r="H4" s="2" t="s">
        <v>9</v>
      </c>
    </row>
    <row r="5" spans="1:8">
      <c r="A5" s="8">
        <v>0.16666666666666666</v>
      </c>
    </row>
    <row r="6" spans="1:8">
      <c r="A6" s="8">
        <v>0.1875</v>
      </c>
    </row>
    <row r="7" spans="1:8">
      <c r="A7" s="8">
        <v>0.20833333333333301</v>
      </c>
    </row>
    <row r="8" spans="1:8">
      <c r="A8" s="8">
        <v>0.22916666666666699</v>
      </c>
    </row>
    <row r="9" spans="1:8">
      <c r="A9" s="8">
        <v>0.25</v>
      </c>
    </row>
    <row r="10" spans="1:8">
      <c r="A10" s="8">
        <v>0.27083333333333398</v>
      </c>
    </row>
    <row r="11" spans="1:8">
      <c r="A11" s="8">
        <v>0.29166666666666702</v>
      </c>
    </row>
    <row r="12" spans="1:8">
      <c r="A12" s="8">
        <v>0.3125</v>
      </c>
    </row>
    <row r="13" spans="1:8">
      <c r="A13" s="8">
        <v>0.33333333333333398</v>
      </c>
    </row>
    <row r="14" spans="1:8">
      <c r="A14" s="8">
        <v>0.35416666666666702</v>
      </c>
    </row>
    <row r="15" spans="1:8">
      <c r="A15" s="8">
        <v>0.375</v>
      </c>
    </row>
    <row r="16" spans="1:8">
      <c r="A16" s="8">
        <v>0.39583333333333398</v>
      </c>
    </row>
    <row r="17" spans="1:1">
      <c r="A17" s="8">
        <v>0.41666666666666702</v>
      </c>
    </row>
    <row r="18" spans="1:1">
      <c r="A18" s="8">
        <v>0.4375</v>
      </c>
    </row>
    <row r="19" spans="1:1">
      <c r="A19" s="8">
        <v>0.45833333333333398</v>
      </c>
    </row>
    <row r="20" spans="1:1">
      <c r="A20" s="8">
        <v>0.47916666666666702</v>
      </c>
    </row>
    <row r="21" spans="1:1">
      <c r="A21" s="8">
        <v>0.5</v>
      </c>
    </row>
    <row r="22" spans="1:1">
      <c r="A22" s="8">
        <v>0.52083333333333404</v>
      </c>
    </row>
    <row r="23" spans="1:1">
      <c r="A23" s="8">
        <v>0.54166666666666696</v>
      </c>
    </row>
    <row r="24" spans="1:1">
      <c r="A24" s="8">
        <v>0.5625</v>
      </c>
    </row>
    <row r="25" spans="1:1">
      <c r="A25" s="8">
        <v>0.58333333333333404</v>
      </c>
    </row>
    <row r="26" spans="1:1">
      <c r="A26" s="8">
        <v>0.60416666666666696</v>
      </c>
    </row>
    <row r="27" spans="1:1">
      <c r="A27" s="8">
        <v>0.625000000000001</v>
      </c>
    </row>
    <row r="28" spans="1:1">
      <c r="A28" s="8">
        <v>0.64583333333333404</v>
      </c>
    </row>
    <row r="29" spans="1:1">
      <c r="A29" s="8">
        <v>0.66666666666666696</v>
      </c>
    </row>
    <row r="30" spans="1:1">
      <c r="A30" s="8">
        <v>0.687500000000001</v>
      </c>
    </row>
    <row r="31" spans="1:1">
      <c r="A31" s="8">
        <v>0.70833333333333404</v>
      </c>
    </row>
    <row r="32" spans="1:1">
      <c r="A32" s="8">
        <v>0.72916666666666696</v>
      </c>
    </row>
    <row r="33" spans="1:1">
      <c r="A33" s="8">
        <v>0.750000000000001</v>
      </c>
    </row>
    <row r="34" spans="1:1">
      <c r="A34" s="8">
        <v>0.77083333333333404</v>
      </c>
    </row>
    <row r="35" spans="1:1">
      <c r="A35" s="8">
        <v>0.79166666666666696</v>
      </c>
    </row>
    <row r="36" spans="1:1">
      <c r="A36" s="8">
        <v>0.812500000000001</v>
      </c>
    </row>
    <row r="37" spans="1:1">
      <c r="A37" s="8">
        <v>0.83333333333333404</v>
      </c>
    </row>
    <row r="38" spans="1:1">
      <c r="A38" s="8">
        <v>0.85416666666666696</v>
      </c>
    </row>
    <row r="39" spans="1:1">
      <c r="A39" s="8">
        <v>0.875000000000001</v>
      </c>
    </row>
    <row r="40" spans="1:1">
      <c r="A40" s="8">
        <v>0.89583333333333404</v>
      </c>
    </row>
    <row r="41" spans="1:1">
      <c r="A41" s="8">
        <v>0.91666666666666696</v>
      </c>
    </row>
    <row r="42" spans="1:1">
      <c r="A42" s="8">
        <v>0.937500000000001</v>
      </c>
    </row>
    <row r="43" spans="1:1">
      <c r="A43" s="8">
        <v>0.95833333333333404</v>
      </c>
    </row>
    <row r="44" spans="1:1">
      <c r="A44" s="8">
        <v>0.97916666666666696</v>
      </c>
    </row>
    <row r="45" spans="1:1">
      <c r="A45" s="8">
        <v>1</v>
      </c>
    </row>
    <row r="46" spans="1:1">
      <c r="A46" s="8">
        <v>1.0208333333333299</v>
      </c>
    </row>
    <row r="47" spans="1:1">
      <c r="A47" s="8">
        <v>1.0416666666666701</v>
      </c>
    </row>
  </sheetData>
  <pageMargins left="0.7" right="0.7" top="0.75" bottom="0.75" header="0.3" footer="0.3"/>
  <pageSetup paperSize="9" orientation="portrait" horizontalDpi="4294967293"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F113E-DCEE-4A83-A8D3-2E995575A5EF}">
  <dimension ref="B1:F6"/>
  <sheetViews>
    <sheetView workbookViewId="0">
      <selection activeCell="B3" sqref="B3"/>
    </sheetView>
  </sheetViews>
  <sheetFormatPr baseColWidth="10" defaultRowHeight="15.5"/>
  <sheetData>
    <row r="1" spans="2:6">
      <c r="F1">
        <v>2800</v>
      </c>
    </row>
    <row r="2" spans="2:6">
      <c r="B2">
        <f>(B5*F1)</f>
        <v>523.88</v>
      </c>
      <c r="C2">
        <f>(C5*F1)</f>
        <v>1138.1999999999998</v>
      </c>
      <c r="D2">
        <f>(F1*D5)</f>
        <v>1138.1999999999998</v>
      </c>
    </row>
    <row r="3" spans="2:6">
      <c r="B3">
        <v>9</v>
      </c>
      <c r="C3">
        <v>4</v>
      </c>
      <c r="D3">
        <v>4</v>
      </c>
    </row>
    <row r="5" spans="2:6">
      <c r="B5" s="21">
        <v>0.18709999999999999</v>
      </c>
      <c r="C5" s="21">
        <v>0.40649999999999997</v>
      </c>
      <c r="D5" s="21">
        <v>0.40649999999999997</v>
      </c>
    </row>
    <row r="6" spans="2:6">
      <c r="B6" t="s">
        <v>99</v>
      </c>
      <c r="C6" t="s">
        <v>100</v>
      </c>
      <c r="D6" s="21" t="s">
        <v>101</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7</vt:i4>
      </vt:variant>
    </vt:vector>
  </HeadingPairs>
  <TitlesOfParts>
    <vt:vector size="7" baseType="lpstr">
      <vt:lpstr>ANLEITUNG</vt:lpstr>
      <vt:lpstr>Semesterplan</vt:lpstr>
      <vt:lpstr>Best-Practices</vt:lpstr>
      <vt:lpstr>COMMITTMENT</vt:lpstr>
      <vt:lpstr>Wochenplan KW 19</vt:lpstr>
      <vt:lpstr>Wochenplan KW 20</vt:lpstr>
      <vt:lpstr>Kalorien#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Peter Neukirch</cp:lastModifiedBy>
  <dcterms:created xsi:type="dcterms:W3CDTF">2020-04-19T13:33:28Z</dcterms:created>
  <dcterms:modified xsi:type="dcterms:W3CDTF">2023-10-14T19:19:41Z</dcterms:modified>
</cp:coreProperties>
</file>