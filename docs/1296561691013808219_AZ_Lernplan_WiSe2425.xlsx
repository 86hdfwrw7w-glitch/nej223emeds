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C:\Users\arman\Documents\Studium\7. FS\"/>
    </mc:Choice>
  </mc:AlternateContent>
  <xr:revisionPtr revIDLastSave="0" documentId="13_ncr:1_{D09D187C-5A58-4C2A-8552-6AB1BCCB47B2}" xr6:coauthVersionLast="36" xr6:coauthVersionMax="36" xr10:uidLastSave="{00000000-0000-0000-0000-000000000000}"/>
  <bookViews>
    <workbookView xWindow="0" yWindow="0" windowWidth="23040" windowHeight="8940" activeTab="1" xr2:uid="{50F29292-BE80-0C47-A0D2-DD086CB3D310}"/>
  </bookViews>
  <sheets>
    <sheet name="ANLEITUNG" sheetId="10" r:id="rId1"/>
    <sheet name="Semesterplan" sheetId="7" r:id="rId2"/>
    <sheet name="Best-Practices" sheetId="2" r:id="rId3"/>
    <sheet name="COMMITTMENT" sheetId="9" r:id="rId4"/>
    <sheet name="Wochenplan KW 20" sheetId="8"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5" i="7" l="1" a="1"/>
  <c r="J35" i="7" s="1"/>
  <c r="K35" i="7" a="1"/>
  <c r="K35" i="7" s="1"/>
  <c r="I35" i="7"/>
  <c r="G1" i="7"/>
  <c r="G38" i="7" l="1"/>
  <c r="EC4" i="7" l="1"/>
  <c r="DV4" i="7"/>
  <c r="DO4" i="7"/>
  <c r="DH4" i="7"/>
  <c r="DA4" i="7"/>
  <c r="C11" i="10" l="1"/>
  <c r="CT4" i="7"/>
  <c r="CM4" i="7"/>
  <c r="CF4" i="7"/>
  <c r="BY4" i="7"/>
  <c r="BR4" i="7"/>
  <c r="C7" i="10"/>
  <c r="K14" i="7" a="1"/>
  <c r="K14" i="7" s="1"/>
  <c r="J14" i="7" a="1"/>
  <c r="J14" i="7" s="1"/>
  <c r="I14" i="7"/>
  <c r="K13" i="7" a="1"/>
  <c r="K13" i="7" s="1"/>
  <c r="J13" i="7" a="1"/>
  <c r="J13" i="7" s="1"/>
  <c r="I13"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AP38" i="7"/>
  <c r="AI38" i="7"/>
  <c r="AB38" i="7"/>
  <c r="U38" i="7"/>
  <c r="N38" i="7"/>
  <c r="K36" i="7" a="1"/>
  <c r="K36" i="7" s="1"/>
  <c r="J36" i="7" a="1"/>
  <c r="J36" i="7" s="1"/>
  <c r="I36" i="7"/>
  <c r="K34" i="7" a="1"/>
  <c r="K34" i="7" s="1"/>
  <c r="J34" i="7" a="1"/>
  <c r="J34" i="7" s="1"/>
  <c r="I34" i="7"/>
  <c r="K33" i="7" a="1"/>
  <c r="K33" i="7" s="1"/>
  <c r="J33" i="7" a="1"/>
  <c r="J33" i="7" s="1"/>
  <c r="I33" i="7"/>
  <c r="K32" i="7" a="1"/>
  <c r="K32" i="7" s="1"/>
  <c r="J32" i="7" a="1"/>
  <c r="J32" i="7" s="1"/>
  <c r="I32" i="7"/>
  <c r="AP31" i="7"/>
  <c r="AI31" i="7"/>
  <c r="AB31" i="7"/>
  <c r="U31" i="7"/>
  <c r="N31" i="7"/>
  <c r="G31" i="7"/>
  <c r="BK4" i="7"/>
  <c r="C12" i="10"/>
  <c r="K16" i="7" a="1"/>
  <c r="K16" i="7" s="1"/>
  <c r="J16" i="7" a="1"/>
  <c r="J16" i="7" s="1"/>
  <c r="K15" i="7" a="1"/>
  <c r="K15" i="7" s="1"/>
  <c r="J15" i="7" a="1"/>
  <c r="J15" i="7" s="1"/>
  <c r="K12" i="7" a="1"/>
  <c r="K12" i="7" s="1"/>
  <c r="J12" i="7" a="1"/>
  <c r="J12"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K9" i="7" a="1"/>
  <c r="K9" i="7" s="1"/>
  <c r="J9" i="7" a="1"/>
  <c r="J9" i="7" s="1"/>
  <c r="K8" i="7" a="1"/>
  <c r="K8" i="7" s="1"/>
  <c r="J8" i="7" a="1"/>
  <c r="J8" i="7" s="1"/>
  <c r="K7" i="7" a="1"/>
  <c r="K7" i="7" s="1"/>
  <c r="J7" i="7" a="1"/>
  <c r="J7" i="7" s="1"/>
  <c r="K6" i="7" a="1"/>
  <c r="K6" i="7" s="1"/>
  <c r="J6" i="7" a="1"/>
  <c r="J6" i="7" s="1"/>
  <c r="K5" i="7" a="1"/>
  <c r="K5" i="7" s="1"/>
  <c r="J5" i="7" a="1"/>
  <c r="J5" i="7" s="1"/>
  <c r="AP11" i="7"/>
  <c r="AI11" i="7"/>
  <c r="AB11" i="7"/>
  <c r="U11" i="7"/>
  <c r="BD4" i="7"/>
  <c r="AW4" i="7"/>
  <c r="AP4" i="7"/>
  <c r="AI4" i="7"/>
  <c r="AB4" i="7"/>
  <c r="U4" i="7"/>
  <c r="N4" i="7"/>
  <c r="N11" i="7"/>
  <c r="G4" i="7"/>
  <c r="AP18" i="7"/>
  <c r="AI18" i="7"/>
  <c r="AB18" i="7"/>
  <c r="U18" i="7"/>
  <c r="I28" i="7"/>
  <c r="I27" i="7"/>
  <c r="I26" i="7"/>
  <c r="I25" i="7"/>
  <c r="I24" i="7"/>
  <c r="I23" i="7"/>
  <c r="I22" i="7"/>
  <c r="I21" i="7"/>
  <c r="I20" i="7"/>
  <c r="I19" i="7"/>
  <c r="I16" i="7"/>
  <c r="I15" i="7"/>
  <c r="I12" i="7"/>
  <c r="I6" i="7"/>
  <c r="I7" i="7"/>
  <c r="I8" i="7"/>
  <c r="I9" i="7"/>
  <c r="I5" i="7"/>
  <c r="N18" i="7"/>
  <c r="G18" i="7"/>
  <c r="G11" i="7"/>
  <c r="I38" i="7" l="1"/>
  <c r="I31" i="7"/>
  <c r="J38" i="7"/>
  <c r="K38" i="7"/>
  <c r="K31" i="7"/>
  <c r="J31" i="7"/>
  <c r="I18" i="7"/>
  <c r="J18" i="7"/>
  <c r="K18" i="7"/>
  <c r="I11" i="7"/>
  <c r="J11" i="7"/>
  <c r="K11" i="7"/>
  <c r="K4" i="7"/>
  <c r="I4" i="7" l="1"/>
  <c r="J4"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<sst xmlns="http://schemas.openxmlformats.org/spreadsheetml/2006/main" count="435" uniqueCount="137">
  <si>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</si>
  <si>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</si>
  <si>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</si>
  <si>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</si>
  <si>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</si>
  <si>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</si>
  <si>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</si>
  <si>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</si>
  <si>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</si>
  <si>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</si>
  <si>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</si>
  <si>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</si>
  <si>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</si>
  <si>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</si>
  <si>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</si>
  <si>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</si>
  <si>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</si>
  <si>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</si>
  <si>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</si>
  <si>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</si>
  <si>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</si>
  <si>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</si>
  <si>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</si>
  <si>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</si>
  <si>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</si>
  <si>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</si>
  <si>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</si>
  <si>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</si>
  <si>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</si>
  <si>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</si>
  <si>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</si>
  <si>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</si>
  <si>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</si>
  <si>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</si>
  <si>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</si>
  <si>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</si>
  <si>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</si>
  <si>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</si>
  <si>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</si>
  <si>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</si>
  <si>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</si>
  <si>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</si>
  <si>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</si>
  <si>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</si>
  <si>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</si>
  <si>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</si>
  <si>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</si>
  <si>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</si>
  <si>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</si>
  <si>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</si>
  <si>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</si>
  <si>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</si>
  <si>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</si>
  <si>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</si>
  <si>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</si>
  <si>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</si>
  <si>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</si>
  <si>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</si>
  <si>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</si>
  <si>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</si>
  <si>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</si>
  <si>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</si>
  <si>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</si>
  <si>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</si>
  <si>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</si>
  <si>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</si>
  <si>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</si>
  <si>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</si>
  <si>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</si>
  <si>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</si>
  <si>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</si>
  <si>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</si>
  <si>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</si>
  <si>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</si>
  <si>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</si>
  <si>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</si>
  <si>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</si>
  <si>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</si>
  <si>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</si>
  <si>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</si>
  <si>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</si>
  <si>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</si>
  <si>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</si>
  <si>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</si>
  <si>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</si>
  <si>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</si>
  <si>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UCG</t>
  </si>
  <si>
    <t>Makro II</t>
  </si>
  <si>
    <t>1. Offene Güter- und Finanzmärkte</t>
  </si>
  <si>
    <t>2. Der Gutermarkt in einer offenen Volkswirtschaft</t>
  </si>
  <si>
    <t>3. Produktion, Zinssatz und Wechselkurs</t>
  </si>
  <si>
    <t>4. Unterschiedliche Wechselkursregime</t>
  </si>
  <si>
    <t>5. Entscheidungsfreiheit der Politiker beschrnäken?</t>
  </si>
  <si>
    <t>6. Fiskalpolitik - Eine Zusammenfassung</t>
  </si>
  <si>
    <t>7. Geldpolitik – Eine Zusammenfassung</t>
  </si>
  <si>
    <t xml:space="preserve">8. Wachstum: Stilisierte Fakten </t>
  </si>
  <si>
    <t>9. Produktion, Sparen und Kapital</t>
  </si>
  <si>
    <t>10. Wachstum und technischer Fortschritt</t>
  </si>
  <si>
    <t>Ökonometrie</t>
  </si>
  <si>
    <t>1) 1 - 1.3 Regressionsmodel</t>
  </si>
  <si>
    <t>2)1.3 - 1.5 Regressionsmodel</t>
  </si>
  <si>
    <t>1) Grundlagen CG</t>
  </si>
  <si>
    <t>2) Aufsichrat</t>
  </si>
  <si>
    <t>5) Vorstand und Vergütungssysteme</t>
  </si>
  <si>
    <t>3) 3.1-3.2 HV und Eigentümer</t>
  </si>
  <si>
    <t>4) 3.3-3.4 HV und Eigentümer</t>
  </si>
  <si>
    <t>OGW</t>
  </si>
  <si>
    <t>1) Stellhebel der Organisationsgestaltung</t>
  </si>
  <si>
    <t xml:space="preserve">3) Geschäftsprozessorganisation </t>
  </si>
  <si>
    <t>4) Organisationealer Wandel</t>
  </si>
  <si>
    <t>2) 2.1 Konzepte und Instrumente</t>
  </si>
  <si>
    <t xml:space="preserve">3) 2.2 Konzepte und Instrumente </t>
  </si>
  <si>
    <t>KW 44</t>
  </si>
  <si>
    <t>KW 45</t>
  </si>
  <si>
    <t>KW 46</t>
  </si>
  <si>
    <t>kw 47</t>
  </si>
  <si>
    <t>KW 48</t>
  </si>
  <si>
    <t>KW 49</t>
  </si>
  <si>
    <t>KW 50</t>
  </si>
  <si>
    <t>KW 51</t>
  </si>
  <si>
    <t>KW 52</t>
  </si>
  <si>
    <t>KW 01</t>
  </si>
  <si>
    <t>KW 02</t>
  </si>
  <si>
    <t>KW 03</t>
  </si>
  <si>
    <t>KW 04</t>
  </si>
  <si>
    <t>KW 05</t>
  </si>
  <si>
    <t>KW 06</t>
  </si>
  <si>
    <t>KW 07</t>
  </si>
  <si>
    <t>KW 08</t>
  </si>
  <si>
    <t>KW 09</t>
  </si>
  <si>
    <t>English</t>
  </si>
  <si>
    <t>2) 2.1-2.5 Linear Model</t>
  </si>
  <si>
    <t>3) 2.5 - 2.9 Linear Model</t>
  </si>
  <si>
    <t>4) Appendix</t>
  </si>
  <si>
    <t>11. Herausforderung des Wachstums</t>
  </si>
  <si>
    <t>31.02.2025</t>
  </si>
  <si>
    <t>Business English 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</si>
</sst>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12">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rgb="FF00B0F0"/>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33">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0" fillId="5" borderId="0" xfId="0" applyFill="1"/>
    <xf numFmtId="0" fontId="0" fillId="6" borderId="0" xfId="0" applyFill="1"/>
    <xf numFmtId="14" fontId="0" fillId="0" borderId="0" xfId="0" applyNumberFormat="1"/>
    <xf numFmtId="0" fontId="0" fillId="0" borderId="0" xfId="0" applyFill="1" applyBorder="1"/>
    <xf numFmtId="14" fontId="0" fillId="0" borderId="0" xfId="0" applyNumberFormat="1" applyFill="1" applyBorder="1"/>
    <xf numFmtId="0" fontId="0" fillId="0" borderId="0" xfId="0" applyFill="1" applyBorder="1" applyAlignment="1">
      <alignment horizontal="center"/>
    </xf>
    <xf numFmtId="20" fontId="0" fillId="0" borderId="0" xfId="0" applyNumberFormat="1" applyFill="1" applyBorder="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1" fillId="2" borderId="0" xfId="0" applyFont="1" applyFill="1" applyAlignment="1">
      <alignment horizontal="center"/>
    </xf>
  </cellXfs>
  <cellStyles count="1">
    <cellStyle name="Standard" xfId="0" builtinId="0"/>
  </cellStyles>
  <dxfs count="62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08">
  <autoFilter ref="A1:K46" xr:uid="{6E266E34-2786-2747-BCE7-51B74867A564}"/>
  <tableColumns count="11">
    <tableColumn id="1" xr3:uid="{95FD92F7-3DC8-704D-A103-A7EDDAB255AB}" name="Datum" dataDxfId="307"/>
    <tableColumn id="2" xr3:uid="{F464D510-8166-E740-A343-FB84BDEF877F}" name="Lerneinheiten durchgezogen" dataDxfId="306"/>
    <tableColumn id="3" xr3:uid="{75F52B08-1A00-0848-BBE6-1EDF7B31B1AD}" name="Tagesplan erstellt" dataDxfId="305"/>
    <tableColumn id="4" xr3:uid="{E6B18D89-E799-AD48-9DAA-37AEE1D29011}" name="Konzentrationslevel" dataDxfId="304"/>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zoomScale="90" zoomScaleNormal="90" workbookViewId="0">
      <selection activeCell="C17" sqref="C17:C18"/>
    </sheetView>
  </sheetViews>
  <sheetFormatPr baseColWidth="10" defaultRowHeight="15.6"/>
  <cols>
    <col min="1" max="1" width="11.796875" customWidth="1"/>
    <col min="2" max="2" width="62.69921875" customWidth="1"/>
  </cols>
  <sheetData>
    <row r="2" spans="1:4">
      <c r="C2" s="21" t="s">
        <v>70</v>
      </c>
    </row>
    <row r="3" spans="1:4">
      <c r="C3" s="20" t="s">
        <v>55</v>
      </c>
    </row>
    <row r="4" spans="1:4">
      <c r="C4" s="19" t="s">
        <v>69</v>
      </c>
    </row>
    <row r="5" spans="1:4">
      <c r="A5" s="3" t="s">
        <v>52</v>
      </c>
      <c r="B5" s="3" t="s">
        <v>53</v>
      </c>
      <c r="C5" s="3" t="s">
        <v>54</v>
      </c>
      <c r="D5" s="3" t="s">
        <v>56</v>
      </c>
    </row>
    <row r="6" spans="1:4">
      <c r="A6" t="s">
        <v>48</v>
      </c>
      <c r="B6" s="21" t="s">
        <v>51</v>
      </c>
      <c r="D6" t="s">
        <v>85</v>
      </c>
    </row>
    <row r="7" spans="1:4">
      <c r="A7" t="s">
        <v>59</v>
      </c>
      <c r="B7" t="s">
        <v>60</v>
      </c>
      <c r="C7" s="19">
        <f>6+8+11+7+10</f>
        <v>42</v>
      </c>
    </row>
    <row r="8" spans="1:4">
      <c r="A8" t="s">
        <v>50</v>
      </c>
      <c r="B8" s="21" t="s">
        <v>49</v>
      </c>
      <c r="C8" s="9"/>
      <c r="D8" t="s">
        <v>73</v>
      </c>
    </row>
    <row r="9" spans="1:4">
      <c r="A9" t="s">
        <v>58</v>
      </c>
      <c r="B9" s="21" t="s">
        <v>71</v>
      </c>
      <c r="D9" t="s">
        <v>74</v>
      </c>
    </row>
    <row r="10" spans="1:4">
      <c r="A10" t="s">
        <v>62</v>
      </c>
      <c r="B10" t="s">
        <v>61</v>
      </c>
      <c r="C10" s="19">
        <v>10.5</v>
      </c>
      <c r="D10" t="s">
        <v>57</v>
      </c>
    </row>
    <row r="11" spans="1:4">
      <c r="A11" t="s">
        <v>63</v>
      </c>
      <c r="B11" t="s">
        <v>65</v>
      </c>
      <c r="C11" s="19">
        <f>42*3</f>
        <v>126</v>
      </c>
      <c r="D11" t="s">
        <v>64</v>
      </c>
    </row>
    <row r="12" spans="1:4">
      <c r="A12" t="s">
        <v>67</v>
      </c>
      <c r="B12" t="s">
        <v>66</v>
      </c>
      <c r="C12" s="20">
        <f>C11/C10</f>
        <v>12</v>
      </c>
    </row>
    <row r="13" spans="1:4">
      <c r="A13" t="s">
        <v>72</v>
      </c>
      <c r="B13" t="s">
        <v>68</v>
      </c>
      <c r="D13" t="s">
        <v>75</v>
      </c>
    </row>
    <row r="14" spans="1:4">
      <c r="A14" t="s">
        <v>76</v>
      </c>
      <c r="B14" t="s">
        <v>77</v>
      </c>
      <c r="D14" t="s">
        <v>78</v>
      </c>
    </row>
    <row r="15" spans="1:4">
      <c r="A15" t="s">
        <v>79</v>
      </c>
      <c r="B15" s="21" t="s">
        <v>80</v>
      </c>
    </row>
    <row r="16" spans="1:4">
      <c r="A16" t="s">
        <v>83</v>
      </c>
      <c r="B16" s="21" t="s">
        <v>81</v>
      </c>
    </row>
    <row r="17" spans="1:2">
      <c r="A17" t="s">
        <v>84</v>
      </c>
      <c r="B17" t="s">
        <v>82</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49"/>
  <sheetViews>
    <sheetView tabSelected="1" zoomScale="70" zoomScaleNormal="70" workbookViewId="0">
      <pane xSplit="7" topLeftCell="I1" activePane="topRight" state="frozen"/>
      <selection pane="topRight" activeCell="J34" sqref="J34:J35"/>
    </sheetView>
  </sheetViews>
  <sheetFormatPr baseColWidth="10" defaultColWidth="8.796875" defaultRowHeight="15.6" outlineLevelRow="1"/>
  <cols>
    <col min="3" max="3" width="16.796875" customWidth="1"/>
    <col min="4" max="4" width="13" bestFit="1" customWidth="1"/>
    <col min="5" max="5" width="4.796875" bestFit="1" customWidth="1"/>
    <col min="6" max="6" width="41.19921875" bestFit="1" customWidth="1"/>
    <col min="7" max="7" width="15.5" bestFit="1" customWidth="1"/>
    <col min="8" max="8" width="2.5" customWidth="1"/>
    <col min="10" max="10" width="12.5" bestFit="1" customWidth="1"/>
    <col min="11" max="11" width="14.796875" bestFit="1" customWidth="1"/>
    <col min="12" max="12" width="12.69921875" bestFit="1" customWidth="1"/>
    <col min="13" max="13" width="2.5" customWidth="1"/>
    <col min="15" max="15" width="12.5" bestFit="1" customWidth="1"/>
    <col min="16" max="16" width="6.296875" customWidth="1"/>
    <col min="17" max="17" width="14.796875" bestFit="1" customWidth="1"/>
    <col min="18" max="18" width="6" customWidth="1"/>
    <col min="19" max="19" width="12.69921875" bestFit="1" customWidth="1"/>
    <col min="20" max="20" width="2.5" customWidth="1"/>
    <col min="22" max="22" width="12.5" bestFit="1" customWidth="1"/>
    <col min="23" max="23" width="6.296875" customWidth="1"/>
    <col min="24" max="24" width="14.796875" bestFit="1" customWidth="1"/>
    <col min="25" max="25" width="6" customWidth="1"/>
    <col min="26" max="26" width="12.69921875" bestFit="1" customWidth="1"/>
    <col min="27" max="27" width="2.5" customWidth="1"/>
    <col min="29" max="29" width="12.5" bestFit="1" customWidth="1"/>
    <col min="30" max="30" width="6.296875" customWidth="1"/>
    <col min="31" max="31" width="14.796875" bestFit="1" customWidth="1"/>
    <col min="32" max="32" width="6" customWidth="1"/>
    <col min="33" max="33" width="12.69921875" bestFit="1" customWidth="1"/>
    <col min="34" max="34" width="2.5" customWidth="1"/>
    <col min="36" max="36" width="12.5" bestFit="1" customWidth="1"/>
    <col min="37" max="37" width="6.296875" customWidth="1"/>
    <col min="38" max="38" width="14.796875" bestFit="1" customWidth="1"/>
    <col min="39" max="39" width="6" customWidth="1"/>
    <col min="40" max="40" width="12.69921875" bestFit="1" customWidth="1"/>
    <col min="41" max="41" width="2.5" customWidth="1"/>
    <col min="43" max="43" width="12.5" bestFit="1" customWidth="1"/>
    <col min="44" max="44" width="6.296875" customWidth="1"/>
    <col min="45" max="45" width="14.796875" bestFit="1" customWidth="1"/>
    <col min="46" max="46" width="6" customWidth="1"/>
    <col min="47" max="47" width="12.69921875" bestFit="1" customWidth="1"/>
    <col min="48" max="48" width="2.5" customWidth="1"/>
    <col min="50" max="50" width="12.5" bestFit="1" customWidth="1"/>
    <col min="51" max="51" width="6.296875" customWidth="1"/>
    <col min="52" max="52" width="14.796875" bestFit="1" customWidth="1"/>
    <col min="53" max="53" width="6" customWidth="1"/>
    <col min="54" max="54" width="12.69921875" bestFit="1" customWidth="1"/>
    <col min="55" max="55" width="2.5" customWidth="1"/>
    <col min="57" max="57" width="12.5" bestFit="1" customWidth="1"/>
    <col min="58" max="58" width="6.296875" customWidth="1"/>
    <col min="59" max="59" width="14.796875" bestFit="1" customWidth="1"/>
    <col min="60" max="60" width="6" customWidth="1"/>
    <col min="61" max="61" width="12.69921875" bestFit="1" customWidth="1"/>
    <col min="62" max="62" width="2.5" customWidth="1"/>
    <col min="64" max="64" width="12.5" bestFit="1" customWidth="1"/>
    <col min="65" max="65" width="6.296875" customWidth="1"/>
    <col min="66" max="66" width="14.796875" bestFit="1" customWidth="1"/>
    <col min="67" max="67" width="6" customWidth="1"/>
    <col min="68" max="68" width="12.69921875" bestFit="1" customWidth="1"/>
    <col min="69" max="69" width="2.5" customWidth="1"/>
    <col min="71" max="71" width="12.5" bestFit="1" customWidth="1"/>
    <col min="72" max="72" width="6.296875" customWidth="1"/>
    <col min="73" max="73" width="14.796875" bestFit="1" customWidth="1"/>
    <col min="74" max="74" width="6" customWidth="1"/>
    <col min="75" max="75" width="12.69921875" bestFit="1" customWidth="1"/>
    <col min="76" max="76" width="2.5" customWidth="1"/>
    <col min="78" max="78" width="12.5" bestFit="1" customWidth="1"/>
    <col min="79" max="79" width="6.296875" customWidth="1"/>
    <col min="80" max="80" width="14.796875" bestFit="1" customWidth="1"/>
    <col min="81" max="81" width="6" customWidth="1"/>
    <col min="82" max="82" width="12.69921875" bestFit="1" customWidth="1"/>
    <col min="83" max="83" width="2.5" customWidth="1"/>
    <col min="85" max="85" width="12.5" bestFit="1" customWidth="1"/>
    <col min="86" max="86" width="6.296875" customWidth="1"/>
    <col min="87" max="87" width="14.796875" bestFit="1" customWidth="1"/>
    <col min="88" max="88" width="6" customWidth="1"/>
    <col min="89" max="89" width="12.69921875" bestFit="1" customWidth="1"/>
    <col min="90" max="90" width="2.5" customWidth="1"/>
    <col min="92" max="92" width="12.5" bestFit="1" customWidth="1"/>
    <col min="93" max="93" width="6.296875" customWidth="1"/>
    <col min="94" max="94" width="14.796875" bestFit="1" customWidth="1"/>
    <col min="95" max="95" width="6" customWidth="1"/>
    <col min="96" max="96" width="12.69921875" bestFit="1" customWidth="1"/>
    <col min="97" max="97" width="2.5" customWidth="1"/>
    <col min="99" max="99" width="12.5" bestFit="1" customWidth="1"/>
    <col min="100" max="100" width="6.296875" customWidth="1"/>
    <col min="101" max="101" width="14.796875" bestFit="1" customWidth="1"/>
    <col min="102" max="102" width="6" customWidth="1"/>
    <col min="103" max="103" width="12.69921875" bestFit="1" customWidth="1"/>
    <col min="104" max="104" width="2.5" customWidth="1"/>
    <col min="106" max="106" width="12.5" bestFit="1" customWidth="1"/>
    <col min="107" max="107" width="6.296875" customWidth="1"/>
    <col min="108" max="108" width="14.796875" bestFit="1" customWidth="1"/>
    <col min="109" max="109" width="6" customWidth="1"/>
    <col min="110" max="110" width="12.69921875" bestFit="1" customWidth="1"/>
    <col min="111" max="111" width="2.5" customWidth="1"/>
    <col min="113" max="113" width="12.5" bestFit="1" customWidth="1"/>
    <col min="114" max="114" width="6.296875" customWidth="1"/>
    <col min="115" max="115" width="14.796875" bestFit="1" customWidth="1"/>
    <col min="116" max="116" width="6" customWidth="1"/>
    <col min="117" max="117" width="12.69921875" bestFit="1" customWidth="1"/>
    <col min="118" max="118" width="2.5" customWidth="1"/>
    <col min="120" max="120" width="12.5" bestFit="1" customWidth="1"/>
    <col min="121" max="121" width="6.296875" customWidth="1"/>
    <col min="122" max="122" width="14.796875" bestFit="1" customWidth="1"/>
    <col min="123" max="123" width="6" customWidth="1"/>
    <col min="124" max="124" width="12.69921875" bestFit="1" customWidth="1"/>
    <col min="125" max="125" width="2.796875" customWidth="1"/>
    <col min="127" max="127" width="12.5" bestFit="1" customWidth="1"/>
    <col min="128" max="128" width="6.296875" customWidth="1"/>
    <col min="129" max="129" width="14.796875" bestFit="1" customWidth="1"/>
    <col min="130" max="130" width="6" customWidth="1"/>
    <col min="131" max="131" width="12.69921875" bestFit="1" customWidth="1"/>
    <col min="132" max="132" width="3.09765625" customWidth="1"/>
    <col min="134" max="134" width="12.5" bestFit="1" customWidth="1"/>
    <col min="135" max="135" width="6.296875" customWidth="1"/>
    <col min="136" max="136" width="14.796875" bestFit="1" customWidth="1"/>
    <col min="137" max="137" width="6" customWidth="1"/>
    <col min="138" max="138" width="12.69921875" bestFit="1" customWidth="1"/>
  </cols>
  <sheetData>
    <row r="1" spans="2:138" ht="33.6">
      <c r="B1" s="5" t="s">
        <v>0</v>
      </c>
      <c r="D1" s="5"/>
      <c r="G1" s="15">
        <f>+(3*26)/11</f>
        <v>7.0909090909090908</v>
      </c>
      <c r="I1" s="15"/>
      <c r="J1" s="15"/>
      <c r="K1" s="15"/>
    </row>
    <row r="2" spans="2:138">
      <c r="I2" s="32" t="s">
        <v>27</v>
      </c>
      <c r="J2" s="32"/>
      <c r="K2" s="32"/>
      <c r="L2" s="32"/>
      <c r="N2" s="32" t="s">
        <v>112</v>
      </c>
      <c r="O2" s="32"/>
      <c r="P2" s="32"/>
      <c r="Q2" s="32"/>
      <c r="R2" s="32"/>
      <c r="S2" s="32"/>
      <c r="U2" s="32" t="s">
        <v>113</v>
      </c>
      <c r="V2" s="32"/>
      <c r="W2" s="32"/>
      <c r="X2" s="32"/>
      <c r="Y2" s="32"/>
      <c r="Z2" s="32"/>
      <c r="AB2" s="32" t="s">
        <v>114</v>
      </c>
      <c r="AC2" s="32"/>
      <c r="AD2" s="32"/>
      <c r="AE2" s="32"/>
      <c r="AF2" s="32"/>
      <c r="AG2" s="32"/>
      <c r="AI2" s="32" t="s">
        <v>115</v>
      </c>
      <c r="AJ2" s="32"/>
      <c r="AK2" s="32"/>
      <c r="AL2" s="32"/>
      <c r="AM2" s="32"/>
      <c r="AN2" s="32"/>
      <c r="AP2" s="32" t="s">
        <v>116</v>
      </c>
      <c r="AQ2" s="32"/>
      <c r="AR2" s="32"/>
      <c r="AS2" s="32"/>
      <c r="AT2" s="32"/>
      <c r="AU2" s="32"/>
      <c r="AW2" s="32" t="s">
        <v>117</v>
      </c>
      <c r="AX2" s="32"/>
      <c r="AY2" s="32"/>
      <c r="AZ2" s="32"/>
      <c r="BA2" s="32"/>
      <c r="BB2" s="32"/>
      <c r="BD2" s="32" t="s">
        <v>118</v>
      </c>
      <c r="BE2" s="32"/>
      <c r="BF2" s="32"/>
      <c r="BG2" s="32"/>
      <c r="BH2" s="32"/>
      <c r="BI2" s="32"/>
      <c r="BK2" s="32" t="s">
        <v>119</v>
      </c>
      <c r="BL2" s="32"/>
      <c r="BM2" s="32"/>
      <c r="BN2" s="32"/>
      <c r="BO2" s="32"/>
      <c r="BP2" s="32"/>
      <c r="BR2" s="32" t="s">
        <v>120</v>
      </c>
      <c r="BS2" s="32"/>
      <c r="BT2" s="32"/>
      <c r="BU2" s="32"/>
      <c r="BV2" s="32"/>
      <c r="BW2" s="32"/>
      <c r="BY2" s="32" t="s">
        <v>121</v>
      </c>
      <c r="BZ2" s="32"/>
      <c r="CA2" s="32"/>
      <c r="CB2" s="32"/>
      <c r="CC2" s="32"/>
      <c r="CD2" s="32"/>
      <c r="CF2" s="32" t="s">
        <v>122</v>
      </c>
      <c r="CG2" s="32"/>
      <c r="CH2" s="32"/>
      <c r="CI2" s="32"/>
      <c r="CJ2" s="32"/>
      <c r="CK2" s="32"/>
      <c r="CM2" s="32" t="s">
        <v>123</v>
      </c>
      <c r="CN2" s="32"/>
      <c r="CO2" s="32"/>
      <c r="CP2" s="32"/>
      <c r="CQ2" s="32"/>
      <c r="CR2" s="32"/>
      <c r="CT2" s="32" t="s">
        <v>124</v>
      </c>
      <c r="CU2" s="32"/>
      <c r="CV2" s="32"/>
      <c r="CW2" s="32"/>
      <c r="CX2" s="32"/>
      <c r="CY2" s="32"/>
      <c r="DA2" s="32" t="s">
        <v>125</v>
      </c>
      <c r="DB2" s="32"/>
      <c r="DC2" s="32"/>
      <c r="DD2" s="32"/>
      <c r="DE2" s="32"/>
      <c r="DF2" s="32"/>
      <c r="DH2" s="32" t="s">
        <v>126</v>
      </c>
      <c r="DI2" s="32"/>
      <c r="DJ2" s="32"/>
      <c r="DK2" s="32"/>
      <c r="DL2" s="32"/>
      <c r="DM2" s="32"/>
      <c r="DO2" s="32" t="s">
        <v>127</v>
      </c>
      <c r="DP2" s="32"/>
      <c r="DQ2" s="32"/>
      <c r="DR2" s="32"/>
      <c r="DS2" s="32"/>
      <c r="DT2" s="32"/>
      <c r="DV2" s="32" t="s">
        <v>128</v>
      </c>
      <c r="DW2" s="32"/>
      <c r="DX2" s="32"/>
      <c r="DY2" s="32"/>
      <c r="DZ2" s="32"/>
      <c r="EA2" s="32"/>
      <c r="EC2" s="32" t="s">
        <v>129</v>
      </c>
      <c r="ED2" s="32"/>
      <c r="EE2" s="32"/>
      <c r="EF2" s="32"/>
      <c r="EG2" s="32"/>
      <c r="EH2" s="32"/>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86</v>
      </c>
      <c r="D4" s="22">
        <v>45706</v>
      </c>
      <c r="E4" s="11">
        <v>6</v>
      </c>
      <c r="G4" s="12">
        <f>+SUM(G5:G9)</f>
        <v>0.3</v>
      </c>
      <c r="I4" s="14">
        <f>+SUM(I5:I9)</f>
        <v>0</v>
      </c>
      <c r="J4" s="13">
        <f>+SUMPRODUCT(G5:G9,J5:J9)</f>
        <v>0</v>
      </c>
      <c r="K4" s="13">
        <f>+SUMPRODUCT(G5:G9,K5:K9)</f>
        <v>0</v>
      </c>
      <c r="L4" s="11"/>
      <c r="N4" s="14">
        <f>+SUM(N5:N9)</f>
        <v>0</v>
      </c>
      <c r="U4" s="14">
        <f>+SUM(U5:U9)</f>
        <v>0</v>
      </c>
      <c r="AB4" s="14">
        <f>+SUM(AB5:AB9)</f>
        <v>0</v>
      </c>
      <c r="AI4" s="14">
        <f>+SUM(AI5:AI9)</f>
        <v>0</v>
      </c>
      <c r="AP4" s="14">
        <f>+SUM(AP5:AP9)</f>
        <v>0</v>
      </c>
      <c r="AW4" s="14">
        <f>+SUM(AW5:AW9)</f>
        <v>0</v>
      </c>
      <c r="BD4" s="14">
        <f>+SUM(BD5:BD9)</f>
        <v>0</v>
      </c>
      <c r="BK4" s="14">
        <f>+SUM(BK5:BK9)</f>
        <v>0</v>
      </c>
      <c r="BR4" s="14">
        <f>+SUM(BR5:BR9)</f>
        <v>0</v>
      </c>
      <c r="BY4" s="14">
        <f>+SUM(BY5:BY9)</f>
        <v>0</v>
      </c>
      <c r="CF4" s="14">
        <f>+SUM(CF5:CF9)</f>
        <v>0</v>
      </c>
      <c r="CM4" s="14">
        <f>+SUM(CM5:CM9)</f>
        <v>0</v>
      </c>
      <c r="CT4" s="14">
        <f>+SUM(CT5:CT9)</f>
        <v>0</v>
      </c>
      <c r="DA4" s="14">
        <f>+SUM(DA5:DA9)</f>
        <v>0</v>
      </c>
      <c r="DH4" s="14">
        <f>+SUM(DH5:DH9)</f>
        <v>0</v>
      </c>
      <c r="DO4" s="14">
        <f>+SUM(DO5:DO9)</f>
        <v>0</v>
      </c>
      <c r="DV4" s="14">
        <f>+SUM(DV5:DV9)</f>
        <v>0</v>
      </c>
      <c r="EC4" s="14">
        <f>+SUM(EC5:EC9)</f>
        <v>0</v>
      </c>
    </row>
    <row r="5" spans="2:138" outlineLevel="1">
      <c r="B5" t="s">
        <v>28</v>
      </c>
      <c r="E5" s="11"/>
      <c r="F5" t="s">
        <v>101</v>
      </c>
      <c r="G5" s="12">
        <v>0.1</v>
      </c>
      <c r="I5" s="11">
        <f>+SUMIF($N$3:$AAH$3,I$3,$N5:$AAH5)</f>
        <v>0</v>
      </c>
      <c r="J5" s="13" cm="1">
        <f t="array" ref="J5">MAX(IF($N$3:$EP$3=$J$3,N5:EP5))</f>
        <v>0</v>
      </c>
      <c r="K5" s="13" cm="1">
        <f t="array" ref="K5">MAX(IF($N$3:$EP$3=$J$3,N5:EP5))</f>
        <v>0</v>
      </c>
      <c r="L5" s="11"/>
      <c r="O5" s="12"/>
      <c r="P5" s="12">
        <v>0.5</v>
      </c>
      <c r="Q5" s="12"/>
      <c r="R5" s="12">
        <v>0.5</v>
      </c>
      <c r="V5" s="12"/>
      <c r="W5" s="12">
        <v>0.5</v>
      </c>
      <c r="X5" s="12"/>
      <c r="Y5" s="12">
        <v>0.5</v>
      </c>
      <c r="AC5" s="12"/>
      <c r="AD5" s="12">
        <v>0.5</v>
      </c>
      <c r="AE5" s="12"/>
      <c r="AF5" s="12">
        <v>0.5</v>
      </c>
      <c r="AJ5" s="12"/>
      <c r="AK5" s="12">
        <v>0.5</v>
      </c>
      <c r="AL5" s="12"/>
      <c r="AM5" s="12">
        <v>0.5</v>
      </c>
      <c r="AQ5" s="12"/>
      <c r="AR5" s="12">
        <v>0.5</v>
      </c>
      <c r="AS5" s="12"/>
      <c r="AT5" s="12">
        <v>0.5</v>
      </c>
      <c r="AX5" s="12"/>
      <c r="AY5" s="12">
        <v>0.5</v>
      </c>
      <c r="AZ5" s="12"/>
      <c r="BA5" s="12">
        <v>0.5</v>
      </c>
      <c r="BE5" s="12"/>
      <c r="BF5" s="12">
        <v>0.8</v>
      </c>
      <c r="BG5" s="12"/>
      <c r="BH5" s="12">
        <v>0.8</v>
      </c>
      <c r="BL5" s="12"/>
      <c r="BM5" s="12">
        <v>0.8</v>
      </c>
      <c r="BN5" s="12"/>
      <c r="BO5" s="12">
        <v>0.8</v>
      </c>
      <c r="BS5" s="12"/>
      <c r="BT5" s="12">
        <v>1</v>
      </c>
      <c r="BU5" s="12"/>
      <c r="BV5" s="12">
        <v>1</v>
      </c>
      <c r="BZ5" s="12"/>
      <c r="CA5" s="12">
        <v>1</v>
      </c>
      <c r="CB5" s="12"/>
      <c r="CC5" s="12">
        <v>1</v>
      </c>
      <c r="CG5" s="12"/>
      <c r="CH5" s="12">
        <v>1</v>
      </c>
      <c r="CI5" s="12"/>
      <c r="CJ5" s="12">
        <v>1</v>
      </c>
      <c r="CN5" s="12"/>
      <c r="CO5" s="12">
        <v>1</v>
      </c>
      <c r="CP5" s="12"/>
      <c r="CQ5" s="12">
        <v>1</v>
      </c>
      <c r="CU5" s="12"/>
      <c r="CV5" s="12">
        <v>1</v>
      </c>
      <c r="CW5" s="12"/>
      <c r="CX5" s="12">
        <v>1</v>
      </c>
      <c r="CY5" s="12">
        <v>1</v>
      </c>
      <c r="DB5" s="12"/>
      <c r="DC5" s="12">
        <v>1</v>
      </c>
      <c r="DD5" s="12"/>
      <c r="DE5" s="12">
        <v>1</v>
      </c>
      <c r="DI5" s="12"/>
      <c r="DJ5" s="12">
        <v>1</v>
      </c>
      <c r="DK5" s="12"/>
      <c r="DL5" s="12">
        <v>1</v>
      </c>
      <c r="DP5" s="12"/>
      <c r="DQ5" s="12">
        <v>1</v>
      </c>
      <c r="DR5" s="12"/>
      <c r="DS5" s="12">
        <v>1</v>
      </c>
      <c r="DW5" s="12"/>
      <c r="DX5" s="12">
        <v>1</v>
      </c>
      <c r="DY5" s="12"/>
      <c r="DZ5" s="12">
        <v>1</v>
      </c>
      <c r="ED5" s="12"/>
      <c r="EE5" s="12">
        <v>1</v>
      </c>
      <c r="EF5" s="12"/>
      <c r="EG5" s="12">
        <v>1</v>
      </c>
    </row>
    <row r="6" spans="2:138" outlineLevel="1">
      <c r="B6" t="s">
        <v>28</v>
      </c>
      <c r="E6" s="11"/>
      <c r="F6" t="s">
        <v>102</v>
      </c>
      <c r="G6" s="12">
        <v>0.05</v>
      </c>
      <c r="I6" s="11">
        <f>+SUMIF($N$3:$AAH$3,I$3,$N6:$AAH6)</f>
        <v>0</v>
      </c>
      <c r="J6" s="13" cm="1">
        <f t="array" ref="J6">MAX(IF($N$3:$EP$3=$J$3,N6:EP6))</f>
        <v>0</v>
      </c>
      <c r="K6" s="13" cm="1">
        <f t="array" ref="K6">MAX(IF($N$3:$EP$3=$J$3,N6:EP6))</f>
        <v>0</v>
      </c>
      <c r="L6" s="11"/>
      <c r="O6" s="12"/>
      <c r="P6" s="12"/>
      <c r="Q6" s="12"/>
      <c r="R6" s="12"/>
      <c r="V6" s="12"/>
      <c r="W6" s="12"/>
      <c r="X6" s="12"/>
      <c r="Y6" s="12"/>
      <c r="AC6" s="12"/>
      <c r="AD6" s="12"/>
      <c r="AE6" s="12"/>
      <c r="AF6" s="12"/>
      <c r="AJ6" s="12"/>
      <c r="AK6" s="12">
        <v>0.5</v>
      </c>
      <c r="AL6" s="12"/>
      <c r="AM6" s="12">
        <v>0.5</v>
      </c>
      <c r="AQ6" s="12"/>
      <c r="AR6" s="12">
        <v>0.5</v>
      </c>
      <c r="AS6" s="12"/>
      <c r="AT6" s="12">
        <v>0.5</v>
      </c>
      <c r="AX6" s="12"/>
      <c r="AY6" s="12">
        <v>0.5</v>
      </c>
      <c r="AZ6" s="12"/>
      <c r="BA6" s="12">
        <v>0.5</v>
      </c>
      <c r="BE6" s="12"/>
      <c r="BF6" s="12">
        <v>0.5</v>
      </c>
      <c r="BG6" s="12"/>
      <c r="BH6" s="12">
        <v>0.5</v>
      </c>
      <c r="BL6" s="12"/>
      <c r="BM6" s="12">
        <v>0.8</v>
      </c>
      <c r="BN6" s="12"/>
      <c r="BO6" s="12">
        <v>0.8</v>
      </c>
      <c r="BS6" s="12"/>
      <c r="BT6" s="12">
        <v>0.8</v>
      </c>
      <c r="BU6" s="12"/>
      <c r="BV6" s="12">
        <v>0.8</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P6" s="12"/>
      <c r="DQ6" s="12">
        <v>1</v>
      </c>
      <c r="DR6" s="12"/>
      <c r="DS6" s="12">
        <v>1</v>
      </c>
      <c r="DW6" s="12"/>
      <c r="DX6" s="12">
        <v>1</v>
      </c>
      <c r="DY6" s="12"/>
      <c r="DZ6" s="12">
        <v>1</v>
      </c>
      <c r="ED6" s="12"/>
      <c r="EE6" s="12">
        <v>1</v>
      </c>
      <c r="EF6" s="12"/>
      <c r="EG6" s="12">
        <v>1</v>
      </c>
    </row>
    <row r="7" spans="2:138" outlineLevel="1">
      <c r="B7" t="s">
        <v>28</v>
      </c>
      <c r="E7" s="11"/>
      <c r="F7" t="s">
        <v>104</v>
      </c>
      <c r="G7" s="12">
        <v>0.05</v>
      </c>
      <c r="I7" s="11">
        <f>+SUMIF($N$3:$AAH$3,I$3,$N7:$AAH7)</f>
        <v>0</v>
      </c>
      <c r="J7" s="13" cm="1">
        <f t="array" ref="J7">MAX(IF($N$3:$EP$3=$J$3,N7:EP7))</f>
        <v>0</v>
      </c>
      <c r="K7" s="13" cm="1">
        <f t="array" ref="K7">MAX(IF($N$3:$EP$3=$J$3,N7:EP7))</f>
        <v>0</v>
      </c>
      <c r="L7" s="11"/>
      <c r="O7" s="12"/>
      <c r="P7" s="12"/>
      <c r="Q7" s="12"/>
      <c r="R7" s="12"/>
      <c r="V7" s="12"/>
      <c r="W7" s="12"/>
      <c r="X7" s="12"/>
      <c r="Y7" s="12"/>
      <c r="AC7" s="12"/>
      <c r="AD7" s="12"/>
      <c r="AE7" s="12"/>
      <c r="AF7" s="12"/>
      <c r="AJ7" s="12"/>
      <c r="AK7" s="12"/>
      <c r="AL7" s="12"/>
      <c r="AM7" s="12"/>
      <c r="AQ7" s="12"/>
      <c r="AR7" s="12">
        <v>0.5</v>
      </c>
      <c r="AS7" s="12"/>
      <c r="AT7" s="12">
        <v>0.5</v>
      </c>
      <c r="AX7" s="12"/>
      <c r="AY7" s="12">
        <v>0.5</v>
      </c>
      <c r="AZ7" s="12"/>
      <c r="BA7" s="12">
        <v>0.5</v>
      </c>
      <c r="BE7" s="12"/>
      <c r="BF7" s="12">
        <v>0.5</v>
      </c>
      <c r="BG7" s="12"/>
      <c r="BH7" s="12">
        <v>0.5</v>
      </c>
      <c r="BL7" s="12"/>
      <c r="BM7" s="12">
        <v>0.8</v>
      </c>
      <c r="BN7" s="12"/>
      <c r="BO7" s="12">
        <v>0.8</v>
      </c>
      <c r="BS7" s="12"/>
      <c r="BT7" s="12">
        <v>0.8</v>
      </c>
      <c r="BU7" s="12"/>
      <c r="BV7" s="12">
        <v>0.8</v>
      </c>
      <c r="BZ7" s="12"/>
      <c r="CA7" s="12">
        <v>0.8</v>
      </c>
      <c r="CB7" s="12"/>
      <c r="CC7" s="12">
        <v>0.8</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P7" s="12"/>
      <c r="DQ7" s="12">
        <v>1</v>
      </c>
      <c r="DR7" s="12"/>
      <c r="DS7" s="12">
        <v>1</v>
      </c>
      <c r="DW7" s="12"/>
      <c r="DX7" s="12">
        <v>1</v>
      </c>
      <c r="DY7" s="12"/>
      <c r="DZ7" s="12">
        <v>1</v>
      </c>
      <c r="ED7" s="12"/>
      <c r="EE7" s="12">
        <v>1</v>
      </c>
      <c r="EF7" s="12"/>
      <c r="EG7" s="12">
        <v>1</v>
      </c>
    </row>
    <row r="8" spans="2:138" outlineLevel="1">
      <c r="B8" t="s">
        <v>28</v>
      </c>
      <c r="E8" s="11"/>
      <c r="F8" t="s">
        <v>105</v>
      </c>
      <c r="G8" s="12">
        <v>0.05</v>
      </c>
      <c r="I8" s="11">
        <f>+SUMIF($N$3:$AAH$3,I$3,$N8:$AAH8)</f>
        <v>0</v>
      </c>
      <c r="J8" s="13" cm="1">
        <f t="array" ref="J8">MAX(IF($N$3:$EP$3=$J$3,N8:EP8))</f>
        <v>0</v>
      </c>
      <c r="K8" s="13" cm="1">
        <f t="array" ref="K8">MAX(IF($N$3:$EP$3=$J$3,N8:EP8))</f>
        <v>0</v>
      </c>
      <c r="L8" s="11"/>
      <c r="O8" s="12"/>
      <c r="P8" s="12"/>
      <c r="Q8" s="12"/>
      <c r="R8" s="12"/>
      <c r="V8" s="12"/>
      <c r="W8" s="12"/>
      <c r="X8" s="12"/>
      <c r="Y8" s="12"/>
      <c r="AC8" s="12"/>
      <c r="AD8" s="12"/>
      <c r="AE8" s="12"/>
      <c r="AF8" s="12"/>
      <c r="AJ8" s="12"/>
      <c r="AK8" s="12"/>
      <c r="AL8" s="12"/>
      <c r="AM8" s="12"/>
      <c r="AQ8" s="12"/>
      <c r="AR8" s="12"/>
      <c r="AS8" s="12"/>
      <c r="AT8" s="12"/>
      <c r="AX8" s="12"/>
      <c r="AY8" s="12">
        <v>0.5</v>
      </c>
      <c r="AZ8" s="12"/>
      <c r="BA8" s="12">
        <v>0.5</v>
      </c>
      <c r="BE8" s="12"/>
      <c r="BF8" s="12">
        <v>0.5</v>
      </c>
      <c r="BG8" s="12"/>
      <c r="BH8" s="12">
        <v>0.5</v>
      </c>
      <c r="BL8" s="12"/>
      <c r="BM8" s="12">
        <v>0.5</v>
      </c>
      <c r="BN8" s="12"/>
      <c r="BO8" s="12">
        <v>0.5</v>
      </c>
      <c r="BS8" s="12"/>
      <c r="BT8" s="12">
        <v>0.8</v>
      </c>
      <c r="BU8" s="12"/>
      <c r="BV8" s="12">
        <v>0.8</v>
      </c>
      <c r="BZ8" s="12"/>
      <c r="CA8" s="12">
        <v>0.8</v>
      </c>
      <c r="CB8" s="12"/>
      <c r="CC8" s="12">
        <v>0.8</v>
      </c>
      <c r="CG8" s="12"/>
      <c r="CH8" s="12">
        <v>0.8</v>
      </c>
      <c r="CI8" s="12"/>
      <c r="CJ8" s="12">
        <v>0.8</v>
      </c>
      <c r="CN8" s="12"/>
      <c r="CO8" s="12">
        <v>1</v>
      </c>
      <c r="CP8" s="12"/>
      <c r="CQ8" s="12">
        <v>1</v>
      </c>
      <c r="CU8" s="12"/>
      <c r="CV8" s="12">
        <v>1</v>
      </c>
      <c r="CW8" s="12"/>
      <c r="CX8" s="12">
        <v>1</v>
      </c>
      <c r="DB8" s="12"/>
      <c r="DC8" s="12">
        <v>1</v>
      </c>
      <c r="DD8" s="12"/>
      <c r="DE8" s="12">
        <v>1</v>
      </c>
      <c r="DI8" s="12"/>
      <c r="DJ8" s="12">
        <v>1</v>
      </c>
      <c r="DK8" s="12"/>
      <c r="DL8" s="12">
        <v>1</v>
      </c>
      <c r="DP8" s="12"/>
      <c r="DQ8" s="12">
        <v>1</v>
      </c>
      <c r="DR8" s="12"/>
      <c r="DS8" s="12">
        <v>1</v>
      </c>
      <c r="DW8" s="12"/>
      <c r="DX8" s="12">
        <v>1</v>
      </c>
      <c r="DY8" s="12"/>
      <c r="DZ8" s="12">
        <v>1</v>
      </c>
      <c r="ED8" s="12"/>
      <c r="EE8" s="12">
        <v>1</v>
      </c>
      <c r="EF8" s="12"/>
      <c r="EG8" s="12">
        <v>1</v>
      </c>
    </row>
    <row r="9" spans="2:138" outlineLevel="1">
      <c r="B9" t="s">
        <v>28</v>
      </c>
      <c r="E9" s="11"/>
      <c r="F9" t="s">
        <v>103</v>
      </c>
      <c r="G9" s="12">
        <v>0.05</v>
      </c>
      <c r="I9" s="11">
        <f>+SUMIF($N$3:$AAH$3,I$3,$N9:$AAH9)</f>
        <v>0</v>
      </c>
      <c r="J9" s="13" cm="1">
        <f t="array" ref="J9">MAX(IF($N$3:$EP$3=$J$3,N9:EP9))</f>
        <v>0</v>
      </c>
      <c r="K9" s="13" cm="1">
        <f t="array" ref="K9">MAX(IF($N$3:$EP$3=$J$3,N9:EP9))</f>
        <v>0</v>
      </c>
      <c r="L9" s="11"/>
      <c r="O9" s="12"/>
      <c r="P9" s="12"/>
      <c r="Q9" s="12"/>
      <c r="R9" s="12"/>
      <c r="V9" s="12"/>
      <c r="W9" s="12"/>
      <c r="X9" s="12"/>
      <c r="Y9" s="12"/>
      <c r="AC9" s="12"/>
      <c r="AD9" s="12"/>
      <c r="AE9" s="12"/>
      <c r="AF9" s="12"/>
      <c r="AJ9" s="12"/>
      <c r="AK9" s="12"/>
      <c r="AL9" s="12"/>
      <c r="AM9" s="12"/>
      <c r="AQ9" s="12"/>
      <c r="AR9" s="12"/>
      <c r="AS9" s="12"/>
      <c r="AT9" s="12"/>
      <c r="AX9" s="12"/>
      <c r="AY9" s="12"/>
      <c r="AZ9" s="12"/>
      <c r="BA9" s="12"/>
      <c r="BE9" s="12"/>
      <c r="BF9" s="12">
        <v>0.5</v>
      </c>
      <c r="BG9" s="12"/>
      <c r="BH9" s="12">
        <v>0.5</v>
      </c>
      <c r="BL9" s="12"/>
      <c r="BM9" s="12">
        <v>0.5</v>
      </c>
      <c r="BN9" s="12"/>
      <c r="BO9" s="12">
        <v>0.5</v>
      </c>
      <c r="BS9" s="12"/>
      <c r="BT9" s="12">
        <v>0.5</v>
      </c>
      <c r="BU9" s="12"/>
      <c r="BV9" s="12">
        <v>0.5</v>
      </c>
      <c r="BZ9" s="12"/>
      <c r="CA9" s="12">
        <v>0.8</v>
      </c>
      <c r="CB9" s="12"/>
      <c r="CC9" s="12">
        <v>0.8</v>
      </c>
      <c r="CG9" s="12"/>
      <c r="CH9" s="12">
        <v>0.8</v>
      </c>
      <c r="CI9" s="12"/>
      <c r="CJ9" s="12">
        <v>0.8</v>
      </c>
      <c r="CN9" s="12"/>
      <c r="CO9" s="12">
        <v>0.8</v>
      </c>
      <c r="CP9" s="12"/>
      <c r="CQ9" s="12">
        <v>0.8</v>
      </c>
      <c r="CU9" s="12"/>
      <c r="CV9" s="12">
        <v>1</v>
      </c>
      <c r="CW9" s="12"/>
      <c r="CX9" s="12">
        <v>1</v>
      </c>
      <c r="DB9" s="12"/>
      <c r="DC9" s="12">
        <v>1</v>
      </c>
      <c r="DD9" s="12"/>
      <c r="DE9" s="12">
        <v>1</v>
      </c>
      <c r="DI9" s="12"/>
      <c r="DJ9" s="12">
        <v>1</v>
      </c>
      <c r="DK9" s="12"/>
      <c r="DL9" s="12">
        <v>1</v>
      </c>
      <c r="DP9" s="12"/>
      <c r="DQ9" s="12">
        <v>1</v>
      </c>
      <c r="DR9" s="12"/>
      <c r="DS9" s="12">
        <v>1</v>
      </c>
      <c r="DW9" s="12"/>
      <c r="DX9" s="12">
        <v>1</v>
      </c>
      <c r="DY9" s="12"/>
      <c r="DZ9" s="12">
        <v>1</v>
      </c>
      <c r="ED9" s="12"/>
      <c r="EE9" s="12">
        <v>1</v>
      </c>
      <c r="EF9" s="12"/>
      <c r="EG9" s="12">
        <v>1</v>
      </c>
    </row>
    <row r="10" spans="2:138">
      <c r="O10" s="9"/>
      <c r="V10" s="9"/>
      <c r="AC10" s="9"/>
      <c r="AJ10" s="9"/>
      <c r="AQ10" s="9"/>
      <c r="AX10" s="9"/>
      <c r="BE10" s="9"/>
      <c r="BL10" s="9"/>
      <c r="BS10" s="9"/>
      <c r="BZ10" s="9"/>
      <c r="CG10" s="9"/>
      <c r="CN10" s="9"/>
      <c r="CU10" s="9"/>
      <c r="DB10" s="9"/>
      <c r="DI10" s="9"/>
      <c r="DP10" s="9"/>
      <c r="DW10" s="9"/>
      <c r="ED10" s="9"/>
    </row>
    <row r="11" spans="2:138">
      <c r="B11" t="s">
        <v>27</v>
      </c>
      <c r="C11" t="s">
        <v>106</v>
      </c>
      <c r="D11" s="22">
        <v>45705</v>
      </c>
      <c r="E11" s="11">
        <v>6</v>
      </c>
      <c r="G11" s="12">
        <f>+SUM(G12:G16)</f>
        <v>0.8</v>
      </c>
      <c r="I11" s="14">
        <f>+SUM(I12:I16)</f>
        <v>0</v>
      </c>
      <c r="J11" s="13">
        <f>+SUMPRODUCT(G12:G16,J12:J16)</f>
        <v>0</v>
      </c>
      <c r="K11" s="13">
        <f>+SUMPRODUCT(G12:G16,K12:K16)</f>
        <v>0</v>
      </c>
      <c r="L11" s="11"/>
      <c r="N11" s="14">
        <f>+SUM(N12:N16)</f>
        <v>0</v>
      </c>
      <c r="U11" s="14">
        <f>+SUM(U12:U16)</f>
        <v>0</v>
      </c>
      <c r="AB11" s="14">
        <f>+SUM(AB12:AB16)</f>
        <v>0</v>
      </c>
      <c r="AI11" s="14">
        <f>+SUM(AI12:AI16)</f>
        <v>0</v>
      </c>
      <c r="AP11" s="14">
        <f>+SUM(AP12:AP16)</f>
        <v>0</v>
      </c>
    </row>
    <row r="12" spans="2:138" outlineLevel="1">
      <c r="B12" t="s">
        <v>28</v>
      </c>
      <c r="E12" s="11"/>
      <c r="F12" t="s">
        <v>107</v>
      </c>
      <c r="G12" s="12">
        <v>0.1</v>
      </c>
      <c r="I12" s="11">
        <f>+SUMIF($N$3:$AAH$3,I$3,$N12:$AAH12)</f>
        <v>0</v>
      </c>
      <c r="J12" s="13" cm="1">
        <f t="array" ref="J12">MAX(IF($N$3:$EP$3=$J$3,N12:EP12))</f>
        <v>0</v>
      </c>
      <c r="K12" s="13" cm="1">
        <f t="array" ref="K12">MAX(IF($N$3:$EP$3=$J$3,N12:EP12))</f>
        <v>0</v>
      </c>
      <c r="L12" s="11"/>
      <c r="O12" s="12"/>
      <c r="P12" s="12">
        <v>0.5</v>
      </c>
      <c r="Q12" s="12"/>
      <c r="R12" s="12">
        <v>0.5</v>
      </c>
      <c r="V12" s="12"/>
      <c r="W12" s="12">
        <v>0.5</v>
      </c>
      <c r="X12" s="12"/>
      <c r="Y12" s="12">
        <v>0.5</v>
      </c>
      <c r="AC12" s="12"/>
      <c r="AD12" s="12">
        <v>0.5</v>
      </c>
      <c r="AE12" s="12"/>
      <c r="AF12" s="12">
        <v>0.5</v>
      </c>
      <c r="AJ12" s="12"/>
      <c r="AK12" s="12">
        <v>0.5</v>
      </c>
      <c r="AL12" s="12"/>
      <c r="AM12" s="12">
        <v>0.5</v>
      </c>
      <c r="AQ12" s="12"/>
      <c r="AR12" s="12">
        <v>0.5</v>
      </c>
      <c r="AS12" s="12"/>
      <c r="AT12" s="12">
        <v>0.5</v>
      </c>
      <c r="AX12" s="12"/>
      <c r="AY12" s="12">
        <v>0.5</v>
      </c>
      <c r="AZ12" s="12"/>
      <c r="BA12" s="12">
        <v>0.5</v>
      </c>
      <c r="BE12" s="12"/>
      <c r="BF12" s="12">
        <v>0.8</v>
      </c>
      <c r="BG12" s="12"/>
      <c r="BH12" s="12">
        <v>0.8</v>
      </c>
      <c r="BL12" s="12"/>
      <c r="BM12" s="12">
        <v>0.8</v>
      </c>
      <c r="BN12" s="12"/>
      <c r="BO12" s="12">
        <v>0.8</v>
      </c>
      <c r="BS12" s="12"/>
      <c r="BT12" s="12">
        <v>1</v>
      </c>
      <c r="BU12" s="12"/>
      <c r="BV12" s="12">
        <v>1</v>
      </c>
      <c r="BZ12" s="12"/>
      <c r="CA12" s="12">
        <v>1</v>
      </c>
      <c r="CB12" s="12"/>
      <c r="CC12" s="12">
        <v>1</v>
      </c>
      <c r="CG12" s="12"/>
      <c r="CH12" s="12">
        <v>1</v>
      </c>
      <c r="CI12" s="12"/>
      <c r="CJ12" s="12">
        <v>1</v>
      </c>
      <c r="CN12" s="12"/>
      <c r="CO12" s="12">
        <v>1</v>
      </c>
      <c r="CP12" s="12"/>
      <c r="CQ12" s="12">
        <v>1</v>
      </c>
      <c r="CU12" s="12"/>
      <c r="CV12" s="12">
        <v>1</v>
      </c>
      <c r="CW12" s="12"/>
      <c r="CX12" s="12">
        <v>1</v>
      </c>
      <c r="CY12" s="12">
        <v>1</v>
      </c>
      <c r="DB12" s="12"/>
      <c r="DC12" s="12">
        <v>1</v>
      </c>
      <c r="DD12" s="12"/>
      <c r="DE12" s="12">
        <v>1</v>
      </c>
      <c r="DI12" s="12"/>
      <c r="DJ12" s="12">
        <v>1</v>
      </c>
      <c r="DK12" s="12"/>
      <c r="DL12" s="12">
        <v>1</v>
      </c>
      <c r="DP12" s="12"/>
      <c r="DQ12" s="12">
        <v>1</v>
      </c>
      <c r="DR12" s="12"/>
      <c r="DS12" s="12">
        <v>1</v>
      </c>
      <c r="DW12" s="12"/>
      <c r="DX12" s="12">
        <v>1</v>
      </c>
      <c r="DY12" s="12"/>
      <c r="DZ12" s="12">
        <v>1</v>
      </c>
      <c r="ED12" s="12"/>
      <c r="EE12" s="12">
        <v>1</v>
      </c>
      <c r="EF12" s="12"/>
      <c r="EG12" s="12">
        <v>1</v>
      </c>
    </row>
    <row r="13" spans="2:138" outlineLevel="1">
      <c r="B13" t="s">
        <v>28</v>
      </c>
      <c r="E13" s="11"/>
      <c r="F13" t="s">
        <v>110</v>
      </c>
      <c r="G13" s="12">
        <v>0.2</v>
      </c>
      <c r="I13" s="11">
        <f>+SUMIF($N$3:$AAH$3,I$3,$N13:$AAH13)</f>
        <v>0</v>
      </c>
      <c r="J13" s="13" cm="1">
        <f t="array" ref="J13">MAX(IF($N$3:$EP$3=$J$3,N13:EP13))</f>
        <v>0</v>
      </c>
      <c r="K13" s="13" cm="1">
        <f t="array" ref="K13">MAX(IF($N$3:$EP$3=$J$3,N13:EP13))</f>
        <v>0</v>
      </c>
      <c r="L13" s="11"/>
      <c r="O13" s="12"/>
      <c r="P13" s="12"/>
      <c r="Q13" s="12"/>
      <c r="R13" s="12"/>
      <c r="V13" s="12"/>
      <c r="W13" s="12"/>
      <c r="X13" s="12"/>
      <c r="Y13" s="12"/>
      <c r="AC13" s="12"/>
      <c r="AD13" s="12"/>
      <c r="AE13" s="12"/>
      <c r="AF13" s="12"/>
      <c r="AJ13" s="12"/>
      <c r="AK13" s="12">
        <v>0.5</v>
      </c>
      <c r="AL13" s="12"/>
      <c r="AM13" s="12">
        <v>0.5</v>
      </c>
      <c r="AQ13" s="12"/>
      <c r="AR13" s="12">
        <v>0.5</v>
      </c>
      <c r="AS13" s="12"/>
      <c r="AT13" s="12">
        <v>0.5</v>
      </c>
      <c r="AX13" s="12"/>
      <c r="AY13" s="12">
        <v>0.5</v>
      </c>
      <c r="AZ13" s="12"/>
      <c r="BA13" s="12">
        <v>0.5</v>
      </c>
      <c r="BE13" s="12"/>
      <c r="BF13" s="12">
        <v>0.5</v>
      </c>
      <c r="BG13" s="12"/>
      <c r="BH13" s="12">
        <v>0.5</v>
      </c>
      <c r="BL13" s="12"/>
      <c r="BM13" s="12">
        <v>0.8</v>
      </c>
      <c r="BN13" s="12"/>
      <c r="BO13" s="12">
        <v>0.8</v>
      </c>
      <c r="BS13" s="12"/>
      <c r="BT13" s="12">
        <v>0.8</v>
      </c>
      <c r="BU13" s="12"/>
      <c r="BV13" s="12">
        <v>0.8</v>
      </c>
      <c r="BZ13" s="12"/>
      <c r="CA13" s="12">
        <v>1</v>
      </c>
      <c r="CB13" s="12"/>
      <c r="CC13" s="12">
        <v>1</v>
      </c>
      <c r="CG13" s="12"/>
      <c r="CH13" s="12">
        <v>1</v>
      </c>
      <c r="CI13" s="12"/>
      <c r="CJ13" s="12">
        <v>1</v>
      </c>
      <c r="CN13" s="12"/>
      <c r="CO13" s="12">
        <v>1</v>
      </c>
      <c r="CP13" s="12"/>
      <c r="CQ13" s="12">
        <v>1</v>
      </c>
      <c r="CU13" s="12"/>
      <c r="CV13" s="12">
        <v>1</v>
      </c>
      <c r="CW13" s="12"/>
      <c r="CX13" s="12">
        <v>1</v>
      </c>
      <c r="DB13" s="12"/>
      <c r="DC13" s="12">
        <v>1</v>
      </c>
      <c r="DD13" s="12"/>
      <c r="DE13" s="12">
        <v>1</v>
      </c>
      <c r="DI13" s="12"/>
      <c r="DJ13" s="12">
        <v>1</v>
      </c>
      <c r="DK13" s="12"/>
      <c r="DL13" s="12">
        <v>1</v>
      </c>
      <c r="DP13" s="12"/>
      <c r="DQ13" s="12">
        <v>1</v>
      </c>
      <c r="DR13" s="12"/>
      <c r="DS13" s="12">
        <v>1</v>
      </c>
      <c r="DW13" s="12"/>
      <c r="DX13" s="12">
        <v>1</v>
      </c>
      <c r="DY13" s="12"/>
      <c r="DZ13" s="12">
        <v>1</v>
      </c>
      <c r="ED13" s="12"/>
      <c r="EE13" s="12">
        <v>1</v>
      </c>
      <c r="EF13" s="12"/>
      <c r="EG13" s="12">
        <v>1</v>
      </c>
    </row>
    <row r="14" spans="2:138" outlineLevel="1">
      <c r="B14" t="s">
        <v>28</v>
      </c>
      <c r="E14" s="11"/>
      <c r="F14" t="s">
        <v>111</v>
      </c>
      <c r="G14" s="12">
        <v>0.2</v>
      </c>
      <c r="I14" s="11">
        <f>+SUMIF($N$3:$AAH$3,I$3,$N14:$AAH14)</f>
        <v>0</v>
      </c>
      <c r="J14" s="13" cm="1">
        <f t="array" ref="J14">MAX(IF($N$3:$EP$3=$J$3,N14:EP14))</f>
        <v>0</v>
      </c>
      <c r="K14" s="13" cm="1">
        <f t="array" ref="K14">MAX(IF($N$3:$EP$3=$J$3,N14:EP14))</f>
        <v>0</v>
      </c>
      <c r="L14" s="11"/>
      <c r="O14" s="12"/>
      <c r="P14" s="12"/>
      <c r="Q14" s="12"/>
      <c r="R14" s="12"/>
      <c r="V14" s="12"/>
      <c r="W14" s="12"/>
      <c r="X14" s="12"/>
      <c r="Y14" s="12"/>
      <c r="AC14" s="12"/>
      <c r="AD14" s="12"/>
      <c r="AE14" s="12"/>
      <c r="AF14" s="12"/>
      <c r="AJ14" s="12"/>
      <c r="AK14" s="12"/>
      <c r="AL14" s="12"/>
      <c r="AM14" s="12"/>
      <c r="AQ14" s="12"/>
      <c r="AR14" s="12">
        <v>0.5</v>
      </c>
      <c r="AS14" s="12"/>
      <c r="AT14" s="12">
        <v>0.5</v>
      </c>
      <c r="AX14" s="12"/>
      <c r="AY14" s="12">
        <v>0.5</v>
      </c>
      <c r="AZ14" s="12"/>
      <c r="BA14" s="12">
        <v>0.5</v>
      </c>
      <c r="BE14" s="12"/>
      <c r="BF14" s="12">
        <v>0.5</v>
      </c>
      <c r="BG14" s="12"/>
      <c r="BH14" s="12">
        <v>0.5</v>
      </c>
      <c r="BL14" s="12"/>
      <c r="BM14" s="12">
        <v>0.8</v>
      </c>
      <c r="BN14" s="12"/>
      <c r="BO14" s="12">
        <v>0.8</v>
      </c>
      <c r="BS14" s="12"/>
      <c r="BT14" s="12">
        <v>0.8</v>
      </c>
      <c r="BU14" s="12"/>
      <c r="BV14" s="12">
        <v>0.8</v>
      </c>
      <c r="BZ14" s="12"/>
      <c r="CA14" s="12">
        <v>0.8</v>
      </c>
      <c r="CB14" s="12"/>
      <c r="CC14" s="12">
        <v>0.8</v>
      </c>
      <c r="CG14" s="12"/>
      <c r="CH14" s="12">
        <v>1</v>
      </c>
      <c r="CI14" s="12"/>
      <c r="CJ14" s="12">
        <v>1</v>
      </c>
      <c r="CN14" s="12"/>
      <c r="CO14" s="12">
        <v>1</v>
      </c>
      <c r="CP14" s="12"/>
      <c r="CQ14" s="12">
        <v>1</v>
      </c>
      <c r="CU14" s="12"/>
      <c r="CV14" s="12">
        <v>1</v>
      </c>
      <c r="CW14" s="12"/>
      <c r="CX14" s="12">
        <v>1</v>
      </c>
      <c r="DB14" s="12"/>
      <c r="DC14" s="12">
        <v>1</v>
      </c>
      <c r="DD14" s="12"/>
      <c r="DE14" s="12">
        <v>1</v>
      </c>
      <c r="DI14" s="12"/>
      <c r="DJ14" s="12">
        <v>1</v>
      </c>
      <c r="DK14" s="12"/>
      <c r="DL14" s="12">
        <v>1</v>
      </c>
      <c r="DP14" s="12"/>
      <c r="DQ14" s="12">
        <v>1</v>
      </c>
      <c r="DR14" s="12"/>
      <c r="DS14" s="12">
        <v>1</v>
      </c>
      <c r="DW14" s="12"/>
      <c r="DX14" s="12">
        <v>1</v>
      </c>
      <c r="DY14" s="12"/>
      <c r="DZ14" s="12">
        <v>1</v>
      </c>
      <c r="ED14" s="12"/>
      <c r="EE14" s="12">
        <v>1</v>
      </c>
      <c r="EF14" s="12"/>
      <c r="EG14" s="12">
        <v>1</v>
      </c>
    </row>
    <row r="15" spans="2:138" outlineLevel="1">
      <c r="B15" t="s">
        <v>28</v>
      </c>
      <c r="E15" s="11"/>
      <c r="F15" t="s">
        <v>108</v>
      </c>
      <c r="G15" s="12">
        <v>0.15</v>
      </c>
      <c r="I15" s="11">
        <f>+SUMIF($N$3:$AAH$3,I$3,$N15:$AAH15)</f>
        <v>0</v>
      </c>
      <c r="J15" s="13" cm="1">
        <f t="array" ref="J15">MAX(IF($N$3:$EP$3=$J$3,N15:EP15))</f>
        <v>0</v>
      </c>
      <c r="K15" s="13" cm="1">
        <f t="array" ref="K15">MAX(IF($N$3:$EP$3=$J$3,N15:EP15))</f>
        <v>0</v>
      </c>
      <c r="L15" s="11"/>
      <c r="O15" s="12"/>
      <c r="P15" s="12"/>
      <c r="Q15" s="12"/>
      <c r="R15" s="12"/>
      <c r="V15" s="12"/>
      <c r="W15" s="12"/>
      <c r="X15" s="12"/>
      <c r="Y15" s="12"/>
      <c r="AC15" s="12"/>
      <c r="AD15" s="12"/>
      <c r="AE15" s="12"/>
      <c r="AF15" s="12"/>
      <c r="AJ15" s="12"/>
      <c r="AK15" s="12"/>
      <c r="AL15" s="12"/>
      <c r="AM15" s="12"/>
      <c r="AQ15" s="12"/>
      <c r="AR15" s="12"/>
      <c r="AS15" s="12"/>
      <c r="AT15" s="12"/>
      <c r="AX15" s="12"/>
      <c r="AY15" s="12">
        <v>0.5</v>
      </c>
      <c r="AZ15" s="12"/>
      <c r="BA15" s="12">
        <v>0.5</v>
      </c>
      <c r="BE15" s="12"/>
      <c r="BF15" s="12">
        <v>0.5</v>
      </c>
      <c r="BG15" s="12"/>
      <c r="BH15" s="12">
        <v>0.5</v>
      </c>
      <c r="BL15" s="12"/>
      <c r="BM15" s="12">
        <v>0.8</v>
      </c>
      <c r="BN15" s="12"/>
      <c r="BO15" s="12">
        <v>0.8</v>
      </c>
      <c r="BS15" s="12"/>
      <c r="BT15" s="12">
        <v>0.8</v>
      </c>
      <c r="BU15" s="12"/>
      <c r="BV15" s="12">
        <v>0.8</v>
      </c>
      <c r="BZ15" s="12"/>
      <c r="CA15" s="12">
        <v>0.8</v>
      </c>
      <c r="CB15" s="12"/>
      <c r="CC15" s="12">
        <v>0.8</v>
      </c>
      <c r="CG15" s="12"/>
      <c r="CH15" s="12">
        <v>0.8</v>
      </c>
      <c r="CI15" s="12"/>
      <c r="CJ15" s="12">
        <v>0.8</v>
      </c>
      <c r="CN15" s="12"/>
      <c r="CO15" s="12">
        <v>1</v>
      </c>
      <c r="CP15" s="12"/>
      <c r="CQ15" s="12">
        <v>1</v>
      </c>
      <c r="CU15" s="12"/>
      <c r="CV15" s="12">
        <v>1</v>
      </c>
      <c r="CW15" s="12"/>
      <c r="CX15" s="12">
        <v>1</v>
      </c>
      <c r="DB15" s="12"/>
      <c r="DC15" s="12">
        <v>1</v>
      </c>
      <c r="DD15" s="12"/>
      <c r="DE15" s="12">
        <v>1</v>
      </c>
      <c r="DI15" s="12"/>
      <c r="DJ15" s="12">
        <v>1</v>
      </c>
      <c r="DK15" s="12"/>
      <c r="DL15" s="12">
        <v>1</v>
      </c>
      <c r="DP15" s="12"/>
      <c r="DQ15" s="12">
        <v>1</v>
      </c>
      <c r="DR15" s="12"/>
      <c r="DS15" s="12">
        <v>1</v>
      </c>
      <c r="DW15" s="12"/>
      <c r="DX15" s="12">
        <v>1</v>
      </c>
      <c r="DY15" s="12"/>
      <c r="DZ15" s="12">
        <v>1</v>
      </c>
      <c r="ED15" s="12"/>
      <c r="EE15" s="12">
        <v>1</v>
      </c>
      <c r="EF15" s="12"/>
      <c r="EG15" s="12">
        <v>1</v>
      </c>
    </row>
    <row r="16" spans="2:138" outlineLevel="1">
      <c r="B16" t="s">
        <v>28</v>
      </c>
      <c r="E16" s="11"/>
      <c r="F16" t="s">
        <v>109</v>
      </c>
      <c r="G16" s="12">
        <v>0.15</v>
      </c>
      <c r="I16" s="11">
        <f>+SUMIF($N$3:$AAH$3,I$3,$N16:$AAH16)</f>
        <v>0</v>
      </c>
      <c r="J16" s="13" cm="1">
        <f t="array" ref="J16">MAX(IF($N$3:$EP$3=$J$3,N16:EP16))</f>
        <v>0</v>
      </c>
      <c r="K16" s="13" cm="1">
        <f t="array" ref="K16">MAX(IF($N$3:$EP$3=$J$3,N16:EP16))</f>
        <v>0</v>
      </c>
      <c r="L16" s="11"/>
      <c r="O16" s="12"/>
      <c r="P16" s="12"/>
      <c r="Q16" s="12"/>
      <c r="R16" s="12"/>
      <c r="V16" s="12"/>
      <c r="W16" s="12"/>
      <c r="X16" s="12"/>
      <c r="Y16" s="12"/>
      <c r="AC16" s="12"/>
      <c r="AD16" s="12"/>
      <c r="AE16" s="12"/>
      <c r="AF16" s="12"/>
      <c r="AJ16" s="12"/>
      <c r="AK16" s="12"/>
      <c r="AL16" s="12"/>
      <c r="AM16" s="12"/>
      <c r="AQ16" s="12"/>
      <c r="AR16" s="12"/>
      <c r="AS16" s="12"/>
      <c r="AT16" s="12"/>
      <c r="AX16" s="12"/>
      <c r="AY16" s="12"/>
      <c r="AZ16" s="12"/>
      <c r="BA16" s="12"/>
      <c r="BE16" s="12"/>
      <c r="BF16" s="12">
        <v>0.5</v>
      </c>
      <c r="BG16" s="12"/>
      <c r="BH16" s="12">
        <v>0.5</v>
      </c>
      <c r="BL16" s="12"/>
      <c r="BM16" s="12">
        <v>0.5</v>
      </c>
      <c r="BN16" s="12"/>
      <c r="BO16" s="12">
        <v>0.5</v>
      </c>
      <c r="BS16" s="12"/>
      <c r="BT16" s="12">
        <v>0.5</v>
      </c>
      <c r="BU16" s="12"/>
      <c r="BV16" s="12">
        <v>0.5</v>
      </c>
      <c r="BZ16" s="12"/>
      <c r="CA16" s="12">
        <v>0.8</v>
      </c>
      <c r="CB16" s="12"/>
      <c r="CC16" s="12">
        <v>0.8</v>
      </c>
      <c r="CG16" s="12"/>
      <c r="CH16" s="12">
        <v>0.8</v>
      </c>
      <c r="CI16" s="12"/>
      <c r="CJ16" s="12">
        <v>0.8</v>
      </c>
      <c r="CN16" s="12"/>
      <c r="CO16" s="12">
        <v>0.8</v>
      </c>
      <c r="CP16" s="12"/>
      <c r="CQ16" s="12">
        <v>0.8</v>
      </c>
      <c r="CU16" s="12"/>
      <c r="CV16" s="12">
        <v>1</v>
      </c>
      <c r="CW16" s="12"/>
      <c r="CX16" s="12">
        <v>1</v>
      </c>
      <c r="DB16" s="12"/>
      <c r="DC16" s="12">
        <v>1</v>
      </c>
      <c r="DD16" s="12"/>
      <c r="DE16" s="12">
        <v>1</v>
      </c>
      <c r="DI16" s="12"/>
      <c r="DJ16" s="12">
        <v>1</v>
      </c>
      <c r="DK16" s="12"/>
      <c r="DL16" s="12">
        <v>1</v>
      </c>
      <c r="DP16" s="12"/>
      <c r="DQ16" s="12">
        <v>1</v>
      </c>
      <c r="DR16" s="12"/>
      <c r="DS16" s="12">
        <v>1</v>
      </c>
      <c r="DW16" s="12"/>
      <c r="DX16" s="12">
        <v>1</v>
      </c>
      <c r="DY16" s="12"/>
      <c r="DZ16" s="12">
        <v>1</v>
      </c>
      <c r="ED16" s="12"/>
      <c r="EE16" s="12">
        <v>1</v>
      </c>
      <c r="EF16" s="12"/>
      <c r="EG16" s="12">
        <v>1</v>
      </c>
    </row>
    <row r="18" spans="2:137">
      <c r="B18" s="23" t="s">
        <v>27</v>
      </c>
      <c r="C18" s="23" t="s">
        <v>87</v>
      </c>
      <c r="D18" s="24">
        <v>45707</v>
      </c>
      <c r="E18" s="25">
        <v>6</v>
      </c>
      <c r="F18" s="23"/>
      <c r="G18" s="12">
        <f>+SUM(G19:G28)</f>
        <v>0.84999999999999987</v>
      </c>
      <c r="I18" s="14">
        <f>+SUM(I19:I28)</f>
        <v>0</v>
      </c>
      <c r="J18" s="13">
        <f>+SUMPRODUCT(G19:G28,J19:J28)</f>
        <v>0</v>
      </c>
      <c r="K18" s="13">
        <f>+SUMPRODUCT(G19:G28,K19:K28)</f>
        <v>0</v>
      </c>
      <c r="L18" s="11"/>
      <c r="N18" s="14">
        <f>+SUM(N19:N28)</f>
        <v>0</v>
      </c>
      <c r="U18" s="14">
        <f>+SUM(U19:U28)</f>
        <v>0</v>
      </c>
      <c r="AB18" s="14">
        <f>+SUM(AB19:AB28)</f>
        <v>0</v>
      </c>
      <c r="AI18" s="14">
        <f>+SUM(AI19:AI28)</f>
        <v>0</v>
      </c>
      <c r="AP18" s="14">
        <f>+SUM(AP19:AP28)</f>
        <v>0</v>
      </c>
    </row>
    <row r="19" spans="2:137" outlineLevel="1">
      <c r="B19" s="23" t="s">
        <v>28</v>
      </c>
      <c r="C19" s="23"/>
      <c r="D19" s="23"/>
      <c r="E19" s="25"/>
      <c r="F19" s="26" t="s">
        <v>88</v>
      </c>
      <c r="G19" s="12">
        <v>0.1</v>
      </c>
      <c r="I19" s="11">
        <f t="shared" ref="I19:I28" si="0">+SUMIF($N$3:$AAH$3,I$3,$N19:$AAH19)</f>
        <v>0</v>
      </c>
      <c r="J19" s="13" cm="1">
        <f t="array" ref="J19">MAX(IF($N$3:$EP$3=$J$3,N19:EP19))</f>
        <v>0</v>
      </c>
      <c r="K19" s="13" cm="1">
        <f t="array" ref="K19">MAX(IF($N$3:$EP$3=$J$3,N19:EP19))</f>
        <v>0</v>
      </c>
      <c r="L19" s="11"/>
      <c r="O19" s="12"/>
      <c r="P19" s="12">
        <v>0.5</v>
      </c>
      <c r="Q19" s="12"/>
      <c r="R19" s="12">
        <v>0.5</v>
      </c>
      <c r="V19" s="12"/>
      <c r="W19" s="12">
        <v>0.5</v>
      </c>
      <c r="X19" s="12"/>
      <c r="Y19" s="12">
        <v>0.5</v>
      </c>
      <c r="AC19" s="12"/>
      <c r="AD19" s="12">
        <v>0.5</v>
      </c>
      <c r="AE19" s="12"/>
      <c r="AF19" s="12">
        <v>0.5</v>
      </c>
      <c r="AJ19" s="12"/>
      <c r="AK19" s="12">
        <v>0.8</v>
      </c>
      <c r="AL19" s="12"/>
      <c r="AM19" s="12">
        <v>0.8</v>
      </c>
      <c r="AQ19" s="12"/>
      <c r="AR19" s="12">
        <v>0.8</v>
      </c>
      <c r="AS19" s="12"/>
      <c r="AT19" s="12">
        <v>0.8</v>
      </c>
      <c r="AX19" s="12"/>
      <c r="AY19" s="12">
        <v>0.8</v>
      </c>
      <c r="AZ19" s="12"/>
      <c r="BA19" s="12">
        <v>0.8</v>
      </c>
      <c r="BE19" s="12"/>
      <c r="BF19" s="12">
        <v>0.8</v>
      </c>
      <c r="BG19" s="12"/>
      <c r="BH19" s="12">
        <v>0.8</v>
      </c>
      <c r="BL19" s="12"/>
      <c r="BM19" s="12">
        <v>1</v>
      </c>
      <c r="BN19" s="12"/>
      <c r="BO19" s="12">
        <v>1</v>
      </c>
      <c r="BS19" s="12"/>
      <c r="BT19" s="12">
        <v>1</v>
      </c>
      <c r="BU19" s="12"/>
      <c r="BV19" s="12">
        <v>1</v>
      </c>
      <c r="BZ19" s="12"/>
      <c r="CA19" s="12">
        <v>1</v>
      </c>
      <c r="CB19" s="12"/>
      <c r="CC19" s="12">
        <v>1</v>
      </c>
      <c r="CG19" s="12"/>
      <c r="CH19" s="12">
        <v>1</v>
      </c>
      <c r="CI19" s="12"/>
      <c r="CJ19" s="12">
        <v>1</v>
      </c>
      <c r="CN19" s="12"/>
      <c r="CO19" s="12">
        <v>1</v>
      </c>
      <c r="CP19" s="12"/>
      <c r="CQ19" s="12">
        <v>1</v>
      </c>
      <c r="CU19" s="12"/>
      <c r="CV19" s="12">
        <v>1</v>
      </c>
      <c r="CW19" s="12"/>
      <c r="CX19" s="12">
        <v>1</v>
      </c>
      <c r="CY19" s="12">
        <v>1</v>
      </c>
      <c r="DB19" s="12"/>
      <c r="DC19" s="12">
        <v>1</v>
      </c>
      <c r="DD19" s="12"/>
      <c r="DE19" s="12">
        <v>1</v>
      </c>
      <c r="DI19" s="12"/>
      <c r="DJ19" s="12">
        <v>1</v>
      </c>
      <c r="DK19" s="12"/>
      <c r="DL19" s="12">
        <v>1</v>
      </c>
      <c r="DP19" s="12"/>
      <c r="DQ19" s="12">
        <v>1</v>
      </c>
      <c r="DR19" s="12"/>
      <c r="DS19" s="12">
        <v>1</v>
      </c>
      <c r="DW19" s="12"/>
      <c r="DX19" s="12">
        <v>1</v>
      </c>
      <c r="DY19" s="12"/>
      <c r="DZ19" s="12">
        <v>1</v>
      </c>
      <c r="ED19" s="12"/>
      <c r="EE19" s="12">
        <v>1</v>
      </c>
      <c r="EF19" s="12"/>
      <c r="EG19" s="12">
        <v>1</v>
      </c>
    </row>
    <row r="20" spans="2:137" outlineLevel="1">
      <c r="B20" s="23" t="s">
        <v>28</v>
      </c>
      <c r="C20" s="23"/>
      <c r="D20" s="23"/>
      <c r="E20" s="25"/>
      <c r="F20" s="26" t="s">
        <v>89</v>
      </c>
      <c r="G20" s="12">
        <v>0.05</v>
      </c>
      <c r="I20" s="11">
        <f t="shared" si="0"/>
        <v>0</v>
      </c>
      <c r="J20" s="13" cm="1">
        <f t="array" ref="J20">MAX(IF($N$3:$EP$3=$J$3,N20:EP20))</f>
        <v>0</v>
      </c>
      <c r="K20" s="13" cm="1">
        <f t="array" ref="K20">MAX(IF($N$3:$EP$3=$J$3,N20:EP20))</f>
        <v>0</v>
      </c>
      <c r="L20" s="11"/>
      <c r="O20" s="12"/>
      <c r="P20" s="12"/>
      <c r="Q20" s="12"/>
      <c r="R20" s="12"/>
      <c r="V20" s="12"/>
      <c r="W20" s="12">
        <v>0.5</v>
      </c>
      <c r="X20" s="12"/>
      <c r="Y20" s="12">
        <v>0.5</v>
      </c>
      <c r="AC20" s="12"/>
      <c r="AD20" s="12">
        <v>0.5</v>
      </c>
      <c r="AE20" s="12"/>
      <c r="AF20" s="12">
        <v>0.5</v>
      </c>
      <c r="AJ20" s="12"/>
      <c r="AK20" s="12">
        <v>0.5</v>
      </c>
      <c r="AL20" s="12"/>
      <c r="AM20" s="12">
        <v>0.5</v>
      </c>
      <c r="AQ20" s="12"/>
      <c r="AR20" s="12">
        <v>0.8</v>
      </c>
      <c r="AS20" s="12"/>
      <c r="AT20" s="12">
        <v>0.8</v>
      </c>
      <c r="AX20" s="12"/>
      <c r="AY20" s="12">
        <v>0.8</v>
      </c>
      <c r="AZ20" s="12"/>
      <c r="BA20" s="12">
        <v>0.8</v>
      </c>
      <c r="BE20" s="12"/>
      <c r="BF20" s="12">
        <v>0.8</v>
      </c>
      <c r="BG20" s="12"/>
      <c r="BH20" s="12">
        <v>0.8</v>
      </c>
      <c r="BL20" s="12"/>
      <c r="BM20" s="12">
        <v>0.8</v>
      </c>
      <c r="BN20" s="12"/>
      <c r="BO20" s="12">
        <v>0.8</v>
      </c>
      <c r="BS20" s="12"/>
      <c r="BT20" s="12">
        <v>1</v>
      </c>
      <c r="BU20" s="12"/>
      <c r="BV20" s="12">
        <v>1</v>
      </c>
      <c r="BZ20" s="12"/>
      <c r="CA20" s="12">
        <v>1</v>
      </c>
      <c r="CB20" s="12"/>
      <c r="CC20" s="12">
        <v>1</v>
      </c>
      <c r="CG20" s="12"/>
      <c r="CH20" s="12">
        <v>1</v>
      </c>
      <c r="CI20" s="12"/>
      <c r="CJ20" s="12">
        <v>1</v>
      </c>
      <c r="CN20" s="12"/>
      <c r="CO20" s="12">
        <v>1</v>
      </c>
      <c r="CP20" s="12"/>
      <c r="CQ20" s="12">
        <v>1</v>
      </c>
      <c r="CU20" s="12"/>
      <c r="CV20" s="12">
        <v>1</v>
      </c>
      <c r="CW20" s="12"/>
      <c r="CX20" s="12">
        <v>1</v>
      </c>
      <c r="DB20" s="12"/>
      <c r="DC20" s="12">
        <v>1</v>
      </c>
      <c r="DD20" s="12"/>
      <c r="DE20" s="12">
        <v>1</v>
      </c>
      <c r="DI20" s="12"/>
      <c r="DJ20" s="12">
        <v>1</v>
      </c>
      <c r="DK20" s="12"/>
      <c r="DL20" s="12">
        <v>1</v>
      </c>
      <c r="DP20" s="12"/>
      <c r="DQ20" s="12">
        <v>1</v>
      </c>
      <c r="DR20" s="12"/>
      <c r="DS20" s="12">
        <v>1</v>
      </c>
      <c r="DW20" s="12"/>
      <c r="DX20" s="12">
        <v>1</v>
      </c>
      <c r="DY20" s="12"/>
      <c r="DZ20" s="12">
        <v>1</v>
      </c>
      <c r="ED20" s="12"/>
      <c r="EE20" s="12">
        <v>1</v>
      </c>
      <c r="EF20" s="12"/>
      <c r="EG20" s="12">
        <v>1</v>
      </c>
    </row>
    <row r="21" spans="2:137" outlineLevel="1">
      <c r="B21" s="23" t="s">
        <v>28</v>
      </c>
      <c r="C21" s="23"/>
      <c r="D21" s="23"/>
      <c r="E21" s="25"/>
      <c r="F21" s="26" t="s">
        <v>90</v>
      </c>
      <c r="G21" s="12">
        <v>0.05</v>
      </c>
      <c r="I21" s="11">
        <f t="shared" si="0"/>
        <v>0</v>
      </c>
      <c r="J21" s="13" cm="1">
        <f t="array" ref="J21">MAX(IF($N$3:$EP$3=$J$3,N21:EP21))</f>
        <v>0</v>
      </c>
      <c r="K21" s="13" cm="1">
        <f t="array" ref="K21">MAX(IF($N$3:$EP$3=$J$3,N21:EP21))</f>
        <v>0</v>
      </c>
      <c r="L21" s="11"/>
      <c r="O21" s="12"/>
      <c r="P21" s="12"/>
      <c r="Q21" s="12"/>
      <c r="R21" s="12"/>
      <c r="V21" s="12"/>
      <c r="W21" s="12"/>
      <c r="X21" s="12"/>
      <c r="Y21" s="12"/>
      <c r="AC21" s="12"/>
      <c r="AD21" s="12">
        <v>0.5</v>
      </c>
      <c r="AE21" s="12"/>
      <c r="AF21" s="12">
        <v>0.5</v>
      </c>
      <c r="AJ21" s="12"/>
      <c r="AK21" s="12">
        <v>0.5</v>
      </c>
      <c r="AL21" s="12"/>
      <c r="AM21" s="12">
        <v>0.5</v>
      </c>
      <c r="AQ21" s="12"/>
      <c r="AR21" s="12">
        <v>0.8</v>
      </c>
      <c r="AS21" s="12"/>
      <c r="AT21" s="12">
        <v>0.8</v>
      </c>
      <c r="AX21" s="12"/>
      <c r="AY21" s="12">
        <v>0.8</v>
      </c>
      <c r="AZ21" s="12"/>
      <c r="BA21" s="12">
        <v>0.8</v>
      </c>
      <c r="BE21" s="12"/>
      <c r="BF21" s="12">
        <v>0.8</v>
      </c>
      <c r="BG21" s="12"/>
      <c r="BH21" s="12">
        <v>0.8</v>
      </c>
      <c r="BL21" s="12"/>
      <c r="BM21" s="12">
        <v>0.8</v>
      </c>
      <c r="BN21" s="12"/>
      <c r="BO21" s="12">
        <v>0.8</v>
      </c>
      <c r="BS21" s="12"/>
      <c r="BT21" s="12">
        <v>1</v>
      </c>
      <c r="BU21" s="12"/>
      <c r="BV21" s="12">
        <v>1</v>
      </c>
      <c r="BZ21" s="12"/>
      <c r="CA21" s="12">
        <v>1</v>
      </c>
      <c r="CB21" s="12"/>
      <c r="CC21" s="12">
        <v>1</v>
      </c>
      <c r="CG21" s="12"/>
      <c r="CH21" s="12">
        <v>1</v>
      </c>
      <c r="CI21" s="12"/>
      <c r="CJ21" s="12">
        <v>1</v>
      </c>
      <c r="CN21" s="12"/>
      <c r="CO21" s="12">
        <v>1</v>
      </c>
      <c r="CP21" s="12"/>
      <c r="CQ21" s="12">
        <v>1</v>
      </c>
      <c r="CU21" s="12"/>
      <c r="CV21" s="12">
        <v>1</v>
      </c>
      <c r="CW21" s="12"/>
      <c r="CX21" s="12">
        <v>1</v>
      </c>
      <c r="DB21" s="12"/>
      <c r="DC21" s="12">
        <v>1</v>
      </c>
      <c r="DD21" s="12"/>
      <c r="DE21" s="12">
        <v>1</v>
      </c>
      <c r="DI21" s="12"/>
      <c r="DJ21" s="12">
        <v>1</v>
      </c>
      <c r="DK21" s="12"/>
      <c r="DL21" s="12">
        <v>1</v>
      </c>
      <c r="DP21" s="12"/>
      <c r="DQ21" s="12">
        <v>1</v>
      </c>
      <c r="DR21" s="12"/>
      <c r="DS21" s="12">
        <v>1</v>
      </c>
      <c r="DW21" s="12"/>
      <c r="DX21" s="12">
        <v>1</v>
      </c>
      <c r="DY21" s="12"/>
      <c r="DZ21" s="12">
        <v>1</v>
      </c>
      <c r="ED21" s="12"/>
      <c r="EE21" s="12">
        <v>1</v>
      </c>
      <c r="EF21" s="12"/>
      <c r="EG21" s="12">
        <v>1</v>
      </c>
    </row>
    <row r="22" spans="2:137" outlineLevel="1">
      <c r="B22" s="23" t="s">
        <v>28</v>
      </c>
      <c r="C22" s="23"/>
      <c r="D22" s="23"/>
      <c r="E22" s="25"/>
      <c r="F22" t="s">
        <v>91</v>
      </c>
      <c r="G22" s="12">
        <v>0.05</v>
      </c>
      <c r="I22" s="11">
        <f t="shared" si="0"/>
        <v>0</v>
      </c>
      <c r="J22" s="13" cm="1">
        <f t="array" ref="J22">MAX(IF($N$3:$EP$3=$J$3,N22:EP22))</f>
        <v>0</v>
      </c>
      <c r="K22" s="13" cm="1">
        <f t="array" ref="K22">MAX(IF($N$3:$EP$3=$J$3,N22:EP22))</f>
        <v>0</v>
      </c>
      <c r="L22" s="11"/>
      <c r="O22" s="12"/>
      <c r="P22" s="12"/>
      <c r="Q22" s="12"/>
      <c r="R22" s="12"/>
      <c r="V22" s="12"/>
      <c r="W22" s="12"/>
      <c r="X22" s="12"/>
      <c r="Y22" s="12"/>
      <c r="AC22" s="12"/>
      <c r="AD22" s="12"/>
      <c r="AE22" s="12"/>
      <c r="AF22" s="12"/>
      <c r="AJ22" s="12"/>
      <c r="AK22" s="12">
        <v>0.5</v>
      </c>
      <c r="AL22" s="12"/>
      <c r="AM22" s="12">
        <v>0.5</v>
      </c>
      <c r="AQ22" s="12"/>
      <c r="AR22" s="12">
        <v>0.5</v>
      </c>
      <c r="AS22" s="12"/>
      <c r="AT22" s="12">
        <v>0.5</v>
      </c>
      <c r="AX22" s="12"/>
      <c r="AY22" s="12">
        <v>0.8</v>
      </c>
      <c r="AZ22" s="12"/>
      <c r="BA22" s="12">
        <v>0.8</v>
      </c>
      <c r="BE22" s="12"/>
      <c r="BF22" s="12">
        <v>0.8</v>
      </c>
      <c r="BG22" s="12"/>
      <c r="BH22" s="12">
        <v>0.8</v>
      </c>
      <c r="BL22" s="12"/>
      <c r="BM22" s="12">
        <v>0.8</v>
      </c>
      <c r="BN22" s="12"/>
      <c r="BO22" s="12">
        <v>0.8</v>
      </c>
      <c r="BS22" s="12"/>
      <c r="BT22" s="12">
        <v>0.8</v>
      </c>
      <c r="BU22" s="12"/>
      <c r="BV22" s="12">
        <v>0.8</v>
      </c>
      <c r="BZ22" s="12"/>
      <c r="CA22" s="12">
        <v>1</v>
      </c>
      <c r="CB22" s="12"/>
      <c r="CC22" s="12">
        <v>1</v>
      </c>
      <c r="CG22" s="12"/>
      <c r="CH22" s="12">
        <v>1</v>
      </c>
      <c r="CI22" s="12"/>
      <c r="CJ22" s="12">
        <v>1</v>
      </c>
      <c r="CN22" s="12"/>
      <c r="CO22" s="12">
        <v>1</v>
      </c>
      <c r="CP22" s="12"/>
      <c r="CQ22" s="12">
        <v>1</v>
      </c>
      <c r="CU22" s="12"/>
      <c r="CV22" s="12">
        <v>1</v>
      </c>
      <c r="CW22" s="12"/>
      <c r="CX22" s="12">
        <v>1</v>
      </c>
      <c r="DB22" s="12"/>
      <c r="DC22" s="12">
        <v>1</v>
      </c>
      <c r="DD22" s="12"/>
      <c r="DE22" s="12">
        <v>1</v>
      </c>
      <c r="DI22" s="12"/>
      <c r="DJ22" s="12">
        <v>1</v>
      </c>
      <c r="DK22" s="12"/>
      <c r="DL22" s="12">
        <v>1</v>
      </c>
      <c r="DP22" s="12"/>
      <c r="DQ22" s="12">
        <v>1</v>
      </c>
      <c r="DR22" s="12"/>
      <c r="DS22" s="12">
        <v>1</v>
      </c>
      <c r="DW22" s="12"/>
      <c r="DX22" s="12">
        <v>1</v>
      </c>
      <c r="DY22" s="12"/>
      <c r="DZ22" s="12">
        <v>1</v>
      </c>
      <c r="ED22" s="12"/>
      <c r="EE22" s="12">
        <v>1</v>
      </c>
      <c r="EF22" s="12"/>
      <c r="EG22" s="12">
        <v>1</v>
      </c>
    </row>
    <row r="23" spans="2:137" outlineLevel="1">
      <c r="B23" s="23" t="s">
        <v>28</v>
      </c>
      <c r="C23" s="23"/>
      <c r="D23" s="23"/>
      <c r="E23" s="25"/>
      <c r="F23" s="26" t="s">
        <v>92</v>
      </c>
      <c r="G23" s="12">
        <v>0.1</v>
      </c>
      <c r="I23" s="11">
        <f t="shared" si="0"/>
        <v>0</v>
      </c>
      <c r="J23" s="13" cm="1">
        <f t="array" ref="J23">MAX(IF($N$3:$EP$3=$J$3,N23:EP23))</f>
        <v>0</v>
      </c>
      <c r="K23" s="13" cm="1">
        <f t="array" ref="K23">MAX(IF($N$3:$EP$3=$J$3,N23:EP23))</f>
        <v>0</v>
      </c>
      <c r="L23" s="11"/>
      <c r="O23" s="12"/>
      <c r="P23" s="12"/>
      <c r="Q23" s="12"/>
      <c r="R23" s="12"/>
      <c r="V23" s="12"/>
      <c r="W23" s="12"/>
      <c r="X23" s="12"/>
      <c r="Y23" s="12"/>
      <c r="AC23" s="12"/>
      <c r="AD23" s="12"/>
      <c r="AE23" s="12"/>
      <c r="AF23" s="12"/>
      <c r="AJ23" s="12"/>
      <c r="AK23" s="12">
        <v>0.5</v>
      </c>
      <c r="AL23" s="12"/>
      <c r="AM23" s="12">
        <v>0.5</v>
      </c>
      <c r="AQ23" s="12"/>
      <c r="AR23" s="12">
        <v>0.5</v>
      </c>
      <c r="AS23" s="12"/>
      <c r="AT23" s="12">
        <v>0.5</v>
      </c>
      <c r="AX23" s="12"/>
      <c r="AY23" s="12">
        <v>0.5</v>
      </c>
      <c r="AZ23" s="12"/>
      <c r="BA23" s="12">
        <v>0.5</v>
      </c>
      <c r="BE23" s="12"/>
      <c r="BF23" s="12">
        <v>0.8</v>
      </c>
      <c r="BG23" s="12"/>
      <c r="BH23" s="12">
        <v>0.8</v>
      </c>
      <c r="BL23" s="12"/>
      <c r="BM23" s="12">
        <v>0.8</v>
      </c>
      <c r="BN23" s="12"/>
      <c r="BO23" s="12">
        <v>0.8</v>
      </c>
      <c r="BS23" s="12"/>
      <c r="BT23" s="12">
        <v>0.8</v>
      </c>
      <c r="BU23" s="12"/>
      <c r="BV23" s="12">
        <v>0.8</v>
      </c>
      <c r="BZ23" s="12"/>
      <c r="CA23" s="12">
        <v>0.8</v>
      </c>
      <c r="CB23" s="12"/>
      <c r="CC23" s="12">
        <v>0.8</v>
      </c>
      <c r="CG23" s="12"/>
      <c r="CH23" s="12">
        <v>1</v>
      </c>
      <c r="CI23" s="12"/>
      <c r="CJ23" s="12">
        <v>1</v>
      </c>
      <c r="CN23" s="12"/>
      <c r="CO23" s="12">
        <v>1</v>
      </c>
      <c r="CP23" s="12"/>
      <c r="CQ23" s="12">
        <v>1</v>
      </c>
      <c r="CU23" s="12"/>
      <c r="CV23" s="12">
        <v>1</v>
      </c>
      <c r="CW23" s="12"/>
      <c r="CX23" s="12">
        <v>1</v>
      </c>
      <c r="DB23" s="12"/>
      <c r="DC23" s="12">
        <v>1</v>
      </c>
      <c r="DD23" s="12"/>
      <c r="DE23" s="12">
        <v>1</v>
      </c>
      <c r="DI23" s="12"/>
      <c r="DJ23" s="12">
        <v>1</v>
      </c>
      <c r="DK23" s="12"/>
      <c r="DL23" s="12">
        <v>1</v>
      </c>
      <c r="DP23" s="12"/>
      <c r="DQ23" s="12">
        <v>1</v>
      </c>
      <c r="DR23" s="12"/>
      <c r="DS23" s="12">
        <v>1</v>
      </c>
      <c r="DW23" s="12"/>
      <c r="DX23" s="12">
        <v>1</v>
      </c>
      <c r="DY23" s="12"/>
      <c r="DZ23" s="12">
        <v>1</v>
      </c>
      <c r="ED23" s="12"/>
      <c r="EE23" s="12">
        <v>1</v>
      </c>
      <c r="EF23" s="12"/>
      <c r="EG23" s="12">
        <v>1</v>
      </c>
    </row>
    <row r="24" spans="2:137" outlineLevel="1">
      <c r="B24" s="23" t="s">
        <v>28</v>
      </c>
      <c r="C24" s="23"/>
      <c r="D24" s="23"/>
      <c r="E24" s="25"/>
      <c r="F24" s="26" t="s">
        <v>93</v>
      </c>
      <c r="G24" s="12">
        <v>0.1</v>
      </c>
      <c r="I24" s="11">
        <f t="shared" si="0"/>
        <v>0</v>
      </c>
      <c r="J24" s="13" cm="1">
        <f t="array" ref="J24">MAX(IF($N$3:$EP$3=$J$3,N24:EP24))</f>
        <v>0</v>
      </c>
      <c r="K24" s="13" cm="1">
        <f t="array" ref="K24">MAX(IF($N$3:$EP$3=$J$3,N24:EP24))</f>
        <v>0</v>
      </c>
      <c r="L24" s="11"/>
      <c r="O24" s="12"/>
      <c r="P24" s="12"/>
      <c r="Q24" s="12"/>
      <c r="R24" s="12"/>
      <c r="V24" s="12"/>
      <c r="W24" s="12"/>
      <c r="X24" s="12"/>
      <c r="Y24" s="12"/>
      <c r="AC24" s="12"/>
      <c r="AD24" s="12"/>
      <c r="AE24" s="12"/>
      <c r="AF24" s="12"/>
      <c r="AJ24" s="12"/>
      <c r="AK24" s="12"/>
      <c r="AL24" s="12"/>
      <c r="AM24" s="12"/>
      <c r="AQ24" s="12"/>
      <c r="AR24" s="12">
        <v>0.5</v>
      </c>
      <c r="AS24" s="12"/>
      <c r="AT24" s="12">
        <v>0.5</v>
      </c>
      <c r="AX24" s="12"/>
      <c r="AY24" s="12">
        <v>0.5</v>
      </c>
      <c r="AZ24" s="12"/>
      <c r="BA24" s="12">
        <v>0.5</v>
      </c>
      <c r="BE24" s="12"/>
      <c r="BF24" s="12">
        <v>0.8</v>
      </c>
      <c r="BG24" s="12"/>
      <c r="BH24" s="12">
        <v>0.8</v>
      </c>
      <c r="BL24" s="12"/>
      <c r="BM24" s="12">
        <v>0.8</v>
      </c>
      <c r="BN24" s="12"/>
      <c r="BO24" s="12">
        <v>0.8</v>
      </c>
      <c r="BS24" s="12"/>
      <c r="BT24" s="12">
        <v>0.8</v>
      </c>
      <c r="BU24" s="12"/>
      <c r="BV24" s="12">
        <v>0.8</v>
      </c>
      <c r="BZ24" s="12"/>
      <c r="CA24" s="12">
        <v>0.8</v>
      </c>
      <c r="CB24" s="12"/>
      <c r="CC24" s="12">
        <v>0.8</v>
      </c>
      <c r="CG24" s="12"/>
      <c r="CH24" s="12">
        <v>1</v>
      </c>
      <c r="CI24" s="12"/>
      <c r="CJ24" s="12">
        <v>1</v>
      </c>
      <c r="CN24" s="12"/>
      <c r="CO24" s="12">
        <v>1</v>
      </c>
      <c r="CP24" s="12"/>
      <c r="CQ24" s="12">
        <v>1</v>
      </c>
      <c r="CU24" s="12"/>
      <c r="CV24" s="12">
        <v>1</v>
      </c>
      <c r="CW24" s="12"/>
      <c r="CX24" s="12">
        <v>1</v>
      </c>
      <c r="DB24" s="12"/>
      <c r="DC24" s="12">
        <v>1</v>
      </c>
      <c r="DD24" s="12"/>
      <c r="DE24" s="12">
        <v>1</v>
      </c>
      <c r="DI24" s="12"/>
      <c r="DJ24" s="12">
        <v>1</v>
      </c>
      <c r="DK24" s="12"/>
      <c r="DL24" s="12">
        <v>1</v>
      </c>
      <c r="DP24" s="12"/>
      <c r="DQ24" s="12">
        <v>1</v>
      </c>
      <c r="DR24" s="12"/>
      <c r="DS24" s="12">
        <v>1</v>
      </c>
      <c r="DW24" s="12"/>
      <c r="DX24" s="12">
        <v>1</v>
      </c>
      <c r="DY24" s="12"/>
      <c r="DZ24" s="12">
        <v>1</v>
      </c>
      <c r="ED24" s="12"/>
      <c r="EE24" s="12">
        <v>1</v>
      </c>
      <c r="EF24" s="12"/>
      <c r="EG24" s="12">
        <v>1</v>
      </c>
    </row>
    <row r="25" spans="2:137" outlineLevel="1">
      <c r="B25" s="23" t="s">
        <v>28</v>
      </c>
      <c r="C25" s="23"/>
      <c r="D25" s="23"/>
      <c r="E25" s="25"/>
      <c r="F25" s="26" t="s">
        <v>94</v>
      </c>
      <c r="G25" s="12">
        <v>0.1</v>
      </c>
      <c r="I25" s="11">
        <f t="shared" si="0"/>
        <v>0</v>
      </c>
      <c r="J25" s="13" cm="1">
        <f t="array" ref="J25">MAX(IF($N$3:$EP$3=$J$3,N25:EP25))</f>
        <v>0</v>
      </c>
      <c r="K25" s="13" cm="1">
        <f t="array" ref="K25">MAX(IF($N$3:$EP$3=$J$3,N25:EP25))</f>
        <v>0</v>
      </c>
      <c r="L25" s="11"/>
      <c r="O25" s="12"/>
      <c r="P25" s="12"/>
      <c r="Q25" s="12"/>
      <c r="R25" s="12"/>
      <c r="V25" s="12"/>
      <c r="W25" s="12"/>
      <c r="X25" s="12"/>
      <c r="Y25" s="12"/>
      <c r="AC25" s="12"/>
      <c r="AD25" s="12"/>
      <c r="AE25" s="12"/>
      <c r="AF25" s="12"/>
      <c r="AJ25" s="12"/>
      <c r="AK25" s="12"/>
      <c r="AL25" s="12"/>
      <c r="AM25" s="12"/>
      <c r="AQ25" s="12"/>
      <c r="AR25" s="12"/>
      <c r="AS25" s="12"/>
      <c r="AT25" s="12"/>
      <c r="AX25" s="12"/>
      <c r="AY25" s="12">
        <v>0.5</v>
      </c>
      <c r="AZ25" s="12"/>
      <c r="BA25" s="12">
        <v>0.5</v>
      </c>
      <c r="BE25" s="12"/>
      <c r="BF25" s="12">
        <v>0.5</v>
      </c>
      <c r="BG25" s="12"/>
      <c r="BH25" s="12">
        <v>0.5</v>
      </c>
      <c r="BL25" s="12"/>
      <c r="BM25" s="12">
        <v>0.8</v>
      </c>
      <c r="BN25" s="12"/>
      <c r="BO25" s="12">
        <v>0.8</v>
      </c>
      <c r="BS25" s="12"/>
      <c r="BT25" s="12">
        <v>0.8</v>
      </c>
      <c r="BU25" s="12"/>
      <c r="BV25" s="12">
        <v>0.8</v>
      </c>
      <c r="BZ25" s="12"/>
      <c r="CA25" s="12">
        <v>0.8</v>
      </c>
      <c r="CB25" s="12"/>
      <c r="CC25" s="12">
        <v>0.8</v>
      </c>
      <c r="CG25" s="12"/>
      <c r="CH25" s="12">
        <v>0.8</v>
      </c>
      <c r="CI25" s="12"/>
      <c r="CJ25" s="12">
        <v>0.8</v>
      </c>
      <c r="CN25" s="12"/>
      <c r="CO25" s="12">
        <v>1</v>
      </c>
      <c r="CP25" s="12"/>
      <c r="CQ25" s="12">
        <v>1</v>
      </c>
      <c r="CU25" s="12"/>
      <c r="CV25" s="12">
        <v>1</v>
      </c>
      <c r="CW25" s="12"/>
      <c r="CX25" s="12">
        <v>1</v>
      </c>
      <c r="DB25" s="12"/>
      <c r="DC25" s="12">
        <v>1</v>
      </c>
      <c r="DD25" s="12"/>
      <c r="DE25" s="12">
        <v>1</v>
      </c>
      <c r="DI25" s="12"/>
      <c r="DJ25" s="12">
        <v>1</v>
      </c>
      <c r="DK25" s="12"/>
      <c r="DL25" s="12">
        <v>1</v>
      </c>
      <c r="DP25" s="12"/>
      <c r="DQ25" s="12">
        <v>1</v>
      </c>
      <c r="DR25" s="12"/>
      <c r="DS25" s="12">
        <v>1</v>
      </c>
      <c r="DW25" s="12"/>
      <c r="DX25" s="12">
        <v>1</v>
      </c>
      <c r="DY25" s="12"/>
      <c r="DZ25" s="12">
        <v>1</v>
      </c>
      <c r="ED25" s="12"/>
      <c r="EE25" s="12">
        <v>1</v>
      </c>
      <c r="EF25" s="12"/>
      <c r="EG25" s="12">
        <v>1</v>
      </c>
    </row>
    <row r="26" spans="2:137" outlineLevel="1">
      <c r="B26" s="23" t="s">
        <v>28</v>
      </c>
      <c r="C26" s="23"/>
      <c r="D26" s="23"/>
      <c r="E26" s="25"/>
      <c r="F26" s="26" t="s">
        <v>95</v>
      </c>
      <c r="G26" s="12">
        <v>0.1</v>
      </c>
      <c r="I26" s="11">
        <f t="shared" si="0"/>
        <v>0</v>
      </c>
      <c r="J26" s="13" cm="1">
        <f t="array" ref="J26">MAX(IF($N$3:$EP$3=$J$3,N26:EP26))</f>
        <v>0</v>
      </c>
      <c r="K26" s="13" cm="1">
        <f t="array" ref="K26">MAX(IF($N$3:$EP$3=$J$3,N26:EP26))</f>
        <v>0</v>
      </c>
      <c r="L26" s="11"/>
      <c r="O26" s="12"/>
      <c r="P26" s="12"/>
      <c r="Q26" s="12"/>
      <c r="R26" s="12"/>
      <c r="V26" s="12"/>
      <c r="W26" s="12"/>
      <c r="X26" s="12"/>
      <c r="Y26" s="12"/>
      <c r="AC26" s="12"/>
      <c r="AD26" s="12"/>
      <c r="AE26" s="12"/>
      <c r="AF26" s="12"/>
      <c r="AJ26" s="12"/>
      <c r="AK26" s="12"/>
      <c r="AL26" s="12"/>
      <c r="AM26" s="12"/>
      <c r="AQ26" s="12"/>
      <c r="AR26" s="12"/>
      <c r="AS26" s="12"/>
      <c r="AT26" s="12"/>
      <c r="AX26" s="12"/>
      <c r="AY26" s="12">
        <v>0.5</v>
      </c>
      <c r="AZ26" s="12"/>
      <c r="BA26" s="12">
        <v>0.5</v>
      </c>
      <c r="BE26" s="12"/>
      <c r="BF26" s="12">
        <v>0.5</v>
      </c>
      <c r="BG26" s="12"/>
      <c r="BH26" s="12">
        <v>0.5</v>
      </c>
      <c r="BL26" s="12"/>
      <c r="BM26" s="12">
        <v>0.8</v>
      </c>
      <c r="BN26" s="12"/>
      <c r="BO26" s="12">
        <v>0.8</v>
      </c>
      <c r="BS26" s="12"/>
      <c r="BT26" s="12">
        <v>0.8</v>
      </c>
      <c r="BU26" s="12"/>
      <c r="BV26" s="12">
        <v>0.8</v>
      </c>
      <c r="BZ26" s="12"/>
      <c r="CA26" s="12">
        <v>0.8</v>
      </c>
      <c r="CB26" s="12"/>
      <c r="CC26" s="12">
        <v>0.8</v>
      </c>
      <c r="CG26" s="12"/>
      <c r="CH26" s="12">
        <v>0.8</v>
      </c>
      <c r="CI26" s="12"/>
      <c r="CJ26" s="12">
        <v>0.8</v>
      </c>
      <c r="CN26" s="12"/>
      <c r="CO26" s="12">
        <v>1</v>
      </c>
      <c r="CP26" s="12"/>
      <c r="CQ26" s="12">
        <v>1</v>
      </c>
      <c r="CU26" s="12"/>
      <c r="CV26" s="12">
        <v>1</v>
      </c>
      <c r="CW26" s="12"/>
      <c r="CX26" s="12">
        <v>1</v>
      </c>
      <c r="DB26" s="12"/>
      <c r="DC26" s="12">
        <v>1</v>
      </c>
      <c r="DD26" s="12"/>
      <c r="DE26" s="12">
        <v>1</v>
      </c>
      <c r="DI26" s="12"/>
      <c r="DJ26" s="12">
        <v>1</v>
      </c>
      <c r="DK26" s="12"/>
      <c r="DL26" s="12">
        <v>1</v>
      </c>
      <c r="DP26" s="12"/>
      <c r="DQ26" s="12">
        <v>1</v>
      </c>
      <c r="DR26" s="12"/>
      <c r="DS26" s="12">
        <v>1</v>
      </c>
      <c r="DW26" s="12"/>
      <c r="DX26" s="12">
        <v>1</v>
      </c>
      <c r="DY26" s="12"/>
      <c r="DZ26" s="12">
        <v>1</v>
      </c>
      <c r="ED26" s="12"/>
      <c r="EE26" s="12">
        <v>1</v>
      </c>
      <c r="EF26" s="12"/>
      <c r="EG26" s="12">
        <v>1</v>
      </c>
    </row>
    <row r="27" spans="2:137" outlineLevel="1">
      <c r="B27" s="23" t="s">
        <v>28</v>
      </c>
      <c r="C27" s="23"/>
      <c r="D27" s="23"/>
      <c r="E27" s="25"/>
      <c r="F27" s="26" t="s">
        <v>96</v>
      </c>
      <c r="G27" s="12">
        <v>0.1</v>
      </c>
      <c r="I27" s="11">
        <f t="shared" si="0"/>
        <v>0</v>
      </c>
      <c r="J27" s="13" cm="1">
        <f t="array" ref="J27">MAX(IF($N$3:$EP$3=$J$3,N27:EP27))</f>
        <v>0</v>
      </c>
      <c r="K27" s="13" cm="1">
        <f t="array" ref="K27">MAX(IF($N$3:$EP$3=$J$3,N27:EP27))</f>
        <v>0</v>
      </c>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v>0.5</v>
      </c>
      <c r="BG27" s="12"/>
      <c r="BH27" s="12">
        <v>0.5</v>
      </c>
      <c r="BL27" s="12"/>
      <c r="BM27" s="12">
        <v>0.5</v>
      </c>
      <c r="BN27" s="12"/>
      <c r="BO27" s="12">
        <v>0.5</v>
      </c>
      <c r="BS27" s="12"/>
      <c r="BT27" s="12">
        <v>0.5</v>
      </c>
      <c r="BU27" s="12"/>
      <c r="BV27" s="12">
        <v>0.5</v>
      </c>
      <c r="BZ27" s="12"/>
      <c r="CA27" s="12">
        <v>0.8</v>
      </c>
      <c r="CB27" s="12"/>
      <c r="CC27" s="12">
        <v>0.8</v>
      </c>
      <c r="CG27" s="12"/>
      <c r="CH27" s="12">
        <v>0.8</v>
      </c>
      <c r="CI27" s="12"/>
      <c r="CJ27" s="12">
        <v>0.8</v>
      </c>
      <c r="CN27" s="12"/>
      <c r="CO27" s="12">
        <v>0.8</v>
      </c>
      <c r="CP27" s="12"/>
      <c r="CQ27" s="12">
        <v>0.8</v>
      </c>
      <c r="CU27" s="12"/>
      <c r="CV27" s="12">
        <v>1</v>
      </c>
      <c r="CW27" s="12"/>
      <c r="CX27" s="12">
        <v>1</v>
      </c>
      <c r="DB27" s="12"/>
      <c r="DC27" s="12">
        <v>1</v>
      </c>
      <c r="DD27" s="12"/>
      <c r="DE27" s="12">
        <v>1</v>
      </c>
      <c r="DI27" s="12"/>
      <c r="DJ27" s="12">
        <v>1</v>
      </c>
      <c r="DK27" s="12"/>
      <c r="DL27" s="12">
        <v>1</v>
      </c>
      <c r="DP27" s="12"/>
      <c r="DQ27" s="12">
        <v>1</v>
      </c>
      <c r="DR27" s="12"/>
      <c r="DS27" s="12">
        <v>1</v>
      </c>
      <c r="DW27" s="12"/>
      <c r="DX27" s="12">
        <v>1</v>
      </c>
      <c r="DY27" s="12"/>
      <c r="DZ27" s="12">
        <v>1</v>
      </c>
      <c r="ED27" s="12"/>
      <c r="EE27" s="12">
        <v>1</v>
      </c>
      <c r="EF27" s="12"/>
      <c r="EG27" s="12">
        <v>1</v>
      </c>
    </row>
    <row r="28" spans="2:137" outlineLevel="1">
      <c r="B28" s="23" t="s">
        <v>28</v>
      </c>
      <c r="C28" s="23"/>
      <c r="D28" s="23"/>
      <c r="E28" s="25"/>
      <c r="F28" s="26" t="s">
        <v>97</v>
      </c>
      <c r="G28" s="12">
        <v>0.1</v>
      </c>
      <c r="I28" s="11">
        <f t="shared" si="0"/>
        <v>0</v>
      </c>
      <c r="J28" s="13" cm="1">
        <f t="array" ref="J28">MAX(IF($N$3:$EP$3=$J$3,N28:EP28))</f>
        <v>0</v>
      </c>
      <c r="K28" s="13" cm="1">
        <f t="array" ref="K28">MAX(IF($N$3:$EP$3=$J$3,N28:EP28))</f>
        <v>0</v>
      </c>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v>0.5</v>
      </c>
      <c r="BN28" s="12"/>
      <c r="BO28" s="12">
        <v>0.5</v>
      </c>
      <c r="BS28" s="12"/>
      <c r="BT28" s="12">
        <v>0.5</v>
      </c>
      <c r="BU28" s="12"/>
      <c r="BV28" s="12">
        <v>0.5</v>
      </c>
      <c r="BZ28" s="12"/>
      <c r="CA28" s="12">
        <v>0.5</v>
      </c>
      <c r="CB28" s="12"/>
      <c r="CC28" s="12">
        <v>0.5</v>
      </c>
      <c r="CG28" s="12"/>
      <c r="CH28" s="12">
        <v>0.8</v>
      </c>
      <c r="CI28" s="12"/>
      <c r="CJ28" s="12">
        <v>0.8</v>
      </c>
      <c r="CN28" s="12"/>
      <c r="CO28" s="12">
        <v>0.8</v>
      </c>
      <c r="CP28" s="12"/>
      <c r="CQ28" s="12">
        <v>0.8</v>
      </c>
      <c r="CU28" s="12"/>
      <c r="CV28" s="12">
        <v>1</v>
      </c>
      <c r="CW28" s="12"/>
      <c r="CX28" s="12">
        <v>1</v>
      </c>
      <c r="DB28" s="12"/>
      <c r="DC28" s="12">
        <v>1</v>
      </c>
      <c r="DD28" s="12"/>
      <c r="DE28" s="12">
        <v>1</v>
      </c>
      <c r="DI28" s="12"/>
      <c r="DJ28" s="12">
        <v>1</v>
      </c>
      <c r="DK28" s="12"/>
      <c r="DL28" s="12">
        <v>1</v>
      </c>
      <c r="DP28" s="12"/>
      <c r="DQ28" s="12">
        <v>1</v>
      </c>
      <c r="DR28" s="12"/>
      <c r="DS28" s="12">
        <v>1</v>
      </c>
      <c r="DW28" s="12"/>
      <c r="DX28" s="12">
        <v>1</v>
      </c>
      <c r="DY28" s="12"/>
      <c r="DZ28" s="12">
        <v>1</v>
      </c>
      <c r="ED28" s="12"/>
      <c r="EE28" s="12">
        <v>1</v>
      </c>
      <c r="EF28" s="12"/>
      <c r="EG28" s="12">
        <v>1</v>
      </c>
    </row>
    <row r="29" spans="2:137" outlineLevel="1">
      <c r="B29" s="23"/>
      <c r="C29" s="23"/>
      <c r="D29" s="23"/>
      <c r="E29" s="25"/>
      <c r="F29" s="26" t="s">
        <v>134</v>
      </c>
      <c r="G29" s="12"/>
      <c r="I29" s="11"/>
      <c r="J29" s="13"/>
      <c r="K29" s="13"/>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v>0.5</v>
      </c>
      <c r="BU29" s="12"/>
      <c r="BV29" s="12">
        <v>0.5</v>
      </c>
      <c r="BZ29" s="12"/>
      <c r="CA29" s="12">
        <v>0.5</v>
      </c>
      <c r="CB29" s="12"/>
      <c r="CC29" s="12">
        <v>0.5</v>
      </c>
      <c r="CG29" s="12"/>
      <c r="CH29" s="12">
        <v>0.5</v>
      </c>
      <c r="CI29" s="12"/>
      <c r="CJ29" s="12">
        <v>0.5</v>
      </c>
      <c r="CN29" s="12"/>
      <c r="CO29" s="12">
        <v>0.8</v>
      </c>
      <c r="CP29" s="12"/>
      <c r="CQ29" s="12">
        <v>0.8</v>
      </c>
      <c r="CU29" s="12"/>
      <c r="CV29" s="12">
        <v>1</v>
      </c>
      <c r="CW29" s="12"/>
      <c r="CX29" s="12">
        <v>1</v>
      </c>
      <c r="DB29" s="12"/>
      <c r="DC29" s="12">
        <v>1</v>
      </c>
      <c r="DD29" s="12"/>
      <c r="DE29" s="12">
        <v>1</v>
      </c>
      <c r="DI29" s="12"/>
      <c r="DJ29" s="12">
        <v>1</v>
      </c>
      <c r="DK29" s="12"/>
      <c r="DL29" s="12">
        <v>1</v>
      </c>
      <c r="DP29" s="12"/>
      <c r="DQ29" s="12">
        <v>1</v>
      </c>
      <c r="DR29" s="12"/>
      <c r="DS29" s="12">
        <v>1</v>
      </c>
      <c r="DW29" s="12"/>
      <c r="DX29" s="12">
        <v>1</v>
      </c>
      <c r="DY29" s="12"/>
      <c r="DZ29" s="12">
        <v>1</v>
      </c>
      <c r="ED29" s="12"/>
      <c r="EE29" s="12">
        <v>1</v>
      </c>
      <c r="EF29" s="12"/>
      <c r="EG29" s="12">
        <v>1</v>
      </c>
    </row>
    <row r="31" spans="2:137">
      <c r="B31" t="s">
        <v>27</v>
      </c>
      <c r="C31" t="s">
        <v>98</v>
      </c>
      <c r="D31" s="22" t="s">
        <v>135</v>
      </c>
      <c r="E31" s="11">
        <v>6</v>
      </c>
      <c r="G31" s="12">
        <f>+SUM(G32:G36)</f>
        <v>0.35</v>
      </c>
      <c r="I31" s="14">
        <f>+SUM(I32:I36)</f>
        <v>0</v>
      </c>
      <c r="J31" s="13">
        <f>+SUMPRODUCT(G32:G36,J32:J36)</f>
        <v>0</v>
      </c>
      <c r="K31" s="13">
        <f>+SUMPRODUCT(G32:G36,K32:K36)</f>
        <v>0</v>
      </c>
      <c r="L31" s="11"/>
      <c r="N31" s="14">
        <f>+SUM(N32:N36)</f>
        <v>0</v>
      </c>
      <c r="U31" s="14">
        <f>+SUM(U32:U36)</f>
        <v>0</v>
      </c>
      <c r="AB31" s="14">
        <f>+SUM(AB32:AB36)</f>
        <v>0</v>
      </c>
      <c r="AI31" s="14">
        <f>+SUM(AI32:AI36)</f>
        <v>0</v>
      </c>
      <c r="AP31" s="14">
        <f>+SUM(AP32:AP36)</f>
        <v>0</v>
      </c>
    </row>
    <row r="32" spans="2:137" outlineLevel="1">
      <c r="B32" t="s">
        <v>28</v>
      </c>
      <c r="E32" s="11"/>
      <c r="F32" t="s">
        <v>99</v>
      </c>
      <c r="G32" s="12">
        <v>0.1</v>
      </c>
      <c r="I32" s="11">
        <f>+SUMIF($N$3:$AAH$3,I$3,$N32:$AAH32)</f>
        <v>0</v>
      </c>
      <c r="J32" s="13" cm="1">
        <f t="array" ref="J32">MAX(IF($N$3:$EP$3=$J$3,N32:EP32))</f>
        <v>0</v>
      </c>
      <c r="K32" s="13" cm="1">
        <f t="array" ref="K32">MAX(IF($N$3:$EP$3=$J$3,N32:EP32))</f>
        <v>0</v>
      </c>
      <c r="L32" s="11"/>
      <c r="O32" s="12"/>
      <c r="P32" s="12">
        <v>0.5</v>
      </c>
      <c r="Q32" s="12"/>
      <c r="R32" s="12">
        <v>0.5</v>
      </c>
      <c r="V32" s="12"/>
      <c r="W32" s="12">
        <v>0.5</v>
      </c>
      <c r="X32" s="12"/>
      <c r="Y32" s="12">
        <v>0.5</v>
      </c>
      <c r="AC32" s="12"/>
      <c r="AD32" s="12">
        <v>0.5</v>
      </c>
      <c r="AE32" s="12"/>
      <c r="AF32" s="12">
        <v>0.5</v>
      </c>
      <c r="AJ32" s="12"/>
      <c r="AK32" s="12">
        <v>0.5</v>
      </c>
      <c r="AL32" s="12"/>
      <c r="AM32" s="12">
        <v>0.5</v>
      </c>
      <c r="AQ32" s="12"/>
      <c r="AR32" s="12">
        <v>0.5</v>
      </c>
      <c r="AS32" s="12"/>
      <c r="AT32" s="12">
        <v>0.5</v>
      </c>
      <c r="AX32" s="12"/>
      <c r="AY32" s="12">
        <v>0.5</v>
      </c>
      <c r="AZ32" s="12"/>
      <c r="BA32" s="12">
        <v>0.5</v>
      </c>
      <c r="BE32" s="12"/>
      <c r="BF32" s="12">
        <v>0.5</v>
      </c>
      <c r="BG32" s="12"/>
      <c r="BH32" s="12">
        <v>0.5</v>
      </c>
      <c r="BL32" s="12"/>
      <c r="BM32" s="12">
        <v>0.8</v>
      </c>
      <c r="BN32" s="12"/>
      <c r="BO32" s="12">
        <v>0.8</v>
      </c>
      <c r="BS32" s="12"/>
      <c r="BT32" s="12">
        <v>0.8</v>
      </c>
      <c r="BU32" s="12"/>
      <c r="BV32" s="12">
        <v>0.8</v>
      </c>
      <c r="BZ32" s="12"/>
      <c r="CA32" s="12">
        <v>0.8</v>
      </c>
      <c r="CB32" s="12"/>
      <c r="CC32" s="12">
        <v>0.8</v>
      </c>
      <c r="CG32" s="12"/>
      <c r="CH32" s="12">
        <v>0.8</v>
      </c>
      <c r="CI32" s="12"/>
      <c r="CJ32" s="12">
        <v>0.8</v>
      </c>
      <c r="CN32" s="12"/>
      <c r="CO32" s="12">
        <v>0.8</v>
      </c>
      <c r="CP32" s="12"/>
      <c r="CQ32" s="12">
        <v>0.8</v>
      </c>
      <c r="CU32" s="12"/>
      <c r="CV32" s="12">
        <v>0.8</v>
      </c>
      <c r="CW32" s="12"/>
      <c r="CX32" s="12">
        <v>0.8</v>
      </c>
      <c r="CY32" s="12">
        <v>0.8</v>
      </c>
      <c r="DB32" s="12"/>
      <c r="DC32" s="12">
        <v>0.8</v>
      </c>
      <c r="DD32" s="12"/>
      <c r="DE32" s="12">
        <v>0.8</v>
      </c>
      <c r="DI32" s="12"/>
      <c r="DJ32" s="12">
        <v>0.8</v>
      </c>
      <c r="DK32" s="12"/>
      <c r="DL32" s="12">
        <v>0.8</v>
      </c>
      <c r="DP32" s="12"/>
      <c r="DQ32" s="12">
        <v>0.8</v>
      </c>
      <c r="DR32" s="12"/>
      <c r="DS32" s="12">
        <v>0.8</v>
      </c>
      <c r="DW32" s="12"/>
      <c r="DX32" s="12">
        <v>0.8</v>
      </c>
      <c r="DY32" s="12"/>
      <c r="DZ32" s="12">
        <v>0.8</v>
      </c>
      <c r="ED32" s="12"/>
      <c r="EE32" s="12"/>
      <c r="EF32" s="12"/>
      <c r="EG32" s="12"/>
    </row>
    <row r="33" spans="2:137" outlineLevel="1">
      <c r="B33" t="s">
        <v>28</v>
      </c>
      <c r="E33" s="11"/>
      <c r="F33" t="s">
        <v>100</v>
      </c>
      <c r="G33" s="12">
        <v>0.05</v>
      </c>
      <c r="I33" s="11">
        <f>+SUMIF($N$3:$AAH$3,I$3,$N33:$AAH33)</f>
        <v>0</v>
      </c>
      <c r="J33" s="13" cm="1">
        <f t="array" ref="J33">MAX(IF($N$3:$EP$3=$J$3,N33:EP33))</f>
        <v>0</v>
      </c>
      <c r="K33" s="13" cm="1">
        <f t="array" ref="K33">MAX(IF($N$3:$EP$3=$J$3,N33:EP33))</f>
        <v>0</v>
      </c>
      <c r="L33" s="11"/>
      <c r="O33" s="12"/>
      <c r="P33" s="12"/>
      <c r="Q33" s="12"/>
      <c r="R33" s="12"/>
      <c r="V33" s="12"/>
      <c r="W33" s="12"/>
      <c r="X33" s="12"/>
      <c r="Y33" s="12"/>
      <c r="AC33" s="12"/>
      <c r="AD33" s="12"/>
      <c r="AE33" s="12"/>
      <c r="AF33" s="12"/>
      <c r="AJ33" s="12"/>
      <c r="AK33" s="12">
        <v>0.5</v>
      </c>
      <c r="AL33" s="12"/>
      <c r="AM33" s="12">
        <v>0.5</v>
      </c>
      <c r="AQ33" s="12"/>
      <c r="AR33" s="12">
        <v>0.5</v>
      </c>
      <c r="AS33" s="12"/>
      <c r="AT33" s="12">
        <v>0.5</v>
      </c>
      <c r="AX33" s="12"/>
      <c r="AY33" s="12">
        <v>0.5</v>
      </c>
      <c r="AZ33" s="12"/>
      <c r="BA33" s="12">
        <v>0.5</v>
      </c>
      <c r="BE33" s="12"/>
      <c r="BF33" s="12">
        <v>0.5</v>
      </c>
      <c r="BG33" s="12"/>
      <c r="BH33" s="12">
        <v>0.5</v>
      </c>
      <c r="BL33" s="12"/>
      <c r="BM33" s="12">
        <v>0.5</v>
      </c>
      <c r="BN33" s="12"/>
      <c r="BO33" s="12">
        <v>0.5</v>
      </c>
      <c r="BS33" s="12"/>
      <c r="BT33" s="12">
        <v>0.5</v>
      </c>
      <c r="BU33" s="12"/>
      <c r="BV33" s="12">
        <v>0.5</v>
      </c>
      <c r="BZ33" s="12"/>
      <c r="CA33" s="12">
        <v>0.8</v>
      </c>
      <c r="CB33" s="12"/>
      <c r="CC33" s="12">
        <v>0.8</v>
      </c>
      <c r="CG33" s="12"/>
      <c r="CH33" s="12">
        <v>0.8</v>
      </c>
      <c r="CI33" s="12"/>
      <c r="CJ33" s="12">
        <v>0.8</v>
      </c>
      <c r="CN33" s="12"/>
      <c r="CO33" s="12">
        <v>0.8</v>
      </c>
      <c r="CP33" s="12"/>
      <c r="CQ33" s="12">
        <v>0.8</v>
      </c>
      <c r="CU33" s="12"/>
      <c r="CV33" s="12">
        <v>0.8</v>
      </c>
      <c r="CW33" s="12"/>
      <c r="CX33" s="12">
        <v>0.8</v>
      </c>
      <c r="DB33" s="12"/>
      <c r="DC33" s="12">
        <v>0.8</v>
      </c>
      <c r="DD33" s="12"/>
      <c r="DE33" s="12">
        <v>0.8</v>
      </c>
      <c r="DI33" s="12"/>
      <c r="DJ33" s="12">
        <v>0.8</v>
      </c>
      <c r="DK33" s="12"/>
      <c r="DL33" s="12">
        <v>0.8</v>
      </c>
      <c r="DP33" s="12"/>
      <c r="DQ33" s="12">
        <v>0.8</v>
      </c>
      <c r="DR33" s="12"/>
      <c r="DS33" s="12">
        <v>0.8</v>
      </c>
      <c r="DW33" s="12"/>
      <c r="DX33" s="12">
        <v>0.8</v>
      </c>
      <c r="DY33" s="12"/>
      <c r="DZ33" s="12">
        <v>0.8</v>
      </c>
      <c r="ED33" s="12"/>
      <c r="EE33" s="12"/>
      <c r="EF33" s="12"/>
      <c r="EG33" s="12"/>
    </row>
    <row r="34" spans="2:137" outlineLevel="1">
      <c r="B34" t="s">
        <v>28</v>
      </c>
      <c r="E34" s="11"/>
      <c r="F34" t="s">
        <v>131</v>
      </c>
      <c r="G34" s="12">
        <v>0.1</v>
      </c>
      <c r="I34" s="11">
        <f>+SUMIF($N$3:$AAH$3,I$3,$N34:$AAH34)</f>
        <v>0</v>
      </c>
      <c r="J34" s="13" cm="1">
        <f t="array" ref="J34">MAX(IF($N$3:$EP$3=$J$3,N34:EP34))</f>
        <v>0</v>
      </c>
      <c r="K34" s="13" cm="1">
        <f t="array" ref="K34">MAX(IF($N$3:$EP$3=$J$3,N34:EP34))</f>
        <v>0</v>
      </c>
      <c r="L34" s="11"/>
      <c r="O34" s="12"/>
      <c r="P34" s="12"/>
      <c r="Q34" s="12"/>
      <c r="R34" s="12"/>
      <c r="V34" s="12"/>
      <c r="W34" s="12"/>
      <c r="X34" s="12"/>
      <c r="Y34" s="12"/>
      <c r="AC34" s="12"/>
      <c r="AD34" s="12"/>
      <c r="AE34" s="12"/>
      <c r="AF34" s="12"/>
      <c r="AJ34" s="12"/>
      <c r="AK34" s="12"/>
      <c r="AL34" s="12"/>
      <c r="AM34" s="12"/>
      <c r="AQ34" s="12"/>
      <c r="AR34" s="12"/>
      <c r="AS34" s="12"/>
      <c r="AT34" s="12"/>
      <c r="AX34" s="12"/>
      <c r="AY34" s="12">
        <v>0.5</v>
      </c>
      <c r="AZ34" s="12"/>
      <c r="BA34" s="12">
        <v>0.5</v>
      </c>
      <c r="BE34" s="12"/>
      <c r="BF34" s="12">
        <v>0.5</v>
      </c>
      <c r="BG34" s="12"/>
      <c r="BH34" s="12">
        <v>0.5</v>
      </c>
      <c r="BL34" s="12"/>
      <c r="BM34" s="12">
        <v>0.5</v>
      </c>
      <c r="BN34" s="12"/>
      <c r="BO34" s="12">
        <v>0.5</v>
      </c>
      <c r="BS34" s="12"/>
      <c r="BT34" s="12">
        <v>0.5</v>
      </c>
      <c r="BU34" s="12"/>
      <c r="BV34" s="12">
        <v>0.5</v>
      </c>
      <c r="BZ34" s="12"/>
      <c r="CA34" s="12">
        <v>0.5</v>
      </c>
      <c r="CB34" s="12"/>
      <c r="CC34" s="12">
        <v>0.5</v>
      </c>
      <c r="CG34" s="12"/>
      <c r="CH34" s="12">
        <v>0.8</v>
      </c>
      <c r="CI34" s="12"/>
      <c r="CJ34" s="12">
        <v>0.8</v>
      </c>
      <c r="CN34" s="12"/>
      <c r="CO34" s="12">
        <v>0.8</v>
      </c>
      <c r="CP34" s="12"/>
      <c r="CQ34" s="12">
        <v>0.8</v>
      </c>
      <c r="CU34" s="12"/>
      <c r="CV34" s="12">
        <v>0.8</v>
      </c>
      <c r="CW34" s="12"/>
      <c r="CX34" s="12">
        <v>0.8</v>
      </c>
      <c r="DB34" s="12"/>
      <c r="DC34" s="12">
        <v>0.8</v>
      </c>
      <c r="DD34" s="12"/>
      <c r="DE34" s="12">
        <v>0.8</v>
      </c>
      <c r="DI34" s="12"/>
      <c r="DJ34" s="12">
        <v>0.8</v>
      </c>
      <c r="DK34" s="12"/>
      <c r="DL34" s="12">
        <v>0.8</v>
      </c>
      <c r="DP34" s="12"/>
      <c r="DQ34" s="12">
        <v>0.8</v>
      </c>
      <c r="DR34" s="12"/>
      <c r="DS34" s="12">
        <v>0.8</v>
      </c>
      <c r="DW34" s="12"/>
      <c r="DX34" s="12">
        <v>0.8</v>
      </c>
      <c r="DY34" s="12"/>
      <c r="DZ34" s="12">
        <v>0.8</v>
      </c>
      <c r="ED34" s="12"/>
      <c r="EE34" s="12"/>
      <c r="EF34" s="12"/>
      <c r="EG34" s="12"/>
    </row>
    <row r="35" spans="2:137" outlineLevel="1">
      <c r="B35" t="s">
        <v>28</v>
      </c>
      <c r="E35" s="11"/>
      <c r="F35" t="s">
        <v>132</v>
      </c>
      <c r="G35" s="12"/>
      <c r="I35" s="11">
        <f>+SUMIF($N$3:$AAH$3,I$3,$N35:$AAH35)</f>
        <v>0</v>
      </c>
      <c r="J35" s="13" cm="1">
        <f t="array" ref="J35">MAX(IF($N$3:$EP$3=$J$3,N35:EP35))</f>
        <v>0</v>
      </c>
      <c r="K35" s="13" cm="1">
        <f t="array" ref="K35">MAX(IF($N$3:$EP$3=$J$3,N35:EP35))</f>
        <v>0</v>
      </c>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v>0.5</v>
      </c>
      <c r="BG35" s="12"/>
      <c r="BH35" s="12">
        <v>0.5</v>
      </c>
      <c r="BL35" s="12"/>
      <c r="BM35" s="12">
        <v>0.5</v>
      </c>
      <c r="BN35" s="12"/>
      <c r="BO35" s="12">
        <v>0.5</v>
      </c>
      <c r="BS35" s="12"/>
      <c r="BT35" s="12">
        <v>0.5</v>
      </c>
      <c r="BU35" s="12"/>
      <c r="BV35" s="12">
        <v>0.5</v>
      </c>
      <c r="BZ35" s="12"/>
      <c r="CA35" s="12">
        <v>0.5</v>
      </c>
      <c r="CB35" s="12"/>
      <c r="CC35" s="12">
        <v>0.5</v>
      </c>
      <c r="CG35" s="12"/>
      <c r="CH35" s="12">
        <v>0.5</v>
      </c>
      <c r="CI35" s="12"/>
      <c r="CJ35" s="12">
        <v>0.5</v>
      </c>
      <c r="CN35" s="12"/>
      <c r="CO35" s="12">
        <v>0.8</v>
      </c>
      <c r="CP35" s="12"/>
      <c r="CQ35" s="12">
        <v>0.8</v>
      </c>
      <c r="CU35" s="12"/>
      <c r="CV35" s="12">
        <v>0.8</v>
      </c>
      <c r="CW35" s="12"/>
      <c r="CX35" s="12">
        <v>0.8</v>
      </c>
      <c r="DB35" s="12"/>
      <c r="DC35" s="12">
        <v>0.8</v>
      </c>
      <c r="DD35" s="12"/>
      <c r="DE35" s="12">
        <v>0.8</v>
      </c>
      <c r="DI35" s="12"/>
      <c r="DJ35" s="12">
        <v>0.8</v>
      </c>
      <c r="DK35" s="12"/>
      <c r="DL35" s="12">
        <v>0.8</v>
      </c>
      <c r="DP35" s="12"/>
      <c r="DQ35" s="12">
        <v>0.8</v>
      </c>
      <c r="DR35" s="12"/>
      <c r="DS35" s="12">
        <v>0.8</v>
      </c>
      <c r="DW35" s="12"/>
      <c r="DX35" s="12">
        <v>0.8</v>
      </c>
      <c r="DY35" s="12"/>
      <c r="DZ35" s="12">
        <v>0.8</v>
      </c>
      <c r="ED35" s="12"/>
      <c r="EE35" s="12"/>
      <c r="EF35" s="12"/>
      <c r="EG35" s="12"/>
    </row>
    <row r="36" spans="2:137" outlineLevel="1">
      <c r="B36" t="s">
        <v>28</v>
      </c>
      <c r="E36" s="11"/>
      <c r="F36" t="s">
        <v>133</v>
      </c>
      <c r="G36" s="12">
        <v>0.1</v>
      </c>
      <c r="I36" s="11">
        <f>+SUMIF($N$3:$AAH$3,I$3,$N36:$AAH36)</f>
        <v>0</v>
      </c>
      <c r="J36" s="13" cm="1">
        <f t="array" ref="J36">MAX(IF($N$3:$EP$3=$J$3,N36:EP36))</f>
        <v>0</v>
      </c>
      <c r="K36" s="13" cm="1">
        <f t="array" ref="K36">MAX(IF($N$3:$EP$3=$J$3,N36:EP36))</f>
        <v>0</v>
      </c>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c r="BL36" s="12"/>
      <c r="BM36" s="12"/>
      <c r="BN36" s="12"/>
      <c r="BO36" s="12"/>
      <c r="BS36" s="12"/>
      <c r="BT36" s="12">
        <v>0.5</v>
      </c>
      <c r="BU36" s="12"/>
      <c r="BV36" s="12">
        <v>0.5</v>
      </c>
      <c r="BZ36" s="12"/>
      <c r="CA36" s="12">
        <v>0.5</v>
      </c>
      <c r="CB36" s="12"/>
      <c r="CC36" s="12">
        <v>0.5</v>
      </c>
      <c r="CG36" s="12"/>
      <c r="CH36" s="12">
        <v>0.5</v>
      </c>
      <c r="CI36" s="12"/>
      <c r="CJ36" s="12">
        <v>0.5</v>
      </c>
      <c r="CN36" s="12"/>
      <c r="CO36" s="12">
        <v>0.5</v>
      </c>
      <c r="CP36" s="12"/>
      <c r="CQ36" s="12">
        <v>0.5</v>
      </c>
      <c r="CU36" s="12"/>
      <c r="CV36" s="12">
        <v>0.8</v>
      </c>
      <c r="CW36" s="12"/>
      <c r="CX36" s="12">
        <v>0.8</v>
      </c>
      <c r="DB36" s="12"/>
      <c r="DC36" s="12">
        <v>0.8</v>
      </c>
      <c r="DD36" s="12"/>
      <c r="DE36" s="12">
        <v>0.8</v>
      </c>
      <c r="DI36" s="12"/>
      <c r="DJ36" s="12">
        <v>0.8</v>
      </c>
      <c r="DK36" s="12"/>
      <c r="DL36" s="12">
        <v>0.8</v>
      </c>
      <c r="DP36" s="12"/>
      <c r="DQ36" s="12">
        <v>0.8</v>
      </c>
      <c r="DR36" s="12"/>
      <c r="DS36" s="12">
        <v>0.8</v>
      </c>
      <c r="DW36" s="12"/>
      <c r="DX36" s="12">
        <v>0.8</v>
      </c>
      <c r="DY36" s="12"/>
      <c r="DZ36" s="12">
        <v>0.8</v>
      </c>
      <c r="ED36" s="12"/>
      <c r="EE36" s="12"/>
      <c r="EF36" s="12"/>
      <c r="EG36" s="12"/>
    </row>
    <row r="38" spans="2:137">
      <c r="B38" t="s">
        <v>27</v>
      </c>
      <c r="C38" t="s">
        <v>136</v>
      </c>
      <c r="D38" s="22">
        <v>45688</v>
      </c>
      <c r="E38" s="11">
        <v>6</v>
      </c>
      <c r="G38" s="12">
        <f>+SUM(G39:G48)</f>
        <v>0.89999999999999991</v>
      </c>
      <c r="I38" s="14">
        <f>+SUM(I39:I48)</f>
        <v>0</v>
      </c>
      <c r="J38" s="13">
        <f>+SUMPRODUCT(G39:G48,J39:J48)</f>
        <v>0</v>
      </c>
      <c r="K38" s="13">
        <f>+SUMPRODUCT(G39:G48,K39:K48)</f>
        <v>0</v>
      </c>
      <c r="L38" s="11"/>
      <c r="N38" s="14">
        <f>+SUM(N39:N48)</f>
        <v>0</v>
      </c>
      <c r="U38" s="14">
        <f>+SUM(U39:U48)</f>
        <v>0</v>
      </c>
      <c r="AB38" s="14">
        <f>+SUM(AB39:AB48)</f>
        <v>0</v>
      </c>
      <c r="AI38" s="14">
        <f>+SUM(AI39:AI48)</f>
        <v>0</v>
      </c>
      <c r="AP38" s="14">
        <f>+SUM(AP39:AP48)</f>
        <v>0</v>
      </c>
    </row>
    <row r="39" spans="2:137" hidden="1" outlineLevel="1">
      <c r="B39" t="s">
        <v>28</v>
      </c>
      <c r="E39" s="11"/>
      <c r="G39" s="12">
        <v>0.1</v>
      </c>
      <c r="I39" s="11">
        <f t="shared" ref="I39:I48" si="1">+SUMIF($N$3:$AAH$3,I$3,$N39:$AAH39)</f>
        <v>0</v>
      </c>
      <c r="J39" s="13" cm="1">
        <f t="array" ref="J39">MAX(IF($N$3:$EP$3=$J$3,N39:EP39))</f>
        <v>0</v>
      </c>
      <c r="K39" s="13" cm="1">
        <f t="array" ref="K39">MAX(IF($N$3:$EP$3=$J$3,N39:EP39))</f>
        <v>0</v>
      </c>
      <c r="L39" s="11"/>
      <c r="O39" s="12"/>
      <c r="P39" s="12">
        <v>0.5</v>
      </c>
      <c r="Q39" s="12"/>
      <c r="R39" s="12">
        <v>0.5</v>
      </c>
      <c r="V39" s="12"/>
      <c r="W39" s="12">
        <v>0.8</v>
      </c>
      <c r="X39" s="12"/>
      <c r="Y39" s="12">
        <v>0.8</v>
      </c>
      <c r="AC39" s="12"/>
      <c r="AD39" s="12">
        <v>0.8</v>
      </c>
      <c r="AE39" s="12"/>
      <c r="AF39" s="12">
        <v>0.8</v>
      </c>
      <c r="AJ39" s="12"/>
      <c r="AK39" s="12">
        <v>1</v>
      </c>
      <c r="AL39" s="12"/>
      <c r="AM39" s="12">
        <v>1</v>
      </c>
      <c r="AQ39" s="12"/>
      <c r="AR39" s="12">
        <v>1</v>
      </c>
      <c r="AS39" s="12"/>
      <c r="AT39" s="12">
        <v>1</v>
      </c>
      <c r="AX39" s="12"/>
      <c r="AY39" s="12"/>
      <c r="AZ39" s="12"/>
      <c r="BA39" s="12"/>
      <c r="BE39" s="12"/>
      <c r="BF39" s="12"/>
      <c r="BG39" s="12"/>
      <c r="BH39" s="12"/>
      <c r="BL39" s="12"/>
      <c r="BM39" s="12"/>
      <c r="BN39" s="12"/>
      <c r="BO39" s="12">
        <v>1</v>
      </c>
      <c r="BS39" s="12"/>
      <c r="BT39" s="12">
        <v>1</v>
      </c>
      <c r="BU39" s="12"/>
      <c r="BV39" s="12">
        <v>1</v>
      </c>
      <c r="BZ39" s="12"/>
      <c r="CA39" s="12">
        <v>1</v>
      </c>
      <c r="CB39" s="12"/>
      <c r="CC39" s="12">
        <v>1</v>
      </c>
      <c r="CG39" s="12"/>
      <c r="CH39" s="12">
        <v>1</v>
      </c>
      <c r="CI39" s="12"/>
      <c r="CJ39" s="12">
        <v>1</v>
      </c>
      <c r="CN39" s="12"/>
      <c r="CO39" s="12"/>
      <c r="CP39" s="12"/>
      <c r="CQ39" s="12"/>
      <c r="CU39" s="12"/>
      <c r="CV39" s="12"/>
      <c r="CW39" s="12"/>
      <c r="CX39" s="12"/>
      <c r="DB39" s="12"/>
      <c r="DC39" s="12"/>
      <c r="DD39" s="12"/>
      <c r="DE39" s="12"/>
      <c r="DI39" s="12"/>
      <c r="DJ39" s="12"/>
      <c r="DK39" s="12"/>
      <c r="DL39" s="12"/>
      <c r="DP39" s="12"/>
      <c r="DQ39" s="12"/>
      <c r="DR39" s="12"/>
      <c r="DS39" s="12"/>
      <c r="DW39" s="12"/>
      <c r="DX39" s="12"/>
      <c r="DY39" s="12"/>
      <c r="DZ39" s="12"/>
      <c r="ED39" s="12"/>
      <c r="EE39" s="12"/>
      <c r="EF39" s="12"/>
      <c r="EG39" s="12"/>
    </row>
    <row r="40" spans="2:137" hidden="1" outlineLevel="1">
      <c r="B40" t="s">
        <v>28</v>
      </c>
      <c r="E40" s="11"/>
      <c r="G40" s="12">
        <v>0.05</v>
      </c>
      <c r="I40" s="11">
        <f t="shared" si="1"/>
        <v>0</v>
      </c>
      <c r="J40" s="13" cm="1">
        <f t="array" ref="J40">MAX(IF($N$3:$EP$3=$J$3,N40:EP40))</f>
        <v>0</v>
      </c>
      <c r="K40" s="13" cm="1">
        <f t="array" ref="K40">MAX(IF($N$3:$EP$3=$J$3,N40:EP40))</f>
        <v>0</v>
      </c>
      <c r="L40" s="11"/>
      <c r="O40" s="12"/>
      <c r="P40" s="12">
        <v>0.5</v>
      </c>
      <c r="Q40" s="12"/>
      <c r="R40" s="12">
        <v>0.5</v>
      </c>
      <c r="V40" s="12"/>
      <c r="W40" s="12">
        <v>0.8</v>
      </c>
      <c r="X40" s="12"/>
      <c r="Y40" s="12">
        <v>0.8</v>
      </c>
      <c r="AC40" s="12"/>
      <c r="AD40" s="12">
        <v>0.8</v>
      </c>
      <c r="AE40" s="12"/>
      <c r="AF40" s="12">
        <v>0.8</v>
      </c>
      <c r="AJ40" s="12"/>
      <c r="AK40" s="12">
        <v>1</v>
      </c>
      <c r="AL40" s="12"/>
      <c r="AM40" s="12">
        <v>1</v>
      </c>
      <c r="AQ40" s="12"/>
      <c r="AR40" s="12">
        <v>1</v>
      </c>
      <c r="AS40" s="12"/>
      <c r="AT40" s="12">
        <v>1</v>
      </c>
      <c r="AX40" s="12"/>
      <c r="AY40" s="12"/>
      <c r="AZ40" s="12"/>
      <c r="BA40" s="12"/>
      <c r="BE40" s="12"/>
      <c r="BF40" s="12"/>
      <c r="BG40" s="12"/>
      <c r="BH40" s="12"/>
      <c r="BL40" s="12"/>
      <c r="BM40" s="12"/>
      <c r="BN40" s="12"/>
      <c r="BO40" s="12">
        <v>1</v>
      </c>
      <c r="BS40" s="12"/>
      <c r="BT40" s="12">
        <v>1</v>
      </c>
      <c r="BU40" s="12"/>
      <c r="BV40" s="12">
        <v>1</v>
      </c>
      <c r="BZ40" s="12"/>
      <c r="CA40" s="12">
        <v>1</v>
      </c>
      <c r="CB40" s="12"/>
      <c r="CC40" s="12">
        <v>1</v>
      </c>
      <c r="CG40" s="12"/>
      <c r="CH40" s="12">
        <v>1</v>
      </c>
      <c r="CI40" s="12"/>
      <c r="CJ40" s="12">
        <v>1</v>
      </c>
      <c r="CN40" s="12"/>
      <c r="CO40" s="12"/>
      <c r="CP40" s="12"/>
      <c r="CQ40" s="12"/>
      <c r="CU40" s="12"/>
      <c r="CV40" s="12"/>
      <c r="CW40" s="12"/>
      <c r="CX40" s="12"/>
      <c r="DB40" s="12"/>
      <c r="DC40" s="12"/>
      <c r="DD40" s="12"/>
      <c r="DE40" s="12"/>
      <c r="DI40" s="12"/>
      <c r="DJ40" s="12"/>
      <c r="DK40" s="12"/>
      <c r="DL40" s="12"/>
      <c r="DP40" s="12"/>
      <c r="DQ40" s="12"/>
      <c r="DR40" s="12"/>
      <c r="DS40" s="12"/>
      <c r="DW40" s="12"/>
      <c r="DX40" s="12"/>
      <c r="DY40" s="12"/>
      <c r="DZ40" s="12"/>
      <c r="ED40" s="12"/>
      <c r="EE40" s="12"/>
      <c r="EF40" s="12"/>
      <c r="EG40" s="12"/>
    </row>
    <row r="41" spans="2:137" hidden="1" outlineLevel="1">
      <c r="B41" t="s">
        <v>28</v>
      </c>
      <c r="E41" s="11"/>
      <c r="G41" s="12">
        <v>0.05</v>
      </c>
      <c r="I41" s="11">
        <f t="shared" si="1"/>
        <v>0</v>
      </c>
      <c r="J41" s="13" cm="1">
        <f t="array" ref="J41">MAX(IF($N$3:$EP$3=$J$3,N41:EP41))</f>
        <v>0</v>
      </c>
      <c r="K41" s="13" cm="1">
        <f t="array" ref="K41">MAX(IF($N$3:$EP$3=$J$3,N41:EP41))</f>
        <v>0</v>
      </c>
      <c r="L41" s="11"/>
      <c r="O41" s="12"/>
      <c r="P41" s="12">
        <v>0.5</v>
      </c>
      <c r="Q41" s="12"/>
      <c r="R41" s="12">
        <v>0.5</v>
      </c>
      <c r="V41" s="12"/>
      <c r="W41" s="12">
        <v>0.5</v>
      </c>
      <c r="X41" s="12"/>
      <c r="Y41" s="12">
        <v>0.5</v>
      </c>
      <c r="AC41" s="12"/>
      <c r="AD41" s="12">
        <v>0.8</v>
      </c>
      <c r="AE41" s="12"/>
      <c r="AF41" s="12">
        <v>0.8</v>
      </c>
      <c r="AJ41" s="12"/>
      <c r="AK41" s="12">
        <v>0.8</v>
      </c>
      <c r="AL41" s="12"/>
      <c r="AM41" s="12">
        <v>0.8</v>
      </c>
      <c r="AQ41" s="12"/>
      <c r="AR41" s="12">
        <v>1</v>
      </c>
      <c r="AS41" s="12"/>
      <c r="AT41" s="12">
        <v>1</v>
      </c>
      <c r="AX41" s="12"/>
      <c r="AY41" s="12"/>
      <c r="AZ41" s="12"/>
      <c r="BA41" s="12"/>
      <c r="BE41" s="12"/>
      <c r="BF41" s="12"/>
      <c r="BG41" s="12"/>
      <c r="BH41" s="12"/>
      <c r="BL41" s="12"/>
      <c r="BM41" s="12"/>
      <c r="BN41" s="12"/>
      <c r="BO41" s="12">
        <v>0.8</v>
      </c>
      <c r="BS41" s="12"/>
      <c r="BT41" s="12">
        <v>1</v>
      </c>
      <c r="BU41" s="12"/>
      <c r="BV41" s="12">
        <v>1</v>
      </c>
      <c r="BZ41" s="12"/>
      <c r="CA41" s="12">
        <v>1</v>
      </c>
      <c r="CB41" s="12"/>
      <c r="CC41" s="12">
        <v>1</v>
      </c>
      <c r="CG41" s="12"/>
      <c r="CH41" s="12">
        <v>1</v>
      </c>
      <c r="CI41" s="12"/>
      <c r="CJ41" s="12">
        <v>1</v>
      </c>
      <c r="CN41" s="12"/>
      <c r="CO41" s="12"/>
      <c r="CP41" s="12"/>
      <c r="CQ41" s="12"/>
      <c r="CU41" s="12"/>
      <c r="CV41" s="12"/>
      <c r="CW41" s="12"/>
      <c r="CX41" s="12"/>
      <c r="DB41" s="12"/>
      <c r="DC41" s="12"/>
      <c r="DD41" s="12"/>
      <c r="DE41" s="12"/>
      <c r="DI41" s="12"/>
      <c r="DJ41" s="12"/>
      <c r="DK41" s="12"/>
      <c r="DL41" s="12"/>
      <c r="DP41" s="12"/>
      <c r="DQ41" s="12"/>
      <c r="DR41" s="12"/>
      <c r="DS41" s="12"/>
      <c r="DW41" s="12"/>
      <c r="DX41" s="12"/>
      <c r="DY41" s="12"/>
      <c r="DZ41" s="12"/>
      <c r="ED41" s="12"/>
      <c r="EE41" s="12"/>
      <c r="EF41" s="12"/>
      <c r="EG41" s="12"/>
    </row>
    <row r="42" spans="2:137" hidden="1" outlineLevel="1">
      <c r="B42" t="s">
        <v>28</v>
      </c>
      <c r="E42" s="11"/>
      <c r="G42" s="12">
        <v>0.1</v>
      </c>
      <c r="I42" s="11">
        <f t="shared" si="1"/>
        <v>0</v>
      </c>
      <c r="J42" s="13" cm="1">
        <f t="array" ref="J42">MAX(IF($N$3:$EP$3=$J$3,N42:EP42))</f>
        <v>0</v>
      </c>
      <c r="K42" s="13" cm="1">
        <f t="array" ref="K42">MAX(IF($N$3:$EP$3=$J$3,N42:EP42))</f>
        <v>0</v>
      </c>
      <c r="L42" s="11"/>
      <c r="O42" s="12"/>
      <c r="P42" s="12">
        <v>0.5</v>
      </c>
      <c r="Q42" s="12"/>
      <c r="R42" s="12">
        <v>0.5</v>
      </c>
      <c r="V42" s="12"/>
      <c r="W42" s="12">
        <v>0.5</v>
      </c>
      <c r="X42" s="12"/>
      <c r="Y42" s="12">
        <v>0.5</v>
      </c>
      <c r="AC42" s="12"/>
      <c r="AD42" s="12">
        <v>0.8</v>
      </c>
      <c r="AE42" s="12"/>
      <c r="AF42" s="12">
        <v>0.8</v>
      </c>
      <c r="AJ42" s="12"/>
      <c r="AK42" s="12">
        <v>0.8</v>
      </c>
      <c r="AL42" s="12"/>
      <c r="AM42" s="12">
        <v>0.8</v>
      </c>
      <c r="AQ42" s="12"/>
      <c r="AR42" s="12">
        <v>1</v>
      </c>
      <c r="AS42" s="12"/>
      <c r="AT42" s="12">
        <v>1</v>
      </c>
      <c r="AX42" s="12"/>
      <c r="AY42" s="12"/>
      <c r="AZ42" s="12"/>
      <c r="BA42" s="12"/>
      <c r="BE42" s="12"/>
      <c r="BF42" s="12"/>
      <c r="BG42" s="12"/>
      <c r="BH42" s="12"/>
      <c r="BL42" s="12"/>
      <c r="BM42" s="12"/>
      <c r="BN42" s="12"/>
      <c r="BO42" s="12">
        <v>0.8</v>
      </c>
      <c r="BS42" s="12"/>
      <c r="BT42" s="12">
        <v>0.8</v>
      </c>
      <c r="BU42" s="12"/>
      <c r="BV42" s="12">
        <v>0.8</v>
      </c>
      <c r="BZ42" s="12"/>
      <c r="CA42" s="12">
        <v>1</v>
      </c>
      <c r="CB42" s="12"/>
      <c r="CC42" s="12">
        <v>1</v>
      </c>
      <c r="CG42" s="12"/>
      <c r="CH42" s="12">
        <v>1</v>
      </c>
      <c r="CI42" s="12"/>
      <c r="CJ42" s="12">
        <v>1</v>
      </c>
      <c r="CN42" s="12"/>
      <c r="CO42" s="12"/>
      <c r="CP42" s="12"/>
      <c r="CQ42" s="12"/>
      <c r="CU42" s="12"/>
      <c r="CV42" s="12"/>
      <c r="CW42" s="12"/>
      <c r="CX42" s="12"/>
      <c r="DB42" s="12"/>
      <c r="DC42" s="12"/>
      <c r="DD42" s="12"/>
      <c r="DE42" s="12"/>
      <c r="DI42" s="12"/>
      <c r="DJ42" s="12"/>
      <c r="DK42" s="12"/>
      <c r="DL42" s="12"/>
      <c r="DP42" s="12"/>
      <c r="DQ42" s="12"/>
      <c r="DR42" s="12"/>
      <c r="DS42" s="12"/>
      <c r="DW42" s="12"/>
      <c r="DX42" s="12"/>
      <c r="DY42" s="12"/>
      <c r="DZ42" s="12"/>
      <c r="ED42" s="12"/>
      <c r="EE42" s="12"/>
      <c r="EF42" s="12"/>
      <c r="EG42" s="12"/>
    </row>
    <row r="43" spans="2:137" hidden="1" outlineLevel="1">
      <c r="B43" t="s">
        <v>28</v>
      </c>
      <c r="E43" s="11"/>
      <c r="G43" s="12">
        <v>0.1</v>
      </c>
      <c r="I43" s="11">
        <f t="shared" si="1"/>
        <v>0</v>
      </c>
      <c r="J43" s="13" cm="1">
        <f t="array" ref="J43">MAX(IF($N$3:$EP$3=$J$3,N43:EP43))</f>
        <v>0</v>
      </c>
      <c r="K43" s="13" cm="1">
        <f t="array" ref="K43">MAX(IF($N$3:$EP$3=$J$3,N43:EP43))</f>
        <v>0</v>
      </c>
      <c r="L43" s="11"/>
      <c r="O43" s="12"/>
      <c r="P43" s="12"/>
      <c r="Q43" s="12"/>
      <c r="R43" s="12"/>
      <c r="V43" s="12"/>
      <c r="W43" s="12">
        <v>0.5</v>
      </c>
      <c r="X43" s="12"/>
      <c r="Y43" s="12">
        <v>0.5</v>
      </c>
      <c r="AC43" s="12"/>
      <c r="AD43" s="12">
        <v>0.5</v>
      </c>
      <c r="AE43" s="12"/>
      <c r="AF43" s="12">
        <v>0.5</v>
      </c>
      <c r="AJ43" s="12"/>
      <c r="AK43" s="12">
        <v>0.5</v>
      </c>
      <c r="AL43" s="12"/>
      <c r="AM43" s="12">
        <v>0.5</v>
      </c>
      <c r="AQ43" s="12"/>
      <c r="AR43" s="12">
        <v>1</v>
      </c>
      <c r="AS43" s="12"/>
      <c r="AT43" s="12">
        <v>1</v>
      </c>
      <c r="AX43" s="12"/>
      <c r="AY43" s="12"/>
      <c r="AZ43" s="12"/>
      <c r="BA43" s="12"/>
      <c r="BE43" s="12"/>
      <c r="BF43" s="12"/>
      <c r="BG43" s="12"/>
      <c r="BH43" s="12"/>
      <c r="BL43" s="12"/>
      <c r="BM43" s="12"/>
      <c r="BN43" s="12"/>
      <c r="BO43" s="12">
        <v>0.8</v>
      </c>
      <c r="BS43" s="12"/>
      <c r="BT43" s="12">
        <v>0.8</v>
      </c>
      <c r="BU43" s="12"/>
      <c r="BV43" s="12">
        <v>0.8</v>
      </c>
      <c r="BZ43" s="12"/>
      <c r="CA43" s="12">
        <v>1</v>
      </c>
      <c r="CB43" s="12"/>
      <c r="CC43" s="12">
        <v>1</v>
      </c>
      <c r="CG43" s="12"/>
      <c r="CH43" s="12">
        <v>1</v>
      </c>
      <c r="CI43" s="12"/>
      <c r="CJ43" s="12">
        <v>1</v>
      </c>
      <c r="CN43" s="12"/>
      <c r="CO43" s="12"/>
      <c r="CP43" s="12"/>
      <c r="CQ43" s="12"/>
      <c r="CU43" s="12"/>
      <c r="CV43" s="12"/>
      <c r="CW43" s="12"/>
      <c r="CX43" s="12"/>
      <c r="DB43" s="12"/>
      <c r="DC43" s="12"/>
      <c r="DD43" s="12"/>
      <c r="DE43" s="12"/>
      <c r="DI43" s="12"/>
      <c r="DJ43" s="12"/>
      <c r="DK43" s="12"/>
      <c r="DL43" s="12"/>
      <c r="DP43" s="12"/>
      <c r="DQ43" s="12"/>
      <c r="DR43" s="12"/>
      <c r="DS43" s="12"/>
      <c r="DW43" s="12"/>
      <c r="DX43" s="12"/>
      <c r="DY43" s="12"/>
      <c r="DZ43" s="12"/>
      <c r="ED43" s="12"/>
      <c r="EE43" s="12"/>
      <c r="EF43" s="12"/>
      <c r="EG43" s="12"/>
    </row>
    <row r="44" spans="2:137" hidden="1" outlineLevel="1">
      <c r="B44" t="s">
        <v>28</v>
      </c>
      <c r="E44" s="11"/>
      <c r="G44" s="12">
        <v>0.1</v>
      </c>
      <c r="I44" s="11">
        <f t="shared" si="1"/>
        <v>0</v>
      </c>
      <c r="J44" s="13" cm="1">
        <f t="array" ref="J44">MAX(IF($N$3:$EP$3=$J$3,N44:EP44))</f>
        <v>0</v>
      </c>
      <c r="K44" s="13" cm="1">
        <f t="array" ref="K44">MAX(IF($N$3:$EP$3=$J$3,N44:EP44))</f>
        <v>0</v>
      </c>
      <c r="L44" s="11"/>
      <c r="O44" s="12"/>
      <c r="P44" s="12"/>
      <c r="Q44" s="12"/>
      <c r="R44" s="12"/>
      <c r="V44" s="12"/>
      <c r="W44" s="12">
        <v>0.5</v>
      </c>
      <c r="X44" s="12"/>
      <c r="Y44" s="12">
        <v>0.5</v>
      </c>
      <c r="AC44" s="12"/>
      <c r="AD44" s="12">
        <v>0.5</v>
      </c>
      <c r="AE44" s="12"/>
      <c r="AF44" s="12">
        <v>0.5</v>
      </c>
      <c r="AJ44" s="12"/>
      <c r="AK44" s="12">
        <v>0.5</v>
      </c>
      <c r="AL44" s="12"/>
      <c r="AM44" s="12">
        <v>0.5</v>
      </c>
      <c r="AQ44" s="12"/>
      <c r="AR44" s="12">
        <v>1</v>
      </c>
      <c r="AS44" s="12"/>
      <c r="AT44" s="12">
        <v>1</v>
      </c>
      <c r="AX44" s="12"/>
      <c r="AY44" s="12"/>
      <c r="AZ44" s="12"/>
      <c r="BA44" s="12"/>
      <c r="BE44" s="12"/>
      <c r="BF44" s="12"/>
      <c r="BG44" s="12"/>
      <c r="BH44" s="12"/>
      <c r="BL44" s="12"/>
      <c r="BM44" s="12"/>
      <c r="BN44" s="12"/>
      <c r="BO44" s="12">
        <v>0.8</v>
      </c>
      <c r="BS44" s="12"/>
      <c r="BT44" s="12">
        <v>0.8</v>
      </c>
      <c r="BU44" s="12"/>
      <c r="BV44" s="12">
        <v>0.8</v>
      </c>
      <c r="BZ44" s="12"/>
      <c r="CA44" s="12">
        <v>1</v>
      </c>
      <c r="CB44" s="12"/>
      <c r="CC44" s="12">
        <v>1</v>
      </c>
      <c r="CG44" s="12"/>
      <c r="CH44" s="12">
        <v>1</v>
      </c>
      <c r="CI44" s="12"/>
      <c r="CJ44" s="12">
        <v>1</v>
      </c>
      <c r="CN44" s="12"/>
      <c r="CO44" s="12"/>
      <c r="CP44" s="12"/>
      <c r="CQ44" s="12"/>
      <c r="CU44" s="12"/>
      <c r="CV44" s="12"/>
      <c r="CW44" s="12"/>
      <c r="CX44" s="12"/>
      <c r="DB44" s="12"/>
      <c r="DC44" s="12"/>
      <c r="DD44" s="12"/>
      <c r="DE44" s="12"/>
      <c r="DI44" s="12"/>
      <c r="DJ44" s="12"/>
      <c r="DK44" s="12"/>
      <c r="DL44" s="12"/>
      <c r="DP44" s="12"/>
      <c r="DQ44" s="12"/>
      <c r="DR44" s="12"/>
      <c r="DS44" s="12"/>
      <c r="DW44" s="12"/>
      <c r="DX44" s="12"/>
      <c r="DY44" s="12"/>
      <c r="DZ44" s="12"/>
      <c r="ED44" s="12"/>
      <c r="EE44" s="12"/>
      <c r="EF44" s="12"/>
      <c r="EG44" s="12"/>
    </row>
    <row r="45" spans="2:137" hidden="1" outlineLevel="1">
      <c r="B45" t="s">
        <v>28</v>
      </c>
      <c r="E45" s="11"/>
      <c r="G45" s="12">
        <v>0.1</v>
      </c>
      <c r="I45" s="11">
        <f t="shared" si="1"/>
        <v>0</v>
      </c>
      <c r="J45" s="13" cm="1">
        <f t="array" ref="J45">MAX(IF($N$3:$EP$3=$J$3,N45:EP45))</f>
        <v>0</v>
      </c>
      <c r="K45" s="13" cm="1">
        <f t="array" ref="K45">MAX(IF($N$3:$EP$3=$J$3,N45:EP45))</f>
        <v>0</v>
      </c>
      <c r="L45" s="11"/>
      <c r="O45" s="12"/>
      <c r="P45" s="12"/>
      <c r="Q45" s="12"/>
      <c r="R45" s="12"/>
      <c r="V45" s="12"/>
      <c r="W45" s="12"/>
      <c r="X45" s="12"/>
      <c r="Y45" s="12"/>
      <c r="AC45" s="12"/>
      <c r="AD45" s="12">
        <v>0.5</v>
      </c>
      <c r="AE45" s="12"/>
      <c r="AF45" s="12">
        <v>0.5</v>
      </c>
      <c r="AJ45" s="12"/>
      <c r="AK45" s="12">
        <v>0.5</v>
      </c>
      <c r="AL45" s="12"/>
      <c r="AM45" s="12">
        <v>0.5</v>
      </c>
      <c r="AQ45" s="12"/>
      <c r="AR45" s="12">
        <v>1</v>
      </c>
      <c r="AS45" s="12"/>
      <c r="AT45" s="12">
        <v>1</v>
      </c>
      <c r="AX45" s="12"/>
      <c r="AY45" s="12"/>
      <c r="AZ45" s="12"/>
      <c r="BA45" s="12"/>
      <c r="BE45" s="12"/>
      <c r="BF45" s="12"/>
      <c r="BG45" s="12"/>
      <c r="BH45" s="12"/>
      <c r="BL45" s="12"/>
      <c r="BM45" s="12"/>
      <c r="BN45" s="12"/>
      <c r="BO45" s="12">
        <v>0.8</v>
      </c>
      <c r="BS45" s="12"/>
      <c r="BT45" s="12">
        <v>0.8</v>
      </c>
      <c r="BU45" s="12"/>
      <c r="BV45" s="12">
        <v>0.8</v>
      </c>
      <c r="BZ45" s="12"/>
      <c r="CA45" s="12">
        <v>0.8</v>
      </c>
      <c r="CB45" s="12"/>
      <c r="CC45" s="12">
        <v>0.8</v>
      </c>
      <c r="CG45" s="12"/>
      <c r="CH45" s="12">
        <v>1</v>
      </c>
      <c r="CI45" s="12"/>
      <c r="CJ45" s="12">
        <v>1</v>
      </c>
      <c r="CN45" s="12"/>
      <c r="CO45" s="12"/>
      <c r="CP45" s="12"/>
      <c r="CQ45" s="12"/>
      <c r="CU45" s="12"/>
      <c r="CV45" s="12"/>
      <c r="CW45" s="12"/>
      <c r="CX45" s="12"/>
      <c r="DB45" s="12"/>
      <c r="DC45" s="12"/>
      <c r="DD45" s="12"/>
      <c r="DE45" s="12"/>
      <c r="DI45" s="12"/>
      <c r="DJ45" s="12"/>
      <c r="DK45" s="12"/>
      <c r="DL45" s="12"/>
      <c r="DP45" s="12"/>
      <c r="DQ45" s="12"/>
      <c r="DR45" s="12"/>
      <c r="DS45" s="12"/>
      <c r="DW45" s="12"/>
      <c r="DX45" s="12"/>
      <c r="DY45" s="12"/>
      <c r="DZ45" s="12"/>
      <c r="ED45" s="12"/>
      <c r="EE45" s="12"/>
      <c r="EF45" s="12"/>
      <c r="EG45" s="12"/>
    </row>
    <row r="46" spans="2:137" hidden="1" outlineLevel="1">
      <c r="B46" t="s">
        <v>28</v>
      </c>
      <c r="E46" s="11"/>
      <c r="G46" s="12">
        <v>0.1</v>
      </c>
      <c r="I46" s="11">
        <f t="shared" si="1"/>
        <v>0</v>
      </c>
      <c r="J46" s="13" cm="1">
        <f t="array" ref="J46">MAX(IF($N$3:$EP$3=$J$3,N46:EP46))</f>
        <v>0</v>
      </c>
      <c r="K46" s="13" cm="1">
        <f t="array" ref="K46">MAX(IF($N$3:$EP$3=$J$3,N46:EP46))</f>
        <v>0</v>
      </c>
      <c r="L46" s="11"/>
      <c r="O46" s="12"/>
      <c r="P46" s="12"/>
      <c r="Q46" s="12"/>
      <c r="R46" s="12"/>
      <c r="V46" s="12"/>
      <c r="W46" s="12"/>
      <c r="X46" s="12"/>
      <c r="Y46" s="12"/>
      <c r="AC46" s="12"/>
      <c r="AD46" s="12">
        <v>0.5</v>
      </c>
      <c r="AE46" s="12"/>
      <c r="AF46" s="12">
        <v>0.5</v>
      </c>
      <c r="AJ46" s="12"/>
      <c r="AK46" s="12">
        <v>0.5</v>
      </c>
      <c r="AL46" s="12"/>
      <c r="AM46" s="12">
        <v>0.5</v>
      </c>
      <c r="AQ46" s="12"/>
      <c r="AR46" s="12">
        <v>1</v>
      </c>
      <c r="AS46" s="12"/>
      <c r="AT46" s="12">
        <v>1</v>
      </c>
      <c r="AX46" s="12"/>
      <c r="AY46" s="12"/>
      <c r="AZ46" s="12"/>
      <c r="BA46" s="12"/>
      <c r="BE46" s="12"/>
      <c r="BF46" s="12"/>
      <c r="BG46" s="12"/>
      <c r="BH46" s="12"/>
      <c r="BL46" s="12"/>
      <c r="BM46" s="12"/>
      <c r="BN46" s="12"/>
      <c r="BO46" s="12">
        <v>0.8</v>
      </c>
      <c r="BS46" s="12"/>
      <c r="BT46" s="12">
        <v>0.8</v>
      </c>
      <c r="BU46" s="12"/>
      <c r="BV46" s="12">
        <v>0.8</v>
      </c>
      <c r="BZ46" s="12"/>
      <c r="CA46" s="12">
        <v>0.8</v>
      </c>
      <c r="CB46" s="12"/>
      <c r="CC46" s="12">
        <v>0.8</v>
      </c>
      <c r="CG46" s="12"/>
      <c r="CH46" s="12">
        <v>1</v>
      </c>
      <c r="CI46" s="12"/>
      <c r="CJ46" s="12">
        <v>1</v>
      </c>
      <c r="CN46" s="12"/>
      <c r="CO46" s="12"/>
      <c r="CP46" s="12"/>
      <c r="CQ46" s="12"/>
      <c r="CU46" s="12"/>
      <c r="CV46" s="12"/>
      <c r="CW46" s="12"/>
      <c r="CX46" s="12"/>
      <c r="DB46" s="12"/>
      <c r="DC46" s="12"/>
      <c r="DD46" s="12"/>
      <c r="DE46" s="12"/>
      <c r="DI46" s="12"/>
      <c r="DJ46" s="12"/>
      <c r="DK46" s="12"/>
      <c r="DL46" s="12"/>
      <c r="DP46" s="12"/>
      <c r="DQ46" s="12"/>
      <c r="DR46" s="12"/>
      <c r="DS46" s="12"/>
      <c r="DW46" s="12"/>
      <c r="DX46" s="12"/>
      <c r="DY46" s="12"/>
      <c r="DZ46" s="12"/>
      <c r="ED46" s="12"/>
      <c r="EE46" s="12"/>
      <c r="EF46" s="12"/>
      <c r="EG46" s="12"/>
    </row>
    <row r="47" spans="2:137" hidden="1" outlineLevel="1">
      <c r="B47" t="s">
        <v>28</v>
      </c>
      <c r="E47" s="11"/>
      <c r="G47" s="12">
        <v>0.1</v>
      </c>
      <c r="I47" s="11">
        <f t="shared" si="1"/>
        <v>0</v>
      </c>
      <c r="J47" s="13" cm="1">
        <f t="array" ref="J47">MAX(IF($N$3:$EP$3=$J$3,N47:EP47))</f>
        <v>0</v>
      </c>
      <c r="K47" s="13" cm="1">
        <f t="array" ref="K47">MAX(IF($N$3:$EP$3=$J$3,N47:EP47))</f>
        <v>0</v>
      </c>
      <c r="L47" s="11"/>
      <c r="O47" s="12"/>
      <c r="P47" s="12"/>
      <c r="Q47" s="12"/>
      <c r="R47" s="12"/>
      <c r="V47" s="12"/>
      <c r="W47" s="12"/>
      <c r="X47" s="12"/>
      <c r="Y47" s="12"/>
      <c r="AC47" s="12"/>
      <c r="AD47" s="12"/>
      <c r="AE47" s="12"/>
      <c r="AF47" s="12"/>
      <c r="AJ47" s="12"/>
      <c r="AK47" s="12">
        <v>0.5</v>
      </c>
      <c r="AL47" s="12"/>
      <c r="AM47" s="12">
        <v>0.5</v>
      </c>
      <c r="AQ47" s="12"/>
      <c r="AR47" s="12">
        <v>1</v>
      </c>
      <c r="AS47" s="12"/>
      <c r="AT47" s="12">
        <v>1</v>
      </c>
      <c r="AX47" s="12"/>
      <c r="AY47" s="12"/>
      <c r="AZ47" s="12"/>
      <c r="BA47" s="12"/>
      <c r="BE47" s="12"/>
      <c r="BF47" s="12"/>
      <c r="BG47" s="12"/>
      <c r="BH47" s="12"/>
      <c r="BL47" s="12"/>
      <c r="BM47" s="12"/>
      <c r="BN47" s="12"/>
      <c r="BO47" s="12">
        <v>0.8</v>
      </c>
      <c r="BS47" s="12"/>
      <c r="BT47" s="12">
        <v>0.8</v>
      </c>
      <c r="BU47" s="12"/>
      <c r="BV47" s="12">
        <v>0.8</v>
      </c>
      <c r="BZ47" s="12"/>
      <c r="CA47" s="12">
        <v>0.8</v>
      </c>
      <c r="CB47" s="12"/>
      <c r="CC47" s="12">
        <v>0.8</v>
      </c>
      <c r="CG47" s="12"/>
      <c r="CH47" s="12">
        <v>1</v>
      </c>
      <c r="CI47" s="12"/>
      <c r="CJ47" s="12">
        <v>1</v>
      </c>
      <c r="CN47" s="12"/>
      <c r="CO47" s="12"/>
      <c r="CP47" s="12"/>
      <c r="CQ47" s="12"/>
      <c r="CU47" s="12"/>
      <c r="CV47" s="12"/>
      <c r="CW47" s="12"/>
      <c r="CX47" s="12"/>
      <c r="DB47" s="12"/>
      <c r="DC47" s="12"/>
      <c r="DD47" s="12"/>
      <c r="DE47" s="12"/>
      <c r="DI47" s="12"/>
      <c r="DJ47" s="12"/>
      <c r="DK47" s="12"/>
      <c r="DL47" s="12"/>
      <c r="DP47" s="12"/>
      <c r="DQ47" s="12"/>
      <c r="DR47" s="12"/>
      <c r="DS47" s="12"/>
      <c r="DW47" s="12"/>
      <c r="DX47" s="12"/>
      <c r="DY47" s="12"/>
      <c r="DZ47" s="12"/>
      <c r="ED47" s="12"/>
      <c r="EE47" s="12"/>
      <c r="EF47" s="12"/>
      <c r="EG47" s="12"/>
    </row>
    <row r="48" spans="2:137" hidden="1" outlineLevel="1">
      <c r="B48" t="s">
        <v>28</v>
      </c>
      <c r="E48" s="11"/>
      <c r="G48" s="12">
        <v>0.1</v>
      </c>
      <c r="I48" s="11">
        <f t="shared" si="1"/>
        <v>0</v>
      </c>
      <c r="J48" s="13" cm="1">
        <f t="array" ref="J48">MAX(IF($N$3:$EP$3=$J$3,N48:EP48))</f>
        <v>0</v>
      </c>
      <c r="K48" s="13" cm="1">
        <f t="array" ref="K48">MAX(IF($N$3:$EP$3=$J$3,N48:EP48))</f>
        <v>0</v>
      </c>
      <c r="L48" s="11"/>
      <c r="O48" s="12"/>
      <c r="P48" s="12"/>
      <c r="Q48" s="12"/>
      <c r="R48" s="12"/>
      <c r="V48" s="12"/>
      <c r="W48" s="12"/>
      <c r="X48" s="12"/>
      <c r="Y48" s="12"/>
      <c r="AC48" s="12"/>
      <c r="AD48" s="12"/>
      <c r="AE48" s="12"/>
      <c r="AF48" s="12"/>
      <c r="AJ48" s="12"/>
      <c r="AK48" s="12">
        <v>0.5</v>
      </c>
      <c r="AL48" s="12"/>
      <c r="AM48" s="12">
        <v>0.5</v>
      </c>
      <c r="AQ48" s="12"/>
      <c r="AR48" s="12">
        <v>1</v>
      </c>
      <c r="AS48" s="12"/>
      <c r="AT48" s="12">
        <v>1</v>
      </c>
      <c r="AX48" s="12"/>
      <c r="AY48" s="12"/>
      <c r="AZ48" s="12"/>
      <c r="BA48" s="12"/>
      <c r="BE48" s="12"/>
      <c r="BF48" s="12"/>
      <c r="BG48" s="12"/>
      <c r="BH48" s="12"/>
      <c r="BL48" s="12"/>
      <c r="BM48" s="12"/>
      <c r="BN48" s="12"/>
      <c r="BO48" s="12">
        <v>0.5</v>
      </c>
      <c r="BS48" s="12"/>
      <c r="BT48" s="12">
        <v>0.8</v>
      </c>
      <c r="BU48" s="12"/>
      <c r="BV48" s="12">
        <v>0.8</v>
      </c>
      <c r="BZ48" s="12"/>
      <c r="CA48" s="12">
        <v>0.8</v>
      </c>
      <c r="CB48" s="12"/>
      <c r="CC48" s="12">
        <v>0.8</v>
      </c>
      <c r="CG48" s="12"/>
      <c r="CH48" s="12">
        <v>1</v>
      </c>
      <c r="CI48" s="12"/>
      <c r="CJ48" s="12">
        <v>1</v>
      </c>
      <c r="CN48" s="12"/>
      <c r="CO48" s="12"/>
      <c r="CP48" s="12"/>
      <c r="CQ48" s="12"/>
      <c r="CU48" s="12"/>
      <c r="CV48" s="12"/>
      <c r="CW48" s="12"/>
      <c r="CX48" s="12"/>
      <c r="DB48" s="12"/>
      <c r="DC48" s="12"/>
      <c r="DD48" s="12"/>
      <c r="DE48" s="12"/>
      <c r="DI48" s="12"/>
      <c r="DJ48" s="12"/>
      <c r="DK48" s="12"/>
      <c r="DL48" s="12"/>
      <c r="DP48" s="12"/>
      <c r="DQ48" s="12"/>
      <c r="DR48" s="12"/>
      <c r="DS48" s="12"/>
      <c r="DW48" s="12"/>
      <c r="DX48" s="12"/>
      <c r="DY48" s="12"/>
      <c r="DZ48" s="12"/>
      <c r="ED48" s="12"/>
      <c r="EE48" s="12"/>
      <c r="EF48" s="12"/>
      <c r="EG48" s="12"/>
    </row>
    <row r="49" collapsed="1"/>
  </sheetData>
  <mergeCells count="19">
    <mergeCell ref="DA2:DF2"/>
    <mergeCell ref="DH2:DM2"/>
    <mergeCell ref="DO2:DT2"/>
    <mergeCell ref="DV2:EA2"/>
    <mergeCell ref="EC2:EH2"/>
    <mergeCell ref="I2:L2"/>
    <mergeCell ref="N2:S2"/>
    <mergeCell ref="BD2:BI2"/>
    <mergeCell ref="U2:Z2"/>
    <mergeCell ref="AB2:AG2"/>
    <mergeCell ref="AI2:AN2"/>
    <mergeCell ref="AP2:AU2"/>
    <mergeCell ref="AW2:BB2"/>
    <mergeCell ref="CT2:CY2"/>
    <mergeCell ref="BK2:BP2"/>
    <mergeCell ref="BR2:BW2"/>
    <mergeCell ref="BY2:CD2"/>
    <mergeCell ref="CF2:CK2"/>
    <mergeCell ref="CM2:CR2"/>
  </mergeCells>
  <conditionalFormatting sqref="Q39:Q48 O39:O48 X39:X48 V39:V48 AE39:AE48 AC39:AC48 AJ39:AJ48 AL39:AL48 AS39:AS48 AQ39:AQ48 AX39:AX48 AZ39:AZ48 BG39:BG48 BE39:BE48 BN39:BN48 BL39:BL48 Q34:Q36 O34:O36 X34:X36 V34:V36 AE34:AE36 AC34:AC36">
    <cfRule type="expression" dxfId="626" priority="1147">
      <formula>OR(IF(O34&lt;P34,TRUE),IF(AND(P34="",O34&lt;&gt;""),TRUE))</formula>
    </cfRule>
    <cfRule type="expression" dxfId="625" priority="1148">
      <formula>IF(O34&gt;=P34,IF(O34="",FALSE,TRUE))</formula>
    </cfRule>
  </conditionalFormatting>
  <conditionalFormatting sqref="O33">
    <cfRule type="expression" dxfId="596" priority="875">
      <formula>OR(IF(O33&lt;P33,TRUE),IF(AND(P33="",O33&lt;&gt;""),TRUE))</formula>
    </cfRule>
    <cfRule type="expression" dxfId="595" priority="876">
      <formula>IF(O33&gt;=P33,IF(O33="",FALSE,TRUE))</formula>
    </cfRule>
  </conditionalFormatting>
  <conditionalFormatting sqref="Q33">
    <cfRule type="expression" dxfId="594" priority="873">
      <formula>OR(IF(Q33&lt;R33,TRUE),IF(AND(R33="",Q33&lt;&gt;""),TRUE))</formula>
    </cfRule>
    <cfRule type="expression" dxfId="593" priority="874">
      <formula>IF(Q33&gt;=R33,IF(Q33="",FALSE,TRUE))</formula>
    </cfRule>
  </conditionalFormatting>
  <conditionalFormatting sqref="V33">
    <cfRule type="expression" dxfId="592" priority="867">
      <formula>OR(IF(V33&lt;W33,TRUE),IF(AND(W33="",V33&lt;&gt;""),TRUE))</formula>
    </cfRule>
    <cfRule type="expression" dxfId="591" priority="868">
      <formula>IF(V33&gt;=W33,IF(V33="",FALSE,TRUE))</formula>
    </cfRule>
  </conditionalFormatting>
  <conditionalFormatting sqref="X33">
    <cfRule type="expression" dxfId="590" priority="865">
      <formula>OR(IF(X33&lt;Y33,TRUE),IF(AND(Y33="",X33&lt;&gt;""),TRUE))</formula>
    </cfRule>
    <cfRule type="expression" dxfId="589" priority="866">
      <formula>IF(X33&gt;=Y33,IF(X33="",FALSE,TRUE))</formula>
    </cfRule>
  </conditionalFormatting>
  <conditionalFormatting sqref="J13:K13">
    <cfRule type="colorScale" priority="728">
      <colorScale>
        <cfvo type="percent" val="0"/>
        <cfvo type="percent" val="100"/>
        <color rgb="FFFF231B"/>
        <color rgb="FF10FF07"/>
      </colorScale>
    </cfRule>
  </conditionalFormatting>
  <conditionalFormatting sqref="J13">
    <cfRule type="colorScale" priority="727">
      <colorScale>
        <cfvo type="percent" val="0"/>
        <cfvo type="percent" val="100"/>
        <color rgb="FFFF231B"/>
        <color rgb="FF10FF07"/>
      </colorScale>
    </cfRule>
  </conditionalFormatting>
  <conditionalFormatting sqref="K13">
    <cfRule type="colorScale" priority="726">
      <colorScale>
        <cfvo type="percent" val="0"/>
        <cfvo type="percent" val="100"/>
        <color rgb="FFFF231B"/>
        <color rgb="FF10FF07"/>
      </colorScale>
    </cfRule>
  </conditionalFormatting>
  <conditionalFormatting sqref="J14:K14">
    <cfRule type="colorScale" priority="709">
      <colorScale>
        <cfvo type="percent" val="0"/>
        <cfvo type="percent" val="100"/>
        <color rgb="FFFF231B"/>
        <color rgb="FF10FF07"/>
      </colorScale>
    </cfRule>
  </conditionalFormatting>
  <conditionalFormatting sqref="J14">
    <cfRule type="colorScale" priority="708">
      <colorScale>
        <cfvo type="percent" val="0"/>
        <cfvo type="percent" val="100"/>
        <color rgb="FFFF231B"/>
        <color rgb="FF10FF07"/>
      </colorScale>
    </cfRule>
  </conditionalFormatting>
  <conditionalFormatting sqref="K14">
    <cfRule type="colorScale" priority="707">
      <colorScale>
        <cfvo type="percent" val="0"/>
        <cfvo type="percent" val="100"/>
        <color rgb="FFFF231B"/>
        <color rgb="FF10FF07"/>
      </colorScale>
    </cfRule>
  </conditionalFormatting>
  <conditionalFormatting sqref="J40:K48">
    <cfRule type="colorScale" priority="1331">
      <colorScale>
        <cfvo type="percent" val="0"/>
        <cfvo type="percent" val="100"/>
        <color rgb="FFFF231B"/>
        <color rgb="FF10FF07"/>
      </colorScale>
    </cfRule>
  </conditionalFormatting>
  <conditionalFormatting sqref="J39:J48">
    <cfRule type="colorScale" priority="1332">
      <colorScale>
        <cfvo type="percent" val="0"/>
        <cfvo type="percent" val="100"/>
        <color rgb="FFFF231B"/>
        <color rgb="FF10FF07"/>
      </colorScale>
    </cfRule>
  </conditionalFormatting>
  <conditionalFormatting sqref="K39:K48">
    <cfRule type="colorScale" priority="1334">
      <colorScale>
        <cfvo type="percent" val="0"/>
        <cfvo type="percent" val="100"/>
        <color rgb="FFFF231B"/>
        <color rgb="FF10FF07"/>
      </colorScale>
    </cfRule>
  </conditionalFormatting>
  <conditionalFormatting sqref="BU39:BU48 BS39:BS48">
    <cfRule type="expression" dxfId="556" priority="703">
      <formula>OR(IF(BS39&lt;BT39,TRUE),IF(AND(BT39="",BS39&lt;&gt;""),TRUE))</formula>
    </cfRule>
    <cfRule type="expression" dxfId="555" priority="704">
      <formula>IF(BS39&gt;=BT39,IF(BS39="",FALSE,TRUE))</formula>
    </cfRule>
  </conditionalFormatting>
  <conditionalFormatting sqref="CB39:CB48 BZ39:BZ48">
    <cfRule type="expression" dxfId="554" priority="683">
      <formula>OR(IF(BZ39&lt;CA39,TRUE),IF(AND(CA39="",BZ39&lt;&gt;""),TRUE))</formula>
    </cfRule>
    <cfRule type="expression" dxfId="553" priority="684">
      <formula>IF(BZ39&gt;=CA39,IF(BZ39="",FALSE,TRUE))</formula>
    </cfRule>
  </conditionalFormatting>
  <conditionalFormatting sqref="CI39:CI48 CG39:CG48">
    <cfRule type="expression" dxfId="552" priority="663">
      <formula>OR(IF(CG39&lt;CH39,TRUE),IF(AND(CH39="",CG39&lt;&gt;""),TRUE))</formula>
    </cfRule>
    <cfRule type="expression" dxfId="551" priority="664">
      <formula>IF(CG39&gt;=CH39,IF(CG39="",FALSE,TRUE))</formula>
    </cfRule>
  </conditionalFormatting>
  <conditionalFormatting sqref="CP39:CP48 CN39:CN48">
    <cfRule type="expression" dxfId="550" priority="643">
      <formula>OR(IF(CN39&lt;CO39,TRUE),IF(AND(CO39="",CN39&lt;&gt;""),TRUE))</formula>
    </cfRule>
    <cfRule type="expression" dxfId="549" priority="644">
      <formula>IF(CN39&gt;=CO39,IF(CN39="",FALSE,TRUE))</formula>
    </cfRule>
  </conditionalFormatting>
  <conditionalFormatting sqref="CW39:CW48 CU39:CU48">
    <cfRule type="expression" dxfId="548" priority="623">
      <formula>OR(IF(CU39&lt;CV39,TRUE),IF(AND(CV39="",CU39&lt;&gt;""),TRUE))</formula>
    </cfRule>
    <cfRule type="expression" dxfId="547" priority="624">
      <formula>IF(CU39&gt;=CV39,IF(CU39="",FALSE,TRUE))</formula>
    </cfRule>
  </conditionalFormatting>
  <conditionalFormatting sqref="J20:K29">
    <cfRule type="colorScale" priority="1371">
      <colorScale>
        <cfvo type="percent" val="0"/>
        <cfvo type="percent" val="100"/>
        <color rgb="FFFF231B"/>
        <color rgb="FF10FF07"/>
      </colorScale>
    </cfRule>
  </conditionalFormatting>
  <conditionalFormatting sqref="J19:J29">
    <cfRule type="colorScale" priority="1372">
      <colorScale>
        <cfvo type="percent" val="0"/>
        <cfvo type="percent" val="100"/>
        <color rgb="FFFF231B"/>
        <color rgb="FF10FF07"/>
      </colorScale>
    </cfRule>
  </conditionalFormatting>
  <conditionalFormatting sqref="K19:K29">
    <cfRule type="colorScale" priority="1373">
      <colorScale>
        <cfvo type="percent" val="0"/>
        <cfvo type="percent" val="100"/>
        <color rgb="FFFF231B"/>
        <color rgb="FF10FF07"/>
      </colorScale>
    </cfRule>
  </conditionalFormatting>
  <conditionalFormatting sqref="J33:K36">
    <cfRule type="colorScale" priority="1406">
      <colorScale>
        <cfvo type="percent" val="0"/>
        <cfvo type="percent" val="100"/>
        <color rgb="FFFF231B"/>
        <color rgb="FF10FF07"/>
      </colorScale>
    </cfRule>
  </conditionalFormatting>
  <conditionalFormatting sqref="J32:J36">
    <cfRule type="colorScale" priority="1407">
      <colorScale>
        <cfvo type="percent" val="0"/>
        <cfvo type="percent" val="100"/>
        <color rgb="FFFF231B"/>
        <color rgb="FF10FF07"/>
      </colorScale>
    </cfRule>
  </conditionalFormatting>
  <conditionalFormatting sqref="K32:K36">
    <cfRule type="colorScale" priority="1408">
      <colorScale>
        <cfvo type="percent" val="0"/>
        <cfvo type="percent" val="100"/>
        <color rgb="FFFF231B"/>
        <color rgb="FF10FF07"/>
      </colorScale>
    </cfRule>
  </conditionalFormatting>
  <conditionalFormatting sqref="J6:K9">
    <cfRule type="colorScale" priority="1443">
      <colorScale>
        <cfvo type="percent" val="0"/>
        <cfvo type="percent" val="100"/>
        <color rgb="FFFF231B"/>
        <color rgb="FF10FF07"/>
      </colorScale>
    </cfRule>
  </conditionalFormatting>
  <conditionalFormatting sqref="J5:J9">
    <cfRule type="colorScale" priority="1444">
      <colorScale>
        <cfvo type="percent" val="0"/>
        <cfvo type="percent" val="100"/>
        <color rgb="FFFF231B"/>
        <color rgb="FF10FF07"/>
      </colorScale>
    </cfRule>
  </conditionalFormatting>
  <conditionalFormatting sqref="K5:K9">
    <cfRule type="colorScale" priority="1445">
      <colorScale>
        <cfvo type="percent" val="0"/>
        <cfvo type="percent" val="100"/>
        <color rgb="FFFF231B"/>
        <color rgb="FF10FF07"/>
      </colorScale>
    </cfRule>
  </conditionalFormatting>
  <conditionalFormatting sqref="J15:K16">
    <cfRule type="colorScale" priority="1534">
      <colorScale>
        <cfvo type="percent" val="0"/>
        <cfvo type="percent" val="100"/>
        <color rgb="FFFF231B"/>
        <color rgb="FF10FF07"/>
      </colorScale>
    </cfRule>
  </conditionalFormatting>
  <conditionalFormatting sqref="J15:J16 J12">
    <cfRule type="colorScale" priority="1535">
      <colorScale>
        <cfvo type="percent" val="0"/>
        <cfvo type="percent" val="100"/>
        <color rgb="FFFF231B"/>
        <color rgb="FF10FF07"/>
      </colorScale>
    </cfRule>
  </conditionalFormatting>
  <conditionalFormatting sqref="K15:K16 K12">
    <cfRule type="colorScale" priority="1537">
      <colorScale>
        <cfvo type="percent" val="0"/>
        <cfvo type="percent" val="100"/>
        <color rgb="FFFF231B"/>
        <color rgb="FF10FF07"/>
      </colorScale>
    </cfRule>
  </conditionalFormatting>
  <conditionalFormatting sqref="DD39:DD48 DB39:DB48">
    <cfRule type="expression" dxfId="546" priority="579">
      <formula>OR(IF(DB39&lt;DC39,TRUE),IF(AND(DC39="",DB39&lt;&gt;""),TRUE))</formula>
    </cfRule>
    <cfRule type="expression" dxfId="545" priority="580">
      <formula>IF(DB39&gt;=DC39,IF(DB39="",FALSE,TRUE))</formula>
    </cfRule>
  </conditionalFormatting>
  <conditionalFormatting sqref="DK39:DK48 DI39:DI48">
    <cfRule type="expression" dxfId="544" priority="561">
      <formula>OR(IF(DI39&lt;DJ39,TRUE),IF(AND(DJ39="",DI39&lt;&gt;""),TRUE))</formula>
    </cfRule>
    <cfRule type="expression" dxfId="543" priority="562">
      <formula>IF(DI39&gt;=DJ39,IF(DI39="",FALSE,TRUE))</formula>
    </cfRule>
  </conditionalFormatting>
  <conditionalFormatting sqref="DR39:DR48 DP39:DP48">
    <cfRule type="expression" dxfId="542" priority="543">
      <formula>OR(IF(DP39&lt;DQ39,TRUE),IF(AND(DQ39="",DP39&lt;&gt;""),TRUE))</formula>
    </cfRule>
    <cfRule type="expression" dxfId="541" priority="544">
      <formula>IF(DP39&gt;=DQ39,IF(DP39="",FALSE,TRUE))</formula>
    </cfRule>
  </conditionalFormatting>
  <conditionalFormatting sqref="DY34:DY36 DW34:DW36">
    <cfRule type="expression" dxfId="540" priority="527">
      <formula>OR(IF(DW34&lt;DX34,TRUE),IF(AND(DX34="",DW34&lt;&gt;""),TRUE))</formula>
    </cfRule>
    <cfRule type="expression" dxfId="539" priority="528">
      <formula>IF(DW34&gt;=DX34,IF(DW34="",FALSE,TRUE))</formula>
    </cfRule>
  </conditionalFormatting>
  <conditionalFormatting sqref="DY39:DY48 DW39:DW48">
    <cfRule type="expression" dxfId="538" priority="525">
      <formula>OR(IF(DW39&lt;DX39,TRUE),IF(AND(DX39="",DW39&lt;&gt;""),TRUE))</formula>
    </cfRule>
    <cfRule type="expression" dxfId="537" priority="526">
      <formula>IF(DW39&gt;=DX39,IF(DW39="",FALSE,TRUE))</formula>
    </cfRule>
  </conditionalFormatting>
  <conditionalFormatting sqref="DW32:DW33">
    <cfRule type="expression" dxfId="536" priority="517">
      <formula>OR(IF(DW32&lt;DX32,TRUE),IF(AND(DX32="",DW32&lt;&gt;""),TRUE))</formula>
    </cfRule>
    <cfRule type="expression" dxfId="535" priority="518">
      <formula>IF(DW32&gt;=DX32,IF(DW32="",FALSE,TRUE))</formula>
    </cfRule>
  </conditionalFormatting>
  <conditionalFormatting sqref="DY32:DY33">
    <cfRule type="expression" dxfId="534" priority="515">
      <formula>OR(IF(DY32&lt;DZ32,TRUE),IF(AND(DZ32="",DY32&lt;&gt;""),TRUE))</formula>
    </cfRule>
    <cfRule type="expression" dxfId="533" priority="516">
      <formula>IF(DY32&gt;=DZ32,IF(DY32="",FALSE,TRUE))</formula>
    </cfRule>
  </conditionalFormatting>
  <conditionalFormatting sqref="EF34:EF36 ED34:ED36">
    <cfRule type="expression" dxfId="532" priority="509">
      <formula>OR(IF(ED34&lt;EE34,TRUE),IF(AND(EE34="",ED34&lt;&gt;""),TRUE))</formula>
    </cfRule>
    <cfRule type="expression" dxfId="531" priority="510">
      <formula>IF(ED34&gt;=EE34,IF(ED34="",FALSE,TRUE))</formula>
    </cfRule>
  </conditionalFormatting>
  <conditionalFormatting sqref="EF39:EF48 ED39:ED48">
    <cfRule type="expression" dxfId="530" priority="507">
      <formula>OR(IF(ED39&lt;EE39,TRUE),IF(AND(EE39="",ED39&lt;&gt;""),TRUE))</formula>
    </cfRule>
    <cfRule type="expression" dxfId="529" priority="508">
      <formula>IF(ED39&gt;=EE39,IF(ED39="",FALSE,TRUE))</formula>
    </cfRule>
  </conditionalFormatting>
  <conditionalFormatting sqref="ED32:ED33">
    <cfRule type="expression" dxfId="528" priority="499">
      <formula>OR(IF(ED32&lt;EE32,TRUE),IF(AND(EE32="",ED32&lt;&gt;""),TRUE))</formula>
    </cfRule>
    <cfRule type="expression" dxfId="527" priority="500">
      <formula>IF(ED32&gt;=EE32,IF(ED32="",FALSE,TRUE))</formula>
    </cfRule>
  </conditionalFormatting>
  <conditionalFormatting sqref="EF32:EF33">
    <cfRule type="expression" dxfId="526" priority="497">
      <formula>OR(IF(EF32&lt;EG32,TRUE),IF(AND(EG32="",EF32&lt;&gt;""),TRUE))</formula>
    </cfRule>
    <cfRule type="expression" dxfId="525" priority="498">
      <formula>IF(EF32&gt;=EG32,IF(EF32="",FALSE,TRUE))</formula>
    </cfRule>
  </conditionalFormatting>
  <conditionalFormatting sqref="DY21:DY29 DW21:DW29 DW5:DW9 DY5:DY9 DY15:DY16 DW15:DW16">
    <cfRule type="expression" dxfId="524" priority="491">
      <formula>OR(IF(DW5&lt;DX5,TRUE),IF(AND(DX5="",DW5&lt;&gt;""),TRUE))</formula>
    </cfRule>
    <cfRule type="expression" dxfId="523" priority="492">
      <formula>IF(DW5&gt;=DX5,IF(DW5="",FALSE,TRUE))</formula>
    </cfRule>
  </conditionalFormatting>
  <conditionalFormatting sqref="DW12 DY12">
    <cfRule type="expression" dxfId="522" priority="489">
      <formula>OR(IF(DW12&lt;DX12,TRUE),IF(AND(DX12="",DW12&lt;&gt;""),TRUE))</formula>
    </cfRule>
    <cfRule type="expression" dxfId="521" priority="490">
      <formula>IF(DW12&gt;=DX12,IF(DW12="",FALSE,TRUE))</formula>
    </cfRule>
  </conditionalFormatting>
  <conditionalFormatting sqref="DW19:DW20">
    <cfRule type="expression" dxfId="520" priority="487">
      <formula>OR(IF(DW19&lt;DX19,TRUE),IF(AND(DX19="",DW19&lt;&gt;""),TRUE))</formula>
    </cfRule>
    <cfRule type="expression" dxfId="519" priority="488">
      <formula>IF(DW19&gt;=DX19,IF(DW19="",FALSE,TRUE))</formula>
    </cfRule>
  </conditionalFormatting>
  <conditionalFormatting sqref="DY19:DY20">
    <cfRule type="expression" dxfId="518" priority="485">
      <formula>OR(IF(DY19&lt;DZ19,TRUE),IF(AND(DZ19="",DY19&lt;&gt;""),TRUE))</formula>
    </cfRule>
    <cfRule type="expression" dxfId="517" priority="486">
      <formula>IF(DY19&gt;=DZ19,IF(DY19="",FALSE,TRUE))</formula>
    </cfRule>
  </conditionalFormatting>
  <conditionalFormatting sqref="DW13 DY13">
    <cfRule type="expression" dxfId="516" priority="483">
      <formula>OR(IF(DW13&lt;DX13,TRUE),IF(AND(DX13="",DW13&lt;&gt;""),TRUE))</formula>
    </cfRule>
    <cfRule type="expression" dxfId="515" priority="484">
      <formula>IF(DW13&gt;=DX13,IF(DW13="",FALSE,TRUE))</formula>
    </cfRule>
  </conditionalFormatting>
  <conditionalFormatting sqref="DY14 DW14">
    <cfRule type="expression" dxfId="514" priority="481">
      <formula>OR(IF(DW14&lt;DX14,TRUE),IF(AND(DX14="",DW14&lt;&gt;""),TRUE))</formula>
    </cfRule>
    <cfRule type="expression" dxfId="513" priority="482">
      <formula>IF(DW14&gt;=DX14,IF(DW14="",FALSE,TRUE))</formula>
    </cfRule>
  </conditionalFormatting>
  <conditionalFormatting sqref="EF21:EF29 ED21:ED29 ED5:ED9 EF5:EF9 EF15:EF16 ED15:ED16">
    <cfRule type="expression" dxfId="512" priority="479">
      <formula>OR(IF(ED5&lt;EE5,TRUE),IF(AND(EE5="",ED5&lt;&gt;""),TRUE))</formula>
    </cfRule>
    <cfRule type="expression" dxfId="511" priority="480">
      <formula>IF(ED5&gt;=EE5,IF(ED5="",FALSE,TRUE))</formula>
    </cfRule>
  </conditionalFormatting>
  <conditionalFormatting sqref="ED12 EF12">
    <cfRule type="expression" dxfId="510" priority="477">
      <formula>OR(IF(ED12&lt;EE12,TRUE),IF(AND(EE12="",ED12&lt;&gt;""),TRUE))</formula>
    </cfRule>
    <cfRule type="expression" dxfId="509" priority="478">
      <formula>IF(ED12&gt;=EE12,IF(ED12="",FALSE,TRUE))</formula>
    </cfRule>
  </conditionalFormatting>
  <conditionalFormatting sqref="ED19:ED20">
    <cfRule type="expression" dxfId="508" priority="475">
      <formula>OR(IF(ED19&lt;EE19,TRUE),IF(AND(EE19="",ED19&lt;&gt;""),TRUE))</formula>
    </cfRule>
    <cfRule type="expression" dxfId="507" priority="476">
      <formula>IF(ED19&gt;=EE19,IF(ED19="",FALSE,TRUE))</formula>
    </cfRule>
  </conditionalFormatting>
  <conditionalFormatting sqref="EF19:EF20">
    <cfRule type="expression" dxfId="506" priority="473">
      <formula>OR(IF(EF19&lt;EG19,TRUE),IF(AND(EG19="",EF19&lt;&gt;""),TRUE))</formula>
    </cfRule>
    <cfRule type="expression" dxfId="505" priority="474">
      <formula>IF(EF19&gt;=EG19,IF(EF19="",FALSE,TRUE))</formula>
    </cfRule>
  </conditionalFormatting>
  <conditionalFormatting sqref="ED13 EF13">
    <cfRule type="expression" dxfId="504" priority="471">
      <formula>OR(IF(ED13&lt;EE13,TRUE),IF(AND(EE13="",ED13&lt;&gt;""),TRUE))</formula>
    </cfRule>
    <cfRule type="expression" dxfId="503" priority="472">
      <formula>IF(ED13&gt;=EE13,IF(ED13="",FALSE,TRUE))</formula>
    </cfRule>
  </conditionalFormatting>
  <conditionalFormatting sqref="EF14 ED14">
    <cfRule type="expression" dxfId="502" priority="469">
      <formula>OR(IF(ED14&lt;EE14,TRUE),IF(AND(EE14="",ED14&lt;&gt;""),TRUE))</formula>
    </cfRule>
    <cfRule type="expression" dxfId="501" priority="470">
      <formula>IF(ED14&gt;=EE14,IF(ED14="",FALSE,TRUE))</formula>
    </cfRule>
  </conditionalFormatting>
  <conditionalFormatting sqref="DR21:DR29 DP21:DP29 DP5:DP9 DR5:DR9 DR15:DR16 DP15:DP16">
    <cfRule type="expression" dxfId="500" priority="465">
      <formula>OR(IF(DP5&lt;DQ5,TRUE),IF(AND(DQ5="",DP5&lt;&gt;""),TRUE))</formula>
    </cfRule>
    <cfRule type="expression" dxfId="499" priority="466">
      <formula>IF(DP5&gt;=DQ5,IF(DP5="",FALSE,TRUE))</formula>
    </cfRule>
  </conditionalFormatting>
  <conditionalFormatting sqref="DP12 DR12">
    <cfRule type="expression" dxfId="498" priority="463">
      <formula>OR(IF(DP12&lt;DQ12,TRUE),IF(AND(DQ12="",DP12&lt;&gt;""),TRUE))</formula>
    </cfRule>
    <cfRule type="expression" dxfId="497" priority="464">
      <formula>IF(DP12&gt;=DQ12,IF(DP12="",FALSE,TRUE))</formula>
    </cfRule>
  </conditionalFormatting>
  <conditionalFormatting sqref="DP19:DP20">
    <cfRule type="expression" dxfId="496" priority="461">
      <formula>OR(IF(DP19&lt;DQ19,TRUE),IF(AND(DQ19="",DP19&lt;&gt;""),TRUE))</formula>
    </cfRule>
    <cfRule type="expression" dxfId="495" priority="462">
      <formula>IF(DP19&gt;=DQ19,IF(DP19="",FALSE,TRUE))</formula>
    </cfRule>
  </conditionalFormatting>
  <conditionalFormatting sqref="DR19:DR20">
    <cfRule type="expression" dxfId="494" priority="459">
      <formula>OR(IF(DR19&lt;DS19,TRUE),IF(AND(DS19="",DR19&lt;&gt;""),TRUE))</formula>
    </cfRule>
    <cfRule type="expression" dxfId="493" priority="460">
      <formula>IF(DR19&gt;=DS19,IF(DR19="",FALSE,TRUE))</formula>
    </cfRule>
  </conditionalFormatting>
  <conditionalFormatting sqref="DP13 DR13">
    <cfRule type="expression" dxfId="492" priority="457">
      <formula>OR(IF(DP13&lt;DQ13,TRUE),IF(AND(DQ13="",DP13&lt;&gt;""),TRUE))</formula>
    </cfRule>
    <cfRule type="expression" dxfId="491" priority="458">
      <formula>IF(DP13&gt;=DQ13,IF(DP13="",FALSE,TRUE))</formula>
    </cfRule>
  </conditionalFormatting>
  <conditionalFormatting sqref="DR14 DP14">
    <cfRule type="expression" dxfId="490" priority="455">
      <formula>OR(IF(DP14&lt;DQ14,TRUE),IF(AND(DQ14="",DP14&lt;&gt;""),TRUE))</formula>
    </cfRule>
    <cfRule type="expression" dxfId="489" priority="456">
      <formula>IF(DP14&gt;=DQ14,IF(DP14="",FALSE,TRUE))</formula>
    </cfRule>
  </conditionalFormatting>
  <conditionalFormatting sqref="DR34:DR36 DP34:DP36">
    <cfRule type="expression" dxfId="488" priority="453">
      <formula>OR(IF(DP34&lt;DQ34,TRUE),IF(AND(DQ34="",DP34&lt;&gt;""),TRUE))</formula>
    </cfRule>
    <cfRule type="expression" dxfId="487" priority="454">
      <formula>IF(DP34&gt;=DQ34,IF(DP34="",FALSE,TRUE))</formula>
    </cfRule>
  </conditionalFormatting>
  <conditionalFormatting sqref="DP32:DP33">
    <cfRule type="expression" dxfId="486" priority="451">
      <formula>OR(IF(DP32&lt;DQ32,TRUE),IF(AND(DQ32="",DP32&lt;&gt;""),TRUE))</formula>
    </cfRule>
    <cfRule type="expression" dxfId="485" priority="452">
      <formula>IF(DP32&gt;=DQ32,IF(DP32="",FALSE,TRUE))</formula>
    </cfRule>
  </conditionalFormatting>
  <conditionalFormatting sqref="DR32:DR33">
    <cfRule type="expression" dxfId="484" priority="449">
      <formula>OR(IF(DR32&lt;DS32,TRUE),IF(AND(DS32="",DR32&lt;&gt;""),TRUE))</formula>
    </cfRule>
    <cfRule type="expression" dxfId="483" priority="450">
      <formula>IF(DR32&gt;=DS32,IF(DR32="",FALSE,TRUE))</formula>
    </cfRule>
  </conditionalFormatting>
  <conditionalFormatting sqref="DK21:DK29 DI21:DI29 DI5:DI9 DK5:DK9 DK15:DK16 DI15:DI16">
    <cfRule type="expression" dxfId="482" priority="447">
      <formula>OR(IF(DI5&lt;DJ5,TRUE),IF(AND(DJ5="",DI5&lt;&gt;""),TRUE))</formula>
    </cfRule>
    <cfRule type="expression" dxfId="481" priority="448">
      <formula>IF(DI5&gt;=DJ5,IF(DI5="",FALSE,TRUE))</formula>
    </cfRule>
  </conditionalFormatting>
  <conditionalFormatting sqref="DI12 DK12">
    <cfRule type="expression" dxfId="480" priority="445">
      <formula>OR(IF(DI12&lt;DJ12,TRUE),IF(AND(DJ12="",DI12&lt;&gt;""),TRUE))</formula>
    </cfRule>
    <cfRule type="expression" dxfId="479" priority="446">
      <formula>IF(DI12&gt;=DJ12,IF(DI12="",FALSE,TRUE))</formula>
    </cfRule>
  </conditionalFormatting>
  <conditionalFormatting sqref="DI19:DI20">
    <cfRule type="expression" dxfId="478" priority="443">
      <formula>OR(IF(DI19&lt;DJ19,TRUE),IF(AND(DJ19="",DI19&lt;&gt;""),TRUE))</formula>
    </cfRule>
    <cfRule type="expression" dxfId="477" priority="444">
      <formula>IF(DI19&gt;=DJ19,IF(DI19="",FALSE,TRUE))</formula>
    </cfRule>
  </conditionalFormatting>
  <conditionalFormatting sqref="DK19:DK20">
    <cfRule type="expression" dxfId="476" priority="441">
      <formula>OR(IF(DK19&lt;DL19,TRUE),IF(AND(DL19="",DK19&lt;&gt;""),TRUE))</formula>
    </cfRule>
    <cfRule type="expression" dxfId="475" priority="442">
      <formula>IF(DK19&gt;=DL19,IF(DK19="",FALSE,TRUE))</formula>
    </cfRule>
  </conditionalFormatting>
  <conditionalFormatting sqref="DI13 DK13">
    <cfRule type="expression" dxfId="474" priority="439">
      <formula>OR(IF(DI13&lt;DJ13,TRUE),IF(AND(DJ13="",DI13&lt;&gt;""),TRUE))</formula>
    </cfRule>
    <cfRule type="expression" dxfId="473" priority="440">
      <formula>IF(DI13&gt;=DJ13,IF(DI13="",FALSE,TRUE))</formula>
    </cfRule>
  </conditionalFormatting>
  <conditionalFormatting sqref="DK14 DI14">
    <cfRule type="expression" dxfId="472" priority="437">
      <formula>OR(IF(DI14&lt;DJ14,TRUE),IF(AND(DJ14="",DI14&lt;&gt;""),TRUE))</formula>
    </cfRule>
    <cfRule type="expression" dxfId="471" priority="438">
      <formula>IF(DI14&gt;=DJ14,IF(DI14="",FALSE,TRUE))</formula>
    </cfRule>
  </conditionalFormatting>
  <conditionalFormatting sqref="DK34:DK36 DI34:DI36">
    <cfRule type="expression" dxfId="470" priority="435">
      <formula>OR(IF(DI34&lt;DJ34,TRUE),IF(AND(DJ34="",DI34&lt;&gt;""),TRUE))</formula>
    </cfRule>
    <cfRule type="expression" dxfId="469" priority="436">
      <formula>IF(DI34&gt;=DJ34,IF(DI34="",FALSE,TRUE))</formula>
    </cfRule>
  </conditionalFormatting>
  <conditionalFormatting sqref="DI32:DI33">
    <cfRule type="expression" dxfId="468" priority="433">
      <formula>OR(IF(DI32&lt;DJ32,TRUE),IF(AND(DJ32="",DI32&lt;&gt;""),TRUE))</formula>
    </cfRule>
    <cfRule type="expression" dxfId="467" priority="434">
      <formula>IF(DI32&gt;=DJ32,IF(DI32="",FALSE,TRUE))</formula>
    </cfRule>
  </conditionalFormatting>
  <conditionalFormatting sqref="DK32:DK33">
    <cfRule type="expression" dxfId="466" priority="431">
      <formula>OR(IF(DK32&lt;DL32,TRUE),IF(AND(DL32="",DK32&lt;&gt;""),TRUE))</formula>
    </cfRule>
    <cfRule type="expression" dxfId="465" priority="432">
      <formula>IF(DK32&gt;=DL32,IF(DK32="",FALSE,TRUE))</formula>
    </cfRule>
  </conditionalFormatting>
  <conditionalFormatting sqref="DD21:DD29 DB21:DB29 DB5:DB9 DD5:DD9 DD15:DD16 DB15:DB16">
    <cfRule type="expression" dxfId="464" priority="429">
      <formula>OR(IF(DB5&lt;DC5,TRUE),IF(AND(DC5="",DB5&lt;&gt;""),TRUE))</formula>
    </cfRule>
    <cfRule type="expression" dxfId="463" priority="430">
      <formula>IF(DB5&gt;=DC5,IF(DB5="",FALSE,TRUE))</formula>
    </cfRule>
  </conditionalFormatting>
  <conditionalFormatting sqref="DB12 DD12">
    <cfRule type="expression" dxfId="462" priority="427">
      <formula>OR(IF(DB12&lt;DC12,TRUE),IF(AND(DC12="",DB12&lt;&gt;""),TRUE))</formula>
    </cfRule>
    <cfRule type="expression" dxfId="461" priority="428">
      <formula>IF(DB12&gt;=DC12,IF(DB12="",FALSE,TRUE))</formula>
    </cfRule>
  </conditionalFormatting>
  <conditionalFormatting sqref="DB19:DB20">
    <cfRule type="expression" dxfId="460" priority="425">
      <formula>OR(IF(DB19&lt;DC19,TRUE),IF(AND(DC19="",DB19&lt;&gt;""),TRUE))</formula>
    </cfRule>
    <cfRule type="expression" dxfId="459" priority="426">
      <formula>IF(DB19&gt;=DC19,IF(DB19="",FALSE,TRUE))</formula>
    </cfRule>
  </conditionalFormatting>
  <conditionalFormatting sqref="DD19:DD20">
    <cfRule type="expression" dxfId="458" priority="423">
      <formula>OR(IF(DD19&lt;DE19,TRUE),IF(AND(DE19="",DD19&lt;&gt;""),TRUE))</formula>
    </cfRule>
    <cfRule type="expression" dxfId="457" priority="424">
      <formula>IF(DD19&gt;=DE19,IF(DD19="",FALSE,TRUE))</formula>
    </cfRule>
  </conditionalFormatting>
  <conditionalFormatting sqref="DB13 DD13">
    <cfRule type="expression" dxfId="456" priority="421">
      <formula>OR(IF(DB13&lt;DC13,TRUE),IF(AND(DC13="",DB13&lt;&gt;""),TRUE))</formula>
    </cfRule>
    <cfRule type="expression" dxfId="455" priority="422">
      <formula>IF(DB13&gt;=DC13,IF(DB13="",FALSE,TRUE))</formula>
    </cfRule>
  </conditionalFormatting>
  <conditionalFormatting sqref="DD14 DB14">
    <cfRule type="expression" dxfId="454" priority="419">
      <formula>OR(IF(DB14&lt;DC14,TRUE),IF(AND(DC14="",DB14&lt;&gt;""),TRUE))</formula>
    </cfRule>
    <cfRule type="expression" dxfId="453" priority="420">
      <formula>IF(DB14&gt;=DC14,IF(DB14="",FALSE,TRUE))</formula>
    </cfRule>
  </conditionalFormatting>
  <conditionalFormatting sqref="DD34:DD36 DB34:DB36">
    <cfRule type="expression" dxfId="452" priority="417">
      <formula>OR(IF(DB34&lt;DC34,TRUE),IF(AND(DC34="",DB34&lt;&gt;""),TRUE))</formula>
    </cfRule>
    <cfRule type="expression" dxfId="451" priority="418">
      <formula>IF(DB34&gt;=DC34,IF(DB34="",FALSE,TRUE))</formula>
    </cfRule>
  </conditionalFormatting>
  <conditionalFormatting sqref="DB32:DB33">
    <cfRule type="expression" dxfId="450" priority="415">
      <formula>OR(IF(DB32&lt;DC32,TRUE),IF(AND(DC32="",DB32&lt;&gt;""),TRUE))</formula>
    </cfRule>
    <cfRule type="expression" dxfId="449" priority="416">
      <formula>IF(DB32&gt;=DC32,IF(DB32="",FALSE,TRUE))</formula>
    </cfRule>
  </conditionalFormatting>
  <conditionalFormatting sqref="DD32:DD33">
    <cfRule type="expression" dxfId="448" priority="413">
      <formula>OR(IF(DD32&lt;DE32,TRUE),IF(AND(DE32="",DD32&lt;&gt;""),TRUE))</formula>
    </cfRule>
    <cfRule type="expression" dxfId="447" priority="414">
      <formula>IF(DD32&gt;=DE32,IF(DD32="",FALSE,TRUE))</formula>
    </cfRule>
  </conditionalFormatting>
  <conditionalFormatting sqref="CW21:CW29 CU21:CU29 CU5:CU9 CW5:CW9 CW15:CW16 CU15:CU16">
    <cfRule type="expression" dxfId="446" priority="411">
      <formula>OR(IF(CU5&lt;CV5,TRUE),IF(AND(CV5="",CU5&lt;&gt;""),TRUE))</formula>
    </cfRule>
    <cfRule type="expression" dxfId="445" priority="412">
      <formula>IF(CU5&gt;=CV5,IF(CU5="",FALSE,TRUE))</formula>
    </cfRule>
  </conditionalFormatting>
  <conditionalFormatting sqref="CU12 CW12">
    <cfRule type="expression" dxfId="444" priority="409">
      <formula>OR(IF(CU12&lt;CV12,TRUE),IF(AND(CV12="",CU12&lt;&gt;""),TRUE))</formula>
    </cfRule>
    <cfRule type="expression" dxfId="443" priority="410">
      <formula>IF(CU12&gt;=CV12,IF(CU12="",FALSE,TRUE))</formula>
    </cfRule>
  </conditionalFormatting>
  <conditionalFormatting sqref="CU19:CU20">
    <cfRule type="expression" dxfId="442" priority="407">
      <formula>OR(IF(CU19&lt;CV19,TRUE),IF(AND(CV19="",CU19&lt;&gt;""),TRUE))</formula>
    </cfRule>
    <cfRule type="expression" dxfId="441" priority="408">
      <formula>IF(CU19&gt;=CV19,IF(CU19="",FALSE,TRUE))</formula>
    </cfRule>
  </conditionalFormatting>
  <conditionalFormatting sqref="CW19:CW20">
    <cfRule type="expression" dxfId="440" priority="405">
      <formula>OR(IF(CW19&lt;CX19,TRUE),IF(AND(CX19="",CW19&lt;&gt;""),TRUE))</formula>
    </cfRule>
    <cfRule type="expression" dxfId="439" priority="406">
      <formula>IF(CW19&gt;=CX19,IF(CW19="",FALSE,TRUE))</formula>
    </cfRule>
  </conditionalFormatting>
  <conditionalFormatting sqref="CU13 CW13">
    <cfRule type="expression" dxfId="438" priority="403">
      <formula>OR(IF(CU13&lt;CV13,TRUE),IF(AND(CV13="",CU13&lt;&gt;""),TRUE))</formula>
    </cfRule>
    <cfRule type="expression" dxfId="437" priority="404">
      <formula>IF(CU13&gt;=CV13,IF(CU13="",FALSE,TRUE))</formula>
    </cfRule>
  </conditionalFormatting>
  <conditionalFormatting sqref="CW14 CU14">
    <cfRule type="expression" dxfId="436" priority="401">
      <formula>OR(IF(CU14&lt;CV14,TRUE),IF(AND(CV14="",CU14&lt;&gt;""),TRUE))</formula>
    </cfRule>
    <cfRule type="expression" dxfId="435" priority="402">
      <formula>IF(CU14&gt;=CV14,IF(CU14="",FALSE,TRUE))</formula>
    </cfRule>
  </conditionalFormatting>
  <conditionalFormatting sqref="CW34:CW36 CU34:CU36">
    <cfRule type="expression" dxfId="434" priority="399">
      <formula>OR(IF(CU34&lt;CV34,TRUE),IF(AND(CV34="",CU34&lt;&gt;""),TRUE))</formula>
    </cfRule>
    <cfRule type="expression" dxfId="433" priority="400">
      <formula>IF(CU34&gt;=CV34,IF(CU34="",FALSE,TRUE))</formula>
    </cfRule>
  </conditionalFormatting>
  <conditionalFormatting sqref="CU32:CU33">
    <cfRule type="expression" dxfId="432" priority="397">
      <formula>OR(IF(CU32&lt;CV32,TRUE),IF(AND(CV32="",CU32&lt;&gt;""),TRUE))</formula>
    </cfRule>
    <cfRule type="expression" dxfId="431" priority="398">
      <formula>IF(CU32&gt;=CV32,IF(CU32="",FALSE,TRUE))</formula>
    </cfRule>
  </conditionalFormatting>
  <conditionalFormatting sqref="CW32:CW33">
    <cfRule type="expression" dxfId="430" priority="395">
      <formula>OR(IF(CW32&lt;CX32,TRUE),IF(AND(CX32="",CW32&lt;&gt;""),TRUE))</formula>
    </cfRule>
    <cfRule type="expression" dxfId="429" priority="396">
      <formula>IF(CW32&gt;=CX32,IF(CW32="",FALSE,TRUE))</formula>
    </cfRule>
  </conditionalFormatting>
  <conditionalFormatting sqref="CP21:CP29 CN21:CN29 CN5:CN9 CP5:CP9 CP15:CP16 CN15:CN16">
    <cfRule type="expression" dxfId="428" priority="393">
      <formula>OR(IF(CN5&lt;CO5,TRUE),IF(AND(CO5="",CN5&lt;&gt;""),TRUE))</formula>
    </cfRule>
    <cfRule type="expression" dxfId="427" priority="394">
      <formula>IF(CN5&gt;=CO5,IF(CN5="",FALSE,TRUE))</formula>
    </cfRule>
  </conditionalFormatting>
  <conditionalFormatting sqref="CN12 CP12">
    <cfRule type="expression" dxfId="426" priority="391">
      <formula>OR(IF(CN12&lt;CO12,TRUE),IF(AND(CO12="",CN12&lt;&gt;""),TRUE))</formula>
    </cfRule>
    <cfRule type="expression" dxfId="425" priority="392">
      <formula>IF(CN12&gt;=CO12,IF(CN12="",FALSE,TRUE))</formula>
    </cfRule>
  </conditionalFormatting>
  <conditionalFormatting sqref="CN19:CN20">
    <cfRule type="expression" dxfId="424" priority="389">
      <formula>OR(IF(CN19&lt;CO19,TRUE),IF(AND(CO19="",CN19&lt;&gt;""),TRUE))</formula>
    </cfRule>
    <cfRule type="expression" dxfId="423" priority="390">
      <formula>IF(CN19&gt;=CO19,IF(CN19="",FALSE,TRUE))</formula>
    </cfRule>
  </conditionalFormatting>
  <conditionalFormatting sqref="CP19:CP20">
    <cfRule type="expression" dxfId="422" priority="387">
      <formula>OR(IF(CP19&lt;CQ19,TRUE),IF(AND(CQ19="",CP19&lt;&gt;""),TRUE))</formula>
    </cfRule>
    <cfRule type="expression" dxfId="421" priority="388">
      <formula>IF(CP19&gt;=CQ19,IF(CP19="",FALSE,TRUE))</formula>
    </cfRule>
  </conditionalFormatting>
  <conditionalFormatting sqref="CN13 CP13">
    <cfRule type="expression" dxfId="420" priority="385">
      <formula>OR(IF(CN13&lt;CO13,TRUE),IF(AND(CO13="",CN13&lt;&gt;""),TRUE))</formula>
    </cfRule>
    <cfRule type="expression" dxfId="419" priority="386">
      <formula>IF(CN13&gt;=CO13,IF(CN13="",FALSE,TRUE))</formula>
    </cfRule>
  </conditionalFormatting>
  <conditionalFormatting sqref="CP14 CN14">
    <cfRule type="expression" dxfId="418" priority="383">
      <formula>OR(IF(CN14&lt;CO14,TRUE),IF(AND(CO14="",CN14&lt;&gt;""),TRUE))</formula>
    </cfRule>
    <cfRule type="expression" dxfId="417" priority="384">
      <formula>IF(CN14&gt;=CO14,IF(CN14="",FALSE,TRUE))</formula>
    </cfRule>
  </conditionalFormatting>
  <conditionalFormatting sqref="CP34:CP36 CN34:CN36">
    <cfRule type="expression" dxfId="416" priority="381">
      <formula>OR(IF(CN34&lt;CO34,TRUE),IF(AND(CO34="",CN34&lt;&gt;""),TRUE))</formula>
    </cfRule>
    <cfRule type="expression" dxfId="415" priority="382">
      <formula>IF(CN34&gt;=CO34,IF(CN34="",FALSE,TRUE))</formula>
    </cfRule>
  </conditionalFormatting>
  <conditionalFormatting sqref="CN32:CN33">
    <cfRule type="expression" dxfId="414" priority="379">
      <formula>OR(IF(CN32&lt;CO32,TRUE),IF(AND(CO32="",CN32&lt;&gt;""),TRUE))</formula>
    </cfRule>
    <cfRule type="expression" dxfId="413" priority="380">
      <formula>IF(CN32&gt;=CO32,IF(CN32="",FALSE,TRUE))</formula>
    </cfRule>
  </conditionalFormatting>
  <conditionalFormatting sqref="CP32:CP33">
    <cfRule type="expression" dxfId="412" priority="377">
      <formula>OR(IF(CP32&lt;CQ32,TRUE),IF(AND(CQ32="",CP32&lt;&gt;""),TRUE))</formula>
    </cfRule>
    <cfRule type="expression" dxfId="411" priority="378">
      <formula>IF(CP32&gt;=CQ32,IF(CP32="",FALSE,TRUE))</formula>
    </cfRule>
  </conditionalFormatting>
  <conditionalFormatting sqref="CI21:CI29 CG21:CG29 CG5:CG9 CI5:CI9 CI15:CI16 CG15:CG16">
    <cfRule type="expression" dxfId="285" priority="267">
      <formula>OR(IF(CG5&lt;CH5,TRUE),IF(AND(CH5="",CG5&lt;&gt;""),TRUE))</formula>
    </cfRule>
    <cfRule type="expression" dxfId="284" priority="268">
      <formula>IF(CG5&gt;=CH5,IF(CG5="",FALSE,TRUE))</formula>
    </cfRule>
  </conditionalFormatting>
  <conditionalFormatting sqref="CG12 CI12">
    <cfRule type="expression" dxfId="283" priority="265">
      <formula>OR(IF(CG12&lt;CH12,TRUE),IF(AND(CH12="",CG12&lt;&gt;""),TRUE))</formula>
    </cfRule>
    <cfRule type="expression" dxfId="282" priority="266">
      <formula>IF(CG12&gt;=CH12,IF(CG12="",FALSE,TRUE))</formula>
    </cfRule>
  </conditionalFormatting>
  <conditionalFormatting sqref="CG19:CG20">
    <cfRule type="expression" dxfId="281" priority="263">
      <formula>OR(IF(CG19&lt;CH19,TRUE),IF(AND(CH19="",CG19&lt;&gt;""),TRUE))</formula>
    </cfRule>
    <cfRule type="expression" dxfId="280" priority="264">
      <formula>IF(CG19&gt;=CH19,IF(CG19="",FALSE,TRUE))</formula>
    </cfRule>
  </conditionalFormatting>
  <conditionalFormatting sqref="CI19:CI20">
    <cfRule type="expression" dxfId="279" priority="261">
      <formula>OR(IF(CI19&lt;CJ19,TRUE),IF(AND(CJ19="",CI19&lt;&gt;""),TRUE))</formula>
    </cfRule>
    <cfRule type="expression" dxfId="278" priority="262">
      <formula>IF(CI19&gt;=CJ19,IF(CI19="",FALSE,TRUE))</formula>
    </cfRule>
  </conditionalFormatting>
  <conditionalFormatting sqref="CG13 CI13">
    <cfRule type="expression" dxfId="277" priority="259">
      <formula>OR(IF(CG13&lt;CH13,TRUE),IF(AND(CH13="",CG13&lt;&gt;""),TRUE))</formula>
    </cfRule>
    <cfRule type="expression" dxfId="276" priority="260">
      <formula>IF(CG13&gt;=CH13,IF(CG13="",FALSE,TRUE))</formula>
    </cfRule>
  </conditionalFormatting>
  <conditionalFormatting sqref="CI14 CG14">
    <cfRule type="expression" dxfId="275" priority="257">
      <formula>OR(IF(CG14&lt;CH14,TRUE),IF(AND(CH14="",CG14&lt;&gt;""),TRUE))</formula>
    </cfRule>
    <cfRule type="expression" dxfId="274" priority="258">
      <formula>IF(CG14&gt;=CH14,IF(CG14="",FALSE,TRUE))</formula>
    </cfRule>
  </conditionalFormatting>
  <conditionalFormatting sqref="CI34:CI36 CG34:CG36">
    <cfRule type="expression" dxfId="273" priority="255">
      <formula>OR(IF(CG34&lt;CH34,TRUE),IF(AND(CH34="",CG34&lt;&gt;""),TRUE))</formula>
    </cfRule>
    <cfRule type="expression" dxfId="272" priority="256">
      <formula>IF(CG34&gt;=CH34,IF(CG34="",FALSE,TRUE))</formula>
    </cfRule>
  </conditionalFormatting>
  <conditionalFormatting sqref="CG32:CG33">
    <cfRule type="expression" dxfId="271" priority="253">
      <formula>OR(IF(CG32&lt;CH32,TRUE),IF(AND(CH32="",CG32&lt;&gt;""),TRUE))</formula>
    </cfRule>
    <cfRule type="expression" dxfId="270" priority="254">
      <formula>IF(CG32&gt;=CH32,IF(CG32="",FALSE,TRUE))</formula>
    </cfRule>
  </conditionalFormatting>
  <conditionalFormatting sqref="CI32:CI33">
    <cfRule type="expression" dxfId="269" priority="251">
      <formula>OR(IF(CI32&lt;CJ32,TRUE),IF(AND(CJ32="",CI32&lt;&gt;""),TRUE))</formula>
    </cfRule>
    <cfRule type="expression" dxfId="268" priority="252">
      <formula>IF(CI32&gt;=CJ32,IF(CI32="",FALSE,TRUE))</formula>
    </cfRule>
  </conditionalFormatting>
  <conditionalFormatting sqref="CB21:CB29 BZ21:BZ29 BZ5:BZ9 CB5:CB9 CB15:CB16 BZ15:BZ16">
    <cfRule type="expression" dxfId="267" priority="249">
      <formula>OR(IF(BZ5&lt;CA5,TRUE),IF(AND(CA5="",BZ5&lt;&gt;""),TRUE))</formula>
    </cfRule>
    <cfRule type="expression" dxfId="266" priority="250">
      <formula>IF(BZ5&gt;=CA5,IF(BZ5="",FALSE,TRUE))</formula>
    </cfRule>
  </conditionalFormatting>
  <conditionalFormatting sqref="BZ12 CB12">
    <cfRule type="expression" dxfId="265" priority="247">
      <formula>OR(IF(BZ12&lt;CA12,TRUE),IF(AND(CA12="",BZ12&lt;&gt;""),TRUE))</formula>
    </cfRule>
    <cfRule type="expression" dxfId="264" priority="248">
      <formula>IF(BZ12&gt;=CA12,IF(BZ12="",FALSE,TRUE))</formula>
    </cfRule>
  </conditionalFormatting>
  <conditionalFormatting sqref="BZ19:BZ20">
    <cfRule type="expression" dxfId="263" priority="245">
      <formula>OR(IF(BZ19&lt;CA19,TRUE),IF(AND(CA19="",BZ19&lt;&gt;""),TRUE))</formula>
    </cfRule>
    <cfRule type="expression" dxfId="262" priority="246">
      <formula>IF(BZ19&gt;=CA19,IF(BZ19="",FALSE,TRUE))</formula>
    </cfRule>
  </conditionalFormatting>
  <conditionalFormatting sqref="CB19:CB20">
    <cfRule type="expression" dxfId="261" priority="243">
      <formula>OR(IF(CB19&lt;CC19,TRUE),IF(AND(CC19="",CB19&lt;&gt;""),TRUE))</formula>
    </cfRule>
    <cfRule type="expression" dxfId="260" priority="244">
      <formula>IF(CB19&gt;=CC19,IF(CB19="",FALSE,TRUE))</formula>
    </cfRule>
  </conditionalFormatting>
  <conditionalFormatting sqref="BZ13 CB13">
    <cfRule type="expression" dxfId="259" priority="241">
      <formula>OR(IF(BZ13&lt;CA13,TRUE),IF(AND(CA13="",BZ13&lt;&gt;""),TRUE))</formula>
    </cfRule>
    <cfRule type="expression" dxfId="258" priority="242">
      <formula>IF(BZ13&gt;=CA13,IF(BZ13="",FALSE,TRUE))</formula>
    </cfRule>
  </conditionalFormatting>
  <conditionalFormatting sqref="CB14 BZ14">
    <cfRule type="expression" dxfId="257" priority="239">
      <formula>OR(IF(BZ14&lt;CA14,TRUE),IF(AND(CA14="",BZ14&lt;&gt;""),TRUE))</formula>
    </cfRule>
    <cfRule type="expression" dxfId="256" priority="240">
      <formula>IF(BZ14&gt;=CA14,IF(BZ14="",FALSE,TRUE))</formula>
    </cfRule>
  </conditionalFormatting>
  <conditionalFormatting sqref="CB34:CB36 BZ34:BZ36">
    <cfRule type="expression" dxfId="255" priority="237">
      <formula>OR(IF(BZ34&lt;CA34,TRUE),IF(AND(CA34="",BZ34&lt;&gt;""),TRUE))</formula>
    </cfRule>
    <cfRule type="expression" dxfId="254" priority="238">
      <formula>IF(BZ34&gt;=CA34,IF(BZ34="",FALSE,TRUE))</formula>
    </cfRule>
  </conditionalFormatting>
  <conditionalFormatting sqref="BZ32:BZ33">
    <cfRule type="expression" dxfId="253" priority="235">
      <formula>OR(IF(BZ32&lt;CA32,TRUE),IF(AND(CA32="",BZ32&lt;&gt;""),TRUE))</formula>
    </cfRule>
    <cfRule type="expression" dxfId="252" priority="236">
      <formula>IF(BZ32&gt;=CA32,IF(BZ32="",FALSE,TRUE))</formula>
    </cfRule>
  </conditionalFormatting>
  <conditionalFormatting sqref="CB32:CB33">
    <cfRule type="expression" dxfId="251" priority="233">
      <formula>OR(IF(CB32&lt;CC32,TRUE),IF(AND(CC32="",CB32&lt;&gt;""),TRUE))</formula>
    </cfRule>
    <cfRule type="expression" dxfId="250" priority="234">
      <formula>IF(CB32&gt;=CC32,IF(CB32="",FALSE,TRUE))</formula>
    </cfRule>
  </conditionalFormatting>
  <conditionalFormatting sqref="BU21:BU29 BS21:BS29 BS5:BS9 BU5:BU9 BU15:BU16 BS15:BS16">
    <cfRule type="expression" dxfId="249" priority="231">
      <formula>OR(IF(BS5&lt;BT5,TRUE),IF(AND(BT5="",BS5&lt;&gt;""),TRUE))</formula>
    </cfRule>
    <cfRule type="expression" dxfId="248" priority="232">
      <formula>IF(BS5&gt;=BT5,IF(BS5="",FALSE,TRUE))</formula>
    </cfRule>
  </conditionalFormatting>
  <conditionalFormatting sqref="BS12 BU12">
    <cfRule type="expression" dxfId="247" priority="229">
      <formula>OR(IF(BS12&lt;BT12,TRUE),IF(AND(BT12="",BS12&lt;&gt;""),TRUE))</formula>
    </cfRule>
    <cfRule type="expression" dxfId="246" priority="230">
      <formula>IF(BS12&gt;=BT12,IF(BS12="",FALSE,TRUE))</formula>
    </cfRule>
  </conditionalFormatting>
  <conditionalFormatting sqref="BS19:BS20">
    <cfRule type="expression" dxfId="245" priority="227">
      <formula>OR(IF(BS19&lt;BT19,TRUE),IF(AND(BT19="",BS19&lt;&gt;""),TRUE))</formula>
    </cfRule>
    <cfRule type="expression" dxfId="244" priority="228">
      <formula>IF(BS19&gt;=BT19,IF(BS19="",FALSE,TRUE))</formula>
    </cfRule>
  </conditionalFormatting>
  <conditionalFormatting sqref="BU19:BU20">
    <cfRule type="expression" dxfId="243" priority="225">
      <formula>OR(IF(BU19&lt;BV19,TRUE),IF(AND(BV19="",BU19&lt;&gt;""),TRUE))</formula>
    </cfRule>
    <cfRule type="expression" dxfId="242" priority="226">
      <formula>IF(BU19&gt;=BV19,IF(BU19="",FALSE,TRUE))</formula>
    </cfRule>
  </conditionalFormatting>
  <conditionalFormatting sqref="BS13 BU13">
    <cfRule type="expression" dxfId="241" priority="223">
      <formula>OR(IF(BS13&lt;BT13,TRUE),IF(AND(BT13="",BS13&lt;&gt;""),TRUE))</formula>
    </cfRule>
    <cfRule type="expression" dxfId="240" priority="224">
      <formula>IF(BS13&gt;=BT13,IF(BS13="",FALSE,TRUE))</formula>
    </cfRule>
  </conditionalFormatting>
  <conditionalFormatting sqref="BU14 BS14">
    <cfRule type="expression" dxfId="239" priority="221">
      <formula>OR(IF(BS14&lt;BT14,TRUE),IF(AND(BT14="",BS14&lt;&gt;""),TRUE))</formula>
    </cfRule>
    <cfRule type="expression" dxfId="238" priority="222">
      <formula>IF(BS14&gt;=BT14,IF(BS14="",FALSE,TRUE))</formula>
    </cfRule>
  </conditionalFormatting>
  <conditionalFormatting sqref="BU34:BU36 BS34:BS36">
    <cfRule type="expression" dxfId="237" priority="219">
      <formula>OR(IF(BS34&lt;BT34,TRUE),IF(AND(BT34="",BS34&lt;&gt;""),TRUE))</formula>
    </cfRule>
    <cfRule type="expression" dxfId="236" priority="220">
      <formula>IF(BS34&gt;=BT34,IF(BS34="",FALSE,TRUE))</formula>
    </cfRule>
  </conditionalFormatting>
  <conditionalFormatting sqref="BS32:BS33">
    <cfRule type="expression" dxfId="235" priority="217">
      <formula>OR(IF(BS32&lt;BT32,TRUE),IF(AND(BT32="",BS32&lt;&gt;""),TRUE))</formula>
    </cfRule>
    <cfRule type="expression" dxfId="234" priority="218">
      <formula>IF(BS32&gt;=BT32,IF(BS32="",FALSE,TRUE))</formula>
    </cfRule>
  </conditionalFormatting>
  <conditionalFormatting sqref="BU32:BU33">
    <cfRule type="expression" dxfId="233" priority="215">
      <formula>OR(IF(BU32&lt;BV32,TRUE),IF(AND(BV32="",BU32&lt;&gt;""),TRUE))</formula>
    </cfRule>
    <cfRule type="expression" dxfId="232" priority="216">
      <formula>IF(BU32&gt;=BV32,IF(BU32="",FALSE,TRUE))</formula>
    </cfRule>
  </conditionalFormatting>
  <conditionalFormatting sqref="BN21:BN29 BL21:BL29 BL5:BL9 BN5:BN9 BN15:BN16 BL15:BL16">
    <cfRule type="expression" dxfId="213" priority="213">
      <formula>OR(IF(BL5&lt;BM5,TRUE),IF(AND(BM5="",BL5&lt;&gt;""),TRUE))</formula>
    </cfRule>
    <cfRule type="expression" dxfId="212" priority="214">
      <formula>IF(BL5&gt;=BM5,IF(BL5="",FALSE,TRUE))</formula>
    </cfRule>
  </conditionalFormatting>
  <conditionalFormatting sqref="BL12 BN12">
    <cfRule type="expression" dxfId="211" priority="211">
      <formula>OR(IF(BL12&lt;BM12,TRUE),IF(AND(BM12="",BL12&lt;&gt;""),TRUE))</formula>
    </cfRule>
    <cfRule type="expression" dxfId="210" priority="212">
      <formula>IF(BL12&gt;=BM12,IF(BL12="",FALSE,TRUE))</formula>
    </cfRule>
  </conditionalFormatting>
  <conditionalFormatting sqref="BL19:BL20">
    <cfRule type="expression" dxfId="209" priority="209">
      <formula>OR(IF(BL19&lt;BM19,TRUE),IF(AND(BM19="",BL19&lt;&gt;""),TRUE))</formula>
    </cfRule>
    <cfRule type="expression" dxfId="208" priority="210">
      <formula>IF(BL19&gt;=BM19,IF(BL19="",FALSE,TRUE))</formula>
    </cfRule>
  </conditionalFormatting>
  <conditionalFormatting sqref="BN19:BN20">
    <cfRule type="expression" dxfId="207" priority="207">
      <formula>OR(IF(BN19&lt;BO19,TRUE),IF(AND(BO19="",BN19&lt;&gt;""),TRUE))</formula>
    </cfRule>
    <cfRule type="expression" dxfId="206" priority="208">
      <formula>IF(BN19&gt;=BO19,IF(BN19="",FALSE,TRUE))</formula>
    </cfRule>
  </conditionalFormatting>
  <conditionalFormatting sqref="BL13 BN13">
    <cfRule type="expression" dxfId="205" priority="205">
      <formula>OR(IF(BL13&lt;BM13,TRUE),IF(AND(BM13="",BL13&lt;&gt;""),TRUE))</formula>
    </cfRule>
    <cfRule type="expression" dxfId="204" priority="206">
      <formula>IF(BL13&gt;=BM13,IF(BL13="",FALSE,TRUE))</formula>
    </cfRule>
  </conditionalFormatting>
  <conditionalFormatting sqref="BN14 BL14">
    <cfRule type="expression" dxfId="203" priority="203">
      <formula>OR(IF(BL14&lt;BM14,TRUE),IF(AND(BM14="",BL14&lt;&gt;""),TRUE))</formula>
    </cfRule>
    <cfRule type="expression" dxfId="202" priority="204">
      <formula>IF(BL14&gt;=BM14,IF(BL14="",FALSE,TRUE))</formula>
    </cfRule>
  </conditionalFormatting>
  <conditionalFormatting sqref="BN34:BN36 BL34:BL36">
    <cfRule type="expression" dxfId="201" priority="201">
      <formula>OR(IF(BL34&lt;BM34,TRUE),IF(AND(BM34="",BL34&lt;&gt;""),TRUE))</formula>
    </cfRule>
    <cfRule type="expression" dxfId="200" priority="202">
      <formula>IF(BL34&gt;=BM34,IF(BL34="",FALSE,TRUE))</formula>
    </cfRule>
  </conditionalFormatting>
  <conditionalFormatting sqref="BL32:BL33">
    <cfRule type="expression" dxfId="199" priority="199">
      <formula>OR(IF(BL32&lt;BM32,TRUE),IF(AND(BM32="",BL32&lt;&gt;""),TRUE))</formula>
    </cfRule>
    <cfRule type="expression" dxfId="198" priority="200">
      <formula>IF(BL32&gt;=BM32,IF(BL32="",FALSE,TRUE))</formula>
    </cfRule>
  </conditionalFormatting>
  <conditionalFormatting sqref="BN32:BN33">
    <cfRule type="expression" dxfId="197" priority="197">
      <formula>OR(IF(BN32&lt;BO32,TRUE),IF(AND(BO32="",BN32&lt;&gt;""),TRUE))</formula>
    </cfRule>
    <cfRule type="expression" dxfId="196" priority="198">
      <formula>IF(BN32&gt;=BO32,IF(BN32="",FALSE,TRUE))</formula>
    </cfRule>
  </conditionalFormatting>
  <conditionalFormatting sqref="BG21:BG29 BE21:BE29 BE5:BE9 BG5:BG9">
    <cfRule type="expression" dxfId="195" priority="195">
      <formula>OR(IF(BE5&lt;BF5,TRUE),IF(AND(BF5="",BE5&lt;&gt;""),TRUE))</formula>
    </cfRule>
    <cfRule type="expression" dxfId="194" priority="196">
      <formula>IF(BE5&gt;=BF5,IF(BE5="",FALSE,TRUE))</formula>
    </cfRule>
  </conditionalFormatting>
  <conditionalFormatting sqref="BE19:BE20">
    <cfRule type="expression" dxfId="191" priority="191">
      <formula>OR(IF(BE19&lt;BF19,TRUE),IF(AND(BF19="",BE19&lt;&gt;""),TRUE))</formula>
    </cfRule>
    <cfRule type="expression" dxfId="190" priority="192">
      <formula>IF(BE19&gt;=BF19,IF(BE19="",FALSE,TRUE))</formula>
    </cfRule>
  </conditionalFormatting>
  <conditionalFormatting sqref="BG19:BG20">
    <cfRule type="expression" dxfId="189" priority="189">
      <formula>OR(IF(BG19&lt;BH19,TRUE),IF(AND(BH19="",BG19&lt;&gt;""),TRUE))</formula>
    </cfRule>
    <cfRule type="expression" dxfId="188" priority="190">
      <formula>IF(BG19&gt;=BH19,IF(BG19="",FALSE,TRUE))</formula>
    </cfRule>
  </conditionalFormatting>
  <conditionalFormatting sqref="BG34:BG36 BE34:BE36">
    <cfRule type="expression" dxfId="183" priority="183">
      <formula>OR(IF(BE34&lt;BF34,TRUE),IF(AND(BF34="",BE34&lt;&gt;""),TRUE))</formula>
    </cfRule>
    <cfRule type="expression" dxfId="182" priority="184">
      <formula>IF(BE34&gt;=BF34,IF(BE34="",FALSE,TRUE))</formula>
    </cfRule>
  </conditionalFormatting>
  <conditionalFormatting sqref="BE32:BE33">
    <cfRule type="expression" dxfId="181" priority="181">
      <formula>OR(IF(BE32&lt;BF32,TRUE),IF(AND(BF32="",BE32&lt;&gt;""),TRUE))</formula>
    </cfRule>
    <cfRule type="expression" dxfId="180" priority="182">
      <formula>IF(BE32&gt;=BF32,IF(BE32="",FALSE,TRUE))</formula>
    </cfRule>
  </conditionalFormatting>
  <conditionalFormatting sqref="BG32:BG33">
    <cfRule type="expression" dxfId="179" priority="179">
      <formula>OR(IF(BG32&lt;BH32,TRUE),IF(AND(BH32="",BG32&lt;&gt;""),TRUE))</formula>
    </cfRule>
    <cfRule type="expression" dxfId="178" priority="180">
      <formula>IF(BG32&gt;=BH32,IF(BG32="",FALSE,TRUE))</formula>
    </cfRule>
  </conditionalFormatting>
  <conditionalFormatting sqref="BE12:BE16 BG12:BG16">
    <cfRule type="expression" dxfId="177" priority="177">
      <formula>OR(IF(BE12&lt;BF12,TRUE),IF(AND(BF12="",BE12&lt;&gt;""),TRUE))</formula>
    </cfRule>
    <cfRule type="expression" dxfId="176" priority="178">
      <formula>IF(BE12&gt;=BF12,IF(BE12="",FALSE,TRUE))</formula>
    </cfRule>
  </conditionalFormatting>
  <conditionalFormatting sqref="AZ21:AZ29 AX21:AX29 AX5:AX9 AZ5:AZ9">
    <cfRule type="expression" dxfId="175" priority="175">
      <formula>OR(IF(AX5&lt;AY5,TRUE),IF(AND(AY5="",AX5&lt;&gt;""),TRUE))</formula>
    </cfRule>
    <cfRule type="expression" dxfId="174" priority="176">
      <formula>IF(AX5&gt;=AY5,IF(AX5="",FALSE,TRUE))</formula>
    </cfRule>
  </conditionalFormatting>
  <conditionalFormatting sqref="AX19:AX20">
    <cfRule type="expression" dxfId="173" priority="173">
      <formula>OR(IF(AX19&lt;AY19,TRUE),IF(AND(AY19="",AX19&lt;&gt;""),TRUE))</formula>
    </cfRule>
    <cfRule type="expression" dxfId="172" priority="174">
      <formula>IF(AX19&gt;=AY19,IF(AX19="",FALSE,TRUE))</formula>
    </cfRule>
  </conditionalFormatting>
  <conditionalFormatting sqref="AZ19:AZ20">
    <cfRule type="expression" dxfId="171" priority="171">
      <formula>OR(IF(AZ19&lt;BA19,TRUE),IF(AND(BA19="",AZ19&lt;&gt;""),TRUE))</formula>
    </cfRule>
    <cfRule type="expression" dxfId="170" priority="172">
      <formula>IF(AZ19&gt;=BA19,IF(AZ19="",FALSE,TRUE))</formula>
    </cfRule>
  </conditionalFormatting>
  <conditionalFormatting sqref="AZ34:AZ36 AX34:AX36">
    <cfRule type="expression" dxfId="169" priority="169">
      <formula>OR(IF(AX34&lt;AY34,TRUE),IF(AND(AY34="",AX34&lt;&gt;""),TRUE))</formula>
    </cfRule>
    <cfRule type="expression" dxfId="168" priority="170">
      <formula>IF(AX34&gt;=AY34,IF(AX34="",FALSE,TRUE))</formula>
    </cfRule>
  </conditionalFormatting>
  <conditionalFormatting sqref="AX32:AX33">
    <cfRule type="expression" dxfId="167" priority="167">
      <formula>OR(IF(AX32&lt;AY32,TRUE),IF(AND(AY32="",AX32&lt;&gt;""),TRUE))</formula>
    </cfRule>
    <cfRule type="expression" dxfId="166" priority="168">
      <formula>IF(AX32&gt;=AY32,IF(AX32="",FALSE,TRUE))</formula>
    </cfRule>
  </conditionalFormatting>
  <conditionalFormatting sqref="AZ32:AZ33">
    <cfRule type="expression" dxfId="165" priority="165">
      <formula>OR(IF(AZ32&lt;BA32,TRUE),IF(AND(BA32="",AZ32&lt;&gt;""),TRUE))</formula>
    </cfRule>
    <cfRule type="expression" dxfId="164" priority="166">
      <formula>IF(AZ32&gt;=BA32,IF(AZ32="",FALSE,TRUE))</formula>
    </cfRule>
  </conditionalFormatting>
  <conditionalFormatting sqref="AX16 AZ16">
    <cfRule type="expression" dxfId="163" priority="163">
      <formula>OR(IF(AX16&lt;AY16,TRUE),IF(AND(AY16="",AX16&lt;&gt;""),TRUE))</formula>
    </cfRule>
    <cfRule type="expression" dxfId="162" priority="164">
      <formula>IF(AX16&gt;=AY16,IF(AX16="",FALSE,TRUE))</formula>
    </cfRule>
  </conditionalFormatting>
  <conditionalFormatting sqref="AX12:AX15 AZ12:AZ15">
    <cfRule type="expression" dxfId="161" priority="161">
      <formula>OR(IF(AX12&lt;AY12,TRUE),IF(AND(AY12="",AX12&lt;&gt;""),TRUE))</formula>
    </cfRule>
    <cfRule type="expression" dxfId="160" priority="162">
      <formula>IF(AX12&gt;=AY12,IF(AX12="",FALSE,TRUE))</formula>
    </cfRule>
  </conditionalFormatting>
  <conditionalFormatting sqref="AS35:AS36 AQ35:AQ36">
    <cfRule type="expression" dxfId="153" priority="153">
      <formula>OR(IF(AQ35&lt;AR35,TRUE),IF(AND(AR35="",AQ35&lt;&gt;""),TRUE))</formula>
    </cfRule>
    <cfRule type="expression" dxfId="152" priority="154">
      <formula>IF(AQ35&gt;=AR35,IF(AQ35="",FALSE,TRUE))</formula>
    </cfRule>
  </conditionalFormatting>
  <conditionalFormatting sqref="AS21:AS29 AQ21:AQ29 AQ5:AQ9 AS5:AS9">
    <cfRule type="expression" dxfId="75" priority="75">
      <formula>OR(IF(AQ5&lt;AR5,TRUE),IF(AND(AR5="",AQ5&lt;&gt;""),TRUE))</formula>
    </cfRule>
    <cfRule type="expression" dxfId="74" priority="76">
      <formula>IF(AQ5&gt;=AR5,IF(AQ5="",FALSE,TRUE))</formula>
    </cfRule>
  </conditionalFormatting>
  <conditionalFormatting sqref="AQ19:AQ20">
    <cfRule type="expression" dxfId="73" priority="73">
      <formula>OR(IF(AQ19&lt;AR19,TRUE),IF(AND(AR19="",AQ19&lt;&gt;""),TRUE))</formula>
    </cfRule>
    <cfRule type="expression" dxfId="72" priority="74">
      <formula>IF(AQ19&gt;=AR19,IF(AQ19="",FALSE,TRUE))</formula>
    </cfRule>
  </conditionalFormatting>
  <conditionalFormatting sqref="AS19:AS20">
    <cfRule type="expression" dxfId="71" priority="71">
      <formula>OR(IF(AS19&lt;AT19,TRUE),IF(AND(AT19="",AS19&lt;&gt;""),TRUE))</formula>
    </cfRule>
    <cfRule type="expression" dxfId="70" priority="72">
      <formula>IF(AS19&gt;=AT19,IF(AS19="",FALSE,TRUE))</formula>
    </cfRule>
  </conditionalFormatting>
  <conditionalFormatting sqref="AS34 AQ34">
    <cfRule type="expression" dxfId="69" priority="69">
      <formula>OR(IF(AQ34&lt;AR34,TRUE),IF(AND(AR34="",AQ34&lt;&gt;""),TRUE))</formula>
    </cfRule>
    <cfRule type="expression" dxfId="68" priority="70">
      <formula>IF(AQ34&gt;=AR34,IF(AQ34="",FALSE,TRUE))</formula>
    </cfRule>
  </conditionalFormatting>
  <conditionalFormatting sqref="AQ32:AQ33">
    <cfRule type="expression" dxfId="67" priority="67">
      <formula>OR(IF(AQ32&lt;AR32,TRUE),IF(AND(AR32="",AQ32&lt;&gt;""),TRUE))</formula>
    </cfRule>
    <cfRule type="expression" dxfId="66" priority="68">
      <formula>IF(AQ32&gt;=AR32,IF(AQ32="",FALSE,TRUE))</formula>
    </cfRule>
  </conditionalFormatting>
  <conditionalFormatting sqref="AS32:AS33">
    <cfRule type="expression" dxfId="65" priority="65">
      <formula>OR(IF(AS32&lt;AT32,TRUE),IF(AND(AT32="",AS32&lt;&gt;""),TRUE))</formula>
    </cfRule>
    <cfRule type="expression" dxfId="64" priority="66">
      <formula>IF(AS32&gt;=AT32,IF(AS32="",FALSE,TRUE))</formula>
    </cfRule>
  </conditionalFormatting>
  <conditionalFormatting sqref="AQ16 AS16">
    <cfRule type="expression" dxfId="63" priority="63">
      <formula>OR(IF(AQ16&lt;AR16,TRUE),IF(AND(AR16="",AQ16&lt;&gt;""),TRUE))</formula>
    </cfRule>
    <cfRule type="expression" dxfId="62" priority="64">
      <formula>IF(AQ16&gt;=AR16,IF(AQ16="",FALSE,TRUE))</formula>
    </cfRule>
  </conditionalFormatting>
  <conditionalFormatting sqref="AQ12:AQ15 AS12:AS15">
    <cfRule type="expression" dxfId="61" priority="61">
      <formula>OR(IF(AQ12&lt;AR12,TRUE),IF(AND(AR12="",AQ12&lt;&gt;""),TRUE))</formula>
    </cfRule>
    <cfRule type="expression" dxfId="60" priority="62">
      <formula>IF(AQ12&gt;=AR12,IF(AQ12="",FALSE,TRUE))</formula>
    </cfRule>
  </conditionalFormatting>
  <conditionalFormatting sqref="AL35:AL36 AJ35:AJ36">
    <cfRule type="expression" dxfId="59" priority="59">
      <formula>OR(IF(AJ35&lt;AK35,TRUE),IF(AND(AK35="",AJ35&lt;&gt;""),TRUE))</formula>
    </cfRule>
    <cfRule type="expression" dxfId="58" priority="60">
      <formula>IF(AJ35&gt;=AK35,IF(AJ35="",FALSE,TRUE))</formula>
    </cfRule>
  </conditionalFormatting>
  <conditionalFormatting sqref="AL21:AL29 AJ21:AJ29 AJ5:AJ9 AL5:AL9">
    <cfRule type="expression" dxfId="57" priority="57">
      <formula>OR(IF(AJ5&lt;AK5,TRUE),IF(AND(AK5="",AJ5&lt;&gt;""),TRUE))</formula>
    </cfRule>
    <cfRule type="expression" dxfId="56" priority="58">
      <formula>IF(AJ5&gt;=AK5,IF(AJ5="",FALSE,TRUE))</formula>
    </cfRule>
  </conditionalFormatting>
  <conditionalFormatting sqref="AJ19:AJ20">
    <cfRule type="expression" dxfId="55" priority="55">
      <formula>OR(IF(AJ19&lt;AK19,TRUE),IF(AND(AK19="",AJ19&lt;&gt;""),TRUE))</formula>
    </cfRule>
    <cfRule type="expression" dxfId="54" priority="56">
      <formula>IF(AJ19&gt;=AK19,IF(AJ19="",FALSE,TRUE))</formula>
    </cfRule>
  </conditionalFormatting>
  <conditionalFormatting sqref="AL19:AL20">
    <cfRule type="expression" dxfId="53" priority="53">
      <formula>OR(IF(AL19&lt;AM19,TRUE),IF(AND(AM19="",AL19&lt;&gt;""),TRUE))</formula>
    </cfRule>
    <cfRule type="expression" dxfId="52" priority="54">
      <formula>IF(AL19&gt;=AM19,IF(AL19="",FALSE,TRUE))</formula>
    </cfRule>
  </conditionalFormatting>
  <conditionalFormatting sqref="AL34 AJ34">
    <cfRule type="expression" dxfId="51" priority="51">
      <formula>OR(IF(AJ34&lt;AK34,TRUE),IF(AND(AK34="",AJ34&lt;&gt;""),TRUE))</formula>
    </cfRule>
    <cfRule type="expression" dxfId="50" priority="52">
      <formula>IF(AJ34&gt;=AK34,IF(AJ34="",FALSE,TRUE))</formula>
    </cfRule>
  </conditionalFormatting>
  <conditionalFormatting sqref="AJ32:AJ33">
    <cfRule type="expression" dxfId="49" priority="49">
      <formula>OR(IF(AJ32&lt;AK32,TRUE),IF(AND(AK32="",AJ32&lt;&gt;""),TRUE))</formula>
    </cfRule>
    <cfRule type="expression" dxfId="48" priority="50">
      <formula>IF(AJ32&gt;=AK32,IF(AJ32="",FALSE,TRUE))</formula>
    </cfRule>
  </conditionalFormatting>
  <conditionalFormatting sqref="AL32:AL33">
    <cfRule type="expression" dxfId="47" priority="47">
      <formula>OR(IF(AL32&lt;AM32,TRUE),IF(AND(AM32="",AL32&lt;&gt;""),TRUE))</formula>
    </cfRule>
    <cfRule type="expression" dxfId="46" priority="48">
      <formula>IF(AL32&gt;=AM32,IF(AL32="",FALSE,TRUE))</formula>
    </cfRule>
  </conditionalFormatting>
  <conditionalFormatting sqref="AJ16 AL16">
    <cfRule type="expression" dxfId="45" priority="45">
      <formula>OR(IF(AJ16&lt;AK16,TRUE),IF(AND(AK16="",AJ16&lt;&gt;""),TRUE))</formula>
    </cfRule>
    <cfRule type="expression" dxfId="44" priority="46">
      <formula>IF(AJ16&gt;=AK16,IF(AJ16="",FALSE,TRUE))</formula>
    </cfRule>
  </conditionalFormatting>
  <conditionalFormatting sqref="AJ12:AJ15 AL12:AL15">
    <cfRule type="expression" dxfId="43" priority="43">
      <formula>OR(IF(AJ12&lt;AK12,TRUE),IF(AND(AK12="",AJ12&lt;&gt;""),TRUE))</formula>
    </cfRule>
    <cfRule type="expression" dxfId="42" priority="44">
      <formula>IF(AJ12&gt;=AK12,IF(AJ12="",FALSE,TRUE))</formula>
    </cfRule>
  </conditionalFormatting>
  <conditionalFormatting sqref="AE21:AE29 AC21:AC29 AC5:AC9 AE5:AE9">
    <cfRule type="expression" dxfId="41" priority="41">
      <formula>OR(IF(AC5&lt;AD5,TRUE),IF(AND(AD5="",AC5&lt;&gt;""),TRUE))</formula>
    </cfRule>
    <cfRule type="expression" dxfId="40" priority="42">
      <formula>IF(AC5&gt;=AD5,IF(AC5="",FALSE,TRUE))</formula>
    </cfRule>
  </conditionalFormatting>
  <conditionalFormatting sqref="AC19:AC20">
    <cfRule type="expression" dxfId="39" priority="39">
      <formula>OR(IF(AC19&lt;AD19,TRUE),IF(AND(AD19="",AC19&lt;&gt;""),TRUE))</formula>
    </cfRule>
    <cfRule type="expression" dxfId="38" priority="40">
      <formula>IF(AC19&gt;=AD19,IF(AC19="",FALSE,TRUE))</formula>
    </cfRule>
  </conditionalFormatting>
  <conditionalFormatting sqref="AE19:AE20">
    <cfRule type="expression" dxfId="37" priority="37">
      <formula>OR(IF(AE19&lt;AF19,TRUE),IF(AND(AF19="",AE19&lt;&gt;""),TRUE))</formula>
    </cfRule>
    <cfRule type="expression" dxfId="36" priority="38">
      <formula>IF(AE19&gt;=AF19,IF(AE19="",FALSE,TRUE))</formula>
    </cfRule>
  </conditionalFormatting>
  <conditionalFormatting sqref="AC32:AC33">
    <cfRule type="expression" dxfId="35" priority="35">
      <formula>OR(IF(AC32&lt;AD32,TRUE),IF(AND(AD32="",AC32&lt;&gt;""),TRUE))</formula>
    </cfRule>
    <cfRule type="expression" dxfId="34" priority="36">
      <formula>IF(AC32&gt;=AD32,IF(AC32="",FALSE,TRUE))</formula>
    </cfRule>
  </conditionalFormatting>
  <conditionalFormatting sqref="AE32:AE33">
    <cfRule type="expression" dxfId="33" priority="33">
      <formula>OR(IF(AE32&lt;AF32,TRUE),IF(AND(AF32="",AE32&lt;&gt;""),TRUE))</formula>
    </cfRule>
    <cfRule type="expression" dxfId="32" priority="34">
      <formula>IF(AE32&gt;=AF32,IF(AE32="",FALSE,TRUE))</formula>
    </cfRule>
  </conditionalFormatting>
  <conditionalFormatting sqref="AC16 AE16">
    <cfRule type="expression" dxfId="31" priority="31">
      <formula>OR(IF(AC16&lt;AD16,TRUE),IF(AND(AD16="",AC16&lt;&gt;""),TRUE))</formula>
    </cfRule>
    <cfRule type="expression" dxfId="30" priority="32">
      <formula>IF(AC16&gt;=AD16,IF(AC16="",FALSE,TRUE))</formula>
    </cfRule>
  </conditionalFormatting>
  <conditionalFormatting sqref="AC12:AC15 AE12:AE15">
    <cfRule type="expression" dxfId="29" priority="29">
      <formula>OR(IF(AC12&lt;AD12,TRUE),IF(AND(AD12="",AC12&lt;&gt;""),TRUE))</formula>
    </cfRule>
    <cfRule type="expression" dxfId="28" priority="30">
      <formula>IF(AC12&gt;=AD12,IF(AC12="",FALSE,TRUE))</formula>
    </cfRule>
  </conditionalFormatting>
  <conditionalFormatting sqref="X21:X29 V21:V29 V5:V9 X5:X9">
    <cfRule type="expression" dxfId="27" priority="27">
      <formula>OR(IF(V5&lt;W5,TRUE),IF(AND(W5="",V5&lt;&gt;""),TRUE))</formula>
    </cfRule>
    <cfRule type="expression" dxfId="26" priority="28">
      <formula>IF(V5&gt;=W5,IF(V5="",FALSE,TRUE))</formula>
    </cfRule>
  </conditionalFormatting>
  <conditionalFormatting sqref="V19:V20">
    <cfRule type="expression" dxfId="25" priority="25">
      <formula>OR(IF(V19&lt;W19,TRUE),IF(AND(W19="",V19&lt;&gt;""),TRUE))</formula>
    </cfRule>
    <cfRule type="expression" dxfId="24" priority="26">
      <formula>IF(V19&gt;=W19,IF(V19="",FALSE,TRUE))</formula>
    </cfRule>
  </conditionalFormatting>
  <conditionalFormatting sqref="X19:X20">
    <cfRule type="expression" dxfId="23" priority="23">
      <formula>OR(IF(X19&lt;Y19,TRUE),IF(AND(Y19="",X19&lt;&gt;""),TRUE))</formula>
    </cfRule>
    <cfRule type="expression" dxfId="22" priority="24">
      <formula>IF(X19&gt;=Y19,IF(X19="",FALSE,TRUE))</formula>
    </cfRule>
  </conditionalFormatting>
  <conditionalFormatting sqref="V32">
    <cfRule type="expression" dxfId="21" priority="21">
      <formula>OR(IF(V32&lt;W32,TRUE),IF(AND(W32="",V32&lt;&gt;""),TRUE))</formula>
    </cfRule>
    <cfRule type="expression" dxfId="20" priority="22">
      <formula>IF(V32&gt;=W32,IF(V32="",FALSE,TRUE))</formula>
    </cfRule>
  </conditionalFormatting>
  <conditionalFormatting sqref="X32">
    <cfRule type="expression" dxfId="19" priority="19">
      <formula>OR(IF(X32&lt;Y32,TRUE),IF(AND(Y32="",X32&lt;&gt;""),TRUE))</formula>
    </cfRule>
    <cfRule type="expression" dxfId="18" priority="20">
      <formula>IF(X32&gt;=Y32,IF(X32="",FALSE,TRUE))</formula>
    </cfRule>
  </conditionalFormatting>
  <conditionalFormatting sqref="V16 X16">
    <cfRule type="expression" dxfId="17" priority="17">
      <formula>OR(IF(V16&lt;W16,TRUE),IF(AND(W16="",V16&lt;&gt;""),TRUE))</formula>
    </cfRule>
    <cfRule type="expression" dxfId="16" priority="18">
      <formula>IF(V16&gt;=W16,IF(V16="",FALSE,TRUE))</formula>
    </cfRule>
  </conditionalFormatting>
  <conditionalFormatting sqref="V12:V15 X12:X15">
    <cfRule type="expression" dxfId="15" priority="15">
      <formula>OR(IF(V12&lt;W12,TRUE),IF(AND(W12="",V12&lt;&gt;""),TRUE))</formula>
    </cfRule>
    <cfRule type="expression" dxfId="14" priority="16">
      <formula>IF(V12&gt;=W12,IF(V12="",FALSE,TRUE))</formula>
    </cfRule>
  </conditionalFormatting>
  <conditionalFormatting sqref="Q21:Q29 O21:O29 O5:O9 Q5:Q9">
    <cfRule type="expression" dxfId="13" priority="13">
      <formula>OR(IF(O5&lt;P5,TRUE),IF(AND(P5="",O5&lt;&gt;""),TRUE))</formula>
    </cfRule>
    <cfRule type="expression" dxfId="12" priority="14">
      <formula>IF(O5&gt;=P5,IF(O5="",FALSE,TRUE))</formula>
    </cfRule>
  </conditionalFormatting>
  <conditionalFormatting sqref="O19:O20">
    <cfRule type="expression" dxfId="11" priority="11">
      <formula>OR(IF(O19&lt;P19,TRUE),IF(AND(P19="",O19&lt;&gt;""),TRUE))</formula>
    </cfRule>
    <cfRule type="expression" dxfId="10" priority="12">
      <formula>IF(O19&gt;=P19,IF(O19="",FALSE,TRUE))</formula>
    </cfRule>
  </conditionalFormatting>
  <conditionalFormatting sqref="Q19:Q20">
    <cfRule type="expression" dxfId="9" priority="9">
      <formula>OR(IF(Q19&lt;R19,TRUE),IF(AND(R19="",Q19&lt;&gt;""),TRUE))</formula>
    </cfRule>
    <cfRule type="expression" dxfId="8" priority="10">
      <formula>IF(Q19&gt;=R19,IF(Q19="",FALSE,TRUE))</formula>
    </cfRule>
  </conditionalFormatting>
  <conditionalFormatting sqref="O32">
    <cfRule type="expression" dxfId="7" priority="7">
      <formula>OR(IF(O32&lt;P32,TRUE),IF(AND(P32="",O32&lt;&gt;""),TRUE))</formula>
    </cfRule>
    <cfRule type="expression" dxfId="6" priority="8">
      <formula>IF(O32&gt;=P32,IF(O32="",FALSE,TRUE))</formula>
    </cfRule>
  </conditionalFormatting>
  <conditionalFormatting sqref="Q32">
    <cfRule type="expression" dxfId="5" priority="5">
      <formula>OR(IF(Q32&lt;R32,TRUE),IF(AND(R32="",Q32&lt;&gt;""),TRUE))</formula>
    </cfRule>
    <cfRule type="expression" dxfId="4" priority="6">
      <formula>IF(Q32&gt;=R32,IF(Q32="",FALSE,TRUE))</formula>
    </cfRule>
  </conditionalFormatting>
  <conditionalFormatting sqref="O16 Q16">
    <cfRule type="expression" dxfId="3" priority="3">
      <formula>OR(IF(O16&lt;P16,TRUE),IF(AND(P16="",O16&lt;&gt;""),TRUE))</formula>
    </cfRule>
    <cfRule type="expression" dxfId="2" priority="4">
      <formula>IF(O16&gt;=P16,IF(O16="",FALSE,TRUE))</formula>
    </cfRule>
  </conditionalFormatting>
  <conditionalFormatting sqref="O12:O15 Q12:Q15">
    <cfRule type="expression" dxfId="1" priority="1">
      <formula>OR(IF(O12&lt;P12,TRUE),IF(AND(P12="",O12&lt;&gt;""),TRUE))</formula>
    </cfRule>
    <cfRule type="expression" dxfId="0" priority="2">
      <formula>IF(O12&gt;=P12,IF(O12="",FALSE,TRUE))</formula>
    </cfRule>
  </conditionalFormatting>
  <dataValidations count="1">
    <dataValidation type="list" allowBlank="1" showInputMessage="1" showErrorMessage="1" sqref="AJ39:AM48 AC32:AF36 AQ12:AT16 O32:R36 AX5:BA9 BL5:BO9 BL12:BO16 BZ5:CC9 V32:Y36 BS5:BV9 V5:Y9 BE5:BH9 CG39:CJ48 AX19:BA29 AQ32:AT36 AJ32:AM36 AC5:AF9 BZ12:CC16 AC19:AF29 BL32:BO36 BS12:BV16 DW5:DZ9 V19:Y29 AQ5:AT9 AJ5:AM9 BL39:BO48 AX39:BA48 BE39:BH48 AQ39:AT48 AC39:AF48 V39:Y48 O39:R48 BZ32:CC36 BE19:BH29 CG5:CJ9 CG12:CJ16 BS39:BV48 BE32:BH36 CG32:CJ36 BZ39:CC48 BS32:BV36 CN5:CQ9 CN12:CQ16 CN32:CQ36 CU5:CX9 CU12:CX16 CU32:CX36 CN39:CQ48 DB5:DE9 DB12:DE16 DB32:DE36 CU39:CX48 AC12:AF16 BE12:BH16 DB19:DE29 CU19:CX29 CN19:CQ29 CG19:CJ29 BZ19:CC29 BS19:BV29 BL19:BO29 AX32:BA36 V12:Y16 AQ19:AT29 AJ19:AM29 DI5:DL9 DI12:DL16 DI32:DL36 DB39:DE48 DI19:DL29 DW19:DZ29 DP5:DS9 DP12:DS16 DI39:DL48 DP32:DS36 ED19:EG29 ED5:EG9 DP19:DS29 DP39:DS48 ED12:EG16 ED32:EG36 ED39:EG48 DW32:DZ36 DW39:DZ48 AX12:BA16 DW12:DZ16 AJ12:AM16 O5:R9 O19:R29 O12:R16"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9921875" defaultRowHeight="15.6"/>
  <cols>
    <col min="2" max="2" width="161" customWidth="1"/>
    <col min="3" max="3" width="10.796875" style="2"/>
  </cols>
  <sheetData>
    <row r="4" spans="2:2" ht="21">
      <c r="B4" s="4" t="s">
        <v>16</v>
      </c>
    </row>
    <row r="6" spans="2:2">
      <c r="B6" s="3" t="s">
        <v>13</v>
      </c>
    </row>
    <row r="7" spans="2:2" ht="46.8">
      <c r="B7" s="1" t="s">
        <v>14</v>
      </c>
    </row>
    <row r="9" spans="2:2">
      <c r="B9" s="3" t="s">
        <v>15</v>
      </c>
    </row>
    <row r="10" spans="2:2" ht="62.4">
      <c r="B10" s="1" t="s">
        <v>34</v>
      </c>
    </row>
    <row r="12" spans="2:2">
      <c r="B12" s="3" t="s">
        <v>17</v>
      </c>
    </row>
    <row r="13" spans="2:2" ht="140.4">
      <c r="B13" s="1" t="s">
        <v>18</v>
      </c>
    </row>
    <row r="15" spans="2:2">
      <c r="B15" s="3" t="s">
        <v>19</v>
      </c>
    </row>
    <row r="16" spans="2:2" ht="109.2">
      <c r="B16" s="1" t="s">
        <v>20</v>
      </c>
    </row>
    <row r="17" spans="2:2">
      <c r="B17" s="1"/>
    </row>
    <row r="18" spans="2:2">
      <c r="B18" s="3" t="s">
        <v>33</v>
      </c>
    </row>
    <row r="19" spans="2:2" ht="140.4">
      <c r="B19" s="1" t="s">
        <v>35</v>
      </c>
    </row>
    <row r="21" spans="2:2">
      <c r="B21" s="3" t="s">
        <v>21</v>
      </c>
    </row>
    <row r="22" spans="2:2" ht="124.8">
      <c r="B22" s="1" t="s">
        <v>36</v>
      </c>
    </row>
    <row r="24" spans="2:2">
      <c r="B24" s="3" t="s">
        <v>22</v>
      </c>
    </row>
    <row r="25" spans="2:2" ht="124.8">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9921875" defaultRowHeight="15.6"/>
  <cols>
    <col min="1" max="1" width="16.796875" style="11" customWidth="1"/>
    <col min="2" max="2" width="19.19921875" style="11" customWidth="1"/>
    <col min="3" max="3" width="18.19921875" style="11" customWidth="1"/>
    <col min="4" max="4" width="19.5" style="11" customWidth="1"/>
    <col min="8" max="8" width="15.19921875" customWidth="1"/>
    <col min="10" max="10" width="42" customWidth="1"/>
    <col min="11" max="11" width="28.5" customWidth="1"/>
  </cols>
  <sheetData>
    <row r="1" spans="1:11" ht="31.2">
      <c r="A1" s="11" t="s">
        <v>40</v>
      </c>
      <c r="B1" s="17" t="s">
        <v>37</v>
      </c>
      <c r="C1" s="17" t="s">
        <v>38</v>
      </c>
      <c r="D1" s="17" t="s">
        <v>39</v>
      </c>
      <c r="E1" s="1" t="s">
        <v>41</v>
      </c>
      <c r="F1" s="1" t="s">
        <v>42</v>
      </c>
      <c r="G1" s="1" t="s">
        <v>43</v>
      </c>
      <c r="H1" s="1" t="s">
        <v>44</v>
      </c>
      <c r="I1" s="1" t="s">
        <v>45</v>
      </c>
      <c r="J1" s="1" t="s">
        <v>46</v>
      </c>
      <c r="K1" s="1" t="s">
        <v>47</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320" priority="14" operator="equal">
      <formula>"Ja"</formula>
    </cfRule>
    <cfRule type="cellIs" dxfId="319" priority="15" operator="equal">
      <formula>"Nein"</formula>
    </cfRule>
  </conditionalFormatting>
  <conditionalFormatting sqref="D2">
    <cfRule type="cellIs" dxfId="318" priority="6" operator="equal">
      <formula>1</formula>
    </cfRule>
    <cfRule type="cellIs" dxfId="317" priority="7" operator="equal">
      <formula>0.8</formula>
    </cfRule>
    <cfRule type="cellIs" dxfId="316" priority="8" operator="equal">
      <formula>0.6</formula>
    </cfRule>
    <cfRule type="cellIs" dxfId="315" priority="9" operator="equal">
      <formula>0.4</formula>
    </cfRule>
    <cfRule type="cellIs" dxfId="314" priority="10" operator="equal">
      <formula>0.2</formula>
    </cfRule>
    <cfRule type="cellIs" dxfId="313" priority="11" operator="equal">
      <formula>0</formula>
    </cfRule>
  </conditionalFormatting>
  <conditionalFormatting sqref="B2:B46">
    <cfRule type="cellIs" dxfId="312" priority="4" operator="equal">
      <formula>"Ja"</formula>
    </cfRule>
  </conditionalFormatting>
  <conditionalFormatting sqref="C2:C46">
    <cfRule type="cellIs" dxfId="311" priority="2" operator="equal">
      <formula>"Ja"</formula>
    </cfRule>
    <cfRule type="cellIs" dxfId="310" priority="3" operator="equal">
      <formula>"Nein"</formula>
    </cfRule>
  </conditionalFormatting>
  <conditionalFormatting sqref="C2:C46">
    <cfRule type="cellIs" dxfId="309"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2"/>
  <sheetViews>
    <sheetView topLeftCell="A13" zoomScaleNormal="100" workbookViewId="0">
      <selection activeCell="F23" sqref="F23"/>
    </sheetView>
  </sheetViews>
  <sheetFormatPr baseColWidth="10" defaultColWidth="10.69921875" defaultRowHeight="15.6"/>
  <cols>
    <col min="3" max="3" width="12.09765625" customWidth="1"/>
    <col min="7" max="7" width="11.796875" customWidth="1"/>
  </cols>
  <sheetData>
    <row r="1" spans="1:8" ht="24.6">
      <c r="B1" s="8" t="s">
        <v>25</v>
      </c>
    </row>
    <row r="4" spans="1:8">
      <c r="B4" s="3" t="s">
        <v>4</v>
      </c>
      <c r="C4" s="3" t="s">
        <v>5</v>
      </c>
      <c r="D4" s="3" t="s">
        <v>6</v>
      </c>
      <c r="E4" s="3" t="s">
        <v>7</v>
      </c>
      <c r="F4" s="3" t="s">
        <v>10</v>
      </c>
      <c r="G4" s="3" t="s">
        <v>8</v>
      </c>
      <c r="H4" s="3" t="s">
        <v>9</v>
      </c>
    </row>
    <row r="5" spans="1:8">
      <c r="A5" s="10">
        <v>0.27083333333333398</v>
      </c>
    </row>
    <row r="6" spans="1:8">
      <c r="A6" s="10">
        <v>0.29166666666666702</v>
      </c>
      <c r="F6" s="30" t="s">
        <v>87</v>
      </c>
      <c r="G6" s="31" t="s">
        <v>98</v>
      </c>
      <c r="H6" s="30" t="s">
        <v>87</v>
      </c>
    </row>
    <row r="7" spans="1:8">
      <c r="A7" s="10">
        <v>0.3125</v>
      </c>
      <c r="F7" s="30" t="s">
        <v>87</v>
      </c>
      <c r="G7" s="31" t="s">
        <v>98</v>
      </c>
      <c r="H7" s="30" t="s">
        <v>87</v>
      </c>
    </row>
    <row r="8" spans="1:8">
      <c r="A8" s="10">
        <v>0.33333333333333398</v>
      </c>
      <c r="B8" s="29" t="s">
        <v>106</v>
      </c>
      <c r="C8" s="30" t="s">
        <v>87</v>
      </c>
      <c r="D8" s="27" t="s">
        <v>130</v>
      </c>
      <c r="E8" s="29" t="s">
        <v>106</v>
      </c>
      <c r="F8" s="30" t="s">
        <v>87</v>
      </c>
      <c r="G8" s="31" t="s">
        <v>98</v>
      </c>
      <c r="H8" s="30" t="s">
        <v>87</v>
      </c>
    </row>
    <row r="9" spans="1:8">
      <c r="A9" s="10">
        <v>0.35416666666666702</v>
      </c>
      <c r="B9" s="29" t="s">
        <v>106</v>
      </c>
      <c r="C9" s="30" t="s">
        <v>87</v>
      </c>
      <c r="D9" s="27" t="s">
        <v>130</v>
      </c>
      <c r="E9" s="29" t="s">
        <v>106</v>
      </c>
      <c r="F9" s="30" t="s">
        <v>87</v>
      </c>
      <c r="G9" s="31" t="s">
        <v>98</v>
      </c>
      <c r="H9" s="30" t="s">
        <v>87</v>
      </c>
    </row>
    <row r="10" spans="1:8">
      <c r="A10" s="10">
        <v>0.375</v>
      </c>
      <c r="B10" s="29" t="s">
        <v>106</v>
      </c>
      <c r="C10" s="30" t="s">
        <v>87</v>
      </c>
      <c r="D10" s="27" t="s">
        <v>130</v>
      </c>
      <c r="E10" s="29" t="s">
        <v>106</v>
      </c>
      <c r="F10" s="30" t="s">
        <v>87</v>
      </c>
      <c r="G10" s="31" t="s">
        <v>98</v>
      </c>
      <c r="H10" s="30" t="s">
        <v>87</v>
      </c>
    </row>
    <row r="11" spans="1:8">
      <c r="A11" s="10">
        <v>0.39583333333333398</v>
      </c>
      <c r="B11" s="29" t="s">
        <v>106</v>
      </c>
      <c r="C11" s="30" t="s">
        <v>87</v>
      </c>
      <c r="D11" s="27" t="s">
        <v>130</v>
      </c>
      <c r="E11" s="29" t="s">
        <v>106</v>
      </c>
      <c r="F11" s="30" t="s">
        <v>87</v>
      </c>
      <c r="G11" s="31" t="s">
        <v>98</v>
      </c>
      <c r="H11" s="30" t="s">
        <v>87</v>
      </c>
    </row>
    <row r="12" spans="1:8">
      <c r="A12" s="10">
        <v>0.41666666666666702</v>
      </c>
      <c r="B12" s="29" t="s">
        <v>106</v>
      </c>
      <c r="C12" s="30" t="s">
        <v>87</v>
      </c>
      <c r="D12" s="27" t="s">
        <v>130</v>
      </c>
      <c r="E12" s="29" t="s">
        <v>106</v>
      </c>
      <c r="F12" s="30" t="s">
        <v>87</v>
      </c>
      <c r="G12" s="31" t="s">
        <v>98</v>
      </c>
      <c r="H12" s="30" t="s">
        <v>87</v>
      </c>
    </row>
    <row r="13" spans="1:8">
      <c r="A13" s="10">
        <v>0.4375</v>
      </c>
      <c r="B13" s="29" t="s">
        <v>106</v>
      </c>
      <c r="C13" s="30" t="s">
        <v>87</v>
      </c>
      <c r="D13" s="27" t="s">
        <v>130</v>
      </c>
      <c r="E13" s="29" t="s">
        <v>106</v>
      </c>
      <c r="F13" s="30" t="s">
        <v>87</v>
      </c>
      <c r="G13" s="31" t="s">
        <v>98</v>
      </c>
      <c r="H13" s="30" t="s">
        <v>87</v>
      </c>
    </row>
    <row r="14" spans="1:8">
      <c r="A14" s="10">
        <v>0.45833333333333398</v>
      </c>
      <c r="B14" s="29" t="s">
        <v>106</v>
      </c>
      <c r="C14" s="30" t="s">
        <v>87</v>
      </c>
      <c r="D14" s="27" t="s">
        <v>130</v>
      </c>
      <c r="E14" s="29" t="s">
        <v>106</v>
      </c>
      <c r="F14" s="30" t="s">
        <v>87</v>
      </c>
      <c r="G14" s="31" t="s">
        <v>98</v>
      </c>
      <c r="H14" s="30" t="s">
        <v>87</v>
      </c>
    </row>
    <row r="15" spans="1:8">
      <c r="A15" s="10">
        <v>0.47916666666666702</v>
      </c>
      <c r="B15" s="29" t="s">
        <v>106</v>
      </c>
      <c r="C15" s="30" t="s">
        <v>87</v>
      </c>
      <c r="D15" s="27" t="s">
        <v>130</v>
      </c>
      <c r="E15" s="29" t="s">
        <v>106</v>
      </c>
      <c r="F15" s="30" t="s">
        <v>87</v>
      </c>
      <c r="G15" s="31" t="s">
        <v>98</v>
      </c>
      <c r="H15" s="30" t="s">
        <v>87</v>
      </c>
    </row>
    <row r="16" spans="1:8">
      <c r="A16" s="10">
        <v>0.5</v>
      </c>
      <c r="B16" s="29" t="s">
        <v>106</v>
      </c>
      <c r="C16" s="30" t="s">
        <v>87</v>
      </c>
      <c r="D16" s="27" t="s">
        <v>130</v>
      </c>
      <c r="E16" s="29" t="s">
        <v>106</v>
      </c>
      <c r="F16" s="30" t="s">
        <v>87</v>
      </c>
      <c r="G16" s="31" t="s">
        <v>98</v>
      </c>
      <c r="H16" s="30" t="s">
        <v>87</v>
      </c>
    </row>
    <row r="17" spans="1:8">
      <c r="A17" s="10">
        <v>0.52083333333333404</v>
      </c>
      <c r="B17" s="29" t="s">
        <v>106</v>
      </c>
      <c r="C17" s="30" t="s">
        <v>87</v>
      </c>
      <c r="D17" s="27" t="s">
        <v>130</v>
      </c>
      <c r="E17" s="29" t="s">
        <v>106</v>
      </c>
      <c r="F17" s="27" t="s">
        <v>130</v>
      </c>
    </row>
    <row r="18" spans="1:8">
      <c r="A18" s="10">
        <v>0.54166666666666696</v>
      </c>
      <c r="B18" s="29" t="s">
        <v>106</v>
      </c>
      <c r="C18" s="30" t="s">
        <v>87</v>
      </c>
      <c r="D18" s="27" t="s">
        <v>130</v>
      </c>
      <c r="E18" s="29" t="s">
        <v>106</v>
      </c>
      <c r="F18" s="27" t="s">
        <v>130</v>
      </c>
      <c r="G18" s="29" t="s">
        <v>106</v>
      </c>
      <c r="H18" s="28" t="s">
        <v>86</v>
      </c>
    </row>
    <row r="19" spans="1:8">
      <c r="A19" s="10">
        <v>0.5625</v>
      </c>
      <c r="D19" s="27" t="s">
        <v>130</v>
      </c>
      <c r="F19" s="27" t="s">
        <v>130</v>
      </c>
      <c r="G19" s="29" t="s">
        <v>106</v>
      </c>
      <c r="H19" s="28" t="s">
        <v>86</v>
      </c>
    </row>
    <row r="20" spans="1:8">
      <c r="A20" s="10">
        <v>0.58333333333333404</v>
      </c>
      <c r="B20" s="28" t="s">
        <v>86</v>
      </c>
      <c r="C20" s="31" t="s">
        <v>98</v>
      </c>
      <c r="D20" s="27" t="s">
        <v>130</v>
      </c>
      <c r="E20" s="28" t="s">
        <v>86</v>
      </c>
      <c r="F20" s="27" t="s">
        <v>130</v>
      </c>
      <c r="G20" s="29" t="s">
        <v>106</v>
      </c>
      <c r="H20" s="28" t="s">
        <v>86</v>
      </c>
    </row>
    <row r="21" spans="1:8">
      <c r="A21" s="10">
        <v>0.60416666666666696</v>
      </c>
      <c r="B21" s="28" t="s">
        <v>86</v>
      </c>
      <c r="C21" s="31" t="s">
        <v>98</v>
      </c>
      <c r="D21" s="27" t="s">
        <v>130</v>
      </c>
      <c r="E21" s="28" t="s">
        <v>86</v>
      </c>
      <c r="F21" s="27" t="s">
        <v>130</v>
      </c>
      <c r="G21" s="29" t="s">
        <v>106</v>
      </c>
      <c r="H21" s="28" t="s">
        <v>86</v>
      </c>
    </row>
    <row r="22" spans="1:8">
      <c r="A22" s="10">
        <v>0.625000000000001</v>
      </c>
      <c r="B22" s="28" t="s">
        <v>86</v>
      </c>
      <c r="C22" s="31" t="s">
        <v>98</v>
      </c>
      <c r="D22" s="27" t="s">
        <v>130</v>
      </c>
      <c r="E22" s="28" t="s">
        <v>86</v>
      </c>
      <c r="F22" s="27" t="s">
        <v>130</v>
      </c>
      <c r="G22" s="29" t="s">
        <v>106</v>
      </c>
      <c r="H22" s="28" t="s">
        <v>86</v>
      </c>
    </row>
    <row r="23" spans="1:8">
      <c r="A23" s="10">
        <v>0.64583333333333404</v>
      </c>
      <c r="B23" s="28" t="s">
        <v>86</v>
      </c>
      <c r="C23" s="31" t="s">
        <v>98</v>
      </c>
      <c r="D23" s="27" t="s">
        <v>130</v>
      </c>
      <c r="E23" s="28" t="s">
        <v>86</v>
      </c>
      <c r="F23" s="27" t="s">
        <v>130</v>
      </c>
      <c r="G23" s="29" t="s">
        <v>106</v>
      </c>
      <c r="H23" s="28" t="s">
        <v>86</v>
      </c>
    </row>
    <row r="24" spans="1:8">
      <c r="A24" s="10">
        <v>0.66666666666666696</v>
      </c>
      <c r="B24" s="28" t="s">
        <v>86</v>
      </c>
      <c r="C24" s="31" t="s">
        <v>98</v>
      </c>
      <c r="D24" s="28" t="s">
        <v>86</v>
      </c>
      <c r="E24" s="28" t="s">
        <v>86</v>
      </c>
      <c r="F24" s="27" t="s">
        <v>130</v>
      </c>
      <c r="G24" s="29" t="s">
        <v>106</v>
      </c>
      <c r="H24" s="28" t="s">
        <v>86</v>
      </c>
    </row>
    <row r="25" spans="1:8">
      <c r="A25" s="10">
        <v>0.687500000000001</v>
      </c>
      <c r="B25" s="28" t="s">
        <v>86</v>
      </c>
      <c r="C25" s="31" t="s">
        <v>98</v>
      </c>
      <c r="D25" s="28" t="s">
        <v>86</v>
      </c>
      <c r="E25" s="28" t="s">
        <v>86</v>
      </c>
      <c r="F25" s="27" t="s">
        <v>130</v>
      </c>
      <c r="G25" s="29" t="s">
        <v>106</v>
      </c>
      <c r="H25" s="28" t="s">
        <v>86</v>
      </c>
    </row>
    <row r="26" spans="1:8">
      <c r="A26" s="10">
        <v>0.70833333333333404</v>
      </c>
      <c r="B26" s="28" t="s">
        <v>86</v>
      </c>
      <c r="C26" s="31" t="s">
        <v>98</v>
      </c>
      <c r="D26" s="28" t="s">
        <v>86</v>
      </c>
      <c r="E26" s="28" t="s">
        <v>86</v>
      </c>
      <c r="F26" s="27" t="s">
        <v>130</v>
      </c>
      <c r="G26" s="29" t="s">
        <v>106</v>
      </c>
      <c r="H26" s="28" t="s">
        <v>86</v>
      </c>
    </row>
    <row r="27" spans="1:8">
      <c r="A27" s="10">
        <v>0.72916666666666696</v>
      </c>
      <c r="B27" s="28" t="s">
        <v>86</v>
      </c>
      <c r="C27" s="31" t="s">
        <v>98</v>
      </c>
      <c r="D27" s="28" t="s">
        <v>86</v>
      </c>
      <c r="E27" s="28" t="s">
        <v>86</v>
      </c>
      <c r="F27" s="27" t="s">
        <v>130</v>
      </c>
      <c r="G27" s="29" t="s">
        <v>106</v>
      </c>
      <c r="H27" s="28" t="s">
        <v>86</v>
      </c>
    </row>
    <row r="28" spans="1:8">
      <c r="A28" s="10">
        <v>0.750000000000001</v>
      </c>
      <c r="B28" s="28" t="s">
        <v>86</v>
      </c>
      <c r="C28" s="31" t="s">
        <v>98</v>
      </c>
      <c r="E28" s="28" t="s">
        <v>86</v>
      </c>
      <c r="F28" s="27" t="s">
        <v>130</v>
      </c>
      <c r="G28" s="29" t="s">
        <v>106</v>
      </c>
      <c r="H28" s="28" t="s">
        <v>86</v>
      </c>
    </row>
    <row r="29" spans="1:8">
      <c r="A29" s="10">
        <v>0.77083333333333404</v>
      </c>
      <c r="B29" s="28" t="s">
        <v>86</v>
      </c>
      <c r="C29" s="31" t="s">
        <v>98</v>
      </c>
      <c r="E29" s="28" t="s">
        <v>86</v>
      </c>
      <c r="F29" s="27" t="s">
        <v>130</v>
      </c>
    </row>
    <row r="30" spans="1:8">
      <c r="A30" s="10">
        <v>0.79166666666666696</v>
      </c>
      <c r="F30" s="27" t="s">
        <v>130</v>
      </c>
    </row>
    <row r="31" spans="1:8">
      <c r="A31" s="10">
        <v>0.812500000000001</v>
      </c>
      <c r="F31" s="27" t="s">
        <v>130</v>
      </c>
    </row>
    <row r="32" spans="1:8">
      <c r="A32" s="10">
        <v>0.83333333333333404</v>
      </c>
    </row>
    <row r="33" spans="1:1">
      <c r="A33" s="10">
        <v>0.85416666666666696</v>
      </c>
    </row>
    <row r="34" spans="1:1">
      <c r="A34" s="10">
        <v>0.875000000000001</v>
      </c>
    </row>
    <row r="35" spans="1:1">
      <c r="A35" s="10">
        <v>0.89583333333333404</v>
      </c>
    </row>
    <row r="36" spans="1:1">
      <c r="A36" s="10">
        <v>0.91666666666666696</v>
      </c>
    </row>
    <row r="37" spans="1:1">
      <c r="A37" s="10">
        <v>0.937500000000001</v>
      </c>
    </row>
    <row r="38" spans="1:1">
      <c r="A38" s="10">
        <v>0.95833333333333404</v>
      </c>
    </row>
    <row r="39" spans="1:1">
      <c r="A39" s="10">
        <v>0.97916666666666696</v>
      </c>
    </row>
    <row r="40" spans="1:1">
      <c r="A40" s="10">
        <v>1</v>
      </c>
    </row>
    <row r="41" spans="1:1">
      <c r="A41" s="10">
        <v>1.0208333333333299</v>
      </c>
    </row>
    <row r="42" spans="1:1">
      <c r="A42"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Best-Practices</vt:lpstr>
      <vt:lpstr>COMMITTMENT</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Zahedi, Arman</cp:lastModifiedBy>
  <dcterms:created xsi:type="dcterms:W3CDTF">2020-04-19T13:33:28Z</dcterms:created>
  <dcterms:modified xsi:type="dcterms:W3CDTF">2024-10-16T21:02:55Z</dcterms:modified>
</cp:coreProperties>
</file>