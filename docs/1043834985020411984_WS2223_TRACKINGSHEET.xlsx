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natalieweishaupt/Desktop/WS22:"/>
    </mc:Choice>
  </mc:AlternateContent>
  <xr:revisionPtr revIDLastSave="0" documentId="13_ncr:1_{86527D37-ABC9-E046-BF38-E605AE19CBA4}" xr6:coauthVersionLast="47" xr6:coauthVersionMax="47" xr10:uidLastSave="{00000000-0000-0000-0000-000000000000}"/>
  <bookViews>
    <workbookView xWindow="0" yWindow="0" windowWidth="38400" windowHeight="216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7" l="1" a="1"/>
  <c r="J5" i="7" s="1"/>
  <c r="DH29" i="7"/>
  <c r="DH19" i="7" s="1"/>
  <c r="DA29" i="7"/>
  <c r="DA19" i="7" s="1"/>
  <c r="CT29" i="7"/>
  <c r="CT19" i="7" s="1"/>
  <c r="CM29" i="7"/>
  <c r="CM19" i="7" s="1"/>
  <c r="CF29" i="7"/>
  <c r="CF19" i="7" s="1"/>
  <c r="BY29" i="7"/>
  <c r="BY19" i="7" s="1"/>
  <c r="BR29" i="7"/>
  <c r="BR19" i="7" s="1"/>
  <c r="BK29" i="7"/>
  <c r="BK19" i="7" s="1"/>
  <c r="BD29" i="7"/>
  <c r="BD19" i="7" s="1"/>
  <c r="AW29" i="7"/>
  <c r="AW19" i="7" s="1"/>
  <c r="DA4" i="7"/>
  <c r="DH4" i="7"/>
  <c r="G29" i="7"/>
  <c r="G4" i="7"/>
  <c r="I32" i="7"/>
  <c r="I33" i="7"/>
  <c r="I34" i="7"/>
  <c r="I35" i="7"/>
  <c r="I36" i="7"/>
  <c r="I37" i="7"/>
  <c r="I38" i="7"/>
  <c r="I39" i="7"/>
  <c r="I40" i="7"/>
  <c r="I41" i="7"/>
  <c r="I42" i="7"/>
  <c r="I43" i="7"/>
  <c r="I44" i="7"/>
  <c r="I45" i="7"/>
  <c r="I46" i="7"/>
  <c r="I47" i="7"/>
  <c r="I48" i="7"/>
  <c r="I49" i="7"/>
  <c r="I50" i="7"/>
  <c r="I51" i="7"/>
  <c r="I9" i="7"/>
  <c r="I10" i="7"/>
  <c r="I11" i="7"/>
  <c r="I12" i="7"/>
  <c r="I13" i="7"/>
  <c r="I14" i="7"/>
  <c r="I15" i="7"/>
  <c r="I16" i="7"/>
  <c r="K9" i="7" a="1"/>
  <c r="K9" i="7" s="1"/>
  <c r="K10" i="7" a="1"/>
  <c r="K10" i="7" s="1"/>
  <c r="K11" i="7" a="1"/>
  <c r="K11" i="7" s="1"/>
  <c r="K12" i="7" a="1"/>
  <c r="K12" i="7" s="1"/>
  <c r="K13" i="7" a="1"/>
  <c r="K13" i="7" s="1"/>
  <c r="K14" i="7" a="1"/>
  <c r="K14" i="7" s="1"/>
  <c r="K15" i="7" a="1"/>
  <c r="K15" i="7" s="1"/>
  <c r="K16" i="7" a="1"/>
  <c r="K16" i="7" s="1"/>
  <c r="J9" i="7" a="1"/>
  <c r="J9" i="7" s="1"/>
  <c r="J10" i="7" a="1"/>
  <c r="J10" i="7" s="1"/>
  <c r="J11" i="7" a="1"/>
  <c r="J11" i="7" s="1"/>
  <c r="J12" i="7" a="1"/>
  <c r="J12" i="7" s="1"/>
  <c r="J13" i="7" a="1"/>
  <c r="J13" i="7" s="1"/>
  <c r="J14" i="7" a="1"/>
  <c r="J14" i="7" s="1"/>
  <c r="J15" i="7" a="1"/>
  <c r="J15" i="7" s="1"/>
  <c r="J16" i="7" a="1"/>
  <c r="J16" i="7" s="1"/>
  <c r="K35" i="7" a="1"/>
  <c r="K35" i="7" s="1"/>
  <c r="K36" i="7" a="1"/>
  <c r="K36" i="7" s="1"/>
  <c r="K37" i="7" a="1"/>
  <c r="K37" i="7" s="1"/>
  <c r="K38" i="7" a="1"/>
  <c r="K38" i="7" s="1"/>
  <c r="K39" i="7" a="1"/>
  <c r="K39" i="7" s="1"/>
  <c r="K40" i="7" a="1"/>
  <c r="K40" i="7" s="1"/>
  <c r="K41" i="7" a="1"/>
  <c r="K41" i="7" s="1"/>
  <c r="K42" i="7" a="1"/>
  <c r="K42" i="7" s="1"/>
  <c r="K43" i="7" a="1"/>
  <c r="K43" i="7" s="1"/>
  <c r="K44" i="7" a="1"/>
  <c r="K44" i="7" s="1"/>
  <c r="K45" i="7" a="1"/>
  <c r="K45" i="7" s="1"/>
  <c r="K46" i="7" a="1"/>
  <c r="K46" i="7" s="1"/>
  <c r="K47" i="7" a="1"/>
  <c r="K47" i="7" s="1"/>
  <c r="K48" i="7" a="1"/>
  <c r="K48" i="7" s="1"/>
  <c r="K49" i="7" a="1"/>
  <c r="K49" i="7" s="1"/>
  <c r="K50" i="7" a="1"/>
  <c r="K50" i="7" s="1"/>
  <c r="K51" i="7" a="1"/>
  <c r="K51" i="7" s="1"/>
  <c r="J35" i="7" a="1"/>
  <c r="J35" i="7" s="1"/>
  <c r="J36" i="7" a="1"/>
  <c r="J36" i="7" s="1"/>
  <c r="J37" i="7" a="1"/>
  <c r="J37" i="7" s="1"/>
  <c r="J38" i="7" a="1"/>
  <c r="J38" i="7" s="1"/>
  <c r="J39" i="7" a="1"/>
  <c r="J39" i="7" s="1"/>
  <c r="J40" i="7" a="1"/>
  <c r="J40" i="7" s="1"/>
  <c r="J41" i="7" a="1"/>
  <c r="J41" i="7" s="1"/>
  <c r="J42" i="7" a="1"/>
  <c r="J42" i="7" s="1"/>
  <c r="J43" i="7" a="1"/>
  <c r="J43" i="7" s="1"/>
  <c r="J44" i="7" a="1"/>
  <c r="J44" i="7" s="1"/>
  <c r="J45" i="7" a="1"/>
  <c r="J45" i="7" s="1"/>
  <c r="J46" i="7" a="1"/>
  <c r="J46" i="7" s="1"/>
  <c r="J47" i="7" a="1"/>
  <c r="J47" i="7" s="1"/>
  <c r="J48" i="7" a="1"/>
  <c r="J48" i="7" s="1"/>
  <c r="C11" i="10"/>
  <c r="CT4" i="7"/>
  <c r="CM4" i="7"/>
  <c r="CF4" i="7"/>
  <c r="BY4" i="7"/>
  <c r="BR4" i="7"/>
  <c r="C7" i="10"/>
  <c r="K22" i="7" a="1"/>
  <c r="K22" i="7" s="1"/>
  <c r="J22" i="7" a="1"/>
  <c r="J22" i="7" s="1"/>
  <c r="I22" i="7"/>
  <c r="K21" i="7" a="1"/>
  <c r="K21" i="7" s="1"/>
  <c r="J21" i="7" a="1"/>
  <c r="J21" i="7" s="1"/>
  <c r="I21" i="7"/>
  <c r="BK4" i="7"/>
  <c r="C12" i="10"/>
  <c r="K27" i="7" a="1"/>
  <c r="K27" i="7" s="1"/>
  <c r="J27" i="7" a="1"/>
  <c r="J27" i="7" s="1"/>
  <c r="K26" i="7" a="1"/>
  <c r="K26" i="7" s="1"/>
  <c r="J26" i="7" a="1"/>
  <c r="J26" i="7" s="1"/>
  <c r="K25" i="7" a="1"/>
  <c r="K25" i="7" s="1"/>
  <c r="J25" i="7" a="1"/>
  <c r="J25" i="7" s="1"/>
  <c r="K24" i="7" a="1"/>
  <c r="K24" i="7" s="1"/>
  <c r="J24" i="7" a="1"/>
  <c r="J24" i="7" s="1"/>
  <c r="K23" i="7" a="1"/>
  <c r="K23" i="7" s="1"/>
  <c r="J23" i="7" a="1"/>
  <c r="J23" i="7" s="1"/>
  <c r="K20" i="7" a="1"/>
  <c r="K20" i="7" s="1"/>
  <c r="J20" i="7" a="1"/>
  <c r="J20" i="7" s="1"/>
  <c r="K52" i="7" a="1"/>
  <c r="K52" i="7" s="1"/>
  <c r="J52" i="7" a="1"/>
  <c r="J52" i="7" s="1"/>
  <c r="J51" i="7" a="1"/>
  <c r="J51" i="7" s="1"/>
  <c r="J50" i="7" a="1"/>
  <c r="J50" i="7" s="1"/>
  <c r="J49" i="7" a="1"/>
  <c r="J49" i="7" s="1"/>
  <c r="K34" i="7" a="1"/>
  <c r="K34" i="7" s="1"/>
  <c r="J34" i="7" a="1"/>
  <c r="J34" i="7" s="1"/>
  <c r="K33" i="7" a="1"/>
  <c r="K33" i="7" s="1"/>
  <c r="J33" i="7" a="1"/>
  <c r="J33" i="7" s="1"/>
  <c r="K32" i="7" a="1"/>
  <c r="K32" i="7" s="1"/>
  <c r="J32" i="7" a="1"/>
  <c r="J32" i="7" s="1"/>
  <c r="K31" i="7" a="1"/>
  <c r="K31" i="7" s="1"/>
  <c r="J31" i="7" a="1"/>
  <c r="J31" i="7" s="1"/>
  <c r="K30" i="7" a="1"/>
  <c r="K30" i="7" s="1"/>
  <c r="J30" i="7" a="1"/>
  <c r="J30" i="7" s="1"/>
  <c r="K17" i="7" a="1"/>
  <c r="K17" i="7" s="1"/>
  <c r="J17" i="7" a="1"/>
  <c r="J17" i="7" s="1"/>
  <c r="K8" i="7" a="1"/>
  <c r="K8" i="7" s="1"/>
  <c r="J8" i="7" a="1"/>
  <c r="J8" i="7" s="1"/>
  <c r="K7" i="7" a="1"/>
  <c r="K7" i="7" s="1"/>
  <c r="J7" i="7" a="1"/>
  <c r="J7" i="7" s="1"/>
  <c r="K6" i="7" a="1"/>
  <c r="K6" i="7" s="1"/>
  <c r="J6" i="7" a="1"/>
  <c r="J6" i="7" s="1"/>
  <c r="K5" i="7" a="1"/>
  <c r="K5" i="7" s="1"/>
  <c r="AP19" i="7"/>
  <c r="AI19" i="7"/>
  <c r="AB19" i="7"/>
  <c r="U19" i="7"/>
  <c r="BD4" i="7"/>
  <c r="AW4" i="7"/>
  <c r="AP4" i="7"/>
  <c r="AI4" i="7"/>
  <c r="AB4" i="7"/>
  <c r="U4" i="7"/>
  <c r="N4" i="7"/>
  <c r="N19" i="7"/>
  <c r="AP29" i="7"/>
  <c r="AI29" i="7"/>
  <c r="AB29" i="7"/>
  <c r="U29" i="7"/>
  <c r="I52" i="7"/>
  <c r="I31" i="7"/>
  <c r="I30" i="7"/>
  <c r="I27" i="7"/>
  <c r="I26" i="7"/>
  <c r="I25" i="7"/>
  <c r="I24" i="7"/>
  <c r="I23" i="7"/>
  <c r="I20" i="7"/>
  <c r="I6" i="7"/>
  <c r="I7" i="7"/>
  <c r="I8" i="7"/>
  <c r="I17" i="7"/>
  <c r="I5" i="7"/>
  <c r="N29" i="7"/>
  <c r="G19" i="7"/>
  <c r="J4" i="7" l="1"/>
  <c r="K29" i="7"/>
  <c r="J29" i="7"/>
  <c r="K19" i="7"/>
  <c r="K4" i="7"/>
  <c r="J19" i="7"/>
  <c r="I29" i="7"/>
  <c r="I19"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<sst xmlns="http://schemas.openxmlformats.org/spreadsheetml/2006/main" count="343" uniqueCount="153">
  <si>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</si>
  <si>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</si>
  <si>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</si>
  <si>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</si>
  <si>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</si>
  <si>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</si>
  <si>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</si>
  <si>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</si>
  <si>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</si>
  <si>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</si>
  <si>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</si>
  <si>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</si>
  <si>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</si>
  <si>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</si>
  <si>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</si>
  <si>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</si>
  <si>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</si>
  <si>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</si>
  <si>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</si>
  <si>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</si>
  <si>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</si>
  <si>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</si>
  <si>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</si>
  <si>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</si>
  <si>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</si>
  <si>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</si>
  <si>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</si>
  <si>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</si>
  <si>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</si>
  <si>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</si>
  <si>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</si>
  <si>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</si>
  <si>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</si>
  <si>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</si>
  <si>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</si>
  <si>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</si>
  <si>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</si>
  <si>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</si>
  <si>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</si>
  <si>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</si>
  <si>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</si>
  <si>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</si>
  <si>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</si>
  <si>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</si>
  <si>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</si>
  <si>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</si>
  <si>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</si>
  <si>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</si>
  <si>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</si>
  <si>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</si>
  <si>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</si>
  <si>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</si>
  <si>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</si>
  <si>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</si>
  <si>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</si>
  <si>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</si>
  <si>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</si>
  <si>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</si>
  <si>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</si>
  <si>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</si>
  <si>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</si>
  <si>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</si>
  <si>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</si>
  <si>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</si>
  <si>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</si>
  <si>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</si>
  <si>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</si>
  <si>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</si>
  <si>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</si>
  <si>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</si>
  <si>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</si>
  <si>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</si>
  <si>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</si>
  <si>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</si>
  <si>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</si>
  <si>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</si>
  <si>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</si>
  <si>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</si>
  <si>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</si>
  <si>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</si>
  <si>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</si>
  <si>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</si>
  <si>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</si>
  <si>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</si>
  <si>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</si>
  <si>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</si>
  <si>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</si>
  <si>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</si>
  <si>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</si>
  <si>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</si>
  <si>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</si>
  <si>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</si>
  <si>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</si>
  <si>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</si>
  <si>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</si>
  <si>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</si>
  <si>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</si>
  <si>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</si>
  <si>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</si>
  <si>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</si>
  <si>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</si>
  <si>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</si>
  <si>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</si>
  <si>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</si>
  <si>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</si>
  <si>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</si>
  <si>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</si>
  <si>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</si>
  <si>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</si>
  <si>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</si>
  <si>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</si>
  <si>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</si>
  <si>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</si>
  <si>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</si>
  <si>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</si>
  <si>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</si>
  <si>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</si>
  <si>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</si>
  <si>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</si>
  <si>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</si>
  <si>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</si>
  <si>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</si>
  <si>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</si>
  <si>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</si>
  <si>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</si>
  <si>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</si>
  <si>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</si>
  <si>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</si>
  <si>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1.1) Bevölkerungsstatistik</t>
  </si>
  <si>
    <t>1.2) Analyse der Bevölkerungsstruktur</t>
  </si>
  <si>
    <t>1.3) Analyse der natürlichen Beölkerungsbewegung</t>
  </si>
  <si>
    <t>1.4) Analysse der räumlichen Bevölkerungsbewegung</t>
  </si>
  <si>
    <t>1.5) Methoden der Historischen Demographie</t>
  </si>
  <si>
    <t>2) Bevölkerungsgeschichte Europas (besodners Deuutschland)</t>
  </si>
  <si>
    <t>3) Bevölkerungstheorien</t>
  </si>
  <si>
    <t>4) Bevölkerungspolitik</t>
  </si>
  <si>
    <t>KW 46</t>
  </si>
  <si>
    <t>KW 47</t>
  </si>
  <si>
    <t>KW 48</t>
  </si>
  <si>
    <t>KW 49</t>
  </si>
  <si>
    <t>KW 50</t>
  </si>
  <si>
    <t>KW 51</t>
  </si>
  <si>
    <t>KW 52</t>
  </si>
  <si>
    <t>KW 1</t>
  </si>
  <si>
    <t>KW 2</t>
  </si>
  <si>
    <t>KW 3</t>
  </si>
  <si>
    <t>KW 4</t>
  </si>
  <si>
    <t>KW 5</t>
  </si>
  <si>
    <t>KW 6</t>
  </si>
  <si>
    <t>KW 7</t>
  </si>
  <si>
    <t>2,2 Lvl/Week</t>
  </si>
  <si>
    <t>6,3 Lvl/Week</t>
  </si>
  <si>
    <t>3,5 Lvl/Week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</si>
</sst>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34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48">
  <autoFilter ref="A1:K46" xr:uid="{6E266E34-2786-2747-BCE7-51B74867A564}"/>
  <tableColumns count="11">
    <tableColumn id="1" xr3:uid="{95FD92F7-3DC8-704D-A103-A7EDDAB255AB}" name="Datum" dataDxfId="347"/>
    <tableColumn id="2" xr3:uid="{F464D510-8166-E740-A343-FB84BDEF877F}" name="Lerneinheiten durchgezogen" dataDxfId="346"/>
    <tableColumn id="3" xr3:uid="{75F52B08-1A00-0848-BBE6-1EDF7B31B1AD}" name="Tagesplan erstellt" dataDxfId="345"/>
    <tableColumn id="4" xr3:uid="{E6B18D89-E799-AD48-9DAA-37AEE1D29011}" name="Konzentrationslevel" dataDxfId="34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f>6+8+11+7+10</f>
        <v>42</v>
      </c>
    </row>
    <row r="8" spans="1:4" x14ac:dyDescent="0.2">
      <c r="A8" t="s">
        <v>51</v>
      </c>
      <c r="B8" s="21" t="s">
        <v>50</v>
      </c>
      <c r="C8" s="9"/>
      <c r="D8" t="s">
        <v>74</v>
      </c>
    </row>
    <row r="9" spans="1:4" x14ac:dyDescent="0.2">
      <c r="A9" t="s">
        <v>59</v>
      </c>
      <c r="B9" s="21" t="s">
        <v>72</v>
      </c>
      <c r="D9" t="s">
        <v>75</v>
      </c>
    </row>
    <row r="10" spans="1:4" x14ac:dyDescent="0.2">
      <c r="A10" t="s">
        <v>63</v>
      </c>
      <c r="B10" t="s">
        <v>62</v>
      </c>
      <c r="C10" s="19">
        <v>10.5</v>
      </c>
      <c r="D10" t="s">
        <v>58</v>
      </c>
    </row>
    <row r="11" spans="1:4" x14ac:dyDescent="0.2">
      <c r="A11" t="s">
        <v>64</v>
      </c>
      <c r="B11" t="s">
        <v>66</v>
      </c>
      <c r="C11" s="19">
        <f>42*3</f>
        <v>126</v>
      </c>
      <c r="D11" t="s">
        <v>65</v>
      </c>
    </row>
    <row r="12" spans="1:4" x14ac:dyDescent="0.2">
      <c r="A12" t="s">
        <v>68</v>
      </c>
      <c r="B12" t="s">
        <v>67</v>
      </c>
      <c r="C12" s="20">
        <f>C11/C10</f>
        <v>12</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58"/>
  <sheetViews>
    <sheetView showGridLines="0" tabSelected="1" zoomScale="75" zoomScaleNormal="83" workbookViewId="0">
      <pane xSplit="12" topLeftCell="M1" activePane="topRight" state="frozen"/>
      <selection pane="topRight" activeCell="F16" sqref="F16"/>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s>
  <sheetData>
    <row r="1" spans="2:117" ht="34" x14ac:dyDescent="0.4">
      <c r="B1" s="5" t="s">
        <v>0</v>
      </c>
      <c r="D1" s="5"/>
      <c r="G1" s="15" t="s">
        <v>33</v>
      </c>
      <c r="I1" s="15" t="s">
        <v>33</v>
      </c>
      <c r="J1" s="15" t="s">
        <v>33</v>
      </c>
      <c r="K1" s="15" t="s">
        <v>33</v>
      </c>
    </row>
    <row r="2" spans="2:117" x14ac:dyDescent="0.2">
      <c r="I2" s="23" t="s">
        <v>27</v>
      </c>
      <c r="J2" s="23"/>
      <c r="K2" s="23"/>
      <c r="L2" s="23"/>
      <c r="N2" s="23" t="s">
        <v>136</v>
      </c>
      <c r="O2" s="23"/>
      <c r="P2" s="23"/>
      <c r="Q2" s="23"/>
      <c r="R2" s="23"/>
      <c r="S2" s="23"/>
      <c r="U2" s="23" t="s">
        <v>137</v>
      </c>
      <c r="V2" s="23"/>
      <c r="W2" s="23"/>
      <c r="X2" s="23"/>
      <c r="Y2" s="23"/>
      <c r="Z2" s="23"/>
      <c r="AB2" s="23" t="s">
        <v>138</v>
      </c>
      <c r="AC2" s="23"/>
      <c r="AD2" s="23"/>
      <c r="AE2" s="23"/>
      <c r="AF2" s="23"/>
      <c r="AG2" s="23"/>
      <c r="AI2" s="23" t="s">
        <v>139</v>
      </c>
      <c r="AJ2" s="23"/>
      <c r="AK2" s="23"/>
      <c r="AL2" s="23"/>
      <c r="AM2" s="23"/>
      <c r="AN2" s="23"/>
      <c r="AP2" s="23" t="s">
        <v>140</v>
      </c>
      <c r="AQ2" s="23"/>
      <c r="AR2" s="23"/>
      <c r="AS2" s="23"/>
      <c r="AT2" s="23"/>
      <c r="AU2" s="23"/>
      <c r="AW2" s="23" t="s">
        <v>141</v>
      </c>
      <c r="AX2" s="23"/>
      <c r="AY2" s="23"/>
      <c r="AZ2" s="23"/>
      <c r="BA2" s="23"/>
      <c r="BB2" s="23"/>
      <c r="BD2" s="23" t="s">
        <v>142</v>
      </c>
      <c r="BE2" s="23"/>
      <c r="BF2" s="23"/>
      <c r="BG2" s="23"/>
      <c r="BH2" s="23"/>
      <c r="BI2" s="23"/>
      <c r="BK2" s="23" t="s">
        <v>143</v>
      </c>
      <c r="BL2" s="23"/>
      <c r="BM2" s="23"/>
      <c r="BN2" s="23"/>
      <c r="BO2" s="23"/>
      <c r="BP2" s="23"/>
      <c r="BR2" s="23" t="s">
        <v>144</v>
      </c>
      <c r="BS2" s="23"/>
      <c r="BT2" s="23"/>
      <c r="BU2" s="23"/>
      <c r="BV2" s="23"/>
      <c r="BW2" s="23"/>
      <c r="BY2" s="23" t="s">
        <v>145</v>
      </c>
      <c r="BZ2" s="23"/>
      <c r="CA2" s="23"/>
      <c r="CB2" s="23"/>
      <c r="CC2" s="23"/>
      <c r="CD2" s="23"/>
      <c r="CF2" s="23" t="s">
        <v>146</v>
      </c>
      <c r="CG2" s="23"/>
      <c r="CH2" s="23"/>
      <c r="CI2" s="23"/>
      <c r="CJ2" s="23"/>
      <c r="CK2" s="23"/>
      <c r="CM2" s="23" t="s">
        <v>147</v>
      </c>
      <c r="CN2" s="23"/>
      <c r="CO2" s="23"/>
      <c r="CP2" s="23"/>
      <c r="CQ2" s="23"/>
      <c r="CR2" s="23"/>
      <c r="CT2" s="23" t="s">
        <v>148</v>
      </c>
      <c r="CU2" s="23"/>
      <c r="CV2" s="23"/>
      <c r="CW2" s="23"/>
      <c r="CX2" s="23"/>
      <c r="CY2" s="23"/>
      <c r="DA2" s="23" t="s">
        <v>149</v>
      </c>
      <c r="DB2" s="23"/>
      <c r="DC2" s="23"/>
      <c r="DD2" s="23"/>
      <c r="DE2" s="23"/>
      <c r="DF2" s="23"/>
      <c r="DH2" s="23" t="s">
        <v>87</v>
      </c>
      <c r="DI2" s="23"/>
      <c r="DJ2" s="23"/>
      <c r="DK2" s="23"/>
      <c r="DL2" s="23"/>
      <c r="DM2" s="23"/>
    </row>
    <row r="3" spans="2:117"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row>
    <row r="4" spans="2:117" x14ac:dyDescent="0.2">
      <c r="B4" t="s">
        <v>27</v>
      </c>
      <c r="C4" t="s">
        <v>88</v>
      </c>
      <c r="D4" s="22">
        <v>44979</v>
      </c>
      <c r="E4" s="11">
        <v>6</v>
      </c>
      <c r="G4" s="12">
        <f>+SUM(G5:G17)</f>
        <v>1.0009999999999999</v>
      </c>
      <c r="I4" s="14">
        <f>+SUM(I5:I17)</f>
        <v>0</v>
      </c>
      <c r="J4" s="13">
        <f>+SUMPRODUCT(G5:G17,J5:J17)</f>
        <v>1.54E-2</v>
      </c>
      <c r="K4" s="13">
        <f>+SUMPRODUCT(G5:G17,K5:K17)</f>
        <v>1.54E-2</v>
      </c>
      <c r="L4" s="11" t="s">
        <v>152</v>
      </c>
      <c r="N4" s="14">
        <f>+SUM(N5:N17)</f>
        <v>0</v>
      </c>
      <c r="U4" s="14">
        <f>+SUM(U5:U17)</f>
        <v>0</v>
      </c>
      <c r="AB4" s="14">
        <f>+SUM(AB5:AB17)</f>
        <v>0</v>
      </c>
      <c r="AI4" s="14">
        <f>+SUM(AI5:AI17)</f>
        <v>0</v>
      </c>
      <c r="AP4" s="14">
        <f>+SUM(AP5:AP17)</f>
        <v>0</v>
      </c>
      <c r="AW4" s="14">
        <f>+SUM(AW5:AW17)</f>
        <v>0</v>
      </c>
      <c r="BD4" s="14">
        <f>+SUM(BD5:BD17)</f>
        <v>0</v>
      </c>
      <c r="BK4" s="14">
        <f>+SUM(BK5:BK17)</f>
        <v>0</v>
      </c>
      <c r="BR4" s="14">
        <f>+SUM(BR5:BR17)</f>
        <v>0</v>
      </c>
      <c r="BY4" s="14">
        <f>+SUM(BY5:BY17)</f>
        <v>0</v>
      </c>
      <c r="CF4" s="14">
        <f>+SUM(CF5:CF17)</f>
        <v>0</v>
      </c>
      <c r="CM4" s="14">
        <f>+SUM(CM5:CM17)</f>
        <v>0</v>
      </c>
      <c r="CT4" s="14">
        <f>+SUM(CT5:CT17)</f>
        <v>0</v>
      </c>
      <c r="DA4" s="14">
        <f>+SUM(DA5:DA17)</f>
        <v>0</v>
      </c>
      <c r="DH4" s="14">
        <f>+SUM(DH5:DH17)</f>
        <v>0</v>
      </c>
    </row>
    <row r="5" spans="2:117" outlineLevel="1" x14ac:dyDescent="0.2">
      <c r="B5" t="s">
        <v>28</v>
      </c>
      <c r="C5" t="s">
        <v>88</v>
      </c>
      <c r="E5" s="11"/>
      <c r="F5" t="s">
        <v>89</v>
      </c>
      <c r="G5" s="12">
        <v>7.6999999999999999E-2</v>
      </c>
      <c r="I5" s="11">
        <f>+SUMIF($N$3:$ZZ$3,I$3,$N5:$ZZ5)</f>
        <v>0</v>
      </c>
      <c r="J5" s="13" cm="1">
        <f t="array" ref="J5">MAX(IF($N$3:$EH$3=$J$3,N5:EH5))</f>
        <v>0.1</v>
      </c>
      <c r="K5" s="13" cm="1">
        <f t="array" ref="K5">MAX(IF($N$3:$EH$3=$J$3,N5:EH5))</f>
        <v>0.1</v>
      </c>
      <c r="L5" s="11"/>
      <c r="O5" s="12">
        <v>0.1</v>
      </c>
      <c r="P5" s="12">
        <v>1</v>
      </c>
      <c r="Q5" s="12"/>
      <c r="R5" s="12"/>
      <c r="V5" s="12"/>
      <c r="W5" s="12">
        <v>1</v>
      </c>
      <c r="X5" s="12"/>
      <c r="Y5" s="12"/>
      <c r="AC5" s="12"/>
      <c r="AD5" s="12">
        <v>1</v>
      </c>
      <c r="AE5" s="12"/>
      <c r="AF5" s="12"/>
      <c r="AJ5" s="12"/>
      <c r="AK5" s="12"/>
      <c r="AL5" s="12"/>
      <c r="AM5" s="12"/>
      <c r="AQ5" s="12"/>
      <c r="AR5" s="12"/>
      <c r="AS5" s="12"/>
      <c r="AT5" s="12"/>
      <c r="AX5" s="12"/>
      <c r="AY5" s="12"/>
      <c r="AZ5" s="12"/>
      <c r="BA5" s="12"/>
      <c r="BE5" s="12"/>
      <c r="BF5" s="12"/>
      <c r="BG5" s="12"/>
      <c r="BH5" s="12"/>
      <c r="BL5" s="12"/>
      <c r="BM5" s="12"/>
      <c r="BN5" s="12"/>
      <c r="BO5" s="12"/>
      <c r="BS5" s="12"/>
      <c r="BT5" s="12"/>
      <c r="BU5" s="12"/>
      <c r="BV5" s="12"/>
      <c r="BZ5" s="12"/>
      <c r="CA5" s="12"/>
      <c r="CB5" s="12"/>
      <c r="CC5" s="12"/>
      <c r="CG5" s="12"/>
      <c r="CH5" s="12">
        <v>1</v>
      </c>
      <c r="CI5" s="12"/>
      <c r="CJ5" s="12"/>
      <c r="CN5" s="12"/>
      <c r="CO5" s="12"/>
      <c r="CP5" s="12"/>
      <c r="CQ5" s="12"/>
      <c r="CU5" s="12"/>
      <c r="CV5" s="12"/>
      <c r="CW5" s="12"/>
      <c r="CX5" s="12"/>
      <c r="DB5" s="12"/>
      <c r="DC5" s="12"/>
      <c r="DD5" s="12"/>
      <c r="DE5" s="12"/>
      <c r="DI5" s="12"/>
      <c r="DJ5" s="12">
        <v>1</v>
      </c>
      <c r="DK5" s="12"/>
      <c r="DL5" s="12"/>
    </row>
    <row r="6" spans="2:117" outlineLevel="1" x14ac:dyDescent="0.2">
      <c r="B6" t="s">
        <v>28</v>
      </c>
      <c r="C6" t="s">
        <v>88</v>
      </c>
      <c r="E6" s="11"/>
      <c r="F6" t="s">
        <v>90</v>
      </c>
      <c r="G6" s="12">
        <v>7.6999999999999999E-2</v>
      </c>
      <c r="I6" s="11">
        <f>+SUMIF($N$3:$ZZ$3,I$3,$N6:$ZZ6)</f>
        <v>0</v>
      </c>
      <c r="J6" s="13" cm="1">
        <f t="array" ref="J6">MAX(IF($N$3:$EH$3=$J$3,N6:EH6))</f>
        <v>0.1</v>
      </c>
      <c r="K6" s="13" cm="1">
        <f t="array" ref="K6">MAX(IF($N$3:$EH$3=$J$3,N6:EH6))</f>
        <v>0.1</v>
      </c>
      <c r="L6" s="11"/>
      <c r="O6" s="12">
        <v>0.1</v>
      </c>
      <c r="P6" s="12">
        <v>0.5</v>
      </c>
      <c r="Q6" s="12"/>
      <c r="R6" s="12"/>
      <c r="V6" s="12"/>
      <c r="W6" s="12">
        <v>1</v>
      </c>
      <c r="X6" s="12"/>
      <c r="Y6" s="12"/>
      <c r="AC6" s="12"/>
      <c r="AD6" s="12">
        <v>1</v>
      </c>
      <c r="AE6" s="12"/>
      <c r="AF6" s="12"/>
      <c r="AJ6" s="12"/>
      <c r="AK6" s="12">
        <v>1</v>
      </c>
      <c r="AL6" s="12"/>
      <c r="AM6" s="12"/>
      <c r="AQ6" s="12"/>
      <c r="AR6" s="12"/>
      <c r="AS6" s="12"/>
      <c r="AT6" s="12"/>
      <c r="AX6" s="12"/>
      <c r="AY6" s="12"/>
      <c r="AZ6" s="12"/>
      <c r="BA6" s="12"/>
      <c r="BE6" s="12"/>
      <c r="BF6" s="12"/>
      <c r="BG6" s="12"/>
      <c r="BH6" s="12"/>
      <c r="BL6" s="12"/>
      <c r="BM6" s="12"/>
      <c r="BN6" s="12"/>
      <c r="BO6" s="12"/>
      <c r="BS6" s="12"/>
      <c r="BT6" s="12"/>
      <c r="BU6" s="12"/>
      <c r="BV6" s="12"/>
      <c r="BZ6" s="12"/>
      <c r="CA6" s="12"/>
      <c r="CB6" s="12"/>
      <c r="CC6" s="12"/>
      <c r="CG6" s="12"/>
      <c r="CH6" s="12">
        <v>1</v>
      </c>
      <c r="CI6" s="12"/>
      <c r="CJ6" s="12"/>
      <c r="CN6" s="12"/>
      <c r="CO6" s="12"/>
      <c r="CP6" s="12"/>
      <c r="CQ6" s="12"/>
      <c r="CU6" s="12"/>
      <c r="CV6" s="12"/>
      <c r="CW6" s="12"/>
      <c r="CX6" s="12"/>
      <c r="DB6" s="12"/>
      <c r="DC6" s="12"/>
      <c r="DD6" s="12"/>
      <c r="DE6" s="12"/>
      <c r="DI6" s="12"/>
      <c r="DJ6" s="12">
        <v>1</v>
      </c>
      <c r="DK6" s="12"/>
      <c r="DL6" s="12"/>
    </row>
    <row r="7" spans="2:117" outlineLevel="1" x14ac:dyDescent="0.2">
      <c r="B7" t="s">
        <v>28</v>
      </c>
      <c r="C7" t="s">
        <v>88</v>
      </c>
      <c r="E7" s="11"/>
      <c r="F7" t="s">
        <v>91</v>
      </c>
      <c r="G7" s="12">
        <v>7.6999999999999999E-2</v>
      </c>
      <c r="I7" s="11">
        <f>+SUMIF($N$3:$ZZ$3,I$3,$N7:$ZZ7)</f>
        <v>0</v>
      </c>
      <c r="J7" s="13" cm="1">
        <f t="array" ref="J7">MAX(IF($N$3:$EH$3=$J$3,N7:EH7))</f>
        <v>0</v>
      </c>
      <c r="K7" s="13" cm="1">
        <f t="array" ref="K7">MAX(IF($N$3:$EH$3=$J$3,N7:EH7))</f>
        <v>0</v>
      </c>
      <c r="L7" s="11"/>
      <c r="O7" s="12"/>
      <c r="P7" s="12"/>
      <c r="Q7" s="12"/>
      <c r="R7" s="12"/>
      <c r="V7" s="12"/>
      <c r="W7" s="12">
        <v>0.5</v>
      </c>
      <c r="X7" s="12"/>
      <c r="Y7" s="12"/>
      <c r="AC7" s="12"/>
      <c r="AD7" s="12">
        <v>1</v>
      </c>
      <c r="AE7" s="12"/>
      <c r="AF7" s="12"/>
      <c r="AJ7" s="12"/>
      <c r="AK7" s="12">
        <v>1</v>
      </c>
      <c r="AL7" s="12"/>
      <c r="AM7" s="12"/>
      <c r="AQ7" s="12"/>
      <c r="AR7" s="12">
        <v>1</v>
      </c>
      <c r="AS7" s="12"/>
      <c r="AT7" s="12"/>
      <c r="AX7" s="12"/>
      <c r="AY7" s="12"/>
      <c r="AZ7" s="12"/>
      <c r="BA7" s="12"/>
      <c r="BE7" s="12"/>
      <c r="BF7" s="12"/>
      <c r="BG7" s="12"/>
      <c r="BH7" s="12"/>
      <c r="BL7" s="12"/>
      <c r="BM7" s="12"/>
      <c r="BN7" s="12"/>
      <c r="BO7" s="12"/>
      <c r="BS7" s="12"/>
      <c r="BT7" s="12"/>
      <c r="BU7" s="12"/>
      <c r="BV7" s="12"/>
      <c r="BZ7" s="12"/>
      <c r="CA7" s="12"/>
      <c r="CB7" s="12"/>
      <c r="CC7" s="12"/>
      <c r="CG7" s="12"/>
      <c r="CH7" s="12">
        <v>1</v>
      </c>
      <c r="CI7" s="12"/>
      <c r="CJ7" s="12"/>
      <c r="CN7" s="12"/>
      <c r="CO7" s="12"/>
      <c r="CP7" s="12"/>
      <c r="CQ7" s="12"/>
      <c r="CU7" s="12"/>
      <c r="CV7" s="12"/>
      <c r="CW7" s="12"/>
      <c r="CX7" s="12"/>
      <c r="DB7" s="12"/>
      <c r="DC7" s="12"/>
      <c r="DD7" s="12"/>
      <c r="DE7" s="12"/>
      <c r="DI7" s="12"/>
      <c r="DJ7" s="12">
        <v>1</v>
      </c>
      <c r="DK7" s="12"/>
      <c r="DL7" s="12"/>
    </row>
    <row r="8" spans="2:117" outlineLevel="1" x14ac:dyDescent="0.2">
      <c r="B8" t="s">
        <v>28</v>
      </c>
      <c r="C8" t="s">
        <v>88</v>
      </c>
      <c r="E8" s="11"/>
      <c r="F8" t="s">
        <v>92</v>
      </c>
      <c r="G8" s="12">
        <v>7.6999999999999999E-2</v>
      </c>
      <c r="I8" s="11">
        <f>+SUMIF($N$3:$ZZ$3,I$3,$N8:$ZZ8)</f>
        <v>0</v>
      </c>
      <c r="J8" s="13" cm="1">
        <f t="array" ref="J8">MAX(IF($N$3:$EH$3=$J$3,N8:EH8))</f>
        <v>0</v>
      </c>
      <c r="K8" s="13" cm="1">
        <f t="array" ref="K8">MAX(IF($N$3:$EH$3=$J$3,N8:EH8))</f>
        <v>0</v>
      </c>
      <c r="L8" s="11"/>
      <c r="O8" s="12"/>
      <c r="P8" s="12"/>
      <c r="Q8" s="12"/>
      <c r="R8" s="12"/>
      <c r="V8" s="12"/>
      <c r="W8" s="12"/>
      <c r="X8" s="12"/>
      <c r="Y8" s="12"/>
      <c r="AC8" s="12"/>
      <c r="AD8" s="12">
        <v>0.8</v>
      </c>
      <c r="AE8" s="12"/>
      <c r="AF8" s="12"/>
      <c r="AJ8" s="12"/>
      <c r="AK8" s="12">
        <v>1</v>
      </c>
      <c r="AL8" s="12"/>
      <c r="AM8" s="12"/>
      <c r="AQ8" s="12"/>
      <c r="AR8" s="12">
        <v>1</v>
      </c>
      <c r="AS8" s="12"/>
      <c r="AT8" s="12"/>
      <c r="AX8" s="12"/>
      <c r="AY8" s="12">
        <v>1</v>
      </c>
      <c r="AZ8" s="12"/>
      <c r="BA8" s="12"/>
      <c r="BE8" s="12"/>
      <c r="BF8" s="12"/>
      <c r="BG8" s="12"/>
      <c r="BH8" s="12"/>
      <c r="BL8" s="12"/>
      <c r="BM8" s="12"/>
      <c r="BN8" s="12"/>
      <c r="BO8" s="12"/>
      <c r="BS8" s="12"/>
      <c r="BT8" s="12"/>
      <c r="BU8" s="12"/>
      <c r="BV8" s="12"/>
      <c r="BZ8" s="12"/>
      <c r="CA8" s="12"/>
      <c r="CB8" s="12"/>
      <c r="CC8" s="12"/>
      <c r="CG8" s="12"/>
      <c r="CH8" s="12">
        <v>1</v>
      </c>
      <c r="CI8" s="12"/>
      <c r="CJ8" s="12"/>
      <c r="CN8" s="12"/>
      <c r="CO8" s="12"/>
      <c r="CP8" s="12"/>
      <c r="CQ8" s="12"/>
      <c r="CU8" s="12"/>
      <c r="CV8" s="12"/>
      <c r="CW8" s="12"/>
      <c r="CX8" s="12"/>
      <c r="DB8" s="12"/>
      <c r="DC8" s="12"/>
      <c r="DD8" s="12"/>
      <c r="DE8" s="12"/>
      <c r="DI8" s="12"/>
      <c r="DJ8" s="12">
        <v>1</v>
      </c>
      <c r="DK8" s="12"/>
      <c r="DL8" s="12"/>
    </row>
    <row r="9" spans="2:117" outlineLevel="1" x14ac:dyDescent="0.2">
      <c r="B9" t="s">
        <v>28</v>
      </c>
      <c r="C9" t="s">
        <v>88</v>
      </c>
      <c r="E9" s="11"/>
      <c r="F9" t="s">
        <v>93</v>
      </c>
      <c r="G9" s="12">
        <v>7.6999999999999999E-2</v>
      </c>
      <c r="I9" s="11">
        <f>+SUMIF($N$3:$ZZ$3,I$3,$N9:$ZZ9)</f>
        <v>0</v>
      </c>
      <c r="J9" s="13" cm="1">
        <f t="array" ref="J9">MAX(IF($N$3:$EH$3=$J$3,N9:EH9))</f>
        <v>0</v>
      </c>
      <c r="K9" s="13" cm="1">
        <f t="array" ref="K9">MAX(IF($N$3:$EH$3=$J$3,N9:EH9))</f>
        <v>0</v>
      </c>
      <c r="L9" s="11"/>
      <c r="O9" s="12"/>
      <c r="P9" s="12"/>
      <c r="Q9" s="12"/>
      <c r="R9" s="12"/>
      <c r="V9" s="12"/>
      <c r="W9" s="12"/>
      <c r="X9" s="12"/>
      <c r="Y9" s="12"/>
      <c r="AC9" s="12"/>
      <c r="AD9" s="12"/>
      <c r="AE9" s="12"/>
      <c r="AF9" s="12"/>
      <c r="AJ9" s="12"/>
      <c r="AK9" s="12">
        <v>1</v>
      </c>
      <c r="AL9" s="12"/>
      <c r="AM9" s="12"/>
      <c r="AQ9" s="12"/>
      <c r="AR9" s="12">
        <v>1</v>
      </c>
      <c r="AS9" s="12"/>
      <c r="AT9" s="12"/>
      <c r="AX9" s="12"/>
      <c r="AY9" s="12">
        <v>1</v>
      </c>
      <c r="AZ9" s="12"/>
      <c r="BA9" s="12"/>
      <c r="BE9" s="12"/>
      <c r="BF9" s="12"/>
      <c r="BG9" s="12"/>
      <c r="BH9" s="12"/>
      <c r="BL9" s="12"/>
      <c r="BM9" s="12"/>
      <c r="BN9" s="12"/>
      <c r="BO9" s="12"/>
      <c r="BS9" s="12"/>
      <c r="BT9" s="12"/>
      <c r="BU9" s="12"/>
      <c r="BV9" s="12"/>
      <c r="BZ9" s="12"/>
      <c r="CA9" s="12"/>
      <c r="CB9" s="12"/>
      <c r="CC9" s="12"/>
      <c r="CG9" s="12"/>
      <c r="CH9" s="12">
        <v>1</v>
      </c>
      <c r="CI9" s="12"/>
      <c r="CJ9" s="12"/>
      <c r="CN9" s="12"/>
      <c r="CO9" s="12"/>
      <c r="CP9" s="12"/>
      <c r="CQ9" s="12"/>
      <c r="CU9" s="12"/>
      <c r="CV9" s="12"/>
      <c r="CW9" s="12"/>
      <c r="CX9" s="12"/>
      <c r="DB9" s="12"/>
      <c r="DC9" s="12"/>
      <c r="DD9" s="12"/>
      <c r="DE9" s="12"/>
      <c r="DI9" s="12"/>
      <c r="DJ9" s="12">
        <v>1</v>
      </c>
      <c r="DK9" s="12"/>
      <c r="DL9" s="12"/>
    </row>
    <row r="10" spans="2:117" outlineLevel="1" x14ac:dyDescent="0.2">
      <c r="B10" t="s">
        <v>28</v>
      </c>
      <c r="C10" t="s">
        <v>88</v>
      </c>
      <c r="E10" s="11"/>
      <c r="F10" t="s">
        <v>94</v>
      </c>
      <c r="G10" s="12">
        <v>7.6999999999999999E-2</v>
      </c>
      <c r="I10" s="11">
        <f>+SUMIF($N$3:$ZZ$3,I$3,$N10:$ZZ10)</f>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v>1</v>
      </c>
      <c r="AS10" s="12"/>
      <c r="AT10" s="12"/>
      <c r="AX10" s="12"/>
      <c r="AY10" s="12">
        <v>1</v>
      </c>
      <c r="AZ10" s="12"/>
      <c r="BA10" s="12"/>
      <c r="BE10" s="12"/>
      <c r="BF10" s="12">
        <v>1</v>
      </c>
      <c r="BG10" s="12"/>
      <c r="BH10" s="12"/>
      <c r="BL10" s="12"/>
      <c r="BM10" s="12"/>
      <c r="BN10" s="12"/>
      <c r="BO10" s="12"/>
      <c r="BS10" s="12"/>
      <c r="BT10" s="12"/>
      <c r="BU10" s="12"/>
      <c r="BV10" s="12"/>
      <c r="BZ10" s="12"/>
      <c r="CA10" s="12"/>
      <c r="CB10" s="12"/>
      <c r="CC10" s="12"/>
      <c r="CG10" s="12"/>
      <c r="CH10" s="12">
        <v>1</v>
      </c>
      <c r="CI10" s="12"/>
      <c r="CJ10" s="12"/>
      <c r="CN10" s="12"/>
      <c r="CO10" s="12"/>
      <c r="CP10" s="12"/>
      <c r="CQ10" s="12"/>
      <c r="CU10" s="12"/>
      <c r="CV10" s="12"/>
      <c r="CW10" s="12"/>
      <c r="CX10" s="12"/>
      <c r="DB10" s="12"/>
      <c r="DC10" s="12"/>
      <c r="DD10" s="12"/>
      <c r="DE10" s="12"/>
      <c r="DI10" s="12"/>
      <c r="DJ10" s="12">
        <v>1</v>
      </c>
      <c r="DK10" s="12"/>
      <c r="DL10" s="12"/>
    </row>
    <row r="11" spans="2:117" outlineLevel="1" x14ac:dyDescent="0.2">
      <c r="B11" t="s">
        <v>28</v>
      </c>
      <c r="C11" t="s">
        <v>88</v>
      </c>
      <c r="E11" s="11"/>
      <c r="F11" t="s">
        <v>95</v>
      </c>
      <c r="G11" s="12">
        <v>7.6999999999999999E-2</v>
      </c>
      <c r="I11" s="11">
        <f>+SUMIF($N$3:$ZZ$3,I$3,$N11:$ZZ11)</f>
        <v>0</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c r="AS11" s="12"/>
      <c r="AT11" s="12"/>
      <c r="AX11" s="12"/>
      <c r="AY11" s="12">
        <v>1</v>
      </c>
      <c r="AZ11" s="12"/>
      <c r="BA11" s="12"/>
      <c r="BE11" s="12"/>
      <c r="BF11" s="12">
        <v>1</v>
      </c>
      <c r="BG11" s="12"/>
      <c r="BH11" s="12"/>
      <c r="BL11" s="12"/>
      <c r="BM11" s="12">
        <v>1</v>
      </c>
      <c r="BN11" s="12"/>
      <c r="BO11" s="12"/>
      <c r="BS11" s="12"/>
      <c r="BT11" s="12"/>
      <c r="BU11" s="12"/>
      <c r="BV11" s="12"/>
      <c r="BZ11" s="12"/>
      <c r="CA11" s="12"/>
      <c r="CB11" s="12"/>
      <c r="CC11" s="12"/>
      <c r="CG11" s="12"/>
      <c r="CH11" s="12">
        <v>1</v>
      </c>
      <c r="CI11" s="12"/>
      <c r="CJ11" s="12"/>
      <c r="CN11" s="12"/>
      <c r="CO11" s="12"/>
      <c r="CP11" s="12"/>
      <c r="CQ11" s="12"/>
      <c r="CU11" s="12"/>
      <c r="CV11" s="12"/>
      <c r="CW11" s="12"/>
      <c r="CX11" s="12"/>
      <c r="DB11" s="12"/>
      <c r="DC11" s="12"/>
      <c r="DD11" s="12"/>
      <c r="DE11" s="12"/>
      <c r="DI11" s="12"/>
      <c r="DJ11" s="12">
        <v>1</v>
      </c>
      <c r="DK11" s="12"/>
      <c r="DL11" s="12"/>
    </row>
    <row r="12" spans="2:117" outlineLevel="1" x14ac:dyDescent="0.2">
      <c r="B12" t="s">
        <v>28</v>
      </c>
      <c r="C12" t="s">
        <v>88</v>
      </c>
      <c r="E12" s="11"/>
      <c r="F12" t="s">
        <v>96</v>
      </c>
      <c r="G12" s="12">
        <v>7.6999999999999999E-2</v>
      </c>
      <c r="I12" s="11">
        <f>+SUMIF($N$3:$ZZ$3,I$3,$N12:$ZZ12)</f>
        <v>0</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c r="AS12" s="12"/>
      <c r="AT12" s="12"/>
      <c r="AX12" s="12"/>
      <c r="AY12" s="12">
        <v>0.5</v>
      </c>
      <c r="AZ12" s="12"/>
      <c r="BA12" s="12"/>
      <c r="BE12" s="12"/>
      <c r="BF12" s="12">
        <v>1</v>
      </c>
      <c r="BG12" s="12"/>
      <c r="BH12" s="12"/>
      <c r="BL12" s="12"/>
      <c r="BM12" s="12">
        <v>1</v>
      </c>
      <c r="BN12" s="12"/>
      <c r="BO12" s="12"/>
      <c r="BS12" s="12"/>
      <c r="BT12" s="12">
        <v>1</v>
      </c>
      <c r="BU12" s="12"/>
      <c r="BV12" s="12"/>
      <c r="BZ12" s="12"/>
      <c r="CA12" s="12"/>
      <c r="CB12" s="12"/>
      <c r="CC12" s="12"/>
      <c r="CG12" s="12"/>
      <c r="CH12" s="12">
        <v>1</v>
      </c>
      <c r="CI12" s="12"/>
      <c r="CJ12" s="12"/>
      <c r="CN12" s="12"/>
      <c r="CO12" s="12"/>
      <c r="CP12" s="12"/>
      <c r="CQ12" s="12"/>
      <c r="CU12" s="12"/>
      <c r="CV12" s="12"/>
      <c r="CW12" s="12"/>
      <c r="CX12" s="12"/>
      <c r="DB12" s="12"/>
      <c r="DC12" s="12"/>
      <c r="DD12" s="12"/>
      <c r="DE12" s="12"/>
      <c r="DI12" s="12"/>
      <c r="DJ12" s="12">
        <v>1</v>
      </c>
      <c r="DK12" s="12"/>
      <c r="DL12" s="12"/>
    </row>
    <row r="13" spans="2:117" outlineLevel="1" x14ac:dyDescent="0.2">
      <c r="B13" t="s">
        <v>28</v>
      </c>
      <c r="C13" t="s">
        <v>88</v>
      </c>
      <c r="E13" s="11"/>
      <c r="F13" t="s">
        <v>97</v>
      </c>
      <c r="G13" s="12">
        <v>7.6999999999999999E-2</v>
      </c>
      <c r="I13" s="11">
        <f>+SUMIF($N$3:$ZZ$3,I$3,$N13:$ZZ13)</f>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v>0.5</v>
      </c>
      <c r="BG13" s="12"/>
      <c r="BH13" s="12"/>
      <c r="BL13" s="12"/>
      <c r="BM13" s="12">
        <v>1</v>
      </c>
      <c r="BN13" s="12"/>
      <c r="BO13" s="12"/>
      <c r="BS13" s="12"/>
      <c r="BT13" s="12">
        <v>1</v>
      </c>
      <c r="BU13" s="12"/>
      <c r="BV13" s="12"/>
      <c r="BZ13" s="12"/>
      <c r="CA13" s="12">
        <v>1</v>
      </c>
      <c r="CB13" s="12"/>
      <c r="CC13" s="12"/>
      <c r="CG13" s="12"/>
      <c r="CH13" s="12">
        <v>1</v>
      </c>
      <c r="CI13" s="12"/>
      <c r="CJ13" s="12"/>
      <c r="CN13" s="12"/>
      <c r="CO13" s="12"/>
      <c r="CP13" s="12"/>
      <c r="CQ13" s="12"/>
      <c r="CU13" s="12"/>
      <c r="CV13" s="12"/>
      <c r="CW13" s="12"/>
      <c r="CX13" s="12"/>
      <c r="DB13" s="12"/>
      <c r="DC13" s="12"/>
      <c r="DD13" s="12"/>
      <c r="DE13" s="12"/>
      <c r="DI13" s="12"/>
      <c r="DJ13" s="12">
        <v>1</v>
      </c>
      <c r="DK13" s="12"/>
      <c r="DL13" s="12"/>
    </row>
    <row r="14" spans="2:117" outlineLevel="1" x14ac:dyDescent="0.2">
      <c r="B14" t="s">
        <v>28</v>
      </c>
      <c r="C14" t="s">
        <v>88</v>
      </c>
      <c r="E14" s="11"/>
      <c r="F14" t="s">
        <v>98</v>
      </c>
      <c r="G14" s="12">
        <v>7.6999999999999999E-2</v>
      </c>
      <c r="I14" s="11">
        <f>+SUMIF($N$3:$ZZ$3,I$3,$N14:$ZZ14)</f>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v>0.8</v>
      </c>
      <c r="BN14" s="12"/>
      <c r="BO14" s="12"/>
      <c r="BS14" s="12"/>
      <c r="BT14" s="12">
        <v>1</v>
      </c>
      <c r="BU14" s="12"/>
      <c r="BV14" s="12"/>
      <c r="BZ14" s="12"/>
      <c r="CA14" s="12">
        <v>1</v>
      </c>
      <c r="CB14" s="12"/>
      <c r="CC14" s="12"/>
      <c r="CG14" s="12"/>
      <c r="CH14" s="12">
        <v>1</v>
      </c>
      <c r="CI14" s="12"/>
      <c r="CJ14" s="12"/>
      <c r="CN14" s="12"/>
      <c r="CO14" s="12"/>
      <c r="CP14" s="12"/>
      <c r="CQ14" s="12"/>
      <c r="CU14" s="12"/>
      <c r="CV14" s="12"/>
      <c r="CW14" s="12"/>
      <c r="CX14" s="12"/>
      <c r="DB14" s="12"/>
      <c r="DC14" s="12"/>
      <c r="DD14" s="12"/>
      <c r="DE14" s="12"/>
      <c r="DI14" s="12"/>
      <c r="DJ14" s="12">
        <v>1</v>
      </c>
      <c r="DK14" s="12"/>
      <c r="DL14" s="12"/>
    </row>
    <row r="15" spans="2:117" outlineLevel="1" x14ac:dyDescent="0.2">
      <c r="B15" t="s">
        <v>28</v>
      </c>
      <c r="C15" t="s">
        <v>88</v>
      </c>
      <c r="E15" s="11"/>
      <c r="F15" t="s">
        <v>99</v>
      </c>
      <c r="G15" s="12">
        <v>7.6999999999999999E-2</v>
      </c>
      <c r="I15" s="11">
        <f>+SUMIF($N$3:$ZZ$3,I$3,$N15:$ZZ15)</f>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v>0.8</v>
      </c>
      <c r="BU15" s="12"/>
      <c r="BV15" s="12"/>
      <c r="BZ15" s="12"/>
      <c r="CA15" s="12">
        <v>1</v>
      </c>
      <c r="CB15" s="12"/>
      <c r="CC15" s="12"/>
      <c r="CG15" s="12"/>
      <c r="CH15" s="12">
        <v>1</v>
      </c>
      <c r="CI15" s="12"/>
      <c r="CJ15" s="12"/>
      <c r="CN15" s="12"/>
      <c r="CO15" s="12"/>
      <c r="CP15" s="12"/>
      <c r="CQ15" s="12"/>
      <c r="CU15" s="12"/>
      <c r="CV15" s="12"/>
      <c r="CW15" s="12"/>
      <c r="CX15" s="12"/>
      <c r="DB15" s="12"/>
      <c r="DC15" s="12"/>
      <c r="DD15" s="12"/>
      <c r="DE15" s="12"/>
      <c r="DI15" s="12"/>
      <c r="DJ15" s="12">
        <v>1</v>
      </c>
      <c r="DK15" s="12"/>
      <c r="DL15" s="12"/>
    </row>
    <row r="16" spans="2:117" outlineLevel="1" x14ac:dyDescent="0.2">
      <c r="B16" t="s">
        <v>28</v>
      </c>
      <c r="C16" t="s">
        <v>88</v>
      </c>
      <c r="E16" s="11"/>
      <c r="F16" t="s">
        <v>100</v>
      </c>
      <c r="G16" s="12">
        <v>7.6999999999999999E-2</v>
      </c>
      <c r="I16" s="11">
        <f>+SUMIF($N$3:$ZZ$3,I$3,$N16:$ZZ16)</f>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S16" s="12"/>
      <c r="BT16" s="12"/>
      <c r="BU16" s="12"/>
      <c r="BV16" s="12"/>
      <c r="BZ16" s="12"/>
      <c r="CA16" s="12">
        <v>1</v>
      </c>
      <c r="CB16" s="12"/>
      <c r="CC16" s="12"/>
      <c r="CG16" s="12"/>
      <c r="CH16" s="12">
        <v>1</v>
      </c>
      <c r="CI16" s="12"/>
      <c r="CJ16" s="12"/>
      <c r="CN16" s="12"/>
      <c r="CO16" s="12"/>
      <c r="CP16" s="12"/>
      <c r="CQ16" s="12"/>
      <c r="CU16" s="12"/>
      <c r="CV16" s="12"/>
      <c r="CW16" s="12"/>
      <c r="CX16" s="12"/>
      <c r="DB16" s="12"/>
      <c r="DC16" s="12"/>
      <c r="DD16" s="12"/>
      <c r="DE16" s="12"/>
      <c r="DI16" s="12"/>
      <c r="DJ16" s="12">
        <v>1</v>
      </c>
      <c r="DK16" s="12"/>
      <c r="DL16" s="12"/>
    </row>
    <row r="17" spans="2:116" outlineLevel="1" x14ac:dyDescent="0.2">
      <c r="B17" t="s">
        <v>28</v>
      </c>
      <c r="C17" t="s">
        <v>88</v>
      </c>
      <c r="E17" s="11"/>
      <c r="F17" t="s">
        <v>101</v>
      </c>
      <c r="G17" s="12">
        <v>7.6999999999999999E-2</v>
      </c>
      <c r="I17" s="11">
        <f>+SUMIF($N$3:$ZZ$3,I$3,$N17:$ZZ17)</f>
        <v>0</v>
      </c>
      <c r="J17" s="13" cm="1">
        <f t="array" ref="J17">MAX(IF($N$3:$EH$3=$J$3,N17:EH17))</f>
        <v>0</v>
      </c>
      <c r="K17" s="13" cm="1">
        <f t="array" ref="K17">MAX(IF($N$3:$EH$3=$J$3,N17:EH17))</f>
        <v>0</v>
      </c>
      <c r="L17" s="11"/>
      <c r="O17" s="12"/>
      <c r="P17" s="12"/>
      <c r="Q17" s="12"/>
      <c r="R17" s="12"/>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c r="BU17" s="12"/>
      <c r="BV17" s="12"/>
      <c r="BZ17" s="12"/>
      <c r="CA17" s="12"/>
      <c r="CB17" s="12"/>
      <c r="CC17" s="12"/>
      <c r="CG17" s="12"/>
      <c r="CH17" s="12">
        <v>1</v>
      </c>
      <c r="CI17" s="12"/>
      <c r="CJ17" s="12"/>
      <c r="CN17" s="12"/>
      <c r="CO17" s="12"/>
      <c r="CP17" s="12"/>
      <c r="CQ17" s="12"/>
      <c r="CU17" s="12"/>
      <c r="CV17" s="12"/>
      <c r="CW17" s="12"/>
      <c r="CX17" s="12"/>
      <c r="DB17" s="12"/>
      <c r="DC17" s="12"/>
      <c r="DD17" s="12"/>
      <c r="DE17" s="12"/>
      <c r="DI17" s="12"/>
      <c r="DJ17" s="12">
        <v>1</v>
      </c>
      <c r="DK17" s="12"/>
      <c r="DL17" s="12"/>
    </row>
    <row r="18" spans="2:116" x14ac:dyDescent="0.2">
      <c r="O18" s="9"/>
      <c r="V18" s="9"/>
      <c r="AC18" s="9"/>
      <c r="AJ18" s="9"/>
      <c r="AQ18" s="9"/>
      <c r="AX18" s="9"/>
      <c r="BE18" s="9"/>
      <c r="BL18" s="9"/>
      <c r="BS18" s="9"/>
      <c r="BZ18" s="9"/>
      <c r="CG18" s="9"/>
      <c r="CN18" s="9"/>
      <c r="CU18" s="9"/>
      <c r="DB18" s="9"/>
      <c r="DI18" s="9"/>
    </row>
    <row r="19" spans="2:116" x14ac:dyDescent="0.2">
      <c r="B19" t="s">
        <v>27</v>
      </c>
      <c r="C19" t="s">
        <v>103</v>
      </c>
      <c r="D19" s="22">
        <v>44663</v>
      </c>
      <c r="E19" s="11">
        <v>6</v>
      </c>
      <c r="G19" s="12">
        <f>+SUM(G20:G27)</f>
        <v>1</v>
      </c>
      <c r="I19" s="14">
        <f>+SUM(I20:I27)</f>
        <v>0</v>
      </c>
      <c r="J19" s="13">
        <f>+SUMPRODUCT(G20:G27,J20:J27)</f>
        <v>1.0000000000000002E-2</v>
      </c>
      <c r="K19" s="13">
        <f>+SUMPRODUCT(G20:G27,K20:K27)</f>
        <v>1.0000000000000002E-2</v>
      </c>
      <c r="L19" s="11" t="s">
        <v>150</v>
      </c>
      <c r="N19" s="14">
        <f>+SUM(N20:N27)</f>
        <v>0</v>
      </c>
      <c r="U19" s="14">
        <f>+SUM(U20:U27)</f>
        <v>0</v>
      </c>
      <c r="AB19" s="14">
        <f>+SUM(AB20:AB27)</f>
        <v>0</v>
      </c>
      <c r="AI19" s="14">
        <f>+SUM(AI20:AI27)</f>
        <v>0</v>
      </c>
      <c r="AP19" s="14">
        <f>+SUM(AP20:AP27)</f>
        <v>0</v>
      </c>
      <c r="AW19" s="14">
        <f>+SUM(AW20:AW32)</f>
        <v>0</v>
      </c>
      <c r="BD19" s="14">
        <f>+SUM(BD20:BD32)</f>
        <v>0</v>
      </c>
      <c r="BK19" s="14">
        <f>+SUM(BK20:BK32)</f>
        <v>0</v>
      </c>
      <c r="BR19" s="14">
        <f>+SUM(BR20:BR32)</f>
        <v>0</v>
      </c>
      <c r="BY19" s="14">
        <f>+SUM(BY20:BY32)</f>
        <v>0</v>
      </c>
      <c r="CF19" s="14">
        <f>+SUM(CF20:CF32)</f>
        <v>0</v>
      </c>
      <c r="CM19" s="14">
        <f>+SUM(CM20:CM32)</f>
        <v>0</v>
      </c>
      <c r="CT19" s="14">
        <f>+SUM(CT20:CT32)</f>
        <v>0</v>
      </c>
      <c r="DA19" s="14">
        <f>+SUM(DA20:DA32)</f>
        <v>0</v>
      </c>
      <c r="DH19" s="14">
        <f>+SUM(DH20:DH32)</f>
        <v>0</v>
      </c>
    </row>
    <row r="20" spans="2:116" outlineLevel="1" x14ac:dyDescent="0.2">
      <c r="B20" t="s">
        <v>28</v>
      </c>
      <c r="C20" t="s">
        <v>103</v>
      </c>
      <c r="E20" s="11"/>
      <c r="F20" t="s">
        <v>128</v>
      </c>
      <c r="G20" s="12">
        <v>0.05</v>
      </c>
      <c r="I20" s="11">
        <f>+SUMIF($N$3:$ZZ$3,I$3,$N20:$ZZ20)</f>
        <v>0</v>
      </c>
      <c r="J20" s="13" cm="1">
        <f t="array" ref="J20">MAX(IF($N$3:$EH$3=$J$3,N20:EH20))</f>
        <v>0.1</v>
      </c>
      <c r="K20" s="13" cm="1">
        <f t="array" ref="K20">MAX(IF($N$3:$EH$3=$J$3,N20:EH20))</f>
        <v>0.1</v>
      </c>
      <c r="L20" s="11"/>
      <c r="O20" s="12">
        <v>0.1</v>
      </c>
      <c r="P20" s="12">
        <v>1</v>
      </c>
      <c r="Q20" s="12"/>
      <c r="R20" s="12"/>
      <c r="V20" s="12"/>
      <c r="W20" s="12">
        <v>1</v>
      </c>
      <c r="X20" s="12"/>
      <c r="Y20" s="12"/>
      <c r="AC20" s="12"/>
      <c r="AD20" s="12">
        <v>1</v>
      </c>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12"/>
      <c r="CA20" s="12"/>
      <c r="CB20" s="12"/>
      <c r="CC20" s="12"/>
      <c r="CG20" s="12"/>
      <c r="CH20" s="12">
        <v>1</v>
      </c>
      <c r="CI20" s="12"/>
      <c r="CJ20" s="12"/>
      <c r="CN20" s="12"/>
      <c r="CO20" s="12"/>
      <c r="CP20" s="12"/>
      <c r="CQ20" s="12"/>
      <c r="CU20" s="12"/>
      <c r="CV20" s="12"/>
      <c r="CW20" s="12"/>
      <c r="CX20" s="12"/>
      <c r="DB20" s="12"/>
      <c r="DC20" s="12"/>
      <c r="DD20" s="12"/>
      <c r="DE20" s="12"/>
      <c r="DI20" s="12"/>
      <c r="DJ20" s="12">
        <v>1</v>
      </c>
      <c r="DK20" s="12"/>
      <c r="DL20" s="12"/>
    </row>
    <row r="21" spans="2:116" outlineLevel="1" x14ac:dyDescent="0.2">
      <c r="B21" t="s">
        <v>28</v>
      </c>
      <c r="C21" t="s">
        <v>103</v>
      </c>
      <c r="E21" s="11"/>
      <c r="F21" t="s">
        <v>129</v>
      </c>
      <c r="G21" s="12">
        <v>0.05</v>
      </c>
      <c r="I21" s="11">
        <f>+SUMIF($N$3:$ZZ$3,I$3,$N21:$ZZ21)</f>
        <v>0</v>
      </c>
      <c r="J21" s="13" cm="1">
        <f t="array" ref="J21">MAX(IF($N$3:$EH$3=$J$3,N21:EH21))</f>
        <v>0.1</v>
      </c>
      <c r="K21" s="13" cm="1">
        <f t="array" ref="K21">MAX(IF($N$3:$EH$3=$J$3,N21:EH21))</f>
        <v>0.1</v>
      </c>
      <c r="L21" s="11"/>
      <c r="O21" s="12">
        <v>0.1</v>
      </c>
      <c r="P21" s="12">
        <v>0.5</v>
      </c>
      <c r="Q21" s="12"/>
      <c r="R21" s="12"/>
      <c r="V21" s="12"/>
      <c r="W21" s="12">
        <v>1</v>
      </c>
      <c r="X21" s="12"/>
      <c r="Y21" s="12"/>
      <c r="AC21" s="12"/>
      <c r="AD21" s="12">
        <v>1</v>
      </c>
      <c r="AE21" s="12"/>
      <c r="AF21" s="12"/>
      <c r="AJ21" s="12"/>
      <c r="AK21" s="12">
        <v>1</v>
      </c>
      <c r="AL21" s="12"/>
      <c r="AM21" s="12"/>
      <c r="AQ21" s="12"/>
      <c r="AR21" s="12"/>
      <c r="AS21" s="12"/>
      <c r="AT21" s="12"/>
      <c r="AX21" s="12"/>
      <c r="AY21" s="12"/>
      <c r="AZ21" s="12"/>
      <c r="BA21" s="12"/>
      <c r="BE21" s="12"/>
      <c r="BF21" s="12"/>
      <c r="BG21" s="12"/>
      <c r="BH21" s="12"/>
      <c r="BL21" s="12"/>
      <c r="BM21" s="12"/>
      <c r="BN21" s="12"/>
      <c r="BO21" s="12"/>
      <c r="BS21" s="12"/>
      <c r="BT21" s="12"/>
      <c r="BU21" s="12"/>
      <c r="BV21" s="12"/>
      <c r="BZ21" s="12"/>
      <c r="CA21" s="12"/>
      <c r="CB21" s="12"/>
      <c r="CC21" s="12"/>
      <c r="CG21" s="12"/>
      <c r="CH21" s="12">
        <v>1</v>
      </c>
      <c r="CI21" s="12"/>
      <c r="CJ21" s="12"/>
      <c r="CN21" s="12"/>
      <c r="CO21" s="12"/>
      <c r="CP21" s="12"/>
      <c r="CQ21" s="12"/>
      <c r="CU21" s="12"/>
      <c r="CV21" s="12"/>
      <c r="CW21" s="12"/>
      <c r="CX21" s="12"/>
      <c r="DB21" s="12"/>
      <c r="DC21" s="12"/>
      <c r="DD21" s="12"/>
      <c r="DE21" s="12"/>
      <c r="DI21" s="12"/>
      <c r="DJ21" s="12">
        <v>1</v>
      </c>
      <c r="DK21" s="12"/>
      <c r="DL21" s="12"/>
    </row>
    <row r="22" spans="2:116" outlineLevel="1" x14ac:dyDescent="0.2">
      <c r="B22" t="s">
        <v>28</v>
      </c>
      <c r="C22" t="s">
        <v>103</v>
      </c>
      <c r="E22" s="11"/>
      <c r="F22" t="s">
        <v>130</v>
      </c>
      <c r="G22" s="12">
        <v>0.05</v>
      </c>
      <c r="I22" s="11">
        <f>+SUMIF($N$3:$ZZ$3,I$3,$N22:$ZZ22)</f>
        <v>0</v>
      </c>
      <c r="J22" s="13" cm="1">
        <f t="array" ref="J22">MAX(IF($N$3:$EH$3=$J$3,N22:EH22))</f>
        <v>0</v>
      </c>
      <c r="K22" s="13" cm="1">
        <f t="array" ref="K22">MAX(IF($N$3:$EH$3=$J$3,N22:EH22))</f>
        <v>0</v>
      </c>
      <c r="L22" s="11"/>
      <c r="O22" s="12"/>
      <c r="P22" s="12"/>
      <c r="Q22" s="12"/>
      <c r="R22" s="12"/>
      <c r="V22" s="12"/>
      <c r="W22" s="12"/>
      <c r="X22" s="12"/>
      <c r="Y22" s="12"/>
      <c r="AC22" s="12"/>
      <c r="AD22" s="12">
        <v>0.8</v>
      </c>
      <c r="AE22" s="12"/>
      <c r="AF22" s="12"/>
      <c r="AJ22" s="12"/>
      <c r="AK22" s="12">
        <v>1</v>
      </c>
      <c r="AL22" s="12"/>
      <c r="AM22" s="12"/>
      <c r="AQ22" s="12"/>
      <c r="AR22" s="12">
        <v>1</v>
      </c>
      <c r="AS22" s="12"/>
      <c r="AT22" s="12"/>
      <c r="AX22" s="12"/>
      <c r="AY22" s="12">
        <v>1</v>
      </c>
      <c r="AZ22" s="12"/>
      <c r="BA22" s="12"/>
      <c r="BE22" s="12"/>
      <c r="BF22" s="12"/>
      <c r="BG22" s="12"/>
      <c r="BH22" s="12"/>
      <c r="BL22" s="12"/>
      <c r="BM22" s="12"/>
      <c r="BN22" s="12"/>
      <c r="BO22" s="12"/>
      <c r="BS22" s="12"/>
      <c r="BT22" s="12"/>
      <c r="BU22" s="12"/>
      <c r="BV22" s="12"/>
      <c r="BZ22" s="12"/>
      <c r="CA22" s="12"/>
      <c r="CB22" s="12"/>
      <c r="CC22" s="12"/>
      <c r="CG22" s="12"/>
      <c r="CH22" s="12">
        <v>1</v>
      </c>
      <c r="CI22" s="12"/>
      <c r="CJ22" s="12"/>
      <c r="CN22" s="12"/>
      <c r="CO22" s="12"/>
      <c r="CP22" s="12"/>
      <c r="CQ22" s="12"/>
      <c r="CU22" s="12"/>
      <c r="CV22" s="12"/>
      <c r="CW22" s="12"/>
      <c r="CX22" s="12"/>
      <c r="DB22" s="12"/>
      <c r="DC22" s="12"/>
      <c r="DD22" s="12"/>
      <c r="DE22" s="12"/>
      <c r="DI22" s="12"/>
      <c r="DJ22" s="12">
        <v>1</v>
      </c>
      <c r="DK22" s="12"/>
      <c r="DL22" s="12"/>
    </row>
    <row r="23" spans="2:116" outlineLevel="1" x14ac:dyDescent="0.2">
      <c r="B23" t="s">
        <v>28</v>
      </c>
      <c r="C23" t="s">
        <v>103</v>
      </c>
      <c r="E23" s="11"/>
      <c r="F23" t="s">
        <v>131</v>
      </c>
      <c r="G23" s="12">
        <v>0.05</v>
      </c>
      <c r="I23" s="11">
        <f>+SUMIF($N$3:$ZZ$3,I$3,$N23:$ZZ23)</f>
        <v>0</v>
      </c>
      <c r="J23" s="13" cm="1">
        <f t="array" ref="J23">MAX(IF($N$3:$EH$3=$J$3,N23:EH23))</f>
        <v>0</v>
      </c>
      <c r="K23" s="13" cm="1">
        <f t="array" ref="K23">MAX(IF($N$3:$EH$3=$J$3,N23:EH23))</f>
        <v>0</v>
      </c>
      <c r="L23" s="11"/>
      <c r="O23" s="12"/>
      <c r="P23" s="12"/>
      <c r="Q23" s="12"/>
      <c r="R23" s="12"/>
      <c r="V23" s="12"/>
      <c r="W23" s="12"/>
      <c r="X23" s="12"/>
      <c r="Y23" s="12"/>
      <c r="AC23" s="12"/>
      <c r="AD23" s="12"/>
      <c r="AE23" s="12"/>
      <c r="AF23" s="12"/>
      <c r="AJ23" s="12"/>
      <c r="AK23" s="12">
        <v>0.5</v>
      </c>
      <c r="AL23" s="12"/>
      <c r="AM23" s="12"/>
      <c r="AQ23" s="12"/>
      <c r="AR23" s="12">
        <v>1</v>
      </c>
      <c r="AS23" s="12"/>
      <c r="AT23" s="12"/>
      <c r="AX23" s="12"/>
      <c r="AY23" s="12">
        <v>1</v>
      </c>
      <c r="AZ23" s="12"/>
      <c r="BA23" s="12"/>
      <c r="BE23" s="12"/>
      <c r="BF23" s="12">
        <v>1</v>
      </c>
      <c r="BG23" s="12"/>
      <c r="BH23" s="12"/>
      <c r="BL23" s="12"/>
      <c r="BM23" s="12"/>
      <c r="BN23" s="12"/>
      <c r="BO23" s="12"/>
      <c r="BS23" s="12"/>
      <c r="BT23" s="12"/>
      <c r="BU23" s="12"/>
      <c r="BV23" s="12"/>
      <c r="BZ23" s="12"/>
      <c r="CA23" s="12"/>
      <c r="CB23" s="12"/>
      <c r="CC23" s="12"/>
      <c r="CG23" s="12"/>
      <c r="CH23" s="12">
        <v>1</v>
      </c>
      <c r="CI23" s="12"/>
      <c r="CJ23" s="12"/>
      <c r="CN23" s="12"/>
      <c r="CO23" s="12"/>
      <c r="CP23" s="12"/>
      <c r="CQ23" s="12"/>
      <c r="CU23" s="12"/>
      <c r="CV23" s="12"/>
      <c r="CW23" s="12"/>
      <c r="CX23" s="12"/>
      <c r="DB23" s="12"/>
      <c r="DC23" s="12"/>
      <c r="DD23" s="12"/>
      <c r="DE23" s="12"/>
      <c r="DI23" s="12"/>
      <c r="DJ23" s="12">
        <v>1</v>
      </c>
      <c r="DK23" s="12"/>
      <c r="DL23" s="12"/>
    </row>
    <row r="24" spans="2:116" outlineLevel="1" x14ac:dyDescent="0.2">
      <c r="B24" t="s">
        <v>28</v>
      </c>
      <c r="C24" t="s">
        <v>103</v>
      </c>
      <c r="E24" s="11"/>
      <c r="F24" t="s">
        <v>132</v>
      </c>
      <c r="G24" s="12">
        <v>0.05</v>
      </c>
      <c r="I24" s="11">
        <f>+SUMIF($N$3:$ZZ$3,I$3,$N24:$ZZ24)</f>
        <v>0</v>
      </c>
      <c r="J24" s="13" cm="1">
        <f t="array" ref="J24">MAX(IF($N$3:$EH$3=$J$3,N24:EH24))</f>
        <v>0</v>
      </c>
      <c r="K24" s="13" cm="1">
        <f t="array" ref="K24">MAX(IF($N$3:$EH$3=$J$3,N24:EH24))</f>
        <v>0</v>
      </c>
      <c r="L24" s="11"/>
      <c r="O24" s="12"/>
      <c r="P24" s="12"/>
      <c r="Q24" s="12"/>
      <c r="R24" s="12"/>
      <c r="V24" s="12"/>
      <c r="W24" s="12"/>
      <c r="X24" s="12"/>
      <c r="Y24" s="12"/>
      <c r="AC24" s="12"/>
      <c r="AD24" s="12"/>
      <c r="AE24" s="12"/>
      <c r="AF24" s="12"/>
      <c r="AJ24" s="12"/>
      <c r="AK24" s="12"/>
      <c r="AL24" s="12"/>
      <c r="AM24" s="12"/>
      <c r="AQ24" s="12"/>
      <c r="AR24" s="12"/>
      <c r="AS24" s="12"/>
      <c r="AT24" s="12"/>
      <c r="AX24" s="12"/>
      <c r="AY24" s="12">
        <v>0.8</v>
      </c>
      <c r="AZ24" s="12"/>
      <c r="BA24" s="12"/>
      <c r="BE24" s="12"/>
      <c r="BF24" s="12">
        <v>1</v>
      </c>
      <c r="BG24" s="12"/>
      <c r="BH24" s="12"/>
      <c r="BL24" s="12"/>
      <c r="BM24" s="12">
        <v>1</v>
      </c>
      <c r="BN24" s="12"/>
      <c r="BO24" s="12"/>
      <c r="BS24" s="12"/>
      <c r="BT24" s="12">
        <v>1</v>
      </c>
      <c r="BU24" s="12"/>
      <c r="BV24" s="12"/>
      <c r="BZ24" s="12"/>
      <c r="CA24" s="12"/>
      <c r="CB24" s="12"/>
      <c r="CC24" s="12"/>
      <c r="CG24" s="12"/>
      <c r="CH24" s="12">
        <v>1</v>
      </c>
      <c r="CI24" s="12"/>
      <c r="CJ24" s="12"/>
      <c r="CN24" s="12"/>
      <c r="CO24" s="12"/>
      <c r="CP24" s="12"/>
      <c r="CQ24" s="12"/>
      <c r="CU24" s="12"/>
      <c r="CV24" s="12"/>
      <c r="CW24" s="12"/>
      <c r="CX24" s="12"/>
      <c r="DB24" s="12"/>
      <c r="DC24" s="12"/>
      <c r="DD24" s="12"/>
      <c r="DE24" s="12"/>
      <c r="DI24" s="12"/>
      <c r="DJ24" s="12">
        <v>1</v>
      </c>
      <c r="DK24" s="12"/>
      <c r="DL24" s="12"/>
    </row>
    <row r="25" spans="2:116" outlineLevel="1" x14ac:dyDescent="0.2">
      <c r="B25" t="s">
        <v>28</v>
      </c>
      <c r="C25" t="s">
        <v>103</v>
      </c>
      <c r="E25" s="11"/>
      <c r="F25" t="s">
        <v>133</v>
      </c>
      <c r="G25" s="12">
        <v>0.25</v>
      </c>
      <c r="I25" s="11">
        <f>+SUMIF($N$3:$ZZ$3,I$3,$N25:$ZZ25)</f>
        <v>0</v>
      </c>
      <c r="J25" s="13" cm="1">
        <f t="array" ref="J25">MAX(IF($N$3:$EH$3=$J$3,N25:EH25))</f>
        <v>0</v>
      </c>
      <c r="K25" s="13" cm="1">
        <f t="array" ref="K25">MAX(IF($N$3:$EH$3=$J$3,N25:EH25))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v>0.5</v>
      </c>
      <c r="BG25" s="12"/>
      <c r="BH25" s="12"/>
      <c r="BL25" s="12"/>
      <c r="BM25" s="12">
        <v>1</v>
      </c>
      <c r="BN25" s="12"/>
      <c r="BO25" s="12"/>
      <c r="BS25" s="12"/>
      <c r="BT25" s="12">
        <v>1</v>
      </c>
      <c r="BU25" s="12"/>
      <c r="BV25" s="12"/>
      <c r="BZ25" s="12"/>
      <c r="CA25" s="12">
        <v>1</v>
      </c>
      <c r="CB25" s="12"/>
      <c r="CC25" s="12"/>
      <c r="CG25" s="12"/>
      <c r="CH25" s="12">
        <v>1</v>
      </c>
      <c r="CI25" s="12"/>
      <c r="CJ25" s="12"/>
      <c r="CN25" s="12"/>
      <c r="CO25" s="12"/>
      <c r="CP25" s="12"/>
      <c r="CQ25" s="12"/>
      <c r="CU25" s="12"/>
      <c r="CV25" s="12"/>
      <c r="CW25" s="12"/>
      <c r="CX25" s="12"/>
      <c r="DB25" s="12"/>
      <c r="DC25" s="12"/>
      <c r="DD25" s="12"/>
      <c r="DE25" s="12"/>
      <c r="DI25" s="12"/>
      <c r="DJ25" s="12">
        <v>1</v>
      </c>
      <c r="DK25" s="12"/>
      <c r="DL25" s="12"/>
    </row>
    <row r="26" spans="2:116" outlineLevel="1" x14ac:dyDescent="0.2">
      <c r="B26" t="s">
        <v>28</v>
      </c>
      <c r="C26" t="s">
        <v>103</v>
      </c>
      <c r="E26" s="11"/>
      <c r="F26" t="s">
        <v>134</v>
      </c>
      <c r="G26" s="12">
        <v>0.25</v>
      </c>
      <c r="I26" s="11">
        <f>+SUMIF($N$3:$ZZ$3,I$3,$N26:$ZZ26)</f>
        <v>0</v>
      </c>
      <c r="J26" s="13" cm="1">
        <f t="array" ref="J26">MAX(IF($N$3:$EH$3=$J$3,N26:EH26))</f>
        <v>0</v>
      </c>
      <c r="K26" s="13" cm="1">
        <f t="array" ref="K26">MAX(IF($N$3:$EH$3=$J$3,N26:EH26))</f>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v>0.8</v>
      </c>
      <c r="BU26" s="12"/>
      <c r="BV26" s="12"/>
      <c r="BZ26" s="12"/>
      <c r="CA26" s="12">
        <v>1</v>
      </c>
      <c r="CB26" s="12"/>
      <c r="CC26" s="12"/>
      <c r="CG26" s="12"/>
      <c r="CH26" s="12">
        <v>1</v>
      </c>
      <c r="CI26" s="12"/>
      <c r="CJ26" s="12"/>
      <c r="CN26" s="12"/>
      <c r="CO26" s="12"/>
      <c r="CP26" s="12"/>
      <c r="CQ26" s="12"/>
      <c r="CU26" s="12"/>
      <c r="CV26" s="12"/>
      <c r="CW26" s="12"/>
      <c r="CX26" s="12"/>
      <c r="DB26" s="12"/>
      <c r="DC26" s="12"/>
      <c r="DD26" s="12"/>
      <c r="DE26" s="12"/>
      <c r="DI26" s="12"/>
      <c r="DJ26" s="12">
        <v>1</v>
      </c>
      <c r="DK26" s="12"/>
      <c r="DL26" s="12"/>
    </row>
    <row r="27" spans="2:116" outlineLevel="1" x14ac:dyDescent="0.2">
      <c r="B27" t="s">
        <v>28</v>
      </c>
      <c r="C27" t="s">
        <v>103</v>
      </c>
      <c r="E27" s="11"/>
      <c r="F27" t="s">
        <v>135</v>
      </c>
      <c r="G27" s="12">
        <v>0.25</v>
      </c>
      <c r="I27" s="11">
        <f>+SUMIF($N$3:$ZZ$3,I$3,$N27:$ZZ27)</f>
        <v>0</v>
      </c>
      <c r="J27" s="13" cm="1">
        <f t="array" ref="J27">MAX(IF($N$3:$EH$3=$J$3,N27:EH27))</f>
        <v>0</v>
      </c>
      <c r="K27" s="13" cm="1">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v>0.5</v>
      </c>
      <c r="CB27" s="12"/>
      <c r="CC27" s="12"/>
      <c r="CG27" s="12"/>
      <c r="CH27" s="12">
        <v>1</v>
      </c>
      <c r="CI27" s="12"/>
      <c r="CJ27" s="12"/>
      <c r="CN27" s="12"/>
      <c r="CO27" s="12"/>
      <c r="CP27" s="12"/>
      <c r="CQ27" s="12"/>
      <c r="CU27" s="12"/>
      <c r="CV27" s="12"/>
      <c r="CW27" s="12"/>
      <c r="CX27" s="12"/>
      <c r="DB27" s="12"/>
      <c r="DC27" s="12"/>
      <c r="DD27" s="12"/>
      <c r="DE27" s="12"/>
      <c r="DI27" s="12"/>
      <c r="DJ27" s="12">
        <v>1</v>
      </c>
      <c r="DK27" s="12"/>
      <c r="DL27" s="12"/>
    </row>
    <row r="29" spans="2:116" x14ac:dyDescent="0.2">
      <c r="B29" t="s">
        <v>27</v>
      </c>
      <c r="C29" t="s">
        <v>102</v>
      </c>
      <c r="D29" s="22">
        <v>44621</v>
      </c>
      <c r="E29" s="11">
        <v>6</v>
      </c>
      <c r="G29" s="12">
        <f>+SUM(G30:G52)</f>
        <v>1.0004999999999997</v>
      </c>
      <c r="I29" s="14">
        <f>+SUM(I30:I52)</f>
        <v>0</v>
      </c>
      <c r="J29" s="13">
        <f>+SUMPRODUCT(G30:G52,J30:J52)</f>
        <v>8.6999999999999994E-3</v>
      </c>
      <c r="K29" s="13">
        <f>+SUMPRODUCT(G30:G52,K30:K52)</f>
        <v>8.6999999999999994E-3</v>
      </c>
      <c r="L29" s="11" t="s">
        <v>151</v>
      </c>
      <c r="N29" s="14">
        <f>+SUM(N30:N52)</f>
        <v>0</v>
      </c>
      <c r="U29" s="14">
        <f>+SUM(U30:U52)</f>
        <v>0</v>
      </c>
      <c r="AB29" s="14">
        <f>+SUM(AB30:AB52)</f>
        <v>0</v>
      </c>
      <c r="AI29" s="14">
        <f>+SUM(AI30:AI52)</f>
        <v>0</v>
      </c>
      <c r="AP29" s="14">
        <f>+SUM(AP30:AP52)</f>
        <v>0</v>
      </c>
      <c r="AW29" s="14">
        <f>+SUM(AW30:AW42)</f>
        <v>0</v>
      </c>
      <c r="BD29" s="14">
        <f>+SUM(BD30:BD42)</f>
        <v>0</v>
      </c>
      <c r="BK29" s="14">
        <f>+SUM(BK30:BK42)</f>
        <v>0</v>
      </c>
      <c r="BR29" s="14">
        <f>+SUM(BR30:BR42)</f>
        <v>0</v>
      </c>
      <c r="BY29" s="14">
        <f>+SUM(BY30:BY42)</f>
        <v>0</v>
      </c>
      <c r="CF29" s="14">
        <f>+SUM(CF30:CF42)</f>
        <v>0</v>
      </c>
      <c r="CM29" s="14">
        <f>+SUM(CM30:CM42)</f>
        <v>0</v>
      </c>
      <c r="CT29" s="14">
        <f>+SUM(CT30:CT42)</f>
        <v>0</v>
      </c>
      <c r="DA29" s="14">
        <f>+SUM(DA30:DA42)</f>
        <v>0</v>
      </c>
      <c r="DH29" s="14">
        <f>+SUM(DH30:DH42)</f>
        <v>0</v>
      </c>
    </row>
    <row r="30" spans="2:116" outlineLevel="1" x14ac:dyDescent="0.2">
      <c r="B30" t="s">
        <v>28</v>
      </c>
      <c r="C30" t="s">
        <v>102</v>
      </c>
      <c r="E30" s="11"/>
      <c r="F30" t="s">
        <v>104</v>
      </c>
      <c r="G30" s="12">
        <v>4.3499999999999997E-2</v>
      </c>
      <c r="I30" s="11">
        <f>+SUMIF($N$3:$ZZ$3,I$3,$N30:$ZZ30)</f>
        <v>0</v>
      </c>
      <c r="J30" s="13" cm="1">
        <f t="array" ref="J30">MAX(IF($N$3:$EH$3=$J$3,N30:EH30))</f>
        <v>0.1</v>
      </c>
      <c r="K30" s="13" cm="1">
        <f t="array" ref="K30">MAX(IF($N$3:$EH$3=$J$3,N30:EH30))</f>
        <v>0.1</v>
      </c>
      <c r="L30" s="11"/>
      <c r="O30" s="12">
        <v>0.1</v>
      </c>
      <c r="P30" s="12">
        <v>1</v>
      </c>
      <c r="Q30" s="12"/>
      <c r="R30" s="12"/>
      <c r="V30" s="12"/>
      <c r="W30" s="12">
        <v>1</v>
      </c>
      <c r="X30" s="12"/>
      <c r="Y30" s="12"/>
      <c r="AC30" s="12"/>
      <c r="AD30" s="12">
        <v>1</v>
      </c>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v>1</v>
      </c>
      <c r="CI30" s="12"/>
      <c r="CJ30" s="12"/>
      <c r="CN30" s="12"/>
      <c r="CO30" s="12"/>
      <c r="CP30" s="12"/>
      <c r="CQ30" s="12"/>
      <c r="CU30" s="12"/>
      <c r="CV30" s="12"/>
      <c r="CW30" s="12"/>
      <c r="CX30" s="12"/>
      <c r="DB30" s="12"/>
      <c r="DC30" s="12"/>
      <c r="DD30" s="12"/>
      <c r="DE30" s="12"/>
      <c r="DI30" s="12"/>
      <c r="DJ30" s="12">
        <v>1</v>
      </c>
      <c r="DK30" s="12"/>
      <c r="DL30" s="12"/>
    </row>
    <row r="31" spans="2:116" outlineLevel="1" x14ac:dyDescent="0.2">
      <c r="B31" t="s">
        <v>28</v>
      </c>
      <c r="C31" t="s">
        <v>102</v>
      </c>
      <c r="E31" s="11"/>
      <c r="F31" t="s">
        <v>105</v>
      </c>
      <c r="G31" s="12">
        <v>4.3499999999999997E-2</v>
      </c>
      <c r="I31" s="11">
        <f>+SUMIF($N$3:$ZZ$3,I$3,$N31:$ZZ31)</f>
        <v>0</v>
      </c>
      <c r="J31" s="13" cm="1">
        <f t="array" ref="J31">MAX(IF($N$3:$EH$3=$J$3,N31:EH31))</f>
        <v>0.1</v>
      </c>
      <c r="K31" s="13" cm="1">
        <f t="array" ref="K31">MAX(IF($N$3:$EH$3=$J$3,N31:EH31))</f>
        <v>0.1</v>
      </c>
      <c r="L31" s="11"/>
      <c r="O31" s="12">
        <v>0.1</v>
      </c>
      <c r="P31" s="12">
        <v>1</v>
      </c>
      <c r="Q31" s="12"/>
      <c r="R31" s="12"/>
      <c r="V31" s="12"/>
      <c r="W31" s="12">
        <v>1</v>
      </c>
      <c r="X31" s="12"/>
      <c r="Y31" s="12"/>
      <c r="AC31" s="12"/>
      <c r="AD31" s="12">
        <v>1</v>
      </c>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v>1</v>
      </c>
      <c r="CI31" s="12"/>
      <c r="CJ31" s="12"/>
      <c r="CN31" s="12"/>
      <c r="CO31" s="12"/>
      <c r="CP31" s="12"/>
      <c r="CQ31" s="12"/>
      <c r="CU31" s="12"/>
      <c r="CV31" s="12"/>
      <c r="CW31" s="12"/>
      <c r="CX31" s="12"/>
      <c r="DB31" s="12"/>
      <c r="DC31" s="12"/>
      <c r="DD31" s="12"/>
      <c r="DE31" s="12"/>
      <c r="DI31" s="12"/>
      <c r="DJ31" s="12">
        <v>1</v>
      </c>
      <c r="DK31" s="12"/>
      <c r="DL31" s="12"/>
    </row>
    <row r="32" spans="2:116" outlineLevel="1" x14ac:dyDescent="0.2">
      <c r="B32" t="s">
        <v>28</v>
      </c>
      <c r="C32" t="s">
        <v>102</v>
      </c>
      <c r="E32" s="11"/>
      <c r="F32" t="s">
        <v>106</v>
      </c>
      <c r="G32" s="12">
        <v>4.3499999999999997E-2</v>
      </c>
      <c r="I32" s="11">
        <f>+SUMIF($N$3:$ZZ$3,I$3,$N32:$ZZ32)</f>
        <v>0</v>
      </c>
      <c r="J32" s="13" cm="1">
        <f t="array" ref="J32">MAX(IF($N$3:$EH$3=$J$3,N32:EH32))</f>
        <v>0</v>
      </c>
      <c r="K32" s="13" cm="1">
        <f t="array" ref="K32">MAX(IF($N$3:$EH$3=$J$3,N32:EH32))</f>
        <v>0</v>
      </c>
      <c r="L32" s="11"/>
      <c r="O32" s="12"/>
      <c r="P32" s="12"/>
      <c r="Q32" s="12"/>
      <c r="R32" s="12"/>
      <c r="V32" s="12"/>
      <c r="W32" s="12">
        <v>1</v>
      </c>
      <c r="X32" s="12"/>
      <c r="Y32" s="12"/>
      <c r="AC32" s="12"/>
      <c r="AD32" s="12">
        <v>1</v>
      </c>
      <c r="AE32" s="12"/>
      <c r="AF32" s="12"/>
      <c r="AJ32" s="12"/>
      <c r="AK32" s="12">
        <v>1</v>
      </c>
      <c r="AL32" s="12"/>
      <c r="AM32" s="12"/>
      <c r="AQ32" s="12"/>
      <c r="AR32" s="12"/>
      <c r="AS32" s="12"/>
      <c r="AT32" s="12"/>
      <c r="AX32" s="12"/>
      <c r="AY32" s="12"/>
      <c r="AZ32" s="12"/>
      <c r="BA32" s="12"/>
      <c r="BE32" s="12"/>
      <c r="BF32" s="12"/>
      <c r="BG32" s="12"/>
      <c r="BH32" s="12"/>
      <c r="BL32" s="12"/>
      <c r="BM32" s="12"/>
      <c r="BN32" s="12"/>
      <c r="BO32" s="12"/>
      <c r="BS32" s="12"/>
      <c r="BT32" s="12"/>
      <c r="BU32" s="12"/>
      <c r="BV32" s="12"/>
      <c r="BZ32" s="12"/>
      <c r="CA32" s="12"/>
      <c r="CB32" s="12"/>
      <c r="CC32" s="12"/>
      <c r="CG32" s="12"/>
      <c r="CH32" s="12">
        <v>1</v>
      </c>
      <c r="CI32" s="12"/>
      <c r="CJ32" s="12"/>
      <c r="CN32" s="12"/>
      <c r="CO32" s="12"/>
      <c r="CP32" s="12"/>
      <c r="CQ32" s="12"/>
      <c r="CU32" s="12"/>
      <c r="CV32" s="12"/>
      <c r="CW32" s="12"/>
      <c r="CX32" s="12"/>
      <c r="DB32" s="12"/>
      <c r="DC32" s="12"/>
      <c r="DD32" s="12"/>
      <c r="DE32" s="12"/>
      <c r="DI32" s="12"/>
      <c r="DJ32" s="12">
        <v>1</v>
      </c>
      <c r="DK32" s="12"/>
      <c r="DL32" s="12"/>
    </row>
    <row r="33" spans="2:116" outlineLevel="1" x14ac:dyDescent="0.2">
      <c r="B33" t="s">
        <v>28</v>
      </c>
      <c r="C33" t="s">
        <v>102</v>
      </c>
      <c r="E33" s="11"/>
      <c r="F33" t="s">
        <v>107</v>
      </c>
      <c r="G33" s="12">
        <v>4.3499999999999997E-2</v>
      </c>
      <c r="I33" s="11">
        <f>+SUMIF($N$3:$ZZ$3,I$3,$N33:$ZZ33)</f>
        <v>0</v>
      </c>
      <c r="J33" s="13" cm="1">
        <f t="array" ref="J33">MAX(IF($N$3:$EH$3=$J$3,N33:EH33))</f>
        <v>0</v>
      </c>
      <c r="K33" s="13" cm="1">
        <f t="array" ref="K33">MAX(IF($N$3:$EH$3=$J$3,N33:EH33))</f>
        <v>0</v>
      </c>
      <c r="L33" s="11"/>
      <c r="O33" s="12"/>
      <c r="P33" s="12"/>
      <c r="Q33" s="12"/>
      <c r="R33" s="12"/>
      <c r="V33" s="12"/>
      <c r="W33" s="12">
        <v>1</v>
      </c>
      <c r="X33" s="12"/>
      <c r="Y33" s="12"/>
      <c r="AC33" s="12"/>
      <c r="AD33" s="12">
        <v>1</v>
      </c>
      <c r="AE33" s="12"/>
      <c r="AF33" s="12"/>
      <c r="AJ33" s="12"/>
      <c r="AK33" s="12">
        <v>1</v>
      </c>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c r="CB33" s="12"/>
      <c r="CC33" s="12"/>
      <c r="CG33" s="12"/>
      <c r="CH33" s="12">
        <v>1</v>
      </c>
      <c r="CI33" s="12"/>
      <c r="CJ33" s="12"/>
      <c r="CN33" s="12"/>
      <c r="CO33" s="12"/>
      <c r="CP33" s="12"/>
      <c r="CQ33" s="12"/>
      <c r="CU33" s="12"/>
      <c r="CV33" s="12"/>
      <c r="CW33" s="12"/>
      <c r="CX33" s="12"/>
      <c r="DB33" s="12"/>
      <c r="DC33" s="12"/>
      <c r="DD33" s="12"/>
      <c r="DE33" s="12"/>
      <c r="DI33" s="12"/>
      <c r="DJ33" s="12">
        <v>1</v>
      </c>
      <c r="DK33" s="12"/>
      <c r="DL33" s="12"/>
    </row>
    <row r="34" spans="2:116" outlineLevel="1" x14ac:dyDescent="0.2">
      <c r="B34" t="s">
        <v>28</v>
      </c>
      <c r="C34" t="s">
        <v>102</v>
      </c>
      <c r="E34" s="11"/>
      <c r="F34" t="s">
        <v>108</v>
      </c>
      <c r="G34" s="12">
        <v>4.3499999999999997E-2</v>
      </c>
      <c r="I34" s="11">
        <f>+SUMIF($N$3:$ZZ$3,I$3,$N34:$ZZ34)</f>
        <v>0</v>
      </c>
      <c r="J34" s="13" cm="1">
        <f t="array" ref="J34">MAX(IF($N$3:$EH$3=$J$3,N34:EH34))</f>
        <v>0</v>
      </c>
      <c r="K34" s="13" cm="1">
        <f t="array" ref="K34">MAX(IF($N$3:$EH$3=$J$3,N34:EH34))</f>
        <v>0</v>
      </c>
      <c r="L34" s="11"/>
      <c r="O34" s="12"/>
      <c r="P34" s="12"/>
      <c r="Q34" s="12"/>
      <c r="R34" s="12"/>
      <c r="V34" s="12"/>
      <c r="W34" s="12"/>
      <c r="X34" s="12"/>
      <c r="Y34" s="12"/>
      <c r="AC34" s="12"/>
      <c r="AD34" s="12">
        <v>1</v>
      </c>
      <c r="AE34" s="12"/>
      <c r="AF34" s="12"/>
      <c r="AJ34" s="12"/>
      <c r="AK34" s="12">
        <v>1</v>
      </c>
      <c r="AL34" s="12"/>
      <c r="AM34" s="12"/>
      <c r="AQ34" s="12"/>
      <c r="AR34" s="12">
        <v>1</v>
      </c>
      <c r="AS34" s="12"/>
      <c r="AT34" s="12"/>
      <c r="AX34" s="12"/>
      <c r="AY34" s="12"/>
      <c r="AZ34" s="12"/>
      <c r="BA34" s="12"/>
      <c r="BE34" s="12"/>
      <c r="BF34" s="12"/>
      <c r="BG34" s="12"/>
      <c r="BH34" s="12"/>
      <c r="BL34" s="12"/>
      <c r="BM34" s="12"/>
      <c r="BN34" s="12"/>
      <c r="BO34" s="12"/>
      <c r="BS34" s="12"/>
      <c r="BT34" s="12"/>
      <c r="BU34" s="12"/>
      <c r="BV34" s="12"/>
      <c r="BZ34" s="12"/>
      <c r="CA34" s="12"/>
      <c r="CB34" s="12"/>
      <c r="CC34" s="12"/>
      <c r="CG34" s="12"/>
      <c r="CH34" s="12">
        <v>1</v>
      </c>
      <c r="CI34" s="12"/>
      <c r="CJ34" s="12"/>
      <c r="CN34" s="12"/>
      <c r="CO34" s="12"/>
      <c r="CP34" s="12"/>
      <c r="CQ34" s="12"/>
      <c r="CU34" s="12"/>
      <c r="CV34" s="12"/>
      <c r="CW34" s="12"/>
      <c r="CX34" s="12"/>
      <c r="DB34" s="12"/>
      <c r="DC34" s="12"/>
      <c r="DD34" s="12"/>
      <c r="DE34" s="12"/>
      <c r="DI34" s="12"/>
      <c r="DJ34" s="12">
        <v>1</v>
      </c>
      <c r="DK34" s="12"/>
      <c r="DL34" s="12"/>
    </row>
    <row r="35" spans="2:116" outlineLevel="1" x14ac:dyDescent="0.2">
      <c r="B35" t="s">
        <v>28</v>
      </c>
      <c r="C35" t="s">
        <v>102</v>
      </c>
      <c r="E35" s="11"/>
      <c r="F35" t="s">
        <v>109</v>
      </c>
      <c r="G35" s="12">
        <v>4.3499999999999997E-2</v>
      </c>
      <c r="I35" s="11">
        <f>+SUMIF($N$3:$ZZ$3,I$3,$N35:$ZZ35)</f>
        <v>0</v>
      </c>
      <c r="J35" s="13" cm="1">
        <f t="array" ref="J35">MAX(IF($N$3:$EH$3=$J$3,N35:EH35))</f>
        <v>0</v>
      </c>
      <c r="K35" s="13" cm="1">
        <f t="array" ref="K35">MAX(IF($N$3:$EH$3=$J$3,N35:EH35))</f>
        <v>0</v>
      </c>
      <c r="L35" s="11"/>
      <c r="O35" s="12"/>
      <c r="P35" s="12"/>
      <c r="Q35" s="12"/>
      <c r="R35" s="12"/>
      <c r="V35" s="12"/>
      <c r="W35" s="12"/>
      <c r="X35" s="12"/>
      <c r="Y35" s="12"/>
      <c r="AC35" s="12"/>
      <c r="AD35" s="12">
        <v>1</v>
      </c>
      <c r="AE35" s="12"/>
      <c r="AF35" s="12"/>
      <c r="AJ35" s="12"/>
      <c r="AK35" s="12">
        <v>1</v>
      </c>
      <c r="AL35" s="12"/>
      <c r="AM35" s="12"/>
      <c r="AQ35" s="12"/>
      <c r="AR35" s="12">
        <v>1</v>
      </c>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v>1</v>
      </c>
      <c r="CI35" s="12"/>
      <c r="CJ35" s="12"/>
      <c r="CN35" s="12"/>
      <c r="CO35" s="12"/>
      <c r="CP35" s="12"/>
      <c r="CQ35" s="12"/>
      <c r="CU35" s="12"/>
      <c r="CV35" s="12"/>
      <c r="CW35" s="12"/>
      <c r="CX35" s="12"/>
      <c r="DB35" s="12"/>
      <c r="DC35" s="12"/>
      <c r="DD35" s="12"/>
      <c r="DE35" s="12"/>
      <c r="DI35" s="12"/>
      <c r="DJ35" s="12">
        <v>1</v>
      </c>
      <c r="DK35" s="12"/>
      <c r="DL35" s="12"/>
    </row>
    <row r="36" spans="2:116" outlineLevel="1" x14ac:dyDescent="0.2">
      <c r="B36" t="s">
        <v>28</v>
      </c>
      <c r="C36" t="s">
        <v>102</v>
      </c>
      <c r="E36" s="11"/>
      <c r="F36" t="s">
        <v>110</v>
      </c>
      <c r="G36" s="12">
        <v>4.3499999999999997E-2</v>
      </c>
      <c r="I36" s="11">
        <f>+SUMIF($N$3:$ZZ$3,I$3,$N36:$ZZ36)</f>
        <v>0</v>
      </c>
      <c r="J36" s="13" cm="1">
        <f t="array" ref="J36">MAX(IF($N$3:$EH$3=$J$3,N36:EH36))</f>
        <v>0</v>
      </c>
      <c r="K36" s="13" cm="1">
        <f t="array" ref="K36">MAX(IF($N$3:$EH$3=$J$3,N36:EH36))</f>
        <v>0</v>
      </c>
      <c r="L36" s="11"/>
      <c r="O36" s="12"/>
      <c r="P36" s="12"/>
      <c r="Q36" s="12"/>
      <c r="R36" s="12"/>
      <c r="V36" s="12"/>
      <c r="W36" s="12"/>
      <c r="X36" s="12"/>
      <c r="Y36" s="12"/>
      <c r="AC36" s="12"/>
      <c r="AD36" s="12">
        <v>0.5</v>
      </c>
      <c r="AE36" s="12"/>
      <c r="AF36" s="12"/>
      <c r="AJ36" s="12"/>
      <c r="AK36" s="12">
        <v>1</v>
      </c>
      <c r="AL36" s="12"/>
      <c r="AM36" s="12"/>
      <c r="AQ36" s="12"/>
      <c r="AR36" s="12">
        <v>1</v>
      </c>
      <c r="AS36" s="12"/>
      <c r="AT36" s="12"/>
      <c r="AX36" s="12"/>
      <c r="AY36" s="12">
        <v>1</v>
      </c>
      <c r="AZ36" s="12"/>
      <c r="BA36" s="12"/>
      <c r="BE36" s="12"/>
      <c r="BF36" s="12"/>
      <c r="BG36" s="12"/>
      <c r="BH36" s="12"/>
      <c r="BL36" s="12"/>
      <c r="BM36" s="12"/>
      <c r="BN36" s="12"/>
      <c r="BO36" s="12"/>
      <c r="BS36" s="12"/>
      <c r="BT36" s="12"/>
      <c r="BU36" s="12"/>
      <c r="BV36" s="12"/>
      <c r="BZ36" s="12"/>
      <c r="CA36" s="12"/>
      <c r="CB36" s="12"/>
      <c r="CC36" s="12"/>
      <c r="CG36" s="12"/>
      <c r="CH36" s="12">
        <v>1</v>
      </c>
      <c r="CI36" s="12"/>
      <c r="CJ36" s="12"/>
      <c r="CN36" s="12"/>
      <c r="CO36" s="12"/>
      <c r="CP36" s="12"/>
      <c r="CQ36" s="12"/>
      <c r="CU36" s="12"/>
      <c r="CV36" s="12"/>
      <c r="CW36" s="12"/>
      <c r="CX36" s="12"/>
      <c r="DB36" s="12"/>
      <c r="DC36" s="12"/>
      <c r="DD36" s="12"/>
      <c r="DE36" s="12"/>
      <c r="DI36" s="12"/>
      <c r="DJ36" s="12">
        <v>1</v>
      </c>
      <c r="DK36" s="12"/>
      <c r="DL36" s="12"/>
    </row>
    <row r="37" spans="2:116" outlineLevel="1" x14ac:dyDescent="0.2">
      <c r="B37" t="s">
        <v>28</v>
      </c>
      <c r="C37" t="s">
        <v>102</v>
      </c>
      <c r="E37" s="11"/>
      <c r="F37" t="s">
        <v>111</v>
      </c>
      <c r="G37" s="12">
        <v>4.3499999999999997E-2</v>
      </c>
      <c r="I37" s="11">
        <f>+SUMIF($N$3:$ZZ$3,I$3,$N37:$ZZ37)</f>
        <v>0</v>
      </c>
      <c r="J37" s="13" cm="1">
        <f t="array" ref="J37">MAX(IF($N$3:$EH$3=$J$3,N37:EH37))</f>
        <v>0</v>
      </c>
      <c r="K37" s="13" cm="1">
        <f t="array" ref="K37">MAX(IF($N$3:$EH$3=$J$3,N37:EH37))</f>
        <v>0</v>
      </c>
      <c r="L37" s="11"/>
      <c r="O37" s="12"/>
      <c r="P37" s="12"/>
      <c r="Q37" s="12"/>
      <c r="R37" s="12"/>
      <c r="V37" s="12"/>
      <c r="W37" s="12"/>
      <c r="X37" s="12"/>
      <c r="Y37" s="12"/>
      <c r="AC37" s="12"/>
      <c r="AD37" s="12"/>
      <c r="AE37" s="12"/>
      <c r="AF37" s="12"/>
      <c r="AJ37" s="12"/>
      <c r="AK37" s="12">
        <v>1</v>
      </c>
      <c r="AL37" s="12"/>
      <c r="AM37" s="12"/>
      <c r="AQ37" s="12"/>
      <c r="AR37" s="12">
        <v>1</v>
      </c>
      <c r="AS37" s="12"/>
      <c r="AT37" s="12"/>
      <c r="AX37" s="12"/>
      <c r="AY37" s="12">
        <v>1</v>
      </c>
      <c r="AZ37" s="12"/>
      <c r="BA37" s="12"/>
      <c r="BE37" s="12"/>
      <c r="BF37" s="12"/>
      <c r="BG37" s="12"/>
      <c r="BH37" s="12"/>
      <c r="BL37" s="12"/>
      <c r="BM37" s="12"/>
      <c r="BN37" s="12"/>
      <c r="BO37" s="12"/>
      <c r="BS37" s="12"/>
      <c r="BT37" s="12"/>
      <c r="BU37" s="12"/>
      <c r="BV37" s="12"/>
      <c r="BZ37" s="12"/>
      <c r="CA37" s="12"/>
      <c r="CB37" s="12"/>
      <c r="CC37" s="12"/>
      <c r="CG37" s="12"/>
      <c r="CH37" s="12">
        <v>1</v>
      </c>
      <c r="CI37" s="12"/>
      <c r="CJ37" s="12"/>
      <c r="CN37" s="12"/>
      <c r="CO37" s="12"/>
      <c r="CP37" s="12"/>
      <c r="CQ37" s="12"/>
      <c r="CU37" s="12"/>
      <c r="CV37" s="12"/>
      <c r="CW37" s="12"/>
      <c r="CX37" s="12"/>
      <c r="DB37" s="12"/>
      <c r="DC37" s="12"/>
      <c r="DD37" s="12"/>
      <c r="DE37" s="12"/>
      <c r="DI37" s="12"/>
      <c r="DJ37" s="12">
        <v>1</v>
      </c>
      <c r="DK37" s="12"/>
      <c r="DL37" s="12"/>
    </row>
    <row r="38" spans="2:116" outlineLevel="1" x14ac:dyDescent="0.2">
      <c r="B38" t="s">
        <v>28</v>
      </c>
      <c r="C38" t="s">
        <v>102</v>
      </c>
      <c r="E38" s="11"/>
      <c r="F38" t="s">
        <v>112</v>
      </c>
      <c r="G38" s="12">
        <v>4.3499999999999997E-2</v>
      </c>
      <c r="I38" s="11">
        <f>+SUMIF($N$3:$ZZ$3,I$3,$N38:$ZZ38)</f>
        <v>0</v>
      </c>
      <c r="J38" s="13" cm="1">
        <f t="array" ref="J38">MAX(IF($N$3:$EH$3=$J$3,N38:EH38))</f>
        <v>0</v>
      </c>
      <c r="K38" s="13" cm="1">
        <f t="array" ref="K38">MAX(IF($N$3:$EH$3=$J$3,N38:EH38))</f>
        <v>0</v>
      </c>
      <c r="L38" s="11"/>
      <c r="O38" s="12"/>
      <c r="P38" s="12"/>
      <c r="Q38" s="12"/>
      <c r="R38" s="12"/>
      <c r="V38" s="12"/>
      <c r="W38" s="12"/>
      <c r="X38" s="12"/>
      <c r="Y38" s="12"/>
      <c r="AC38" s="12"/>
      <c r="AD38" s="12"/>
      <c r="AE38" s="12"/>
      <c r="AF38" s="12"/>
      <c r="AJ38" s="12"/>
      <c r="AK38" s="12">
        <v>0.5</v>
      </c>
      <c r="AL38" s="12"/>
      <c r="AM38" s="12"/>
      <c r="AQ38" s="12"/>
      <c r="AR38" s="12">
        <v>1</v>
      </c>
      <c r="AS38" s="12"/>
      <c r="AT38" s="12"/>
      <c r="AX38" s="12"/>
      <c r="AY38" s="12">
        <v>1</v>
      </c>
      <c r="AZ38" s="12"/>
      <c r="BA38" s="12"/>
      <c r="BE38" s="12"/>
      <c r="BF38" s="12">
        <v>1</v>
      </c>
      <c r="BG38" s="12"/>
      <c r="BH38" s="12"/>
      <c r="BL38" s="12"/>
      <c r="BM38" s="12"/>
      <c r="BN38" s="12"/>
      <c r="BO38" s="12"/>
      <c r="BS38" s="12"/>
      <c r="BT38" s="12"/>
      <c r="BU38" s="12"/>
      <c r="BV38" s="12"/>
      <c r="BZ38" s="12"/>
      <c r="CA38" s="12"/>
      <c r="CB38" s="12"/>
      <c r="CC38" s="12"/>
      <c r="CG38" s="12"/>
      <c r="CH38" s="12">
        <v>1</v>
      </c>
      <c r="CI38" s="12"/>
      <c r="CJ38" s="12"/>
      <c r="CN38" s="12"/>
      <c r="CO38" s="12"/>
      <c r="CP38" s="12"/>
      <c r="CQ38" s="12"/>
      <c r="CU38" s="12"/>
      <c r="CV38" s="12"/>
      <c r="CW38" s="12"/>
      <c r="CX38" s="12"/>
      <c r="DB38" s="12"/>
      <c r="DC38" s="12"/>
      <c r="DD38" s="12"/>
      <c r="DE38" s="12"/>
      <c r="DI38" s="12"/>
      <c r="DJ38" s="12">
        <v>1</v>
      </c>
      <c r="DK38" s="12"/>
      <c r="DL38" s="12"/>
    </row>
    <row r="39" spans="2:116" outlineLevel="1" x14ac:dyDescent="0.2">
      <c r="B39" t="s">
        <v>28</v>
      </c>
      <c r="C39" t="s">
        <v>102</v>
      </c>
      <c r="E39" s="11"/>
      <c r="F39" t="s">
        <v>113</v>
      </c>
      <c r="G39" s="12">
        <v>4.3499999999999997E-2</v>
      </c>
      <c r="I39" s="11">
        <f>+SUMIF($N$3:$ZZ$3,I$3,$N39:$ZZ39)</f>
        <v>0</v>
      </c>
      <c r="J39" s="13" cm="1">
        <f t="array" ref="J39">MAX(IF($N$3:$EH$3=$J$3,N39:EH39))</f>
        <v>0</v>
      </c>
      <c r="K39" s="13" cm="1">
        <f t="array" ref="K39">MAX(IF($N$3:$EH$3=$J$3,N39:EH39))</f>
        <v>0</v>
      </c>
      <c r="L39" s="11"/>
      <c r="O39" s="12"/>
      <c r="P39" s="12"/>
      <c r="Q39" s="12"/>
      <c r="R39" s="12"/>
      <c r="V39" s="12"/>
      <c r="W39" s="12"/>
      <c r="X39" s="12"/>
      <c r="Y39" s="12"/>
      <c r="AC39" s="12"/>
      <c r="AD39" s="12"/>
      <c r="AE39" s="12"/>
      <c r="AF39" s="12"/>
      <c r="AJ39" s="12"/>
      <c r="AK39" s="12"/>
      <c r="AL39" s="12"/>
      <c r="AM39" s="12"/>
      <c r="AQ39" s="12"/>
      <c r="AR39" s="12">
        <v>1</v>
      </c>
      <c r="AS39" s="12"/>
      <c r="AT39" s="12"/>
      <c r="AX39" s="12"/>
      <c r="AY39" s="12">
        <v>1</v>
      </c>
      <c r="AZ39" s="12"/>
      <c r="BA39" s="12"/>
      <c r="BE39" s="12"/>
      <c r="BF39" s="12">
        <v>1</v>
      </c>
      <c r="BG39" s="12"/>
      <c r="BH39" s="12"/>
      <c r="BL39" s="12"/>
      <c r="BM39" s="12"/>
      <c r="BN39" s="12"/>
      <c r="BO39" s="12"/>
      <c r="BS39" s="12"/>
      <c r="BT39" s="12"/>
      <c r="BU39" s="12"/>
      <c r="BV39" s="12"/>
      <c r="BZ39" s="12"/>
      <c r="CA39" s="12"/>
      <c r="CB39" s="12"/>
      <c r="CC39" s="12"/>
      <c r="CG39" s="12"/>
      <c r="CH39" s="12">
        <v>1</v>
      </c>
      <c r="CI39" s="12"/>
      <c r="CJ39" s="12"/>
      <c r="CN39" s="12"/>
      <c r="CO39" s="12"/>
      <c r="CP39" s="12"/>
      <c r="CQ39" s="12"/>
      <c r="CU39" s="12"/>
      <c r="CV39" s="12"/>
      <c r="CW39" s="12"/>
      <c r="CX39" s="12"/>
      <c r="DB39" s="12"/>
      <c r="DC39" s="12"/>
      <c r="DD39" s="12"/>
      <c r="DE39" s="12"/>
      <c r="DI39" s="12"/>
      <c r="DJ39" s="12">
        <v>1</v>
      </c>
      <c r="DK39" s="12"/>
      <c r="DL39" s="12"/>
    </row>
    <row r="40" spans="2:116" outlineLevel="1" x14ac:dyDescent="0.2">
      <c r="B40" t="s">
        <v>28</v>
      </c>
      <c r="C40" t="s">
        <v>102</v>
      </c>
      <c r="E40" s="11"/>
      <c r="F40" t="s">
        <v>114</v>
      </c>
      <c r="G40" s="12">
        <v>4.3499999999999997E-2</v>
      </c>
      <c r="I40" s="11">
        <f>+SUMIF($N$3:$ZZ$3,I$3,$N40:$ZZ40)</f>
        <v>0</v>
      </c>
      <c r="J40" s="13" cm="1">
        <f t="array" ref="J40">MAX(IF($N$3:$EH$3=$J$3,N40:EH40))</f>
        <v>0</v>
      </c>
      <c r="K40" s="13" cm="1">
        <f t="array" ref="K40">MAX(IF($N$3:$EH$3=$J$3,N40:EH40))</f>
        <v>0</v>
      </c>
      <c r="L40" s="11"/>
      <c r="O40" s="12"/>
      <c r="P40" s="12"/>
      <c r="Q40" s="12"/>
      <c r="R40" s="12"/>
      <c r="V40" s="12"/>
      <c r="W40" s="12"/>
      <c r="X40" s="12"/>
      <c r="Y40" s="12"/>
      <c r="AC40" s="12"/>
      <c r="AD40" s="12"/>
      <c r="AE40" s="12"/>
      <c r="AF40" s="12"/>
      <c r="AJ40" s="12"/>
      <c r="AK40" s="12"/>
      <c r="AL40" s="12"/>
      <c r="AM40" s="12"/>
      <c r="AQ40" s="12"/>
      <c r="AR40" s="12">
        <v>0.5</v>
      </c>
      <c r="AS40" s="12"/>
      <c r="AT40" s="12"/>
      <c r="AX40" s="12"/>
      <c r="AY40" s="12">
        <v>1</v>
      </c>
      <c r="AZ40" s="12"/>
      <c r="BA40" s="12"/>
      <c r="BE40" s="12"/>
      <c r="BF40" s="12">
        <v>1</v>
      </c>
      <c r="BG40" s="12"/>
      <c r="BH40" s="12"/>
      <c r="BL40" s="12"/>
      <c r="BM40" s="12">
        <v>1</v>
      </c>
      <c r="BN40" s="12"/>
      <c r="BO40" s="12"/>
      <c r="BS40" s="12"/>
      <c r="BT40" s="12"/>
      <c r="BU40" s="12"/>
      <c r="BV40" s="12"/>
      <c r="BZ40" s="12"/>
      <c r="CA40" s="12"/>
      <c r="CB40" s="12"/>
      <c r="CC40" s="12"/>
      <c r="CG40" s="12"/>
      <c r="CH40" s="12">
        <v>1</v>
      </c>
      <c r="CI40" s="12"/>
      <c r="CJ40" s="12"/>
      <c r="CN40" s="12"/>
      <c r="CO40" s="12"/>
      <c r="CP40" s="12"/>
      <c r="CQ40" s="12"/>
      <c r="CU40" s="12"/>
      <c r="CV40" s="12"/>
      <c r="CW40" s="12"/>
      <c r="CX40" s="12"/>
      <c r="DB40" s="12"/>
      <c r="DC40" s="12"/>
      <c r="DD40" s="12"/>
      <c r="DE40" s="12"/>
      <c r="DI40" s="12"/>
      <c r="DJ40" s="12">
        <v>1</v>
      </c>
      <c r="DK40" s="12"/>
      <c r="DL40" s="12"/>
    </row>
    <row r="41" spans="2:116" outlineLevel="1" x14ac:dyDescent="0.2">
      <c r="B41" t="s">
        <v>28</v>
      </c>
      <c r="C41" t="s">
        <v>102</v>
      </c>
      <c r="E41" s="11"/>
      <c r="F41" t="s">
        <v>115</v>
      </c>
      <c r="G41" s="12">
        <v>4.3499999999999997E-2</v>
      </c>
      <c r="I41" s="11">
        <f>+SUMIF($N$3:$ZZ$3,I$3,$N41:$ZZ41)</f>
        <v>0</v>
      </c>
      <c r="J41" s="13" cm="1">
        <f t="array" ref="J41">MAX(IF($N$3:$EH$3=$J$3,N41:EH41))</f>
        <v>0</v>
      </c>
      <c r="K41" s="13" cm="1">
        <f t="array" ref="K41">MAX(IF($N$3:$EH$3=$J$3,N41:EH41))</f>
        <v>0</v>
      </c>
      <c r="L41" s="11"/>
      <c r="O41" s="12"/>
      <c r="P41" s="12"/>
      <c r="Q41" s="12"/>
      <c r="R41" s="12"/>
      <c r="V41" s="12"/>
      <c r="W41" s="12"/>
      <c r="X41" s="12"/>
      <c r="Y41" s="12"/>
      <c r="AC41" s="12"/>
      <c r="AD41" s="12"/>
      <c r="AE41" s="12"/>
      <c r="AF41" s="12"/>
      <c r="AJ41" s="12"/>
      <c r="AK41" s="12"/>
      <c r="AL41" s="12"/>
      <c r="AM41" s="12"/>
      <c r="AQ41" s="12"/>
      <c r="AR41" s="12"/>
      <c r="AS41" s="12"/>
      <c r="AT41" s="12"/>
      <c r="AX41" s="12"/>
      <c r="AY41" s="12">
        <v>1</v>
      </c>
      <c r="AZ41" s="12"/>
      <c r="BA41" s="12"/>
      <c r="BE41" s="12"/>
      <c r="BF41" s="12">
        <v>1</v>
      </c>
      <c r="BG41" s="12"/>
      <c r="BH41" s="12"/>
      <c r="BL41" s="12"/>
      <c r="BM41" s="12">
        <v>1</v>
      </c>
      <c r="BN41" s="12"/>
      <c r="BO41" s="12"/>
      <c r="BS41" s="12"/>
      <c r="BT41" s="12"/>
      <c r="BU41" s="12"/>
      <c r="BV41" s="12"/>
      <c r="BZ41" s="12"/>
      <c r="CA41" s="12"/>
      <c r="CB41" s="12"/>
      <c r="CC41" s="12"/>
      <c r="CG41" s="12"/>
      <c r="CH41" s="12">
        <v>1</v>
      </c>
      <c r="CI41" s="12"/>
      <c r="CJ41" s="12"/>
      <c r="CN41" s="12"/>
      <c r="CO41" s="12"/>
      <c r="CP41" s="12"/>
      <c r="CQ41" s="12"/>
      <c r="CU41" s="12"/>
      <c r="CV41" s="12"/>
      <c r="CW41" s="12"/>
      <c r="CX41" s="12"/>
      <c r="DB41" s="12"/>
      <c r="DC41" s="12"/>
      <c r="DD41" s="12"/>
      <c r="DE41" s="12"/>
      <c r="DI41" s="12"/>
      <c r="DJ41" s="12">
        <v>1</v>
      </c>
      <c r="DK41" s="12"/>
      <c r="DL41" s="12"/>
    </row>
    <row r="42" spans="2:116" outlineLevel="1" x14ac:dyDescent="0.2">
      <c r="B42" t="s">
        <v>28</v>
      </c>
      <c r="C42" t="s">
        <v>102</v>
      </c>
      <c r="E42" s="11"/>
      <c r="F42" t="s">
        <v>116</v>
      </c>
      <c r="G42" s="12">
        <v>4.3499999999999997E-2</v>
      </c>
      <c r="I42" s="11">
        <f>+SUMIF($N$3:$ZZ$3,I$3,$N42:$ZZ42)</f>
        <v>0</v>
      </c>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c r="AL42" s="12"/>
      <c r="AM42" s="12"/>
      <c r="AQ42" s="12"/>
      <c r="AR42" s="12"/>
      <c r="AS42" s="12"/>
      <c r="AT42" s="12"/>
      <c r="AX42" s="12"/>
      <c r="AY42" s="12">
        <v>0.8</v>
      </c>
      <c r="AZ42" s="12"/>
      <c r="BA42" s="12"/>
      <c r="BE42" s="12"/>
      <c r="BF42" s="12">
        <v>1</v>
      </c>
      <c r="BG42" s="12"/>
      <c r="BH42" s="12"/>
      <c r="BL42" s="12"/>
      <c r="BM42" s="12">
        <v>1</v>
      </c>
      <c r="BN42" s="12"/>
      <c r="BO42" s="12"/>
      <c r="BS42" s="12"/>
      <c r="BT42" s="12">
        <v>1</v>
      </c>
      <c r="BU42" s="12"/>
      <c r="BV42" s="12"/>
      <c r="BZ42" s="12"/>
      <c r="CA42" s="12"/>
      <c r="CB42" s="12"/>
      <c r="CC42" s="12"/>
      <c r="CG42" s="12"/>
      <c r="CH42" s="12">
        <v>1</v>
      </c>
      <c r="CI42" s="12"/>
      <c r="CJ42" s="12"/>
      <c r="CN42" s="12"/>
      <c r="CO42" s="12"/>
      <c r="CP42" s="12"/>
      <c r="CQ42" s="12"/>
      <c r="CU42" s="12"/>
      <c r="CV42" s="12"/>
      <c r="CW42" s="12"/>
      <c r="CX42" s="12"/>
      <c r="DB42" s="12"/>
      <c r="DC42" s="12"/>
      <c r="DD42" s="12"/>
      <c r="DE42" s="12"/>
      <c r="DI42" s="12"/>
      <c r="DJ42" s="12">
        <v>1</v>
      </c>
      <c r="DK42" s="12"/>
      <c r="DL42" s="12"/>
    </row>
    <row r="43" spans="2:116" outlineLevel="1" x14ac:dyDescent="0.2">
      <c r="B43" t="s">
        <v>28</v>
      </c>
      <c r="C43" t="s">
        <v>102</v>
      </c>
      <c r="E43" s="11"/>
      <c r="F43" t="s">
        <v>117</v>
      </c>
      <c r="G43" s="12">
        <v>4.3499999999999997E-2</v>
      </c>
      <c r="I43" s="11">
        <f>+SUMIF($N$3:$ZZ$3,I$3,$N43:$ZZ43)</f>
        <v>0</v>
      </c>
      <c r="J43" s="13" cm="1">
        <f t="array" ref="J43">MAX(IF($N$3:$EH$3=$J$3,N43:EH43))</f>
        <v>0</v>
      </c>
      <c r="K43" s="13" cm="1">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v>1</v>
      </c>
      <c r="BG43" s="12"/>
      <c r="BH43" s="12"/>
      <c r="BL43" s="12"/>
      <c r="BM43" s="12">
        <v>1</v>
      </c>
      <c r="BN43" s="12"/>
      <c r="BO43" s="12"/>
      <c r="BS43" s="12"/>
      <c r="BT43" s="12">
        <v>1</v>
      </c>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v>1</v>
      </c>
      <c r="DK43" s="12"/>
      <c r="DL43" s="12"/>
    </row>
    <row r="44" spans="2:116" outlineLevel="1" x14ac:dyDescent="0.2">
      <c r="B44" t="s">
        <v>28</v>
      </c>
      <c r="C44" t="s">
        <v>102</v>
      </c>
      <c r="E44" s="11"/>
      <c r="F44" t="s">
        <v>118</v>
      </c>
      <c r="G44" s="12">
        <v>4.3499999999999997E-2</v>
      </c>
      <c r="I44" s="11">
        <f>+SUMIF($N$3:$ZZ$3,I$3,$N44:$ZZ44)</f>
        <v>0</v>
      </c>
      <c r="J44" s="13" cm="1">
        <f t="array" ref="J44">MAX(IF($N$3:$EH$3=$J$3,N44:EH44))</f>
        <v>0</v>
      </c>
      <c r="K44" s="13" cm="1">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v>0.8</v>
      </c>
      <c r="BG44" s="12"/>
      <c r="BH44" s="12"/>
      <c r="BL44" s="12"/>
      <c r="BM44" s="12">
        <v>1</v>
      </c>
      <c r="BN44" s="12"/>
      <c r="BO44" s="12"/>
      <c r="BS44" s="12"/>
      <c r="BT44" s="12">
        <v>1</v>
      </c>
      <c r="BU44" s="12"/>
      <c r="BV44" s="12"/>
      <c r="BZ44" s="12"/>
      <c r="CA44" s="12">
        <v>1</v>
      </c>
      <c r="CB44" s="12"/>
      <c r="CC44" s="12"/>
      <c r="CG44" s="12"/>
      <c r="CH44" s="12">
        <v>1</v>
      </c>
      <c r="CI44" s="12"/>
      <c r="CJ44" s="12"/>
      <c r="CN44" s="12"/>
      <c r="CO44" s="12"/>
      <c r="CP44" s="12"/>
      <c r="CQ44" s="12"/>
      <c r="CU44" s="12"/>
      <c r="CV44" s="12"/>
      <c r="CW44" s="12"/>
      <c r="CX44" s="12"/>
      <c r="DB44" s="12"/>
      <c r="DC44" s="12"/>
      <c r="DD44" s="12"/>
      <c r="DE44" s="12"/>
      <c r="DI44" s="12"/>
      <c r="DJ44" s="12">
        <v>1</v>
      </c>
      <c r="DK44" s="12"/>
      <c r="DL44" s="12"/>
    </row>
    <row r="45" spans="2:116" outlineLevel="1" x14ac:dyDescent="0.2">
      <c r="B45" t="s">
        <v>28</v>
      </c>
      <c r="C45" t="s">
        <v>102</v>
      </c>
      <c r="E45" s="11"/>
      <c r="F45" t="s">
        <v>119</v>
      </c>
      <c r="G45" s="12">
        <v>4.3499999999999997E-2</v>
      </c>
      <c r="I45" s="11">
        <f>+SUMIF($N$3:$ZZ$3,I$3,$N45:$ZZ45)</f>
        <v>0</v>
      </c>
      <c r="J45" s="13" cm="1">
        <f t="array" ref="J45">MAX(IF($N$3:$EH$3=$J$3,N45:EH45))</f>
        <v>0</v>
      </c>
      <c r="K45" s="13" cm="1">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v>1</v>
      </c>
      <c r="BN45" s="12"/>
      <c r="BO45" s="12"/>
      <c r="BS45" s="12"/>
      <c r="BT45" s="12">
        <v>1</v>
      </c>
      <c r="BU45" s="12"/>
      <c r="BV45" s="12"/>
      <c r="BZ45" s="12"/>
      <c r="CA45" s="12">
        <v>1</v>
      </c>
      <c r="CB45" s="12"/>
      <c r="CC45" s="12"/>
      <c r="CG45" s="12"/>
      <c r="CH45" s="12">
        <v>1</v>
      </c>
      <c r="CI45" s="12"/>
      <c r="CJ45" s="12"/>
      <c r="CN45" s="12"/>
      <c r="CO45" s="12"/>
      <c r="CP45" s="12"/>
      <c r="CQ45" s="12"/>
      <c r="CU45" s="12"/>
      <c r="CV45" s="12"/>
      <c r="CW45" s="12"/>
      <c r="CX45" s="12"/>
      <c r="DB45" s="12"/>
      <c r="DC45" s="12"/>
      <c r="DD45" s="12"/>
      <c r="DE45" s="12"/>
      <c r="DI45" s="12"/>
      <c r="DJ45" s="12">
        <v>1</v>
      </c>
      <c r="DK45" s="12"/>
      <c r="DL45" s="12"/>
    </row>
    <row r="46" spans="2:116" outlineLevel="1" x14ac:dyDescent="0.2">
      <c r="B46" t="s">
        <v>28</v>
      </c>
      <c r="C46" t="s">
        <v>102</v>
      </c>
      <c r="E46" s="11"/>
      <c r="F46" t="s">
        <v>120</v>
      </c>
      <c r="G46" s="12">
        <v>4.3499999999999997E-2</v>
      </c>
      <c r="I46" s="11">
        <f>+SUMIF($N$3:$ZZ$3,I$3,$N46:$ZZ46)</f>
        <v>0</v>
      </c>
      <c r="J46" s="13" cm="1">
        <f t="array" ref="J46">MAX(IF($N$3:$EH$3=$J$3,N46:EH46))</f>
        <v>0</v>
      </c>
      <c r="K46" s="13" cm="1">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v>0.8</v>
      </c>
      <c r="BN46" s="12"/>
      <c r="BO46" s="12"/>
      <c r="BS46" s="12"/>
      <c r="BT46" s="12">
        <v>1</v>
      </c>
      <c r="BU46" s="12"/>
      <c r="BV46" s="12"/>
      <c r="BZ46" s="12"/>
      <c r="CA46" s="12">
        <v>1</v>
      </c>
      <c r="CB46" s="12"/>
      <c r="CC46" s="12"/>
      <c r="CG46" s="12"/>
      <c r="CH46" s="12">
        <v>1</v>
      </c>
      <c r="CI46" s="12"/>
      <c r="CJ46" s="12"/>
      <c r="CN46" s="12"/>
      <c r="CO46" s="12"/>
      <c r="CP46" s="12"/>
      <c r="CQ46" s="12"/>
      <c r="CU46" s="12"/>
      <c r="CV46" s="12"/>
      <c r="CW46" s="12"/>
      <c r="CX46" s="12"/>
      <c r="DB46" s="12"/>
      <c r="DC46" s="12"/>
      <c r="DD46" s="12"/>
      <c r="DE46" s="12"/>
      <c r="DI46" s="12"/>
      <c r="DJ46" s="12">
        <v>1</v>
      </c>
      <c r="DK46" s="12"/>
      <c r="DL46" s="12"/>
    </row>
    <row r="47" spans="2:116" outlineLevel="1" x14ac:dyDescent="0.2">
      <c r="B47" t="s">
        <v>28</v>
      </c>
      <c r="C47" t="s">
        <v>102</v>
      </c>
      <c r="E47" s="11"/>
      <c r="F47" t="s">
        <v>121</v>
      </c>
      <c r="G47" s="12">
        <v>4.3499999999999997E-2</v>
      </c>
      <c r="I47" s="11">
        <f>+SUMIF($N$3:$ZZ$3,I$3,$N47:$ZZ47)</f>
        <v>0</v>
      </c>
      <c r="J47" s="13" cm="1">
        <f t="array" ref="J47">MAX(IF($N$3:$EH$3=$J$3,N47:EH47))</f>
        <v>0</v>
      </c>
      <c r="K47" s="13" cm="1">
        <f t="array" ref="K47">MAX(IF($N$3:$EH$3=$J$3,N47:EH47))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v>1</v>
      </c>
      <c r="BU47" s="12"/>
      <c r="BV47" s="12"/>
      <c r="BZ47" s="12"/>
      <c r="CA47" s="12">
        <v>1</v>
      </c>
      <c r="CB47" s="12"/>
      <c r="CC47" s="12"/>
      <c r="CG47" s="12"/>
      <c r="CH47" s="12">
        <v>1</v>
      </c>
      <c r="CI47" s="12"/>
      <c r="CJ47" s="12"/>
      <c r="CN47" s="12"/>
      <c r="CO47" s="12"/>
      <c r="CP47" s="12"/>
      <c r="CQ47" s="12"/>
      <c r="CU47" s="12"/>
      <c r="CV47" s="12"/>
      <c r="CW47" s="12"/>
      <c r="CX47" s="12"/>
      <c r="DB47" s="12"/>
      <c r="DC47" s="12"/>
      <c r="DD47" s="12"/>
      <c r="DE47" s="12"/>
      <c r="DI47" s="12"/>
      <c r="DJ47" s="12">
        <v>1</v>
      </c>
      <c r="DK47" s="12"/>
      <c r="DL47" s="12"/>
    </row>
    <row r="48" spans="2:116" outlineLevel="1" x14ac:dyDescent="0.2">
      <c r="B48" t="s">
        <v>28</v>
      </c>
      <c r="C48" t="s">
        <v>102</v>
      </c>
      <c r="E48" s="11"/>
      <c r="F48" t="s">
        <v>122</v>
      </c>
      <c r="G48" s="12">
        <v>4.3499999999999997E-2</v>
      </c>
      <c r="I48" s="11">
        <f>+SUMIF($N$3:$ZZ$3,I$3,$N48:$ZZ48)</f>
        <v>0</v>
      </c>
      <c r="J48" s="13" cm="1">
        <f t="array" ref="J48">MAX(IF($N$3:$EH$3=$J$3,N48:EH48))</f>
        <v>0</v>
      </c>
      <c r="K48" s="13" cm="1">
        <f t="array" ref="K48">MAX(IF($N$3:$EH$3=$J$3,N48:EH48))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v>1</v>
      </c>
      <c r="BU48" s="12"/>
      <c r="BV48" s="12"/>
      <c r="BZ48" s="12"/>
      <c r="CA48" s="12">
        <v>1</v>
      </c>
      <c r="CB48" s="12"/>
      <c r="CC48" s="12"/>
      <c r="CG48" s="12"/>
      <c r="CH48" s="12">
        <v>1</v>
      </c>
      <c r="CI48" s="12"/>
      <c r="CJ48" s="12"/>
      <c r="CN48" s="12"/>
      <c r="CO48" s="12"/>
      <c r="CP48" s="12"/>
      <c r="CQ48" s="12"/>
      <c r="CU48" s="12"/>
      <c r="CV48" s="12"/>
      <c r="CW48" s="12"/>
      <c r="CX48" s="12"/>
      <c r="DB48" s="12"/>
      <c r="DC48" s="12"/>
      <c r="DD48" s="12"/>
      <c r="DE48" s="12"/>
      <c r="DI48" s="12"/>
      <c r="DJ48" s="12">
        <v>1</v>
      </c>
      <c r="DK48" s="12"/>
      <c r="DL48" s="12"/>
    </row>
    <row r="49" spans="2:116" outlineLevel="1" x14ac:dyDescent="0.2">
      <c r="B49" t="s">
        <v>28</v>
      </c>
      <c r="C49" t="s">
        <v>102</v>
      </c>
      <c r="E49" s="11"/>
      <c r="F49" t="s">
        <v>123</v>
      </c>
      <c r="G49" s="12">
        <v>4.3499999999999997E-2</v>
      </c>
      <c r="I49" s="11">
        <f>+SUMIF($N$3:$ZZ$3,I$3,$N49:$ZZ49)</f>
        <v>0</v>
      </c>
      <c r="J49" s="13" cm="1">
        <f t="array" ref="J49">MAX(IF($N$3:$EH$3=$J$3,N49:EH49))</f>
        <v>0</v>
      </c>
      <c r="K49" s="13" cm="1">
        <f t="array" ref="K49">MAX(IF($N$3:$EH$3=$J$3,N49:EH49))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v>1</v>
      </c>
      <c r="CB49" s="12"/>
      <c r="CC49" s="12"/>
      <c r="CG49" s="12"/>
      <c r="CH49" s="12">
        <v>1</v>
      </c>
      <c r="CI49" s="12"/>
      <c r="CJ49" s="12"/>
      <c r="CN49" s="12"/>
      <c r="CO49" s="12"/>
      <c r="CP49" s="12"/>
      <c r="CQ49" s="12"/>
      <c r="CU49" s="12"/>
      <c r="CV49" s="12"/>
      <c r="CW49" s="12"/>
      <c r="CX49" s="12"/>
      <c r="DB49" s="12"/>
      <c r="DC49" s="12"/>
      <c r="DD49" s="12"/>
      <c r="DE49" s="12"/>
      <c r="DI49" s="12"/>
      <c r="DJ49" s="12">
        <v>1</v>
      </c>
      <c r="DK49" s="12"/>
      <c r="DL49" s="12"/>
    </row>
    <row r="50" spans="2:116" outlineLevel="1" x14ac:dyDescent="0.2">
      <c r="B50" t="s">
        <v>28</v>
      </c>
      <c r="C50" t="s">
        <v>102</v>
      </c>
      <c r="E50" s="11"/>
      <c r="F50" t="s">
        <v>124</v>
      </c>
      <c r="G50" s="12">
        <v>4.3499999999999997E-2</v>
      </c>
      <c r="I50" s="11">
        <f>+SUMIF($N$3:$ZZ$3,I$3,$N50:$ZZ50)</f>
        <v>0</v>
      </c>
      <c r="J50" s="13" cm="1">
        <f t="array" ref="J50">MAX(IF($N$3:$EH$3=$J$3,N50:EH50))</f>
        <v>0</v>
      </c>
      <c r="K50" s="13" cm="1">
        <f t="array" ref="K50">MAX(IF($N$3:$EH$3=$J$3,N50:EH50))</f>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v>1</v>
      </c>
      <c r="CB50" s="12"/>
      <c r="CC50" s="12"/>
      <c r="CG50" s="12"/>
      <c r="CH50" s="12">
        <v>1</v>
      </c>
      <c r="CI50" s="12"/>
      <c r="CJ50" s="12"/>
      <c r="CN50" s="12"/>
      <c r="CO50" s="12"/>
      <c r="CP50" s="12"/>
      <c r="CQ50" s="12"/>
      <c r="CU50" s="12"/>
      <c r="CV50" s="12"/>
      <c r="CW50" s="12"/>
      <c r="CX50" s="12"/>
      <c r="DB50" s="12"/>
      <c r="DC50" s="12"/>
      <c r="DD50" s="12"/>
      <c r="DE50" s="12"/>
      <c r="DI50" s="12"/>
      <c r="DJ50" s="12">
        <v>1</v>
      </c>
      <c r="DK50" s="12"/>
      <c r="DL50" s="12"/>
    </row>
    <row r="51" spans="2:116" outlineLevel="1" x14ac:dyDescent="0.2">
      <c r="B51" t="s">
        <v>28</v>
      </c>
      <c r="C51" t="s">
        <v>102</v>
      </c>
      <c r="E51" s="11"/>
      <c r="F51" t="s">
        <v>126</v>
      </c>
      <c r="G51" s="12">
        <v>4.3499999999999997E-2</v>
      </c>
      <c r="I51" s="11">
        <f>+SUMIF($N$3:$ZZ$3,I$3,$N51:$ZZ51)</f>
        <v>0</v>
      </c>
      <c r="J51" s="13" cm="1">
        <f t="array" ref="J51">MAX(IF($N$3:$EH$3=$J$3,N51:EH51))</f>
        <v>0</v>
      </c>
      <c r="K51" s="13" cm="1">
        <f t="array" ref="K51">MAX(IF($N$3:$EH$3=$J$3,N51:EH51))</f>
        <v>0</v>
      </c>
      <c r="L51" s="11"/>
      <c r="O51" s="12"/>
      <c r="P51" s="12"/>
      <c r="Q51" s="12"/>
      <c r="R51" s="12"/>
      <c r="V51" s="12"/>
      <c r="W51" s="12"/>
      <c r="X51" s="12"/>
      <c r="Y51" s="12"/>
      <c r="AC51" s="12"/>
      <c r="AD51" s="12"/>
      <c r="AE51" s="12"/>
      <c r="AF51" s="12"/>
      <c r="AJ51" s="12"/>
      <c r="AK51" s="12"/>
      <c r="AL51" s="12"/>
      <c r="AM51" s="12"/>
      <c r="AQ51" s="12"/>
      <c r="AR51" s="12"/>
      <c r="AS51" s="12"/>
      <c r="AT51" s="12"/>
      <c r="AX51" s="12"/>
      <c r="AY51" s="12"/>
      <c r="AZ51" s="12"/>
      <c r="BA51" s="12"/>
      <c r="BE51" s="12"/>
      <c r="BF51" s="12"/>
      <c r="BG51" s="12"/>
      <c r="BH51" s="12"/>
      <c r="BL51" s="12"/>
      <c r="BM51" s="12"/>
      <c r="BN51" s="12"/>
      <c r="BO51" s="12"/>
      <c r="BS51" s="12"/>
      <c r="BT51" s="12"/>
      <c r="BU51" s="12"/>
      <c r="BV51" s="12"/>
      <c r="BZ51" s="12"/>
      <c r="CA51" s="12"/>
      <c r="CB51" s="12"/>
      <c r="CC51" s="12"/>
      <c r="CG51" s="12"/>
      <c r="CH51" s="12">
        <v>1</v>
      </c>
      <c r="CI51" s="12"/>
      <c r="CJ51" s="12"/>
      <c r="CN51" s="12"/>
      <c r="CO51" s="12"/>
      <c r="CP51" s="12"/>
      <c r="CQ51" s="12"/>
      <c r="CU51" s="12"/>
      <c r="CV51" s="12"/>
      <c r="CW51" s="12"/>
      <c r="CX51" s="12"/>
      <c r="DB51" s="12"/>
      <c r="DC51" s="12"/>
      <c r="DD51" s="12"/>
      <c r="DE51" s="12"/>
      <c r="DI51" s="12"/>
      <c r="DJ51" s="12">
        <v>1</v>
      </c>
      <c r="DK51" s="12"/>
      <c r="DL51" s="12"/>
    </row>
    <row r="52" spans="2:116" outlineLevel="1" x14ac:dyDescent="0.2">
      <c r="B52" t="s">
        <v>28</v>
      </c>
      <c r="C52" t="s">
        <v>102</v>
      </c>
      <c r="E52" s="11"/>
      <c r="F52" t="s">
        <v>125</v>
      </c>
      <c r="G52" s="12">
        <v>4.3499999999999997E-2</v>
      </c>
      <c r="I52" s="11">
        <f>+SUMIF($N$3:$ZZ$3,I$3,$N52:$ZZ52)</f>
        <v>0</v>
      </c>
      <c r="J52" s="13" cm="1">
        <f t="array" ref="J52">MAX(IF($N$3:$EH$3=$J$3,N52:EH52))</f>
        <v>0</v>
      </c>
      <c r="K52" s="13" cm="1">
        <f t="array" ref="K52">MAX(IF($N$3:$EH$3=$J$3,N52:EH52))</f>
        <v>0</v>
      </c>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S52" s="12"/>
      <c r="BT52" s="12"/>
      <c r="BU52" s="12"/>
      <c r="BV52" s="12"/>
      <c r="BZ52" s="12"/>
      <c r="CA52" s="12"/>
      <c r="CB52" s="12"/>
      <c r="CC52" s="12"/>
      <c r="CG52" s="12"/>
      <c r="CH52" s="12">
        <v>1</v>
      </c>
      <c r="CI52" s="12"/>
      <c r="CJ52" s="12"/>
      <c r="CN52" s="12"/>
      <c r="CO52" s="12"/>
      <c r="CP52" s="12"/>
      <c r="CQ52" s="12"/>
      <c r="CU52" s="12"/>
      <c r="CV52" s="12"/>
      <c r="CW52" s="12"/>
      <c r="CX52" s="12"/>
      <c r="DB52" s="12"/>
      <c r="DC52" s="12"/>
      <c r="DD52" s="12"/>
      <c r="DE52" s="12"/>
      <c r="DI52" s="12"/>
      <c r="DJ52" s="12">
        <v>1</v>
      </c>
      <c r="DK52" s="12"/>
      <c r="DL52" s="12"/>
    </row>
    <row r="58" spans="2:116" x14ac:dyDescent="0.2">
      <c r="F58" t="s">
        <v>127</v>
      </c>
    </row>
  </sheetData>
  <mergeCells count="16">
    <mergeCell ref="DH2:DM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phoneticPr fontId="5" type="noConversion"/>
  <conditionalFormatting sqref="O20 Q20 O5:O17 Q5:Q17 AQ5:AQ17 AS5:AS17 BE5:BE17 BG5:BG17 V5:V17 X5:X17 AC5:AC17 AE5:AE17 AJ5:AJ17 AL5:AL17 AX5:AX17 AZ5:AZ17 BL5:BL17 BN5:BN17 Q23:Q26 O23:O26 AJ32:AJ52 AL32:AL52 AX32:AX52 AZ32:AZ52 Q32:Q52 O32:O52 BG32:BG52 X32:X52 V32:V52 AE32:AE52 AC32:AC52 AS32:AS52 AQ32:AQ52 BE32:BE52 BN32:BN52 BL32:BL52 CB5:CB15">
    <cfRule type="expression" dxfId="343" priority="613">
      <formula>OR(IF(O5&lt;P5,TRUE),IF(AND(P5="",O5&lt;&gt;""),TRUE))</formula>
    </cfRule>
    <cfRule type="expression" dxfId="342" priority="614">
      <formula>IF(O5&gt;=P5,IF(O5="",FALSE,TRUE))</formula>
    </cfRule>
  </conditionalFormatting>
  <conditionalFormatting sqref="AQ20 AS20 AS23:AS26 AQ23:AQ26">
    <cfRule type="expression" dxfId="341" priority="480">
      <formula>OR(IF(AQ20&lt;AR20,TRUE),IF(AND(AR20="",AQ20&lt;&gt;""),TRUE))</formula>
    </cfRule>
    <cfRule type="expression" dxfId="340" priority="481">
      <formula>IF(AQ20&gt;=AR20,IF(AQ20="",FALSE,TRUE))</formula>
    </cfRule>
  </conditionalFormatting>
  <conditionalFormatting sqref="O30:O31">
    <cfRule type="expression" dxfId="339" priority="554">
      <formula>OR(IF(O30&lt;P30,TRUE),IF(AND(P30="",O30&lt;&gt;""),TRUE))</formula>
    </cfRule>
    <cfRule type="expression" dxfId="338" priority="555">
      <formula>IF(O30&gt;=P30,IF(O30="",FALSE,TRUE))</formula>
    </cfRule>
  </conditionalFormatting>
  <conditionalFormatting sqref="Q30:Q31">
    <cfRule type="expression" dxfId="337" priority="552">
      <formula>OR(IF(Q30&lt;R30,TRUE),IF(AND(R30="",Q30&lt;&gt;""),TRUE))</formula>
    </cfRule>
    <cfRule type="expression" dxfId="336" priority="553">
      <formula>IF(Q30&gt;=R30,IF(Q30="",FALSE,TRUE))</formula>
    </cfRule>
  </conditionalFormatting>
  <conditionalFormatting sqref="AZ27">
    <cfRule type="expression" dxfId="335" priority="454">
      <formula>OR(IF(AZ27&lt;BA27,TRUE),IF(AND(BA27="",AZ27&lt;&gt;""),TRUE))</formula>
    </cfRule>
    <cfRule type="expression" dxfId="334" priority="455">
      <formula>IF(AZ27&gt;=BA27,IF(AZ27="",FALSE,TRUE))</formula>
    </cfRule>
  </conditionalFormatting>
  <conditionalFormatting sqref="BE20 BG20 BG23:BG26 BE23:BE26">
    <cfRule type="expression" dxfId="333" priority="448">
      <formula>OR(IF(BE20&lt;BF20,TRUE),IF(AND(BF20="",BE20&lt;&gt;""),TRUE))</formula>
    </cfRule>
    <cfRule type="expression" dxfId="332" priority="449">
      <formula>IF(BE20&gt;=BF20,IF(BE20="",FALSE,TRUE))</formula>
    </cfRule>
  </conditionalFormatting>
  <conditionalFormatting sqref="BE30:BE31">
    <cfRule type="expression" dxfId="331" priority="444">
      <formula>OR(IF(BE30&lt;BF30,TRUE),IF(AND(BF30="",BE30&lt;&gt;""),TRUE))</formula>
    </cfRule>
    <cfRule type="expression" dxfId="330" priority="445">
      <formula>IF(BE30&gt;=BF30,IF(BE30="",FALSE,TRUE))</formula>
    </cfRule>
  </conditionalFormatting>
  <conditionalFormatting sqref="O27">
    <cfRule type="expression" dxfId="329" priority="536">
      <formula>OR(IF(O27&lt;P27,TRUE),IF(AND(P27="",O27&lt;&gt;""),TRUE))</formula>
    </cfRule>
    <cfRule type="expression" dxfId="328" priority="537">
      <formula>IF(O27&gt;=P27,IF(O27="",FALSE,TRUE))</formula>
    </cfRule>
  </conditionalFormatting>
  <conditionalFormatting sqref="Q27">
    <cfRule type="expression" dxfId="327" priority="534">
      <formula>OR(IF(Q27&lt;R27,TRUE),IF(AND(R27="",Q27&lt;&gt;""),TRUE))</formula>
    </cfRule>
    <cfRule type="expression" dxfId="326" priority="535">
      <formula>IF(Q27&gt;=R27,IF(Q27="",FALSE,TRUE))</formula>
    </cfRule>
  </conditionalFormatting>
  <conditionalFormatting sqref="V20 X20 X23:X26 V23:V26">
    <cfRule type="expression" dxfId="325" priority="528">
      <formula>OR(IF(V20&lt;W20,TRUE),IF(AND(W20="",V20&lt;&gt;""),TRUE))</formula>
    </cfRule>
    <cfRule type="expression" dxfId="324" priority="529">
      <formula>IF(V20&gt;=W20,IF(V20="",FALSE,TRUE))</formula>
    </cfRule>
  </conditionalFormatting>
  <conditionalFormatting sqref="V30:V31">
    <cfRule type="expression" dxfId="323" priority="524">
      <formula>OR(IF(V30&lt;W30,TRUE),IF(AND(W30="",V30&lt;&gt;""),TRUE))</formula>
    </cfRule>
    <cfRule type="expression" dxfId="322" priority="525">
      <formula>IF(V30&gt;=W30,IF(V30="",FALSE,TRUE))</formula>
    </cfRule>
  </conditionalFormatting>
  <conditionalFormatting sqref="X30:X31">
    <cfRule type="expression" dxfId="321" priority="522">
      <formula>OR(IF(X30&lt;Y30,TRUE),IF(AND(Y30="",X30&lt;&gt;""),TRUE))</formula>
    </cfRule>
    <cfRule type="expression" dxfId="320" priority="523">
      <formula>IF(X30&gt;=Y30,IF(X30="",FALSE,TRUE))</formula>
    </cfRule>
  </conditionalFormatting>
  <conditionalFormatting sqref="V27">
    <cfRule type="expression" dxfId="319" priority="520">
      <formula>OR(IF(V27&lt;W27,TRUE),IF(AND(W27="",V27&lt;&gt;""),TRUE))</formula>
    </cfRule>
    <cfRule type="expression" dxfId="318" priority="521">
      <formula>IF(V27&gt;=W27,IF(V27="",FALSE,TRUE))</formula>
    </cfRule>
  </conditionalFormatting>
  <conditionalFormatting sqref="X27">
    <cfRule type="expression" dxfId="317" priority="518">
      <formula>OR(IF(X27&lt;Y27,TRUE),IF(AND(Y27="",X27&lt;&gt;""),TRUE))</formula>
    </cfRule>
    <cfRule type="expression" dxfId="316" priority="519">
      <formula>IF(X27&gt;=Y27,IF(X27="",FALSE,TRUE))</formula>
    </cfRule>
  </conditionalFormatting>
  <conditionalFormatting sqref="AC20 AE20 AE23:AE26 AC23:AC26">
    <cfRule type="expression" dxfId="315" priority="512">
      <formula>OR(IF(AC20&lt;AD20,TRUE),IF(AND(AD20="",AC20&lt;&gt;""),TRUE))</formula>
    </cfRule>
    <cfRule type="expression" dxfId="314" priority="513">
      <formula>IF(AC20&gt;=AD20,IF(AC20="",FALSE,TRUE))</formula>
    </cfRule>
  </conditionalFormatting>
  <conditionalFormatting sqref="AC30:AC31">
    <cfRule type="expression" dxfId="313" priority="508">
      <formula>OR(IF(AC30&lt;AD30,TRUE),IF(AND(AD30="",AC30&lt;&gt;""),TRUE))</formula>
    </cfRule>
    <cfRule type="expression" dxfId="312" priority="509">
      <formula>IF(AC30&gt;=AD30,IF(AC30="",FALSE,TRUE))</formula>
    </cfRule>
  </conditionalFormatting>
  <conditionalFormatting sqref="AE30:AE31">
    <cfRule type="expression" dxfId="311" priority="506">
      <formula>OR(IF(AE30&lt;AF30,TRUE),IF(AND(AF30="",AE30&lt;&gt;""),TRUE))</formula>
    </cfRule>
    <cfRule type="expression" dxfId="310" priority="507">
      <formula>IF(AE30&gt;=AF30,IF(AE30="",FALSE,TRUE))</formula>
    </cfRule>
  </conditionalFormatting>
  <conditionalFormatting sqref="AC27">
    <cfRule type="expression" dxfId="309" priority="504">
      <formula>OR(IF(AC27&lt;AD27,TRUE),IF(AND(AD27="",AC27&lt;&gt;""),TRUE))</formula>
    </cfRule>
    <cfRule type="expression" dxfId="308" priority="505">
      <formula>IF(AC27&gt;=AD27,IF(AC27="",FALSE,TRUE))</formula>
    </cfRule>
  </conditionalFormatting>
  <conditionalFormatting sqref="AE27">
    <cfRule type="expression" dxfId="307" priority="502">
      <formula>OR(IF(AE27&lt;AF27,TRUE),IF(AND(AF27="",AE27&lt;&gt;""),TRUE))</formula>
    </cfRule>
    <cfRule type="expression" dxfId="306" priority="503">
      <formula>IF(AE27&gt;=AF27,IF(AE27="",FALSE,TRUE))</formula>
    </cfRule>
  </conditionalFormatting>
  <conditionalFormatting sqref="AJ20 AL20 AL23:AL26 AJ23:AJ26">
    <cfRule type="expression" dxfId="305" priority="496">
      <formula>OR(IF(AJ20&lt;AK20,TRUE),IF(AND(AK20="",AJ20&lt;&gt;""),TRUE))</formula>
    </cfRule>
    <cfRule type="expression" dxfId="304" priority="497">
      <formula>IF(AJ20&gt;=AK20,IF(AJ20="",FALSE,TRUE))</formula>
    </cfRule>
  </conditionalFormatting>
  <conditionalFormatting sqref="AJ30:AJ31">
    <cfRule type="expression" dxfId="303" priority="492">
      <formula>OR(IF(AJ30&lt;AK30,TRUE),IF(AND(AK30="",AJ30&lt;&gt;""),TRUE))</formula>
    </cfRule>
    <cfRule type="expression" dxfId="302" priority="493">
      <formula>IF(AJ30&gt;=AK30,IF(AJ30="",FALSE,TRUE))</formula>
    </cfRule>
  </conditionalFormatting>
  <conditionalFormatting sqref="AL30:AL31">
    <cfRule type="expression" dxfId="301" priority="490">
      <formula>OR(IF(AL30&lt;AM30,TRUE),IF(AND(AM30="",AL30&lt;&gt;""),TRUE))</formula>
    </cfRule>
    <cfRule type="expression" dxfId="300" priority="491">
      <formula>IF(AL30&gt;=AM30,IF(AL30="",FALSE,TRUE))</formula>
    </cfRule>
  </conditionalFormatting>
  <conditionalFormatting sqref="AJ27">
    <cfRule type="expression" dxfId="299" priority="488">
      <formula>OR(IF(AJ27&lt;AK27,TRUE),IF(AND(AK27="",AJ27&lt;&gt;""),TRUE))</formula>
    </cfRule>
    <cfRule type="expression" dxfId="298" priority="489">
      <formula>IF(AJ27&gt;=AK27,IF(AJ27="",FALSE,TRUE))</formula>
    </cfRule>
  </conditionalFormatting>
  <conditionalFormatting sqref="AL27">
    <cfRule type="expression" dxfId="297" priority="486">
      <formula>OR(IF(AL27&lt;AM27,TRUE),IF(AND(AM27="",AL27&lt;&gt;""),TRUE))</formula>
    </cfRule>
    <cfRule type="expression" dxfId="296" priority="487">
      <formula>IF(AL27&gt;=AM27,IF(AL27="",FALSE,TRUE))</formula>
    </cfRule>
  </conditionalFormatting>
  <conditionalFormatting sqref="AQ30:AQ31">
    <cfRule type="expression" dxfId="295" priority="476">
      <formula>OR(IF(AQ30&lt;AR30,TRUE),IF(AND(AR30="",AQ30&lt;&gt;""),TRUE))</formula>
    </cfRule>
    <cfRule type="expression" dxfId="294" priority="477">
      <formula>IF(AQ30&gt;=AR30,IF(AQ30="",FALSE,TRUE))</formula>
    </cfRule>
  </conditionalFormatting>
  <conditionalFormatting sqref="AS30:AS31">
    <cfRule type="expression" dxfId="293" priority="474">
      <formula>OR(IF(AS30&lt;AT30,TRUE),IF(AND(AT30="",AS30&lt;&gt;""),TRUE))</formula>
    </cfRule>
    <cfRule type="expression" dxfId="292" priority="475">
      <formula>IF(AS30&gt;=AT30,IF(AS30="",FALSE,TRUE))</formula>
    </cfRule>
  </conditionalFormatting>
  <conditionalFormatting sqref="AQ27">
    <cfRule type="expression" dxfId="291" priority="472">
      <formula>OR(IF(AQ27&lt;AR27,TRUE),IF(AND(AR27="",AQ27&lt;&gt;""),TRUE))</formula>
    </cfRule>
    <cfRule type="expression" dxfId="290" priority="473">
      <formula>IF(AQ27&gt;=AR27,IF(AQ27="",FALSE,TRUE))</formula>
    </cfRule>
  </conditionalFormatting>
  <conditionalFormatting sqref="AS27">
    <cfRule type="expression" dxfId="289" priority="470">
      <formula>OR(IF(AS27&lt;AT27,TRUE),IF(AND(AT27="",AS27&lt;&gt;""),TRUE))</formula>
    </cfRule>
    <cfRule type="expression" dxfId="288" priority="471">
      <formula>IF(AS27&gt;=AT27,IF(AS27="",FALSE,TRUE))</formula>
    </cfRule>
  </conditionalFormatting>
  <conditionalFormatting sqref="AX20 AZ20 AZ23:AZ26 AX23:AX26">
    <cfRule type="expression" dxfId="287" priority="464">
      <formula>OR(IF(AX20&lt;AY20,TRUE),IF(AND(AY20="",AX20&lt;&gt;""),TRUE))</formula>
    </cfRule>
    <cfRule type="expression" dxfId="286" priority="465">
      <formula>IF(AX20&gt;=AY20,IF(AX20="",FALSE,TRUE))</formula>
    </cfRule>
  </conditionalFormatting>
  <conditionalFormatting sqref="AX30:AX31">
    <cfRule type="expression" dxfId="285" priority="460">
      <formula>OR(IF(AX30&lt;AY30,TRUE),IF(AND(AY30="",AX30&lt;&gt;""),TRUE))</formula>
    </cfRule>
    <cfRule type="expression" dxfId="284" priority="461">
      <formula>IF(AX30&gt;=AY30,IF(AX30="",FALSE,TRUE))</formula>
    </cfRule>
  </conditionalFormatting>
  <conditionalFormatting sqref="AZ30:AZ31">
    <cfRule type="expression" dxfId="283" priority="458">
      <formula>OR(IF(AZ30&lt;BA30,TRUE),IF(AND(BA30="",AZ30&lt;&gt;""),TRUE))</formula>
    </cfRule>
    <cfRule type="expression" dxfId="282" priority="459">
      <formula>IF(AZ30&gt;=BA30,IF(AZ30="",FALSE,TRUE))</formula>
    </cfRule>
  </conditionalFormatting>
  <conditionalFormatting sqref="AX27">
    <cfRule type="expression" dxfId="281" priority="456">
      <formula>OR(IF(AX27&lt;AY27,TRUE),IF(AND(AY27="",AX27&lt;&gt;""),TRUE))</formula>
    </cfRule>
    <cfRule type="expression" dxfId="280" priority="457">
      <formula>IF(AX27&gt;=AY27,IF(AX27="",FALSE,TRUE))</formula>
    </cfRule>
  </conditionalFormatting>
  <conditionalFormatting sqref="BG30:BG31">
    <cfRule type="expression" dxfId="279" priority="442">
      <formula>OR(IF(BG30&lt;BH30,TRUE),IF(AND(BH30="",BG30&lt;&gt;""),TRUE))</formula>
    </cfRule>
    <cfRule type="expression" dxfId="278" priority="443">
      <formula>IF(BG30&gt;=BH30,IF(BG30="",FALSE,TRUE))</formula>
    </cfRule>
  </conditionalFormatting>
  <conditionalFormatting sqref="BE27">
    <cfRule type="expression" dxfId="277" priority="440">
      <formula>OR(IF(BE27&lt;BF27,TRUE),IF(AND(BF27="",BE27&lt;&gt;""),TRUE))</formula>
    </cfRule>
    <cfRule type="expression" dxfId="276" priority="441">
      <formula>IF(BE27&gt;=BF27,IF(BE27="",FALSE,TRUE))</formula>
    </cfRule>
  </conditionalFormatting>
  <conditionalFormatting sqref="BG27">
    <cfRule type="expression" dxfId="275" priority="438">
      <formula>OR(IF(BG27&lt;BH27,TRUE),IF(AND(BH27="",BG27&lt;&gt;""),TRUE))</formula>
    </cfRule>
    <cfRule type="expression" dxfId="274" priority="439">
      <formula>IF(BG27&gt;=BH27,IF(BG27="",FALSE,TRUE))</formula>
    </cfRule>
  </conditionalFormatting>
  <conditionalFormatting sqref="J23:K27">
    <cfRule type="colorScale" priority="428">
      <colorScale>
        <cfvo type="percent" val="0"/>
        <cfvo type="percent" val="100"/>
        <color rgb="FFFF231B"/>
        <color rgb="FF10FF07"/>
      </colorScale>
    </cfRule>
  </conditionalFormatting>
  <conditionalFormatting sqref="J23:J27 J20">
    <cfRule type="colorScale" priority="427">
      <colorScale>
        <cfvo type="percent" val="0"/>
        <cfvo type="percent" val="100"/>
        <color rgb="FFFF231B"/>
        <color rgb="FF10FF07"/>
      </colorScale>
    </cfRule>
  </conditionalFormatting>
  <conditionalFormatting sqref="K23:K27 K20">
    <cfRule type="colorScale" priority="426">
      <colorScale>
        <cfvo type="percent" val="0"/>
        <cfvo type="percent" val="100"/>
        <color rgb="FFFF231B"/>
        <color rgb="FF10FF07"/>
      </colorScale>
    </cfRule>
  </conditionalFormatting>
  <conditionalFormatting sqref="BL20 BN20 BN23:BN26 BL23:BL26">
    <cfRule type="expression" dxfId="273" priority="424">
      <formula>OR(IF(BL20&lt;BM20,TRUE),IF(AND(BM20="",BL20&lt;&gt;""),TRUE))</formula>
    </cfRule>
    <cfRule type="expression" dxfId="272" priority="425">
      <formula>IF(BL20&gt;=BM20,IF(BL20="",FALSE,TRUE))</formula>
    </cfRule>
  </conditionalFormatting>
  <conditionalFormatting sqref="BL30:BL31">
    <cfRule type="expression" dxfId="271" priority="420">
      <formula>OR(IF(BL30&lt;BM30,TRUE),IF(AND(BM30="",BL30&lt;&gt;""),TRUE))</formula>
    </cfRule>
    <cfRule type="expression" dxfId="270" priority="421">
      <formula>IF(BL30&gt;=BM30,IF(BL30="",FALSE,TRUE))</formula>
    </cfRule>
  </conditionalFormatting>
  <conditionalFormatting sqref="BN30:BN31">
    <cfRule type="expression" dxfId="269" priority="418">
      <formula>OR(IF(BN30&lt;BO30,TRUE),IF(AND(BO30="",BN30&lt;&gt;""),TRUE))</formula>
    </cfRule>
    <cfRule type="expression" dxfId="268" priority="419">
      <formula>IF(BN30&gt;=BO30,IF(BN30="",FALSE,TRUE))</formula>
    </cfRule>
  </conditionalFormatting>
  <conditionalFormatting sqref="BL27">
    <cfRule type="expression" dxfId="267" priority="416">
      <formula>OR(IF(BL27&lt;BM27,TRUE),IF(AND(BM27="",BL27&lt;&gt;""),TRUE))</formula>
    </cfRule>
    <cfRule type="expression" dxfId="266" priority="417">
      <formula>IF(BL27&gt;=BM27,IF(BL27="",FALSE,TRUE))</formula>
    </cfRule>
  </conditionalFormatting>
  <conditionalFormatting sqref="BN27">
    <cfRule type="expression" dxfId="265" priority="414">
      <formula>OR(IF(BN27&lt;BO27,TRUE),IF(AND(BO27="",BN27&lt;&gt;""),TRUE))</formula>
    </cfRule>
    <cfRule type="expression" dxfId="264" priority="415">
      <formula>IF(BN27&gt;=BO27,IF(BN27="",FALSE,TRUE))</formula>
    </cfRule>
  </conditionalFormatting>
  <conditionalFormatting sqref="J6:K17">
    <cfRule type="colorScale" priority="616">
      <colorScale>
        <cfvo type="percent" val="0"/>
        <cfvo type="percent" val="100"/>
        <color rgb="FFFF231B"/>
        <color rgb="FF10FF07"/>
      </colorScale>
    </cfRule>
  </conditionalFormatting>
  <conditionalFormatting sqref="J5:J17">
    <cfRule type="colorScale" priority="645">
      <colorScale>
        <cfvo type="percent" val="0"/>
        <cfvo type="percent" val="100"/>
        <color rgb="FFFF231B"/>
        <color rgb="FF10FF07"/>
      </colorScale>
    </cfRule>
  </conditionalFormatting>
  <conditionalFormatting sqref="K5:K17">
    <cfRule type="colorScale" priority="646">
      <colorScale>
        <cfvo type="percent" val="0"/>
        <cfvo type="percent" val="100"/>
        <color rgb="FFFF231B"/>
        <color rgb="FF10FF07"/>
      </colorScale>
    </cfRule>
  </conditionalFormatting>
  <conditionalFormatting sqref="O21 Q21">
    <cfRule type="expression" dxfId="231" priority="207">
      <formula>OR(IF(O21&lt;P21,TRUE),IF(AND(P21="",O21&lt;&gt;""),TRUE))</formula>
    </cfRule>
    <cfRule type="expression" dxfId="230" priority="208">
      <formula>IF(O21&gt;=P21,IF(O21="",FALSE,TRUE))</formula>
    </cfRule>
  </conditionalFormatting>
  <conditionalFormatting sqref="AQ21 AS21">
    <cfRule type="expression" dxfId="229" priority="199">
      <formula>OR(IF(AQ21&lt;AR21,TRUE),IF(AND(AR21="",AQ21&lt;&gt;""),TRUE))</formula>
    </cfRule>
    <cfRule type="expression" dxfId="228" priority="200">
      <formula>IF(AQ21&gt;=AR21,IF(AQ21="",FALSE,TRUE))</formula>
    </cfRule>
  </conditionalFormatting>
  <conditionalFormatting sqref="BE21 BG21">
    <cfRule type="expression" dxfId="227" priority="195">
      <formula>OR(IF(BE21&lt;BF21,TRUE),IF(AND(BF21="",BE21&lt;&gt;""),TRUE))</formula>
    </cfRule>
    <cfRule type="expression" dxfId="226" priority="196">
      <formula>IF(BE21&gt;=BF21,IF(BE21="",FALSE,TRUE))</formula>
    </cfRule>
  </conditionalFormatting>
  <conditionalFormatting sqref="V21 X21">
    <cfRule type="expression" dxfId="225" priority="205">
      <formula>OR(IF(V21&lt;W21,TRUE),IF(AND(W21="",V21&lt;&gt;""),TRUE))</formula>
    </cfRule>
    <cfRule type="expression" dxfId="224" priority="206">
      <formula>IF(V21&gt;=W21,IF(V21="",FALSE,TRUE))</formula>
    </cfRule>
  </conditionalFormatting>
  <conditionalFormatting sqref="AC21 AE21">
    <cfRule type="expression" dxfId="223" priority="203">
      <formula>OR(IF(AC21&lt;AD21,TRUE),IF(AND(AD21="",AC21&lt;&gt;""),TRUE))</formula>
    </cfRule>
    <cfRule type="expression" dxfId="222" priority="204">
      <formula>IF(AC21&gt;=AD21,IF(AC21="",FALSE,TRUE))</formula>
    </cfRule>
  </conditionalFormatting>
  <conditionalFormatting sqref="AJ21 AL21">
    <cfRule type="expression" dxfId="221" priority="201">
      <formula>OR(IF(AJ21&lt;AK21,TRUE),IF(AND(AK21="",AJ21&lt;&gt;""),TRUE))</formula>
    </cfRule>
    <cfRule type="expression" dxfId="220" priority="202">
      <formula>IF(AJ21&gt;=AK21,IF(AJ21="",FALSE,TRUE))</formula>
    </cfRule>
  </conditionalFormatting>
  <conditionalFormatting sqref="AX21 AZ21">
    <cfRule type="expression" dxfId="219" priority="197">
      <formula>OR(IF(AX21&lt;AY21,TRUE),IF(AND(AY21="",AX21&lt;&gt;""),TRUE))</formula>
    </cfRule>
    <cfRule type="expression" dxfId="218" priority="198">
      <formula>IF(AX21&gt;=AY21,IF(AX21="",FALSE,TRUE))</formula>
    </cfRule>
  </conditionalFormatting>
  <conditionalFormatting sqref="J21:K21">
    <cfRule type="colorScale" priority="194">
      <colorScale>
        <cfvo type="percent" val="0"/>
        <cfvo type="percent" val="100"/>
        <color rgb="FFFF231B"/>
        <color rgb="FF10FF07"/>
      </colorScale>
    </cfRule>
  </conditionalFormatting>
  <conditionalFormatting sqref="J21">
    <cfRule type="colorScale" priority="193">
      <colorScale>
        <cfvo type="percent" val="0"/>
        <cfvo type="percent" val="100"/>
        <color rgb="FFFF231B"/>
        <color rgb="FF10FF07"/>
      </colorScale>
    </cfRule>
  </conditionalFormatting>
  <conditionalFormatting sqref="K21">
    <cfRule type="colorScale" priority="192">
      <colorScale>
        <cfvo type="percent" val="0"/>
        <cfvo type="percent" val="100"/>
        <color rgb="FFFF231B"/>
        <color rgb="FF10FF07"/>
      </colorScale>
    </cfRule>
  </conditionalFormatting>
  <conditionalFormatting sqref="BL21 BN21">
    <cfRule type="expression" dxfId="217" priority="190">
      <formula>OR(IF(BL21&lt;BM21,TRUE),IF(AND(BM21="",BL21&lt;&gt;""),TRUE))</formula>
    </cfRule>
    <cfRule type="expression" dxfId="216" priority="191">
      <formula>IF(BL21&gt;=BM21,IF(BL21="",FALSE,TRUE))</formula>
    </cfRule>
  </conditionalFormatting>
  <conditionalFormatting sqref="Q22 O22">
    <cfRule type="expression" dxfId="215" priority="188">
      <formula>OR(IF(O22&lt;P22,TRUE),IF(AND(P22="",O22&lt;&gt;""),TRUE))</formula>
    </cfRule>
    <cfRule type="expression" dxfId="214" priority="189">
      <formula>IF(O22&gt;=P22,IF(O22="",FALSE,TRUE))</formula>
    </cfRule>
  </conditionalFormatting>
  <conditionalFormatting sqref="AS22 AQ22">
    <cfRule type="expression" dxfId="213" priority="180">
      <formula>OR(IF(AQ22&lt;AR22,TRUE),IF(AND(AR22="",AQ22&lt;&gt;""),TRUE))</formula>
    </cfRule>
    <cfRule type="expression" dxfId="212" priority="181">
      <formula>IF(AQ22&gt;=AR22,IF(AQ22="",FALSE,TRUE))</formula>
    </cfRule>
  </conditionalFormatting>
  <conditionalFormatting sqref="BG22 BE22">
    <cfRule type="expression" dxfId="211" priority="176">
      <formula>OR(IF(BE22&lt;BF22,TRUE),IF(AND(BF22="",BE22&lt;&gt;""),TRUE))</formula>
    </cfRule>
    <cfRule type="expression" dxfId="210" priority="177">
      <formula>IF(BE22&gt;=BF22,IF(BE22="",FALSE,TRUE))</formula>
    </cfRule>
  </conditionalFormatting>
  <conditionalFormatting sqref="X22 V22">
    <cfRule type="expression" dxfId="209" priority="186">
      <formula>OR(IF(V22&lt;W22,TRUE),IF(AND(W22="",V22&lt;&gt;""),TRUE))</formula>
    </cfRule>
    <cfRule type="expression" dxfId="208" priority="187">
      <formula>IF(V22&gt;=W22,IF(V22="",FALSE,TRUE))</formula>
    </cfRule>
  </conditionalFormatting>
  <conditionalFormatting sqref="AE22 AC22">
    <cfRule type="expression" dxfId="207" priority="184">
      <formula>OR(IF(AC22&lt;AD22,TRUE),IF(AND(AD22="",AC22&lt;&gt;""),TRUE))</formula>
    </cfRule>
    <cfRule type="expression" dxfId="206" priority="185">
      <formula>IF(AC22&gt;=AD22,IF(AC22="",FALSE,TRUE))</formula>
    </cfRule>
  </conditionalFormatting>
  <conditionalFormatting sqref="AL22 AJ22">
    <cfRule type="expression" dxfId="205" priority="182">
      <formula>OR(IF(AJ22&lt;AK22,TRUE),IF(AND(AK22="",AJ22&lt;&gt;""),TRUE))</formula>
    </cfRule>
    <cfRule type="expression" dxfId="204" priority="183">
      <formula>IF(AJ22&gt;=AK22,IF(AJ22="",FALSE,TRUE))</formula>
    </cfRule>
  </conditionalFormatting>
  <conditionalFormatting sqref="AZ22 AX22">
    <cfRule type="expression" dxfId="203" priority="178">
      <formula>OR(IF(AX22&lt;AY22,TRUE),IF(AND(AY22="",AX22&lt;&gt;""),TRUE))</formula>
    </cfRule>
    <cfRule type="expression" dxfId="202" priority="179">
      <formula>IF(AX22&gt;=AY22,IF(AX22="",FALSE,TRUE))</formula>
    </cfRule>
  </conditionalFormatting>
  <conditionalFormatting sqref="J22:K22">
    <cfRule type="colorScale" priority="175">
      <colorScale>
        <cfvo type="percent" val="0"/>
        <cfvo type="percent" val="100"/>
        <color rgb="FFFF231B"/>
        <color rgb="FF10FF07"/>
      </colorScale>
    </cfRule>
  </conditionalFormatting>
  <conditionalFormatting sqref="J22">
    <cfRule type="colorScale" priority="174">
      <colorScale>
        <cfvo type="percent" val="0"/>
        <cfvo type="percent" val="100"/>
        <color rgb="FFFF231B"/>
        <color rgb="FF10FF07"/>
      </colorScale>
    </cfRule>
  </conditionalFormatting>
  <conditionalFormatting sqref="K22">
    <cfRule type="colorScale" priority="173">
      <colorScale>
        <cfvo type="percent" val="0"/>
        <cfvo type="percent" val="100"/>
        <color rgb="FFFF231B"/>
        <color rgb="FF10FF07"/>
      </colorScale>
    </cfRule>
  </conditionalFormatting>
  <conditionalFormatting sqref="BN22 BL22">
    <cfRule type="expression" dxfId="201" priority="171">
      <formula>OR(IF(BL22&lt;BM22,TRUE),IF(AND(BM22="",BL22&lt;&gt;""),TRUE))</formula>
    </cfRule>
    <cfRule type="expression" dxfId="200" priority="172">
      <formula>IF(BL22&gt;=BM22,IF(BL22="",FALSE,TRUE))</formula>
    </cfRule>
  </conditionalFormatting>
  <conditionalFormatting sqref="J31:K52">
    <cfRule type="colorScale" priority="703">
      <colorScale>
        <cfvo type="percent" val="0"/>
        <cfvo type="percent" val="100"/>
        <color rgb="FFFF231B"/>
        <color rgb="FF10FF07"/>
      </colorScale>
    </cfRule>
  </conditionalFormatting>
  <conditionalFormatting sqref="J30:J52">
    <cfRule type="colorScale" priority="705">
      <colorScale>
        <cfvo type="percent" val="0"/>
        <cfvo type="percent" val="100"/>
        <color rgb="FFFF231B"/>
        <color rgb="FF10FF07"/>
      </colorScale>
    </cfRule>
  </conditionalFormatting>
  <conditionalFormatting sqref="K30:K52">
    <cfRule type="colorScale" priority="707">
      <colorScale>
        <cfvo type="percent" val="0"/>
        <cfvo type="percent" val="100"/>
        <color rgb="FFFF231B"/>
        <color rgb="FF10FF07"/>
      </colorScale>
    </cfRule>
  </conditionalFormatting>
  <conditionalFormatting sqref="BS5:BS17 BU5:BU17 BU32:BU52 BS32:BS52">
    <cfRule type="expression" dxfId="199" priority="169">
      <formula>OR(IF(BS5&lt;BT5,TRUE),IF(AND(BT5="",BS5&lt;&gt;""),TRUE))</formula>
    </cfRule>
    <cfRule type="expression" dxfId="198" priority="170">
      <formula>IF(BS5&gt;=BT5,IF(BS5="",FALSE,TRUE))</formula>
    </cfRule>
  </conditionalFormatting>
  <conditionalFormatting sqref="BS20 BU20 BU23:BU26 BS23:BS26">
    <cfRule type="expression" dxfId="197" priority="167">
      <formula>OR(IF(BS20&lt;BT20,TRUE),IF(AND(BT20="",BS20&lt;&gt;""),TRUE))</formula>
    </cfRule>
    <cfRule type="expression" dxfId="196" priority="168">
      <formula>IF(BS20&gt;=BT20,IF(BS20="",FALSE,TRUE))</formula>
    </cfRule>
  </conditionalFormatting>
  <conditionalFormatting sqref="BS30:BS31">
    <cfRule type="expression" dxfId="195" priority="165">
      <formula>OR(IF(BS30&lt;BT30,TRUE),IF(AND(BT30="",BS30&lt;&gt;""),TRUE))</formula>
    </cfRule>
    <cfRule type="expression" dxfId="194" priority="166">
      <formula>IF(BS30&gt;=BT30,IF(BS30="",FALSE,TRUE))</formula>
    </cfRule>
  </conditionalFormatting>
  <conditionalFormatting sqref="BU30:BU31">
    <cfRule type="expression" dxfId="193" priority="163">
      <formula>OR(IF(BU30&lt;BV30,TRUE),IF(AND(BV30="",BU30&lt;&gt;""),TRUE))</formula>
    </cfRule>
    <cfRule type="expression" dxfId="192" priority="164">
      <formula>IF(BU30&gt;=BV30,IF(BU30="",FALSE,TRUE))</formula>
    </cfRule>
  </conditionalFormatting>
  <conditionalFormatting sqref="BS27">
    <cfRule type="expression" dxfId="191" priority="161">
      <formula>OR(IF(BS27&lt;BT27,TRUE),IF(AND(BT27="",BS27&lt;&gt;""),TRUE))</formula>
    </cfRule>
    <cfRule type="expression" dxfId="190" priority="162">
      <formula>IF(BS27&gt;=BT27,IF(BS27="",FALSE,TRUE))</formula>
    </cfRule>
  </conditionalFormatting>
  <conditionalFormatting sqref="BU27">
    <cfRule type="expression" dxfId="189" priority="159">
      <formula>OR(IF(BU27&lt;BV27,TRUE),IF(AND(BV27="",BU27&lt;&gt;""),TRUE))</formula>
    </cfRule>
    <cfRule type="expression" dxfId="188" priority="160">
      <formula>IF(BU27&gt;=BV27,IF(BU27="",FALSE,TRUE))</formula>
    </cfRule>
  </conditionalFormatting>
  <conditionalFormatting sqref="BS21 BU21">
    <cfRule type="expression" dxfId="183" priority="153">
      <formula>OR(IF(BS21&lt;BT21,TRUE),IF(AND(BT21="",BS21&lt;&gt;""),TRUE))</formula>
    </cfRule>
    <cfRule type="expression" dxfId="182" priority="154">
      <formula>IF(BS21&gt;=BT21,IF(BS21="",FALSE,TRUE))</formula>
    </cfRule>
  </conditionalFormatting>
  <conditionalFormatting sqref="BU22 BS22">
    <cfRule type="expression" dxfId="181" priority="151">
      <formula>OR(IF(BS22&lt;BT22,TRUE),IF(AND(BT22="",BS22&lt;&gt;""),TRUE))</formula>
    </cfRule>
    <cfRule type="expression" dxfId="180" priority="152">
      <formula>IF(BS22&gt;=BT22,IF(BS22="",FALSE,TRUE))</formula>
    </cfRule>
  </conditionalFormatting>
  <conditionalFormatting sqref="BZ5:BZ17 CB32:CB52 BZ32:BZ52">
    <cfRule type="expression" dxfId="179" priority="149">
      <formula>OR(IF(BZ5&lt;CA5,TRUE),IF(AND(CA5="",BZ5&lt;&gt;""),TRUE))</formula>
    </cfRule>
    <cfRule type="expression" dxfId="178" priority="150">
      <formula>IF(BZ5&gt;=CA5,IF(BZ5="",FALSE,TRUE))</formula>
    </cfRule>
  </conditionalFormatting>
  <conditionalFormatting sqref="BZ20 CB20 CB23:CB26 BZ23:BZ26">
    <cfRule type="expression" dxfId="177" priority="147">
      <formula>OR(IF(BZ20&lt;CA20,TRUE),IF(AND(CA20="",BZ20&lt;&gt;""),TRUE))</formula>
    </cfRule>
    <cfRule type="expression" dxfId="176" priority="148">
      <formula>IF(BZ20&gt;=CA20,IF(BZ20="",FALSE,TRUE))</formula>
    </cfRule>
  </conditionalFormatting>
  <conditionalFormatting sqref="BZ30:BZ31">
    <cfRule type="expression" dxfId="175" priority="145">
      <formula>OR(IF(BZ30&lt;CA30,TRUE),IF(AND(CA30="",BZ30&lt;&gt;""),TRUE))</formula>
    </cfRule>
    <cfRule type="expression" dxfId="174" priority="146">
      <formula>IF(BZ30&gt;=CA30,IF(BZ30="",FALSE,TRUE))</formula>
    </cfRule>
  </conditionalFormatting>
  <conditionalFormatting sqref="CB30:CB31">
    <cfRule type="expression" dxfId="173" priority="143">
      <formula>OR(IF(CB30&lt;CC30,TRUE),IF(AND(CC30="",CB30&lt;&gt;""),TRUE))</formula>
    </cfRule>
    <cfRule type="expression" dxfId="172" priority="144">
      <formula>IF(CB30&gt;=CC30,IF(CB30="",FALSE,TRUE))</formula>
    </cfRule>
  </conditionalFormatting>
  <conditionalFormatting sqref="BZ27">
    <cfRule type="expression" dxfId="171" priority="141">
      <formula>OR(IF(BZ27&lt;CA27,TRUE),IF(AND(CA27="",BZ27&lt;&gt;""),TRUE))</formula>
    </cfRule>
    <cfRule type="expression" dxfId="170" priority="142">
      <formula>IF(BZ27&gt;=CA27,IF(BZ27="",FALSE,TRUE))</formula>
    </cfRule>
  </conditionalFormatting>
  <conditionalFormatting sqref="CB27">
    <cfRule type="expression" dxfId="169" priority="139">
      <formula>OR(IF(CB27&lt;CC27,TRUE),IF(AND(CC27="",CB27&lt;&gt;""),TRUE))</formula>
    </cfRule>
    <cfRule type="expression" dxfId="168" priority="140">
      <formula>IF(CB27&gt;=CC27,IF(CB27="",FALSE,TRUE))</formula>
    </cfRule>
  </conditionalFormatting>
  <conditionalFormatting sqref="BZ21 CB21">
    <cfRule type="expression" dxfId="163" priority="133">
      <formula>OR(IF(BZ21&lt;CA21,TRUE),IF(AND(CA21="",BZ21&lt;&gt;""),TRUE))</formula>
    </cfRule>
    <cfRule type="expression" dxfId="162" priority="134">
      <formula>IF(BZ21&gt;=CA21,IF(BZ21="",FALSE,TRUE))</formula>
    </cfRule>
  </conditionalFormatting>
  <conditionalFormatting sqref="CB22 BZ22">
    <cfRule type="expression" dxfId="161" priority="131">
      <formula>OR(IF(BZ22&lt;CA22,TRUE),IF(AND(CA22="",BZ22&lt;&gt;""),TRUE))</formula>
    </cfRule>
    <cfRule type="expression" dxfId="160" priority="132">
      <formula>IF(BZ22&gt;=CA22,IF(BZ22="",FALSE,TRUE))</formula>
    </cfRule>
  </conditionalFormatting>
  <conditionalFormatting sqref="CG5:CG17 CI5:CI17 CI32:CI52 CG32:CG52">
    <cfRule type="expression" dxfId="159" priority="129">
      <formula>OR(IF(CG5&lt;CH5,TRUE),IF(AND(CH5="",CG5&lt;&gt;""),TRUE))</formula>
    </cfRule>
    <cfRule type="expression" dxfId="158" priority="130">
      <formula>IF(CG5&gt;=CH5,IF(CG5="",FALSE,TRUE))</formula>
    </cfRule>
  </conditionalFormatting>
  <conditionalFormatting sqref="CG20 CI20 CI23:CI26 CG23:CG26">
    <cfRule type="expression" dxfId="157" priority="127">
      <formula>OR(IF(CG20&lt;CH20,TRUE),IF(AND(CH20="",CG20&lt;&gt;""),TRUE))</formula>
    </cfRule>
    <cfRule type="expression" dxfId="156" priority="128">
      <formula>IF(CG20&gt;=CH20,IF(CG20="",FALSE,TRUE))</formula>
    </cfRule>
  </conditionalFormatting>
  <conditionalFormatting sqref="CG30:CG31">
    <cfRule type="expression" dxfId="155" priority="125">
      <formula>OR(IF(CG30&lt;CH30,TRUE),IF(AND(CH30="",CG30&lt;&gt;""),TRUE))</formula>
    </cfRule>
    <cfRule type="expression" dxfId="154" priority="126">
      <formula>IF(CG30&gt;=CH30,IF(CG30="",FALSE,TRUE))</formula>
    </cfRule>
  </conditionalFormatting>
  <conditionalFormatting sqref="CI30:CI31">
    <cfRule type="expression" dxfId="153" priority="123">
      <formula>OR(IF(CI30&lt;CJ30,TRUE),IF(AND(CJ30="",CI30&lt;&gt;""),TRUE))</formula>
    </cfRule>
    <cfRule type="expression" dxfId="152" priority="124">
      <formula>IF(CI30&gt;=CJ30,IF(CI30="",FALSE,TRUE))</formula>
    </cfRule>
  </conditionalFormatting>
  <conditionalFormatting sqref="CG27">
    <cfRule type="expression" dxfId="151" priority="121">
      <formula>OR(IF(CG27&lt;CH27,TRUE),IF(AND(CH27="",CG27&lt;&gt;""),TRUE))</formula>
    </cfRule>
    <cfRule type="expression" dxfId="150" priority="122">
      <formula>IF(CG27&gt;=CH27,IF(CG27="",FALSE,TRUE))</formula>
    </cfRule>
  </conditionalFormatting>
  <conditionalFormatting sqref="CI27">
    <cfRule type="expression" dxfId="149" priority="119">
      <formula>OR(IF(CI27&lt;CJ27,TRUE),IF(AND(CJ27="",CI27&lt;&gt;""),TRUE))</formula>
    </cfRule>
    <cfRule type="expression" dxfId="148" priority="120">
      <formula>IF(CI27&gt;=CJ27,IF(CI27="",FALSE,TRUE))</formula>
    </cfRule>
  </conditionalFormatting>
  <conditionalFormatting sqref="CG21 CI21">
    <cfRule type="expression" dxfId="143" priority="113">
      <formula>OR(IF(CG21&lt;CH21,TRUE),IF(AND(CH21="",CG21&lt;&gt;""),TRUE))</formula>
    </cfRule>
    <cfRule type="expression" dxfId="142" priority="114">
      <formula>IF(CG21&gt;=CH21,IF(CG21="",FALSE,TRUE))</formula>
    </cfRule>
  </conditionalFormatting>
  <conditionalFormatting sqref="CI22 CG22">
    <cfRule type="expression" dxfId="141" priority="111">
      <formula>OR(IF(CG22&lt;CH22,TRUE),IF(AND(CH22="",CG22&lt;&gt;""),TRUE))</formula>
    </cfRule>
    <cfRule type="expression" dxfId="140" priority="112">
      <formula>IF(CG22&gt;=CH22,IF(CG22="",FALSE,TRUE))</formula>
    </cfRule>
  </conditionalFormatting>
  <conditionalFormatting sqref="CN5:CN17 CP5:CP17 CP32:CP52 CN32:CN52">
    <cfRule type="expression" dxfId="139" priority="109">
      <formula>OR(IF(CN5&lt;CO5,TRUE),IF(AND(CO5="",CN5&lt;&gt;""),TRUE))</formula>
    </cfRule>
    <cfRule type="expression" dxfId="138" priority="110">
      <formula>IF(CN5&gt;=CO5,IF(CN5="",FALSE,TRUE))</formula>
    </cfRule>
  </conditionalFormatting>
  <conditionalFormatting sqref="CN20 CP20 CP23:CP26 CN23:CN26">
    <cfRule type="expression" dxfId="137" priority="107">
      <formula>OR(IF(CN20&lt;CO20,TRUE),IF(AND(CO20="",CN20&lt;&gt;""),TRUE))</formula>
    </cfRule>
    <cfRule type="expression" dxfId="136" priority="108">
      <formula>IF(CN20&gt;=CO20,IF(CN20="",FALSE,TRUE))</formula>
    </cfRule>
  </conditionalFormatting>
  <conditionalFormatting sqref="CN30:CN31">
    <cfRule type="expression" dxfId="135" priority="105">
      <formula>OR(IF(CN30&lt;CO30,TRUE),IF(AND(CO30="",CN30&lt;&gt;""),TRUE))</formula>
    </cfRule>
    <cfRule type="expression" dxfId="134" priority="106">
      <formula>IF(CN30&gt;=CO30,IF(CN30="",FALSE,TRUE))</formula>
    </cfRule>
  </conditionalFormatting>
  <conditionalFormatting sqref="CP30:CP31">
    <cfRule type="expression" dxfId="133" priority="103">
      <formula>OR(IF(CP30&lt;CQ30,TRUE),IF(AND(CQ30="",CP30&lt;&gt;""),TRUE))</formula>
    </cfRule>
    <cfRule type="expression" dxfId="132" priority="104">
      <formula>IF(CP30&gt;=CQ30,IF(CP30="",FALSE,TRUE))</formula>
    </cfRule>
  </conditionalFormatting>
  <conditionalFormatting sqref="CN27">
    <cfRule type="expression" dxfId="131" priority="101">
      <formula>OR(IF(CN27&lt;CO27,TRUE),IF(AND(CO27="",CN27&lt;&gt;""),TRUE))</formula>
    </cfRule>
    <cfRule type="expression" dxfId="130" priority="102">
      <formula>IF(CN27&gt;=CO27,IF(CN27="",FALSE,TRUE))</formula>
    </cfRule>
  </conditionalFormatting>
  <conditionalFormatting sqref="CP27">
    <cfRule type="expression" dxfId="129" priority="99">
      <formula>OR(IF(CP27&lt;CQ27,TRUE),IF(AND(CQ27="",CP27&lt;&gt;""),TRUE))</formula>
    </cfRule>
    <cfRule type="expression" dxfId="128" priority="100">
      <formula>IF(CP27&gt;=CQ27,IF(CP27="",FALSE,TRUE))</formula>
    </cfRule>
  </conditionalFormatting>
  <conditionalFormatting sqref="CN21 CP21">
    <cfRule type="expression" dxfId="123" priority="93">
      <formula>OR(IF(CN21&lt;CO21,TRUE),IF(AND(CO21="",CN21&lt;&gt;""),TRUE))</formula>
    </cfRule>
    <cfRule type="expression" dxfId="122" priority="94">
      <formula>IF(CN21&gt;=CO21,IF(CN21="",FALSE,TRUE))</formula>
    </cfRule>
  </conditionalFormatting>
  <conditionalFormatting sqref="CP22 CN22">
    <cfRule type="expression" dxfId="121" priority="91">
      <formula>OR(IF(CN22&lt;CO22,TRUE),IF(AND(CO22="",CN22&lt;&gt;""),TRUE))</formula>
    </cfRule>
    <cfRule type="expression" dxfId="120" priority="92">
      <formula>IF(CN22&gt;=CO22,IF(CN22="",FALSE,TRUE))</formula>
    </cfRule>
  </conditionalFormatting>
  <conditionalFormatting sqref="CU5:CU17 CW5:CW17 CW32:CW52 CU32:CU52">
    <cfRule type="expression" dxfId="119" priority="89">
      <formula>OR(IF(CU5&lt;CV5,TRUE),IF(AND(CV5="",CU5&lt;&gt;""),TRUE))</formula>
    </cfRule>
    <cfRule type="expression" dxfId="118" priority="90">
      <formula>IF(CU5&gt;=CV5,IF(CU5="",FALSE,TRUE))</formula>
    </cfRule>
  </conditionalFormatting>
  <conditionalFormatting sqref="CU20 CW20 CW23:CW26 CU23:CU26">
    <cfRule type="expression" dxfId="117" priority="87">
      <formula>OR(IF(CU20&lt;CV20,TRUE),IF(AND(CV20="",CU20&lt;&gt;""),TRUE))</formula>
    </cfRule>
    <cfRule type="expression" dxfId="116" priority="88">
      <formula>IF(CU20&gt;=CV20,IF(CU20="",FALSE,TRUE))</formula>
    </cfRule>
  </conditionalFormatting>
  <conditionalFormatting sqref="CU30:CU31">
    <cfRule type="expression" dxfId="115" priority="85">
      <formula>OR(IF(CU30&lt;CV30,TRUE),IF(AND(CV30="",CU30&lt;&gt;""),TRUE))</formula>
    </cfRule>
    <cfRule type="expression" dxfId="114" priority="86">
      <formula>IF(CU30&gt;=CV30,IF(CU30="",FALSE,TRUE))</formula>
    </cfRule>
  </conditionalFormatting>
  <conditionalFormatting sqref="CW30:CW31">
    <cfRule type="expression" dxfId="113" priority="83">
      <formula>OR(IF(CW30&lt;CX30,TRUE),IF(AND(CX30="",CW30&lt;&gt;""),TRUE))</formula>
    </cfRule>
    <cfRule type="expression" dxfId="112" priority="84">
      <formula>IF(CW30&gt;=CX30,IF(CW30="",FALSE,TRUE))</formula>
    </cfRule>
  </conditionalFormatting>
  <conditionalFormatting sqref="CU27">
    <cfRule type="expression" dxfId="111" priority="81">
      <formula>OR(IF(CU27&lt;CV27,TRUE),IF(AND(CV27="",CU27&lt;&gt;""),TRUE))</formula>
    </cfRule>
    <cfRule type="expression" dxfId="110" priority="82">
      <formula>IF(CU27&gt;=CV27,IF(CU27="",FALSE,TRUE))</formula>
    </cfRule>
  </conditionalFormatting>
  <conditionalFormatting sqref="CW27">
    <cfRule type="expression" dxfId="109" priority="79">
      <formula>OR(IF(CW27&lt;CX27,TRUE),IF(AND(CX27="",CW27&lt;&gt;""),TRUE))</formula>
    </cfRule>
    <cfRule type="expression" dxfId="108" priority="80">
      <formula>IF(CW27&gt;=CX27,IF(CW27="",FALSE,TRUE))</formula>
    </cfRule>
  </conditionalFormatting>
  <conditionalFormatting sqref="CU21 CW21">
    <cfRule type="expression" dxfId="103" priority="73">
      <formula>OR(IF(CU21&lt;CV21,TRUE),IF(AND(CV21="",CU21&lt;&gt;""),TRUE))</formula>
    </cfRule>
    <cfRule type="expression" dxfId="102" priority="74">
      <formula>IF(CU21&gt;=CV21,IF(CU21="",FALSE,TRUE))</formula>
    </cfRule>
  </conditionalFormatting>
  <conditionalFormatting sqref="CW22 CU22">
    <cfRule type="expression" dxfId="101" priority="71">
      <formula>OR(IF(CU22&lt;CV22,TRUE),IF(AND(CV22="",CU22&lt;&gt;""),TRUE))</formula>
    </cfRule>
    <cfRule type="expression" dxfId="100" priority="72">
      <formula>IF(CU22&gt;=CV22,IF(CU22="",FALSE,TRUE))</formula>
    </cfRule>
  </conditionalFormatting>
  <conditionalFormatting sqref="DB5:DB17 DD5:DD17 DD32:DD52 DB32:DB52">
    <cfRule type="expression" dxfId="99" priority="69">
      <formula>OR(IF(DB5&lt;DC5,TRUE),IF(AND(DC5="",DB5&lt;&gt;""),TRUE))</formula>
    </cfRule>
    <cfRule type="expression" dxfId="98" priority="70">
      <formula>IF(DB5&gt;=DC5,IF(DB5="",FALSE,TRUE))</formula>
    </cfRule>
  </conditionalFormatting>
  <conditionalFormatting sqref="DB20 DD20 DD23:DD26 DB23:DB26">
    <cfRule type="expression" dxfId="97" priority="67">
      <formula>OR(IF(DB20&lt;DC20,TRUE),IF(AND(DC20="",DB20&lt;&gt;""),TRUE))</formula>
    </cfRule>
    <cfRule type="expression" dxfId="96" priority="68">
      <formula>IF(DB20&gt;=DC20,IF(DB20="",FALSE,TRUE))</formula>
    </cfRule>
  </conditionalFormatting>
  <conditionalFormatting sqref="DB30:DB31">
    <cfRule type="expression" dxfId="95" priority="65">
      <formula>OR(IF(DB30&lt;DC30,TRUE),IF(AND(DC30="",DB30&lt;&gt;""),TRUE))</formula>
    </cfRule>
    <cfRule type="expression" dxfId="94" priority="66">
      <formula>IF(DB30&gt;=DC30,IF(DB30="",FALSE,TRUE))</formula>
    </cfRule>
  </conditionalFormatting>
  <conditionalFormatting sqref="DD30:DD31">
    <cfRule type="expression" dxfId="93" priority="63">
      <formula>OR(IF(DD30&lt;DE30,TRUE),IF(AND(DE30="",DD30&lt;&gt;""),TRUE))</formula>
    </cfRule>
    <cfRule type="expression" dxfId="92" priority="64">
      <formula>IF(DD30&gt;=DE30,IF(DD30="",FALSE,TRUE))</formula>
    </cfRule>
  </conditionalFormatting>
  <conditionalFormatting sqref="DB27">
    <cfRule type="expression" dxfId="91" priority="61">
      <formula>OR(IF(DB27&lt;DC27,TRUE),IF(AND(DC27="",DB27&lt;&gt;""),TRUE))</formula>
    </cfRule>
    <cfRule type="expression" dxfId="90" priority="62">
      <formula>IF(DB27&gt;=DC27,IF(DB27="",FALSE,TRUE))</formula>
    </cfRule>
  </conditionalFormatting>
  <conditionalFormatting sqref="DD27">
    <cfRule type="expression" dxfId="89" priority="59">
      <formula>OR(IF(DD27&lt;DE27,TRUE),IF(AND(DE27="",DD27&lt;&gt;""),TRUE))</formula>
    </cfRule>
    <cfRule type="expression" dxfId="88" priority="60">
      <formula>IF(DD27&gt;=DE27,IF(DD27="",FALSE,TRUE))</formula>
    </cfRule>
  </conditionalFormatting>
  <conditionalFormatting sqref="DB21 DD21">
    <cfRule type="expression" dxfId="83" priority="53">
      <formula>OR(IF(DB21&lt;DC21,TRUE),IF(AND(DC21="",DB21&lt;&gt;""),TRUE))</formula>
    </cfRule>
    <cfRule type="expression" dxfId="82" priority="54">
      <formula>IF(DB21&gt;=DC21,IF(DB21="",FALSE,TRUE))</formula>
    </cfRule>
  </conditionalFormatting>
  <conditionalFormatting sqref="DD22 DB22">
    <cfRule type="expression" dxfId="81" priority="51">
      <formula>OR(IF(DB22&lt;DC22,TRUE),IF(AND(DC22="",DB22&lt;&gt;""),TRUE))</formula>
    </cfRule>
    <cfRule type="expression" dxfId="80" priority="52">
      <formula>IF(DB22&gt;=DC22,IF(DB22="",FALSE,TRUE))</formula>
    </cfRule>
  </conditionalFormatting>
  <conditionalFormatting sqref="CB17">
    <cfRule type="expression" dxfId="79" priority="803">
      <formula>OR(IF(CB17&lt;CC17,TRUE),IF(AND(CC17="",CB17&lt;&gt;""),TRUE))</formula>
    </cfRule>
    <cfRule type="expression" dxfId="78" priority="804">
      <formula>IF(CB17&gt;=CC17,IF(CB17="",FALSE,TRUE))</formula>
    </cfRule>
  </conditionalFormatting>
  <conditionalFormatting sqref="CB16">
    <cfRule type="expression" dxfId="77" priority="49">
      <formula>OR(IF(CB16&lt;CC16,TRUE),IF(AND(CC16="",CB16&lt;&gt;""),TRUE))</formula>
    </cfRule>
    <cfRule type="expression" dxfId="76" priority="50">
      <formula>IF(CB16&gt;=CC16,IF(CB16="",FALSE,TRUE))</formula>
    </cfRule>
  </conditionalFormatting>
  <conditionalFormatting sqref="DB5:DB17 DD5:DD17 DD32:DD52 DB32:DB52">
    <cfRule type="expression" dxfId="59" priority="47">
      <formula>OR(IF(DB5&lt;DC5,TRUE),IF(AND(DC5="",DB5&lt;&gt;""),TRUE))</formula>
    </cfRule>
    <cfRule type="expression" dxfId="58" priority="48">
      <formula>IF(DB5&gt;=DC5,IF(DB5="",FALSE,TRUE))</formula>
    </cfRule>
  </conditionalFormatting>
  <conditionalFormatting sqref="DB20 DD20 DD23:DD26 DB23:DB26">
    <cfRule type="expression" dxfId="57" priority="45">
      <formula>OR(IF(DB20&lt;DC20,TRUE),IF(AND(DC20="",DB20&lt;&gt;""),TRUE))</formula>
    </cfRule>
    <cfRule type="expression" dxfId="56" priority="46">
      <formula>IF(DB20&gt;=DC20,IF(DB20="",FALSE,TRUE))</formula>
    </cfRule>
  </conditionalFormatting>
  <conditionalFormatting sqref="DB30:DB31">
    <cfRule type="expression" dxfId="55" priority="43">
      <formula>OR(IF(DB30&lt;DC30,TRUE),IF(AND(DC30="",DB30&lt;&gt;""),TRUE))</formula>
    </cfRule>
    <cfRule type="expression" dxfId="54" priority="44">
      <formula>IF(DB30&gt;=DC30,IF(DB30="",FALSE,TRUE))</formula>
    </cfRule>
  </conditionalFormatting>
  <conditionalFormatting sqref="DD30:DD31">
    <cfRule type="expression" dxfId="53" priority="41">
      <formula>OR(IF(DD30&lt;DE30,TRUE),IF(AND(DE30="",DD30&lt;&gt;""),TRUE))</formula>
    </cfRule>
    <cfRule type="expression" dxfId="52" priority="42">
      <formula>IF(DD30&gt;=DE30,IF(DD30="",FALSE,TRUE))</formula>
    </cfRule>
  </conditionalFormatting>
  <conditionalFormatting sqref="DB27">
    <cfRule type="expression" dxfId="51" priority="39">
      <formula>OR(IF(DB27&lt;DC27,TRUE),IF(AND(DC27="",DB27&lt;&gt;""),TRUE))</formula>
    </cfRule>
    <cfRule type="expression" dxfId="50" priority="40">
      <formula>IF(DB27&gt;=DC27,IF(DB27="",FALSE,TRUE))</formula>
    </cfRule>
  </conditionalFormatting>
  <conditionalFormatting sqref="DD27">
    <cfRule type="expression" dxfId="49" priority="37">
      <formula>OR(IF(DD27&lt;DE27,TRUE),IF(AND(DE27="",DD27&lt;&gt;""),TRUE))</formula>
    </cfRule>
    <cfRule type="expression" dxfId="48" priority="38">
      <formula>IF(DD27&gt;=DE27,IF(DD27="",FALSE,TRUE))</formula>
    </cfRule>
  </conditionalFormatting>
  <conditionalFormatting sqref="DB21 DD21">
    <cfRule type="expression" dxfId="47" priority="35">
      <formula>OR(IF(DB21&lt;DC21,TRUE),IF(AND(DC21="",DB21&lt;&gt;""),TRUE))</formula>
    </cfRule>
    <cfRule type="expression" dxfId="46" priority="36">
      <formula>IF(DB21&gt;=DC21,IF(DB21="",FALSE,TRUE))</formula>
    </cfRule>
  </conditionalFormatting>
  <conditionalFormatting sqref="DD22 DB22">
    <cfRule type="expression" dxfId="45" priority="33">
      <formula>OR(IF(DB22&lt;DC22,TRUE),IF(AND(DC22="",DB22&lt;&gt;""),TRUE))</formula>
    </cfRule>
    <cfRule type="expression" dxfId="44" priority="34">
      <formula>IF(DB22&gt;=DC22,IF(DB22="",FALSE,TRUE))</formula>
    </cfRule>
  </conditionalFormatting>
  <conditionalFormatting sqref="DI5:DI17 DK5:DK17 DK32:DK52 DI32:DI52">
    <cfRule type="expression" dxfId="43" priority="31">
      <formula>OR(IF(DI5&lt;DJ5,TRUE),IF(AND(DJ5="",DI5&lt;&gt;""),TRUE))</formula>
    </cfRule>
    <cfRule type="expression" dxfId="42" priority="32">
      <formula>IF(DI5&gt;=DJ5,IF(DI5="",FALSE,TRUE))</formula>
    </cfRule>
  </conditionalFormatting>
  <conditionalFormatting sqref="DI20 DK20 DK23:DK26 DI23:DI26">
    <cfRule type="expression" dxfId="41" priority="29">
      <formula>OR(IF(DI20&lt;DJ20,TRUE),IF(AND(DJ20="",DI20&lt;&gt;""),TRUE))</formula>
    </cfRule>
    <cfRule type="expression" dxfId="40" priority="30">
      <formula>IF(DI20&gt;=DJ20,IF(DI20="",FALSE,TRUE))</formula>
    </cfRule>
  </conditionalFormatting>
  <conditionalFormatting sqref="DI30:DI31">
    <cfRule type="expression" dxfId="39" priority="27">
      <formula>OR(IF(DI30&lt;DJ30,TRUE),IF(AND(DJ30="",DI30&lt;&gt;""),TRUE))</formula>
    </cfRule>
    <cfRule type="expression" dxfId="38" priority="28">
      <formula>IF(DI30&gt;=DJ30,IF(DI30="",FALSE,TRUE))</formula>
    </cfRule>
  </conditionalFormatting>
  <conditionalFormatting sqref="DK30:DK31">
    <cfRule type="expression" dxfId="37" priority="25">
      <formula>OR(IF(DK30&lt;DL30,TRUE),IF(AND(DL30="",DK30&lt;&gt;""),TRUE))</formula>
    </cfRule>
    <cfRule type="expression" dxfId="36" priority="26">
      <formula>IF(DK30&gt;=DL30,IF(DK30="",FALSE,TRUE))</formula>
    </cfRule>
  </conditionalFormatting>
  <conditionalFormatting sqref="DI27">
    <cfRule type="expression" dxfId="35" priority="23">
      <formula>OR(IF(DI27&lt;DJ27,TRUE),IF(AND(DJ27="",DI27&lt;&gt;""),TRUE))</formula>
    </cfRule>
    <cfRule type="expression" dxfId="34" priority="24">
      <formula>IF(DI27&gt;=DJ27,IF(DI27="",FALSE,TRUE))</formula>
    </cfRule>
  </conditionalFormatting>
  <conditionalFormatting sqref="DK27">
    <cfRule type="expression" dxfId="33" priority="21">
      <formula>OR(IF(DK27&lt;DL27,TRUE),IF(AND(DL27="",DK27&lt;&gt;""),TRUE))</formula>
    </cfRule>
    <cfRule type="expression" dxfId="32" priority="22">
      <formula>IF(DK27&gt;=DL27,IF(DK27="",FALSE,TRUE))</formula>
    </cfRule>
  </conditionalFormatting>
  <conditionalFormatting sqref="DI21 DK21">
    <cfRule type="expression" dxfId="31" priority="19">
      <formula>OR(IF(DI21&lt;DJ21,TRUE),IF(AND(DJ21="",DI21&lt;&gt;""),TRUE))</formula>
    </cfRule>
    <cfRule type="expression" dxfId="30" priority="20">
      <formula>IF(DI21&gt;=DJ21,IF(DI21="",FALSE,TRUE))</formula>
    </cfRule>
  </conditionalFormatting>
  <conditionalFormatting sqref="DK22 DI22">
    <cfRule type="expression" dxfId="29" priority="17">
      <formula>OR(IF(DI22&lt;DJ22,TRUE),IF(AND(DJ22="",DI22&lt;&gt;""),TRUE))</formula>
    </cfRule>
    <cfRule type="expression" dxfId="28" priority="18">
      <formula>IF(DI22&gt;=DJ22,IF(DI22="",FALSE,TRUE))</formula>
    </cfRule>
  </conditionalFormatting>
  <dataValidations count="1">
    <dataValidation type="list" allowBlank="1" showInputMessage="1" showErrorMessage="1" sqref="AJ5:AM17 AQ5:AT17 AX5:BA17 BE5:BH17 BL5:BO17 BS5:BV17 V5:Y17 AC5:AF17 AC20:AF27 AJ20:AM27 AQ20:AT27 AX20:BA27 BE20:BH27 BL20:BO27 BS20:BV27 BS30:BV52 V30:Y52 BE30:BH52 AX30:BA52 AQ30:AT52 AJ30:AM52 AC30:AF52 CG30:CJ52 BZ5:CC17 BZ30:CC52 BZ20:CC27 O20:R27 BL30:BO52 DI30:DL52 CG20:CJ27 CG5:CJ17 CN5:CQ17 CN20:CQ27 CN30:CQ52 CU5:CX17 CU20:CX27 CU30:CX52 V20:Y27 O5:R17 DB5:DE17 DB20:DE27 DB30:DE52 DI20:DL27 DI5:DL17 O30:R52"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2022-11-17T21:04:37Z</dcterms:modified>
</cp:coreProperties>
</file>