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1"/>
  <workbookPr defaultThemeVersion="166925"/>
  <mc:AlternateContent xmlns:mc="http://schemas.openxmlformats.org/markup-compatibility/2006">
    <mc:Choice Requires="x15">
      <x15ac:absPath xmlns:x15ac="http://schemas.microsoft.com/office/spreadsheetml/2010/11/ac" url="C:\Users\arman\Documents\Studium\3. FS\"/>
    </mc:Choice>
  </mc:AlternateContent>
  <xr:revisionPtr revIDLastSave="0" documentId="13_ncr:1_{2046679A-5CBE-4B27-AC05-68F95569AACE}" xr6:coauthVersionLast="36" xr6:coauthVersionMax="47" xr10:uidLastSave="{00000000-0000-0000-0000-000000000000}"/>
  <bookViews>
    <workbookView xWindow="0" yWindow="0" windowWidth="23040" windowHeight="8940" activeTab="4" xr2:uid="{E8E2DA9C-8301-4420-A958-35227168C173}"/>
  </bookViews>
  <sheets>
    <sheet name="ANLEITUNG" sheetId="10" r:id="rId1"/>
    <sheet name="Semesterplan" sheetId="7" r:id="rId2"/>
    <sheet name="Best-Practices" sheetId="2" r:id="rId3"/>
    <sheet name="COMMITTMENT" sheetId="9" r:id="rId4"/>
    <sheet name="Wochenplan KW 47" sheetId="3" r:id="rId5"/>
    <sheet name="Wochenplan KW 20" sheetId="8"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G1" i="7" l="1"/>
  <c r="AB1" i="7"/>
  <c r="N4" i="7"/>
  <c r="N18" i="7"/>
  <c r="N42" i="7"/>
  <c r="G4" i="7" l="1"/>
  <c r="C11" i="10" l="1"/>
  <c r="CM42" i="7"/>
  <c r="CM4" i="7"/>
  <c r="CF42" i="7"/>
  <c r="CF4" i="7"/>
  <c r="BY42" i="7"/>
  <c r="BY4" i="7"/>
  <c r="BR42" i="7"/>
  <c r="BR4" i="7"/>
  <c r="BK4" i="7"/>
  <c r="BK42" i="7"/>
  <c r="C7" i="10"/>
  <c r="I55" i="7"/>
  <c r="J55" i="7" a="1"/>
  <c r="J55" i="7" s="1"/>
  <c r="K55" i="7" a="1"/>
  <c r="K55" i="7" s="1"/>
  <c r="I56" i="7"/>
  <c r="J56" i="7" a="1"/>
  <c r="J56" i="7" s="1"/>
  <c r="K56" i="7" a="1"/>
  <c r="K56" i="7" s="1"/>
  <c r="I57" i="7"/>
  <c r="J57" i="7" a="1"/>
  <c r="J57" i="7" s="1"/>
  <c r="K57" i="7" a="1"/>
  <c r="K57" i="7" s="1"/>
  <c r="I52" i="7"/>
  <c r="J52" i="7" a="1"/>
  <c r="J52" i="7" s="1"/>
  <c r="K52" i="7" a="1"/>
  <c r="K52" i="7" s="1"/>
  <c r="I53" i="7"/>
  <c r="J53" i="7" a="1"/>
  <c r="J53" i="7" s="1"/>
  <c r="K53" i="7" a="1"/>
  <c r="K53" i="7" s="1"/>
  <c r="I54" i="7"/>
  <c r="J54" i="7" a="1"/>
  <c r="J54" i="7" s="1"/>
  <c r="K54" i="7" a="1"/>
  <c r="K54" i="7" s="1"/>
  <c r="I58" i="7"/>
  <c r="J58" i="7" a="1"/>
  <c r="J58" i="7" s="1"/>
  <c r="K58" i="7" a="1"/>
  <c r="K58" i="7" s="1"/>
  <c r="I50" i="7"/>
  <c r="J50" i="7" a="1"/>
  <c r="J50" i="7" s="1"/>
  <c r="K50" i="7" a="1"/>
  <c r="K50" i="7" s="1"/>
  <c r="I40" i="7"/>
  <c r="J40" i="7" a="1"/>
  <c r="J40" i="7" s="1"/>
  <c r="K40" i="7" a="1"/>
  <c r="K40" i="7" s="1"/>
  <c r="K39" i="7" a="1"/>
  <c r="K39" i="7" s="1"/>
  <c r="J39" i="7" a="1"/>
  <c r="J39" i="7" s="1"/>
  <c r="I39" i="7"/>
  <c r="K38" i="7" a="1"/>
  <c r="K38" i="7" s="1"/>
  <c r="J38" i="7" a="1"/>
  <c r="J38" i="7" s="1"/>
  <c r="I38" i="7"/>
  <c r="K37" i="7" a="1"/>
  <c r="K37" i="7" s="1"/>
  <c r="J37" i="7" a="1"/>
  <c r="J37" i="7" s="1"/>
  <c r="I37" i="7"/>
  <c r="K36" i="7" a="1"/>
  <c r="K36" i="7" s="1"/>
  <c r="J36" i="7" a="1"/>
  <c r="J36" i="7" s="1"/>
  <c r="I36" i="7"/>
  <c r="K35" i="7" a="1"/>
  <c r="K35" i="7" s="1"/>
  <c r="J35" i="7" a="1"/>
  <c r="J35" i="7" s="1"/>
  <c r="I35" i="7"/>
  <c r="K34" i="7" a="1"/>
  <c r="K34" i="7" s="1"/>
  <c r="J34" i="7" a="1"/>
  <c r="J34" i="7" s="1"/>
  <c r="I34" i="7"/>
  <c r="K33" i="7" a="1"/>
  <c r="K33" i="7" s="1"/>
  <c r="J33" i="7" a="1"/>
  <c r="J33" i="7" s="1"/>
  <c r="I33" i="7"/>
  <c r="K32" i="7" a="1"/>
  <c r="K32" i="7" s="1"/>
  <c r="J32" i="7" a="1"/>
  <c r="J32" i="7" s="1"/>
  <c r="I32" i="7"/>
  <c r="K31" i="7" a="1"/>
  <c r="K31" i="7" s="1"/>
  <c r="J31" i="7" a="1"/>
  <c r="J31" i="7" s="1"/>
  <c r="I31" i="7"/>
  <c r="K30" i="7" a="1"/>
  <c r="K30" i="7" s="1"/>
  <c r="J30" i="7" a="1"/>
  <c r="J30" i="7" s="1"/>
  <c r="I30" i="7"/>
  <c r="K29" i="7" a="1"/>
  <c r="K29" i="7" s="1"/>
  <c r="J29" i="7" a="1"/>
  <c r="J29" i="7" s="1"/>
  <c r="I29" i="7"/>
  <c r="G42" i="7"/>
  <c r="U42" i="7"/>
  <c r="AB42" i="7"/>
  <c r="AI42" i="7"/>
  <c r="AP42" i="7"/>
  <c r="AW42" i="7"/>
  <c r="BD42" i="7"/>
  <c r="CT42" i="7"/>
  <c r="DA42" i="7"/>
  <c r="DH42" i="7"/>
  <c r="DO42" i="7"/>
  <c r="DV42" i="7"/>
  <c r="I43" i="7"/>
  <c r="J43" i="7" a="1"/>
  <c r="J43" i="7" s="1"/>
  <c r="K43" i="7" a="1"/>
  <c r="K43" i="7" s="1"/>
  <c r="I44" i="7"/>
  <c r="J44" i="7" a="1"/>
  <c r="J44" i="7" s="1"/>
  <c r="K44" i="7" a="1"/>
  <c r="K44" i="7" s="1"/>
  <c r="I45" i="7"/>
  <c r="J45" i="7" a="1"/>
  <c r="J45" i="7" s="1"/>
  <c r="K45" i="7" a="1"/>
  <c r="K45" i="7" s="1"/>
  <c r="I46" i="7"/>
  <c r="J46" i="7" a="1"/>
  <c r="J46" i="7" s="1"/>
  <c r="K46" i="7" a="1"/>
  <c r="K46" i="7" s="1"/>
  <c r="I47" i="7"/>
  <c r="J47" i="7" a="1"/>
  <c r="J47" i="7" s="1"/>
  <c r="K47" i="7" a="1"/>
  <c r="K47" i="7" s="1"/>
  <c r="I48" i="7"/>
  <c r="J48" i="7" a="1"/>
  <c r="J48" i="7" s="1"/>
  <c r="K48" i="7" a="1"/>
  <c r="K48" i="7" s="1"/>
  <c r="I49" i="7"/>
  <c r="J49" i="7" a="1"/>
  <c r="J49" i="7" s="1"/>
  <c r="K49" i="7" a="1"/>
  <c r="K49" i="7" s="1"/>
  <c r="K59" i="7" a="1"/>
  <c r="K59" i="7" s="1"/>
  <c r="J59" i="7" a="1"/>
  <c r="J59" i="7" s="1"/>
  <c r="I59" i="7"/>
  <c r="K51" i="7" a="1"/>
  <c r="K51" i="7" s="1"/>
  <c r="J51" i="7" a="1"/>
  <c r="J51" i="7" s="1"/>
  <c r="I51" i="7"/>
  <c r="G18" i="7"/>
  <c r="U18" i="7"/>
  <c r="AB18" i="7"/>
  <c r="AI18" i="7"/>
  <c r="AP18" i="7"/>
  <c r="I19" i="7"/>
  <c r="J19" i="7" a="1"/>
  <c r="J19" i="7" s="1"/>
  <c r="K19" i="7" a="1"/>
  <c r="K19" i="7" s="1"/>
  <c r="I11" i="7"/>
  <c r="J11" i="7" a="1"/>
  <c r="J11" i="7" s="1"/>
  <c r="K11" i="7" a="1"/>
  <c r="K11" i="7" s="1"/>
  <c r="I12" i="7"/>
  <c r="J12" i="7" a="1"/>
  <c r="J12" i="7" s="1"/>
  <c r="K12" i="7" a="1"/>
  <c r="K12" i="7" s="1"/>
  <c r="I13" i="7"/>
  <c r="J13" i="7" a="1"/>
  <c r="J13" i="7" s="1"/>
  <c r="K13" i="7" a="1"/>
  <c r="K13" i="7" s="1"/>
  <c r="I14" i="7"/>
  <c r="J14" i="7" a="1"/>
  <c r="J14" i="7" s="1"/>
  <c r="K14" i="7" a="1"/>
  <c r="K14" i="7" s="1"/>
  <c r="I15" i="7"/>
  <c r="J15" i="7" a="1"/>
  <c r="J15" i="7" s="1"/>
  <c r="K15" i="7" a="1"/>
  <c r="K15" i="7" s="1"/>
  <c r="I16" i="7"/>
  <c r="J16" i="7" a="1"/>
  <c r="J16" i="7" s="1"/>
  <c r="K16" i="7" a="1"/>
  <c r="K16" i="7" s="1"/>
  <c r="I5" i="7"/>
  <c r="I6" i="7"/>
  <c r="J6" i="7" a="1"/>
  <c r="J6" i="7" s="1"/>
  <c r="K6" i="7" a="1"/>
  <c r="K6" i="7" s="1"/>
  <c r="I7" i="7"/>
  <c r="J7" i="7" a="1"/>
  <c r="J7" i="7" s="1"/>
  <c r="K7" i="7" a="1"/>
  <c r="K7" i="7" s="1"/>
  <c r="I8" i="7"/>
  <c r="J8" i="7" a="1"/>
  <c r="J8" i="7" s="1"/>
  <c r="K8" i="7" a="1"/>
  <c r="K8" i="7" s="1"/>
  <c r="I9" i="7"/>
  <c r="J9" i="7" a="1"/>
  <c r="J9" i="7" s="1"/>
  <c r="K9" i="7" a="1"/>
  <c r="K9" i="7" s="1"/>
  <c r="I10" i="7"/>
  <c r="J10" i="7" a="1"/>
  <c r="J10" i="7" s="1"/>
  <c r="K10" i="7" a="1"/>
  <c r="K10" i="7" s="1"/>
  <c r="I42" i="7" l="1"/>
  <c r="K42" i="7"/>
  <c r="J42" i="7"/>
  <c r="DV4" i="7"/>
  <c r="DO4" i="7"/>
  <c r="DH4" i="7"/>
  <c r="DA4" i="7"/>
  <c r="CT4" i="7"/>
  <c r="C12" i="10"/>
  <c r="K28" i="7" a="1"/>
  <c r="K28" i="7" s="1"/>
  <c r="J28" i="7" a="1"/>
  <c r="J28" i="7" s="1"/>
  <c r="K27" i="7" a="1"/>
  <c r="K27" i="7" s="1"/>
  <c r="J27" i="7" a="1"/>
  <c r="J27" i="7" s="1"/>
  <c r="K26" i="7" a="1"/>
  <c r="K26" i="7" s="1"/>
  <c r="J26" i="7" a="1"/>
  <c r="J26" i="7" s="1"/>
  <c r="K25" i="7" a="1"/>
  <c r="K25" i="7" s="1"/>
  <c r="J25" i="7" a="1"/>
  <c r="J25" i="7" s="1"/>
  <c r="K24" i="7" a="1"/>
  <c r="K24" i="7" s="1"/>
  <c r="J24" i="7" a="1"/>
  <c r="J24" i="7" s="1"/>
  <c r="K23" i="7" a="1"/>
  <c r="K23" i="7" s="1"/>
  <c r="J23" i="7" a="1"/>
  <c r="J23" i="7" s="1"/>
  <c r="K22" i="7" a="1"/>
  <c r="K22" i="7" s="1"/>
  <c r="J22" i="7" a="1"/>
  <c r="J22" i="7" s="1"/>
  <c r="K21" i="7" a="1"/>
  <c r="K21" i="7" s="1"/>
  <c r="J21" i="7" a="1"/>
  <c r="J21" i="7" s="1"/>
  <c r="K20" i="7" a="1"/>
  <c r="K20" i="7" s="1"/>
  <c r="J20" i="7" a="1"/>
  <c r="J20" i="7" s="1"/>
  <c r="BD4" i="7"/>
  <c r="AW4" i="7"/>
  <c r="AP4" i="7"/>
  <c r="AI4" i="7"/>
  <c r="AB4" i="7"/>
  <c r="U4" i="7"/>
  <c r="I28" i="7"/>
  <c r="I27" i="7"/>
  <c r="I26" i="7"/>
  <c r="I25" i="7"/>
  <c r="I24" i="7"/>
  <c r="I23" i="7"/>
  <c r="I22" i="7"/>
  <c r="I21" i="7"/>
  <c r="I20" i="7"/>
  <c r="K18" i="7" l="1"/>
  <c r="J18" i="7"/>
  <c r="I18" i="7"/>
  <c r="I4" i="7"/>
  <c r="J5" i="7" a="1"/>
  <c r="J5" i="7" s="1"/>
  <c r="J4" i="7" s="1"/>
  <c r="K5" i="7" a="1"/>
  <c r="K5" i="7" s="1"/>
  <c r="K4" i="7"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<sst xmlns="http://schemas.openxmlformats.org/spreadsheetml/2006/main" count="405" uniqueCount="175">
  <si>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</si>
  <si>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</si>
  <si>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</si>
  <si>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</si>
  <si>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</si>
  <si>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</si>
  <si>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</si>
  <si>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</si>
  <si>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</si>
  <si>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</si>
  <si>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</si>
  <si>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</si>
  <si>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</si>
  <si>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</si>
  <si>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</si>
  <si>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</si>
  <si>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</si>
  <si>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</si>
  <si>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</si>
  <si>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</si>
  <si>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</si>
  <si>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</si>
  <si>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</si>
  <si>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</si>
  <si>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</si>
  <si>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</si>
  <si>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</si>
  <si>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</si>
  <si>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</si>
  <si>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</si>
  <si>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</si>
  <si>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</si>
  <si>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</si>
  <si>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</si>
  <si>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</si>
  <si>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</si>
  <si>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</si>
  <si>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</si>
  <si>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</si>
  <si>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</si>
  <si>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</si>
  <si>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</si>
  <si>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</si>
  <si>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</si>
  <si>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</si>
  <si>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</si>
  <si>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</si>
  <si>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</si>
  <si>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</si>
  <si>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</si>
  <si>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</si>
  <si>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</si>
  <si>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</si>
  <si>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</si>
  <si>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</si>
  <si>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</si>
  <si>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</si>
  <si>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</si>
  <si>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</si>
  <si>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</si>
  <si>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</si>
  <si>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</si>
  <si>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</si>
  <si>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</si>
  <si>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</si>
  <si>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</si>
  <si>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</si>
  <si>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</si>
  <si>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</si>
  <si>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</si>
  <si>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</si>
  <si>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</si>
  <si>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</si>
  <si>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</si>
  <si>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</si>
  <si>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</si>
  <si>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</si>
  <si>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</si>
  <si>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</si>
  <si>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</si>
  <si>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</si>
  <si>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</si>
  <si>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</si>
  <si>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</si>
  <si>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</si>
  <si>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</si>
  <si>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</si>
  <si>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</si>
  <si>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</si>
  <si>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KlausurFrüh</t>
  </si>
  <si>
    <t>Statistik</t>
  </si>
  <si>
    <t>Recht</t>
  </si>
  <si>
    <t>4) Deskreptive Statistik 2</t>
  </si>
  <si>
    <t>5) Wahrscheinlichkeiten</t>
  </si>
  <si>
    <t>6) Diskrete ZV</t>
  </si>
  <si>
    <t>9) Induktive Statistik 1</t>
  </si>
  <si>
    <t>10) Induktive Statistik 2</t>
  </si>
  <si>
    <t>11) Induktive Statistik 3</t>
  </si>
  <si>
    <t>12) Statistische Modellierung 1 &amp; 2</t>
  </si>
  <si>
    <t>3) Juristsiche Methodik</t>
  </si>
  <si>
    <t>5) WE und Vertragsschluss</t>
  </si>
  <si>
    <t>6) Dissens und anfechtung</t>
  </si>
  <si>
    <t>7) Verpflichtung und verfügungsgeschäft</t>
  </si>
  <si>
    <t>8) Rechts und geschäftsfähigkeit</t>
  </si>
  <si>
    <t>9) Stellvertretung</t>
  </si>
  <si>
    <t>10) AGB Recht</t>
  </si>
  <si>
    <t>13) Schuldrecht_BT_-_Kurzüberblick_Vertragstypen-K</t>
  </si>
  <si>
    <t>12) Schuldrecht_AT_-_Rücktritt_und_Verbraucher-Widerruf-K</t>
  </si>
  <si>
    <t>11) Schuldrecht_AT_-_Schadenersatz-K</t>
  </si>
  <si>
    <t>14) Kaufrecht 1</t>
  </si>
  <si>
    <t>14) Kaufrecht 2</t>
  </si>
  <si>
    <t xml:space="preserve">2) Angebot und Nachfrage </t>
  </si>
  <si>
    <t>5) Nutzen</t>
  </si>
  <si>
    <t>6) Budgetbeschränkung und Konsumentenentscheidung</t>
  </si>
  <si>
    <t>7) Individuelle Nachfrage 1</t>
  </si>
  <si>
    <t>8) Individuelle Nachfrage 2</t>
  </si>
  <si>
    <t>9) Die Marktnachfrage</t>
  </si>
  <si>
    <t>14) Gewinnmaximierung</t>
  </si>
  <si>
    <t>10) Die Produktion</t>
  </si>
  <si>
    <t>11) Die Produktion 2</t>
  </si>
  <si>
    <t>12) Kosten</t>
  </si>
  <si>
    <t>13) Kostenkurven</t>
  </si>
  <si>
    <t>15) Angebot</t>
  </si>
  <si>
    <t>17) Auktionen</t>
  </si>
  <si>
    <t>18) Anfangsausstattung und Arbeitsangebot</t>
  </si>
  <si>
    <t>11.02.23-27.11</t>
  </si>
  <si>
    <t>KW 45</t>
  </si>
  <si>
    <t>KW 46</t>
  </si>
  <si>
    <t>KW 47</t>
  </si>
  <si>
    <t>KW 48</t>
  </si>
  <si>
    <t>KW 49</t>
  </si>
  <si>
    <t>KW 50</t>
  </si>
  <si>
    <t>KW 52</t>
  </si>
  <si>
    <t>KW 1</t>
  </si>
  <si>
    <t>KW 2</t>
  </si>
  <si>
    <t>KW 51</t>
  </si>
  <si>
    <t>KW 3</t>
  </si>
  <si>
    <t>KW 4</t>
  </si>
  <si>
    <t>KW 5</t>
  </si>
  <si>
    <t>KW 6</t>
  </si>
  <si>
    <t>KW 7</t>
  </si>
  <si>
    <t>2) Deskreptive Statistik I 1.1</t>
  </si>
  <si>
    <t>15)_Schuldrecht_BT_–_Kaufrecht_II_-_Ergänzung</t>
  </si>
  <si>
    <t>16) Werkvertragsrecht-K</t>
  </si>
  <si>
    <t xml:space="preserve"> 17) Mietrecht-K</t>
  </si>
  <si>
    <t>18) Sachenrecht-K</t>
  </si>
  <si>
    <t>19) Deliktsrecht-K</t>
  </si>
  <si>
    <t>20) Bereicherungsrecht-K</t>
  </si>
  <si>
    <t>21) Handels-_und_Gesellschaftsrecht_I-K</t>
  </si>
  <si>
    <t>22) Handels-_und_Gesellschaftsrecht_II-K</t>
  </si>
  <si>
    <t>23) Arbeits-_und_Wirtschaftsrecht</t>
  </si>
  <si>
    <t>Mikroöonomie</t>
  </si>
  <si>
    <t>16) Das Marktgleichgewicht</t>
  </si>
  <si>
    <t>3. Woche des Semesters</t>
  </si>
  <si>
    <t>3) Elastizitäten &amp; 4) Präferenzen</t>
  </si>
  <si>
    <t>3) Deskreptive Statistik I 1.2</t>
  </si>
  <si>
    <t xml:space="preserve">7) Stetige ZV </t>
  </si>
  <si>
    <t xml:space="preserve">8)  Bivariate ZV </t>
  </si>
  <si>
    <t>Statistik 10:15-11:45 ZHG 011</t>
  </si>
  <si>
    <t>Recht 10:15-11:45 ZHG 09</t>
  </si>
  <si>
    <t>Statistik-Coaching 10:15-11:45 ZHG 011</t>
  </si>
  <si>
    <t>Mikro 12:15-13:45 ZHG 010</t>
  </si>
  <si>
    <t>Recht 14:15-15:45 ZHG 10</t>
  </si>
  <si>
    <t xml:space="preserve"> </t>
  </si>
  <si>
    <t>Übung Recht 16:15-17:45 ZHG 009</t>
  </si>
  <si>
    <t>Mikro TUT 8:15-9:45</t>
  </si>
  <si>
    <t>Statistik tut 12:15-13:45 MZG 9:111</t>
  </si>
  <si>
    <t>11 Wochen</t>
  </si>
  <si>
    <t>55 Kapitel</t>
  </si>
  <si>
    <t>165 Levelups</t>
  </si>
  <si>
    <t>10 Wochen</t>
  </si>
  <si>
    <t>36 Levelups</t>
  </si>
  <si>
    <t>x</t>
  </si>
  <si>
    <t>KLAUSUR!!!</t>
  </si>
  <si>
    <t>1) Was ist Recht? &amp; 2) Privatrecht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</si>
</sst>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FF0000"/>
      <name val="Calibri"/>
      <family val="2"/>
      <scheme val="minor"/>
    </font>
    <font>
      <sz val="12"/>
      <color rgb="FFFF0000"/>
      <name val="Arial"/>
      <family val="2"/>
    </font>
    <font>
      <sz val="12"/>
      <color theme="1"/>
      <name val="Arial"/>
      <family val="2"/>
    </font>
    <font>
      <sz val="12"/>
      <color theme="5"/>
      <name val="Arial"/>
      <family val="2"/>
    </font>
    <font>
      <sz val="12"/>
      <name val="Arial"/>
      <family val="2"/>
    </font>
    <font>
      <sz val="12"/>
      <color rgb="FF00B0F0"/>
      <name val="Arial"/>
      <family val="2"/>
    </font>
    <font>
      <sz val="12"/>
      <color rgb="FFFFC000"/>
      <name val="Arial"/>
      <family val="2"/>
    </font>
    <font>
      <sz val="11"/>
      <color theme="1"/>
      <name val="Arial"/>
      <family val="2"/>
    </font>
    <font>
      <b/>
      <u/>
      <sz val="12"/>
      <color theme="1"/>
      <name val="Calibri"/>
      <family val="2"/>
      <scheme val="minor"/>
    </font>
    <font>
      <b/>
      <i/>
      <u/>
      <sz val="12"/>
      <color theme="1"/>
      <name val="Calibri"/>
      <family val="2"/>
      <scheme val="minor"/>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53">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2" fontId="0" fillId="0" borderId="0" xfId="0" applyNumberFormat="1"/>
    <xf numFmtId="0" fontId="5" fillId="0" borderId="0" xfId="0" applyFont="1"/>
    <xf numFmtId="0" fontId="6" fillId="7" borderId="1" xfId="0" applyFont="1" applyFill="1" applyBorder="1" applyAlignment="1">
      <alignment vertical="center" wrapText="1"/>
    </xf>
    <xf numFmtId="0" fontId="7" fillId="7" borderId="1" xfId="0" applyFont="1" applyFill="1" applyBorder="1" applyAlignment="1">
      <alignment vertical="center" wrapText="1"/>
    </xf>
    <xf numFmtId="0" fontId="8" fillId="7" borderId="1" xfId="0" applyFont="1" applyFill="1" applyBorder="1" applyAlignment="1">
      <alignment vertical="center" wrapText="1"/>
    </xf>
    <xf numFmtId="0" fontId="7" fillId="7" borderId="1" xfId="0" applyFont="1" applyFill="1" applyBorder="1" applyAlignment="1">
      <alignment horizontal="left" indent="1"/>
    </xf>
    <xf numFmtId="0" fontId="7" fillId="7" borderId="1" xfId="0" applyFont="1" applyFill="1" applyBorder="1" applyAlignment="1">
      <alignment horizontal="left" vertical="center" wrapText="1" indent="1"/>
    </xf>
    <xf numFmtId="0" fontId="10" fillId="7" borderId="1" xfId="0" applyFont="1" applyFill="1" applyBorder="1" applyAlignment="1">
      <alignment vertical="center" wrapText="1"/>
    </xf>
    <xf numFmtId="0" fontId="6" fillId="7" borderId="1" xfId="0" applyFont="1" applyFill="1" applyBorder="1" applyAlignment="1">
      <alignment horizontal="left" indent="1"/>
    </xf>
    <xf numFmtId="0" fontId="12" fillId="0" borderId="0" xfId="0" applyFont="1" applyBorder="1"/>
    <xf numFmtId="0" fontId="7" fillId="0" borderId="7" xfId="0" applyFont="1" applyBorder="1" applyAlignment="1"/>
    <xf numFmtId="0" fontId="7" fillId="0" borderId="0" xfId="0" applyFont="1" applyBorder="1" applyAlignment="1"/>
    <xf numFmtId="0" fontId="13" fillId="0" borderId="0" xfId="0" applyFont="1"/>
    <xf numFmtId="0" fontId="14" fillId="4" borderId="0" xfId="0" applyFont="1" applyFill="1"/>
    <xf numFmtId="0" fontId="1" fillId="2" borderId="0" xfId="0" applyFont="1" applyFill="1" applyAlignment="1">
      <alignment horizontal="center"/>
    </xf>
    <xf numFmtId="0" fontId="7" fillId="0" borderId="1" xfId="0" applyFont="1" applyBorder="1" applyAlignment="1">
      <alignment horizontal="left" indent="1"/>
    </xf>
    <xf numFmtId="0" fontId="9" fillId="7" borderId="2"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11" fillId="7" borderId="1" xfId="0" applyFont="1" applyFill="1" applyBorder="1" applyAlignment="1">
      <alignment horizontal="left" indent="1"/>
    </xf>
    <xf numFmtId="0" fontId="11" fillId="7" borderId="5" xfId="0" applyFont="1" applyFill="1" applyBorder="1" applyAlignment="1">
      <alignment horizontal="left" indent="1"/>
    </xf>
    <xf numFmtId="0" fontId="11" fillId="7" borderId="6" xfId="0" applyFont="1" applyFill="1" applyBorder="1" applyAlignment="1">
      <alignment horizontal="left" indent="1"/>
    </xf>
    <xf numFmtId="0" fontId="7" fillId="7" borderId="2"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0" borderId="5" xfId="0" applyFont="1" applyBorder="1" applyAlignment="1">
      <alignment horizontal="left" indent="1"/>
    </xf>
    <xf numFmtId="0" fontId="7" fillId="0" borderId="6" xfId="0" applyFont="1" applyBorder="1" applyAlignment="1">
      <alignment horizontal="left" indent="1"/>
    </xf>
    <xf numFmtId="0" fontId="7" fillId="7" borderId="2" xfId="0" applyFont="1" applyFill="1" applyBorder="1" applyAlignment="1">
      <alignment horizontal="center" wrapText="1"/>
    </xf>
    <xf numFmtId="0" fontId="7" fillId="7" borderId="3" xfId="0" applyFont="1" applyFill="1" applyBorder="1" applyAlignment="1">
      <alignment horizontal="center" wrapText="1"/>
    </xf>
    <xf numFmtId="0" fontId="7" fillId="7" borderId="4" xfId="0" applyFont="1" applyFill="1" applyBorder="1" applyAlignment="1">
      <alignment horizontal="center" wrapText="1"/>
    </xf>
  </cellXfs>
  <cellStyles count="1">
    <cellStyle name="Standard" xfId="0" builtinId="0"/>
  </cellStyles>
  <dxfs count="477">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FDE7F"/>
      <color rgb="FF00FF29"/>
      <color rgb="FF56FF5E"/>
      <color rgb="FFC4FF87"/>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76">
  <autoFilter ref="A1:K46" xr:uid="{6E266E34-2786-2747-BCE7-51B74867A564}"/>
  <tableColumns count="11">
    <tableColumn id="1" xr3:uid="{95FD92F7-3DC8-704D-A103-A7EDDAB255AB}" name="Datum" dataDxfId="475"/>
    <tableColumn id="2" xr3:uid="{F464D510-8166-E740-A343-FB84BDEF877F}" name="Lerneinheiten durchgezogen" dataDxfId="474"/>
    <tableColumn id="3" xr3:uid="{75F52B08-1A00-0848-BBE6-1EDF7B31B1AD}" name="Tagesplan erstellt" dataDxfId="473"/>
    <tableColumn id="4" xr3:uid="{E6B18D89-E799-AD48-9DAA-37AEE1D29011}" name="Konzentrationslevel" dataDxfId="47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heetViews>
  <sheetFormatPr baseColWidth="10" defaultRowHeight="15.6"/>
  <cols>
    <col min="1" max="1" width="11.796875" customWidth="1"/>
    <col min="2" max="2" width="62.69921875" customWidth="1"/>
  </cols>
  <sheetData>
    <row r="2" spans="1:4">
      <c r="C2" s="21" t="s">
        <v>72</v>
      </c>
    </row>
    <row r="3" spans="1:4">
      <c r="C3" s="20" t="s">
        <v>57</v>
      </c>
    </row>
    <row r="4" spans="1:4">
      <c r="C4" s="19" t="s">
        <v>71</v>
      </c>
    </row>
    <row r="5" spans="1:4">
      <c r="A5" s="3" t="s">
        <v>54</v>
      </c>
      <c r="B5" s="3" t="s">
        <v>55</v>
      </c>
      <c r="C5" s="3" t="s">
        <v>56</v>
      </c>
      <c r="D5" s="3" t="s">
        <v>58</v>
      </c>
    </row>
    <row r="6" spans="1:4">
      <c r="A6" t="s">
        <v>50</v>
      </c>
      <c r="B6" s="21" t="s">
        <v>53</v>
      </c>
      <c r="D6" t="s">
        <v>87</v>
      </c>
    </row>
    <row r="7" spans="1:4">
      <c r="A7" t="s">
        <v>61</v>
      </c>
      <c r="B7" t="s">
        <v>62</v>
      </c>
      <c r="C7" s="19">
        <f>13+23+18</f>
        <v>54</v>
      </c>
    </row>
    <row r="8" spans="1:4">
      <c r="A8" t="s">
        <v>52</v>
      </c>
      <c r="B8" s="21" t="s">
        <v>51</v>
      </c>
      <c r="C8" s="9"/>
      <c r="D8" t="s">
        <v>75</v>
      </c>
    </row>
    <row r="9" spans="1:4">
      <c r="A9" t="s">
        <v>60</v>
      </c>
      <c r="B9" s="21" t="s">
        <v>73</v>
      </c>
      <c r="D9" t="s">
        <v>76</v>
      </c>
    </row>
    <row r="10" spans="1:4">
      <c r="A10" t="s">
        <v>64</v>
      </c>
      <c r="B10" t="s">
        <v>63</v>
      </c>
      <c r="C10" s="19">
        <v>12</v>
      </c>
      <c r="D10" t="s">
        <v>59</v>
      </c>
    </row>
    <row r="11" spans="1:4">
      <c r="A11" t="s">
        <v>65</v>
      </c>
      <c r="B11" t="s">
        <v>67</v>
      </c>
      <c r="C11" s="19">
        <f>42*3</f>
        <v>126</v>
      </c>
      <c r="D11" t="s">
        <v>66</v>
      </c>
    </row>
    <row r="12" spans="1:4">
      <c r="A12" t="s">
        <v>69</v>
      </c>
      <c r="B12" t="s">
        <v>68</v>
      </c>
      <c r="C12" s="20">
        <f>C11/C10</f>
        <v>10.5</v>
      </c>
    </row>
    <row r="13" spans="1:4">
      <c r="A13" t="s">
        <v>74</v>
      </c>
      <c r="B13" t="s">
        <v>70</v>
      </c>
      <c r="D13" t="s">
        <v>77</v>
      </c>
    </row>
    <row r="14" spans="1:4">
      <c r="A14" t="s">
        <v>78</v>
      </c>
      <c r="B14" t="s">
        <v>79</v>
      </c>
      <c r="D14" t="s">
        <v>80</v>
      </c>
    </row>
    <row r="15" spans="1:4">
      <c r="A15" t="s">
        <v>81</v>
      </c>
      <c r="B15" s="21" t="s">
        <v>82</v>
      </c>
    </row>
    <row r="16" spans="1:4">
      <c r="A16" t="s">
        <v>85</v>
      </c>
      <c r="B16" s="21" t="s">
        <v>83</v>
      </c>
    </row>
    <row r="17" spans="1: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A67"/>
  <sheetViews>
    <sheetView zoomScale="80" zoomScaleNormal="80" workbookViewId="0">
      <pane xSplit="7" topLeftCell="Z1" activePane="topRight" state="frozen"/>
      <selection pane="topRight" activeCell="AE27" sqref="AE27"/>
    </sheetView>
  </sheetViews>
  <sheetFormatPr baseColWidth="10"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 min="78" max="78" width="12.5" bestFit="1" customWidth="1"/>
    <col min="79" max="79" width="6.296875" customWidth="1"/>
    <col min="80" max="80" width="14.796875" bestFit="1" customWidth="1"/>
    <col min="81" max="81" width="6" customWidth="1"/>
    <col min="82" max="82" width="12.69921875" bestFit="1" customWidth="1"/>
    <col min="83" max="83" width="2.5" customWidth="1"/>
    <col min="85" max="85" width="12.5" bestFit="1" customWidth="1"/>
    <col min="86" max="86" width="6.296875" customWidth="1"/>
    <col min="87" max="87" width="14.796875" bestFit="1" customWidth="1"/>
    <col min="88" max="88" width="6" customWidth="1"/>
    <col min="89" max="89" width="12.69921875" customWidth="1"/>
    <col min="90" max="90" width="2.5" customWidth="1"/>
    <col min="92" max="92" width="12.5" bestFit="1" customWidth="1"/>
    <col min="93" max="93" width="6.296875" customWidth="1"/>
    <col min="94" max="94" width="14.796875" bestFit="1" customWidth="1"/>
    <col min="95" max="95" width="6" customWidth="1"/>
    <col min="96" max="96" width="12.69921875" customWidth="1"/>
    <col min="97" max="97" width="2.5" customWidth="1"/>
    <col min="99" max="99" width="12.5" bestFit="1" customWidth="1"/>
    <col min="100" max="100" width="6.296875" customWidth="1"/>
    <col min="101" max="101" width="14.796875" bestFit="1" customWidth="1"/>
    <col min="102" max="102" width="6" customWidth="1"/>
    <col min="103" max="103" width="12.69921875" bestFit="1" customWidth="1"/>
    <col min="104" max="104" width="2.5" customWidth="1"/>
    <col min="106" max="106" width="12.5" bestFit="1" customWidth="1"/>
    <col min="107" max="107" width="6.296875" customWidth="1"/>
    <col min="108" max="108" width="14.796875" bestFit="1" customWidth="1"/>
    <col min="109" max="109" width="6" customWidth="1"/>
    <col min="110" max="110" width="12.69921875" bestFit="1" customWidth="1"/>
    <col min="111" max="111" width="2.5" customWidth="1"/>
    <col min="113" max="113" width="12.5" bestFit="1" customWidth="1"/>
    <col min="114" max="114" width="6.296875" customWidth="1"/>
    <col min="115" max="115" width="14.796875" bestFit="1" customWidth="1"/>
    <col min="116" max="116" width="6" customWidth="1"/>
    <col min="117" max="117" width="12.69921875" bestFit="1" customWidth="1"/>
    <col min="118" max="118" width="2.5" customWidth="1"/>
    <col min="120" max="120" width="12.5" bestFit="1" customWidth="1"/>
    <col min="121" max="121" width="6.296875" customWidth="1"/>
    <col min="122" max="122" width="14.796875" bestFit="1" customWidth="1"/>
    <col min="123" max="123" width="6" customWidth="1"/>
    <col min="124" max="124" width="12.69921875" bestFit="1" customWidth="1"/>
    <col min="125" max="125" width="2.5" customWidth="1"/>
    <col min="127" max="127" width="12.5" bestFit="1" customWidth="1"/>
    <col min="128" max="128" width="6.296875" customWidth="1"/>
    <col min="129" max="129" width="14.796875" bestFit="1" customWidth="1"/>
    <col min="130" max="130" width="6" customWidth="1"/>
    <col min="131" max="131" width="12.69921875" bestFit="1" customWidth="1"/>
  </cols>
  <sheetData>
    <row r="1" spans="2:131" ht="33.6">
      <c r="B1" s="5" t="s">
        <v>0</v>
      </c>
      <c r="D1" s="5"/>
      <c r="G1" s="15" t="s">
        <v>34</v>
      </c>
      <c r="I1" s="15" t="s">
        <v>34</v>
      </c>
      <c r="J1" s="15" t="s">
        <v>34</v>
      </c>
      <c r="K1" s="15" t="s">
        <v>34</v>
      </c>
      <c r="O1" s="24" t="s">
        <v>153</v>
      </c>
      <c r="X1" t="s">
        <v>167</v>
      </c>
      <c r="Y1" t="s">
        <v>168</v>
      </c>
      <c r="Z1" t="s">
        <v>169</v>
      </c>
      <c r="AB1" s="36">
        <f>165/11</f>
        <v>15</v>
      </c>
      <c r="AE1" t="s">
        <v>170</v>
      </c>
      <c r="AF1" t="s">
        <v>171</v>
      </c>
      <c r="AG1" s="35">
        <f>36/10</f>
        <v>3.6</v>
      </c>
      <c r="AZ1">
        <v>3</v>
      </c>
      <c r="BE1">
        <v>3</v>
      </c>
      <c r="BU1">
        <v>3</v>
      </c>
    </row>
    <row r="2" spans="2:131">
      <c r="I2" s="37" t="s">
        <v>27</v>
      </c>
      <c r="J2" s="37"/>
      <c r="K2" s="37"/>
      <c r="L2" s="37"/>
      <c r="N2" s="37" t="s">
        <v>126</v>
      </c>
      <c r="O2" s="37"/>
      <c r="P2" s="37"/>
      <c r="Q2" s="37"/>
      <c r="R2" s="37"/>
      <c r="S2" s="37"/>
      <c r="U2" s="37" t="s">
        <v>127</v>
      </c>
      <c r="V2" s="37"/>
      <c r="W2" s="37"/>
      <c r="X2" s="37"/>
      <c r="Y2" s="37"/>
      <c r="Z2" s="37"/>
      <c r="AB2" s="37" t="s">
        <v>128</v>
      </c>
      <c r="AC2" s="37"/>
      <c r="AD2" s="37"/>
      <c r="AE2" s="37"/>
      <c r="AF2" s="37"/>
      <c r="AG2" s="37"/>
      <c r="AI2" s="37" t="s">
        <v>129</v>
      </c>
      <c r="AJ2" s="37"/>
      <c r="AK2" s="37"/>
      <c r="AL2" s="37"/>
      <c r="AM2" s="37"/>
      <c r="AN2" s="37"/>
      <c r="AP2" s="37" t="s">
        <v>130</v>
      </c>
      <c r="AQ2" s="37"/>
      <c r="AR2" s="37"/>
      <c r="AS2" s="37"/>
      <c r="AT2" s="37"/>
      <c r="AU2" s="37"/>
      <c r="AW2" s="37" t="s">
        <v>131</v>
      </c>
      <c r="AX2" s="37"/>
      <c r="AY2" s="37"/>
      <c r="AZ2" s="37"/>
      <c r="BA2" s="37"/>
      <c r="BB2" s="37"/>
      <c r="BD2" s="37" t="s">
        <v>135</v>
      </c>
      <c r="BE2" s="37"/>
      <c r="BF2" s="37"/>
      <c r="BG2" s="37"/>
      <c r="BH2" s="37"/>
      <c r="BI2" s="37"/>
      <c r="BK2" s="37" t="s">
        <v>132</v>
      </c>
      <c r="BL2" s="37"/>
      <c r="BM2" s="37"/>
      <c r="BN2" s="37"/>
      <c r="BO2" s="37"/>
      <c r="BP2" s="37"/>
      <c r="BR2" s="37" t="s">
        <v>133</v>
      </c>
      <c r="BS2" s="37"/>
      <c r="BT2" s="37"/>
      <c r="BU2" s="37"/>
      <c r="BV2" s="37"/>
      <c r="BW2" s="37"/>
      <c r="BY2" s="37" t="s">
        <v>134</v>
      </c>
      <c r="BZ2" s="37"/>
      <c r="CA2" s="37"/>
      <c r="CB2" s="37"/>
      <c r="CC2" s="37"/>
      <c r="CD2" s="37"/>
      <c r="CF2" s="37" t="s">
        <v>136</v>
      </c>
      <c r="CG2" s="37"/>
      <c r="CH2" s="37"/>
      <c r="CI2" s="37"/>
      <c r="CJ2" s="37"/>
      <c r="CK2" s="37"/>
      <c r="CM2" s="37" t="s">
        <v>137</v>
      </c>
      <c r="CN2" s="37"/>
      <c r="CO2" s="37"/>
      <c r="CP2" s="37"/>
      <c r="CQ2" s="37"/>
      <c r="CR2" s="37"/>
      <c r="CT2" s="37" t="s">
        <v>89</v>
      </c>
      <c r="CU2" s="37"/>
      <c r="CV2" s="37"/>
      <c r="CW2" s="37"/>
      <c r="CX2" s="37"/>
      <c r="CY2" s="37"/>
      <c r="DA2" s="37" t="s">
        <v>138</v>
      </c>
      <c r="DB2" s="37"/>
      <c r="DC2" s="37"/>
      <c r="DD2" s="37"/>
      <c r="DE2" s="37"/>
      <c r="DF2" s="37"/>
      <c r="DH2" s="37" t="s">
        <v>139</v>
      </c>
      <c r="DI2" s="37"/>
      <c r="DJ2" s="37"/>
      <c r="DK2" s="37"/>
      <c r="DL2" s="37"/>
      <c r="DM2" s="37"/>
      <c r="DO2" s="37" t="s">
        <v>140</v>
      </c>
      <c r="DP2" s="37"/>
      <c r="DQ2" s="37"/>
      <c r="DR2" s="37"/>
      <c r="DS2" s="37"/>
      <c r="DT2" s="37"/>
      <c r="DV2" s="37" t="s">
        <v>88</v>
      </c>
      <c r="DW2" s="37"/>
      <c r="DX2" s="37"/>
      <c r="DY2" s="37"/>
      <c r="DZ2" s="37"/>
      <c r="EA2" s="37"/>
    </row>
    <row r="3" spans="2:131">
      <c r="B3" s="6" t="s">
        <v>26</v>
      </c>
      <c r="C3" s="6" t="s">
        <v>1</v>
      </c>
      <c r="D3" s="6" t="s">
        <v>24</v>
      </c>
      <c r="E3" s="7" t="s">
        <v>31</v>
      </c>
      <c r="F3" s="6" t="s">
        <v>29</v>
      </c>
      <c r="G3" s="6" t="s">
        <v>32</v>
      </c>
      <c r="I3" s="7" t="s">
        <v>11</v>
      </c>
      <c r="J3" s="7" t="s">
        <v>2</v>
      </c>
      <c r="K3" s="7" t="s">
        <v>3</v>
      </c>
      <c r="L3" s="7" t="s">
        <v>12</v>
      </c>
      <c r="N3" s="6" t="s">
        <v>11</v>
      </c>
      <c r="O3" s="6" t="s">
        <v>2</v>
      </c>
      <c r="P3" s="6" t="s">
        <v>33</v>
      </c>
      <c r="Q3" s="6" t="s">
        <v>3</v>
      </c>
      <c r="R3" s="6" t="s">
        <v>33</v>
      </c>
      <c r="S3" s="6" t="s">
        <v>12</v>
      </c>
      <c r="U3" s="6" t="s">
        <v>11</v>
      </c>
      <c r="V3" s="6" t="s">
        <v>2</v>
      </c>
      <c r="W3" s="6" t="s">
        <v>33</v>
      </c>
      <c r="X3" s="6" t="s">
        <v>3</v>
      </c>
      <c r="Y3" s="6" t="s">
        <v>33</v>
      </c>
      <c r="Z3" s="6" t="s">
        <v>12</v>
      </c>
      <c r="AB3" s="6" t="s">
        <v>11</v>
      </c>
      <c r="AC3" s="6" t="s">
        <v>2</v>
      </c>
      <c r="AD3" s="6" t="s">
        <v>33</v>
      </c>
      <c r="AE3" s="6" t="s">
        <v>3</v>
      </c>
      <c r="AF3" s="6" t="s">
        <v>33</v>
      </c>
      <c r="AG3" s="6" t="s">
        <v>12</v>
      </c>
      <c r="AI3" s="6" t="s">
        <v>11</v>
      </c>
      <c r="AJ3" s="6" t="s">
        <v>2</v>
      </c>
      <c r="AK3" s="6" t="s">
        <v>33</v>
      </c>
      <c r="AL3" s="6" t="s">
        <v>3</v>
      </c>
      <c r="AM3" s="6" t="s">
        <v>33</v>
      </c>
      <c r="AN3" s="6" t="s">
        <v>12</v>
      </c>
      <c r="AP3" s="6" t="s">
        <v>11</v>
      </c>
      <c r="AQ3" s="6" t="s">
        <v>2</v>
      </c>
      <c r="AR3" s="6" t="s">
        <v>33</v>
      </c>
      <c r="AS3" s="6" t="s">
        <v>3</v>
      </c>
      <c r="AT3" s="6" t="s">
        <v>33</v>
      </c>
      <c r="AU3" s="6" t="s">
        <v>12</v>
      </c>
      <c r="AW3" s="6" t="s">
        <v>11</v>
      </c>
      <c r="AX3" s="6" t="s">
        <v>2</v>
      </c>
      <c r="AY3" s="6" t="s">
        <v>33</v>
      </c>
      <c r="AZ3" s="6" t="s">
        <v>3</v>
      </c>
      <c r="BA3" s="6" t="s">
        <v>33</v>
      </c>
      <c r="BB3" s="6" t="s">
        <v>12</v>
      </c>
      <c r="BD3" s="6" t="s">
        <v>11</v>
      </c>
      <c r="BE3" s="6" t="s">
        <v>2</v>
      </c>
      <c r="BF3" s="6" t="s">
        <v>33</v>
      </c>
      <c r="BG3" s="6" t="s">
        <v>3</v>
      </c>
      <c r="BH3" s="6" t="s">
        <v>33</v>
      </c>
      <c r="BI3" s="6" t="s">
        <v>12</v>
      </c>
      <c r="BK3" s="6" t="s">
        <v>11</v>
      </c>
      <c r="BL3" s="6" t="s">
        <v>2</v>
      </c>
      <c r="BM3" s="6" t="s">
        <v>33</v>
      </c>
      <c r="BN3" s="6" t="s">
        <v>3</v>
      </c>
      <c r="BO3" s="6" t="s">
        <v>33</v>
      </c>
      <c r="BP3" s="6" t="s">
        <v>12</v>
      </c>
      <c r="BR3" s="6" t="s">
        <v>11</v>
      </c>
      <c r="BS3" s="6" t="s">
        <v>2</v>
      </c>
      <c r="BT3" s="6" t="s">
        <v>33</v>
      </c>
      <c r="BU3" s="6" t="s">
        <v>3</v>
      </c>
      <c r="BV3" s="6" t="s">
        <v>33</v>
      </c>
      <c r="BW3" s="6" t="s">
        <v>12</v>
      </c>
      <c r="BY3" s="6" t="s">
        <v>11</v>
      </c>
      <c r="BZ3" s="6" t="s">
        <v>2</v>
      </c>
      <c r="CA3" s="6" t="s">
        <v>33</v>
      </c>
      <c r="CB3" s="6" t="s">
        <v>3</v>
      </c>
      <c r="CC3" s="6" t="s">
        <v>33</v>
      </c>
      <c r="CD3" s="6" t="s">
        <v>12</v>
      </c>
      <c r="CF3" s="6" t="s">
        <v>11</v>
      </c>
      <c r="CG3" s="6" t="s">
        <v>2</v>
      </c>
      <c r="CH3" s="6" t="s">
        <v>33</v>
      </c>
      <c r="CI3" s="6" t="s">
        <v>3</v>
      </c>
      <c r="CJ3" s="6" t="s">
        <v>33</v>
      </c>
      <c r="CK3" s="6" t="s">
        <v>12</v>
      </c>
      <c r="CM3" s="6" t="s">
        <v>11</v>
      </c>
      <c r="CN3" s="6" t="s">
        <v>2</v>
      </c>
      <c r="CO3" s="6" t="s">
        <v>33</v>
      </c>
      <c r="CP3" s="6" t="s">
        <v>3</v>
      </c>
      <c r="CQ3" s="6" t="s">
        <v>33</v>
      </c>
      <c r="CR3" s="6" t="s">
        <v>12</v>
      </c>
      <c r="CT3" s="6" t="s">
        <v>11</v>
      </c>
      <c r="CU3" s="6" t="s">
        <v>2</v>
      </c>
      <c r="CV3" s="6" t="s">
        <v>33</v>
      </c>
      <c r="CW3" s="6" t="s">
        <v>3</v>
      </c>
      <c r="CX3" s="6" t="s">
        <v>33</v>
      </c>
      <c r="CY3" s="6" t="s">
        <v>12</v>
      </c>
      <c r="DA3" s="6" t="s">
        <v>11</v>
      </c>
      <c r="DB3" s="6" t="s">
        <v>2</v>
      </c>
      <c r="DC3" s="6" t="s">
        <v>33</v>
      </c>
      <c r="DD3" s="6" t="s">
        <v>3</v>
      </c>
      <c r="DE3" s="6" t="s">
        <v>33</v>
      </c>
      <c r="DF3" s="6" t="s">
        <v>12</v>
      </c>
      <c r="DH3" s="6" t="s">
        <v>11</v>
      </c>
      <c r="DI3" s="6" t="s">
        <v>2</v>
      </c>
      <c r="DJ3" s="6" t="s">
        <v>33</v>
      </c>
      <c r="DK3" s="6" t="s">
        <v>3</v>
      </c>
      <c r="DL3" s="6" t="s">
        <v>33</v>
      </c>
      <c r="DM3" s="6" t="s">
        <v>12</v>
      </c>
      <c r="DO3" s="6" t="s">
        <v>11</v>
      </c>
      <c r="DP3" s="6" t="s">
        <v>2</v>
      </c>
      <c r="DQ3" s="6" t="s">
        <v>33</v>
      </c>
      <c r="DR3" s="6" t="s">
        <v>3</v>
      </c>
      <c r="DS3" s="6" t="s">
        <v>33</v>
      </c>
      <c r="DT3" s="6" t="s">
        <v>12</v>
      </c>
      <c r="DV3" s="6" t="s">
        <v>11</v>
      </c>
      <c r="DW3" s="6" t="s">
        <v>2</v>
      </c>
      <c r="DX3" s="6" t="s">
        <v>33</v>
      </c>
      <c r="DY3" s="6" t="s">
        <v>3</v>
      </c>
      <c r="DZ3" s="6" t="s">
        <v>33</v>
      </c>
      <c r="EA3" s="6" t="s">
        <v>12</v>
      </c>
    </row>
    <row r="4" spans="2:131">
      <c r="B4" t="s">
        <v>27</v>
      </c>
      <c r="C4" t="s">
        <v>90</v>
      </c>
      <c r="D4" s="22">
        <v>44968</v>
      </c>
      <c r="E4" s="11">
        <v>8</v>
      </c>
      <c r="G4" s="12">
        <f>+SUM(G5:G16)</f>
        <v>0.99999999999999989</v>
      </c>
      <c r="I4" s="14">
        <f>+SUM(I5:I10)</f>
        <v>6</v>
      </c>
      <c r="J4" s="13">
        <f>+SUMPRODUCT(G5:G10,J5:J10)</f>
        <v>0.17000000000000004</v>
      </c>
      <c r="K4" s="13">
        <f>+SUMPRODUCT(G5:G10,K5:K10)</f>
        <v>0.17000000000000004</v>
      </c>
      <c r="L4" s="11"/>
      <c r="N4" s="14">
        <f>+SUM(N5:N16)</f>
        <v>6</v>
      </c>
      <c r="U4" s="14">
        <f>+SUM(U5:U10)</f>
        <v>0</v>
      </c>
      <c r="AB4" s="14">
        <f>+SUM(AB5:AB10)</f>
        <v>0</v>
      </c>
      <c r="AI4" s="14">
        <f>+SUM(AI5:AI10)</f>
        <v>0</v>
      </c>
      <c r="AP4" s="14">
        <f>+SUM(AP5:AP10)</f>
        <v>0</v>
      </c>
      <c r="AW4" s="14">
        <f>+SUM(AW5:AW10)</f>
        <v>0</v>
      </c>
      <c r="BD4" s="14">
        <f>+SUM(BD5:BD10)</f>
        <v>0</v>
      </c>
      <c r="BK4" s="14">
        <f>+SUM(BK5:BK10)</f>
        <v>0</v>
      </c>
      <c r="BR4" s="14">
        <f>+SUM(BR5:BR10)</f>
        <v>0</v>
      </c>
      <c r="BY4" s="14">
        <f>+SUM(BY5:BY10)</f>
        <v>0</v>
      </c>
      <c r="CF4" s="14">
        <f>+SUM(CF5:CF10)</f>
        <v>0</v>
      </c>
      <c r="CM4" s="14">
        <f>+SUM(CM5:CM10)</f>
        <v>0</v>
      </c>
      <c r="CT4" s="14">
        <f>+SUM(CT5:CT10)</f>
        <v>0</v>
      </c>
      <c r="DA4" s="14">
        <f>+SUM(DA5:DA10)</f>
        <v>0</v>
      </c>
      <c r="DH4" s="14">
        <f>+SUM(DH5:DH10)</f>
        <v>0</v>
      </c>
      <c r="DO4" s="14">
        <f>+SUM(DO5:DO10)</f>
        <v>0</v>
      </c>
      <c r="DV4" s="14">
        <f>+SUM(DV5:DV10)</f>
        <v>0</v>
      </c>
    </row>
    <row r="5" spans="2:131" outlineLevel="1">
      <c r="B5" t="s">
        <v>28</v>
      </c>
      <c r="C5" t="s">
        <v>90</v>
      </c>
      <c r="E5" s="11"/>
      <c r="F5" t="s">
        <v>30</v>
      </c>
      <c r="G5" s="12">
        <v>0.05</v>
      </c>
      <c r="I5" s="11">
        <f t="shared" ref="I5:I16" si="0">+SUMIF($N$3:$AAU$3,I$3,$N5:$AAU5)</f>
        <v>0</v>
      </c>
      <c r="J5" s="13" cm="1">
        <f t="array" ref="J5">MAX(IF($N$3:$FC$3=$J$3,N5:FC5))</f>
        <v>1</v>
      </c>
      <c r="K5" s="13" cm="1">
        <f t="array" ref="K5">MAX(IF($N$3:$FC$3=$J$3,N5:FC5))</f>
        <v>1</v>
      </c>
      <c r="L5" s="11"/>
      <c r="O5" s="12">
        <v>1</v>
      </c>
      <c r="P5" s="12">
        <v>1</v>
      </c>
      <c r="Q5" s="12">
        <v>1</v>
      </c>
      <c r="R5" s="12">
        <v>1</v>
      </c>
      <c r="V5" s="12"/>
      <c r="W5" s="12">
        <v>0.8</v>
      </c>
      <c r="X5" s="12"/>
      <c r="Y5" s="12">
        <v>0.8</v>
      </c>
      <c r="AC5" s="12"/>
      <c r="AD5" s="12">
        <v>1</v>
      </c>
      <c r="AE5" s="12"/>
      <c r="AF5" s="12">
        <v>1</v>
      </c>
      <c r="AJ5" s="12"/>
      <c r="AK5" s="12">
        <v>1</v>
      </c>
      <c r="AL5" s="12"/>
      <c r="AM5" s="12">
        <v>1</v>
      </c>
      <c r="AQ5" s="12"/>
      <c r="AR5" s="12">
        <v>1</v>
      </c>
      <c r="AS5" s="12"/>
      <c r="AT5" s="12">
        <v>1</v>
      </c>
      <c r="AX5" s="12"/>
      <c r="AY5" s="12">
        <v>1</v>
      </c>
      <c r="AZ5" s="12"/>
      <c r="BA5" s="12">
        <v>1</v>
      </c>
      <c r="BE5" s="12"/>
      <c r="BF5" s="12">
        <v>1</v>
      </c>
      <c r="BG5" s="12"/>
      <c r="BH5" s="12">
        <v>1</v>
      </c>
      <c r="BL5" s="12"/>
      <c r="BM5" s="12">
        <v>1</v>
      </c>
      <c r="BN5" s="12"/>
      <c r="BO5" s="12">
        <v>1</v>
      </c>
      <c r="BS5" s="12"/>
      <c r="BT5" s="12">
        <v>1</v>
      </c>
      <c r="BU5" s="12"/>
      <c r="BV5" s="12">
        <v>1</v>
      </c>
      <c r="BZ5" s="12"/>
      <c r="CA5" s="12">
        <v>1</v>
      </c>
      <c r="CB5" s="12"/>
      <c r="CC5" s="12">
        <v>1</v>
      </c>
      <c r="CG5" s="12"/>
      <c r="CH5" s="12">
        <v>1</v>
      </c>
      <c r="CI5" s="12"/>
      <c r="CJ5" s="12">
        <v>1</v>
      </c>
      <c r="CN5" s="12"/>
      <c r="CO5" s="12">
        <v>1</v>
      </c>
      <c r="CP5" s="12"/>
      <c r="CQ5" s="12">
        <v>1</v>
      </c>
      <c r="CU5" s="12"/>
      <c r="CV5" s="12">
        <v>1</v>
      </c>
      <c r="CW5" s="12"/>
      <c r="CX5" s="12">
        <v>1</v>
      </c>
      <c r="DB5" s="12"/>
      <c r="DC5" s="12">
        <v>1</v>
      </c>
      <c r="DD5" s="12"/>
      <c r="DE5" s="12">
        <v>1</v>
      </c>
      <c r="DI5" s="12"/>
      <c r="DJ5" s="12">
        <v>1</v>
      </c>
      <c r="DK5" s="12"/>
      <c r="DL5" s="12">
        <v>1</v>
      </c>
      <c r="DP5" s="12"/>
      <c r="DQ5" s="12">
        <v>1</v>
      </c>
      <c r="DR5" s="12"/>
      <c r="DS5" s="12">
        <v>1</v>
      </c>
      <c r="DT5" t="s">
        <v>173</v>
      </c>
      <c r="DW5" s="12"/>
      <c r="DX5" s="12"/>
      <c r="DY5" s="12"/>
      <c r="DZ5" s="12"/>
    </row>
    <row r="6" spans="2:131" outlineLevel="1">
      <c r="B6" t="s">
        <v>28</v>
      </c>
      <c r="C6" t="s">
        <v>90</v>
      </c>
      <c r="E6" s="11"/>
      <c r="F6" t="s">
        <v>141</v>
      </c>
      <c r="G6" s="12">
        <v>0.05</v>
      </c>
      <c r="I6" s="11">
        <f t="shared" si="0"/>
        <v>0</v>
      </c>
      <c r="J6" s="13" cm="1">
        <f t="array" ref="J6">MAX(IF($N$3:$FC$3=$J$3,N6:FC6))</f>
        <v>0.8</v>
      </c>
      <c r="K6" s="13" cm="1">
        <f t="array" ref="K6">MAX(IF($N$3:$FC$3=$J$3,N6:FC6))</f>
        <v>0.8</v>
      </c>
      <c r="L6" s="11"/>
      <c r="O6" s="12">
        <v>0.8</v>
      </c>
      <c r="P6" s="12">
        <v>1</v>
      </c>
      <c r="Q6" s="12">
        <v>0.8</v>
      </c>
      <c r="R6" s="12">
        <v>1</v>
      </c>
      <c r="V6" s="12"/>
      <c r="W6" s="12">
        <v>0.5</v>
      </c>
      <c r="X6" s="12"/>
      <c r="Y6" s="12">
        <v>0.5</v>
      </c>
      <c r="AC6" s="12"/>
      <c r="AD6" s="12">
        <v>0.8</v>
      </c>
      <c r="AE6" s="12"/>
      <c r="AF6" s="12">
        <v>0.8</v>
      </c>
      <c r="AJ6" s="12"/>
      <c r="AK6" s="12">
        <v>1</v>
      </c>
      <c r="AL6" s="12"/>
      <c r="AM6" s="12">
        <v>1</v>
      </c>
      <c r="AQ6" s="12"/>
      <c r="AR6" s="12">
        <v>1</v>
      </c>
      <c r="AS6" s="12"/>
      <c r="AT6" s="12">
        <v>1</v>
      </c>
      <c r="AX6" s="12"/>
      <c r="AY6" s="12">
        <v>1</v>
      </c>
      <c r="AZ6" s="12"/>
      <c r="BA6" s="12">
        <v>1</v>
      </c>
      <c r="BE6" s="12"/>
      <c r="BF6" s="12">
        <v>1</v>
      </c>
      <c r="BG6" s="12"/>
      <c r="BH6" s="12">
        <v>1</v>
      </c>
      <c r="BL6" s="12"/>
      <c r="BM6" s="12">
        <v>1</v>
      </c>
      <c r="BN6" s="12"/>
      <c r="BO6" s="12">
        <v>1</v>
      </c>
      <c r="BS6" s="12"/>
      <c r="BT6" s="12">
        <v>1</v>
      </c>
      <c r="BU6" s="12"/>
      <c r="BV6" s="12">
        <v>1</v>
      </c>
      <c r="BZ6" s="12"/>
      <c r="CA6" s="12">
        <v>1</v>
      </c>
      <c r="CB6" s="12"/>
      <c r="CC6" s="12">
        <v>1</v>
      </c>
      <c r="CG6" s="12"/>
      <c r="CH6" s="12">
        <v>1</v>
      </c>
      <c r="CI6" s="12"/>
      <c r="CJ6" s="12">
        <v>1</v>
      </c>
      <c r="CN6" s="12"/>
      <c r="CO6" s="12">
        <v>1</v>
      </c>
      <c r="CP6" s="12"/>
      <c r="CQ6" s="12">
        <v>1</v>
      </c>
      <c r="CU6" s="12"/>
      <c r="CV6" s="12">
        <v>1</v>
      </c>
      <c r="CW6" s="12"/>
      <c r="CX6" s="12">
        <v>1</v>
      </c>
      <c r="DB6" s="12"/>
      <c r="DC6" s="12">
        <v>1</v>
      </c>
      <c r="DD6" s="12"/>
      <c r="DE6" s="12">
        <v>1</v>
      </c>
      <c r="DI6" s="12"/>
      <c r="DJ6" s="12">
        <v>1</v>
      </c>
      <c r="DK6" s="12"/>
      <c r="DL6" s="12">
        <v>1</v>
      </c>
      <c r="DP6" s="12"/>
      <c r="DQ6" s="12">
        <v>1</v>
      </c>
      <c r="DR6" s="12"/>
      <c r="DS6" s="12">
        <v>1</v>
      </c>
      <c r="DW6" s="12"/>
      <c r="DX6" s="12"/>
      <c r="DY6" s="12"/>
      <c r="DZ6" s="12"/>
    </row>
    <row r="7" spans="2:131" outlineLevel="1">
      <c r="B7" t="s">
        <v>28</v>
      </c>
      <c r="C7" t="s">
        <v>90</v>
      </c>
      <c r="E7" s="11"/>
      <c r="F7" t="s">
        <v>155</v>
      </c>
      <c r="G7" s="12">
        <v>0.1</v>
      </c>
      <c r="I7" s="11">
        <f t="shared" si="0"/>
        <v>6</v>
      </c>
      <c r="J7" s="13" cm="1">
        <f t="array" ref="J7">MAX(IF($N$3:$FC$3=$J$3,N7:FC7))</f>
        <v>0.8</v>
      </c>
      <c r="K7" s="13" cm="1">
        <f t="array" ref="K7">MAX(IF($N$3:$FC$3=$J$3,N7:FC7))</f>
        <v>0.8</v>
      </c>
      <c r="L7" s="11"/>
      <c r="N7">
        <v>6</v>
      </c>
      <c r="O7" s="12">
        <v>0.8</v>
      </c>
      <c r="P7" s="12">
        <v>1</v>
      </c>
      <c r="Q7" s="12">
        <v>0.8</v>
      </c>
      <c r="R7" s="12">
        <v>1</v>
      </c>
      <c r="V7" s="12"/>
      <c r="W7" s="12">
        <v>0.5</v>
      </c>
      <c r="X7" s="12"/>
      <c r="Y7" s="12">
        <v>0.5</v>
      </c>
      <c r="AC7" s="12"/>
      <c r="AD7" s="12">
        <v>0.8</v>
      </c>
      <c r="AE7" s="12"/>
      <c r="AF7" s="12">
        <v>0.8</v>
      </c>
      <c r="AJ7" s="12"/>
      <c r="AK7" s="12">
        <v>0.8</v>
      </c>
      <c r="AL7" s="12"/>
      <c r="AM7" s="12">
        <v>0.8</v>
      </c>
      <c r="AQ7" s="12"/>
      <c r="AR7" s="12">
        <v>0.8</v>
      </c>
      <c r="AS7" s="12"/>
      <c r="AT7" s="12">
        <v>0.8</v>
      </c>
      <c r="AX7" s="12"/>
      <c r="AY7" s="12">
        <v>1</v>
      </c>
      <c r="AZ7" s="12"/>
      <c r="BA7" s="12">
        <v>1</v>
      </c>
      <c r="BE7" s="12"/>
      <c r="BF7" s="12">
        <v>1</v>
      </c>
      <c r="BG7" s="12"/>
      <c r="BH7" s="12">
        <v>1</v>
      </c>
      <c r="BL7" s="12"/>
      <c r="BM7" s="12">
        <v>1</v>
      </c>
      <c r="BN7" s="12"/>
      <c r="BO7" s="12">
        <v>1</v>
      </c>
      <c r="BP7" t="s">
        <v>172</v>
      </c>
      <c r="BS7" s="12"/>
      <c r="BT7" s="12">
        <v>1</v>
      </c>
      <c r="BU7" s="12"/>
      <c r="BV7" s="12">
        <v>1</v>
      </c>
      <c r="BZ7" s="12"/>
      <c r="CA7" s="12">
        <v>1</v>
      </c>
      <c r="CB7" s="12"/>
      <c r="CC7" s="12">
        <v>1</v>
      </c>
      <c r="CG7" s="12"/>
      <c r="CH7" s="12">
        <v>1</v>
      </c>
      <c r="CI7" s="12"/>
      <c r="CJ7" s="12">
        <v>1</v>
      </c>
      <c r="CN7" s="12"/>
      <c r="CO7" s="12">
        <v>1</v>
      </c>
      <c r="CP7" s="12"/>
      <c r="CQ7" s="12">
        <v>1</v>
      </c>
      <c r="CU7" s="12"/>
      <c r="CV7" s="12">
        <v>1</v>
      </c>
      <c r="CW7" s="12"/>
      <c r="CX7" s="12">
        <v>1</v>
      </c>
      <c r="DB7" s="12"/>
      <c r="DC7" s="12">
        <v>1</v>
      </c>
      <c r="DD7" s="12"/>
      <c r="DE7" s="12">
        <v>1</v>
      </c>
      <c r="DI7" s="12"/>
      <c r="DJ7" s="12">
        <v>1</v>
      </c>
      <c r="DK7" s="12"/>
      <c r="DL7" s="12">
        <v>1</v>
      </c>
      <c r="DP7" s="12"/>
      <c r="DQ7" s="12">
        <v>1</v>
      </c>
      <c r="DR7" s="12"/>
      <c r="DS7" s="12">
        <v>1</v>
      </c>
      <c r="DW7" s="12"/>
      <c r="DX7" s="12"/>
      <c r="DY7" s="12"/>
      <c r="DZ7" s="12"/>
    </row>
    <row r="8" spans="2:131" outlineLevel="1">
      <c r="B8" t="s">
        <v>28</v>
      </c>
      <c r="C8" t="s">
        <v>90</v>
      </c>
      <c r="E8" s="11"/>
      <c r="F8" t="s">
        <v>92</v>
      </c>
      <c r="G8" s="12">
        <v>0</v>
      </c>
      <c r="I8" s="11">
        <f t="shared" si="0"/>
        <v>0</v>
      </c>
      <c r="J8" s="13" cm="1">
        <f t="array" ref="J8">MAX(IF($N$3:$FC$3=$J$3,N8:FC8))</f>
        <v>0</v>
      </c>
      <c r="K8" s="13" cm="1">
        <f t="array" ref="K8">MAX(IF($N$3:$FC$3=$J$3,N8:FC8))</f>
        <v>0</v>
      </c>
      <c r="L8" s="11"/>
      <c r="O8" s="12"/>
      <c r="P8" s="12"/>
      <c r="Q8" s="12"/>
      <c r="R8" s="12"/>
      <c r="V8" s="12"/>
      <c r="W8" s="12">
        <v>0.5</v>
      </c>
      <c r="X8" s="12"/>
      <c r="Y8" s="12">
        <v>0.5</v>
      </c>
      <c r="AC8" s="12"/>
      <c r="AD8" s="12">
        <v>0.5</v>
      </c>
      <c r="AE8" s="12"/>
      <c r="AF8" s="12">
        <v>0.5</v>
      </c>
      <c r="AJ8" s="12"/>
      <c r="AK8" s="12">
        <v>0.8</v>
      </c>
      <c r="AL8" s="12"/>
      <c r="AM8" s="12">
        <v>0.8</v>
      </c>
      <c r="AQ8" s="12"/>
      <c r="AR8" s="12">
        <v>0.8</v>
      </c>
      <c r="AS8" s="12"/>
      <c r="AT8" s="12">
        <v>0.8</v>
      </c>
      <c r="AX8" s="12"/>
      <c r="AY8" s="12">
        <v>0.8</v>
      </c>
      <c r="AZ8" s="12"/>
      <c r="BA8" s="12">
        <v>0.8</v>
      </c>
      <c r="BE8" s="12"/>
      <c r="BF8" s="12">
        <v>0.8</v>
      </c>
      <c r="BG8" s="12"/>
      <c r="BH8" s="12">
        <v>0.8</v>
      </c>
      <c r="BL8" s="12"/>
      <c r="BM8" s="12">
        <v>1</v>
      </c>
      <c r="BN8" s="12"/>
      <c r="BO8" s="12">
        <v>1</v>
      </c>
      <c r="BP8" t="s">
        <v>172</v>
      </c>
      <c r="BS8" s="12"/>
      <c r="BT8" s="12">
        <v>1</v>
      </c>
      <c r="BU8" s="12"/>
      <c r="BV8" s="12">
        <v>1</v>
      </c>
      <c r="BZ8" s="12"/>
      <c r="CA8" s="12">
        <v>1</v>
      </c>
      <c r="CB8" s="12"/>
      <c r="CC8" s="12">
        <v>1</v>
      </c>
      <c r="CG8" s="12"/>
      <c r="CH8" s="12">
        <v>1</v>
      </c>
      <c r="CI8" s="12"/>
      <c r="CJ8" s="12">
        <v>1</v>
      </c>
      <c r="CN8" s="12"/>
      <c r="CO8" s="12">
        <v>1</v>
      </c>
      <c r="CP8" s="12"/>
      <c r="CQ8" s="12">
        <v>1</v>
      </c>
      <c r="CU8" s="12"/>
      <c r="CV8" s="12">
        <v>1</v>
      </c>
      <c r="CW8" s="12"/>
      <c r="CX8" s="12">
        <v>1</v>
      </c>
      <c r="DB8" s="12"/>
      <c r="DC8" s="12">
        <v>1</v>
      </c>
      <c r="DD8" s="12"/>
      <c r="DE8" s="12">
        <v>1</v>
      </c>
      <c r="DI8" s="12"/>
      <c r="DJ8" s="12">
        <v>1</v>
      </c>
      <c r="DK8" s="12"/>
      <c r="DL8" s="12">
        <v>1</v>
      </c>
      <c r="DP8" s="12"/>
      <c r="DQ8" s="12">
        <v>1</v>
      </c>
      <c r="DR8" s="12"/>
      <c r="DS8" s="12">
        <v>1</v>
      </c>
      <c r="DW8" s="12"/>
      <c r="DX8" s="12"/>
      <c r="DY8" s="12"/>
      <c r="DZ8" s="12"/>
    </row>
    <row r="9" spans="2:131" outlineLevel="1">
      <c r="B9" t="s">
        <v>28</v>
      </c>
      <c r="C9" t="s">
        <v>90</v>
      </c>
      <c r="E9" s="11"/>
      <c r="F9" t="s">
        <v>93</v>
      </c>
      <c r="G9" s="12">
        <v>0.1</v>
      </c>
      <c r="I9" s="11">
        <f t="shared" si="0"/>
        <v>0</v>
      </c>
      <c r="J9" s="13" cm="1">
        <f t="array" ref="J9">MAX(IF($N$3:$FC$3=$J$3,N9:FC9))</f>
        <v>0</v>
      </c>
      <c r="K9" s="13" cm="1">
        <f t="array" ref="K9">MAX(IF($N$3:$FC$3=$J$3,N9:FC9))</f>
        <v>0</v>
      </c>
      <c r="L9" s="11"/>
      <c r="O9" s="12"/>
      <c r="P9" s="12"/>
      <c r="Q9" s="12"/>
      <c r="R9" s="12"/>
      <c r="V9" s="12"/>
      <c r="W9" s="12"/>
      <c r="X9" s="12"/>
      <c r="Y9" s="12"/>
      <c r="AC9" s="12"/>
      <c r="AD9" s="12"/>
      <c r="AE9" s="12"/>
      <c r="AF9" s="12"/>
      <c r="AJ9" s="12"/>
      <c r="AK9" s="12">
        <v>0.5</v>
      </c>
      <c r="AL9" s="12"/>
      <c r="AM9" s="12">
        <v>0.5</v>
      </c>
      <c r="AQ9" s="12"/>
      <c r="AR9" s="12">
        <v>0.5</v>
      </c>
      <c r="AS9" s="12"/>
      <c r="AT9" s="12">
        <v>0.5</v>
      </c>
      <c r="AX9" s="12"/>
      <c r="AY9" s="12">
        <v>0.8</v>
      </c>
      <c r="AZ9" s="12"/>
      <c r="BA9" s="12">
        <v>0.8</v>
      </c>
      <c r="BE9" s="12"/>
      <c r="BF9" s="12">
        <v>0.8</v>
      </c>
      <c r="BG9" s="12"/>
      <c r="BH9" s="12">
        <v>0.8</v>
      </c>
      <c r="BL9" s="12"/>
      <c r="BM9" s="12">
        <v>0.8</v>
      </c>
      <c r="BN9" s="12"/>
      <c r="BO9" s="12">
        <v>0.8</v>
      </c>
      <c r="BS9" s="12"/>
      <c r="BT9" s="12">
        <v>1</v>
      </c>
      <c r="BU9" s="12"/>
      <c r="BV9" s="12">
        <v>1</v>
      </c>
      <c r="BW9" t="s">
        <v>172</v>
      </c>
      <c r="BZ9" s="12"/>
      <c r="CA9" s="12">
        <v>1</v>
      </c>
      <c r="CB9" s="12"/>
      <c r="CC9" s="12">
        <v>1</v>
      </c>
      <c r="CG9" s="12"/>
      <c r="CH9" s="12">
        <v>1</v>
      </c>
      <c r="CI9" s="12"/>
      <c r="CJ9" s="12">
        <v>1</v>
      </c>
      <c r="CN9" s="12"/>
      <c r="CO9" s="12">
        <v>1</v>
      </c>
      <c r="CP9" s="12"/>
      <c r="CQ9" s="12">
        <v>1</v>
      </c>
      <c r="CU9" s="12"/>
      <c r="CV9" s="12">
        <v>1</v>
      </c>
      <c r="CW9" s="12"/>
      <c r="CX9" s="12">
        <v>1</v>
      </c>
      <c r="DB9" s="12"/>
      <c r="DC9" s="12">
        <v>1</v>
      </c>
      <c r="DD9" s="12"/>
      <c r="DE9" s="12">
        <v>1</v>
      </c>
      <c r="DI9" s="12"/>
      <c r="DJ9" s="12">
        <v>1</v>
      </c>
      <c r="DK9" s="12"/>
      <c r="DL9" s="12">
        <v>1</v>
      </c>
      <c r="DP9" s="12"/>
      <c r="DQ9" s="12">
        <v>1</v>
      </c>
      <c r="DR9" s="12"/>
      <c r="DS9" s="12">
        <v>1</v>
      </c>
      <c r="DW9" s="12"/>
      <c r="DX9" s="12"/>
      <c r="DY9" s="12"/>
      <c r="DZ9" s="12"/>
    </row>
    <row r="10" spans="2:131" outlineLevel="1">
      <c r="B10" t="s">
        <v>28</v>
      </c>
      <c r="C10" t="s">
        <v>90</v>
      </c>
      <c r="E10" s="11"/>
      <c r="F10" t="s">
        <v>94</v>
      </c>
      <c r="G10" s="12">
        <v>0.1</v>
      </c>
      <c r="I10" s="11">
        <f t="shared" si="0"/>
        <v>0</v>
      </c>
      <c r="J10" s="13" cm="1">
        <f t="array" ref="J10">MAX(IF($N$3:$FC$3=$J$3,N10:FC10))</f>
        <v>0</v>
      </c>
      <c r="K10" s="13" cm="1">
        <f t="array" ref="K10">MAX(IF($N$3:$FC$3=$J$3,N10:FC10))</f>
        <v>0</v>
      </c>
      <c r="L10" s="11"/>
      <c r="O10" s="12"/>
      <c r="P10" s="12"/>
      <c r="Q10" s="12"/>
      <c r="R10" s="12"/>
      <c r="V10" s="12"/>
      <c r="W10" s="12"/>
      <c r="X10" s="12"/>
      <c r="Y10" s="12"/>
      <c r="AC10" s="12"/>
      <c r="AD10" s="12"/>
      <c r="AE10" s="12"/>
      <c r="AF10" s="12"/>
      <c r="AJ10" s="12"/>
      <c r="AK10" s="12"/>
      <c r="AL10" s="12"/>
      <c r="AM10" s="12"/>
      <c r="AQ10" s="12"/>
      <c r="AR10" s="12">
        <v>0.5</v>
      </c>
      <c r="AS10" s="12"/>
      <c r="AT10" s="12">
        <v>0.5</v>
      </c>
      <c r="AX10" s="12"/>
      <c r="AY10" s="12">
        <v>0.5</v>
      </c>
      <c r="AZ10" s="12"/>
      <c r="BA10" s="12">
        <v>0.5</v>
      </c>
      <c r="BE10" s="12"/>
      <c r="BF10" s="12">
        <v>0.8</v>
      </c>
      <c r="BG10" s="12"/>
      <c r="BH10" s="12">
        <v>0.8</v>
      </c>
      <c r="BL10" s="12"/>
      <c r="BM10" s="12">
        <v>0.8</v>
      </c>
      <c r="BN10" s="12"/>
      <c r="BO10" s="12">
        <v>0.8</v>
      </c>
      <c r="BS10" s="12"/>
      <c r="BT10" s="12">
        <v>0.8</v>
      </c>
      <c r="BU10" s="12"/>
      <c r="BV10" s="12">
        <v>0.8</v>
      </c>
      <c r="BZ10" s="12"/>
      <c r="CA10" s="12">
        <v>0.8</v>
      </c>
      <c r="CB10" s="12"/>
      <c r="CC10" s="12">
        <v>0.8</v>
      </c>
      <c r="CD10" t="s">
        <v>172</v>
      </c>
      <c r="CG10" s="12"/>
      <c r="CH10" s="12">
        <v>1</v>
      </c>
      <c r="CI10" s="12"/>
      <c r="CJ10" s="12">
        <v>1</v>
      </c>
      <c r="CN10" s="12"/>
      <c r="CO10" s="12">
        <v>1</v>
      </c>
      <c r="CP10" s="12"/>
      <c r="CQ10" s="12">
        <v>1</v>
      </c>
      <c r="CU10" s="12"/>
      <c r="CV10" s="12">
        <v>1</v>
      </c>
      <c r="CW10" s="12"/>
      <c r="CX10" s="12">
        <v>1</v>
      </c>
      <c r="DB10" s="12"/>
      <c r="DC10" s="12">
        <v>1</v>
      </c>
      <c r="DD10" s="12"/>
      <c r="DE10" s="12">
        <v>1</v>
      </c>
      <c r="DI10" s="12"/>
      <c r="DJ10" s="12">
        <v>1</v>
      </c>
      <c r="DK10" s="12"/>
      <c r="DL10" s="12">
        <v>1</v>
      </c>
      <c r="DP10" s="12"/>
      <c r="DQ10" s="12">
        <v>1</v>
      </c>
      <c r="DR10" s="12"/>
      <c r="DS10" s="12">
        <v>1</v>
      </c>
      <c r="DW10" s="12"/>
      <c r="DX10" s="12"/>
      <c r="DY10" s="12"/>
      <c r="DZ10" s="12"/>
    </row>
    <row r="11" spans="2:131" outlineLevel="1">
      <c r="B11" t="s">
        <v>28</v>
      </c>
      <c r="C11" t="s">
        <v>90</v>
      </c>
      <c r="E11" s="11"/>
      <c r="F11" t="s">
        <v>156</v>
      </c>
      <c r="G11" s="12">
        <v>0.1</v>
      </c>
      <c r="I11" s="11">
        <f t="shared" si="0"/>
        <v>0</v>
      </c>
      <c r="J11" s="13" cm="1">
        <f t="array" ref="J11">MAX(IF($N$3:$FC$3=$J$3,N11:FC11))</f>
        <v>0</v>
      </c>
      <c r="K11" s="13" cm="1">
        <f t="array" ref="K11">MAX(IF($N$3:$FC$3=$J$3,N11:FC11))</f>
        <v>0</v>
      </c>
      <c r="L11" s="11"/>
      <c r="O11" s="12"/>
      <c r="P11" s="12"/>
      <c r="Q11" s="12"/>
      <c r="R11" s="12"/>
      <c r="V11" s="12"/>
      <c r="W11" s="12"/>
      <c r="X11" s="12"/>
      <c r="Y11" s="12"/>
      <c r="AC11" s="12"/>
      <c r="AD11" s="12"/>
      <c r="AE11" s="12"/>
      <c r="AF11" s="12"/>
      <c r="AJ11" s="12"/>
      <c r="AK11" s="12"/>
      <c r="AL11" s="12"/>
      <c r="AM11" s="12"/>
      <c r="AQ11" s="12"/>
      <c r="AR11" s="12"/>
      <c r="AS11" s="12"/>
      <c r="AT11" s="12"/>
      <c r="AX11" s="12"/>
      <c r="AY11" s="12">
        <v>0.5</v>
      </c>
      <c r="AZ11" s="12"/>
      <c r="BA11" s="12">
        <v>0.5</v>
      </c>
      <c r="BE11" s="12"/>
      <c r="BF11" s="12">
        <v>0.5</v>
      </c>
      <c r="BG11" s="12"/>
      <c r="BH11" s="12">
        <v>0.5</v>
      </c>
      <c r="BL11" s="12"/>
      <c r="BM11" s="12">
        <v>0.8</v>
      </c>
      <c r="BN11" s="12"/>
      <c r="BO11" s="12">
        <v>0.8</v>
      </c>
      <c r="BS11" s="12"/>
      <c r="BT11" s="12">
        <v>0.8</v>
      </c>
      <c r="BU11" s="12"/>
      <c r="BV11" s="12">
        <v>0.8</v>
      </c>
      <c r="BZ11" s="12"/>
      <c r="CA11" s="12">
        <v>0.8</v>
      </c>
      <c r="CB11" s="12"/>
      <c r="CC11" s="12">
        <v>0.8</v>
      </c>
      <c r="CD11" t="s">
        <v>172</v>
      </c>
      <c r="CG11" s="12"/>
      <c r="CH11" s="12">
        <v>1</v>
      </c>
      <c r="CI11" s="12"/>
      <c r="CJ11" s="12">
        <v>1</v>
      </c>
      <c r="CN11" s="12"/>
      <c r="CO11" s="12">
        <v>1</v>
      </c>
      <c r="CP11" s="12"/>
      <c r="CQ11" s="12">
        <v>1</v>
      </c>
      <c r="CU11" s="12"/>
      <c r="CV11" s="12">
        <v>1</v>
      </c>
      <c r="CW11" s="12"/>
      <c r="CX11" s="12">
        <v>1</v>
      </c>
      <c r="DB11" s="12"/>
      <c r="DC11" s="12">
        <v>1</v>
      </c>
      <c r="DD11" s="12"/>
      <c r="DE11" s="12">
        <v>1</v>
      </c>
      <c r="DI11" s="12"/>
      <c r="DJ11" s="12">
        <v>1</v>
      </c>
      <c r="DK11" s="12"/>
      <c r="DL11" s="12">
        <v>1</v>
      </c>
      <c r="DP11" s="12"/>
      <c r="DQ11" s="12">
        <v>1</v>
      </c>
      <c r="DR11" s="12"/>
      <c r="DS11" s="12">
        <v>1</v>
      </c>
      <c r="DW11" s="12"/>
      <c r="DX11" s="12"/>
      <c r="DY11" s="12"/>
      <c r="DZ11" s="12"/>
    </row>
    <row r="12" spans="2:131" outlineLevel="1">
      <c r="B12" t="s">
        <v>28</v>
      </c>
      <c r="C12" t="s">
        <v>90</v>
      </c>
      <c r="E12" s="11"/>
      <c r="F12" t="s">
        <v>157</v>
      </c>
      <c r="G12" s="12">
        <v>0.1</v>
      </c>
      <c r="I12" s="11">
        <f t="shared" si="0"/>
        <v>0</v>
      </c>
      <c r="J12" s="13" cm="1">
        <f t="array" ref="J12">MAX(IF($N$3:$FC$3=$J$3,N12:FC12))</f>
        <v>0</v>
      </c>
      <c r="K12" s="13" cm="1">
        <f t="array" ref="K12">MAX(IF($N$3:$FC$3=$J$3,N12:FC12))</f>
        <v>0</v>
      </c>
      <c r="L12" s="11"/>
      <c r="O12" s="12"/>
      <c r="P12" s="12"/>
      <c r="Q12" s="12"/>
      <c r="R12" s="12"/>
      <c r="V12" s="12"/>
      <c r="W12" s="12"/>
      <c r="X12" s="12"/>
      <c r="Y12" s="12"/>
      <c r="AC12" s="12"/>
      <c r="AD12" s="12"/>
      <c r="AE12" s="12"/>
      <c r="AF12" s="12"/>
      <c r="AJ12" s="12"/>
      <c r="AK12" s="12"/>
      <c r="AL12" s="12"/>
      <c r="AM12" s="12"/>
      <c r="AQ12" s="12"/>
      <c r="AR12" s="12"/>
      <c r="AS12" s="12"/>
      <c r="AT12" s="12"/>
      <c r="AX12" s="12"/>
      <c r="AY12" s="12"/>
      <c r="AZ12" s="12"/>
      <c r="BA12" s="12"/>
      <c r="BE12" s="12"/>
      <c r="BF12" s="12">
        <v>0.5</v>
      </c>
      <c r="BG12" s="12"/>
      <c r="BH12" s="12">
        <v>0.5</v>
      </c>
      <c r="BL12" s="12"/>
      <c r="BM12" s="12">
        <v>0.8</v>
      </c>
      <c r="BN12" s="12"/>
      <c r="BO12" s="12">
        <v>0.8</v>
      </c>
      <c r="BS12" s="12"/>
      <c r="BT12" s="12">
        <v>0.8</v>
      </c>
      <c r="BU12" s="12"/>
      <c r="BV12" s="12">
        <v>0.8</v>
      </c>
      <c r="BZ12" s="12"/>
      <c r="CA12" s="12">
        <v>0.8</v>
      </c>
      <c r="CB12" s="12"/>
      <c r="CC12" s="12">
        <v>0.8</v>
      </c>
      <c r="CD12" t="s">
        <v>172</v>
      </c>
      <c r="CG12" s="12"/>
      <c r="CH12" s="12">
        <v>1</v>
      </c>
      <c r="CI12" s="12"/>
      <c r="CJ12" s="12">
        <v>1</v>
      </c>
      <c r="CN12" s="12"/>
      <c r="CO12" s="12">
        <v>1</v>
      </c>
      <c r="CP12" s="12"/>
      <c r="CQ12" s="12">
        <v>1</v>
      </c>
      <c r="CU12" s="12"/>
      <c r="CV12" s="12">
        <v>1</v>
      </c>
      <c r="CW12" s="12"/>
      <c r="CX12" s="12">
        <v>1</v>
      </c>
      <c r="DB12" s="12"/>
      <c r="DC12" s="12">
        <v>1</v>
      </c>
      <c r="DD12" s="12"/>
      <c r="DE12" s="12">
        <v>1</v>
      </c>
      <c r="DI12" s="12"/>
      <c r="DJ12" s="12">
        <v>1</v>
      </c>
      <c r="DK12" s="12"/>
      <c r="DL12" s="12">
        <v>1</v>
      </c>
      <c r="DP12" s="12"/>
      <c r="DQ12" s="12">
        <v>1</v>
      </c>
      <c r="DR12" s="12"/>
      <c r="DS12" s="12">
        <v>1</v>
      </c>
      <c r="DW12" s="12"/>
      <c r="DX12" s="12"/>
      <c r="DY12" s="12"/>
      <c r="DZ12" s="12"/>
    </row>
    <row r="13" spans="2:131" outlineLevel="1">
      <c r="B13" t="s">
        <v>28</v>
      </c>
      <c r="C13" t="s">
        <v>90</v>
      </c>
      <c r="E13" s="11"/>
      <c r="F13" t="s">
        <v>95</v>
      </c>
      <c r="G13" s="12">
        <v>0.1</v>
      </c>
      <c r="I13" s="11">
        <f t="shared" si="0"/>
        <v>0</v>
      </c>
      <c r="J13" s="13" cm="1">
        <f t="array" ref="J13">MAX(IF($N$3:$FC$3=$J$3,N13:FC13))</f>
        <v>0</v>
      </c>
      <c r="K13" s="13" cm="1">
        <f t="array" ref="K13">MAX(IF($N$3:$FC$3=$J$3,N13:FC13))</f>
        <v>0</v>
      </c>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c r="BG13" s="12"/>
      <c r="BH13" s="12"/>
      <c r="BL13" s="12"/>
      <c r="BM13" s="12">
        <v>0.5</v>
      </c>
      <c r="BN13" s="12"/>
      <c r="BO13" s="12">
        <v>0.5</v>
      </c>
      <c r="BP13" t="s">
        <v>172</v>
      </c>
      <c r="BS13" s="12"/>
      <c r="BT13" s="12">
        <v>0.8</v>
      </c>
      <c r="BU13" s="12"/>
      <c r="BV13" s="12">
        <v>0.8</v>
      </c>
      <c r="BZ13" s="12"/>
      <c r="CA13" s="12">
        <v>0.8</v>
      </c>
      <c r="CB13" s="12"/>
      <c r="CC13" s="12">
        <v>0.8</v>
      </c>
      <c r="CD13" t="s">
        <v>172</v>
      </c>
      <c r="CG13" s="12"/>
      <c r="CH13" s="12">
        <v>1</v>
      </c>
      <c r="CI13" s="12"/>
      <c r="CJ13" s="12">
        <v>1</v>
      </c>
      <c r="CN13" s="12"/>
      <c r="CO13" s="12">
        <v>1</v>
      </c>
      <c r="CP13" s="12"/>
      <c r="CQ13" s="12">
        <v>1</v>
      </c>
      <c r="CU13" s="12"/>
      <c r="CV13" s="12">
        <v>1</v>
      </c>
      <c r="CW13" s="12"/>
      <c r="CX13" s="12">
        <v>1</v>
      </c>
      <c r="DB13" s="12"/>
      <c r="DC13" s="12">
        <v>1</v>
      </c>
      <c r="DD13" s="12"/>
      <c r="DE13" s="12">
        <v>1</v>
      </c>
      <c r="DI13" s="12"/>
      <c r="DJ13" s="12">
        <v>1</v>
      </c>
      <c r="DK13" s="12"/>
      <c r="DL13" s="12">
        <v>1</v>
      </c>
      <c r="DP13" s="12"/>
      <c r="DQ13" s="12">
        <v>1</v>
      </c>
      <c r="DR13" s="12"/>
      <c r="DS13" s="12">
        <v>1</v>
      </c>
      <c r="DW13" s="12"/>
      <c r="DX13" s="12"/>
      <c r="DY13" s="12"/>
      <c r="DZ13" s="12"/>
    </row>
    <row r="14" spans="2:131" outlineLevel="1">
      <c r="B14" t="s">
        <v>28</v>
      </c>
      <c r="C14" t="s">
        <v>90</v>
      </c>
      <c r="E14" s="11"/>
      <c r="F14" t="s">
        <v>96</v>
      </c>
      <c r="G14" s="12">
        <v>0.1</v>
      </c>
      <c r="I14" s="11">
        <f t="shared" si="0"/>
        <v>0</v>
      </c>
      <c r="J14" s="13" cm="1">
        <f t="array" ref="J14">MAX(IF($N$3:$FC$3=$J$3,N14:FC14))</f>
        <v>0</v>
      </c>
      <c r="K14" s="13" cm="1">
        <f t="array" ref="K14">MAX(IF($N$3:$FC$3=$J$3,N14:FC14))</f>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H14" s="12"/>
      <c r="BL14" s="12"/>
      <c r="BM14" s="12">
        <v>0.5</v>
      </c>
      <c r="BN14" s="12"/>
      <c r="BO14" s="12">
        <v>0.5</v>
      </c>
      <c r="BP14" t="s">
        <v>172</v>
      </c>
      <c r="BS14" s="12"/>
      <c r="BT14" s="12">
        <v>0.8</v>
      </c>
      <c r="BU14" s="12"/>
      <c r="BV14" s="12">
        <v>0.8</v>
      </c>
      <c r="BZ14" s="12"/>
      <c r="CA14" s="12">
        <v>0.8</v>
      </c>
      <c r="CB14" s="12"/>
      <c r="CC14" s="12">
        <v>0.8</v>
      </c>
      <c r="CG14" s="12"/>
      <c r="CH14" s="12">
        <v>0.8</v>
      </c>
      <c r="CI14" s="12"/>
      <c r="CJ14" s="12">
        <v>0.8</v>
      </c>
      <c r="CK14" t="s">
        <v>172</v>
      </c>
      <c r="CN14" s="12"/>
      <c r="CO14" s="12">
        <v>1</v>
      </c>
      <c r="CP14" s="12"/>
      <c r="CQ14" s="12">
        <v>1</v>
      </c>
      <c r="CU14" s="12"/>
      <c r="CV14" s="12">
        <v>1</v>
      </c>
      <c r="CW14" s="12"/>
      <c r="CX14" s="12">
        <v>1</v>
      </c>
      <c r="DB14" s="12"/>
      <c r="DC14" s="12">
        <v>1</v>
      </c>
      <c r="DD14" s="12"/>
      <c r="DE14" s="12">
        <v>1</v>
      </c>
      <c r="DI14" s="12"/>
      <c r="DJ14" s="12">
        <v>1</v>
      </c>
      <c r="DK14" s="12"/>
      <c r="DL14" s="12">
        <v>1</v>
      </c>
      <c r="DP14" s="12"/>
      <c r="DQ14" s="12">
        <v>1</v>
      </c>
      <c r="DR14" s="12"/>
      <c r="DS14" s="12">
        <v>1</v>
      </c>
      <c r="DW14" s="12"/>
      <c r="DX14" s="12"/>
      <c r="DY14" s="12"/>
      <c r="DZ14" s="12"/>
    </row>
    <row r="15" spans="2:131" outlineLevel="1">
      <c r="B15" t="s">
        <v>28</v>
      </c>
      <c r="C15" t="s">
        <v>90</v>
      </c>
      <c r="E15" s="11"/>
      <c r="F15" t="s">
        <v>97</v>
      </c>
      <c r="G15" s="12">
        <v>0.1</v>
      </c>
      <c r="I15" s="11">
        <f t="shared" si="0"/>
        <v>0</v>
      </c>
      <c r="J15" s="13" cm="1">
        <f t="array" ref="J15">MAX(IF($N$3:$FC$3=$J$3,N15:FC15))</f>
        <v>0</v>
      </c>
      <c r="K15" s="13" cm="1">
        <f t="array" ref="K15">MAX(IF($N$3:$FC$3=$J$3,N15:FC15))</f>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L15" s="12"/>
      <c r="BM15" s="12"/>
      <c r="BN15" s="12"/>
      <c r="BO15" s="12"/>
      <c r="BS15" s="12"/>
      <c r="BT15" s="12">
        <v>0.5</v>
      </c>
      <c r="BU15" s="12"/>
      <c r="BV15" s="12">
        <v>0.5</v>
      </c>
      <c r="BW15" t="s">
        <v>172</v>
      </c>
      <c r="BZ15" s="12"/>
      <c r="CA15" s="12">
        <v>0.8</v>
      </c>
      <c r="CB15" s="12"/>
      <c r="CC15" s="12">
        <v>0.8</v>
      </c>
      <c r="CG15" s="12"/>
      <c r="CH15" s="12">
        <v>0.8</v>
      </c>
      <c r="CI15" s="12"/>
      <c r="CJ15" s="12">
        <v>0.8</v>
      </c>
      <c r="CK15" t="s">
        <v>172</v>
      </c>
      <c r="CN15" s="12"/>
      <c r="CO15" s="12">
        <v>1</v>
      </c>
      <c r="CP15" s="12"/>
      <c r="CQ15" s="12">
        <v>1</v>
      </c>
      <c r="CU15" s="12"/>
      <c r="CV15" s="12">
        <v>1</v>
      </c>
      <c r="CW15" s="12"/>
      <c r="CX15" s="12">
        <v>1</v>
      </c>
      <c r="DB15" s="12"/>
      <c r="DC15" s="12">
        <v>1</v>
      </c>
      <c r="DD15" s="12"/>
      <c r="DE15" s="12">
        <v>1</v>
      </c>
      <c r="DI15" s="12"/>
      <c r="DJ15" s="12">
        <v>1</v>
      </c>
      <c r="DK15" s="12"/>
      <c r="DL15" s="12">
        <v>1</v>
      </c>
      <c r="DP15" s="12"/>
      <c r="DQ15" s="12">
        <v>1</v>
      </c>
      <c r="DR15" s="12"/>
      <c r="DS15" s="12">
        <v>1</v>
      </c>
      <c r="DW15" s="12"/>
      <c r="DX15" s="12"/>
      <c r="DY15" s="12"/>
      <c r="DZ15" s="12"/>
    </row>
    <row r="16" spans="2:131" outlineLevel="1">
      <c r="B16" t="s">
        <v>28</v>
      </c>
      <c r="C16" t="s">
        <v>90</v>
      </c>
      <c r="E16" s="11"/>
      <c r="F16" t="s">
        <v>98</v>
      </c>
      <c r="G16" s="12">
        <v>0.1</v>
      </c>
      <c r="I16" s="11">
        <f t="shared" si="0"/>
        <v>0</v>
      </c>
      <c r="J16" s="13" cm="1">
        <f t="array" ref="J16">MAX(IF($N$3:$FC$3=$J$3,N16:FC16))</f>
        <v>0</v>
      </c>
      <c r="K16" s="13" cm="1">
        <f t="array" ref="K16">MAX(IF($N$3:$FC$3=$J$3,N16:FC16))</f>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L16" s="12"/>
      <c r="BM16" s="12"/>
      <c r="BN16" s="12"/>
      <c r="BO16" s="12"/>
      <c r="BS16" s="12"/>
      <c r="BT16" s="12">
        <v>0.5</v>
      </c>
      <c r="BU16" s="12"/>
      <c r="BV16" s="12">
        <v>0.5</v>
      </c>
      <c r="BW16" t="s">
        <v>172</v>
      </c>
      <c r="BZ16" s="12"/>
      <c r="CA16" s="12">
        <v>0.8</v>
      </c>
      <c r="CB16" s="12"/>
      <c r="CC16" s="12">
        <v>0.8</v>
      </c>
      <c r="CG16" s="12"/>
      <c r="CH16" s="12">
        <v>0.8</v>
      </c>
      <c r="CI16" s="12"/>
      <c r="CJ16" s="12">
        <v>0.8</v>
      </c>
      <c r="CK16" t="s">
        <v>172</v>
      </c>
      <c r="CN16" s="12"/>
      <c r="CO16" s="12">
        <v>1</v>
      </c>
      <c r="CP16" s="12"/>
      <c r="CQ16" s="12">
        <v>1</v>
      </c>
      <c r="CU16" s="12"/>
      <c r="CV16" s="12">
        <v>1</v>
      </c>
      <c r="CW16" s="12"/>
      <c r="CX16" s="12">
        <v>1</v>
      </c>
      <c r="DB16" s="12"/>
      <c r="DC16" s="12">
        <v>1</v>
      </c>
      <c r="DD16" s="12"/>
      <c r="DE16" s="12">
        <v>1</v>
      </c>
      <c r="DI16" s="12"/>
      <c r="DJ16" s="12">
        <v>1</v>
      </c>
      <c r="DK16" s="12"/>
      <c r="DL16" s="12">
        <v>1</v>
      </c>
      <c r="DP16" s="12"/>
      <c r="DQ16" s="12">
        <v>1</v>
      </c>
      <c r="DR16" s="12"/>
      <c r="DS16" s="12">
        <v>1</v>
      </c>
      <c r="DW16" s="12"/>
      <c r="DX16" s="12"/>
      <c r="DY16" s="12"/>
      <c r="DZ16" s="12"/>
    </row>
    <row r="17" spans="2:130">
      <c r="O17" s="9"/>
      <c r="V17" s="9"/>
      <c r="AC17" s="9"/>
      <c r="AJ17" s="9"/>
      <c r="AQ17" s="9"/>
      <c r="AX17" s="9"/>
      <c r="BE17" s="9"/>
      <c r="BL17" s="9"/>
      <c r="BS17" s="9"/>
      <c r="BZ17" s="9"/>
      <c r="CG17" s="9"/>
      <c r="CN17" s="12"/>
      <c r="CU17" s="9"/>
      <c r="DB17" s="9"/>
      <c r="DI17" s="9"/>
      <c r="DP17" s="9"/>
      <c r="DW17" s="9"/>
    </row>
    <row r="18" spans="2:130">
      <c r="B18" t="s">
        <v>27</v>
      </c>
      <c r="C18" t="s">
        <v>91</v>
      </c>
      <c r="D18" s="22">
        <v>44979</v>
      </c>
      <c r="E18" s="11">
        <v>8</v>
      </c>
      <c r="G18" s="12">
        <f>+SUM(G19:G28)</f>
        <v>0.99999999999999989</v>
      </c>
      <c r="I18" s="14">
        <f>+SUM(I19:I28)</f>
        <v>6</v>
      </c>
      <c r="J18" s="13">
        <f>+SUMPRODUCT(G19:G28,J19:J28)</f>
        <v>0.28000000000000003</v>
      </c>
      <c r="K18" s="13">
        <f>+SUMPRODUCT(G19:G28,K19:K28)</f>
        <v>0.28000000000000003</v>
      </c>
      <c r="L18" s="11"/>
      <c r="N18" s="14">
        <f>+SUM(N19:N40)</f>
        <v>6</v>
      </c>
      <c r="U18" s="14">
        <f>+SUM(U19:U28)</f>
        <v>0</v>
      </c>
      <c r="AB18" s="14">
        <f>+SUM(AB19:AB28)</f>
        <v>0</v>
      </c>
      <c r="AI18" s="14">
        <f>+SUM(AI19:AI28)</f>
        <v>0</v>
      </c>
      <c r="AL18" s="12"/>
      <c r="AP18" s="14">
        <f>+SUM(AP19:AP28)</f>
        <v>0</v>
      </c>
    </row>
    <row r="19" spans="2:130" outlineLevel="1">
      <c r="B19" t="s">
        <v>28</v>
      </c>
      <c r="C19" t="s">
        <v>91</v>
      </c>
      <c r="E19" s="11"/>
      <c r="F19" s="23" t="s">
        <v>174</v>
      </c>
      <c r="G19" s="12">
        <v>0.1</v>
      </c>
      <c r="I19" s="11">
        <f t="shared" ref="I19:I40" si="1">+SUMIF($N$3:$AAU$3,I$3,$N19:$AAU19)</f>
        <v>1</v>
      </c>
      <c r="J19" s="13" cm="1">
        <f t="array" ref="J19">MAX(IF($N$3:$FC$3=$J$3,N19:FC19))</f>
        <v>1</v>
      </c>
      <c r="K19" s="13" cm="1">
        <f t="array" ref="K19">MAX(IF($N$3:$FC$3=$J$3,N19:FC19))</f>
        <v>1</v>
      </c>
      <c r="L19" s="11"/>
      <c r="N19">
        <v>1</v>
      </c>
      <c r="O19" s="12">
        <v>1</v>
      </c>
      <c r="P19" s="12">
        <v>1</v>
      </c>
      <c r="Q19" s="12">
        <v>1</v>
      </c>
      <c r="R19" s="12">
        <v>1</v>
      </c>
      <c r="V19" s="12"/>
      <c r="W19" s="12">
        <v>1</v>
      </c>
      <c r="X19" s="12"/>
      <c r="Y19" s="12">
        <v>1</v>
      </c>
      <c r="AC19" s="12"/>
      <c r="AD19" s="12">
        <v>1</v>
      </c>
      <c r="AE19" s="12"/>
      <c r="AF19" s="12">
        <v>1</v>
      </c>
      <c r="AJ19" s="12"/>
      <c r="AK19" s="12">
        <v>1</v>
      </c>
      <c r="AL19" s="12"/>
      <c r="AM19" s="12">
        <v>1</v>
      </c>
      <c r="AQ19" s="12"/>
      <c r="AR19" s="12">
        <v>1</v>
      </c>
      <c r="AS19" s="12"/>
      <c r="AT19" s="12">
        <v>1</v>
      </c>
      <c r="AX19" s="12"/>
      <c r="AY19" s="12">
        <v>1</v>
      </c>
      <c r="AZ19" s="12"/>
      <c r="BA19" s="12">
        <v>1</v>
      </c>
      <c r="BE19" s="12"/>
      <c r="BF19" s="12">
        <v>1</v>
      </c>
      <c r="BG19" s="12"/>
      <c r="BH19" s="12">
        <v>1</v>
      </c>
      <c r="BL19" s="12"/>
      <c r="BM19" s="12">
        <v>1</v>
      </c>
      <c r="BN19" s="12"/>
      <c r="BO19" s="12">
        <v>1</v>
      </c>
      <c r="BS19" s="12"/>
      <c r="BT19" s="12">
        <v>1</v>
      </c>
      <c r="BU19" s="12"/>
      <c r="BV19" s="12">
        <v>1</v>
      </c>
      <c r="BZ19" s="12"/>
      <c r="CA19" s="12">
        <v>1</v>
      </c>
      <c r="CB19" s="12"/>
      <c r="CC19" s="12">
        <v>1</v>
      </c>
      <c r="CG19" s="12"/>
      <c r="CH19" s="12">
        <v>1</v>
      </c>
      <c r="CI19" s="12"/>
      <c r="CJ19" s="12">
        <v>1</v>
      </c>
      <c r="CN19" s="12"/>
      <c r="CO19" s="12">
        <v>1</v>
      </c>
      <c r="CP19" s="12"/>
      <c r="CQ19" s="12">
        <v>1</v>
      </c>
      <c r="CU19" s="12"/>
      <c r="CV19" s="12">
        <v>1</v>
      </c>
      <c r="CW19" s="12"/>
      <c r="CX19" s="12">
        <v>1</v>
      </c>
      <c r="DB19" s="12"/>
      <c r="DC19" s="12">
        <v>1</v>
      </c>
      <c r="DD19" s="12"/>
      <c r="DE19" s="12">
        <v>1</v>
      </c>
      <c r="DI19" s="12"/>
      <c r="DJ19" s="12">
        <v>1</v>
      </c>
      <c r="DK19" s="12"/>
      <c r="DL19" s="12">
        <v>1</v>
      </c>
      <c r="DP19" s="12"/>
      <c r="DQ19" s="12">
        <v>1</v>
      </c>
      <c r="DR19" s="12"/>
      <c r="DS19" s="12">
        <v>1</v>
      </c>
      <c r="DW19" s="12"/>
      <c r="DX19" s="12"/>
      <c r="DY19" s="12"/>
      <c r="DZ19" s="12"/>
    </row>
    <row r="20" spans="2:130" outlineLevel="1">
      <c r="B20" t="s">
        <v>28</v>
      </c>
      <c r="C20" t="s">
        <v>91</v>
      </c>
      <c r="E20" s="11"/>
      <c r="F20" s="23" t="s">
        <v>99</v>
      </c>
      <c r="G20" s="12">
        <v>0.1</v>
      </c>
      <c r="I20" s="11">
        <f t="shared" si="1"/>
        <v>3</v>
      </c>
      <c r="J20" s="13" cm="1">
        <f t="array" ref="J20">MAX(IF($N$3:$FC$3=$J$3,N20:FC20))</f>
        <v>0.8</v>
      </c>
      <c r="K20" s="13" cm="1">
        <f t="array" ref="K20">MAX(IF($N$3:$FC$3=$J$3,N20:FC20))</f>
        <v>0.8</v>
      </c>
      <c r="L20" s="11"/>
      <c r="N20">
        <v>3</v>
      </c>
      <c r="O20" s="12">
        <v>0.8</v>
      </c>
      <c r="P20" s="12">
        <v>0.8</v>
      </c>
      <c r="Q20" s="12">
        <v>0.8</v>
      </c>
      <c r="R20" s="12">
        <v>0.8</v>
      </c>
      <c r="V20" s="12"/>
      <c r="W20" s="12">
        <v>1</v>
      </c>
      <c r="X20" s="12"/>
      <c r="Y20" s="12">
        <v>1</v>
      </c>
      <c r="AC20" s="12"/>
      <c r="AD20" s="12">
        <v>1</v>
      </c>
      <c r="AE20" s="12"/>
      <c r="AF20" s="12">
        <v>1</v>
      </c>
      <c r="AJ20" s="12"/>
      <c r="AK20" s="12">
        <v>1</v>
      </c>
      <c r="AL20" s="12"/>
      <c r="AM20" s="12">
        <v>1</v>
      </c>
      <c r="AQ20" s="12"/>
      <c r="AR20" s="12">
        <v>1</v>
      </c>
      <c r="AS20" s="12"/>
      <c r="AT20" s="12">
        <v>1</v>
      </c>
      <c r="AX20" s="12"/>
      <c r="AY20" s="12">
        <v>1</v>
      </c>
      <c r="AZ20" s="12"/>
      <c r="BA20" s="12">
        <v>1</v>
      </c>
      <c r="BE20" s="12"/>
      <c r="BF20" s="12">
        <v>1</v>
      </c>
      <c r="BG20" s="12"/>
      <c r="BH20" s="12">
        <v>1</v>
      </c>
      <c r="BL20" s="12"/>
      <c r="BM20" s="12">
        <v>1</v>
      </c>
      <c r="BN20" s="12"/>
      <c r="BO20" s="12">
        <v>1</v>
      </c>
      <c r="BS20" s="12"/>
      <c r="BT20" s="12">
        <v>1</v>
      </c>
      <c r="BU20" s="12"/>
      <c r="BV20" s="12">
        <v>1</v>
      </c>
      <c r="BZ20" s="12"/>
      <c r="CA20" s="12">
        <v>1</v>
      </c>
      <c r="CB20" s="12"/>
      <c r="CC20" s="12">
        <v>1</v>
      </c>
      <c r="CG20" s="12"/>
      <c r="CH20" s="12">
        <v>1</v>
      </c>
      <c r="CI20" s="12"/>
      <c r="CJ20" s="12">
        <v>1</v>
      </c>
      <c r="CN20" s="12"/>
      <c r="CO20" s="12">
        <v>1</v>
      </c>
      <c r="CP20" s="12"/>
      <c r="CQ20" s="12">
        <v>1</v>
      </c>
      <c r="CU20" s="12"/>
      <c r="CV20" s="12">
        <v>1</v>
      </c>
      <c r="CW20" s="12"/>
      <c r="CX20" s="12">
        <v>1</v>
      </c>
      <c r="DB20" s="12"/>
      <c r="DC20" s="12">
        <v>1</v>
      </c>
      <c r="DD20" s="12"/>
      <c r="DE20" s="12">
        <v>1</v>
      </c>
      <c r="DI20" s="12"/>
      <c r="DJ20" s="12">
        <v>1</v>
      </c>
      <c r="DK20" s="12"/>
      <c r="DL20" s="12">
        <v>1</v>
      </c>
      <c r="DP20" s="12"/>
      <c r="DQ20" s="12">
        <v>1</v>
      </c>
      <c r="DR20" s="12"/>
      <c r="DS20" s="12">
        <v>1</v>
      </c>
      <c r="DW20" s="12"/>
      <c r="DX20" s="12"/>
      <c r="DY20" s="12"/>
      <c r="DZ20" s="12"/>
    </row>
    <row r="21" spans="2:130" outlineLevel="1">
      <c r="B21" t="s">
        <v>28</v>
      </c>
      <c r="C21" t="s">
        <v>91</v>
      </c>
      <c r="E21" s="11"/>
      <c r="F21" s="23" t="s">
        <v>100</v>
      </c>
      <c r="G21" s="12">
        <v>0.1</v>
      </c>
      <c r="I21" s="11">
        <f t="shared" si="1"/>
        <v>2</v>
      </c>
      <c r="J21" s="13" cm="1">
        <f t="array" ref="J21">MAX(IF($N$3:$FC$3=$J$3,N21:FC21))</f>
        <v>0.5</v>
      </c>
      <c r="K21" s="13" cm="1">
        <f t="array" ref="K21">MAX(IF($N$3:$FC$3=$J$3,N21:FC21))</f>
        <v>0.5</v>
      </c>
      <c r="L21" s="11"/>
      <c r="N21">
        <v>2</v>
      </c>
      <c r="O21" s="12">
        <v>0.5</v>
      </c>
      <c r="P21" s="12">
        <v>0.8</v>
      </c>
      <c r="Q21" s="12">
        <v>0.5</v>
      </c>
      <c r="R21" s="12">
        <v>0.8</v>
      </c>
      <c r="V21" s="12"/>
      <c r="W21" s="12">
        <v>0.8</v>
      </c>
      <c r="X21" s="12"/>
      <c r="Y21" s="12">
        <v>0.8</v>
      </c>
      <c r="AC21" s="12"/>
      <c r="AD21" s="12">
        <v>1</v>
      </c>
      <c r="AE21" s="12"/>
      <c r="AF21" s="12">
        <v>1</v>
      </c>
      <c r="AJ21" s="12"/>
      <c r="AK21" s="12">
        <v>1</v>
      </c>
      <c r="AL21" s="12"/>
      <c r="AM21" s="12">
        <v>1</v>
      </c>
      <c r="AQ21" s="12"/>
      <c r="AR21" s="12">
        <v>1</v>
      </c>
      <c r="AS21" s="12"/>
      <c r="AT21" s="12">
        <v>1</v>
      </c>
      <c r="AX21" s="12"/>
      <c r="AY21" s="12">
        <v>1</v>
      </c>
      <c r="AZ21" s="12"/>
      <c r="BA21" s="12">
        <v>1</v>
      </c>
      <c r="BE21" s="12"/>
      <c r="BF21" s="12">
        <v>1</v>
      </c>
      <c r="BG21" s="12"/>
      <c r="BH21" s="12">
        <v>1</v>
      </c>
      <c r="BL21" s="12"/>
      <c r="BM21" s="12">
        <v>1</v>
      </c>
      <c r="BN21" s="12"/>
      <c r="BO21" s="12">
        <v>1</v>
      </c>
      <c r="BS21" s="12"/>
      <c r="BT21" s="12">
        <v>1</v>
      </c>
      <c r="BU21" s="12"/>
      <c r="BV21" s="12">
        <v>1</v>
      </c>
      <c r="BZ21" s="12"/>
      <c r="CA21" s="12">
        <v>1</v>
      </c>
      <c r="CB21" s="12"/>
      <c r="CC21" s="12">
        <v>1</v>
      </c>
      <c r="CG21" s="12"/>
      <c r="CH21" s="12">
        <v>1</v>
      </c>
      <c r="CI21" s="12"/>
      <c r="CJ21" s="12">
        <v>1</v>
      </c>
      <c r="CN21" s="12"/>
      <c r="CO21" s="12">
        <v>1</v>
      </c>
      <c r="CP21" s="12"/>
      <c r="CQ21" s="12">
        <v>1</v>
      </c>
      <c r="CU21" s="12"/>
      <c r="CV21" s="12">
        <v>1</v>
      </c>
      <c r="CW21" s="12"/>
      <c r="CX21" s="12">
        <v>1</v>
      </c>
      <c r="DB21" s="12"/>
      <c r="DC21" s="12">
        <v>1</v>
      </c>
      <c r="DD21" s="12"/>
      <c r="DE21" s="12">
        <v>1</v>
      </c>
      <c r="DI21" s="12"/>
      <c r="DJ21" s="12">
        <v>1</v>
      </c>
      <c r="DK21" s="12"/>
      <c r="DL21" s="12">
        <v>1</v>
      </c>
      <c r="DP21" s="12"/>
      <c r="DQ21" s="12">
        <v>1</v>
      </c>
      <c r="DR21" s="12"/>
      <c r="DS21" s="12">
        <v>1</v>
      </c>
      <c r="DW21" s="12"/>
      <c r="DX21" s="12"/>
      <c r="DY21" s="12"/>
      <c r="DZ21" s="12"/>
    </row>
    <row r="22" spans="2:130" outlineLevel="1">
      <c r="B22" t="s">
        <v>28</v>
      </c>
      <c r="C22" t="s">
        <v>91</v>
      </c>
      <c r="E22" s="11"/>
      <c r="F22" s="23" t="s">
        <v>101</v>
      </c>
      <c r="G22" s="12">
        <v>0.1</v>
      </c>
      <c r="I22" s="11">
        <f t="shared" si="1"/>
        <v>0</v>
      </c>
      <c r="J22" s="13" cm="1">
        <f t="array" ref="J22">MAX(IF($N$3:$FC$3=$J$3,N22:FC22))</f>
        <v>0.5</v>
      </c>
      <c r="K22" s="13" cm="1">
        <f t="array" ref="K22">MAX(IF($N$3:$FC$3=$J$3,N22:FC22))</f>
        <v>0.5</v>
      </c>
      <c r="L22" s="11"/>
      <c r="O22" s="12">
        <v>0.5</v>
      </c>
      <c r="P22" s="12">
        <v>0.5</v>
      </c>
      <c r="Q22" s="12">
        <v>0.5</v>
      </c>
      <c r="R22" s="12">
        <v>0.5</v>
      </c>
      <c r="V22" s="12"/>
      <c r="W22" s="12">
        <v>0.8</v>
      </c>
      <c r="X22" s="12"/>
      <c r="Y22" s="12">
        <v>0.8</v>
      </c>
      <c r="AC22" s="12"/>
      <c r="AD22" s="12">
        <v>1</v>
      </c>
      <c r="AE22" s="12"/>
      <c r="AF22" s="12">
        <v>1</v>
      </c>
      <c r="AJ22" s="12"/>
      <c r="AK22" s="12">
        <v>1</v>
      </c>
      <c r="AL22" s="12"/>
      <c r="AM22" s="12">
        <v>1</v>
      </c>
      <c r="AQ22" s="12"/>
      <c r="AR22" s="12">
        <v>1</v>
      </c>
      <c r="AS22" s="12"/>
      <c r="AT22" s="12">
        <v>1</v>
      </c>
      <c r="AX22" s="12"/>
      <c r="AY22" s="12">
        <v>1</v>
      </c>
      <c r="AZ22" s="12"/>
      <c r="BA22" s="12">
        <v>1</v>
      </c>
      <c r="BE22" s="12"/>
      <c r="BF22" s="12">
        <v>1</v>
      </c>
      <c r="BG22" s="12"/>
      <c r="BH22" s="12">
        <v>1</v>
      </c>
      <c r="BL22" s="12"/>
      <c r="BM22" s="12">
        <v>1</v>
      </c>
      <c r="BN22" s="12"/>
      <c r="BO22" s="12">
        <v>1</v>
      </c>
      <c r="BS22" s="12"/>
      <c r="BT22" s="12">
        <v>1</v>
      </c>
      <c r="BU22" s="12"/>
      <c r="BV22" s="12">
        <v>1</v>
      </c>
      <c r="BZ22" s="12"/>
      <c r="CA22" s="12">
        <v>1</v>
      </c>
      <c r="CB22" s="12"/>
      <c r="CC22" s="12">
        <v>1</v>
      </c>
      <c r="CG22" s="12"/>
      <c r="CH22" s="12">
        <v>1</v>
      </c>
      <c r="CI22" s="12"/>
      <c r="CJ22" s="12">
        <v>1</v>
      </c>
      <c r="CN22" s="12"/>
      <c r="CO22" s="12">
        <v>1</v>
      </c>
      <c r="CP22" s="12"/>
      <c r="CQ22" s="12">
        <v>1</v>
      </c>
      <c r="CU22" s="12"/>
      <c r="CV22" s="12">
        <v>1</v>
      </c>
      <c r="CW22" s="12"/>
      <c r="CX22" s="12">
        <v>1</v>
      </c>
      <c r="DB22" s="12"/>
      <c r="DC22" s="12">
        <v>1</v>
      </c>
      <c r="DD22" s="12"/>
      <c r="DE22" s="12">
        <v>1</v>
      </c>
      <c r="DI22" s="12"/>
      <c r="DJ22" s="12">
        <v>1</v>
      </c>
      <c r="DK22" s="12"/>
      <c r="DL22" s="12">
        <v>1</v>
      </c>
      <c r="DP22" s="12"/>
      <c r="DQ22" s="12">
        <v>1</v>
      </c>
      <c r="DR22" s="12"/>
      <c r="DS22" s="12">
        <v>1</v>
      </c>
      <c r="DW22" s="12"/>
      <c r="DX22" s="12"/>
      <c r="DY22" s="12"/>
      <c r="DZ22" s="12"/>
    </row>
    <row r="23" spans="2:130" outlineLevel="1">
      <c r="B23" t="s">
        <v>28</v>
      </c>
      <c r="C23" t="s">
        <v>91</v>
      </c>
      <c r="E23" s="11"/>
      <c r="F23" s="23" t="s">
        <v>102</v>
      </c>
      <c r="G23" s="12">
        <v>0.1</v>
      </c>
      <c r="I23" s="11">
        <f t="shared" si="1"/>
        <v>0</v>
      </c>
      <c r="J23" s="13" cm="1">
        <f t="array" ref="J23">MAX(IF($N$3:$FC$3=$J$3,N23:FC23))</f>
        <v>0</v>
      </c>
      <c r="K23" s="13" cm="1">
        <f t="array" ref="K23">MAX(IF($N$3:$FC$3=$J$3,N23:FC23))</f>
        <v>0</v>
      </c>
      <c r="L23" s="11"/>
      <c r="O23" s="12"/>
      <c r="P23" s="12"/>
      <c r="Q23" s="12"/>
      <c r="R23" s="12"/>
      <c r="V23" s="12"/>
      <c r="W23" s="12">
        <v>0.5</v>
      </c>
      <c r="X23" s="12"/>
      <c r="Y23" s="12">
        <v>0.5</v>
      </c>
      <c r="AC23" s="12"/>
      <c r="AD23" s="12">
        <v>1</v>
      </c>
      <c r="AE23" s="12"/>
      <c r="AF23" s="12">
        <v>1</v>
      </c>
      <c r="AJ23" s="12"/>
      <c r="AK23" s="12">
        <v>1</v>
      </c>
      <c r="AL23" s="12"/>
      <c r="AM23" s="12">
        <v>1</v>
      </c>
      <c r="AQ23" s="12"/>
      <c r="AR23" s="12">
        <v>1</v>
      </c>
      <c r="AS23" s="12"/>
      <c r="AT23" s="12">
        <v>1</v>
      </c>
      <c r="AX23" s="12"/>
      <c r="AY23" s="12">
        <v>1</v>
      </c>
      <c r="AZ23" s="12"/>
      <c r="BA23" s="12">
        <v>1</v>
      </c>
      <c r="BE23" s="12"/>
      <c r="BF23" s="12">
        <v>1</v>
      </c>
      <c r="BG23" s="12"/>
      <c r="BH23" s="12">
        <v>1</v>
      </c>
      <c r="BL23" s="12"/>
      <c r="BM23" s="12">
        <v>1</v>
      </c>
      <c r="BN23" s="12"/>
      <c r="BO23" s="12">
        <v>1</v>
      </c>
      <c r="BS23" s="12"/>
      <c r="BT23" s="12">
        <v>1</v>
      </c>
      <c r="BU23" s="12"/>
      <c r="BV23" s="12">
        <v>1</v>
      </c>
      <c r="BZ23" s="12"/>
      <c r="CA23" s="12">
        <v>1</v>
      </c>
      <c r="CB23" s="12"/>
      <c r="CC23" s="12">
        <v>1</v>
      </c>
      <c r="CG23" s="12"/>
      <c r="CH23" s="12">
        <v>1</v>
      </c>
      <c r="CI23" s="12"/>
      <c r="CJ23" s="12">
        <v>1</v>
      </c>
      <c r="CN23" s="12"/>
      <c r="CO23" s="12">
        <v>1</v>
      </c>
      <c r="CP23" s="12"/>
      <c r="CQ23" s="12">
        <v>1</v>
      </c>
      <c r="CU23" s="12"/>
      <c r="CV23" s="12">
        <v>1</v>
      </c>
      <c r="CW23" s="12"/>
      <c r="CX23" s="12">
        <v>1</v>
      </c>
      <c r="DB23" s="12"/>
      <c r="DC23" s="12">
        <v>1</v>
      </c>
      <c r="DD23" s="12"/>
      <c r="DE23" s="12">
        <v>1</v>
      </c>
      <c r="DI23" s="12"/>
      <c r="DJ23" s="12">
        <v>1</v>
      </c>
      <c r="DK23" s="12"/>
      <c r="DL23" s="12">
        <v>1</v>
      </c>
      <c r="DP23" s="12"/>
      <c r="DQ23" s="12">
        <v>1</v>
      </c>
      <c r="DR23" s="12"/>
      <c r="DS23" s="12">
        <v>1</v>
      </c>
      <c r="DW23" s="12"/>
      <c r="DX23" s="12"/>
      <c r="DY23" s="12"/>
      <c r="DZ23" s="12"/>
    </row>
    <row r="24" spans="2:130" outlineLevel="1">
      <c r="B24" t="s">
        <v>28</v>
      </c>
      <c r="C24" t="s">
        <v>91</v>
      </c>
      <c r="E24" s="11"/>
      <c r="F24" s="23" t="s">
        <v>103</v>
      </c>
      <c r="G24" s="12">
        <v>0.1</v>
      </c>
      <c r="I24" s="11">
        <f t="shared" si="1"/>
        <v>0</v>
      </c>
      <c r="J24" s="13" cm="1">
        <f t="array" ref="J24">MAX(IF($N$3:$FC$3=$J$3,N24:FC24))</f>
        <v>0</v>
      </c>
      <c r="K24" s="13" cm="1">
        <f t="array" ref="K24">MAX(IF($N$3:$FC$3=$J$3,N24:FC24))</f>
        <v>0</v>
      </c>
      <c r="L24" s="11"/>
      <c r="O24" s="12"/>
      <c r="P24" s="12"/>
      <c r="Q24" s="12"/>
      <c r="R24" s="12"/>
      <c r="V24" s="12"/>
      <c r="W24" s="12">
        <v>0.5</v>
      </c>
      <c r="X24" s="12"/>
      <c r="Y24" s="12">
        <v>0.5</v>
      </c>
      <c r="AC24" s="12"/>
      <c r="AD24" s="12">
        <v>1</v>
      </c>
      <c r="AE24" s="12"/>
      <c r="AF24" s="12">
        <v>1</v>
      </c>
      <c r="AJ24" s="12"/>
      <c r="AK24" s="12">
        <v>1</v>
      </c>
      <c r="AL24" s="12"/>
      <c r="AM24" s="12">
        <v>1</v>
      </c>
      <c r="AQ24" s="12"/>
      <c r="AR24" s="12">
        <v>1</v>
      </c>
      <c r="AS24" s="12"/>
      <c r="AT24" s="12">
        <v>1</v>
      </c>
      <c r="AX24" s="12"/>
      <c r="AY24" s="12">
        <v>1</v>
      </c>
      <c r="AZ24" s="12"/>
      <c r="BA24" s="12">
        <v>1</v>
      </c>
      <c r="BE24" s="12"/>
      <c r="BF24" s="12">
        <v>1</v>
      </c>
      <c r="BG24" s="12"/>
      <c r="BH24" s="12">
        <v>1</v>
      </c>
      <c r="BL24" s="12"/>
      <c r="BM24" s="12">
        <v>1</v>
      </c>
      <c r="BN24" s="12"/>
      <c r="BO24" s="12">
        <v>1</v>
      </c>
      <c r="BS24" s="12"/>
      <c r="BT24" s="12">
        <v>1</v>
      </c>
      <c r="BU24" s="12"/>
      <c r="BV24" s="12">
        <v>1</v>
      </c>
      <c r="BZ24" s="12"/>
      <c r="CA24" s="12">
        <v>1</v>
      </c>
      <c r="CB24" s="12"/>
      <c r="CC24" s="12">
        <v>1</v>
      </c>
      <c r="CG24" s="12"/>
      <c r="CH24" s="12">
        <v>1</v>
      </c>
      <c r="CI24" s="12"/>
      <c r="CJ24" s="12">
        <v>1</v>
      </c>
      <c r="CN24" s="12"/>
      <c r="CO24" s="12">
        <v>1</v>
      </c>
      <c r="CP24" s="12"/>
      <c r="CQ24" s="12">
        <v>1</v>
      </c>
      <c r="CU24" s="12"/>
      <c r="CV24" s="12">
        <v>1</v>
      </c>
      <c r="CW24" s="12"/>
      <c r="CX24" s="12">
        <v>1</v>
      </c>
      <c r="DB24" s="12"/>
      <c r="DC24" s="12">
        <v>1</v>
      </c>
      <c r="DD24" s="12"/>
      <c r="DE24" s="12">
        <v>1</v>
      </c>
      <c r="DI24" s="12"/>
      <c r="DJ24" s="12">
        <v>1</v>
      </c>
      <c r="DK24" s="12"/>
      <c r="DL24" s="12">
        <v>1</v>
      </c>
      <c r="DP24" s="12"/>
      <c r="DQ24" s="12">
        <v>1</v>
      </c>
      <c r="DR24" s="12"/>
      <c r="DS24" s="12">
        <v>1</v>
      </c>
      <c r="DW24" s="12"/>
      <c r="DX24" s="12"/>
      <c r="DY24" s="12"/>
      <c r="DZ24" s="12"/>
    </row>
    <row r="25" spans="2:130" outlineLevel="1">
      <c r="B25" t="s">
        <v>28</v>
      </c>
      <c r="C25" t="s">
        <v>91</v>
      </c>
      <c r="E25" s="11"/>
      <c r="F25" s="23" t="s">
        <v>104</v>
      </c>
      <c r="G25" s="12">
        <v>0.1</v>
      </c>
      <c r="I25" s="11">
        <f t="shared" si="1"/>
        <v>0</v>
      </c>
      <c r="J25" s="13" cm="1">
        <f t="array" ref="J25">MAX(IF($N$3:$FC$3=$J$3,N25:FC25))</f>
        <v>0</v>
      </c>
      <c r="K25" s="13" cm="1">
        <f t="array" ref="K25">MAX(IF($N$3:$FC$3=$J$3,N25:FC25))</f>
        <v>0</v>
      </c>
      <c r="L25" s="11"/>
      <c r="O25" s="12"/>
      <c r="P25" s="12"/>
      <c r="Q25" s="12"/>
      <c r="R25" s="12"/>
      <c r="V25" s="12"/>
      <c r="W25" s="12"/>
      <c r="X25" s="12"/>
      <c r="Y25" s="12"/>
      <c r="AC25" s="12"/>
      <c r="AD25" s="12">
        <v>0.8</v>
      </c>
      <c r="AE25" s="12"/>
      <c r="AF25" s="12">
        <v>0.8</v>
      </c>
      <c r="AJ25" s="12"/>
      <c r="AK25" s="12">
        <v>0.8</v>
      </c>
      <c r="AL25" s="12"/>
      <c r="AM25" s="12">
        <v>0.8</v>
      </c>
      <c r="AQ25" s="12"/>
      <c r="AR25" s="12">
        <v>1</v>
      </c>
      <c r="AS25" s="12"/>
      <c r="AT25" s="12">
        <v>1</v>
      </c>
      <c r="AX25" s="12"/>
      <c r="AY25" s="12">
        <v>1</v>
      </c>
      <c r="AZ25" s="12"/>
      <c r="BA25" s="12">
        <v>1</v>
      </c>
      <c r="BE25" s="12"/>
      <c r="BF25" s="12">
        <v>1</v>
      </c>
      <c r="BG25" s="12"/>
      <c r="BH25" s="12">
        <v>1</v>
      </c>
      <c r="BL25" s="12"/>
      <c r="BM25" s="12">
        <v>1</v>
      </c>
      <c r="BN25" s="12"/>
      <c r="BO25" s="12">
        <v>1</v>
      </c>
      <c r="BS25" s="12"/>
      <c r="BT25" s="12">
        <v>1</v>
      </c>
      <c r="BU25" s="12"/>
      <c r="BV25" s="12">
        <v>1</v>
      </c>
      <c r="BZ25" s="12"/>
      <c r="CA25" s="12">
        <v>1</v>
      </c>
      <c r="CB25" s="12"/>
      <c r="CC25" s="12">
        <v>1</v>
      </c>
      <c r="CG25" s="12"/>
      <c r="CH25" s="12">
        <v>1</v>
      </c>
      <c r="CI25" s="12"/>
      <c r="CJ25" s="12">
        <v>1</v>
      </c>
      <c r="CN25" s="12"/>
      <c r="CO25" s="12">
        <v>1</v>
      </c>
      <c r="CP25" s="12"/>
      <c r="CQ25" s="12">
        <v>1</v>
      </c>
      <c r="CU25" s="12"/>
      <c r="CV25" s="12">
        <v>1</v>
      </c>
      <c r="CW25" s="12"/>
      <c r="CX25" s="12">
        <v>1</v>
      </c>
      <c r="DB25" s="12"/>
      <c r="DC25" s="12">
        <v>1</v>
      </c>
      <c r="DD25" s="12"/>
      <c r="DE25" s="12">
        <v>1</v>
      </c>
      <c r="DI25" s="12"/>
      <c r="DJ25" s="12">
        <v>1</v>
      </c>
      <c r="DK25" s="12"/>
      <c r="DL25" s="12">
        <v>1</v>
      </c>
      <c r="DP25" s="12"/>
      <c r="DQ25" s="12">
        <v>1</v>
      </c>
      <c r="DR25" s="12"/>
      <c r="DS25" s="12">
        <v>1</v>
      </c>
      <c r="DW25" s="12"/>
      <c r="DX25" s="12"/>
      <c r="DY25" s="12"/>
      <c r="DZ25" s="12"/>
    </row>
    <row r="26" spans="2:130" outlineLevel="1">
      <c r="B26" t="s">
        <v>28</v>
      </c>
      <c r="C26" t="s">
        <v>91</v>
      </c>
      <c r="E26" s="11"/>
      <c r="F26" s="23" t="s">
        <v>105</v>
      </c>
      <c r="G26" s="12">
        <v>0.1</v>
      </c>
      <c r="I26" s="11">
        <f t="shared" si="1"/>
        <v>0</v>
      </c>
      <c r="J26" s="13" cm="1">
        <f t="array" ref="J26">MAX(IF($N$3:$FC$3=$J$3,N26:FC26))</f>
        <v>0</v>
      </c>
      <c r="K26" s="13" cm="1">
        <f t="array" ref="K26">MAX(IF($N$3:$FC$3=$J$3,N26:FC26))</f>
        <v>0</v>
      </c>
      <c r="L26" s="11"/>
      <c r="O26" s="12"/>
      <c r="P26" s="12"/>
      <c r="Q26" s="12"/>
      <c r="R26" s="12"/>
      <c r="V26" s="12"/>
      <c r="W26" s="12"/>
      <c r="X26" s="12"/>
      <c r="Y26" s="12"/>
      <c r="AC26" s="12"/>
      <c r="AD26" s="12">
        <v>0.8</v>
      </c>
      <c r="AE26" s="12"/>
      <c r="AF26" s="12">
        <v>0.8</v>
      </c>
      <c r="AJ26" s="12"/>
      <c r="AK26" s="12">
        <v>0.8</v>
      </c>
      <c r="AL26" s="12"/>
      <c r="AM26" s="12">
        <v>0.8</v>
      </c>
      <c r="AN26">
        <v>4</v>
      </c>
      <c r="AQ26" s="12"/>
      <c r="AR26" s="12">
        <v>1</v>
      </c>
      <c r="AS26" s="12"/>
      <c r="AT26" s="12">
        <v>1</v>
      </c>
      <c r="AX26" s="12"/>
      <c r="AY26" s="12">
        <v>1</v>
      </c>
      <c r="AZ26" s="12"/>
      <c r="BA26" s="12">
        <v>1</v>
      </c>
      <c r="BE26" s="12"/>
      <c r="BF26" s="12">
        <v>1</v>
      </c>
      <c r="BG26" s="12"/>
      <c r="BH26" s="12">
        <v>1</v>
      </c>
      <c r="BL26" s="12"/>
      <c r="BM26" s="12">
        <v>1</v>
      </c>
      <c r="BN26" s="12"/>
      <c r="BO26" s="12">
        <v>1</v>
      </c>
      <c r="BS26" s="12"/>
      <c r="BT26" s="12">
        <v>1</v>
      </c>
      <c r="BU26" s="12"/>
      <c r="BV26" s="12">
        <v>1</v>
      </c>
      <c r="BZ26" s="12"/>
      <c r="CA26" s="12">
        <v>1</v>
      </c>
      <c r="CB26" s="12"/>
      <c r="CC26" s="12">
        <v>1</v>
      </c>
      <c r="CG26" s="12"/>
      <c r="CH26" s="12">
        <v>1</v>
      </c>
      <c r="CI26" s="12"/>
      <c r="CJ26" s="12">
        <v>1</v>
      </c>
      <c r="CN26" s="12"/>
      <c r="CO26" s="12">
        <v>1</v>
      </c>
      <c r="CP26" s="12"/>
      <c r="CQ26" s="12">
        <v>1</v>
      </c>
      <c r="CU26" s="12"/>
      <c r="CV26" s="12">
        <v>1</v>
      </c>
      <c r="CW26" s="12"/>
      <c r="CX26" s="12">
        <v>1</v>
      </c>
      <c r="DB26" s="12"/>
      <c r="DC26" s="12">
        <v>1</v>
      </c>
      <c r="DD26" s="12"/>
      <c r="DE26" s="12">
        <v>1</v>
      </c>
      <c r="DI26" s="12"/>
      <c r="DJ26" s="12">
        <v>1</v>
      </c>
      <c r="DK26" s="12"/>
      <c r="DL26" s="12">
        <v>1</v>
      </c>
      <c r="DP26" s="12"/>
      <c r="DQ26" s="12">
        <v>1</v>
      </c>
      <c r="DR26" s="12"/>
      <c r="DS26" s="12">
        <v>1</v>
      </c>
      <c r="DW26" s="12"/>
      <c r="DX26" s="12"/>
      <c r="DY26" s="12"/>
      <c r="DZ26" s="12"/>
    </row>
    <row r="27" spans="2:130" outlineLevel="1">
      <c r="B27" t="s">
        <v>28</v>
      </c>
      <c r="C27" t="s">
        <v>91</v>
      </c>
      <c r="E27" s="11"/>
      <c r="F27" s="23" t="s">
        <v>108</v>
      </c>
      <c r="G27" s="12">
        <v>0.1</v>
      </c>
      <c r="I27" s="11">
        <f t="shared" si="1"/>
        <v>0</v>
      </c>
      <c r="J27" s="13" cm="1">
        <f t="array" ref="J27">MAX(IF($N$3:$FC$3=$J$3,N27:FC27))</f>
        <v>0</v>
      </c>
      <c r="K27" s="13" cm="1">
        <f t="array" ref="K27">MAX(IF($N$3:$FC$3=$J$3,N27:FC27))</f>
        <v>0</v>
      </c>
      <c r="L27" s="11"/>
      <c r="O27" s="12"/>
      <c r="P27" s="12"/>
      <c r="Q27" s="12"/>
      <c r="R27" s="12"/>
      <c r="V27" s="12"/>
      <c r="W27" s="12"/>
      <c r="X27" s="12"/>
      <c r="Y27" s="12"/>
      <c r="AC27" s="12"/>
      <c r="AD27" s="12">
        <v>0.5</v>
      </c>
      <c r="AE27" s="12"/>
      <c r="AF27" s="12">
        <v>0.5</v>
      </c>
      <c r="AJ27" s="12"/>
      <c r="AK27" s="12">
        <v>0.8</v>
      </c>
      <c r="AL27" s="12"/>
      <c r="AM27" s="12">
        <v>0.8</v>
      </c>
      <c r="AQ27" s="12"/>
      <c r="AR27" s="12">
        <v>0.8</v>
      </c>
      <c r="AS27" s="12"/>
      <c r="AT27" s="12">
        <v>0.8</v>
      </c>
      <c r="AX27" s="12"/>
      <c r="AY27" s="12">
        <v>1</v>
      </c>
      <c r="AZ27" s="12"/>
      <c r="BA27" s="12">
        <v>1</v>
      </c>
      <c r="BE27" s="12"/>
      <c r="BF27" s="12">
        <v>1</v>
      </c>
      <c r="BG27" s="12"/>
      <c r="BH27" s="12">
        <v>1</v>
      </c>
      <c r="BL27" s="12"/>
      <c r="BM27" s="12">
        <v>1</v>
      </c>
      <c r="BN27" s="12"/>
      <c r="BO27" s="12">
        <v>1</v>
      </c>
      <c r="BS27" s="12"/>
      <c r="BT27" s="12">
        <v>1</v>
      </c>
      <c r="BU27" s="12"/>
      <c r="BV27" s="12">
        <v>1</v>
      </c>
      <c r="BZ27" s="12"/>
      <c r="CA27" s="12">
        <v>1</v>
      </c>
      <c r="CB27" s="12"/>
      <c r="CC27" s="12">
        <v>1</v>
      </c>
      <c r="CG27" s="12"/>
      <c r="CH27" s="12">
        <v>1</v>
      </c>
      <c r="CI27" s="12"/>
      <c r="CJ27" s="12">
        <v>1</v>
      </c>
      <c r="CN27" s="12"/>
      <c r="CO27" s="12">
        <v>1</v>
      </c>
      <c r="CP27" s="12"/>
      <c r="CQ27" s="12">
        <v>1</v>
      </c>
      <c r="CU27" s="12"/>
      <c r="CV27" s="12">
        <v>1</v>
      </c>
      <c r="CW27" s="12"/>
      <c r="CX27" s="12">
        <v>1</v>
      </c>
      <c r="DB27" s="12"/>
      <c r="DC27" s="12">
        <v>1</v>
      </c>
      <c r="DD27" s="12"/>
      <c r="DE27" s="12">
        <v>1</v>
      </c>
      <c r="DI27" s="12"/>
      <c r="DJ27" s="12">
        <v>1</v>
      </c>
      <c r="DK27" s="12"/>
      <c r="DL27" s="12">
        <v>1</v>
      </c>
      <c r="DP27" s="12"/>
      <c r="DQ27" s="12">
        <v>1</v>
      </c>
      <c r="DR27" s="12"/>
      <c r="DS27" s="12">
        <v>1</v>
      </c>
      <c r="DW27" s="12"/>
      <c r="DX27" s="12"/>
      <c r="DY27" s="12"/>
      <c r="DZ27" s="12"/>
    </row>
    <row r="28" spans="2:130" outlineLevel="1">
      <c r="B28" t="s">
        <v>28</v>
      </c>
      <c r="C28" t="s">
        <v>91</v>
      </c>
      <c r="E28" s="11"/>
      <c r="F28" s="23" t="s">
        <v>107</v>
      </c>
      <c r="G28" s="12">
        <v>0.1</v>
      </c>
      <c r="I28" s="11">
        <f t="shared" si="1"/>
        <v>0</v>
      </c>
      <c r="J28" s="13" cm="1">
        <f t="array" ref="J28">MAX(IF($N$3:$FC$3=$J$3,N28:FC28))</f>
        <v>0</v>
      </c>
      <c r="K28" s="13" cm="1">
        <f t="array" ref="K28">MAX(IF($N$3:$FC$3=$J$3,N28:FC28))</f>
        <v>0</v>
      </c>
      <c r="L28" s="11"/>
      <c r="O28" s="12"/>
      <c r="P28" s="12"/>
      <c r="Q28" s="12"/>
      <c r="R28" s="12"/>
      <c r="V28" s="12"/>
      <c r="W28" s="12"/>
      <c r="X28" s="12"/>
      <c r="Y28" s="12"/>
      <c r="AC28" s="12"/>
      <c r="AD28" s="12">
        <v>0.5</v>
      </c>
      <c r="AE28" s="12"/>
      <c r="AF28" s="12">
        <v>0.5</v>
      </c>
      <c r="AJ28" s="12"/>
      <c r="AK28" s="12">
        <v>0.8</v>
      </c>
      <c r="AL28" s="12"/>
      <c r="AM28" s="12">
        <v>0.8</v>
      </c>
      <c r="AQ28" s="12"/>
      <c r="AR28" s="12">
        <v>0.8</v>
      </c>
      <c r="AS28" s="12"/>
      <c r="AT28" s="12">
        <v>0.8</v>
      </c>
      <c r="AX28" s="12"/>
      <c r="AY28" s="12">
        <v>0.8</v>
      </c>
      <c r="AZ28" s="12"/>
      <c r="BA28" s="12">
        <v>0.8</v>
      </c>
      <c r="BE28" s="12"/>
      <c r="BF28" s="12">
        <v>1</v>
      </c>
      <c r="BG28" s="12"/>
      <c r="BH28" s="12">
        <v>1</v>
      </c>
      <c r="BL28" s="12"/>
      <c r="BM28" s="12">
        <v>1</v>
      </c>
      <c r="BN28" s="12"/>
      <c r="BO28" s="12">
        <v>1</v>
      </c>
      <c r="BS28" s="12"/>
      <c r="BT28" s="12">
        <v>1</v>
      </c>
      <c r="BU28" s="12"/>
      <c r="BV28" s="12">
        <v>1</v>
      </c>
      <c r="BZ28" s="12"/>
      <c r="CA28" s="12">
        <v>1</v>
      </c>
      <c r="CB28" s="12"/>
      <c r="CC28" s="12">
        <v>1</v>
      </c>
      <c r="CG28" s="12"/>
      <c r="CH28" s="12">
        <v>1</v>
      </c>
      <c r="CI28" s="12"/>
      <c r="CJ28" s="12">
        <v>1</v>
      </c>
      <c r="CN28" s="12"/>
      <c r="CO28" s="12">
        <v>1</v>
      </c>
      <c r="CP28" s="12"/>
      <c r="CQ28" s="12">
        <v>1</v>
      </c>
      <c r="CU28" s="12"/>
      <c r="CV28" s="12">
        <v>1</v>
      </c>
      <c r="CW28" s="12"/>
      <c r="CX28" s="12">
        <v>1</v>
      </c>
      <c r="DB28" s="12"/>
      <c r="DC28" s="12">
        <v>1</v>
      </c>
      <c r="DD28" s="12"/>
      <c r="DE28" s="12">
        <v>1</v>
      </c>
      <c r="DI28" s="12"/>
      <c r="DJ28" s="12">
        <v>1</v>
      </c>
      <c r="DK28" s="12"/>
      <c r="DL28" s="12">
        <v>1</v>
      </c>
      <c r="DP28" s="12"/>
      <c r="DQ28" s="12">
        <v>1</v>
      </c>
      <c r="DR28" s="12"/>
      <c r="DS28" s="12">
        <v>1</v>
      </c>
      <c r="DW28" s="12"/>
      <c r="DX28" s="12"/>
      <c r="DY28" s="12"/>
      <c r="DZ28" s="12"/>
    </row>
    <row r="29" spans="2:130" outlineLevel="1">
      <c r="B29" t="s">
        <v>28</v>
      </c>
      <c r="C29" t="s">
        <v>91</v>
      </c>
      <c r="E29" s="11"/>
      <c r="F29" s="23" t="s">
        <v>106</v>
      </c>
      <c r="G29" s="12">
        <v>0.1</v>
      </c>
      <c r="I29" s="11">
        <f t="shared" si="1"/>
        <v>0</v>
      </c>
      <c r="J29" s="13" cm="1">
        <f t="array" ref="J29">MAX(IF($N$3:$FC$3=$J$3,N29:FC29))</f>
        <v>0</v>
      </c>
      <c r="K29" s="13" cm="1">
        <f t="array" ref="K29">MAX(IF($N$3:$FC$3=$J$3,N29:FC29))</f>
        <v>0</v>
      </c>
      <c r="L29" s="11"/>
      <c r="P29" s="12"/>
      <c r="Q29" s="12"/>
      <c r="R29" s="12"/>
      <c r="V29" s="12"/>
      <c r="W29" s="12"/>
      <c r="X29" s="12"/>
      <c r="Y29" s="12"/>
      <c r="AC29" s="12"/>
      <c r="AD29" s="12">
        <v>0.5</v>
      </c>
      <c r="AE29" s="12"/>
      <c r="AF29" s="12">
        <v>0.5</v>
      </c>
      <c r="AJ29" s="12"/>
      <c r="AK29" s="12">
        <v>0.5</v>
      </c>
      <c r="AL29" s="12"/>
      <c r="AM29" s="12">
        <v>0.5</v>
      </c>
      <c r="AQ29" s="12"/>
      <c r="AR29" s="12">
        <v>0.8</v>
      </c>
      <c r="AS29" s="12"/>
      <c r="AT29" s="12">
        <v>0.8</v>
      </c>
      <c r="AX29" s="12"/>
      <c r="AY29" s="12">
        <v>0.8</v>
      </c>
      <c r="AZ29" s="12"/>
      <c r="BA29" s="12">
        <v>0.8</v>
      </c>
      <c r="BE29" s="12"/>
      <c r="BF29" s="12">
        <v>1</v>
      </c>
      <c r="BG29" s="12"/>
      <c r="BH29" s="12">
        <v>1</v>
      </c>
      <c r="BL29" s="12"/>
      <c r="BM29" s="12">
        <v>1</v>
      </c>
      <c r="BN29" s="12"/>
      <c r="BO29" s="12">
        <v>1</v>
      </c>
      <c r="BS29" s="12"/>
      <c r="BT29" s="12">
        <v>1</v>
      </c>
      <c r="BU29" s="12"/>
      <c r="BV29" s="12">
        <v>1</v>
      </c>
      <c r="BZ29" s="12"/>
      <c r="CA29" s="12">
        <v>1</v>
      </c>
      <c r="CB29" s="12"/>
      <c r="CC29" s="12">
        <v>1</v>
      </c>
      <c r="CG29" s="12"/>
      <c r="CH29" s="12">
        <v>1</v>
      </c>
      <c r="CI29" s="12"/>
      <c r="CJ29" s="12">
        <v>1</v>
      </c>
      <c r="CN29" s="12"/>
      <c r="CO29" s="12">
        <v>1</v>
      </c>
      <c r="CP29" s="12"/>
      <c r="CQ29" s="12">
        <v>1</v>
      </c>
      <c r="CU29" s="12"/>
      <c r="CV29" s="12">
        <v>1</v>
      </c>
      <c r="CW29" s="12"/>
      <c r="CX29" s="12">
        <v>1</v>
      </c>
      <c r="DB29" s="12"/>
      <c r="DC29" s="12">
        <v>1</v>
      </c>
      <c r="DD29" s="12"/>
      <c r="DE29" s="12">
        <v>1</v>
      </c>
      <c r="DI29" s="12"/>
      <c r="DJ29" s="12">
        <v>1</v>
      </c>
      <c r="DK29" s="12"/>
      <c r="DL29" s="12">
        <v>1</v>
      </c>
      <c r="DP29" s="12"/>
      <c r="DQ29" s="12">
        <v>1</v>
      </c>
      <c r="DR29" s="12"/>
      <c r="DS29" s="12">
        <v>1</v>
      </c>
      <c r="DW29" s="12"/>
      <c r="DX29" s="12"/>
      <c r="DY29" s="12"/>
      <c r="DZ29" s="12"/>
    </row>
    <row r="30" spans="2:130" outlineLevel="1">
      <c r="B30" t="s">
        <v>28</v>
      </c>
      <c r="C30" t="s">
        <v>91</v>
      </c>
      <c r="E30" s="11"/>
      <c r="F30" s="23" t="s">
        <v>109</v>
      </c>
      <c r="G30" s="12">
        <v>0.1</v>
      </c>
      <c r="I30" s="11">
        <f t="shared" si="1"/>
        <v>0</v>
      </c>
      <c r="J30" s="13" cm="1">
        <f t="array" ref="J30">MAX(IF($N$3:$FC$3=$J$3,N30:FC30))</f>
        <v>0</v>
      </c>
      <c r="K30" s="13" cm="1">
        <f t="array" ref="K30">MAX(IF($N$3:$FC$3=$J$3,N30:FC30))</f>
        <v>0</v>
      </c>
      <c r="L30" s="11"/>
      <c r="P30" s="12"/>
      <c r="Q30" s="12"/>
      <c r="R30" s="12"/>
      <c r="V30" s="12"/>
      <c r="W30" s="12"/>
      <c r="X30" s="12"/>
      <c r="Y30" s="12"/>
      <c r="AC30" s="12"/>
      <c r="AD30" s="12"/>
      <c r="AE30" s="12"/>
      <c r="AF30" s="12"/>
      <c r="AJ30" s="12"/>
      <c r="AK30" s="12">
        <v>0.5</v>
      </c>
      <c r="AL30" s="12"/>
      <c r="AM30" s="12">
        <v>0.5</v>
      </c>
      <c r="AQ30" s="12"/>
      <c r="AR30" s="12">
        <v>0.5</v>
      </c>
      <c r="AS30" s="12"/>
      <c r="AT30" s="12">
        <v>0.5</v>
      </c>
      <c r="AX30" s="12"/>
      <c r="AY30" s="12">
        <v>0.8</v>
      </c>
      <c r="AZ30" s="12"/>
      <c r="BA30" s="12">
        <v>0.8</v>
      </c>
      <c r="BE30" s="12"/>
      <c r="BF30" s="12">
        <v>0.8</v>
      </c>
      <c r="BG30" s="12"/>
      <c r="BH30" s="12">
        <v>0.8</v>
      </c>
      <c r="BL30" s="12"/>
      <c r="BM30" s="12">
        <v>1</v>
      </c>
      <c r="BN30" s="12"/>
      <c r="BO30" s="12">
        <v>1</v>
      </c>
      <c r="BS30" s="12"/>
      <c r="BT30" s="12">
        <v>1</v>
      </c>
      <c r="BU30" s="12"/>
      <c r="BV30" s="12">
        <v>1</v>
      </c>
      <c r="BZ30" s="12"/>
      <c r="CA30" s="12">
        <v>1</v>
      </c>
      <c r="CB30" s="12"/>
      <c r="CC30" s="12">
        <v>1</v>
      </c>
      <c r="CG30" s="12"/>
      <c r="CH30" s="12">
        <v>1</v>
      </c>
      <c r="CI30" s="12"/>
      <c r="CJ30" s="12">
        <v>1</v>
      </c>
      <c r="CN30" s="12"/>
      <c r="CO30" s="12">
        <v>1</v>
      </c>
      <c r="CP30" s="12"/>
      <c r="CQ30" s="12">
        <v>1</v>
      </c>
      <c r="CU30" s="12"/>
      <c r="CV30" s="12">
        <v>1</v>
      </c>
      <c r="CW30" s="12"/>
      <c r="CX30" s="12">
        <v>1</v>
      </c>
      <c r="DB30" s="12"/>
      <c r="DC30" s="12">
        <v>1</v>
      </c>
      <c r="DD30" s="12"/>
      <c r="DE30" s="12">
        <v>1</v>
      </c>
      <c r="DI30" s="12"/>
      <c r="DJ30" s="12">
        <v>1</v>
      </c>
      <c r="DK30" s="12"/>
      <c r="DL30" s="12">
        <v>1</v>
      </c>
      <c r="DP30" s="12"/>
      <c r="DQ30" s="12">
        <v>1</v>
      </c>
      <c r="DR30" s="12"/>
      <c r="DS30" s="12">
        <v>1</v>
      </c>
      <c r="DW30" s="12"/>
      <c r="DX30" s="12"/>
      <c r="DY30" s="12"/>
      <c r="DZ30" s="12"/>
    </row>
    <row r="31" spans="2:130" outlineLevel="1">
      <c r="B31" t="s">
        <v>28</v>
      </c>
      <c r="C31" t="s">
        <v>91</v>
      </c>
      <c r="E31" s="11"/>
      <c r="F31" s="23" t="s">
        <v>110</v>
      </c>
      <c r="G31" s="12">
        <v>0.1</v>
      </c>
      <c r="I31" s="11">
        <f t="shared" si="1"/>
        <v>0</v>
      </c>
      <c r="J31" s="13" cm="1">
        <f t="array" ref="J31">MAX(IF($N$3:$FC$3=$J$3,N31:FC31))</f>
        <v>0</v>
      </c>
      <c r="K31" s="13" cm="1">
        <f t="array" ref="K31">MAX(IF($N$3:$FC$3=$J$3,N31:FC31))</f>
        <v>0</v>
      </c>
      <c r="L31" s="11"/>
      <c r="P31" s="12"/>
      <c r="Q31" s="12"/>
      <c r="R31" s="12"/>
      <c r="V31" s="12"/>
      <c r="W31" s="12"/>
      <c r="X31" s="12"/>
      <c r="Y31" s="12"/>
      <c r="AC31" s="12"/>
      <c r="AD31" s="12"/>
      <c r="AE31" s="12"/>
      <c r="AF31" s="12"/>
      <c r="AJ31" s="12"/>
      <c r="AK31" s="12"/>
      <c r="AL31" s="12"/>
      <c r="AM31" s="12"/>
      <c r="AQ31" s="12"/>
      <c r="AR31" s="12">
        <v>0.5</v>
      </c>
      <c r="AS31" s="12"/>
      <c r="AT31" s="12">
        <v>0.5</v>
      </c>
      <c r="AU31">
        <v>3</v>
      </c>
      <c r="AX31" s="12"/>
      <c r="AY31" s="12">
        <v>0.5</v>
      </c>
      <c r="AZ31" s="12"/>
      <c r="BA31" s="12">
        <v>0.5</v>
      </c>
      <c r="BB31">
        <v>4</v>
      </c>
      <c r="BE31" s="12"/>
      <c r="BF31" s="12">
        <v>0.8</v>
      </c>
      <c r="BG31" s="12"/>
      <c r="BH31" s="12">
        <v>0.8</v>
      </c>
      <c r="BL31" s="12"/>
      <c r="BM31" s="12">
        <v>0.8</v>
      </c>
      <c r="BN31" s="12"/>
      <c r="BO31" s="12">
        <v>0.8</v>
      </c>
      <c r="BS31" s="12"/>
      <c r="BT31" s="12">
        <v>0.8</v>
      </c>
      <c r="BU31" s="12"/>
      <c r="BV31" s="12">
        <v>0.8</v>
      </c>
      <c r="BZ31" s="12"/>
      <c r="CA31" s="12">
        <v>1</v>
      </c>
      <c r="CB31" s="12"/>
      <c r="CC31" s="12">
        <v>1</v>
      </c>
      <c r="CG31" s="12"/>
      <c r="CH31" s="12">
        <v>1</v>
      </c>
      <c r="CI31" s="12"/>
      <c r="CJ31" s="12">
        <v>1</v>
      </c>
      <c r="CN31" s="12"/>
      <c r="CO31" s="12">
        <v>1</v>
      </c>
      <c r="CP31" s="12"/>
      <c r="CQ31" s="12">
        <v>1</v>
      </c>
      <c r="CU31" s="12"/>
      <c r="CV31" s="12">
        <v>1</v>
      </c>
      <c r="CW31" s="12"/>
      <c r="CX31" s="12">
        <v>1</v>
      </c>
      <c r="DB31" s="12"/>
      <c r="DC31" s="12">
        <v>1</v>
      </c>
      <c r="DD31" s="12"/>
      <c r="DE31" s="12">
        <v>1</v>
      </c>
      <c r="DI31" s="12"/>
      <c r="DJ31" s="12">
        <v>1</v>
      </c>
      <c r="DK31" s="12"/>
      <c r="DL31" s="12">
        <v>1</v>
      </c>
      <c r="DP31" s="12"/>
      <c r="DQ31" s="12">
        <v>1</v>
      </c>
      <c r="DR31" s="12"/>
      <c r="DS31" s="12">
        <v>1</v>
      </c>
      <c r="DW31" s="12"/>
      <c r="DX31" s="12"/>
      <c r="DY31" s="12"/>
      <c r="DZ31" s="12"/>
    </row>
    <row r="32" spans="2:130" outlineLevel="1">
      <c r="B32" t="s">
        <v>28</v>
      </c>
      <c r="C32" t="s">
        <v>91</v>
      </c>
      <c r="E32" s="11"/>
      <c r="F32" s="23" t="s">
        <v>142</v>
      </c>
      <c r="G32" s="12">
        <v>0.1</v>
      </c>
      <c r="I32" s="11">
        <f t="shared" si="1"/>
        <v>0</v>
      </c>
      <c r="J32" s="13" cm="1">
        <f t="array" ref="J32">MAX(IF($N$3:$FC$3=$J$3,N32:FC32))</f>
        <v>0</v>
      </c>
      <c r="K32" s="13" cm="1">
        <f t="array" ref="K32">MAX(IF($N$3:$FC$3=$J$3,N32:FC32))</f>
        <v>0</v>
      </c>
      <c r="L32" s="11"/>
      <c r="P32" s="12"/>
      <c r="Q32" s="12"/>
      <c r="R32" s="12"/>
      <c r="V32" s="12"/>
      <c r="W32" s="12"/>
      <c r="X32" s="12"/>
      <c r="Y32" s="12"/>
      <c r="AC32" s="12"/>
      <c r="AD32" s="12"/>
      <c r="AE32" s="12"/>
      <c r="AF32" s="12"/>
      <c r="AJ32" s="12"/>
      <c r="AK32" s="12"/>
      <c r="AL32" s="12"/>
      <c r="AM32" s="12"/>
      <c r="AQ32" s="12"/>
      <c r="AR32" s="12">
        <v>0.5</v>
      </c>
      <c r="AS32" s="12"/>
      <c r="AT32" s="12">
        <v>0.5</v>
      </c>
      <c r="AX32" s="12"/>
      <c r="AY32" s="12">
        <v>0.5</v>
      </c>
      <c r="AZ32" s="12"/>
      <c r="BA32" s="12">
        <v>0.5</v>
      </c>
      <c r="BE32" s="12"/>
      <c r="BF32" s="12">
        <v>0.8</v>
      </c>
      <c r="BG32" s="12"/>
      <c r="BH32" s="12">
        <v>0.8</v>
      </c>
      <c r="BL32" s="12"/>
      <c r="BM32" s="12">
        <v>0.8</v>
      </c>
      <c r="BN32" s="12"/>
      <c r="BO32" s="12">
        <v>0.8</v>
      </c>
      <c r="BS32" s="12"/>
      <c r="BT32" s="12">
        <v>0.8</v>
      </c>
      <c r="BU32" s="12"/>
      <c r="BV32" s="12">
        <v>0.8</v>
      </c>
      <c r="BZ32" s="12"/>
      <c r="CA32" s="12">
        <v>1</v>
      </c>
      <c r="CB32" s="12"/>
      <c r="CC32" s="12">
        <v>1</v>
      </c>
      <c r="CG32" s="12"/>
      <c r="CH32" s="12">
        <v>1</v>
      </c>
      <c r="CI32" s="12"/>
      <c r="CJ32" s="12">
        <v>1</v>
      </c>
      <c r="CN32" s="12"/>
      <c r="CO32" s="12">
        <v>1</v>
      </c>
      <c r="CP32" s="12"/>
      <c r="CQ32" s="12">
        <v>1</v>
      </c>
      <c r="CU32" s="12"/>
      <c r="CV32" s="12">
        <v>1</v>
      </c>
      <c r="CW32" s="12"/>
      <c r="CX32" s="12">
        <v>1</v>
      </c>
      <c r="DB32" s="12"/>
      <c r="DC32" s="12">
        <v>1</v>
      </c>
      <c r="DD32" s="12"/>
      <c r="DE32" s="12">
        <v>1</v>
      </c>
      <c r="DI32" s="12"/>
      <c r="DJ32" s="12">
        <v>1</v>
      </c>
      <c r="DK32" s="12"/>
      <c r="DL32" s="12">
        <v>1</v>
      </c>
      <c r="DP32" s="12"/>
      <c r="DQ32" s="12">
        <v>1</v>
      </c>
      <c r="DR32" s="12"/>
      <c r="DS32" s="12">
        <v>1</v>
      </c>
      <c r="DW32" s="12"/>
      <c r="DX32" s="12"/>
      <c r="DY32" s="12"/>
      <c r="DZ32" s="12"/>
    </row>
    <row r="33" spans="2:130" outlineLevel="1">
      <c r="B33" t="s">
        <v>28</v>
      </c>
      <c r="C33" t="s">
        <v>91</v>
      </c>
      <c r="E33" s="11"/>
      <c r="F33" s="23" t="s">
        <v>143</v>
      </c>
      <c r="G33" s="12">
        <v>0.1</v>
      </c>
      <c r="I33" s="11">
        <f t="shared" si="1"/>
        <v>0</v>
      </c>
      <c r="J33" s="13" cm="1">
        <f t="array" ref="J33">MAX(IF($N$3:$FC$3=$J$3,N33:FC33))</f>
        <v>0</v>
      </c>
      <c r="K33" s="13" cm="1">
        <f t="array" ref="K33">MAX(IF($N$3:$FC$3=$J$3,N33:FC33))</f>
        <v>0</v>
      </c>
      <c r="L33" s="11"/>
      <c r="O33" s="12"/>
      <c r="P33" s="12"/>
      <c r="Q33" s="12"/>
      <c r="R33" s="12"/>
      <c r="V33" s="12"/>
      <c r="W33" s="12"/>
      <c r="X33" s="12"/>
      <c r="Y33" s="12"/>
      <c r="AC33" s="12"/>
      <c r="AD33" s="12"/>
      <c r="AE33" s="12"/>
      <c r="AF33" s="12"/>
      <c r="AJ33" s="12"/>
      <c r="AK33" s="12"/>
      <c r="AL33" s="12"/>
      <c r="AM33" s="12"/>
      <c r="AQ33" s="12"/>
      <c r="AR33" s="12"/>
      <c r="AS33" s="12"/>
      <c r="AT33" s="12"/>
      <c r="AX33" s="12"/>
      <c r="AY33" s="12">
        <v>0.5</v>
      </c>
      <c r="AZ33" s="12"/>
      <c r="BA33" s="12">
        <v>0.5</v>
      </c>
      <c r="BE33" s="12"/>
      <c r="BF33" s="12">
        <v>0.5</v>
      </c>
      <c r="BG33" s="12"/>
      <c r="BH33" s="12">
        <v>0.5</v>
      </c>
      <c r="BI33">
        <v>3</v>
      </c>
      <c r="BL33" s="12"/>
      <c r="BM33" s="12">
        <v>0.8</v>
      </c>
      <c r="BN33" s="12"/>
      <c r="BO33" s="12">
        <v>0.8</v>
      </c>
      <c r="BS33" s="12"/>
      <c r="BT33" s="12">
        <v>0.8</v>
      </c>
      <c r="BU33" s="12"/>
      <c r="BV33" s="12">
        <v>0.8</v>
      </c>
      <c r="BZ33" s="12"/>
      <c r="CA33" s="12">
        <v>0.8</v>
      </c>
      <c r="CB33" s="12"/>
      <c r="CC33" s="12">
        <v>0.8</v>
      </c>
      <c r="CD33">
        <v>4</v>
      </c>
      <c r="CG33" s="12"/>
      <c r="CH33" s="12">
        <v>1</v>
      </c>
      <c r="CI33" s="12"/>
      <c r="CJ33" s="12">
        <v>1</v>
      </c>
      <c r="CN33" s="12"/>
      <c r="CO33" s="12">
        <v>1</v>
      </c>
      <c r="CP33" s="12"/>
      <c r="CQ33" s="12">
        <v>1</v>
      </c>
      <c r="CU33" s="12"/>
      <c r="CV33" s="12">
        <v>1</v>
      </c>
      <c r="CW33" s="12"/>
      <c r="CX33" s="12">
        <v>1</v>
      </c>
      <c r="DB33" s="12"/>
      <c r="DC33" s="12">
        <v>1</v>
      </c>
      <c r="DD33" s="12"/>
      <c r="DE33" s="12">
        <v>1</v>
      </c>
      <c r="DI33" s="12"/>
      <c r="DJ33" s="12">
        <v>1</v>
      </c>
      <c r="DK33" s="12"/>
      <c r="DL33" s="12">
        <v>1</v>
      </c>
      <c r="DP33" s="12"/>
      <c r="DQ33" s="12">
        <v>1</v>
      </c>
      <c r="DR33" s="12"/>
      <c r="DS33" s="12">
        <v>1</v>
      </c>
      <c r="DW33" s="12"/>
      <c r="DX33" s="12"/>
      <c r="DY33" s="12"/>
      <c r="DZ33" s="12"/>
    </row>
    <row r="34" spans="2:130" outlineLevel="1">
      <c r="B34" t="s">
        <v>28</v>
      </c>
      <c r="C34" t="s">
        <v>91</v>
      </c>
      <c r="E34" s="11"/>
      <c r="F34" s="23" t="s">
        <v>144</v>
      </c>
      <c r="G34" s="12">
        <v>0.1</v>
      </c>
      <c r="I34" s="11">
        <f t="shared" si="1"/>
        <v>0</v>
      </c>
      <c r="J34" s="13" cm="1">
        <f t="array" ref="J34">MAX(IF($N$3:$FC$3=$J$3,N34:FC34))</f>
        <v>0</v>
      </c>
      <c r="K34" s="13" cm="1">
        <f t="array" ref="K34">MAX(IF($N$3:$FC$3=$J$3,N34:FC34))</f>
        <v>0</v>
      </c>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c r="BG34" s="12"/>
      <c r="BH34" s="12"/>
      <c r="BL34" s="12"/>
      <c r="BM34" s="12">
        <v>0.5</v>
      </c>
      <c r="BN34" s="12"/>
      <c r="BO34" s="12">
        <v>0.5</v>
      </c>
      <c r="BS34" s="12"/>
      <c r="BT34" s="12">
        <v>0.8</v>
      </c>
      <c r="BU34" s="12"/>
      <c r="BV34" s="12">
        <v>0.8</v>
      </c>
      <c r="BZ34" s="12"/>
      <c r="CA34" s="12">
        <v>0.8</v>
      </c>
      <c r="CB34" s="12"/>
      <c r="CC34" s="12">
        <v>0.8</v>
      </c>
      <c r="CG34" s="12"/>
      <c r="CH34" s="12">
        <v>0.8</v>
      </c>
      <c r="CI34" s="12"/>
      <c r="CJ34" s="12">
        <v>0.8</v>
      </c>
      <c r="CN34" s="12"/>
      <c r="CO34" s="12">
        <v>1</v>
      </c>
      <c r="CP34" s="12"/>
      <c r="CQ34" s="12">
        <v>1</v>
      </c>
      <c r="CU34" s="12"/>
      <c r="CV34" s="12">
        <v>1</v>
      </c>
      <c r="CW34" s="12"/>
      <c r="CX34" s="12">
        <v>1</v>
      </c>
      <c r="DB34" s="12"/>
      <c r="DC34" s="12">
        <v>1</v>
      </c>
      <c r="DD34" s="12"/>
      <c r="DE34" s="12">
        <v>1</v>
      </c>
      <c r="DI34" s="12"/>
      <c r="DJ34" s="12">
        <v>1</v>
      </c>
      <c r="DK34" s="12"/>
      <c r="DL34" s="12">
        <v>1</v>
      </c>
      <c r="DP34" s="12"/>
      <c r="DQ34" s="12">
        <v>1</v>
      </c>
      <c r="DR34" s="12"/>
      <c r="DS34" s="12">
        <v>1</v>
      </c>
      <c r="DW34" s="12"/>
      <c r="DX34" s="12"/>
      <c r="DY34" s="12"/>
      <c r="DZ34" s="12"/>
    </row>
    <row r="35" spans="2:130" outlineLevel="1">
      <c r="B35" t="s">
        <v>28</v>
      </c>
      <c r="C35" t="s">
        <v>91</v>
      </c>
      <c r="E35" s="11"/>
      <c r="F35" s="23" t="s">
        <v>145</v>
      </c>
      <c r="G35" s="12">
        <v>0.1</v>
      </c>
      <c r="I35" s="11">
        <f t="shared" si="1"/>
        <v>0</v>
      </c>
      <c r="J35" s="13" cm="1">
        <f t="array" ref="J35">MAX(IF($N$3:$FC$3=$J$3,N35:FC35))</f>
        <v>0</v>
      </c>
      <c r="K35" s="13" cm="1">
        <f t="array" ref="K35">MAX(IF($N$3:$FC$3=$J$3,N35:FC35))</f>
        <v>0</v>
      </c>
      <c r="L35" s="11"/>
      <c r="O35" s="12"/>
      <c r="P35" s="12"/>
      <c r="Q35" s="12"/>
      <c r="R35" s="12"/>
      <c r="V35" s="12"/>
      <c r="W35" s="12"/>
      <c r="X35" s="12"/>
      <c r="Y35" s="12"/>
      <c r="AC35" s="12"/>
      <c r="AD35" s="12"/>
      <c r="AE35" s="12"/>
      <c r="AF35" s="12"/>
      <c r="AJ35" s="12"/>
      <c r="AL35" s="12"/>
      <c r="AM35" s="12"/>
      <c r="AQ35" s="12"/>
      <c r="AR35" s="12"/>
      <c r="AS35" s="12"/>
      <c r="AT35" s="12"/>
      <c r="AX35" s="12"/>
      <c r="AY35" s="12"/>
      <c r="AZ35" s="12"/>
      <c r="BA35" s="12"/>
      <c r="BE35" s="12"/>
      <c r="BF35" s="12"/>
      <c r="BG35" s="12"/>
      <c r="BH35" s="12"/>
      <c r="BL35" s="12"/>
      <c r="BM35" s="12"/>
      <c r="BN35" s="12"/>
      <c r="BO35" s="12"/>
      <c r="BP35">
        <v>4</v>
      </c>
      <c r="BS35" s="12"/>
      <c r="BT35" s="12">
        <v>0.5</v>
      </c>
      <c r="BU35" s="12"/>
      <c r="BV35" s="12">
        <v>0.5</v>
      </c>
      <c r="BW35">
        <v>3</v>
      </c>
      <c r="BZ35" s="12"/>
      <c r="CA35" s="12">
        <v>0.8</v>
      </c>
      <c r="CB35" s="12"/>
      <c r="CC35" s="12">
        <v>0.8</v>
      </c>
      <c r="CG35" s="12"/>
      <c r="CH35" s="12">
        <v>0.8</v>
      </c>
      <c r="CI35" s="12"/>
      <c r="CJ35" s="12">
        <v>0.8</v>
      </c>
      <c r="CN35" s="12"/>
      <c r="CO35" s="12">
        <v>1</v>
      </c>
      <c r="CP35" s="12"/>
      <c r="CQ35" s="12">
        <v>1</v>
      </c>
      <c r="CU35" s="12"/>
      <c r="CV35" s="12">
        <v>1</v>
      </c>
      <c r="CW35" s="12"/>
      <c r="CX35" s="12">
        <v>1</v>
      </c>
      <c r="DB35" s="12"/>
      <c r="DC35" s="12">
        <v>1</v>
      </c>
      <c r="DD35" s="12"/>
      <c r="DE35" s="12">
        <v>1</v>
      </c>
      <c r="DI35" s="12"/>
      <c r="DJ35" s="12">
        <v>1</v>
      </c>
      <c r="DK35" s="12"/>
      <c r="DL35" s="12">
        <v>1</v>
      </c>
      <c r="DP35" s="12"/>
      <c r="DQ35" s="12">
        <v>1</v>
      </c>
      <c r="DR35" s="12"/>
      <c r="DS35" s="12">
        <v>1</v>
      </c>
      <c r="DW35" s="12"/>
      <c r="DX35" s="12"/>
      <c r="DY35" s="12"/>
      <c r="DZ35" s="12"/>
    </row>
    <row r="36" spans="2:130" outlineLevel="1">
      <c r="B36" t="s">
        <v>28</v>
      </c>
      <c r="C36" t="s">
        <v>91</v>
      </c>
      <c r="E36" s="11"/>
      <c r="F36" s="23" t="s">
        <v>146</v>
      </c>
      <c r="G36" s="12">
        <v>0.1</v>
      </c>
      <c r="I36" s="11">
        <f t="shared" si="1"/>
        <v>0</v>
      </c>
      <c r="J36" s="13" cm="1">
        <f t="array" ref="J36">MAX(IF($N$3:$FC$3=$J$3,N36:FC36))</f>
        <v>0</v>
      </c>
      <c r="K36" s="13" cm="1">
        <f t="array" ref="K36">MAX(IF($N$3:$FC$3=$J$3,N36:FC36))</f>
        <v>0</v>
      </c>
      <c r="L36" s="11"/>
      <c r="O36" s="12"/>
      <c r="P36" s="12"/>
      <c r="Q36" s="12"/>
      <c r="R36" s="12"/>
      <c r="V36" s="12"/>
      <c r="W36" s="12"/>
      <c r="X36" s="12"/>
      <c r="Y36" s="12"/>
      <c r="AC36" s="12"/>
      <c r="AD36" s="12"/>
      <c r="AE36" s="12"/>
      <c r="AF36" s="12"/>
      <c r="AJ36" s="12"/>
      <c r="AL36" s="12"/>
      <c r="AM36" s="12"/>
      <c r="AQ36" s="12"/>
      <c r="AR36" s="12"/>
      <c r="AS36" s="12"/>
      <c r="AT36" s="12"/>
      <c r="AX36" s="12"/>
      <c r="AY36" s="12"/>
      <c r="AZ36" s="12"/>
      <c r="BA36" s="12"/>
      <c r="BE36" s="12"/>
      <c r="BF36" s="12"/>
      <c r="BG36" s="12"/>
      <c r="BH36" s="12"/>
      <c r="BL36" s="12"/>
      <c r="BM36" s="12"/>
      <c r="BN36" s="12"/>
      <c r="BO36" s="12"/>
      <c r="BS36" s="12"/>
      <c r="BT36" s="12">
        <v>0.5</v>
      </c>
      <c r="BU36" s="12"/>
      <c r="BV36" s="12">
        <v>0.5</v>
      </c>
      <c r="BZ36" s="12"/>
      <c r="CA36" s="12">
        <v>0.8</v>
      </c>
      <c r="CB36" s="12"/>
      <c r="CC36" s="12">
        <v>0.8</v>
      </c>
      <c r="CG36" s="12"/>
      <c r="CH36" s="12">
        <v>0.8</v>
      </c>
      <c r="CI36" s="12"/>
      <c r="CJ36" s="12">
        <v>0.8</v>
      </c>
      <c r="CN36" s="12"/>
      <c r="CO36" s="12">
        <v>1</v>
      </c>
      <c r="CP36" s="12"/>
      <c r="CQ36" s="12">
        <v>1</v>
      </c>
      <c r="CU36" s="12"/>
      <c r="CV36" s="12">
        <v>1</v>
      </c>
      <c r="CW36" s="12"/>
      <c r="CX36" s="12">
        <v>1</v>
      </c>
      <c r="DB36" s="12"/>
      <c r="DC36" s="12">
        <v>1</v>
      </c>
      <c r="DD36" s="12"/>
      <c r="DE36" s="12">
        <v>1</v>
      </c>
      <c r="DI36" s="12"/>
      <c r="DJ36" s="12">
        <v>1</v>
      </c>
      <c r="DK36" s="12"/>
      <c r="DL36" s="12">
        <v>1</v>
      </c>
      <c r="DP36" s="12"/>
      <c r="DQ36" s="12">
        <v>1</v>
      </c>
      <c r="DR36" s="12"/>
      <c r="DS36" s="12">
        <v>1</v>
      </c>
      <c r="DW36" s="12"/>
      <c r="DX36" s="12"/>
      <c r="DY36" s="12"/>
      <c r="DZ36" s="12"/>
    </row>
    <row r="37" spans="2:130" outlineLevel="1">
      <c r="B37" t="s">
        <v>28</v>
      </c>
      <c r="C37" t="s">
        <v>91</v>
      </c>
      <c r="E37" s="11"/>
      <c r="F37" s="23" t="s">
        <v>147</v>
      </c>
      <c r="G37" s="12">
        <v>0.1</v>
      </c>
      <c r="I37" s="11">
        <f t="shared" si="1"/>
        <v>0</v>
      </c>
      <c r="J37" s="13" cm="1">
        <f t="array" ref="J37">MAX(IF($N$3:$FC$3=$J$3,N37:FC37))</f>
        <v>0</v>
      </c>
      <c r="K37" s="13" cm="1">
        <f t="array" ref="K37">MAX(IF($N$3:$FC$3=$J$3,N37:FC37))</f>
        <v>0</v>
      </c>
      <c r="L37" s="11"/>
      <c r="O37" s="12"/>
      <c r="P37" s="12"/>
      <c r="Q37" s="12"/>
      <c r="R37" s="12"/>
      <c r="V37" s="12"/>
      <c r="W37" s="12"/>
      <c r="X37" s="12"/>
      <c r="Y37" s="12"/>
      <c r="AC37" s="12"/>
      <c r="AD37" s="12"/>
      <c r="AE37" s="12"/>
      <c r="AF37" s="12"/>
      <c r="AJ37" s="12"/>
      <c r="AL37" s="12"/>
      <c r="AM37" s="12"/>
      <c r="AQ37" s="12"/>
      <c r="AR37" s="12"/>
      <c r="AS37" s="12"/>
      <c r="AT37" s="12"/>
      <c r="AX37" s="12"/>
      <c r="AY37" s="12"/>
      <c r="AZ37" s="12"/>
      <c r="BA37" s="12"/>
      <c r="BE37" s="12"/>
      <c r="BF37" s="12"/>
      <c r="BG37" s="12"/>
      <c r="BH37" s="12"/>
      <c r="BL37" s="12"/>
      <c r="BM37" s="12"/>
      <c r="BN37" s="12"/>
      <c r="BO37" s="12"/>
      <c r="BS37" s="12"/>
      <c r="BT37" s="12">
        <v>0.5</v>
      </c>
      <c r="BU37" s="12"/>
      <c r="BV37" s="12">
        <v>0.5</v>
      </c>
      <c r="BZ37" s="12"/>
      <c r="CA37" s="12">
        <v>0.8</v>
      </c>
      <c r="CB37" s="12"/>
      <c r="CC37" s="12">
        <v>0.8</v>
      </c>
      <c r="CG37" s="12"/>
      <c r="CH37" s="12">
        <v>0.8</v>
      </c>
      <c r="CI37" s="12"/>
      <c r="CJ37" s="12">
        <v>0.8</v>
      </c>
      <c r="CK37">
        <v>3</v>
      </c>
      <c r="CN37" s="12"/>
      <c r="CO37" s="12">
        <v>0.8</v>
      </c>
      <c r="CP37" s="12"/>
      <c r="CQ37" s="12">
        <v>0.8</v>
      </c>
      <c r="CR37">
        <v>4</v>
      </c>
      <c r="CU37" s="12"/>
      <c r="CV37" s="12">
        <v>1</v>
      </c>
      <c r="CW37" s="12"/>
      <c r="CX37" s="12">
        <v>1</v>
      </c>
      <c r="DB37" s="12"/>
      <c r="DC37" s="12">
        <v>1</v>
      </c>
      <c r="DD37" s="12"/>
      <c r="DE37" s="12">
        <v>1</v>
      </c>
      <c r="DI37" s="12"/>
      <c r="DJ37" s="12">
        <v>1</v>
      </c>
      <c r="DK37" s="12"/>
      <c r="DL37" s="12">
        <v>1</v>
      </c>
      <c r="DP37" s="12"/>
      <c r="DQ37" s="12">
        <v>1</v>
      </c>
      <c r="DR37" s="12"/>
      <c r="DS37" s="12">
        <v>1</v>
      </c>
      <c r="DW37" s="12"/>
      <c r="DX37" s="12"/>
      <c r="DY37" s="12"/>
      <c r="DZ37" s="12"/>
    </row>
    <row r="38" spans="2:130" outlineLevel="1">
      <c r="B38" t="s">
        <v>28</v>
      </c>
      <c r="C38" t="s">
        <v>91</v>
      </c>
      <c r="E38" s="11"/>
      <c r="F38" s="23" t="s">
        <v>148</v>
      </c>
      <c r="G38" s="12">
        <v>0.1</v>
      </c>
      <c r="I38" s="11">
        <f t="shared" si="1"/>
        <v>0</v>
      </c>
      <c r="J38" s="13" cm="1">
        <f t="array" ref="J38">MAX(IF($N$3:$FC$3=$J$3,N38:FC38))</f>
        <v>0</v>
      </c>
      <c r="K38" s="13" cm="1">
        <f t="array" ref="K38">MAX(IF($N$3:$FC$3=$J$3,N38:FC38))</f>
        <v>0</v>
      </c>
      <c r="L38" s="11"/>
      <c r="O38" s="12"/>
      <c r="P38" s="12"/>
      <c r="Q38" s="12"/>
      <c r="R38" s="12"/>
      <c r="V38" s="12"/>
      <c r="W38" s="12"/>
      <c r="X38" s="12"/>
      <c r="Y38" s="12"/>
      <c r="AC38" s="12"/>
      <c r="AD38" s="12"/>
      <c r="AE38" s="12"/>
      <c r="AF38" s="12"/>
      <c r="AJ38" s="12"/>
      <c r="AL38" s="12"/>
      <c r="AM38" s="12"/>
      <c r="AQ38" s="12"/>
      <c r="AR38" s="12"/>
      <c r="AS38" s="12"/>
      <c r="AT38" s="12"/>
      <c r="AX38" s="12"/>
      <c r="AY38" s="12"/>
      <c r="AZ38" s="12"/>
      <c r="BA38" s="12"/>
      <c r="BE38" s="12"/>
      <c r="BF38" s="12"/>
      <c r="BG38" s="12"/>
      <c r="BH38" s="12"/>
      <c r="BL38" s="12"/>
      <c r="BM38" s="12"/>
      <c r="BN38" s="12"/>
      <c r="BO38" s="12"/>
      <c r="BS38" s="12"/>
      <c r="BT38" s="12"/>
      <c r="BU38" s="12"/>
      <c r="BV38" s="12"/>
      <c r="BZ38" s="12"/>
      <c r="CA38" s="12">
        <v>0.5</v>
      </c>
      <c r="CB38" s="12"/>
      <c r="CC38" s="12">
        <v>0.5</v>
      </c>
      <c r="CG38" s="12"/>
      <c r="CH38" s="12">
        <v>0.8</v>
      </c>
      <c r="CI38" s="12"/>
      <c r="CJ38" s="12">
        <v>0.8</v>
      </c>
      <c r="CN38" s="12"/>
      <c r="CO38" s="12">
        <v>0.8</v>
      </c>
      <c r="CP38" s="12"/>
      <c r="CQ38" s="12">
        <v>0.8</v>
      </c>
      <c r="CU38" s="12"/>
      <c r="CV38" s="12">
        <v>1</v>
      </c>
      <c r="CW38" s="12"/>
      <c r="CX38" s="12">
        <v>1</v>
      </c>
      <c r="DB38" s="12"/>
      <c r="DC38" s="12">
        <v>1</v>
      </c>
      <c r="DD38" s="12"/>
      <c r="DE38" s="12">
        <v>1</v>
      </c>
      <c r="DI38" s="12"/>
      <c r="DJ38" s="12">
        <v>1</v>
      </c>
      <c r="DK38" s="12"/>
      <c r="DL38" s="12">
        <v>1</v>
      </c>
      <c r="DP38" s="12"/>
      <c r="DQ38" s="12">
        <v>1</v>
      </c>
      <c r="DR38" s="12"/>
      <c r="DS38" s="12">
        <v>1</v>
      </c>
      <c r="DW38" s="12"/>
      <c r="DX38" s="12"/>
      <c r="DY38" s="12"/>
      <c r="DZ38" s="12"/>
    </row>
    <row r="39" spans="2:130" outlineLevel="1">
      <c r="B39" t="s">
        <v>28</v>
      </c>
      <c r="C39" t="s">
        <v>91</v>
      </c>
      <c r="E39" s="11"/>
      <c r="F39" s="23" t="s">
        <v>149</v>
      </c>
      <c r="G39" s="12">
        <v>0.1</v>
      </c>
      <c r="I39" s="11">
        <f t="shared" si="1"/>
        <v>0</v>
      </c>
      <c r="J39" s="13" cm="1">
        <f t="array" ref="J39">MAX(IF($N$3:$FC$3=$J$3,N39:FC39))</f>
        <v>0</v>
      </c>
      <c r="K39" s="13" cm="1">
        <f t="array" ref="K39">MAX(IF($N$3:$FC$3=$J$3,N39:FC39))</f>
        <v>0</v>
      </c>
      <c r="L39" s="11"/>
      <c r="O39" s="12"/>
      <c r="P39" s="12"/>
      <c r="Q39" s="12"/>
      <c r="R39" s="12"/>
      <c r="V39" s="12"/>
      <c r="W39" s="12"/>
      <c r="X39" s="12"/>
      <c r="Y39" s="12"/>
      <c r="AC39" s="12"/>
      <c r="AD39" s="12"/>
      <c r="AE39" s="12"/>
      <c r="AF39" s="12"/>
      <c r="AJ39" s="12"/>
      <c r="AL39" s="12"/>
      <c r="AM39" s="12"/>
      <c r="AQ39" s="12"/>
      <c r="AR39" s="12"/>
      <c r="AS39" s="12"/>
      <c r="AT39" s="12"/>
      <c r="AX39" s="12"/>
      <c r="AY39" s="12"/>
      <c r="AZ39" s="12"/>
      <c r="BA39" s="12"/>
      <c r="BE39" s="12"/>
      <c r="BF39" s="12"/>
      <c r="BG39" s="12"/>
      <c r="BH39" s="12"/>
      <c r="BL39" s="12"/>
      <c r="BM39" s="12"/>
      <c r="BN39" s="12"/>
      <c r="BO39" s="12"/>
      <c r="BS39" s="12"/>
      <c r="BT39" s="12"/>
      <c r="BU39" s="12"/>
      <c r="BV39" s="12"/>
      <c r="BZ39" s="12"/>
      <c r="CA39" s="12">
        <v>0.5</v>
      </c>
      <c r="CB39" s="12"/>
      <c r="CC39" s="12">
        <v>0.5</v>
      </c>
      <c r="CG39" s="12"/>
      <c r="CH39" s="12">
        <v>0.8</v>
      </c>
      <c r="CI39" s="12"/>
      <c r="CJ39" s="12">
        <v>0.8</v>
      </c>
      <c r="CN39" s="12"/>
      <c r="CO39" s="12">
        <v>0.8</v>
      </c>
      <c r="CP39" s="12"/>
      <c r="CQ39" s="12">
        <v>0.8</v>
      </c>
      <c r="CU39" s="12"/>
      <c r="CV39" s="12">
        <v>1</v>
      </c>
      <c r="CW39" s="12"/>
      <c r="CX39" s="12">
        <v>1</v>
      </c>
      <c r="DB39" s="12"/>
      <c r="DC39" s="12">
        <v>1</v>
      </c>
      <c r="DD39" s="12"/>
      <c r="DE39" s="12">
        <v>1</v>
      </c>
      <c r="DI39" s="12"/>
      <c r="DJ39" s="12">
        <v>1</v>
      </c>
      <c r="DK39" s="12"/>
      <c r="DL39" s="12">
        <v>1</v>
      </c>
      <c r="DP39" s="12"/>
      <c r="DQ39" s="12">
        <v>1</v>
      </c>
      <c r="DR39" s="12"/>
      <c r="DS39" s="12">
        <v>1</v>
      </c>
      <c r="DW39" s="12"/>
      <c r="DX39" s="12"/>
      <c r="DY39" s="12"/>
      <c r="DZ39" s="12"/>
    </row>
    <row r="40" spans="2:130" outlineLevel="1">
      <c r="B40" t="s">
        <v>28</v>
      </c>
      <c r="C40" t="s">
        <v>91</v>
      </c>
      <c r="E40" s="11"/>
      <c r="F40" s="23" t="s">
        <v>150</v>
      </c>
      <c r="G40" s="12">
        <v>0.1</v>
      </c>
      <c r="I40" s="11">
        <f t="shared" si="1"/>
        <v>0</v>
      </c>
      <c r="J40" s="13" cm="1">
        <f t="array" ref="J40">MAX(IF($N$3:$FC$3=$J$3,N40:FC40))</f>
        <v>0</v>
      </c>
      <c r="K40" s="13" cm="1">
        <f t="array" ref="K40">MAX(IF($N$3:$FC$3=$J$3,N40:FC40))</f>
        <v>0</v>
      </c>
      <c r="L40" s="11"/>
      <c r="O40" s="12"/>
      <c r="P40" s="12"/>
      <c r="Q40" s="12"/>
      <c r="R40" s="12"/>
      <c r="V40" s="12"/>
      <c r="W40" s="12"/>
      <c r="X40" s="12"/>
      <c r="Y40" s="12"/>
      <c r="AC40" s="12"/>
      <c r="AD40" s="12"/>
      <c r="AE40" s="12"/>
      <c r="AF40" s="12"/>
      <c r="AJ40" s="12"/>
      <c r="AL40" s="12"/>
      <c r="AM40" s="12"/>
      <c r="AQ40" s="12"/>
      <c r="AR40" s="12"/>
      <c r="AS40" s="12"/>
      <c r="AT40" s="12"/>
      <c r="AX40" s="12"/>
      <c r="AY40" s="12"/>
      <c r="AZ40" s="12"/>
      <c r="BA40" s="12"/>
      <c r="BE40" s="12"/>
      <c r="BF40" s="12"/>
      <c r="BG40" s="12"/>
      <c r="BH40" s="12"/>
      <c r="BL40" s="12"/>
      <c r="BM40" s="12"/>
      <c r="BN40" s="12"/>
      <c r="BO40" s="12"/>
      <c r="BS40" s="12"/>
      <c r="BT40" s="12"/>
      <c r="BU40" s="12"/>
      <c r="BV40" s="12"/>
      <c r="BZ40" s="12"/>
      <c r="CA40" s="12"/>
      <c r="CB40" s="12"/>
      <c r="CC40" s="12"/>
      <c r="CG40" s="12"/>
      <c r="CH40" s="12">
        <v>0.5</v>
      </c>
      <c r="CI40" s="12"/>
      <c r="CJ40" s="12">
        <v>0.5</v>
      </c>
      <c r="CN40" s="12"/>
      <c r="CO40" s="12">
        <v>0.8</v>
      </c>
      <c r="CP40" s="12"/>
      <c r="CQ40" s="12">
        <v>0.8</v>
      </c>
      <c r="CU40" s="12"/>
      <c r="CV40" s="12">
        <v>1</v>
      </c>
      <c r="CW40" s="12"/>
      <c r="CX40" s="12">
        <v>1</v>
      </c>
      <c r="DB40" s="12"/>
      <c r="DC40" s="12">
        <v>1</v>
      </c>
      <c r="DD40" s="12"/>
      <c r="DE40" s="12">
        <v>1</v>
      </c>
      <c r="DI40" s="12"/>
      <c r="DJ40" s="12">
        <v>1</v>
      </c>
      <c r="DK40" s="12"/>
      <c r="DL40" s="12">
        <v>1</v>
      </c>
      <c r="DP40" s="12"/>
      <c r="DQ40" s="12">
        <v>1</v>
      </c>
      <c r="DR40" s="12"/>
      <c r="DS40" s="12">
        <v>1</v>
      </c>
      <c r="DW40" s="12"/>
      <c r="DX40" s="12"/>
      <c r="DY40" s="12"/>
      <c r="DZ40" s="12"/>
    </row>
    <row r="41" spans="2:130">
      <c r="CV41" s="12"/>
    </row>
    <row r="42" spans="2:130">
      <c r="B42" t="s">
        <v>27</v>
      </c>
      <c r="C42" t="s">
        <v>151</v>
      </c>
      <c r="D42" s="22" t="s">
        <v>125</v>
      </c>
      <c r="E42" s="11">
        <v>6</v>
      </c>
      <c r="G42" s="12">
        <f>+SUM(G43:G48)</f>
        <v>0.7</v>
      </c>
      <c r="I42" s="14">
        <f>+SUM(I43:I48)</f>
        <v>14</v>
      </c>
      <c r="J42" s="13">
        <f>+SUMPRODUCT(G43:G48,J43:J48)</f>
        <v>0.32999999999999996</v>
      </c>
      <c r="K42" s="13">
        <f>+SUMPRODUCT(G43:G48,K43:K48)</f>
        <v>0.32999999999999996</v>
      </c>
      <c r="L42" s="11"/>
      <c r="N42" s="14">
        <f>+SUM(N43:N59)</f>
        <v>14</v>
      </c>
      <c r="U42" s="14">
        <f>+SUM(U43:U48)</f>
        <v>0</v>
      </c>
      <c r="AB42" s="14">
        <f>+SUM(AB43:AB48)</f>
        <v>0</v>
      </c>
      <c r="AI42" s="14">
        <f>+SUM(AI43:AI48)</f>
        <v>0</v>
      </c>
      <c r="AP42" s="14">
        <f>+SUM(AP43:AP48)</f>
        <v>0</v>
      </c>
      <c r="AW42" s="14">
        <f>+SUM(AW43:AW48)</f>
        <v>0</v>
      </c>
      <c r="BD42" s="14">
        <f>+SUM(BD43:BD48)</f>
        <v>0</v>
      </c>
      <c r="BK42" s="14">
        <f>+SUM(BK43:BK48)</f>
        <v>0</v>
      </c>
      <c r="BR42" s="14">
        <f>+SUM(BR43:BR48)</f>
        <v>0</v>
      </c>
      <c r="BY42" s="14">
        <f>+SUM(BY43:BY48)</f>
        <v>0</v>
      </c>
      <c r="CF42" s="14">
        <f>+SUM(CF43:CF48)</f>
        <v>0</v>
      </c>
      <c r="CM42" s="14">
        <f>+SUM(CM43:CM48)</f>
        <v>0</v>
      </c>
      <c r="CT42" s="14">
        <f>+SUM(CT43:CT48)</f>
        <v>0</v>
      </c>
      <c r="DA42" s="14">
        <f>+SUM(DA43:DA48)</f>
        <v>0</v>
      </c>
      <c r="DH42" s="14">
        <f>+SUM(DH43:DH48)</f>
        <v>0</v>
      </c>
      <c r="DO42" s="14">
        <f>+SUM(DO43:DO48)</f>
        <v>0</v>
      </c>
      <c r="DV42" s="14">
        <f>+SUM(DV43:DV48)</f>
        <v>0</v>
      </c>
    </row>
    <row r="43" spans="2:130" outlineLevel="1">
      <c r="B43" t="s">
        <v>28</v>
      </c>
      <c r="C43" t="s">
        <v>151</v>
      </c>
      <c r="E43" s="11"/>
      <c r="F43" t="s">
        <v>30</v>
      </c>
      <c r="G43" s="12">
        <v>0.1</v>
      </c>
      <c r="I43" s="11">
        <f t="shared" ref="I43:I59" si="2">+SUMIF($N$3:$AAU$3,I$3,$N43:$AAU43)</f>
        <v>0</v>
      </c>
      <c r="J43" s="13" cm="1">
        <f t="array" ref="J43">MAX(IF($N$3:$FC$3=$J$3,N43:FC43))</f>
        <v>1</v>
      </c>
      <c r="K43" s="13" cm="1">
        <f t="array" ref="K43">MAX(IF($N$3:$FC$3=$J$3,N43:FC43))</f>
        <v>1</v>
      </c>
      <c r="L43" s="11"/>
      <c r="O43" s="12">
        <v>1</v>
      </c>
      <c r="P43" s="12">
        <v>1</v>
      </c>
      <c r="Q43" s="12">
        <v>1</v>
      </c>
      <c r="R43" s="12">
        <v>1</v>
      </c>
      <c r="V43" s="12"/>
      <c r="W43" s="12">
        <v>1</v>
      </c>
      <c r="X43" s="12"/>
      <c r="Y43" s="12">
        <v>1</v>
      </c>
      <c r="AC43" s="12"/>
      <c r="AD43" s="12">
        <v>1</v>
      </c>
      <c r="AE43" s="12"/>
      <c r="AF43" s="12">
        <v>1</v>
      </c>
      <c r="AJ43" s="12"/>
      <c r="AK43" s="12">
        <v>1</v>
      </c>
      <c r="AL43" s="12"/>
      <c r="AM43" s="12">
        <v>1</v>
      </c>
      <c r="AQ43" s="12"/>
      <c r="AR43" s="12">
        <v>1</v>
      </c>
      <c r="AS43" s="12"/>
      <c r="AT43" s="12">
        <v>1</v>
      </c>
      <c r="AX43" s="12"/>
      <c r="AY43" s="12">
        <v>1</v>
      </c>
      <c r="AZ43" s="12"/>
      <c r="BA43" s="12">
        <v>1</v>
      </c>
      <c r="BE43" s="12"/>
      <c r="BF43" s="12">
        <v>1</v>
      </c>
      <c r="BG43" s="12"/>
      <c r="BH43" s="12">
        <v>1</v>
      </c>
      <c r="BL43" s="12"/>
      <c r="BM43" s="12">
        <v>1</v>
      </c>
      <c r="BN43" s="12"/>
      <c r="BO43" s="12">
        <v>1</v>
      </c>
      <c r="BS43" s="12"/>
      <c r="BT43" s="12">
        <v>1</v>
      </c>
      <c r="BU43" s="12"/>
      <c r="BV43" s="12">
        <v>1</v>
      </c>
      <c r="BZ43" s="12"/>
      <c r="CA43" s="12">
        <v>1</v>
      </c>
      <c r="CB43" s="12"/>
      <c r="CC43" s="12">
        <v>1</v>
      </c>
      <c r="CG43" s="12"/>
      <c r="CH43" s="12">
        <v>1</v>
      </c>
      <c r="CI43" s="12"/>
      <c r="CJ43" s="12">
        <v>1</v>
      </c>
      <c r="CN43" s="12"/>
      <c r="CO43" s="12">
        <v>1</v>
      </c>
      <c r="CP43" s="12"/>
      <c r="CQ43" s="12">
        <v>1</v>
      </c>
      <c r="CU43" s="12"/>
      <c r="CV43" s="12">
        <v>1</v>
      </c>
      <c r="CW43" s="12"/>
      <c r="CX43" s="12">
        <v>1</v>
      </c>
      <c r="DB43" s="12"/>
      <c r="DC43" s="12">
        <v>1</v>
      </c>
      <c r="DD43" s="12"/>
      <c r="DE43" s="12">
        <v>1</v>
      </c>
      <c r="DI43" s="12"/>
      <c r="DJ43" s="12">
        <v>1</v>
      </c>
      <c r="DK43" s="12"/>
      <c r="DL43" s="12">
        <v>1</v>
      </c>
      <c r="DP43" s="12"/>
      <c r="DQ43" s="12">
        <v>1</v>
      </c>
      <c r="DR43" s="12"/>
      <c r="DS43" s="12">
        <v>1</v>
      </c>
      <c r="DW43" s="12"/>
      <c r="DX43" s="12"/>
      <c r="DY43" s="12"/>
      <c r="DZ43" s="12"/>
    </row>
    <row r="44" spans="2:130" outlineLevel="1">
      <c r="B44" t="s">
        <v>28</v>
      </c>
      <c r="C44" t="s">
        <v>151</v>
      </c>
      <c r="E44" s="11"/>
      <c r="F44" t="s">
        <v>111</v>
      </c>
      <c r="G44" s="12">
        <v>0.1</v>
      </c>
      <c r="I44" s="11">
        <f t="shared" si="2"/>
        <v>0</v>
      </c>
      <c r="J44" s="13" cm="1">
        <f t="array" ref="J44">MAX(IF($N$3:$FC$3=$J$3,N44:FC44))</f>
        <v>0.9</v>
      </c>
      <c r="K44" s="13" cm="1">
        <f t="array" ref="K44">MAX(IF($N$3:$FC$3=$J$3,N44:FC44))</f>
        <v>0.9</v>
      </c>
      <c r="L44" s="11"/>
      <c r="O44" s="12">
        <v>0.9</v>
      </c>
      <c r="P44" s="12">
        <v>1</v>
      </c>
      <c r="Q44" s="12">
        <v>0.9</v>
      </c>
      <c r="R44" s="12">
        <v>1</v>
      </c>
      <c r="V44" s="12"/>
      <c r="W44" s="12">
        <v>0.8</v>
      </c>
      <c r="X44" s="12"/>
      <c r="Y44" s="12">
        <v>0.8</v>
      </c>
      <c r="AC44" s="12"/>
      <c r="AD44" s="12">
        <v>1</v>
      </c>
      <c r="AE44" s="12"/>
      <c r="AF44" s="12">
        <v>1</v>
      </c>
      <c r="AJ44" s="12"/>
      <c r="AK44" s="12">
        <v>1</v>
      </c>
      <c r="AL44" s="12"/>
      <c r="AM44" s="12">
        <v>1</v>
      </c>
      <c r="AQ44" s="12"/>
      <c r="AR44" s="12">
        <v>1</v>
      </c>
      <c r="AS44" s="12"/>
      <c r="AT44" s="12">
        <v>1</v>
      </c>
      <c r="AX44" s="12"/>
      <c r="AY44" s="12">
        <v>1</v>
      </c>
      <c r="AZ44" s="12"/>
      <c r="BA44" s="12">
        <v>1</v>
      </c>
      <c r="BE44" s="12"/>
      <c r="BF44" s="12">
        <v>1</v>
      </c>
      <c r="BG44" s="12"/>
      <c r="BH44" s="12">
        <v>1</v>
      </c>
      <c r="BL44" s="12"/>
      <c r="BM44" s="12">
        <v>1</v>
      </c>
      <c r="BN44" s="12"/>
      <c r="BO44" s="12">
        <v>1</v>
      </c>
      <c r="BS44" s="12"/>
      <c r="BT44" s="12">
        <v>1</v>
      </c>
      <c r="BU44" s="12"/>
      <c r="BV44" s="12">
        <v>1</v>
      </c>
      <c r="BZ44" s="12"/>
      <c r="CA44" s="12">
        <v>1</v>
      </c>
      <c r="CB44" s="12"/>
      <c r="CC44" s="12">
        <v>1</v>
      </c>
      <c r="CG44" s="12"/>
      <c r="CH44" s="12">
        <v>1</v>
      </c>
      <c r="CI44" s="12"/>
      <c r="CJ44" s="12">
        <v>1</v>
      </c>
      <c r="CN44" s="12"/>
      <c r="CO44" s="12">
        <v>1</v>
      </c>
      <c r="CP44" s="12"/>
      <c r="CQ44" s="12">
        <v>1</v>
      </c>
      <c r="CU44" s="12"/>
      <c r="CV44" s="12">
        <v>1</v>
      </c>
      <c r="CW44" s="12"/>
      <c r="CX44" s="12">
        <v>1</v>
      </c>
      <c r="DB44" s="12"/>
      <c r="DC44" s="12">
        <v>1</v>
      </c>
      <c r="DD44" s="12"/>
      <c r="DE44" s="12">
        <v>1</v>
      </c>
      <c r="DI44" s="12"/>
      <c r="DJ44" s="12">
        <v>1</v>
      </c>
      <c r="DK44" s="12"/>
      <c r="DL44" s="12">
        <v>1</v>
      </c>
      <c r="DP44" s="12"/>
      <c r="DQ44" s="12">
        <v>1</v>
      </c>
      <c r="DR44" s="12"/>
      <c r="DS44" s="12">
        <v>1</v>
      </c>
      <c r="DW44" s="12"/>
      <c r="DX44" s="12"/>
      <c r="DY44" s="12"/>
      <c r="DZ44" s="12"/>
    </row>
    <row r="45" spans="2:130" outlineLevel="1">
      <c r="B45" t="s">
        <v>28</v>
      </c>
      <c r="C45" t="s">
        <v>151</v>
      </c>
      <c r="E45" s="11"/>
      <c r="F45" t="s">
        <v>154</v>
      </c>
      <c r="G45" s="12">
        <v>0.2</v>
      </c>
      <c r="I45" s="11">
        <f t="shared" si="2"/>
        <v>14</v>
      </c>
      <c r="J45" s="13" cm="1">
        <f t="array" ref="J45">MAX(IF($N$3:$FC$3=$J$3,N45:FC45))</f>
        <v>0.7</v>
      </c>
      <c r="K45" s="13" cm="1">
        <f t="array" ref="K45">MAX(IF($N$3:$FC$3=$J$3,N45:FC45))</f>
        <v>0.7</v>
      </c>
      <c r="L45" s="11"/>
      <c r="N45">
        <v>14</v>
      </c>
      <c r="O45" s="12">
        <v>0.7</v>
      </c>
      <c r="P45" s="12">
        <v>1</v>
      </c>
      <c r="Q45" s="12">
        <v>0.6</v>
      </c>
      <c r="R45" s="12">
        <v>1</v>
      </c>
      <c r="V45" s="12"/>
      <c r="W45" s="12">
        <v>0.5</v>
      </c>
      <c r="X45" s="12"/>
      <c r="Y45" s="12">
        <v>0.5</v>
      </c>
      <c r="AC45" s="12"/>
      <c r="AD45" s="12">
        <v>0.8</v>
      </c>
      <c r="AE45" s="12"/>
      <c r="AF45" s="12">
        <v>0.8</v>
      </c>
      <c r="AJ45" s="12"/>
      <c r="AK45" s="12">
        <v>1</v>
      </c>
      <c r="AL45" s="12"/>
      <c r="AM45" s="12">
        <v>1</v>
      </c>
      <c r="AQ45" s="12"/>
      <c r="AR45" s="12">
        <v>1</v>
      </c>
      <c r="AS45" s="12"/>
      <c r="AT45" s="12">
        <v>1</v>
      </c>
      <c r="AX45" s="12"/>
      <c r="AY45" s="12">
        <v>1</v>
      </c>
      <c r="AZ45" s="12"/>
      <c r="BA45" s="12">
        <v>1</v>
      </c>
      <c r="BE45" s="12"/>
      <c r="BF45" s="12">
        <v>1</v>
      </c>
      <c r="BG45" s="12"/>
      <c r="BH45" s="12">
        <v>1</v>
      </c>
      <c r="BL45" s="12"/>
      <c r="BM45" s="12">
        <v>1</v>
      </c>
      <c r="BN45" s="12"/>
      <c r="BO45" s="12">
        <v>1</v>
      </c>
      <c r="BS45" s="12"/>
      <c r="BT45" s="12">
        <v>1</v>
      </c>
      <c r="BU45" s="12"/>
      <c r="BV45" s="12">
        <v>1</v>
      </c>
      <c r="BZ45" s="12"/>
      <c r="CA45" s="12">
        <v>1</v>
      </c>
      <c r="CB45" s="12"/>
      <c r="CC45" s="12">
        <v>1</v>
      </c>
      <c r="CG45" s="12"/>
      <c r="CH45" s="12">
        <v>1</v>
      </c>
      <c r="CI45" s="12"/>
      <c r="CJ45" s="12">
        <v>1</v>
      </c>
      <c r="CN45" s="12"/>
      <c r="CO45" s="12">
        <v>1</v>
      </c>
      <c r="CP45" s="12"/>
      <c r="CQ45" s="12">
        <v>1</v>
      </c>
      <c r="CU45" s="12"/>
      <c r="CV45" s="12">
        <v>1</v>
      </c>
      <c r="CW45" s="12"/>
      <c r="CX45" s="12">
        <v>1</v>
      </c>
      <c r="DB45" s="12"/>
      <c r="DC45" s="12">
        <v>1</v>
      </c>
      <c r="DD45" s="12"/>
      <c r="DE45" s="12">
        <v>1</v>
      </c>
      <c r="DI45" s="12"/>
      <c r="DJ45" s="12">
        <v>1</v>
      </c>
      <c r="DK45" s="12"/>
      <c r="DL45" s="12">
        <v>1</v>
      </c>
      <c r="DP45" s="12"/>
      <c r="DQ45" s="12">
        <v>1</v>
      </c>
      <c r="DR45" s="12"/>
      <c r="DS45" s="12">
        <v>1</v>
      </c>
      <c r="DW45" s="12"/>
      <c r="DX45" s="12"/>
      <c r="DY45" s="12"/>
      <c r="DZ45" s="12"/>
    </row>
    <row r="46" spans="2:130" outlineLevel="1">
      <c r="B46" t="s">
        <v>28</v>
      </c>
      <c r="C46" t="s">
        <v>151</v>
      </c>
      <c r="E46" s="11"/>
      <c r="F46" t="s">
        <v>112</v>
      </c>
      <c r="G46" s="12">
        <v>0.1</v>
      </c>
      <c r="I46" s="11">
        <f t="shared" si="2"/>
        <v>0</v>
      </c>
      <c r="J46" s="13" cm="1">
        <f t="array" ref="J46">MAX(IF($N$3:$FC$3=$J$3,N46:FC46))</f>
        <v>0</v>
      </c>
      <c r="K46" s="13" cm="1">
        <f t="array" ref="K46">MAX(IF($N$3:$FC$3=$J$3,N46:FC46))</f>
        <v>0</v>
      </c>
      <c r="L46" s="11"/>
      <c r="O46" s="12"/>
      <c r="P46" s="12"/>
      <c r="Q46" s="12"/>
      <c r="R46" s="12"/>
      <c r="V46" s="12"/>
      <c r="W46" s="12">
        <v>0.5</v>
      </c>
      <c r="X46" s="12"/>
      <c r="Y46" s="12">
        <v>0.5</v>
      </c>
      <c r="AC46" s="12"/>
      <c r="AD46" s="12">
        <v>0.8</v>
      </c>
      <c r="AE46" s="12"/>
      <c r="AF46" s="12">
        <v>0.8</v>
      </c>
      <c r="AJ46" s="12"/>
      <c r="AK46" s="12">
        <v>0.8</v>
      </c>
      <c r="AL46" s="12"/>
      <c r="AM46" s="12">
        <v>0.8</v>
      </c>
      <c r="AQ46" s="12"/>
      <c r="AR46" s="12">
        <v>1</v>
      </c>
      <c r="AS46" s="12"/>
      <c r="AT46" s="12">
        <v>1</v>
      </c>
      <c r="AX46" s="12"/>
      <c r="AY46" s="12">
        <v>1</v>
      </c>
      <c r="AZ46" s="12"/>
      <c r="BA46" s="12">
        <v>1</v>
      </c>
      <c r="BE46" s="12"/>
      <c r="BF46" s="12">
        <v>1</v>
      </c>
      <c r="BG46" s="12"/>
      <c r="BH46" s="12">
        <v>1</v>
      </c>
      <c r="BL46" s="12"/>
      <c r="BM46" s="12">
        <v>1</v>
      </c>
      <c r="BN46" s="12"/>
      <c r="BO46" s="12">
        <v>1</v>
      </c>
      <c r="BS46" s="12"/>
      <c r="BT46" s="12">
        <v>1</v>
      </c>
      <c r="BU46" s="12"/>
      <c r="BV46" s="12">
        <v>1</v>
      </c>
      <c r="BZ46" s="12"/>
      <c r="CA46" s="12">
        <v>1</v>
      </c>
      <c r="CB46" s="12"/>
      <c r="CC46" s="12">
        <v>1</v>
      </c>
      <c r="CG46" s="12"/>
      <c r="CH46" s="12">
        <v>1</v>
      </c>
      <c r="CI46" s="12"/>
      <c r="CJ46" s="12">
        <v>1</v>
      </c>
      <c r="CN46" s="12"/>
      <c r="CO46" s="12">
        <v>1</v>
      </c>
      <c r="CP46" s="12"/>
      <c r="CQ46" s="12">
        <v>1</v>
      </c>
      <c r="CU46" s="12"/>
      <c r="CV46" s="12">
        <v>1</v>
      </c>
      <c r="CW46" s="12"/>
      <c r="CX46" s="12">
        <v>1</v>
      </c>
      <c r="DB46" s="12"/>
      <c r="DC46" s="12">
        <v>1</v>
      </c>
      <c r="DD46" s="12"/>
      <c r="DE46" s="12">
        <v>1</v>
      </c>
      <c r="DI46" s="12"/>
      <c r="DJ46" s="12">
        <v>1</v>
      </c>
      <c r="DK46" s="12"/>
      <c r="DL46" s="12">
        <v>1</v>
      </c>
      <c r="DP46" s="12"/>
      <c r="DQ46" s="12">
        <v>1</v>
      </c>
      <c r="DR46" s="12"/>
      <c r="DS46" s="12">
        <v>1</v>
      </c>
      <c r="DW46" s="12"/>
      <c r="DX46" s="12"/>
      <c r="DY46" s="12"/>
      <c r="DZ46" s="12"/>
    </row>
    <row r="47" spans="2:130" outlineLevel="1">
      <c r="B47" t="s">
        <v>28</v>
      </c>
      <c r="C47" t="s">
        <v>151</v>
      </c>
      <c r="E47" s="11"/>
      <c r="F47" t="s">
        <v>113</v>
      </c>
      <c r="G47" s="12">
        <v>0.1</v>
      </c>
      <c r="I47" s="11">
        <f t="shared" si="2"/>
        <v>0</v>
      </c>
      <c r="J47" s="13" cm="1">
        <f t="array" ref="J47">MAX(IF($N$3:$FC$3=$J$3,N47:FC47))</f>
        <v>0</v>
      </c>
      <c r="K47" s="13" cm="1">
        <f t="array" ref="K47">MAX(IF($N$3:$FC$3=$J$3,N47:FC47))</f>
        <v>0</v>
      </c>
      <c r="L47" s="11"/>
      <c r="O47" s="12"/>
      <c r="P47" s="12"/>
      <c r="Q47" s="12"/>
      <c r="R47" s="12"/>
      <c r="V47" s="12"/>
      <c r="W47" s="12"/>
      <c r="X47" s="12"/>
      <c r="Y47" s="12"/>
      <c r="AC47" s="12"/>
      <c r="AD47" s="12">
        <v>0.5</v>
      </c>
      <c r="AE47" s="12"/>
      <c r="AF47" s="12">
        <v>0.5</v>
      </c>
      <c r="AJ47" s="12"/>
      <c r="AK47" s="12">
        <v>0.8</v>
      </c>
      <c r="AL47" s="12"/>
      <c r="AM47" s="12">
        <v>0.8</v>
      </c>
      <c r="AQ47" s="12"/>
      <c r="AR47" s="12">
        <v>1</v>
      </c>
      <c r="AS47" s="12"/>
      <c r="AT47" s="12">
        <v>1</v>
      </c>
      <c r="AX47" s="12"/>
      <c r="AY47" s="12">
        <v>1</v>
      </c>
      <c r="AZ47" s="12"/>
      <c r="BA47" s="12">
        <v>1</v>
      </c>
      <c r="BE47" s="12"/>
      <c r="BF47" s="12">
        <v>1</v>
      </c>
      <c r="BG47" s="12"/>
      <c r="BH47" s="12">
        <v>1</v>
      </c>
      <c r="BL47" s="12"/>
      <c r="BM47" s="12">
        <v>1</v>
      </c>
      <c r="BN47" s="12"/>
      <c r="BO47" s="12">
        <v>1</v>
      </c>
      <c r="BS47" s="12"/>
      <c r="BT47" s="12">
        <v>1</v>
      </c>
      <c r="BU47" s="12"/>
      <c r="BV47" s="12">
        <v>1</v>
      </c>
      <c r="BZ47" s="12"/>
      <c r="CA47" s="12">
        <v>1</v>
      </c>
      <c r="CB47" s="12"/>
      <c r="CC47" s="12">
        <v>1</v>
      </c>
      <c r="CG47" s="12"/>
      <c r="CH47" s="12">
        <v>1</v>
      </c>
      <c r="CI47" s="12"/>
      <c r="CJ47" s="12">
        <v>1</v>
      </c>
      <c r="CN47" s="12"/>
      <c r="CO47" s="12">
        <v>1</v>
      </c>
      <c r="CP47" s="12"/>
      <c r="CQ47" s="12">
        <v>1</v>
      </c>
      <c r="CU47" s="12"/>
      <c r="CV47" s="12">
        <v>1</v>
      </c>
      <c r="CW47" s="12"/>
      <c r="CX47" s="12">
        <v>1</v>
      </c>
      <c r="DB47" s="12"/>
      <c r="DC47" s="12">
        <v>1</v>
      </c>
      <c r="DD47" s="12"/>
      <c r="DE47" s="12">
        <v>1</v>
      </c>
      <c r="DI47" s="12"/>
      <c r="DJ47" s="12">
        <v>1</v>
      </c>
      <c r="DK47" s="12"/>
      <c r="DL47" s="12">
        <v>1</v>
      </c>
      <c r="DP47" s="12"/>
      <c r="DQ47" s="12">
        <v>1</v>
      </c>
      <c r="DR47" s="12"/>
      <c r="DS47" s="12">
        <v>1</v>
      </c>
      <c r="DW47" s="12"/>
      <c r="DX47" s="12"/>
      <c r="DY47" s="12"/>
      <c r="DZ47" s="12"/>
    </row>
    <row r="48" spans="2:130" outlineLevel="1">
      <c r="B48" t="s">
        <v>28</v>
      </c>
      <c r="C48" t="s">
        <v>151</v>
      </c>
      <c r="E48" s="11"/>
      <c r="F48" t="s">
        <v>114</v>
      </c>
      <c r="G48" s="12">
        <v>0.1</v>
      </c>
      <c r="I48" s="11">
        <f t="shared" si="2"/>
        <v>0</v>
      </c>
      <c r="J48" s="13" cm="1">
        <f t="array" ref="J48">MAX(IF($N$3:$FC$3=$J$3,N48:FC48))</f>
        <v>0</v>
      </c>
      <c r="K48" s="13" cm="1">
        <f t="array" ref="K48">MAX(IF($N$3:$FC$3=$J$3,N48:FC48))</f>
        <v>0</v>
      </c>
      <c r="L48" s="11"/>
      <c r="O48" s="12"/>
      <c r="P48" s="12"/>
      <c r="Q48" s="12"/>
      <c r="R48" s="12"/>
      <c r="V48" s="12"/>
      <c r="W48" s="12"/>
      <c r="X48" s="12"/>
      <c r="Y48" s="12"/>
      <c r="AC48" s="12"/>
      <c r="AD48" s="12">
        <v>0.5</v>
      </c>
      <c r="AE48" s="12"/>
      <c r="AF48" s="12">
        <v>0.5</v>
      </c>
      <c r="AJ48" s="12"/>
      <c r="AK48" s="12">
        <v>0.8</v>
      </c>
      <c r="AL48" s="12"/>
      <c r="AM48" s="12">
        <v>0.8</v>
      </c>
      <c r="AQ48" s="12"/>
      <c r="AR48" s="12">
        <v>1</v>
      </c>
      <c r="AS48" s="12"/>
      <c r="AT48" s="12">
        <v>1</v>
      </c>
      <c r="AX48" s="12"/>
      <c r="AY48" s="12">
        <v>1</v>
      </c>
      <c r="AZ48" s="12"/>
      <c r="BA48" s="12">
        <v>1</v>
      </c>
      <c r="BE48" s="12"/>
      <c r="BF48" s="12">
        <v>1</v>
      </c>
      <c r="BG48" s="12"/>
      <c r="BH48" s="12">
        <v>1</v>
      </c>
      <c r="BL48" s="12"/>
      <c r="BM48" s="12">
        <v>1</v>
      </c>
      <c r="BN48" s="12"/>
      <c r="BO48" s="12">
        <v>1</v>
      </c>
      <c r="BS48" s="12"/>
      <c r="BT48" s="12">
        <v>1</v>
      </c>
      <c r="BU48" s="12"/>
      <c r="BV48" s="12">
        <v>1</v>
      </c>
      <c r="BZ48" s="12"/>
      <c r="CA48" s="12">
        <v>1</v>
      </c>
      <c r="CB48" s="12"/>
      <c r="CC48" s="12">
        <v>1</v>
      </c>
      <c r="CG48" s="12"/>
      <c r="CH48" s="12">
        <v>1</v>
      </c>
      <c r="CI48" s="12"/>
      <c r="CJ48" s="12">
        <v>1</v>
      </c>
      <c r="CN48" s="12"/>
      <c r="CO48" s="12">
        <v>1</v>
      </c>
      <c r="CP48" s="12"/>
      <c r="CQ48" s="12">
        <v>1</v>
      </c>
      <c r="CU48" s="12"/>
      <c r="CV48" s="12">
        <v>1</v>
      </c>
      <c r="CW48" s="12"/>
      <c r="CX48" s="12">
        <v>1</v>
      </c>
      <c r="DB48" s="12"/>
      <c r="DC48" s="12">
        <v>1</v>
      </c>
      <c r="DD48" s="12"/>
      <c r="DE48" s="12">
        <v>1</v>
      </c>
      <c r="DI48" s="12"/>
      <c r="DJ48" s="12">
        <v>1</v>
      </c>
      <c r="DK48" s="12"/>
      <c r="DL48" s="12">
        <v>1</v>
      </c>
      <c r="DP48" s="12"/>
      <c r="DQ48" s="12">
        <v>1</v>
      </c>
      <c r="DR48" s="12"/>
      <c r="DS48" s="12">
        <v>1</v>
      </c>
      <c r="DW48" s="12"/>
      <c r="DX48" s="12"/>
      <c r="DY48" s="12"/>
      <c r="DZ48" s="12"/>
    </row>
    <row r="49" spans="2:130" outlineLevel="1">
      <c r="B49" t="s">
        <v>28</v>
      </c>
      <c r="C49" t="s">
        <v>151</v>
      </c>
      <c r="E49" s="11"/>
      <c r="F49" t="s">
        <v>115</v>
      </c>
      <c r="G49" s="12">
        <v>0.1</v>
      </c>
      <c r="I49" s="11">
        <f t="shared" si="2"/>
        <v>0</v>
      </c>
      <c r="J49" s="13" cm="1">
        <f t="array" ref="J49">MAX(IF($N$3:$FC$3=$J$3,N49:FC49))</f>
        <v>0</v>
      </c>
      <c r="K49" s="13" cm="1">
        <f t="array" ref="K49">MAX(IF($N$3:$FC$3=$J$3,N49:FC49))</f>
        <v>0</v>
      </c>
      <c r="L49" s="11"/>
      <c r="O49" s="12"/>
      <c r="P49" s="12"/>
      <c r="Q49" s="12"/>
      <c r="R49" s="12"/>
      <c r="V49" s="12"/>
      <c r="W49" s="12"/>
      <c r="X49" s="12"/>
      <c r="Y49" s="12"/>
      <c r="AC49" s="12"/>
      <c r="AD49" s="12"/>
      <c r="AE49" s="12"/>
      <c r="AF49" s="12"/>
      <c r="AJ49" s="12"/>
      <c r="AK49" s="12">
        <v>0.5</v>
      </c>
      <c r="AL49" s="12"/>
      <c r="AM49" s="12">
        <v>0.5</v>
      </c>
      <c r="AQ49" s="12"/>
      <c r="AR49" s="12">
        <v>0.8</v>
      </c>
      <c r="AS49" s="12"/>
      <c r="AT49" s="12">
        <v>0.8</v>
      </c>
      <c r="AX49" s="12"/>
      <c r="AY49" s="12">
        <v>1</v>
      </c>
      <c r="AZ49" s="12"/>
      <c r="BA49" s="12">
        <v>1</v>
      </c>
      <c r="BE49" s="12"/>
      <c r="BF49" s="12">
        <v>1</v>
      </c>
      <c r="BG49" s="12"/>
      <c r="BH49" s="12">
        <v>1</v>
      </c>
      <c r="BL49" s="12"/>
      <c r="BM49" s="12">
        <v>1</v>
      </c>
      <c r="BN49" s="12"/>
      <c r="BO49" s="12">
        <v>1</v>
      </c>
      <c r="BS49" s="12"/>
      <c r="BT49" s="12">
        <v>1</v>
      </c>
      <c r="BU49" s="12"/>
      <c r="BV49" s="12">
        <v>1</v>
      </c>
      <c r="BZ49" s="12"/>
      <c r="CA49" s="12">
        <v>1</v>
      </c>
      <c r="CB49" s="12"/>
      <c r="CC49" s="12">
        <v>1</v>
      </c>
      <c r="CG49" s="12"/>
      <c r="CH49" s="12">
        <v>1</v>
      </c>
      <c r="CI49" s="12"/>
      <c r="CJ49" s="12">
        <v>1</v>
      </c>
      <c r="CN49" s="12"/>
      <c r="CO49" s="12">
        <v>1</v>
      </c>
      <c r="CP49" s="12"/>
      <c r="CQ49" s="12">
        <v>1</v>
      </c>
      <c r="CU49" s="12"/>
      <c r="CV49" s="12">
        <v>1</v>
      </c>
      <c r="CW49" s="12"/>
      <c r="CX49" s="12">
        <v>1</v>
      </c>
      <c r="DB49" s="12"/>
      <c r="DC49" s="12">
        <v>1</v>
      </c>
      <c r="DD49" s="12"/>
      <c r="DE49" s="12">
        <v>1</v>
      </c>
      <c r="DI49" s="12"/>
      <c r="DJ49" s="12">
        <v>1</v>
      </c>
      <c r="DK49" s="12"/>
      <c r="DL49" s="12">
        <v>1</v>
      </c>
      <c r="DP49" s="12"/>
      <c r="DQ49" s="12">
        <v>1</v>
      </c>
      <c r="DR49" s="12"/>
      <c r="DS49" s="12">
        <v>1</v>
      </c>
      <c r="DW49" s="12"/>
      <c r="DX49" s="12"/>
      <c r="DY49" s="12"/>
      <c r="DZ49" s="12"/>
    </row>
    <row r="50" spans="2:130" outlineLevel="1">
      <c r="B50" t="s">
        <v>28</v>
      </c>
      <c r="C50" t="s">
        <v>151</v>
      </c>
      <c r="E50" s="11"/>
      <c r="F50" t="s">
        <v>116</v>
      </c>
      <c r="G50" s="12">
        <v>0.1</v>
      </c>
      <c r="I50" s="11">
        <f t="shared" si="2"/>
        <v>0</v>
      </c>
      <c r="J50" s="13" cm="1">
        <f t="array" ref="J50">MAX(IF($N$3:$FC$3=$J$3,N50:FC50))</f>
        <v>0</v>
      </c>
      <c r="K50" s="13" cm="1">
        <f t="array" ref="K50">MAX(IF($N$3:$FC$3=$J$3,N50:FC50))</f>
        <v>0</v>
      </c>
      <c r="L50" s="11"/>
      <c r="O50" s="12"/>
      <c r="P50" s="12"/>
      <c r="Q50" s="12"/>
      <c r="R50" s="12"/>
      <c r="V50" s="12"/>
      <c r="W50" s="12"/>
      <c r="X50" s="12"/>
      <c r="Y50" s="12"/>
      <c r="AC50" s="12"/>
      <c r="AD50" s="12"/>
      <c r="AE50" s="12"/>
      <c r="AF50" s="12"/>
      <c r="AJ50" s="12"/>
      <c r="AK50" s="12"/>
      <c r="AL50" s="12"/>
      <c r="AM50" s="12"/>
      <c r="AQ50" s="12"/>
      <c r="AR50" s="12">
        <v>0.5</v>
      </c>
      <c r="AS50" s="12"/>
      <c r="AT50" s="12">
        <v>0.5</v>
      </c>
      <c r="AX50" s="12"/>
      <c r="AY50" s="12">
        <v>0.8</v>
      </c>
      <c r="AZ50" s="12"/>
      <c r="BA50" s="12">
        <v>0.8</v>
      </c>
      <c r="BE50" s="12"/>
      <c r="BF50" s="12">
        <v>1</v>
      </c>
      <c r="BG50" s="12"/>
      <c r="BH50" s="12">
        <v>1</v>
      </c>
      <c r="BL50" s="12"/>
      <c r="BM50" s="12">
        <v>1</v>
      </c>
      <c r="BN50" s="12"/>
      <c r="BO50" s="12">
        <v>1</v>
      </c>
      <c r="BS50" s="12"/>
      <c r="BT50" s="12">
        <v>1</v>
      </c>
      <c r="BU50" s="12"/>
      <c r="BV50" s="12">
        <v>1</v>
      </c>
      <c r="BZ50" s="12"/>
      <c r="CA50" s="12">
        <v>1</v>
      </c>
      <c r="CB50" s="12"/>
      <c r="CC50" s="12">
        <v>1</v>
      </c>
      <c r="CG50" s="12"/>
      <c r="CH50" s="12">
        <v>1</v>
      </c>
      <c r="CI50" s="12"/>
      <c r="CJ50" s="12">
        <v>1</v>
      </c>
      <c r="CN50" s="12"/>
      <c r="CO50" s="12">
        <v>1</v>
      </c>
      <c r="CP50" s="12"/>
      <c r="CQ50" s="12">
        <v>1</v>
      </c>
      <c r="CU50" s="12"/>
      <c r="CV50" s="12">
        <v>1</v>
      </c>
      <c r="CW50" s="12"/>
      <c r="CX50" s="12">
        <v>1</v>
      </c>
      <c r="DB50" s="12"/>
      <c r="DC50" s="12">
        <v>1</v>
      </c>
      <c r="DD50" s="12"/>
      <c r="DE50" s="12">
        <v>1</v>
      </c>
      <c r="DI50" s="12"/>
      <c r="DJ50" s="12">
        <v>1</v>
      </c>
      <c r="DK50" s="12"/>
      <c r="DL50" s="12">
        <v>1</v>
      </c>
      <c r="DP50" s="12"/>
      <c r="DQ50" s="12">
        <v>1</v>
      </c>
      <c r="DR50" s="12"/>
      <c r="DS50" s="12">
        <v>1</v>
      </c>
      <c r="DW50" s="12"/>
      <c r="DX50" s="12"/>
      <c r="DY50" s="12"/>
      <c r="DZ50" s="12"/>
    </row>
    <row r="51" spans="2:130" outlineLevel="1">
      <c r="B51" t="s">
        <v>28</v>
      </c>
      <c r="C51" t="s">
        <v>151</v>
      </c>
      <c r="E51" s="11"/>
      <c r="F51" t="s">
        <v>118</v>
      </c>
      <c r="G51" s="12">
        <v>0.1</v>
      </c>
      <c r="I51" s="11">
        <f t="shared" si="2"/>
        <v>0</v>
      </c>
      <c r="J51" s="13" cm="1">
        <f t="array" ref="J51">MAX(IF($N$3:$FC$3=$J$3,N51:FC51))</f>
        <v>0</v>
      </c>
      <c r="K51" s="13" cm="1">
        <f t="array" ref="K51">MAX(IF($N$3:$FC$3=$J$3,N51:FC51))</f>
        <v>0</v>
      </c>
      <c r="L51" s="11"/>
      <c r="O51" s="12"/>
      <c r="P51" s="12"/>
      <c r="Q51" s="12"/>
      <c r="R51" s="12"/>
      <c r="V51" s="12"/>
      <c r="W51" s="12"/>
      <c r="X51" s="12"/>
      <c r="Y51" s="12"/>
      <c r="AC51" s="12"/>
      <c r="AD51" s="12"/>
      <c r="AE51" s="12"/>
      <c r="AF51" s="12"/>
      <c r="AJ51" s="12"/>
      <c r="AK51" s="12"/>
      <c r="AL51" s="12"/>
      <c r="AM51" s="12"/>
      <c r="AQ51" s="12"/>
      <c r="AR51" s="12"/>
      <c r="AS51" s="12"/>
      <c r="AT51" s="12"/>
      <c r="AX51" s="12"/>
      <c r="AY51" s="12">
        <v>0.5</v>
      </c>
      <c r="AZ51" s="12"/>
      <c r="BA51" s="12">
        <v>0.5</v>
      </c>
      <c r="BE51" s="12"/>
      <c r="BF51" s="12">
        <v>0.8</v>
      </c>
      <c r="BG51" s="12"/>
      <c r="BH51" s="12">
        <v>0.8</v>
      </c>
      <c r="BL51" s="12"/>
      <c r="BM51" s="12">
        <v>1</v>
      </c>
      <c r="BN51" s="12"/>
      <c r="BO51" s="12">
        <v>1</v>
      </c>
      <c r="BS51" s="12"/>
      <c r="BT51" s="12">
        <v>1</v>
      </c>
      <c r="BU51" s="12"/>
      <c r="BV51" s="12">
        <v>1</v>
      </c>
      <c r="BZ51" s="12"/>
      <c r="CA51" s="12">
        <v>1</v>
      </c>
      <c r="CB51" s="12"/>
      <c r="CC51" s="12">
        <v>1</v>
      </c>
      <c r="CG51" s="12"/>
      <c r="CH51" s="12">
        <v>1</v>
      </c>
      <c r="CI51" s="12"/>
      <c r="CJ51" s="12">
        <v>1</v>
      </c>
      <c r="CN51" s="12"/>
      <c r="CO51" s="12">
        <v>1</v>
      </c>
      <c r="CP51" s="12"/>
      <c r="CQ51" s="12">
        <v>1</v>
      </c>
      <c r="CU51" s="12"/>
      <c r="CV51" s="12">
        <v>1</v>
      </c>
      <c r="CW51" s="12"/>
      <c r="CX51" s="12">
        <v>1</v>
      </c>
      <c r="DB51" s="12"/>
      <c r="DC51" s="12">
        <v>1</v>
      </c>
      <c r="DD51" s="12"/>
      <c r="DE51" s="12">
        <v>1</v>
      </c>
      <c r="DI51" s="12"/>
      <c r="DJ51" s="12">
        <v>1</v>
      </c>
      <c r="DK51" s="12"/>
      <c r="DL51" s="12">
        <v>1</v>
      </c>
      <c r="DP51" s="12"/>
      <c r="DQ51" s="12">
        <v>1</v>
      </c>
      <c r="DR51" s="12"/>
      <c r="DS51" s="12">
        <v>1</v>
      </c>
      <c r="DW51" s="12"/>
      <c r="DX51" s="12"/>
      <c r="DY51" s="12"/>
      <c r="DZ51" s="12"/>
    </row>
    <row r="52" spans="2:130" outlineLevel="1">
      <c r="B52" t="s">
        <v>28</v>
      </c>
      <c r="C52" t="s">
        <v>151</v>
      </c>
      <c r="E52" s="11"/>
      <c r="F52" t="s">
        <v>119</v>
      </c>
      <c r="G52" s="12">
        <v>0.1</v>
      </c>
      <c r="I52" s="11">
        <f t="shared" si="2"/>
        <v>0</v>
      </c>
      <c r="J52" s="13" cm="1">
        <f t="array" ref="J52">MAX(IF($N$3:$FC$3=$J$3,N52:FC52))</f>
        <v>0</v>
      </c>
      <c r="K52" s="13" cm="1">
        <f t="array" ref="K52">MAX(IF($N$3:$FC$3=$J$3,N52:FC52))</f>
        <v>0</v>
      </c>
      <c r="L52" s="11"/>
      <c r="O52" s="12"/>
      <c r="P52" s="12"/>
      <c r="Q52" s="12"/>
      <c r="R52" s="12"/>
      <c r="V52" s="12"/>
      <c r="W52" s="12"/>
      <c r="X52" s="12"/>
      <c r="Y52" s="12"/>
      <c r="AC52" s="12"/>
      <c r="AD52" s="12"/>
      <c r="AE52" s="12"/>
      <c r="AF52" s="12"/>
      <c r="AJ52" s="12"/>
      <c r="AK52" s="12"/>
      <c r="AL52" s="12"/>
      <c r="AM52" s="12"/>
      <c r="AQ52" s="12"/>
      <c r="AR52" s="12"/>
      <c r="AS52" s="12"/>
      <c r="AT52" s="12"/>
      <c r="AX52" s="12"/>
      <c r="AY52" s="12">
        <v>0.5</v>
      </c>
      <c r="AZ52" s="12"/>
      <c r="BA52" s="12">
        <v>0.5</v>
      </c>
      <c r="BE52" s="12"/>
      <c r="BF52" s="12">
        <v>0.8</v>
      </c>
      <c r="BG52" s="12"/>
      <c r="BH52" s="12">
        <v>0.8</v>
      </c>
      <c r="BL52" s="12"/>
      <c r="BM52" s="12">
        <v>0.8</v>
      </c>
      <c r="BN52" s="12"/>
      <c r="BO52" s="12">
        <v>0.8</v>
      </c>
      <c r="BS52" s="12"/>
      <c r="BT52" s="12">
        <v>1</v>
      </c>
      <c r="BU52" s="12"/>
      <c r="BV52" s="12">
        <v>1</v>
      </c>
      <c r="BZ52" s="12"/>
      <c r="CA52" s="12">
        <v>1</v>
      </c>
      <c r="CB52" s="12"/>
      <c r="CC52" s="12">
        <v>1</v>
      </c>
      <c r="CG52" s="12"/>
      <c r="CH52" s="12">
        <v>1</v>
      </c>
      <c r="CI52" s="12"/>
      <c r="CJ52" s="12">
        <v>1</v>
      </c>
      <c r="CN52" s="12"/>
      <c r="CO52" s="12">
        <v>1</v>
      </c>
      <c r="CP52" s="12"/>
      <c r="CQ52" s="12">
        <v>1</v>
      </c>
      <c r="CU52" s="12"/>
      <c r="CV52" s="12">
        <v>1</v>
      </c>
      <c r="CW52" s="12"/>
      <c r="CX52" s="12">
        <v>1</v>
      </c>
      <c r="DB52" s="12"/>
      <c r="DC52" s="12">
        <v>1</v>
      </c>
      <c r="DD52" s="12"/>
      <c r="DE52" s="12">
        <v>1</v>
      </c>
      <c r="DI52" s="12"/>
      <c r="DJ52" s="12">
        <v>1</v>
      </c>
      <c r="DK52" s="12"/>
      <c r="DL52" s="12">
        <v>1</v>
      </c>
      <c r="DP52" s="12"/>
      <c r="DQ52" s="12">
        <v>1</v>
      </c>
      <c r="DR52" s="12"/>
      <c r="DS52" s="12">
        <v>1</v>
      </c>
      <c r="DW52" s="12"/>
      <c r="DX52" s="12"/>
      <c r="DY52" s="12"/>
      <c r="DZ52" s="12"/>
    </row>
    <row r="53" spans="2:130" outlineLevel="1">
      <c r="B53" t="s">
        <v>28</v>
      </c>
      <c r="C53" t="s">
        <v>151</v>
      </c>
      <c r="E53" s="11"/>
      <c r="F53" t="s">
        <v>120</v>
      </c>
      <c r="G53" s="12">
        <v>0.1</v>
      </c>
      <c r="I53" s="11">
        <f t="shared" si="2"/>
        <v>0</v>
      </c>
      <c r="J53" s="13" cm="1">
        <f t="array" ref="J53">MAX(IF($N$3:$FC$3=$J$3,N53:FC53))</f>
        <v>0</v>
      </c>
      <c r="K53" s="13" cm="1">
        <f t="array" ref="K53">MAX(IF($N$3:$FC$3=$J$3,N53:FC53))</f>
        <v>0</v>
      </c>
      <c r="L53" s="11"/>
      <c r="O53" s="12"/>
      <c r="P53" s="12"/>
      <c r="Q53" s="12"/>
      <c r="R53" s="12"/>
      <c r="V53" s="12"/>
      <c r="W53" s="12"/>
      <c r="X53" s="12"/>
      <c r="Y53" s="12"/>
      <c r="AC53" s="12"/>
      <c r="AD53" s="12"/>
      <c r="AE53" s="12"/>
      <c r="AF53" s="12"/>
      <c r="AJ53" s="12"/>
      <c r="AK53" s="12"/>
      <c r="AL53" s="12"/>
      <c r="AM53" s="12"/>
      <c r="AQ53" s="12"/>
      <c r="AR53" s="12"/>
      <c r="AS53" s="12"/>
      <c r="AT53" s="12"/>
      <c r="AU53">
        <v>3</v>
      </c>
      <c r="AX53" s="12"/>
      <c r="AY53" s="12"/>
      <c r="AZ53" s="12"/>
      <c r="BA53" s="12"/>
      <c r="BE53" s="12"/>
      <c r="BF53" s="12">
        <v>0.5</v>
      </c>
      <c r="BG53" s="12"/>
      <c r="BH53" s="12">
        <v>0.5</v>
      </c>
      <c r="BL53" s="12"/>
      <c r="BM53" s="12">
        <v>0.8</v>
      </c>
      <c r="BN53" s="12"/>
      <c r="BO53" s="12">
        <v>0.8</v>
      </c>
      <c r="BS53" s="12"/>
      <c r="BT53" s="12">
        <v>0.8</v>
      </c>
      <c r="BU53" s="12"/>
      <c r="BV53" s="12">
        <v>0.8</v>
      </c>
      <c r="BZ53" s="12"/>
      <c r="CA53" s="12">
        <v>0.8</v>
      </c>
      <c r="CB53" s="12"/>
      <c r="CC53" s="12">
        <v>0.8</v>
      </c>
      <c r="CG53" s="12"/>
      <c r="CH53" s="12">
        <v>1</v>
      </c>
      <c r="CI53" s="12"/>
      <c r="CJ53" s="12">
        <v>1</v>
      </c>
      <c r="CN53" s="12"/>
      <c r="CO53" s="12">
        <v>1</v>
      </c>
      <c r="CP53" s="12"/>
      <c r="CQ53" s="12">
        <v>1</v>
      </c>
      <c r="CU53" s="12"/>
      <c r="CV53" s="12">
        <v>1</v>
      </c>
      <c r="CW53" s="12"/>
      <c r="CX53" s="12">
        <v>1</v>
      </c>
      <c r="DB53" s="12"/>
      <c r="DC53" s="12">
        <v>1</v>
      </c>
      <c r="DD53" s="12"/>
      <c r="DE53" s="12">
        <v>1</v>
      </c>
      <c r="DI53" s="12"/>
      <c r="DJ53" s="12">
        <v>1</v>
      </c>
      <c r="DK53" s="12"/>
      <c r="DL53" s="12">
        <v>1</v>
      </c>
      <c r="DP53" s="12"/>
      <c r="DQ53" s="12">
        <v>1</v>
      </c>
      <c r="DR53" s="12"/>
      <c r="DS53" s="12">
        <v>1</v>
      </c>
      <c r="DW53" s="12"/>
      <c r="DX53" s="12"/>
      <c r="DY53" s="12"/>
      <c r="DZ53" s="12"/>
    </row>
    <row r="54" spans="2:130" outlineLevel="1">
      <c r="B54" t="s">
        <v>28</v>
      </c>
      <c r="C54" t="s">
        <v>151</v>
      </c>
      <c r="E54" s="11"/>
      <c r="F54" t="s">
        <v>121</v>
      </c>
      <c r="G54" s="12">
        <v>0.1</v>
      </c>
      <c r="I54" s="11">
        <f t="shared" si="2"/>
        <v>0</v>
      </c>
      <c r="J54" s="13" cm="1">
        <f t="array" ref="J54">MAX(IF($N$3:$FC$3=$J$3,N54:FC54))</f>
        <v>0</v>
      </c>
      <c r="K54" s="13" cm="1">
        <f t="array" ref="K54">MAX(IF($N$3:$FC$3=$J$3,N54:FC54))</f>
        <v>0</v>
      </c>
      <c r="L54" s="11"/>
      <c r="O54" s="12"/>
      <c r="P54" s="12"/>
      <c r="Q54" s="12"/>
      <c r="R54" s="12"/>
      <c r="V54" s="12"/>
      <c r="W54" s="12"/>
      <c r="X54" s="12"/>
      <c r="Y54" s="12"/>
      <c r="AC54" s="12"/>
      <c r="AD54" s="12"/>
      <c r="AE54" s="12"/>
      <c r="AF54" s="12"/>
      <c r="AJ54" s="12"/>
      <c r="AK54" s="12"/>
      <c r="AL54" s="12"/>
      <c r="AM54" s="12"/>
      <c r="AQ54" s="12"/>
      <c r="AR54" s="12"/>
      <c r="AS54" s="12"/>
      <c r="AT54" s="12"/>
      <c r="AX54" s="12"/>
      <c r="AY54" s="12"/>
      <c r="AZ54" s="12"/>
      <c r="BA54" s="12"/>
      <c r="BB54">
        <v>4</v>
      </c>
      <c r="BE54" s="12"/>
      <c r="BF54" s="12">
        <v>0.5</v>
      </c>
      <c r="BG54" s="12"/>
      <c r="BH54" s="12">
        <v>0.5</v>
      </c>
      <c r="BL54" s="12"/>
      <c r="BM54" s="12">
        <v>0.5</v>
      </c>
      <c r="BN54" s="12"/>
      <c r="BO54" s="12">
        <v>0.5</v>
      </c>
      <c r="BS54" s="12"/>
      <c r="BT54" s="12">
        <v>0.8</v>
      </c>
      <c r="BU54" s="12"/>
      <c r="BV54" s="12">
        <v>0.8</v>
      </c>
      <c r="BZ54" s="12"/>
      <c r="CA54" s="12">
        <v>0.8</v>
      </c>
      <c r="CB54" s="12"/>
      <c r="CC54" s="12">
        <v>0.8</v>
      </c>
      <c r="CG54" s="12"/>
      <c r="CH54" s="12">
        <v>1</v>
      </c>
      <c r="CI54" s="12"/>
      <c r="CJ54" s="12">
        <v>1</v>
      </c>
      <c r="CN54" s="12"/>
      <c r="CO54" s="12">
        <v>1</v>
      </c>
      <c r="CP54" s="12"/>
      <c r="CQ54" s="12">
        <v>1</v>
      </c>
      <c r="CU54" s="12"/>
      <c r="CV54" s="12">
        <v>1</v>
      </c>
      <c r="CW54" s="12"/>
      <c r="CX54" s="12">
        <v>1</v>
      </c>
      <c r="DB54" s="12"/>
      <c r="DC54" s="12">
        <v>1</v>
      </c>
      <c r="DD54" s="12"/>
      <c r="DE54" s="12">
        <v>1</v>
      </c>
      <c r="DI54" s="12"/>
      <c r="DJ54" s="12">
        <v>1</v>
      </c>
      <c r="DK54" s="12"/>
      <c r="DL54" s="12">
        <v>1</v>
      </c>
      <c r="DP54" s="12"/>
      <c r="DQ54" s="12">
        <v>1</v>
      </c>
      <c r="DR54" s="12"/>
      <c r="DS54" s="12">
        <v>1</v>
      </c>
      <c r="DW54" s="12"/>
      <c r="DX54" s="12"/>
      <c r="DY54" s="12"/>
      <c r="DZ54" s="12"/>
    </row>
    <row r="55" spans="2:130" outlineLevel="1">
      <c r="B55" t="s">
        <v>28</v>
      </c>
      <c r="C55" t="s">
        <v>151</v>
      </c>
      <c r="E55" s="11"/>
      <c r="F55" t="s">
        <v>117</v>
      </c>
      <c r="G55" s="12">
        <v>0.1</v>
      </c>
      <c r="I55" s="11">
        <f t="shared" si="2"/>
        <v>0</v>
      </c>
      <c r="J55" s="13" cm="1">
        <f t="array" ref="J55">MAX(IF($N$3:$FC$3=$J$3,N55:FC55))</f>
        <v>0</v>
      </c>
      <c r="K55" s="13" cm="1">
        <f t="array" ref="K55">MAX(IF($N$3:$FC$3=$J$3,N55:FC55))</f>
        <v>0</v>
      </c>
      <c r="L55" s="11"/>
      <c r="O55" s="12"/>
      <c r="P55" s="12"/>
      <c r="Q55" s="12"/>
      <c r="R55" s="12"/>
      <c r="V55" s="12"/>
      <c r="W55" s="12"/>
      <c r="X55" s="12"/>
      <c r="Y55" s="12"/>
      <c r="AC55" s="12"/>
      <c r="AD55" s="12"/>
      <c r="AE55" s="12"/>
      <c r="AF55" s="12"/>
      <c r="AJ55" s="12"/>
      <c r="AK55" s="12"/>
      <c r="AL55" s="12"/>
      <c r="AM55" s="12"/>
      <c r="AQ55" s="12"/>
      <c r="AR55" s="12"/>
      <c r="AS55" s="12"/>
      <c r="AT55" s="12"/>
      <c r="AX55" s="12"/>
      <c r="AY55" s="12"/>
      <c r="AZ55" s="12"/>
      <c r="BA55" s="12"/>
      <c r="BE55" s="12"/>
      <c r="BF55" s="12"/>
      <c r="BG55" s="12"/>
      <c r="BH55" s="12"/>
      <c r="BI55">
        <v>3</v>
      </c>
      <c r="BL55" s="12"/>
      <c r="BM55" s="12">
        <v>0.5</v>
      </c>
      <c r="BN55" s="12"/>
      <c r="BO55" s="12">
        <v>0.5</v>
      </c>
      <c r="BS55" s="12"/>
      <c r="BT55" s="12">
        <v>0.8</v>
      </c>
      <c r="BU55" s="12"/>
      <c r="BV55" s="12">
        <v>0.8</v>
      </c>
      <c r="BZ55" s="12"/>
      <c r="CA55" s="12">
        <v>0.8</v>
      </c>
      <c r="CB55" s="12"/>
      <c r="CC55" s="12">
        <v>0.8</v>
      </c>
      <c r="CG55" s="12"/>
      <c r="CH55" s="12">
        <v>0.8</v>
      </c>
      <c r="CI55" s="12"/>
      <c r="CJ55" s="12">
        <v>0.8</v>
      </c>
      <c r="CN55" s="12"/>
      <c r="CO55" s="12">
        <v>1</v>
      </c>
      <c r="CP55" s="12"/>
      <c r="CQ55" s="12">
        <v>1</v>
      </c>
      <c r="CU55" s="12"/>
      <c r="CV55" s="12">
        <v>1</v>
      </c>
      <c r="CW55" s="12"/>
      <c r="CX55" s="12">
        <v>1</v>
      </c>
      <c r="DB55" s="12"/>
      <c r="DC55" s="12">
        <v>1</v>
      </c>
      <c r="DD55" s="12"/>
      <c r="DE55" s="12">
        <v>1</v>
      </c>
      <c r="DI55" s="12"/>
      <c r="DJ55" s="12">
        <v>1</v>
      </c>
      <c r="DK55" s="12"/>
      <c r="DL55" s="12">
        <v>1</v>
      </c>
      <c r="DP55" s="12"/>
      <c r="DQ55" s="12">
        <v>1</v>
      </c>
      <c r="DR55" s="12"/>
      <c r="DS55" s="12">
        <v>1</v>
      </c>
      <c r="DW55" s="12"/>
      <c r="DX55" s="12"/>
      <c r="DY55" s="12"/>
      <c r="DZ55" s="12"/>
    </row>
    <row r="56" spans="2:130" outlineLevel="1">
      <c r="B56" t="s">
        <v>28</v>
      </c>
      <c r="C56" t="s">
        <v>151</v>
      </c>
      <c r="E56" s="11"/>
      <c r="F56" t="s">
        <v>122</v>
      </c>
      <c r="G56" s="12">
        <v>0.1</v>
      </c>
      <c r="I56" s="11">
        <f t="shared" si="2"/>
        <v>0</v>
      </c>
      <c r="J56" s="13" cm="1">
        <f t="array" ref="J56">MAX(IF($N$3:$FC$3=$J$3,N56:FC56))</f>
        <v>0</v>
      </c>
      <c r="K56" s="13" cm="1">
        <f t="array" ref="K56">MAX(IF($N$3:$FC$3=$J$3,N56:FC56))</f>
        <v>0</v>
      </c>
      <c r="L56" s="11"/>
      <c r="O56" s="12"/>
      <c r="P56" s="12"/>
      <c r="Q56" s="12"/>
      <c r="R56" s="12"/>
      <c r="V56" s="12"/>
      <c r="W56" s="12"/>
      <c r="X56" s="12"/>
      <c r="Y56" s="12"/>
      <c r="AC56" s="12"/>
      <c r="AD56" s="12"/>
      <c r="AE56" s="12"/>
      <c r="AF56" s="12"/>
      <c r="AJ56" s="12"/>
      <c r="AK56" s="12"/>
      <c r="AL56" s="12"/>
      <c r="AM56" s="12"/>
      <c r="AQ56" s="12"/>
      <c r="AR56" s="12"/>
      <c r="AS56" s="12"/>
      <c r="AT56" s="12"/>
      <c r="AX56" s="12"/>
      <c r="AY56" s="12"/>
      <c r="AZ56" s="12"/>
      <c r="BA56" s="12"/>
      <c r="BE56" s="12"/>
      <c r="BF56" s="12"/>
      <c r="BG56" s="12"/>
      <c r="BH56" s="12"/>
      <c r="BL56" s="12"/>
      <c r="BM56" s="12"/>
      <c r="BN56" s="12"/>
      <c r="BO56" s="12"/>
      <c r="BP56">
        <v>4</v>
      </c>
      <c r="BS56" s="12"/>
      <c r="BT56" s="12">
        <v>0.5</v>
      </c>
      <c r="BU56" s="12"/>
      <c r="BV56" s="12">
        <v>0.5</v>
      </c>
      <c r="BZ56" s="12"/>
      <c r="CA56" s="12">
        <v>0.8</v>
      </c>
      <c r="CB56" s="12"/>
      <c r="CC56" s="12">
        <v>0.8</v>
      </c>
      <c r="CG56" s="12"/>
      <c r="CH56" s="12">
        <v>0.8</v>
      </c>
      <c r="CI56" s="12"/>
      <c r="CJ56" s="12">
        <v>0.8</v>
      </c>
      <c r="CN56" s="12"/>
      <c r="CO56" s="12">
        <v>0.8</v>
      </c>
      <c r="CP56" s="12"/>
      <c r="CQ56" s="12">
        <v>0.8</v>
      </c>
      <c r="CU56" s="12"/>
      <c r="CV56" s="12">
        <v>1</v>
      </c>
      <c r="CW56" s="12"/>
      <c r="CX56" s="12">
        <v>1</v>
      </c>
      <c r="DB56" s="12"/>
      <c r="DC56" s="12">
        <v>1</v>
      </c>
      <c r="DD56" s="12"/>
      <c r="DE56" s="12">
        <v>1</v>
      </c>
      <c r="DI56" s="12"/>
      <c r="DJ56" s="12">
        <v>1</v>
      </c>
      <c r="DK56" s="12"/>
      <c r="DL56" s="12">
        <v>1</v>
      </c>
      <c r="DP56" s="12"/>
      <c r="DQ56" s="12">
        <v>1</v>
      </c>
      <c r="DR56" s="12"/>
      <c r="DS56" s="12">
        <v>1</v>
      </c>
      <c r="DW56" s="12"/>
      <c r="DX56" s="12"/>
      <c r="DY56" s="12"/>
      <c r="DZ56" s="12"/>
    </row>
    <row r="57" spans="2:130" outlineLevel="1">
      <c r="B57" t="s">
        <v>28</v>
      </c>
      <c r="C57" t="s">
        <v>151</v>
      </c>
      <c r="E57" s="11"/>
      <c r="F57" t="s">
        <v>152</v>
      </c>
      <c r="G57" s="12">
        <v>0.1</v>
      </c>
      <c r="I57" s="11">
        <f t="shared" si="2"/>
        <v>0</v>
      </c>
      <c r="J57" s="13" cm="1">
        <f t="array" ref="J57">MAX(IF($N$3:$FC$3=$J$3,N57:FC57))</f>
        <v>0</v>
      </c>
      <c r="K57" s="13" cm="1">
        <f t="array" ref="K57">MAX(IF($N$3:$FC$3=$J$3,N57:FC57))</f>
        <v>0</v>
      </c>
      <c r="L57" s="11"/>
      <c r="O57" s="12"/>
      <c r="P57" s="12"/>
      <c r="Q57" s="12"/>
      <c r="R57" s="12"/>
      <c r="V57" s="12"/>
      <c r="W57" s="12"/>
      <c r="X57" s="12"/>
      <c r="Y57" s="12"/>
      <c r="AC57" s="12"/>
      <c r="AD57" s="12"/>
      <c r="AE57" s="12"/>
      <c r="AF57" s="12"/>
      <c r="AJ57" s="12"/>
      <c r="AK57" s="12"/>
      <c r="AL57" s="12"/>
      <c r="AM57" s="12"/>
      <c r="AQ57" s="12"/>
      <c r="AR57" s="12"/>
      <c r="AS57" s="12"/>
      <c r="AT57" s="12"/>
      <c r="AX57" s="12"/>
      <c r="AY57" s="12"/>
      <c r="AZ57" s="12"/>
      <c r="BA57" s="12"/>
      <c r="BE57" s="12"/>
      <c r="BF57" s="12"/>
      <c r="BG57" s="12"/>
      <c r="BH57" s="12"/>
      <c r="BL57" s="12"/>
      <c r="BM57" s="12"/>
      <c r="BN57" s="12"/>
      <c r="BO57" s="12"/>
      <c r="BS57" s="12"/>
      <c r="BT57" s="12"/>
      <c r="BU57" s="12"/>
      <c r="BV57" s="12"/>
      <c r="BW57">
        <v>3</v>
      </c>
      <c r="BZ57" s="12"/>
      <c r="CA57" s="12">
        <v>0.5</v>
      </c>
      <c r="CB57" s="12"/>
      <c r="CC57" s="12">
        <v>0.5</v>
      </c>
      <c r="CG57" s="12"/>
      <c r="CH57" s="12">
        <v>0.8</v>
      </c>
      <c r="CI57" s="12"/>
      <c r="CJ57" s="12">
        <v>0.8</v>
      </c>
      <c r="CN57" s="12"/>
      <c r="CO57" s="12">
        <v>0.8</v>
      </c>
      <c r="CP57" s="12"/>
      <c r="CQ57" s="12">
        <v>0.8</v>
      </c>
      <c r="CR57">
        <v>4</v>
      </c>
      <c r="CU57" s="12"/>
      <c r="CV57" s="12">
        <v>1</v>
      </c>
      <c r="CW57" s="12"/>
      <c r="CX57" s="12">
        <v>1</v>
      </c>
      <c r="DB57" s="12"/>
      <c r="DC57" s="12">
        <v>1</v>
      </c>
      <c r="DD57" s="12"/>
      <c r="DE57" s="12">
        <v>1</v>
      </c>
      <c r="DI57" s="12"/>
      <c r="DJ57" s="12">
        <v>1</v>
      </c>
      <c r="DK57" s="12"/>
      <c r="DL57" s="12">
        <v>1</v>
      </c>
      <c r="DP57" s="12"/>
      <c r="DQ57" s="12">
        <v>1</v>
      </c>
      <c r="DR57" s="12"/>
      <c r="DS57" s="12">
        <v>1</v>
      </c>
      <c r="DW57" s="12"/>
      <c r="DX57" s="12"/>
      <c r="DY57" s="12"/>
      <c r="DZ57" s="12"/>
    </row>
    <row r="58" spans="2:130" outlineLevel="1">
      <c r="B58" t="s">
        <v>28</v>
      </c>
      <c r="C58" t="s">
        <v>151</v>
      </c>
      <c r="E58" s="11"/>
      <c r="F58" t="s">
        <v>123</v>
      </c>
      <c r="G58" s="12">
        <v>0.1</v>
      </c>
      <c r="I58" s="11">
        <f t="shared" si="2"/>
        <v>0</v>
      </c>
      <c r="J58" s="13" cm="1">
        <f t="array" ref="J58">MAX(IF($N$3:$FC$3=$J$3,N58:FC58))</f>
        <v>0</v>
      </c>
      <c r="K58" s="13" cm="1">
        <f t="array" ref="K58">MAX(IF($N$3:$FC$3=$J$3,N58:FC58))</f>
        <v>0</v>
      </c>
      <c r="L58" s="11"/>
      <c r="O58" s="12"/>
      <c r="P58" s="12"/>
      <c r="Q58" s="12"/>
      <c r="R58" s="12"/>
      <c r="V58" s="12"/>
      <c r="W58" s="12"/>
      <c r="X58" s="12"/>
      <c r="Y58" s="12"/>
      <c r="AC58" s="12"/>
      <c r="AD58" s="12"/>
      <c r="AE58" s="12"/>
      <c r="AF58" s="12"/>
      <c r="AJ58" s="12"/>
      <c r="AK58" s="12"/>
      <c r="AL58" s="12"/>
      <c r="AM58" s="12"/>
      <c r="AQ58" s="12"/>
      <c r="AR58" s="12"/>
      <c r="AS58" s="12"/>
      <c r="AT58" s="12"/>
      <c r="AX58" s="12"/>
      <c r="AY58" s="12"/>
      <c r="AZ58" s="12"/>
      <c r="BA58" s="12"/>
      <c r="BE58" s="12"/>
      <c r="BF58" s="12"/>
      <c r="BG58" s="12"/>
      <c r="BH58" s="12"/>
      <c r="BL58" s="12"/>
      <c r="BM58" s="12"/>
      <c r="BN58" s="12"/>
      <c r="BO58" s="12"/>
      <c r="BS58" s="12"/>
      <c r="BT58" s="12"/>
      <c r="BU58" s="12"/>
      <c r="BV58" s="12"/>
      <c r="BZ58" s="12"/>
      <c r="CA58" s="12">
        <v>0.5</v>
      </c>
      <c r="CB58" s="12"/>
      <c r="CC58" s="12">
        <v>0.5</v>
      </c>
      <c r="CD58">
        <v>4</v>
      </c>
      <c r="CG58" s="12"/>
      <c r="CH58" s="12">
        <v>0.5</v>
      </c>
      <c r="CI58" s="12"/>
      <c r="CJ58" s="12">
        <v>0.5</v>
      </c>
      <c r="CN58" s="12"/>
      <c r="CO58" s="12">
        <v>0.8</v>
      </c>
      <c r="CP58" s="12"/>
      <c r="CQ58" s="12">
        <v>0.8</v>
      </c>
      <c r="CU58" s="12"/>
      <c r="CV58" s="12">
        <v>1</v>
      </c>
      <c r="CW58" s="12"/>
      <c r="CX58" s="12">
        <v>1</v>
      </c>
      <c r="DB58" s="12"/>
      <c r="DC58" s="12">
        <v>1</v>
      </c>
      <c r="DD58" s="12"/>
      <c r="DE58" s="12">
        <v>1</v>
      </c>
      <c r="DI58" s="12"/>
      <c r="DJ58" s="12">
        <v>1</v>
      </c>
      <c r="DK58" s="12"/>
      <c r="DL58" s="12">
        <v>1</v>
      </c>
      <c r="DP58" s="12"/>
      <c r="DQ58" s="12">
        <v>1</v>
      </c>
      <c r="DR58" s="12"/>
      <c r="DS58" s="12">
        <v>1</v>
      </c>
      <c r="DW58" s="12"/>
      <c r="DX58" s="12"/>
      <c r="DY58" s="12"/>
      <c r="DZ58" s="12"/>
    </row>
    <row r="59" spans="2:130" outlineLevel="1">
      <c r="B59" t="s">
        <v>28</v>
      </c>
      <c r="C59" t="s">
        <v>151</v>
      </c>
      <c r="E59" s="11"/>
      <c r="F59" t="s">
        <v>124</v>
      </c>
      <c r="G59" s="12">
        <v>0.1</v>
      </c>
      <c r="I59" s="11">
        <f t="shared" si="2"/>
        <v>0</v>
      </c>
      <c r="J59" s="13" cm="1">
        <f t="array" ref="J59">MAX(IF($N$3:$FC$3=$J$3,N59:FC59))</f>
        <v>0</v>
      </c>
      <c r="K59" s="13" cm="1">
        <f t="array" ref="K59">MAX(IF($N$3:$FC$3=$J$3,N59:FC59))</f>
        <v>0</v>
      </c>
      <c r="L59" s="11"/>
      <c r="O59" s="12"/>
      <c r="P59" s="12"/>
      <c r="Q59" s="12"/>
      <c r="R59" s="12"/>
      <c r="V59" s="12"/>
      <c r="W59" s="12"/>
      <c r="X59" s="12"/>
      <c r="Y59" s="12"/>
      <c r="AC59" s="12"/>
      <c r="AD59" s="12"/>
      <c r="AE59" s="12"/>
      <c r="AF59" s="12"/>
      <c r="AJ59" s="12"/>
      <c r="AK59" s="12"/>
      <c r="AL59" s="12"/>
      <c r="AM59" s="12"/>
      <c r="AQ59" s="12"/>
      <c r="AR59" s="12"/>
      <c r="AS59" s="12"/>
      <c r="AT59" s="12"/>
      <c r="AX59" s="12"/>
      <c r="AY59" s="12"/>
      <c r="AZ59" s="12"/>
      <c r="BA59" s="12"/>
      <c r="BE59" s="12"/>
      <c r="BF59" s="12"/>
      <c r="BG59" s="12"/>
      <c r="BH59" s="12"/>
      <c r="BL59" s="12"/>
      <c r="BM59" s="12"/>
      <c r="BN59" s="12"/>
      <c r="BO59" s="12"/>
      <c r="BS59" s="12"/>
      <c r="BT59" s="12"/>
      <c r="BU59" s="12"/>
      <c r="BV59" s="12"/>
      <c r="BZ59" s="12"/>
      <c r="CA59" s="12"/>
      <c r="CB59" s="12"/>
      <c r="CC59" s="12"/>
      <c r="CG59" s="12"/>
      <c r="CH59" s="12">
        <v>0.5</v>
      </c>
      <c r="CI59" s="12"/>
      <c r="CJ59" s="12">
        <v>0.5</v>
      </c>
      <c r="CK59">
        <v>3</v>
      </c>
      <c r="CN59" s="12"/>
      <c r="CO59" s="12">
        <v>0.8</v>
      </c>
      <c r="CP59" s="12"/>
      <c r="CQ59" s="12">
        <v>0.8</v>
      </c>
      <c r="CU59" s="12"/>
      <c r="CV59" s="12">
        <v>1</v>
      </c>
      <c r="CW59" s="12"/>
      <c r="CX59" s="12">
        <v>1</v>
      </c>
      <c r="DB59" s="12"/>
      <c r="DC59" s="12">
        <v>1</v>
      </c>
      <c r="DD59" s="12"/>
      <c r="DE59" s="12">
        <v>1</v>
      </c>
      <c r="DI59" s="12"/>
      <c r="DJ59" s="12">
        <v>1</v>
      </c>
      <c r="DK59" s="12"/>
      <c r="DL59" s="12">
        <v>1</v>
      </c>
      <c r="DP59" s="12"/>
      <c r="DQ59" s="12">
        <v>1</v>
      </c>
      <c r="DR59" s="12"/>
      <c r="DS59" s="12">
        <v>1</v>
      </c>
      <c r="DW59" s="12"/>
      <c r="DX59" s="12"/>
      <c r="DY59" s="12"/>
      <c r="DZ59" s="12"/>
    </row>
    <row r="60" spans="2:130">
      <c r="O60" s="9"/>
      <c r="V60" s="9"/>
      <c r="AC60" s="9"/>
      <c r="AJ60" s="9"/>
      <c r="AQ60" s="9"/>
      <c r="AX60" s="9"/>
      <c r="BE60" s="9"/>
      <c r="BL60" s="9"/>
      <c r="BS60" s="9"/>
      <c r="BZ60" s="9"/>
      <c r="CG60" s="9"/>
      <c r="CN60" s="9"/>
      <c r="CU60" s="9"/>
      <c r="DB60" s="9"/>
      <c r="DI60" s="9"/>
      <c r="DP60" s="9"/>
      <c r="DW60" s="9"/>
    </row>
    <row r="61" spans="2:130" hidden="1" outlineLevel="1">
      <c r="E61" s="11"/>
      <c r="G61" s="12"/>
      <c r="I61" s="11"/>
      <c r="J61" s="13"/>
      <c r="K61" s="13"/>
      <c r="L61" s="11"/>
      <c r="O61" s="12"/>
      <c r="P61" s="12"/>
      <c r="Q61" s="12"/>
      <c r="R61" s="12"/>
      <c r="V61" s="12"/>
      <c r="W61" s="12"/>
      <c r="X61" s="12"/>
      <c r="Y61" s="12"/>
      <c r="AC61" s="12"/>
      <c r="AD61" s="12"/>
      <c r="AE61" s="12"/>
      <c r="AF61" s="12"/>
      <c r="AJ61" s="12"/>
      <c r="AK61" s="12"/>
      <c r="AL61" s="12"/>
      <c r="AM61" s="12"/>
      <c r="AQ61" s="12"/>
      <c r="AR61" s="12"/>
      <c r="AS61" s="12"/>
      <c r="AT61" s="12"/>
      <c r="AX61" s="12"/>
      <c r="AY61" s="12"/>
      <c r="AZ61" s="12"/>
      <c r="BA61" s="12"/>
      <c r="BE61" s="12"/>
      <c r="BF61" s="12"/>
      <c r="BG61" s="12"/>
      <c r="BH61" s="12"/>
      <c r="BL61" s="12"/>
      <c r="BM61" s="12"/>
      <c r="BN61" s="12"/>
      <c r="BO61" s="12"/>
      <c r="BS61" s="12"/>
      <c r="BT61" s="12"/>
      <c r="BU61" s="12"/>
      <c r="BV61" s="12"/>
      <c r="BZ61" s="12"/>
      <c r="CA61" s="12"/>
      <c r="CB61" s="12"/>
      <c r="CC61" s="12"/>
      <c r="CG61" s="12"/>
      <c r="CH61" s="12"/>
      <c r="CI61" s="12"/>
      <c r="CJ61" s="12"/>
      <c r="CN61" s="12"/>
      <c r="CO61" s="12"/>
      <c r="CP61" s="12"/>
      <c r="CQ61" s="12"/>
      <c r="CU61" s="12"/>
      <c r="CV61" s="12"/>
      <c r="CW61" s="12"/>
      <c r="CX61" s="12"/>
      <c r="DB61" s="12"/>
      <c r="DC61" s="12"/>
      <c r="DD61" s="12"/>
      <c r="DE61" s="12"/>
      <c r="DI61" s="12"/>
      <c r="DJ61" s="12"/>
      <c r="DK61" s="12"/>
      <c r="DL61" s="12"/>
      <c r="DP61" s="12"/>
      <c r="DQ61" s="12"/>
      <c r="DR61" s="12"/>
      <c r="DS61" s="12"/>
      <c r="DW61" s="12"/>
      <c r="DX61" s="12"/>
      <c r="DY61" s="12"/>
      <c r="DZ61" s="12"/>
    </row>
    <row r="62" spans="2:130" hidden="1" outlineLevel="1">
      <c r="E62" s="11"/>
      <c r="G62" s="12"/>
      <c r="I62" s="11"/>
      <c r="J62" s="13"/>
      <c r="K62" s="13"/>
      <c r="L62" s="11"/>
      <c r="O62" s="12"/>
      <c r="P62" s="12"/>
      <c r="Q62" s="12"/>
      <c r="R62" s="12"/>
      <c r="V62" s="12"/>
      <c r="W62" s="12"/>
      <c r="X62" s="12"/>
      <c r="Y62" s="12"/>
      <c r="AC62" s="12"/>
      <c r="AD62" s="12"/>
      <c r="AE62" s="12"/>
      <c r="AF62" s="12"/>
      <c r="AJ62" s="12"/>
      <c r="AK62" s="12"/>
      <c r="AL62" s="12"/>
      <c r="AM62" s="12"/>
      <c r="AQ62" s="12"/>
      <c r="AR62" s="12"/>
      <c r="AS62" s="12"/>
      <c r="AT62" s="12"/>
      <c r="AX62" s="12"/>
      <c r="AY62" s="12"/>
      <c r="AZ62" s="12"/>
      <c r="BA62" s="12"/>
      <c r="BE62" s="12"/>
      <c r="BF62" s="12"/>
      <c r="BG62" s="12"/>
      <c r="BH62" s="12"/>
      <c r="BL62" s="12"/>
      <c r="BM62" s="12"/>
      <c r="BN62" s="12"/>
      <c r="BO62" s="12"/>
      <c r="BS62" s="12"/>
      <c r="BT62" s="12"/>
      <c r="BU62" s="12"/>
      <c r="BV62" s="12"/>
      <c r="BZ62" s="12"/>
      <c r="CA62" s="12"/>
      <c r="CB62" s="12"/>
      <c r="CC62" s="12"/>
      <c r="CG62" s="12"/>
      <c r="CH62" s="12"/>
      <c r="CI62" s="12"/>
      <c r="CJ62" s="12"/>
      <c r="CN62" s="12"/>
      <c r="CO62" s="12"/>
      <c r="CP62" s="12"/>
      <c r="CQ62" s="12"/>
      <c r="CU62" s="12"/>
      <c r="CV62" s="12"/>
      <c r="CW62" s="12"/>
      <c r="CX62" s="12"/>
      <c r="DB62" s="12"/>
      <c r="DC62" s="12"/>
      <c r="DD62" s="12"/>
      <c r="DE62" s="12"/>
      <c r="DI62" s="12"/>
      <c r="DJ62" s="12"/>
      <c r="DK62" s="12"/>
      <c r="DL62" s="12"/>
      <c r="DP62" s="12"/>
      <c r="DQ62" s="12"/>
      <c r="DR62" s="12"/>
      <c r="DS62" s="12"/>
      <c r="DW62" s="12"/>
      <c r="DX62" s="12"/>
      <c r="DY62" s="12"/>
      <c r="DZ62" s="12"/>
    </row>
    <row r="63" spans="2:130" hidden="1" outlineLevel="1">
      <c r="E63" s="11"/>
      <c r="G63" s="12"/>
      <c r="I63" s="11"/>
      <c r="J63" s="13"/>
      <c r="K63" s="13"/>
      <c r="L63" s="11"/>
      <c r="O63" s="12"/>
      <c r="P63" s="12"/>
      <c r="Q63" s="12"/>
      <c r="R63" s="12"/>
      <c r="V63" s="12"/>
      <c r="W63" s="12"/>
      <c r="X63" s="12"/>
      <c r="Y63" s="12"/>
      <c r="AC63" s="12"/>
      <c r="AD63" s="12"/>
      <c r="AE63" s="12"/>
      <c r="AF63" s="12"/>
      <c r="AJ63" s="12"/>
      <c r="AK63" s="12"/>
      <c r="AL63" s="12"/>
      <c r="AM63" s="12"/>
      <c r="AQ63" s="12"/>
      <c r="AR63" s="12"/>
      <c r="AS63" s="12"/>
      <c r="AT63" s="12"/>
      <c r="AX63" s="12"/>
      <c r="AY63" s="12"/>
      <c r="AZ63" s="12"/>
      <c r="BA63" s="12"/>
      <c r="BE63" s="12"/>
      <c r="BF63" s="12"/>
      <c r="BG63" s="12"/>
      <c r="BH63" s="12"/>
      <c r="BL63" s="12"/>
      <c r="BM63" s="12"/>
      <c r="BN63" s="12"/>
      <c r="BO63" s="12"/>
      <c r="BS63" s="12"/>
      <c r="BT63" s="12"/>
      <c r="BU63" s="12"/>
      <c r="BV63" s="12"/>
      <c r="BZ63" s="12"/>
      <c r="CA63" s="12"/>
      <c r="CB63" s="12"/>
      <c r="CC63" s="12"/>
      <c r="CG63" s="12"/>
      <c r="CH63" s="12"/>
      <c r="CI63" s="12"/>
      <c r="CJ63" s="12"/>
      <c r="CN63" s="12"/>
      <c r="CO63" s="12"/>
      <c r="CP63" s="12"/>
      <c r="CQ63" s="12"/>
      <c r="CU63" s="12"/>
      <c r="CV63" s="12"/>
      <c r="CW63" s="12"/>
      <c r="CX63" s="12"/>
      <c r="DB63" s="12"/>
      <c r="DC63" s="12"/>
      <c r="DD63" s="12"/>
      <c r="DE63" s="12"/>
      <c r="DI63" s="12"/>
      <c r="DJ63" s="12"/>
      <c r="DK63" s="12"/>
      <c r="DL63" s="12"/>
      <c r="DP63" s="12"/>
      <c r="DQ63" s="12"/>
      <c r="DR63" s="12"/>
      <c r="DS63" s="12"/>
      <c r="DW63" s="12"/>
      <c r="DX63" s="12"/>
      <c r="DY63" s="12"/>
      <c r="DZ63" s="12"/>
    </row>
    <row r="64" spans="2:130" hidden="1" outlineLevel="1">
      <c r="E64" s="11"/>
      <c r="G64" s="12"/>
      <c r="I64" s="11"/>
      <c r="J64" s="13"/>
      <c r="K64" s="13"/>
      <c r="L64" s="11"/>
      <c r="O64" s="12"/>
      <c r="P64" s="12"/>
      <c r="Q64" s="12"/>
      <c r="R64" s="12"/>
      <c r="V64" s="12"/>
      <c r="W64" s="12"/>
      <c r="X64" s="12"/>
      <c r="Y64" s="12"/>
      <c r="AC64" s="12"/>
      <c r="AD64" s="12"/>
      <c r="AE64" s="12"/>
      <c r="AF64" s="12"/>
      <c r="AJ64" s="12"/>
      <c r="AK64" s="12"/>
      <c r="AL64" s="12"/>
      <c r="AM64" s="12"/>
      <c r="AQ64" s="12"/>
      <c r="AR64" s="12"/>
      <c r="AS64" s="12"/>
      <c r="AT64" s="12"/>
      <c r="AX64" s="12"/>
      <c r="AY64" s="12"/>
      <c r="AZ64" s="12"/>
      <c r="BA64" s="12"/>
      <c r="BE64" s="12"/>
      <c r="BF64" s="12"/>
      <c r="BG64" s="12"/>
      <c r="BH64" s="12"/>
      <c r="BL64" s="12"/>
      <c r="BM64" s="12"/>
      <c r="BN64" s="12"/>
      <c r="BO64" s="12"/>
      <c r="BS64" s="12"/>
      <c r="BT64" s="12"/>
      <c r="BU64" s="12"/>
      <c r="BV64" s="12"/>
      <c r="BZ64" s="12"/>
      <c r="CA64" s="12"/>
      <c r="CB64" s="12"/>
      <c r="CC64" s="12"/>
      <c r="CG64" s="12"/>
      <c r="CH64" s="12"/>
      <c r="CI64" s="12"/>
      <c r="CJ64" s="12"/>
      <c r="CN64" s="12"/>
      <c r="CO64" s="12"/>
      <c r="CP64" s="12"/>
      <c r="CQ64" s="12"/>
      <c r="CU64" s="12"/>
      <c r="CV64" s="12"/>
      <c r="CW64" s="12"/>
      <c r="CX64" s="12"/>
      <c r="DB64" s="12"/>
      <c r="DC64" s="12"/>
      <c r="DD64" s="12"/>
      <c r="DE64" s="12"/>
      <c r="DI64" s="12"/>
      <c r="DJ64" s="12"/>
      <c r="DK64" s="12"/>
      <c r="DL64" s="12"/>
      <c r="DP64" s="12"/>
      <c r="DQ64" s="12"/>
      <c r="DR64" s="12"/>
      <c r="DS64" s="12"/>
      <c r="DW64" s="12"/>
      <c r="DX64" s="12"/>
      <c r="DY64" s="12"/>
      <c r="DZ64" s="12"/>
    </row>
    <row r="65" spans="5:130" hidden="1" outlineLevel="1">
      <c r="E65" s="11"/>
      <c r="G65" s="12"/>
      <c r="I65" s="11"/>
      <c r="J65" s="13"/>
      <c r="K65" s="13"/>
      <c r="L65" s="11"/>
      <c r="O65" s="12"/>
      <c r="P65" s="12"/>
      <c r="Q65" s="12"/>
      <c r="R65" s="12"/>
      <c r="V65" s="12"/>
      <c r="W65" s="12"/>
      <c r="X65" s="12"/>
      <c r="Y65" s="12"/>
      <c r="AC65" s="12"/>
      <c r="AD65" s="12"/>
      <c r="AE65" s="12"/>
      <c r="AF65" s="12"/>
      <c r="AJ65" s="12"/>
      <c r="AK65" s="12"/>
      <c r="AL65" s="12"/>
      <c r="AM65" s="12"/>
      <c r="AQ65" s="12"/>
      <c r="AR65" s="12"/>
      <c r="AS65" s="12"/>
      <c r="AT65" s="12"/>
      <c r="AX65" s="12"/>
      <c r="AY65" s="12"/>
      <c r="AZ65" s="12"/>
      <c r="BA65" s="12"/>
      <c r="BE65" s="12"/>
      <c r="BF65" s="12"/>
      <c r="BG65" s="12"/>
      <c r="BH65" s="12"/>
      <c r="BL65" s="12"/>
      <c r="BM65" s="12"/>
      <c r="BN65" s="12"/>
      <c r="BO65" s="12"/>
      <c r="BS65" s="12"/>
      <c r="BT65" s="12"/>
      <c r="BU65" s="12"/>
      <c r="BV65" s="12"/>
      <c r="BZ65" s="12"/>
      <c r="CA65" s="12"/>
      <c r="CB65" s="12"/>
      <c r="CC65" s="12"/>
      <c r="CG65" s="12"/>
      <c r="CH65" s="12"/>
      <c r="CI65" s="12"/>
      <c r="CJ65" s="12"/>
      <c r="CN65" s="12"/>
      <c r="CO65" s="12"/>
      <c r="CP65" s="12"/>
      <c r="CQ65" s="12"/>
      <c r="CU65" s="12"/>
      <c r="CV65" s="12"/>
      <c r="CW65" s="12"/>
      <c r="CX65" s="12"/>
      <c r="DB65" s="12"/>
      <c r="DC65" s="12"/>
      <c r="DD65" s="12"/>
      <c r="DE65" s="12"/>
      <c r="DI65" s="12"/>
      <c r="DJ65" s="12"/>
      <c r="DK65" s="12"/>
      <c r="DL65" s="12"/>
      <c r="DP65" s="12"/>
      <c r="DQ65" s="12"/>
      <c r="DR65" s="12"/>
      <c r="DS65" s="12"/>
      <c r="DW65" s="12"/>
      <c r="DX65" s="12"/>
      <c r="DY65" s="12"/>
      <c r="DZ65" s="12"/>
    </row>
    <row r="66" spans="5:130" hidden="1" outlineLevel="1">
      <c r="E66" s="11"/>
      <c r="G66" s="12"/>
      <c r="I66" s="11"/>
      <c r="J66" s="13"/>
      <c r="K66" s="13"/>
      <c r="L66" s="11"/>
      <c r="O66" s="12"/>
      <c r="P66" s="12"/>
      <c r="Q66" s="12"/>
      <c r="R66" s="12"/>
      <c r="V66" s="12"/>
      <c r="W66" s="12"/>
      <c r="X66" s="12"/>
      <c r="Y66" s="12"/>
      <c r="AC66" s="12"/>
      <c r="AD66" s="12"/>
      <c r="AE66" s="12"/>
      <c r="AF66" s="12"/>
      <c r="AJ66" s="12"/>
      <c r="AK66" s="12"/>
      <c r="AL66" s="12"/>
      <c r="AM66" s="12"/>
      <c r="AQ66" s="12"/>
      <c r="AR66" s="12"/>
      <c r="AS66" s="12"/>
      <c r="AT66" s="12"/>
      <c r="AX66" s="12"/>
      <c r="AY66" s="12"/>
      <c r="AZ66" s="12"/>
      <c r="BA66" s="12"/>
      <c r="BE66" s="12"/>
      <c r="BF66" s="12"/>
      <c r="BG66" s="12"/>
      <c r="BH66" s="12"/>
      <c r="BL66" s="12"/>
      <c r="BM66" s="12"/>
      <c r="BN66" s="12"/>
      <c r="BO66" s="12"/>
      <c r="BS66" s="12"/>
      <c r="BT66" s="12"/>
      <c r="BU66" s="12"/>
      <c r="BV66" s="12"/>
      <c r="BZ66" s="12"/>
      <c r="CA66" s="12"/>
      <c r="CB66" s="12"/>
      <c r="CC66" s="12"/>
      <c r="CG66" s="12"/>
      <c r="CH66" s="12"/>
      <c r="CI66" s="12"/>
      <c r="CJ66" s="12"/>
      <c r="CN66" s="12"/>
      <c r="CO66" s="12"/>
      <c r="CP66" s="12"/>
      <c r="CQ66" s="12"/>
      <c r="CU66" s="12"/>
      <c r="CV66" s="12"/>
      <c r="CW66" s="12"/>
      <c r="CX66" s="12"/>
      <c r="DB66" s="12"/>
      <c r="DC66" s="12"/>
      <c r="DD66" s="12"/>
      <c r="DE66" s="12"/>
      <c r="DI66" s="12"/>
      <c r="DJ66" s="12"/>
      <c r="DK66" s="12"/>
      <c r="DL66" s="12"/>
      <c r="DP66" s="12"/>
      <c r="DQ66" s="12"/>
      <c r="DR66" s="12"/>
      <c r="DS66" s="12"/>
      <c r="DW66" s="12"/>
      <c r="DX66" s="12"/>
      <c r="DY66" s="12"/>
      <c r="DZ66" s="12"/>
    </row>
    <row r="67" spans="5:130" collapsed="1"/>
  </sheetData>
  <mergeCells count="18">
    <mergeCell ref="DV2:EA2"/>
    <mergeCell ref="BK2:BP2"/>
    <mergeCell ref="CT2:CY2"/>
    <mergeCell ref="DA2:DF2"/>
    <mergeCell ref="DH2:DM2"/>
    <mergeCell ref="DO2:DT2"/>
    <mergeCell ref="BR2:BW2"/>
    <mergeCell ref="BY2:CD2"/>
    <mergeCell ref="CF2:CK2"/>
    <mergeCell ref="CM2:CR2"/>
    <mergeCell ref="I2:L2"/>
    <mergeCell ref="N2:S2"/>
    <mergeCell ref="BD2:BI2"/>
    <mergeCell ref="U2:Z2"/>
    <mergeCell ref="AB2:AG2"/>
    <mergeCell ref="AI2:AN2"/>
    <mergeCell ref="AP2:AU2"/>
    <mergeCell ref="AW2:BB2"/>
  </mergeCells>
  <conditionalFormatting sqref="Q61:Q66 O61:O66 X61:X66 V61:V66 AE61:AE66 AC61:AC66 AJ61:AJ66 AL61:AL66 AS61:AS66 AQ61:AQ66 AX61:AX66 AZ61:AZ66 BG61:BG66 BE61:BE66 BN61:BN66 BL61:BL66 Q5:Q16 O5:O16 DR19 DP19 CU19 CW19 DY19 DB19 DD19 DI19 DK19 DW19 DD48:DD60 DP43:DP60 DR43:DR60 DB43:DB60 DI43:DI60 DK43:DK60 O43:O59 Q43:Q59 AQ55:AQ59 AS55:AS59 BE57:BE59 BG57:BG59 V52:V59 X52:X59 AC53:AC59 AE53:AE59 AJ54:AJ59 AL54:AL59 AX56:AX59 AZ56:AZ59 BL58:BL59 BN58:BN59 DW43:DW60 DY43:DY60 BS59 BU59 O33 O19:O28 Q19:Q31">
    <cfRule type="expression" dxfId="471" priority="1403">
      <formula>OR(IF(O5&lt;P5,TRUE),IF(AND(P5="",O5&lt;&gt;""),TRUE))</formula>
    </cfRule>
    <cfRule type="expression" dxfId="470" priority="1404">
      <formula>IF(O5&gt;=P5,IF(O5="",FALSE,TRUE))</formula>
    </cfRule>
  </conditionalFormatting>
  <conditionalFormatting sqref="J6:K16">
    <cfRule type="colorScale" priority="1406">
      <colorScale>
        <cfvo type="percent" val="0"/>
        <cfvo type="percent" val="100"/>
        <color rgb="FFFF231B"/>
        <color rgb="FF10FF07"/>
      </colorScale>
    </cfRule>
  </conditionalFormatting>
  <conditionalFormatting sqref="J5:J16">
    <cfRule type="colorScale" priority="1435">
      <colorScale>
        <cfvo type="percent" val="0"/>
        <cfvo type="percent" val="100"/>
        <color rgb="FFFF231B"/>
        <color rgb="FF10FF07"/>
      </colorScale>
    </cfRule>
  </conditionalFormatting>
  <conditionalFormatting sqref="K5:K16">
    <cfRule type="colorScale" priority="1436">
      <colorScale>
        <cfvo type="percent" val="0"/>
        <cfvo type="percent" val="100"/>
        <color rgb="FFFF231B"/>
        <color rgb="FF10FF07"/>
      </colorScale>
    </cfRule>
  </conditionalFormatting>
  <conditionalFormatting sqref="DR20:DR28 DP20:DP28 DR61:DR66 DP61:DP66 DP17 DR17">
    <cfRule type="expression" dxfId="469" priority="899">
      <formula>OR(IF(DP17&lt;DQ17,TRUE),IF(AND(DQ17="",DP17&lt;&gt;""),TRUE))</formula>
    </cfRule>
    <cfRule type="expression" dxfId="468" priority="900">
      <formula>IF(DP17&gt;=DQ17,IF(DP17="",FALSE,TRUE))</formula>
    </cfRule>
  </conditionalFormatting>
  <conditionalFormatting sqref="J61:K66">
    <cfRule type="colorScale" priority="1587">
      <colorScale>
        <cfvo type="percent" val="0"/>
        <cfvo type="percent" val="100"/>
        <color rgb="FFFF231B"/>
        <color rgb="FF10FF07"/>
      </colorScale>
    </cfRule>
  </conditionalFormatting>
  <conditionalFormatting sqref="J61:J66">
    <cfRule type="colorScale" priority="1588">
      <colorScale>
        <cfvo type="percent" val="0"/>
        <cfvo type="percent" val="100"/>
        <color rgb="FFFF231B"/>
        <color rgb="FF10FF07"/>
      </colorScale>
    </cfRule>
  </conditionalFormatting>
  <conditionalFormatting sqref="K61:K66">
    <cfRule type="colorScale" priority="1590">
      <colorScale>
        <cfvo type="percent" val="0"/>
        <cfvo type="percent" val="100"/>
        <color rgb="FFFF231B"/>
        <color rgb="FF10FF07"/>
      </colorScale>
    </cfRule>
  </conditionalFormatting>
  <conditionalFormatting sqref="CW20:CW28 CU20:CU28 CW61:CW66 CU61:CU66">
    <cfRule type="expression" dxfId="467" priority="959">
      <formula>OR(IF(CU20&lt;CV20,TRUE),IF(AND(CV20="",CU20&lt;&gt;""),TRUE))</formula>
    </cfRule>
    <cfRule type="expression" dxfId="466" priority="960">
      <formula>IF(CU20&gt;=CV20,IF(CU20="",FALSE,TRUE))</formula>
    </cfRule>
  </conditionalFormatting>
  <conditionalFormatting sqref="DD20:DD28 DB20:DB28 DD61:DD66 DB61:DB66 DB17">
    <cfRule type="expression" dxfId="465" priority="939">
      <formula>OR(IF(DB17&lt;DC17,TRUE),IF(AND(DC17="",DB17&lt;&gt;""),TRUE))</formula>
    </cfRule>
    <cfRule type="expression" dxfId="464" priority="940">
      <formula>IF(DB17&gt;=DC17,IF(DB17="",FALSE,TRUE))</formula>
    </cfRule>
  </conditionalFormatting>
  <conditionalFormatting sqref="DK20:DK28 DI20:DI28 DK61:DK66 DI61:DI66 DI17 DK17">
    <cfRule type="expression" dxfId="463" priority="919">
      <formula>OR(IF(DI17&lt;DJ17,TRUE),IF(AND(DJ17="",DI17&lt;&gt;""),TRUE))</formula>
    </cfRule>
    <cfRule type="expression" dxfId="462" priority="920">
      <formula>IF(DI17&gt;=DJ17,IF(DI17="",FALSE,TRUE))</formula>
    </cfRule>
  </conditionalFormatting>
  <conditionalFormatting sqref="AJ35:AJ40 AL35:AL40 AX38:AX40 AZ38:AZ40 O34:O40 BG39:BG40 X33:X40 V33:V40 AE34:AE40 AC34:AC40 AS37:AS40 AQ37:AQ40 BE39:BE40 BN40 BL40 Q32:Q40">
    <cfRule type="expression" dxfId="461" priority="813">
      <formula>OR(IF(O32&lt;P32,TRUE),IF(AND(P32="",O32&lt;&gt;""),TRUE))</formula>
    </cfRule>
    <cfRule type="expression" dxfId="460" priority="814">
      <formula>IF(O32&gt;=P32,IF(O32="",FALSE,TRUE))</formula>
    </cfRule>
  </conditionalFormatting>
  <conditionalFormatting sqref="DD47">
    <cfRule type="expression" dxfId="459" priority="818">
      <formula>OR(IF(DD47&lt;DE47,TRUE),IF(AND(DE47="",DD47&lt;&gt;""),TRUE))</formula>
    </cfRule>
    <cfRule type="expression" dxfId="458" priority="819">
      <formula>IF(DD47&gt;=DE47,IF(DD47="",FALSE,TRUE))</formula>
    </cfRule>
  </conditionalFormatting>
  <conditionalFormatting sqref="X10:X16 V10:V16">
    <cfRule type="expression" dxfId="457" priority="669">
      <formula>OR(IF(V10&lt;W10,TRUE),IF(AND(W10="",V10&lt;&gt;""),TRUE))</formula>
    </cfRule>
    <cfRule type="expression" dxfId="456" priority="670">
      <formula>IF(V10&gt;=W10,IF(V10="",FALSE,TRUE))</formula>
    </cfRule>
  </conditionalFormatting>
  <conditionalFormatting sqref="DD31:DD40 DB31:DB40">
    <cfRule type="expression" dxfId="455" priority="773">
      <formula>OR(IF(DB31&lt;DC31,TRUE),IF(AND(DC31="",DB31&lt;&gt;""),TRUE))</formula>
    </cfRule>
    <cfRule type="expression" dxfId="454" priority="774">
      <formula>IF(DB31&gt;=DC31,IF(DB31="",FALSE,TRUE))</formula>
    </cfRule>
  </conditionalFormatting>
  <conditionalFormatting sqref="DB29:DB30">
    <cfRule type="expression" dxfId="453" priority="771">
      <formula>OR(IF(DB29&lt;DC29,TRUE),IF(AND(DC29="",DB29&lt;&gt;""),TRUE))</formula>
    </cfRule>
    <cfRule type="expression" dxfId="452" priority="772">
      <formula>IF(DB29&gt;=DC29,IF(DB29="",FALSE,TRUE))</formula>
    </cfRule>
  </conditionalFormatting>
  <conditionalFormatting sqref="DY20:DY28 DW20:DW28 DY61:DY66 DW61:DW66 DW5:DW17 DY5:DY17">
    <cfRule type="expression" dxfId="451" priority="859">
      <formula>OR(IF(DW5&lt;DX5,TRUE),IF(AND(DX5="",DW5&lt;&gt;""),TRUE))</formula>
    </cfRule>
    <cfRule type="expression" dxfId="450" priority="860">
      <formula>IF(DW5&gt;=DX5,IF(DW5="",FALSE,TRUE))</formula>
    </cfRule>
  </conditionalFormatting>
  <conditionalFormatting sqref="DD17">
    <cfRule type="expression" dxfId="449" priority="1593">
      <formula>OR(IF(DD17&lt;DE17,TRUE),IF(AND(DE17="",DD17&lt;&gt;""),TRUE))</formula>
    </cfRule>
    <cfRule type="expression" dxfId="448" priority="1594">
      <formula>IF(DD17&gt;=DE17,IF(DD17="",FALSE,TRUE))</formula>
    </cfRule>
  </conditionalFormatting>
  <conditionalFormatting sqref="DY29:DY30">
    <cfRule type="expression" dxfId="447" priority="745">
      <formula>OR(IF(DY29&lt;DZ29,TRUE),IF(AND(DZ29="",DY29&lt;&gt;""),TRUE))</formula>
    </cfRule>
    <cfRule type="expression" dxfId="446" priority="746">
      <formula>IF(DY29&gt;=DZ29,IF(DY29="",FALSE,TRUE))</formula>
    </cfRule>
  </conditionalFormatting>
  <conditionalFormatting sqref="DD43:DD46">
    <cfRule type="expression" dxfId="445" priority="832">
      <formula>OR(IF(DD43&lt;DE43,TRUE),IF(AND(DE43="",DD43&lt;&gt;""),TRUE))</formula>
    </cfRule>
    <cfRule type="expression" dxfId="444" priority="833">
      <formula>IF(DD43&gt;=DE43,IF(DD43="",FALSE,TRUE))</formula>
    </cfRule>
  </conditionalFormatting>
  <conditionalFormatting sqref="CB5:CB16 BZ5:BZ16">
    <cfRule type="expression" dxfId="443" priority="685">
      <formula>OR(IF(BZ5&lt;CA5,TRUE),IF(AND(CA5="",BZ5&lt;&gt;""),TRUE))</formula>
    </cfRule>
    <cfRule type="expression" dxfId="442" priority="686">
      <formula>IF(BZ5&gt;=CA5,IF(BZ5="",FALSE,TRUE))</formula>
    </cfRule>
  </conditionalFormatting>
  <conditionalFormatting sqref="AE11:AE16 AC11:AC16">
    <cfRule type="expression" dxfId="441" priority="671">
      <formula>OR(IF(AC11&lt;AD11,TRUE),IF(AND(AD11="",AC11&lt;&gt;""),TRUE))</formula>
    </cfRule>
    <cfRule type="expression" dxfId="440" priority="672">
      <formula>IF(AC11&gt;=AD11,IF(AC11="",FALSE,TRUE))</formula>
    </cfRule>
  </conditionalFormatting>
  <conditionalFormatting sqref="CW31:CW40 CU31:CU40">
    <cfRule type="expression" dxfId="439" priority="779">
      <formula>OR(IF(CU31&lt;CV31,TRUE),IF(AND(CV31="",CU31&lt;&gt;""),TRUE))</formula>
    </cfRule>
    <cfRule type="expression" dxfId="438" priority="780">
      <formula>IF(CU31&gt;=CV31,IF(CU31="",FALSE,TRUE))</formula>
    </cfRule>
  </conditionalFormatting>
  <conditionalFormatting sqref="CU29:CU30">
    <cfRule type="expression" dxfId="437" priority="777">
      <formula>OR(IF(CU29&lt;CV29,TRUE),IF(AND(CV29="",CU29&lt;&gt;""),TRUE))</formula>
    </cfRule>
    <cfRule type="expression" dxfId="436" priority="778">
      <formula>IF(CU29&gt;=CV29,IF(CU29="",FALSE,TRUE))</formula>
    </cfRule>
  </conditionalFormatting>
  <conditionalFormatting sqref="J30:K40">
    <cfRule type="colorScale" priority="815">
      <colorScale>
        <cfvo type="percent" val="0"/>
        <cfvo type="percent" val="100"/>
        <color rgb="FFFF231B"/>
        <color rgb="FF10FF07"/>
      </colorScale>
    </cfRule>
  </conditionalFormatting>
  <conditionalFormatting sqref="J29:J40">
    <cfRule type="colorScale" priority="816">
      <colorScale>
        <cfvo type="percent" val="0"/>
        <cfvo type="percent" val="100"/>
        <color rgb="FFFF231B"/>
        <color rgb="FF10FF07"/>
      </colorScale>
    </cfRule>
  </conditionalFormatting>
  <conditionalFormatting sqref="K29:K40">
    <cfRule type="colorScale" priority="817">
      <colorScale>
        <cfvo type="percent" val="0"/>
        <cfvo type="percent" val="100"/>
        <color rgb="FFFF231B"/>
        <color rgb="FF10FF07"/>
      </colorScale>
    </cfRule>
  </conditionalFormatting>
  <conditionalFormatting sqref="CW29:CW30">
    <cfRule type="expression" dxfId="435" priority="775">
      <formula>OR(IF(CW29&lt;CX29,TRUE),IF(AND(CX29="",CW29&lt;&gt;""),TRUE))</formula>
    </cfRule>
    <cfRule type="expression" dxfId="434" priority="776">
      <formula>IF(CW29&gt;=CX29,IF(CW29="",FALSE,TRUE))</formula>
    </cfRule>
  </conditionalFormatting>
  <conditionalFormatting sqref="DP29:DP30">
    <cfRule type="expression" dxfId="433" priority="759">
      <formula>OR(IF(DP29&lt;DQ29,TRUE),IF(AND(DQ29="",DP29&lt;&gt;""),TRUE))</formula>
    </cfRule>
    <cfRule type="expression" dxfId="432" priority="760">
      <formula>IF(DP29&gt;=DQ29,IF(DP29="",FALSE,TRUE))</formula>
    </cfRule>
  </conditionalFormatting>
  <conditionalFormatting sqref="DR29:DR30">
    <cfRule type="expression" dxfId="431" priority="757">
      <formula>OR(IF(DR29&lt;DS29,TRUE),IF(AND(DS29="",DR29&lt;&gt;""),TRUE))</formula>
    </cfRule>
    <cfRule type="expression" dxfId="430" priority="758">
      <formula>IF(DR29&gt;=DS29,IF(DR29="",FALSE,TRUE))</formula>
    </cfRule>
  </conditionalFormatting>
  <conditionalFormatting sqref="DD29:DD30">
    <cfRule type="expression" dxfId="429" priority="769">
      <formula>OR(IF(DD29&lt;DE29,TRUE),IF(AND(DE29="",DD29&lt;&gt;""),TRUE))</formula>
    </cfRule>
    <cfRule type="expression" dxfId="428" priority="770">
      <formula>IF(DD29&gt;=DE29,IF(DD29="",FALSE,TRUE))</formula>
    </cfRule>
  </conditionalFormatting>
  <conditionalFormatting sqref="DK31:DK40 DI31:DI40">
    <cfRule type="expression" dxfId="427" priority="767">
      <formula>OR(IF(DI31&lt;DJ31,TRUE),IF(AND(DJ31="",DI31&lt;&gt;""),TRUE))</formula>
    </cfRule>
    <cfRule type="expression" dxfId="426" priority="768">
      <formula>IF(DI31&gt;=DJ31,IF(DI31="",FALSE,TRUE))</formula>
    </cfRule>
  </conditionalFormatting>
  <conditionalFormatting sqref="DI29:DI30">
    <cfRule type="expression" dxfId="425" priority="765">
      <formula>OR(IF(DI29&lt;DJ29,TRUE),IF(AND(DJ29="",DI29&lt;&gt;""),TRUE))</formula>
    </cfRule>
    <cfRule type="expression" dxfId="424" priority="766">
      <formula>IF(DI29&gt;=DJ29,IF(DI29="",FALSE,TRUE))</formula>
    </cfRule>
  </conditionalFormatting>
  <conditionalFormatting sqref="DK29:DK30">
    <cfRule type="expression" dxfId="423" priority="763">
      <formula>OR(IF(DK29&lt;DL29,TRUE),IF(AND(DL29="",DK29&lt;&gt;""),TRUE))</formula>
    </cfRule>
    <cfRule type="expression" dxfId="422" priority="764">
      <formula>IF(DK29&gt;=DL29,IF(DK29="",FALSE,TRUE))</formula>
    </cfRule>
  </conditionalFormatting>
  <conditionalFormatting sqref="DR31:DR40 DP31:DP40">
    <cfRule type="expression" dxfId="421" priority="761">
      <formula>OR(IF(DP31&lt;DQ31,TRUE),IF(AND(DQ31="",DP31&lt;&gt;""),TRUE))</formula>
    </cfRule>
    <cfRule type="expression" dxfId="420" priority="762">
      <formula>IF(DP31&gt;=DQ31,IF(DP31="",FALSE,TRUE))</formula>
    </cfRule>
  </conditionalFormatting>
  <conditionalFormatting sqref="DY31:DY40 DW31:DW40">
    <cfRule type="expression" dxfId="419" priority="749">
      <formula>OR(IF(DW31&lt;DX31,TRUE),IF(AND(DX31="",DW31&lt;&gt;""),TRUE))</formula>
    </cfRule>
    <cfRule type="expression" dxfId="418" priority="750">
      <formula>IF(DW31&gt;=DX31,IF(DW31="",FALSE,TRUE))</formula>
    </cfRule>
  </conditionalFormatting>
  <conditionalFormatting sqref="DW29:DW30">
    <cfRule type="expression" dxfId="417" priority="747">
      <formula>OR(IF(DW29&lt;DX29,TRUE),IF(AND(DX29="",DW29&lt;&gt;""),TRUE))</formula>
    </cfRule>
    <cfRule type="expression" dxfId="416" priority="748">
      <formula>IF(DW29&gt;=DX29,IF(DW29="",FALSE,TRUE))</formula>
    </cfRule>
  </conditionalFormatting>
  <conditionalFormatting sqref="BU61:BU66 BS61:BS66">
    <cfRule type="expression" dxfId="415" priority="743">
      <formula>OR(IF(BS61&lt;BT61,TRUE),IF(AND(BT61="",BS61&lt;&gt;""),TRUE))</formula>
    </cfRule>
    <cfRule type="expression" dxfId="414" priority="744">
      <formula>IF(BS61&gt;=BT61,IF(BS61="",FALSE,TRUE))</formula>
    </cfRule>
  </conditionalFormatting>
  <conditionalFormatting sqref="CB61:CB66 BZ61:BZ66">
    <cfRule type="expression" dxfId="413" priority="729">
      <formula>OR(IF(BZ61&lt;CA61,TRUE),IF(AND(CA61="",BZ61&lt;&gt;""),TRUE))</formula>
    </cfRule>
    <cfRule type="expression" dxfId="412" priority="730">
      <formula>IF(BZ61&gt;=CA61,IF(BZ61="",FALSE,TRUE))</formula>
    </cfRule>
  </conditionalFormatting>
  <conditionalFormatting sqref="CI61:CI66 CG61:CG66">
    <cfRule type="expression" dxfId="411" priority="715">
      <formula>OR(IF(CG61&lt;CH61,TRUE),IF(AND(CH61="",CG61&lt;&gt;""),TRUE))</formula>
    </cfRule>
    <cfRule type="expression" dxfId="410" priority="716">
      <formula>IF(CG61&gt;=CH61,IF(CG61="",FALSE,TRUE))</formula>
    </cfRule>
  </conditionalFormatting>
  <conditionalFormatting sqref="CP61:CP66 CN61:CN66 CP5:CP16 CN5:CN17">
    <cfRule type="expression" dxfId="409" priority="701">
      <formula>OR(IF(CN5&lt;CO5,TRUE),IF(AND(CO5="",CN5&lt;&gt;""),TRUE))</formula>
    </cfRule>
    <cfRule type="expression" dxfId="408" priority="702">
      <formula>IF(CN5&gt;=CO5,IF(CN5="",FALSE,TRUE))</formula>
    </cfRule>
  </conditionalFormatting>
  <conditionalFormatting sqref="J20:K28">
    <cfRule type="colorScale" priority="1635">
      <colorScale>
        <cfvo type="percent" val="0"/>
        <cfvo type="percent" val="100"/>
        <color rgb="FFFF231B"/>
        <color rgb="FF10FF07"/>
      </colorScale>
    </cfRule>
  </conditionalFormatting>
  <conditionalFormatting sqref="J19:J28">
    <cfRule type="colorScale" priority="1636">
      <colorScale>
        <cfvo type="percent" val="0"/>
        <cfvo type="percent" val="100"/>
        <color rgb="FFFF231B"/>
        <color rgb="FF10FF07"/>
      </colorScale>
    </cfRule>
  </conditionalFormatting>
  <conditionalFormatting sqref="K19:K28">
    <cfRule type="colorScale" priority="1638">
      <colorScale>
        <cfvo type="percent" val="0"/>
        <cfvo type="percent" val="100"/>
        <color rgb="FFFF231B"/>
        <color rgb="FF10FF07"/>
      </colorScale>
    </cfRule>
  </conditionalFormatting>
  <conditionalFormatting sqref="J44:K59">
    <cfRule type="colorScale" priority="1699">
      <colorScale>
        <cfvo type="percent" val="0"/>
        <cfvo type="percent" val="100"/>
        <color rgb="FFFF231B"/>
        <color rgb="FF10FF07"/>
      </colorScale>
    </cfRule>
  </conditionalFormatting>
  <conditionalFormatting sqref="J43:J59">
    <cfRule type="colorScale" priority="1700">
      <colorScale>
        <cfvo type="percent" val="0"/>
        <cfvo type="percent" val="100"/>
        <color rgb="FFFF231B"/>
        <color rgb="FF10FF07"/>
      </colorScale>
    </cfRule>
  </conditionalFormatting>
  <conditionalFormatting sqref="K43:K59">
    <cfRule type="colorScale" priority="1701">
      <colorScale>
        <cfvo type="percent" val="0"/>
        <cfvo type="percent" val="100"/>
        <color rgb="FFFF231B"/>
        <color rgb="FF10FF07"/>
      </colorScale>
    </cfRule>
  </conditionalFormatting>
  <conditionalFormatting sqref="CI5:CI16 CG5:CG16">
    <cfRule type="expression" dxfId="407" priority="687">
      <formula>OR(IF(CG5&lt;CH5,TRUE),IF(AND(CH5="",CG5&lt;&gt;""),TRUE))</formula>
    </cfRule>
    <cfRule type="expression" dxfId="406" priority="688">
      <formula>IF(CG5&gt;=CH5,IF(CG5="",FALSE,TRUE))</formula>
    </cfRule>
  </conditionalFormatting>
  <conditionalFormatting sqref="BG16 BE16">
    <cfRule type="expression" dxfId="405" priority="679">
      <formula>OR(IF(BE16&lt;BF16,TRUE),IF(AND(BF16="",BE16&lt;&gt;""),TRUE))</formula>
    </cfRule>
    <cfRule type="expression" dxfId="404" priority="680">
      <formula>IF(BE16&gt;=BF16,IF(BE16="",FALSE,TRUE))</formula>
    </cfRule>
  </conditionalFormatting>
  <conditionalFormatting sqref="AZ15:AZ16 AX15:AX16">
    <cfRule type="expression" dxfId="403" priority="677">
      <formula>OR(IF(AX15&lt;AY15,TRUE),IF(AND(AY15="",AX15&lt;&gt;""),TRUE))</formula>
    </cfRule>
    <cfRule type="expression" dxfId="402" priority="678">
      <formula>IF(AX15&gt;=AY15,IF(AX15="",FALSE,TRUE))</formula>
    </cfRule>
  </conditionalFormatting>
  <conditionalFormatting sqref="AS14:AS16 AQ14:AQ16">
    <cfRule type="expression" dxfId="401" priority="675">
      <formula>OR(IF(AQ14&lt;AR14,TRUE),IF(AND(AR14="",AQ14&lt;&gt;""),TRUE))</formula>
    </cfRule>
    <cfRule type="expression" dxfId="400" priority="676">
      <formula>IF(AQ14&gt;=AR14,IF(AQ14="",FALSE,TRUE))</formula>
    </cfRule>
  </conditionalFormatting>
  <conditionalFormatting sqref="AL12:AL16 AJ12:AJ16">
    <cfRule type="expression" dxfId="399" priority="673">
      <formula>OR(IF(AJ12&lt;AK12,TRUE),IF(AND(AK12="",AJ12&lt;&gt;""),TRUE))</formula>
    </cfRule>
    <cfRule type="expression" dxfId="398" priority="674">
      <formula>IF(AJ12&gt;=AK12,IF(AJ12="",FALSE,TRUE))</formula>
    </cfRule>
  </conditionalFormatting>
  <conditionalFormatting sqref="CN19 CP19">
    <cfRule type="expression" dxfId="397" priority="667">
      <formula>OR(IF(CN19&lt;CO19,TRUE),IF(AND(CO19="",CN19&lt;&gt;""),TRUE))</formula>
    </cfRule>
    <cfRule type="expression" dxfId="396" priority="668">
      <formula>IF(CN19&gt;=CO19,IF(CN19="",FALSE,TRUE))</formula>
    </cfRule>
  </conditionalFormatting>
  <conditionalFormatting sqref="CP20:CP28 CN20:CN28">
    <cfRule type="expression" dxfId="395" priority="665">
      <formula>OR(IF(CN20&lt;CO20,TRUE),IF(AND(CO20="",CN20&lt;&gt;""),TRUE))</formula>
    </cfRule>
    <cfRule type="expression" dxfId="394" priority="666">
      <formula>IF(CN20&gt;=CO20,IF(CN20="",FALSE,TRUE))</formula>
    </cfRule>
  </conditionalFormatting>
  <conditionalFormatting sqref="CP31:CP40 CN31:CN40">
    <cfRule type="expression" dxfId="393" priority="663">
      <formula>OR(IF(CN31&lt;CO31,TRUE),IF(AND(CO31="",CN31&lt;&gt;""),TRUE))</formula>
    </cfRule>
    <cfRule type="expression" dxfId="392" priority="664">
      <formula>IF(CN31&gt;=CO31,IF(CN31="",FALSE,TRUE))</formula>
    </cfRule>
  </conditionalFormatting>
  <conditionalFormatting sqref="CN29:CN30">
    <cfRule type="expression" dxfId="391" priority="661">
      <formula>OR(IF(CN29&lt;CO29,TRUE),IF(AND(CO29="",CN29&lt;&gt;""),TRUE))</formula>
    </cfRule>
    <cfRule type="expression" dxfId="390" priority="662">
      <formula>IF(CN29&gt;=CO29,IF(CN29="",FALSE,TRUE))</formula>
    </cfRule>
  </conditionalFormatting>
  <conditionalFormatting sqref="CP29:CP30">
    <cfRule type="expression" dxfId="389" priority="659">
      <formula>OR(IF(CP29&lt;CQ29,TRUE),IF(AND(CQ29="",CP29&lt;&gt;""),TRUE))</formula>
    </cfRule>
    <cfRule type="expression" dxfId="388" priority="660">
      <formula>IF(CP29&gt;=CQ29,IF(CP29="",FALSE,TRUE))</formula>
    </cfRule>
  </conditionalFormatting>
  <conditionalFormatting sqref="AZ37 AX37">
    <cfRule type="expression" dxfId="387" priority="575">
      <formula>OR(IF(AX37&lt;AY37,TRUE),IF(AND(AY37="",AX37&lt;&gt;""),TRUE))</formula>
    </cfRule>
    <cfRule type="expression" dxfId="386" priority="576">
      <formula>IF(AX37&gt;=AY37,IF(AX37="",FALSE,TRUE))</formula>
    </cfRule>
  </conditionalFormatting>
  <conditionalFormatting sqref="DD5:DD16 DB5:DB16">
    <cfRule type="expression" dxfId="385" priority="637">
      <formula>OR(IF(DB5&lt;DC5,TRUE),IF(AND(DC5="",DB5&lt;&gt;""),TRUE))</formula>
    </cfRule>
    <cfRule type="expression" dxfId="384" priority="638">
      <formula>IF(DB5&gt;=DC5,IF(DB5="",FALSE,TRUE))</formula>
    </cfRule>
  </conditionalFormatting>
  <conditionalFormatting sqref="DK5:DK16 DI5:DI16">
    <cfRule type="expression" dxfId="383" priority="635">
      <formula>OR(IF(DI5&lt;DJ5,TRUE),IF(AND(DJ5="",DI5&lt;&gt;""),TRUE))</formula>
    </cfRule>
    <cfRule type="expression" dxfId="382" priority="636">
      <formula>IF(DI5&gt;=DJ5,IF(DI5="",FALSE,TRUE))</formula>
    </cfRule>
  </conditionalFormatting>
  <conditionalFormatting sqref="DR5:DR16 DP5:DP16">
    <cfRule type="expression" dxfId="381" priority="633">
      <formula>OR(IF(DP5&lt;DQ5,TRUE),IF(AND(DQ5="",DP5&lt;&gt;""),TRUE))</formula>
    </cfRule>
    <cfRule type="expression" dxfId="380" priority="634">
      <formula>IF(DP5&gt;=DQ5,IF(DP5="",FALSE,TRUE))</formula>
    </cfRule>
  </conditionalFormatting>
  <conditionalFormatting sqref="CW5:CW16 CU5:CU16">
    <cfRule type="expression" dxfId="379" priority="631">
      <formula>OR(IF(CU5&lt;CV5,TRUE),IF(AND(CV5="",CU5&lt;&gt;""),TRUE))</formula>
    </cfRule>
    <cfRule type="expression" dxfId="378" priority="632">
      <formula>IF(CU5&gt;=CV5,IF(CU5="",FALSE,TRUE))</formula>
    </cfRule>
  </conditionalFormatting>
  <conditionalFormatting sqref="AE32:AE33 AC32:AC33">
    <cfRule type="expression" dxfId="377" priority="545">
      <formula>OR(IF(AC32&lt;AD32,TRUE),IF(AND(AD32="",AC32&lt;&gt;""),TRUE))</formula>
    </cfRule>
    <cfRule type="expression" dxfId="376" priority="546">
      <formula>IF(AC32&gt;=AD32,IF(AC32="",FALSE,TRUE))</formula>
    </cfRule>
  </conditionalFormatting>
  <conditionalFormatting sqref="AZ14 AX14">
    <cfRule type="expression" dxfId="375" priority="621">
      <formula>OR(IF(AX14&lt;AY14,TRUE),IF(AND(AY14="",AX14&lt;&gt;""),TRUE))</formula>
    </cfRule>
    <cfRule type="expression" dxfId="374" priority="622">
      <formula>IF(AX14&gt;=AY14,IF(AX14="",FALSE,TRUE))</formula>
    </cfRule>
  </conditionalFormatting>
  <conditionalFormatting sqref="AS13 AQ13">
    <cfRule type="expression" dxfId="373" priority="619">
      <formula>OR(IF(AQ13&lt;AR13,TRUE),IF(AND(AR13="",AQ13&lt;&gt;""),TRUE))</formula>
    </cfRule>
    <cfRule type="expression" dxfId="372" priority="620">
      <formula>IF(AQ13&gt;=AR13,IF(AQ13="",FALSE,TRUE))</formula>
    </cfRule>
  </conditionalFormatting>
  <conditionalFormatting sqref="V29:V30">
    <cfRule type="expression" dxfId="371" priority="533">
      <formula>OR(IF(V29&lt;W29,TRUE),IF(AND(W29="",V29&lt;&gt;""),TRUE))</formula>
    </cfRule>
    <cfRule type="expression" dxfId="370" priority="534">
      <formula>IF(V29&gt;=W29,IF(V29="",FALSE,TRUE))</formula>
    </cfRule>
  </conditionalFormatting>
  <conditionalFormatting sqref="X29:X30">
    <cfRule type="expression" dxfId="369" priority="531">
      <formula>OR(IF(X29&lt;Y29,TRUE),IF(AND(Y29="",X29&lt;&gt;""),TRUE))</formula>
    </cfRule>
    <cfRule type="expression" dxfId="368" priority="532">
      <formula>IF(X29&gt;=Y29,IF(X29="",FALSE,TRUE))</formula>
    </cfRule>
  </conditionalFormatting>
  <conditionalFormatting sqref="X5:X9 V5:V9">
    <cfRule type="expression" dxfId="367" priority="611">
      <formula>OR(IF(V5&lt;W5,TRUE),IF(AND(W5="",V5&lt;&gt;""),TRUE))</formula>
    </cfRule>
    <cfRule type="expression" dxfId="366" priority="612">
      <formula>IF(V5&gt;=W5,IF(V5="",FALSE,TRUE))</formula>
    </cfRule>
  </conditionalFormatting>
  <conditionalFormatting sqref="V19 X19">
    <cfRule type="expression" dxfId="365" priority="539">
      <formula>OR(IF(V19&lt;W19,TRUE),IF(AND(W19="",V19&lt;&gt;""),TRUE))</formula>
    </cfRule>
    <cfRule type="expression" dxfId="364" priority="540">
      <formula>IF(V19&gt;=W19,IF(V19="",FALSE,TRUE))</formula>
    </cfRule>
  </conditionalFormatting>
  <conditionalFormatting sqref="X20:X28 V20:V28">
    <cfRule type="expression" dxfId="363" priority="537">
      <formula>OR(IF(V20&lt;W20,TRUE),IF(AND(W20="",V20&lt;&gt;""),TRUE))</formula>
    </cfRule>
    <cfRule type="expression" dxfId="362" priority="538">
      <formula>IF(V20&gt;=W20,IF(V20="",FALSE,TRUE))</formula>
    </cfRule>
  </conditionalFormatting>
  <conditionalFormatting sqref="AS36 AQ36">
    <cfRule type="expression" dxfId="361" priority="565">
      <formula>OR(IF(AQ36&lt;AR36,TRUE),IF(AND(AR36="",AQ36&lt;&gt;""),TRUE))</formula>
    </cfRule>
    <cfRule type="expression" dxfId="360" priority="566">
      <formula>IF(AQ36&gt;=AR36,IF(AQ36="",FALSE,TRUE))</formula>
    </cfRule>
  </conditionalFormatting>
  <conditionalFormatting sqref="AL34 AJ34">
    <cfRule type="expression" dxfId="359" priority="555">
      <formula>OR(IF(AJ34&lt;AK34,TRUE),IF(AND(AK34="",AJ34&lt;&gt;""),TRUE))</formula>
    </cfRule>
    <cfRule type="expression" dxfId="358" priority="556">
      <formula>IF(AJ34&gt;=AK34,IF(AJ34="",FALSE,TRUE))</formula>
    </cfRule>
  </conditionalFormatting>
  <conditionalFormatting sqref="X31:X32 V31:V32">
    <cfRule type="expression" dxfId="357" priority="535">
      <formula>OR(IF(V31&lt;W31,TRUE),IF(AND(W31="",V31&lt;&gt;""),TRUE))</formula>
    </cfRule>
    <cfRule type="expression" dxfId="356" priority="536">
      <formula>IF(V31&gt;=W31,IF(V31="",FALSE,TRUE))</formula>
    </cfRule>
  </conditionalFormatting>
  <conditionalFormatting sqref="BU5:BU16 BS5:BS16">
    <cfRule type="expression" dxfId="355" priority="529">
      <formula>OR(IF(BS5&lt;BT5,TRUE),IF(AND(BT5="",BS5&lt;&gt;""),TRUE))</formula>
    </cfRule>
    <cfRule type="expression" dxfId="354" priority="530">
      <formula>IF(BS5&gt;=BT5,IF(BS5="",FALSE,TRUE))</formula>
    </cfRule>
  </conditionalFormatting>
  <conditionalFormatting sqref="BN5:BN16 BL5:BL16">
    <cfRule type="expression" dxfId="353" priority="527">
      <formula>OR(IF(BL5&lt;BM5,TRUE),IF(AND(BM5="",BL5&lt;&gt;""),TRUE))</formula>
    </cfRule>
    <cfRule type="expression" dxfId="352" priority="528">
      <formula>IF(BL5&gt;=BM5,IF(BL5="",FALSE,TRUE))</formula>
    </cfRule>
  </conditionalFormatting>
  <conditionalFormatting sqref="BG5:BG15 BE5:BE15">
    <cfRule type="expression" dxfId="351" priority="525">
      <formula>OR(IF(BE5&lt;BF5,TRUE),IF(AND(BF5="",BE5&lt;&gt;""),TRUE))</formula>
    </cfRule>
    <cfRule type="expression" dxfId="350" priority="526">
      <formula>IF(BE5&gt;=BF5,IF(BE5="",FALSE,TRUE))</formula>
    </cfRule>
  </conditionalFormatting>
  <conditionalFormatting sqref="AZ5:AZ13 AX5:AX13">
    <cfRule type="expression" dxfId="349" priority="523">
      <formula>OR(IF(AX5&lt;AY5,TRUE),IF(AND(AY5="",AX5&lt;&gt;""),TRUE))</formula>
    </cfRule>
    <cfRule type="expression" dxfId="348" priority="524">
      <formula>IF(AX5&gt;=AY5,IF(AX5="",FALSE,TRUE))</formula>
    </cfRule>
  </conditionalFormatting>
  <conditionalFormatting sqref="AS5:AS12 AQ5:AQ12">
    <cfRule type="expression" dxfId="347" priority="521">
      <formula>OR(IF(AQ5&lt;AR5,TRUE),IF(AND(AR5="",AQ5&lt;&gt;""),TRUE))</formula>
    </cfRule>
    <cfRule type="expression" dxfId="346" priority="522">
      <formula>IF(AQ5&gt;=AR5,IF(AQ5="",FALSE,TRUE))</formula>
    </cfRule>
  </conditionalFormatting>
  <conditionalFormatting sqref="AL5:AL11 AJ5:AJ11">
    <cfRule type="expression" dxfId="345" priority="519">
      <formula>OR(IF(AJ5&lt;AK5,TRUE),IF(AND(AK5="",AJ5&lt;&gt;""),TRUE))</formula>
    </cfRule>
    <cfRule type="expression" dxfId="344" priority="520">
      <formula>IF(AJ5&gt;=AK5,IF(AJ5="",FALSE,TRUE))</formula>
    </cfRule>
  </conditionalFormatting>
  <conditionalFormatting sqref="AE5:AE10 AC5:AC10">
    <cfRule type="expression" dxfId="343" priority="517">
      <formula>OR(IF(AC5&lt;AD5,TRUE),IF(AND(AD5="",AC5&lt;&gt;""),TRUE))</formula>
    </cfRule>
    <cfRule type="expression" dxfId="342" priority="518">
      <formula>IF(AC5&gt;=AD5,IF(AC5="",FALSE,TRUE))</formula>
    </cfRule>
  </conditionalFormatting>
  <conditionalFormatting sqref="BU40 BS40">
    <cfRule type="expression" dxfId="341" priority="501">
      <formula>OR(IF(BS40&lt;BT40,TRUE),IF(AND(BT40="",BS40&lt;&gt;""),TRUE))</formula>
    </cfRule>
    <cfRule type="expression" dxfId="340" priority="502">
      <formula>IF(BS40&gt;=BT40,IF(BS40="",FALSE,TRUE))</formula>
    </cfRule>
  </conditionalFormatting>
  <conditionalFormatting sqref="BN39 BL39">
    <cfRule type="expression" dxfId="339" priority="491">
      <formula>OR(IF(BL39&lt;BM39,TRUE),IF(AND(BM39="",BL39&lt;&gt;""),TRUE))</formula>
    </cfRule>
    <cfRule type="expression" dxfId="338" priority="492">
      <formula>IF(BL39&gt;=BM39,IF(BL39="",FALSE,TRUE))</formula>
    </cfRule>
  </conditionalFormatting>
  <conditionalFormatting sqref="BG37:BG38 BE37:BE38">
    <cfRule type="expression" dxfId="337" priority="481">
      <formula>OR(IF(BE37&lt;BF37,TRUE),IF(AND(BF37="",BE37&lt;&gt;""),TRUE))</formula>
    </cfRule>
    <cfRule type="expression" dxfId="336" priority="482">
      <formula>IF(BE37&gt;=BF37,IF(BE37="",FALSE,TRUE))</formula>
    </cfRule>
  </conditionalFormatting>
  <conditionalFormatting sqref="AS35 AQ35">
    <cfRule type="expression" dxfId="335" priority="451">
      <formula>OR(IF(AQ35&lt;AR35,TRUE),IF(AND(AR35="",AQ35&lt;&gt;""),TRUE))</formula>
    </cfRule>
    <cfRule type="expression" dxfId="334" priority="452">
      <formula>IF(AQ35&gt;=AR35,IF(AQ35="",FALSE,TRUE))</formula>
    </cfRule>
  </conditionalFormatting>
  <conditionalFormatting sqref="CG19 CI19">
    <cfRule type="expression" dxfId="333" priority="435">
      <formula>OR(IF(CG19&lt;CH19,TRUE),IF(AND(CH19="",CG19&lt;&gt;""),TRUE))</formula>
    </cfRule>
    <cfRule type="expression" dxfId="332" priority="436">
      <formula>IF(CG19&gt;=CH19,IF(CG19="",FALSE,TRUE))</formula>
    </cfRule>
  </conditionalFormatting>
  <conditionalFormatting sqref="CI20:CI28 CG20:CG28">
    <cfRule type="expression" dxfId="331" priority="433">
      <formula>OR(IF(CG20&lt;CH20,TRUE),IF(AND(CH20="",CG20&lt;&gt;""),TRUE))</formula>
    </cfRule>
    <cfRule type="expression" dxfId="330" priority="434">
      <formula>IF(CG20&gt;=CH20,IF(CG20="",FALSE,TRUE))</formula>
    </cfRule>
  </conditionalFormatting>
  <conditionalFormatting sqref="CI31:CI40 CG31:CG40">
    <cfRule type="expression" dxfId="329" priority="431">
      <formula>OR(IF(CG31&lt;CH31,TRUE),IF(AND(CH31="",CG31&lt;&gt;""),TRUE))</formula>
    </cfRule>
    <cfRule type="expression" dxfId="328" priority="432">
      <formula>IF(CG31&gt;=CH31,IF(CG31="",FALSE,TRUE))</formula>
    </cfRule>
  </conditionalFormatting>
  <conditionalFormatting sqref="CG29:CG30">
    <cfRule type="expression" dxfId="327" priority="429">
      <formula>OR(IF(CG29&lt;CH29,TRUE),IF(AND(CH29="",CG29&lt;&gt;""),TRUE))</formula>
    </cfRule>
    <cfRule type="expression" dxfId="326" priority="430">
      <formula>IF(CG29&gt;=CH29,IF(CG29="",FALSE,TRUE))</formula>
    </cfRule>
  </conditionalFormatting>
  <conditionalFormatting sqref="CI29:CI30">
    <cfRule type="expression" dxfId="325" priority="427">
      <formula>OR(IF(CI29&lt;CJ29,TRUE),IF(AND(CJ29="",CI29&lt;&gt;""),TRUE))</formula>
    </cfRule>
    <cfRule type="expression" dxfId="324" priority="428">
      <formula>IF(CI29&gt;=CJ29,IF(CI29="",FALSE,TRUE))</formula>
    </cfRule>
  </conditionalFormatting>
  <conditionalFormatting sqref="BZ19 CB19">
    <cfRule type="expression" dxfId="323" priority="425">
      <formula>OR(IF(BZ19&lt;CA19,TRUE),IF(AND(CA19="",BZ19&lt;&gt;""),TRUE))</formula>
    </cfRule>
    <cfRule type="expression" dxfId="322" priority="426">
      <formula>IF(BZ19&gt;=CA19,IF(BZ19="",FALSE,TRUE))</formula>
    </cfRule>
  </conditionalFormatting>
  <conditionalFormatting sqref="CB20:CB28 BZ20:BZ28">
    <cfRule type="expression" dxfId="321" priority="423">
      <formula>OR(IF(BZ20&lt;CA20,TRUE),IF(AND(CA20="",BZ20&lt;&gt;""),TRUE))</formula>
    </cfRule>
    <cfRule type="expression" dxfId="320" priority="424">
      <formula>IF(BZ20&gt;=CA20,IF(BZ20="",FALSE,TRUE))</formula>
    </cfRule>
  </conditionalFormatting>
  <conditionalFormatting sqref="CB31:CB40 BZ31:BZ40">
    <cfRule type="expression" dxfId="319" priority="421">
      <formula>OR(IF(BZ31&lt;CA31,TRUE),IF(AND(CA31="",BZ31&lt;&gt;""),TRUE))</formula>
    </cfRule>
    <cfRule type="expression" dxfId="318" priority="422">
      <formula>IF(BZ31&gt;=CA31,IF(BZ31="",FALSE,TRUE))</formula>
    </cfRule>
  </conditionalFormatting>
  <conditionalFormatting sqref="BZ29:BZ30">
    <cfRule type="expression" dxfId="317" priority="419">
      <formula>OR(IF(BZ29&lt;CA29,TRUE),IF(AND(CA29="",BZ29&lt;&gt;""),TRUE))</formula>
    </cfRule>
    <cfRule type="expression" dxfId="316" priority="420">
      <formula>IF(BZ29&gt;=CA29,IF(BZ29="",FALSE,TRUE))</formula>
    </cfRule>
  </conditionalFormatting>
  <conditionalFormatting sqref="CB29:CB30">
    <cfRule type="expression" dxfId="315" priority="417">
      <formula>OR(IF(CB29&lt;CC29,TRUE),IF(AND(CC29="",CB29&lt;&gt;""),TRUE))</formula>
    </cfRule>
    <cfRule type="expression" dxfId="314" priority="418">
      <formula>IF(CB29&gt;=CC29,IF(CB29="",FALSE,TRUE))</formula>
    </cfRule>
  </conditionalFormatting>
  <conditionalFormatting sqref="BS19 BU19">
    <cfRule type="expression" dxfId="313" priority="415">
      <formula>OR(IF(BS19&lt;BT19,TRUE),IF(AND(BT19="",BS19&lt;&gt;""),TRUE))</formula>
    </cfRule>
    <cfRule type="expression" dxfId="312" priority="416">
      <formula>IF(BS19&gt;=BT19,IF(BS19="",FALSE,TRUE))</formula>
    </cfRule>
  </conditionalFormatting>
  <conditionalFormatting sqref="BU20:BU28 BS20:BS28">
    <cfRule type="expression" dxfId="311" priority="413">
      <formula>OR(IF(BS20&lt;BT20,TRUE),IF(AND(BT20="",BS20&lt;&gt;""),TRUE))</formula>
    </cfRule>
    <cfRule type="expression" dxfId="310" priority="414">
      <formula>IF(BS20&gt;=BT20,IF(BS20="",FALSE,TRUE))</formula>
    </cfRule>
  </conditionalFormatting>
  <conditionalFormatting sqref="BU31:BU39 BS31:BS39">
    <cfRule type="expression" dxfId="309" priority="411">
      <formula>OR(IF(BS31&lt;BT31,TRUE),IF(AND(BT31="",BS31&lt;&gt;""),TRUE))</formula>
    </cfRule>
    <cfRule type="expression" dxfId="308" priority="412">
      <formula>IF(BS31&gt;=BT31,IF(BS31="",FALSE,TRUE))</formula>
    </cfRule>
  </conditionalFormatting>
  <conditionalFormatting sqref="BS29:BS30">
    <cfRule type="expression" dxfId="307" priority="409">
      <formula>OR(IF(BS29&lt;BT29,TRUE),IF(AND(BT29="",BS29&lt;&gt;""),TRUE))</formula>
    </cfRule>
    <cfRule type="expression" dxfId="306" priority="410">
      <formula>IF(BS29&gt;=BT29,IF(BS29="",FALSE,TRUE))</formula>
    </cfRule>
  </conditionalFormatting>
  <conditionalFormatting sqref="BU29:BU30">
    <cfRule type="expression" dxfId="305" priority="407">
      <formula>OR(IF(BU29&lt;BV29,TRUE),IF(AND(BV29="",BU29&lt;&gt;""),TRUE))</formula>
    </cfRule>
    <cfRule type="expression" dxfId="304" priority="408">
      <formula>IF(BU29&gt;=BV29,IF(BU29="",FALSE,TRUE))</formula>
    </cfRule>
  </conditionalFormatting>
  <conditionalFormatting sqref="BN38 BL38">
    <cfRule type="expression" dxfId="303" priority="401">
      <formula>OR(IF(BL38&lt;BM38,TRUE),IF(AND(BM38="",BL38&lt;&gt;""),TRUE))</formula>
    </cfRule>
    <cfRule type="expression" dxfId="302" priority="402">
      <formula>IF(BL38&gt;=BM38,IF(BL38="",FALSE,TRUE))</formula>
    </cfRule>
  </conditionalFormatting>
  <conditionalFormatting sqref="CP47">
    <cfRule type="expression" dxfId="301" priority="335">
      <formula>OR(IF(CP47&lt;CQ47,TRUE),IF(AND(CQ47="",CP47&lt;&gt;""),TRUE))</formula>
    </cfRule>
    <cfRule type="expression" dxfId="300" priority="336">
      <formula>IF(CP47&gt;=CQ47,IF(CP47="",FALSE,TRUE))</formula>
    </cfRule>
  </conditionalFormatting>
  <conditionalFormatting sqref="AZ34 AX34">
    <cfRule type="expression" dxfId="297" priority="183">
      <formula>OR(IF(AX34&lt;AY34,TRUE),IF(AND(AY34="",AX34&lt;&gt;""),TRUE))</formula>
    </cfRule>
    <cfRule type="expression" dxfId="296" priority="184">
      <formula>IF(AX34&gt;=AY34,IF(AX34="",FALSE,TRUE))</formula>
    </cfRule>
  </conditionalFormatting>
  <conditionalFormatting sqref="BG36 BE36">
    <cfRule type="expression" dxfId="293" priority="381">
      <formula>OR(IF(BE36&lt;BF36,TRUE),IF(AND(BF36="",BE36&lt;&gt;""),TRUE))</formula>
    </cfRule>
    <cfRule type="expression" dxfId="292" priority="382">
      <formula>IF(BE36&gt;=BF36,IF(BE36="",FALSE,TRUE))</formula>
    </cfRule>
  </conditionalFormatting>
  <conditionalFormatting sqref="AZ35:AZ36 AX35:AX36">
    <cfRule type="expression" dxfId="291" priority="371">
      <formula>OR(IF(AX35&lt;AY35,TRUE),IF(AND(AY35="",AX35&lt;&gt;""),TRUE))</formula>
    </cfRule>
    <cfRule type="expression" dxfId="290" priority="372">
      <formula>IF(AX35&gt;=AY35,IF(AX35="",FALSE,TRUE))</formula>
    </cfRule>
  </conditionalFormatting>
  <conditionalFormatting sqref="AS34 AQ34">
    <cfRule type="expression" dxfId="289" priority="361">
      <formula>OR(IF(AQ34&lt;AR34,TRUE),IF(AND(AR34="",AQ34&lt;&gt;""),TRUE))</formula>
    </cfRule>
    <cfRule type="expression" dxfId="288" priority="362">
      <formula>IF(AQ34&gt;=AR34,IF(AQ34="",FALSE,TRUE))</formula>
    </cfRule>
  </conditionalFormatting>
  <conditionalFormatting sqref="AL33 AJ33">
    <cfRule type="expression" dxfId="287" priority="351">
      <formula>OR(IF(AJ33&lt;AK33,TRUE),IF(AND(AK33="",AJ33&lt;&gt;""),TRUE))</formula>
    </cfRule>
    <cfRule type="expression" dxfId="286" priority="352">
      <formula>IF(AJ33&gt;=AK33,IF(AJ33="",FALSE,TRUE))</formula>
    </cfRule>
  </conditionalFormatting>
  <conditionalFormatting sqref="CW48:CW59 CU43:CU59">
    <cfRule type="expression" dxfId="285" priority="345">
      <formula>OR(IF(CU43&lt;CV43,TRUE),IF(AND(CV43="",CU43&lt;&gt;""),TRUE))</formula>
    </cfRule>
    <cfRule type="expression" dxfId="284" priority="346">
      <formula>IF(CU43&gt;=CV43,IF(CU43="",FALSE,TRUE))</formula>
    </cfRule>
  </conditionalFormatting>
  <conditionalFormatting sqref="CW47">
    <cfRule type="expression" dxfId="283" priority="341">
      <formula>OR(IF(CW47&lt;CX47,TRUE),IF(AND(CX47="",CW47&lt;&gt;""),TRUE))</formula>
    </cfRule>
    <cfRule type="expression" dxfId="282" priority="342">
      <formula>IF(CW47&gt;=CX47,IF(CW47="",FALSE,TRUE))</formula>
    </cfRule>
  </conditionalFormatting>
  <conditionalFormatting sqref="CW43:CW46">
    <cfRule type="expression" dxfId="281" priority="343">
      <formula>OR(IF(CW43&lt;CX43,TRUE),IF(AND(CX43="",CW43&lt;&gt;""),TRUE))</formula>
    </cfRule>
    <cfRule type="expression" dxfId="280" priority="344">
      <formula>IF(CW43&gt;=CX43,IF(CW43="",FALSE,TRUE))</formula>
    </cfRule>
  </conditionalFormatting>
  <conditionalFormatting sqref="CP48:CP59 CN43:CN59">
    <cfRule type="expression" dxfId="279" priority="339">
      <formula>OR(IF(CN43&lt;CO43,TRUE),IF(AND(CO43="",CN43&lt;&gt;""),TRUE))</formula>
    </cfRule>
    <cfRule type="expression" dxfId="278" priority="340">
      <formula>IF(CN43&gt;=CO43,IF(CN43="",FALSE,TRUE))</formula>
    </cfRule>
  </conditionalFormatting>
  <conditionalFormatting sqref="CP43:CP46">
    <cfRule type="expression" dxfId="277" priority="337">
      <formula>OR(IF(CP43&lt;CQ43,TRUE),IF(AND(CQ43="",CP43&lt;&gt;""),TRUE))</formula>
    </cfRule>
    <cfRule type="expression" dxfId="276" priority="338">
      <formula>IF(CP43&gt;=CQ43,IF(CP43="",FALSE,TRUE))</formula>
    </cfRule>
  </conditionalFormatting>
  <conditionalFormatting sqref="AE31 AC31">
    <cfRule type="expression" dxfId="271" priority="153">
      <formula>OR(IF(AC31&lt;AD31,TRUE),IF(AND(AD31="",AC31&lt;&gt;""),TRUE))</formula>
    </cfRule>
    <cfRule type="expression" dxfId="270" priority="154">
      <formula>IF(AC31&gt;=AD31,IF(AC31="",FALSE,TRUE))</formula>
    </cfRule>
  </conditionalFormatting>
  <conditionalFormatting sqref="X47">
    <cfRule type="expression" dxfId="269" priority="209">
      <formula>OR(IF(X47&lt;Y47,TRUE),IF(AND(Y47="",X47&lt;&gt;""),TRUE))</formula>
    </cfRule>
    <cfRule type="expression" dxfId="268" priority="210">
      <formula>IF(X47&gt;=Y47,IF(X47="",FALSE,TRUE))</formula>
    </cfRule>
  </conditionalFormatting>
  <conditionalFormatting sqref="BN57 BL57">
    <cfRule type="expression" dxfId="267" priority="273">
      <formula>OR(IF(BL57&lt;BM57,TRUE),IF(AND(BM57="",BL57&lt;&gt;""),TRUE))</formula>
    </cfRule>
    <cfRule type="expression" dxfId="266" priority="274">
      <formula>IF(BL57&gt;=BM57,IF(BL57="",FALSE,TRUE))</formula>
    </cfRule>
  </conditionalFormatting>
  <conditionalFormatting sqref="AS53:AS54 AQ53:AQ54">
    <cfRule type="expression" dxfId="265" priority="231">
      <formula>OR(IF(AQ53&lt;AR53,TRUE),IF(AND(AR53="",AQ53&lt;&gt;""),TRUE))</formula>
    </cfRule>
    <cfRule type="expression" dxfId="264" priority="232">
      <formula>IF(AQ53&gt;=AR53,IF(AQ53="",FALSE,TRUE))</formula>
    </cfRule>
  </conditionalFormatting>
  <conditionalFormatting sqref="BG56 BE56">
    <cfRule type="expression" dxfId="247" priority="243">
      <formula>OR(IF(BE56&lt;BF56,TRUE),IF(AND(BF56="",BE56&lt;&gt;""),TRUE))</formula>
    </cfRule>
    <cfRule type="expression" dxfId="246" priority="244">
      <formula>IF(BE56&gt;=BF56,IF(BE56="",FALSE,TRUE))</formula>
    </cfRule>
  </conditionalFormatting>
  <conditionalFormatting sqref="AZ55 AX55">
    <cfRule type="expression" dxfId="241" priority="237">
      <formula>OR(IF(AX55&lt;AY55,TRUE),IF(AND(AY55="",AX55&lt;&gt;""),TRUE))</formula>
    </cfRule>
    <cfRule type="expression" dxfId="240" priority="238">
      <formula>IF(AX55&gt;=AY55,IF(AX55="",FALSE,TRUE))</formula>
    </cfRule>
  </conditionalFormatting>
  <conditionalFormatting sqref="AL51:AL53 AJ51:AJ53">
    <cfRule type="expression" dxfId="235" priority="225">
      <formula>OR(IF(AJ51&lt;AK51,TRUE),IF(AND(AK51="",AJ51&lt;&gt;""),TRUE))</formula>
    </cfRule>
    <cfRule type="expression" dxfId="234" priority="226">
      <formula>IF(AJ51&gt;=AK51,IF(AJ51="",FALSE,TRUE))</formula>
    </cfRule>
  </conditionalFormatting>
  <conditionalFormatting sqref="AE50:AE52 AC50:AC52">
    <cfRule type="expression" dxfId="229" priority="219">
      <formula>OR(IF(AC50&lt;AD50,TRUE),IF(AND(AD50="",AC50&lt;&gt;""),TRUE))</formula>
    </cfRule>
    <cfRule type="expression" dxfId="228" priority="220">
      <formula>IF(AC50&gt;=AD50,IF(AC50="",FALSE,TRUE))</formula>
    </cfRule>
  </conditionalFormatting>
  <conditionalFormatting sqref="X48:X51 V43:V51">
    <cfRule type="expression" dxfId="223" priority="213">
      <formula>OR(IF(V43&lt;W43,TRUE),IF(AND(W43="",V43&lt;&gt;""),TRUE))</formula>
    </cfRule>
    <cfRule type="expression" dxfId="222" priority="214">
      <formula>IF(V43&gt;=W43,IF(V43="",FALSE,TRUE))</formula>
    </cfRule>
  </conditionalFormatting>
  <conditionalFormatting sqref="X43:X46">
    <cfRule type="expression" dxfId="221" priority="211">
      <formula>OR(IF(X43&lt;Y43,TRUE),IF(AND(Y43="",X43&lt;&gt;""),TRUE))</formula>
    </cfRule>
    <cfRule type="expression" dxfId="220" priority="212">
      <formula>IF(X43&gt;=Y43,IF(X43="",FALSE,TRUE))</formula>
    </cfRule>
  </conditionalFormatting>
  <conditionalFormatting sqref="BG35 BE35">
    <cfRule type="expression" dxfId="203" priority="193">
      <formula>OR(IF(BE35&lt;BF35,TRUE),IF(AND(BF35="",BE35&lt;&gt;""),TRUE))</formula>
    </cfRule>
    <cfRule type="expression" dxfId="202" priority="194">
      <formula>IF(BE35&gt;=BF35,IF(BE35="",FALSE,TRUE))</formula>
    </cfRule>
  </conditionalFormatting>
  <conditionalFormatting sqref="AL31:AL32 AJ31:AJ32">
    <cfRule type="expression" dxfId="159" priority="13">
      <formula>OR(IF(AJ31&lt;AK31,TRUE),IF(AND(AK31="",AJ31&lt;&gt;""),TRUE))</formula>
    </cfRule>
    <cfRule type="expression" dxfId="158" priority="14">
      <formula>IF(AJ31&gt;=AK31,IF(AJ31="",FALSE,TRUE))</formula>
    </cfRule>
  </conditionalFormatting>
  <conditionalFormatting sqref="AJ19 AL19">
    <cfRule type="expression" dxfId="157" priority="17">
      <formula>OR(IF(AJ19&lt;AK19,TRUE),IF(AND(AK19="",AJ19&lt;&gt;""),TRUE))</formula>
    </cfRule>
    <cfRule type="expression" dxfId="156" priority="18">
      <formula>IF(AJ19&gt;=AK19,IF(AJ19="",FALSE,TRUE))</formula>
    </cfRule>
  </conditionalFormatting>
  <conditionalFormatting sqref="AL20:AL28 AJ20:AJ28">
    <cfRule type="expression" dxfId="155" priority="15">
      <formula>OR(IF(AJ20&lt;AK20,TRUE),IF(AND(AK20="",AJ20&lt;&gt;""),TRUE))</formula>
    </cfRule>
    <cfRule type="expression" dxfId="154" priority="16">
      <formula>IF(AJ20&gt;=AK20,IF(AJ20="",FALSE,TRUE))</formula>
    </cfRule>
  </conditionalFormatting>
  <conditionalFormatting sqref="CI47">
    <cfRule type="expression" dxfId="123" priority="107">
      <formula>OR(IF(CI47&lt;CJ47,TRUE),IF(AND(CJ47="",CI47&lt;&gt;""),TRUE))</formula>
    </cfRule>
    <cfRule type="expression" dxfId="122" priority="108">
      <formula>IF(CI47&gt;=CJ47,IF(CI47="",FALSE,TRUE))</formula>
    </cfRule>
  </conditionalFormatting>
  <conditionalFormatting sqref="CI48:CI59 CG43:CG59">
    <cfRule type="expression" dxfId="121" priority="111">
      <formula>OR(IF(CG43&lt;CH43,TRUE),IF(AND(CH43="",CG43&lt;&gt;""),TRUE))</formula>
    </cfRule>
    <cfRule type="expression" dxfId="120" priority="112">
      <formula>IF(CG43&gt;=CH43,IF(CG43="",FALSE,TRUE))</formula>
    </cfRule>
  </conditionalFormatting>
  <conditionalFormatting sqref="CI43:CI46">
    <cfRule type="expression" dxfId="119" priority="109">
      <formula>OR(IF(CI43&lt;CJ43,TRUE),IF(AND(CJ43="",CI43&lt;&gt;""),TRUE))</formula>
    </cfRule>
    <cfRule type="expression" dxfId="118" priority="110">
      <formula>IF(CI43&gt;=CJ43,IF(CI43="",FALSE,TRUE))</formula>
    </cfRule>
  </conditionalFormatting>
  <conditionalFormatting sqref="CB47">
    <cfRule type="expression" dxfId="117" priority="101">
      <formula>OR(IF(CB47&lt;CC47,TRUE),IF(AND(CC47="",CB47&lt;&gt;""),TRUE))</formula>
    </cfRule>
    <cfRule type="expression" dxfId="116" priority="102">
      <formula>IF(CB47&gt;=CC47,IF(CB47="",FALSE,TRUE))</formula>
    </cfRule>
  </conditionalFormatting>
  <conditionalFormatting sqref="CB48:CB59 BZ43:BZ59">
    <cfRule type="expression" dxfId="115" priority="105">
      <formula>OR(IF(BZ43&lt;CA43,TRUE),IF(AND(CA43="",BZ43&lt;&gt;""),TRUE))</formula>
    </cfRule>
    <cfRule type="expression" dxfId="114" priority="106">
      <formula>IF(BZ43&gt;=CA43,IF(BZ43="",FALSE,TRUE))</formula>
    </cfRule>
  </conditionalFormatting>
  <conditionalFormatting sqref="CB43:CB46">
    <cfRule type="expression" dxfId="113" priority="103">
      <formula>OR(IF(CB43&lt;CC43,TRUE),IF(AND(CC43="",CB43&lt;&gt;""),TRUE))</formula>
    </cfRule>
    <cfRule type="expression" dxfId="112" priority="104">
      <formula>IF(CB43&gt;=CC43,IF(CB43="",FALSE,TRUE))</formula>
    </cfRule>
  </conditionalFormatting>
  <conditionalFormatting sqref="BU47">
    <cfRule type="expression" dxfId="111" priority="95">
      <formula>OR(IF(BU47&lt;BV47,TRUE),IF(AND(BV47="",BU47&lt;&gt;""),TRUE))</formula>
    </cfRule>
    <cfRule type="expression" dxfId="110" priority="96">
      <formula>IF(BU47&gt;=BV47,IF(BU47="",FALSE,TRUE))</formula>
    </cfRule>
  </conditionalFormatting>
  <conditionalFormatting sqref="BU48:BU58 BS43:BS58">
    <cfRule type="expression" dxfId="109" priority="99">
      <formula>OR(IF(BS43&lt;BT43,TRUE),IF(AND(BT43="",BS43&lt;&gt;""),TRUE))</formula>
    </cfRule>
    <cfRule type="expression" dxfId="108" priority="100">
      <formula>IF(BS43&gt;=BT43,IF(BS43="",FALSE,TRUE))</formula>
    </cfRule>
  </conditionalFormatting>
  <conditionalFormatting sqref="BU43:BU46">
    <cfRule type="expression" dxfId="107" priority="97">
      <formula>OR(IF(BU43&lt;BV43,TRUE),IF(AND(BV43="",BU43&lt;&gt;""),TRUE))</formula>
    </cfRule>
    <cfRule type="expression" dxfId="106" priority="98">
      <formula>IF(BU43&gt;=BV43,IF(BU43="",FALSE,TRUE))</formula>
    </cfRule>
  </conditionalFormatting>
  <conditionalFormatting sqref="BN47">
    <cfRule type="expression" dxfId="105" priority="89">
      <formula>OR(IF(BN47&lt;BO47,TRUE),IF(AND(BO47="",BN47&lt;&gt;""),TRUE))</formula>
    </cfRule>
    <cfRule type="expression" dxfId="104" priority="90">
      <formula>IF(BN47&gt;=BO47,IF(BN47="",FALSE,TRUE))</formula>
    </cfRule>
  </conditionalFormatting>
  <conditionalFormatting sqref="BN48:BN56 BL43:BL56">
    <cfRule type="expression" dxfId="103" priority="93">
      <formula>OR(IF(BL43&lt;BM43,TRUE),IF(AND(BM43="",BL43&lt;&gt;""),TRUE))</formula>
    </cfRule>
    <cfRule type="expression" dxfId="102" priority="94">
      <formula>IF(BL43&gt;=BM43,IF(BL43="",FALSE,TRUE))</formula>
    </cfRule>
  </conditionalFormatting>
  <conditionalFormatting sqref="BN43:BN46">
    <cfRule type="expression" dxfId="101" priority="91">
      <formula>OR(IF(BN43&lt;BO43,TRUE),IF(AND(BO43="",BN43&lt;&gt;""),TRUE))</formula>
    </cfRule>
    <cfRule type="expression" dxfId="100" priority="92">
      <formula>IF(BN43&gt;=BO43,IF(BN43="",FALSE,TRUE))</formula>
    </cfRule>
  </conditionalFormatting>
  <conditionalFormatting sqref="BG47">
    <cfRule type="expression" dxfId="99" priority="83">
      <formula>OR(IF(BG47&lt;BH47,TRUE),IF(AND(BH47="",BG47&lt;&gt;""),TRUE))</formula>
    </cfRule>
    <cfRule type="expression" dxfId="98" priority="84">
      <formula>IF(BG47&gt;=BH47,IF(BG47="",FALSE,TRUE))</formula>
    </cfRule>
  </conditionalFormatting>
  <conditionalFormatting sqref="BG48:BG55 BE43:BE55">
    <cfRule type="expression" dxfId="97" priority="87">
      <formula>OR(IF(BE43&lt;BF43,TRUE),IF(AND(BF43="",BE43&lt;&gt;""),TRUE))</formula>
    </cfRule>
    <cfRule type="expression" dxfId="96" priority="88">
      <formula>IF(BE43&gt;=BF43,IF(BE43="",FALSE,TRUE))</formula>
    </cfRule>
  </conditionalFormatting>
  <conditionalFormatting sqref="BG43:BG46">
    <cfRule type="expression" dxfId="95" priority="85">
      <formula>OR(IF(BG43&lt;BH43,TRUE),IF(AND(BH43="",BG43&lt;&gt;""),TRUE))</formula>
    </cfRule>
    <cfRule type="expression" dxfId="94" priority="86">
      <formula>IF(BG43&gt;=BH43,IF(BG43="",FALSE,TRUE))</formula>
    </cfRule>
  </conditionalFormatting>
  <conditionalFormatting sqref="AZ47">
    <cfRule type="expression" dxfId="93" priority="77">
      <formula>OR(IF(AZ47&lt;BA47,TRUE),IF(AND(BA47="",AZ47&lt;&gt;""),TRUE))</formula>
    </cfRule>
    <cfRule type="expression" dxfId="92" priority="78">
      <formula>IF(AZ47&gt;=BA47,IF(AZ47="",FALSE,TRUE))</formula>
    </cfRule>
  </conditionalFormatting>
  <conditionalFormatting sqref="AZ48:AZ54 AX43:AX54">
    <cfRule type="expression" dxfId="91" priority="81">
      <formula>OR(IF(AX43&lt;AY43,TRUE),IF(AND(AY43="",AX43&lt;&gt;""),TRUE))</formula>
    </cfRule>
    <cfRule type="expression" dxfId="90" priority="82">
      <formula>IF(AX43&gt;=AY43,IF(AX43="",FALSE,TRUE))</formula>
    </cfRule>
  </conditionalFormatting>
  <conditionalFormatting sqref="AZ43:AZ46">
    <cfRule type="expression" dxfId="89" priority="79">
      <formula>OR(IF(AZ43&lt;BA43,TRUE),IF(AND(BA43="",AZ43&lt;&gt;""),TRUE))</formula>
    </cfRule>
    <cfRule type="expression" dxfId="88" priority="80">
      <formula>IF(AZ43&gt;=BA43,IF(AZ43="",FALSE,TRUE))</formula>
    </cfRule>
  </conditionalFormatting>
  <conditionalFormatting sqref="AS47">
    <cfRule type="expression" dxfId="87" priority="71">
      <formula>OR(IF(AS47&lt;AT47,TRUE),IF(AND(AT47="",AS47&lt;&gt;""),TRUE))</formula>
    </cfRule>
    <cfRule type="expression" dxfId="86" priority="72">
      <formula>IF(AS47&gt;=AT47,IF(AS47="",FALSE,TRUE))</formula>
    </cfRule>
  </conditionalFormatting>
  <conditionalFormatting sqref="AS48:AS52 AQ43:AQ52">
    <cfRule type="expression" dxfId="85" priority="75">
      <formula>OR(IF(AQ43&lt;AR43,TRUE),IF(AND(AR43="",AQ43&lt;&gt;""),TRUE))</formula>
    </cfRule>
    <cfRule type="expression" dxfId="84" priority="76">
      <formula>IF(AQ43&gt;=AR43,IF(AQ43="",FALSE,TRUE))</formula>
    </cfRule>
  </conditionalFormatting>
  <conditionalFormatting sqref="AS43:AS46">
    <cfRule type="expression" dxfId="83" priority="73">
      <formula>OR(IF(AS43&lt;AT43,TRUE),IF(AND(AT43="",AS43&lt;&gt;""),TRUE))</formula>
    </cfRule>
    <cfRule type="expression" dxfId="82" priority="74">
      <formula>IF(AS43&gt;=AT43,IF(AS43="",FALSE,TRUE))</formula>
    </cfRule>
  </conditionalFormatting>
  <conditionalFormatting sqref="AL47">
    <cfRule type="expression" dxfId="81" priority="65">
      <formula>OR(IF(AL47&lt;AM47,TRUE),IF(AND(AM47="",AL47&lt;&gt;""),TRUE))</formula>
    </cfRule>
    <cfRule type="expression" dxfId="80" priority="66">
      <formula>IF(AL47&gt;=AM47,IF(AL47="",FALSE,TRUE))</formula>
    </cfRule>
  </conditionalFormatting>
  <conditionalFormatting sqref="AL48:AL50 AJ43:AJ50">
    <cfRule type="expression" dxfId="79" priority="69">
      <formula>OR(IF(AJ43&lt;AK43,TRUE),IF(AND(AK43="",AJ43&lt;&gt;""),TRUE))</formula>
    </cfRule>
    <cfRule type="expression" dxfId="78" priority="70">
      <formula>IF(AJ43&gt;=AK43,IF(AJ43="",FALSE,TRUE))</formula>
    </cfRule>
  </conditionalFormatting>
  <conditionalFormatting sqref="AL43:AL46">
    <cfRule type="expression" dxfId="77" priority="67">
      <formula>OR(IF(AL43&lt;AM43,TRUE),IF(AND(AM43="",AL43&lt;&gt;""),TRUE))</formula>
    </cfRule>
    <cfRule type="expression" dxfId="76" priority="68">
      <formula>IF(AL43&gt;=AM43,IF(AL43="",FALSE,TRUE))</formula>
    </cfRule>
  </conditionalFormatting>
  <conditionalFormatting sqref="AE47">
    <cfRule type="expression" dxfId="75" priority="59">
      <formula>OR(IF(AE47&lt;AF47,TRUE),IF(AND(AF47="",AE47&lt;&gt;""),TRUE))</formula>
    </cfRule>
    <cfRule type="expression" dxfId="74" priority="60">
      <formula>IF(AE47&gt;=AF47,IF(AE47="",FALSE,TRUE))</formula>
    </cfRule>
  </conditionalFormatting>
  <conditionalFormatting sqref="AE48:AE49 AC43:AC49">
    <cfRule type="expression" dxfId="73" priority="63">
      <formula>OR(IF(AC43&lt;AD43,TRUE),IF(AND(AD43="",AC43&lt;&gt;""),TRUE))</formula>
    </cfRule>
    <cfRule type="expression" dxfId="72" priority="64">
      <formula>IF(AC43&gt;=AD43,IF(AC43="",FALSE,TRUE))</formula>
    </cfRule>
  </conditionalFormatting>
  <conditionalFormatting sqref="AE43:AE46">
    <cfRule type="expression" dxfId="71" priority="61">
      <formula>OR(IF(AE43&lt;AF43,TRUE),IF(AND(AF43="",AE43&lt;&gt;""),TRUE))</formula>
    </cfRule>
    <cfRule type="expression" dxfId="70" priority="62">
      <formula>IF(AE43&gt;=AF43,IF(AE43="",FALSE,TRUE))</formula>
    </cfRule>
  </conditionalFormatting>
  <conditionalFormatting sqref="BL19 BN19">
    <cfRule type="expression" dxfId="69" priority="57">
      <formula>OR(IF(BL19&lt;BM19,TRUE),IF(AND(BM19="",BL19&lt;&gt;""),TRUE))</formula>
    </cfRule>
    <cfRule type="expression" dxfId="68" priority="58">
      <formula>IF(BL19&gt;=BM19,IF(BL19="",FALSE,TRUE))</formula>
    </cfRule>
  </conditionalFormatting>
  <conditionalFormatting sqref="BN20:BN28 BL20:BL28">
    <cfRule type="expression" dxfId="67" priority="55">
      <formula>OR(IF(BL20&lt;BM20,TRUE),IF(AND(BM20="",BL20&lt;&gt;""),TRUE))</formula>
    </cfRule>
    <cfRule type="expression" dxfId="66" priority="56">
      <formula>IF(BL20&gt;=BM20,IF(BL20="",FALSE,TRUE))</formula>
    </cfRule>
  </conditionalFormatting>
  <conditionalFormatting sqref="BN31:BN37 BL31:BL37">
    <cfRule type="expression" dxfId="65" priority="53">
      <formula>OR(IF(BL31&lt;BM31,TRUE),IF(AND(BM31="",BL31&lt;&gt;""),TRUE))</formula>
    </cfRule>
    <cfRule type="expression" dxfId="64" priority="54">
      <formula>IF(BL31&gt;=BM31,IF(BL31="",FALSE,TRUE))</formula>
    </cfRule>
  </conditionalFormatting>
  <conditionalFormatting sqref="BL29:BL30">
    <cfRule type="expression" dxfId="63" priority="51">
      <formula>OR(IF(BL29&lt;BM29,TRUE),IF(AND(BM29="",BL29&lt;&gt;""),TRUE))</formula>
    </cfRule>
    <cfRule type="expression" dxfId="62" priority="52">
      <formula>IF(BL29&gt;=BM29,IF(BL29="",FALSE,TRUE))</formula>
    </cfRule>
  </conditionalFormatting>
  <conditionalFormatting sqref="BN29:BN30">
    <cfRule type="expression" dxfId="61" priority="49">
      <formula>OR(IF(BN29&lt;BO29,TRUE),IF(AND(BO29="",BN29&lt;&gt;""),TRUE))</formula>
    </cfRule>
    <cfRule type="expression" dxfId="60" priority="50">
      <formula>IF(BN29&gt;=BO29,IF(BN29="",FALSE,TRUE))</formula>
    </cfRule>
  </conditionalFormatting>
  <conditionalFormatting sqref="BE19 BG19">
    <cfRule type="expression" dxfId="59" priority="47">
      <formula>OR(IF(BE19&lt;BF19,TRUE),IF(AND(BF19="",BE19&lt;&gt;""),TRUE))</formula>
    </cfRule>
    <cfRule type="expression" dxfId="58" priority="48">
      <formula>IF(BE19&gt;=BF19,IF(BE19="",FALSE,TRUE))</formula>
    </cfRule>
  </conditionalFormatting>
  <conditionalFormatting sqref="BG20:BG28 BE20:BE28">
    <cfRule type="expression" dxfId="57" priority="45">
      <formula>OR(IF(BE20&lt;BF20,TRUE),IF(AND(BF20="",BE20&lt;&gt;""),TRUE))</formula>
    </cfRule>
    <cfRule type="expression" dxfId="56" priority="46">
      <formula>IF(BE20&gt;=BF20,IF(BE20="",FALSE,TRUE))</formula>
    </cfRule>
  </conditionalFormatting>
  <conditionalFormatting sqref="BG31:BG34 BE31:BE34">
    <cfRule type="expression" dxfId="55" priority="43">
      <formula>OR(IF(BE31&lt;BF31,TRUE),IF(AND(BF31="",BE31&lt;&gt;""),TRUE))</formula>
    </cfRule>
    <cfRule type="expression" dxfId="54" priority="44">
      <formula>IF(BE31&gt;=BF31,IF(BE31="",FALSE,TRUE))</formula>
    </cfRule>
  </conditionalFormatting>
  <conditionalFormatting sqref="BE29:BE30">
    <cfRule type="expression" dxfId="53" priority="41">
      <formula>OR(IF(BE29&lt;BF29,TRUE),IF(AND(BF29="",BE29&lt;&gt;""),TRUE))</formula>
    </cfRule>
    <cfRule type="expression" dxfId="52" priority="42">
      <formula>IF(BE29&gt;=BF29,IF(BE29="",FALSE,TRUE))</formula>
    </cfRule>
  </conditionalFormatting>
  <conditionalFormatting sqref="BG29:BG30">
    <cfRule type="expression" dxfId="51" priority="39">
      <formula>OR(IF(BG29&lt;BH29,TRUE),IF(AND(BH29="",BG29&lt;&gt;""),TRUE))</formula>
    </cfRule>
    <cfRule type="expression" dxfId="50" priority="40">
      <formula>IF(BG29&gt;=BH29,IF(BG29="",FALSE,TRUE))</formula>
    </cfRule>
  </conditionalFormatting>
  <conditionalFormatting sqref="AX19 AZ19">
    <cfRule type="expression" dxfId="49" priority="37">
      <formula>OR(IF(AX19&lt;AY19,TRUE),IF(AND(AY19="",AX19&lt;&gt;""),TRUE))</formula>
    </cfRule>
    <cfRule type="expression" dxfId="48" priority="38">
      <formula>IF(AX19&gt;=AY19,IF(AX19="",FALSE,TRUE))</formula>
    </cfRule>
  </conditionalFormatting>
  <conditionalFormatting sqref="AZ20:AZ28 AX20:AX28">
    <cfRule type="expression" dxfId="47" priority="35">
      <formula>OR(IF(AX20&lt;AY20,TRUE),IF(AND(AY20="",AX20&lt;&gt;""),TRUE))</formula>
    </cfRule>
    <cfRule type="expression" dxfId="46" priority="36">
      <formula>IF(AX20&gt;=AY20,IF(AX20="",FALSE,TRUE))</formula>
    </cfRule>
  </conditionalFormatting>
  <conditionalFormatting sqref="AZ31:AZ33 AX31:AX33">
    <cfRule type="expression" dxfId="45" priority="33">
      <formula>OR(IF(AX31&lt;AY31,TRUE),IF(AND(AY31="",AX31&lt;&gt;""),TRUE))</formula>
    </cfRule>
    <cfRule type="expression" dxfId="44" priority="34">
      <formula>IF(AX31&gt;=AY31,IF(AX31="",FALSE,TRUE))</formula>
    </cfRule>
  </conditionalFormatting>
  <conditionalFormatting sqref="AX29:AX30">
    <cfRule type="expression" dxfId="43" priority="31">
      <formula>OR(IF(AX29&lt;AY29,TRUE),IF(AND(AY29="",AX29&lt;&gt;""),TRUE))</formula>
    </cfRule>
    <cfRule type="expression" dxfId="42" priority="32">
      <formula>IF(AX29&gt;=AY29,IF(AX29="",FALSE,TRUE))</formula>
    </cfRule>
  </conditionalFormatting>
  <conditionalFormatting sqref="AZ29:AZ30">
    <cfRule type="expression" dxfId="41" priority="29">
      <formula>OR(IF(AZ29&lt;BA29,TRUE),IF(AND(BA29="",AZ29&lt;&gt;""),TRUE))</formula>
    </cfRule>
    <cfRule type="expression" dxfId="40" priority="30">
      <formula>IF(AZ29&gt;=BA29,IF(AZ29="",FALSE,TRUE))</formula>
    </cfRule>
  </conditionalFormatting>
  <conditionalFormatting sqref="AQ19 AS19">
    <cfRule type="expression" dxfId="39" priority="27">
      <formula>OR(IF(AQ19&lt;AR19,TRUE),IF(AND(AR19="",AQ19&lt;&gt;""),TRUE))</formula>
    </cfRule>
    <cfRule type="expression" dxfId="38" priority="28">
      <formula>IF(AQ19&gt;=AR19,IF(AQ19="",FALSE,TRUE))</formula>
    </cfRule>
  </conditionalFormatting>
  <conditionalFormatting sqref="AS20:AS28 AQ20:AQ28">
    <cfRule type="expression" dxfId="37" priority="25">
      <formula>OR(IF(AQ20&lt;AR20,TRUE),IF(AND(AR20="",AQ20&lt;&gt;""),TRUE))</formula>
    </cfRule>
    <cfRule type="expression" dxfId="36" priority="26">
      <formula>IF(AQ20&gt;=AR20,IF(AQ20="",FALSE,TRUE))</formula>
    </cfRule>
  </conditionalFormatting>
  <conditionalFormatting sqref="AS31:AS33 AQ31:AQ33">
    <cfRule type="expression" dxfId="35" priority="23">
      <formula>OR(IF(AQ31&lt;AR31,TRUE),IF(AND(AR31="",AQ31&lt;&gt;""),TRUE))</formula>
    </cfRule>
    <cfRule type="expression" dxfId="34" priority="24">
      <formula>IF(AQ31&gt;=AR31,IF(AQ31="",FALSE,TRUE))</formula>
    </cfRule>
  </conditionalFormatting>
  <conditionalFormatting sqref="AQ29:AQ30">
    <cfRule type="expression" dxfId="33" priority="21">
      <formula>OR(IF(AQ29&lt;AR29,TRUE),IF(AND(AR29="",AQ29&lt;&gt;""),TRUE))</formula>
    </cfRule>
    <cfRule type="expression" dxfId="32" priority="22">
      <formula>IF(AQ29&gt;=AR29,IF(AQ29="",FALSE,TRUE))</formula>
    </cfRule>
  </conditionalFormatting>
  <conditionalFormatting sqref="AS29:AS30">
    <cfRule type="expression" dxfId="31" priority="19">
      <formula>OR(IF(AS29&lt;AT29,TRUE),IF(AND(AT29="",AS29&lt;&gt;""),TRUE))</formula>
    </cfRule>
    <cfRule type="expression" dxfId="30" priority="20">
      <formula>IF(AS29&gt;=AT29,IF(AS29="",FALSE,TRUE))</formula>
    </cfRule>
  </conditionalFormatting>
  <conditionalFormatting sqref="AJ29:AJ30">
    <cfRule type="expression" dxfId="23" priority="11">
      <formula>OR(IF(AJ29&lt;AK29,TRUE),IF(AND(AK29="",AJ29&lt;&gt;""),TRUE))</formula>
    </cfRule>
    <cfRule type="expression" dxfId="22" priority="12">
      <formula>IF(AJ29&gt;=AK29,IF(AJ29="",FALSE,TRUE))</formula>
    </cfRule>
  </conditionalFormatting>
  <conditionalFormatting sqref="AL29:AL30">
    <cfRule type="expression" dxfId="21" priority="9">
      <formula>OR(IF(AL29&lt;AM29,TRUE),IF(AND(AM29="",AL29&lt;&gt;""),TRUE))</formula>
    </cfRule>
    <cfRule type="expression" dxfId="20" priority="10">
      <formula>IF(AL29&gt;=AM29,IF(AL29="",FALSE,TRUE))</formula>
    </cfRule>
  </conditionalFormatting>
  <conditionalFormatting sqref="AC19 AE19">
    <cfRule type="expression" dxfId="19" priority="7">
      <formula>OR(IF(AC19&lt;AD19,TRUE),IF(AND(AD19="",AC19&lt;&gt;""),TRUE))</formula>
    </cfRule>
    <cfRule type="expression" dxfId="18" priority="8">
      <formula>IF(AC19&gt;=AD19,IF(AC19="",FALSE,TRUE))</formula>
    </cfRule>
  </conditionalFormatting>
  <conditionalFormatting sqref="AE20:AE28 AC20:AC28">
    <cfRule type="expression" dxfId="17" priority="5">
      <formula>OR(IF(AC20&lt;AD20,TRUE),IF(AND(AD20="",AC20&lt;&gt;""),TRUE))</formula>
    </cfRule>
    <cfRule type="expression" dxfId="16" priority="6">
      <formula>IF(AC20&gt;=AD20,IF(AC20="",FALSE,TRUE))</formula>
    </cfRule>
  </conditionalFormatting>
  <conditionalFormatting sqref="AC29:AC30">
    <cfRule type="expression" dxfId="15" priority="3">
      <formula>OR(IF(AC29&lt;AD29,TRUE),IF(AND(AD29="",AC29&lt;&gt;""),TRUE))</formula>
    </cfRule>
    <cfRule type="expression" dxfId="14" priority="4">
      <formula>IF(AC29&gt;=AD29,IF(AC29="",FALSE,TRUE))</formula>
    </cfRule>
  </conditionalFormatting>
  <conditionalFormatting sqref="AE29:AE30">
    <cfRule type="expression" dxfId="13" priority="1">
      <formula>OR(IF(AE29&lt;AF29,TRUE),IF(AND(AF29="",AE29&lt;&gt;""),TRUE))</formula>
    </cfRule>
    <cfRule type="expression" dxfId="12" priority="2">
      <formula>IF(AE29&gt;=AF29,IF(AE29="",FALSE,TRUE))</formula>
    </cfRule>
  </conditionalFormatting>
  <dataValidations count="1">
    <dataValidation type="list" allowBlank="1" showInputMessage="1" showErrorMessage="1" sqref="DI61:DL66 AX5:BA16 BE5:BH16 AJ5:AM16 BS5:BV16 V19:Y40 CU43:CX59 AC5:AF16 DP61:DS66 CU5:CX16 DW5:DZ16 BL61:BO66 AX61:BA66 BE61:BH66 AQ61:AT66 AC61:AF66 V61:Y66 O61:R66 CU61:CX66 DP5:DS16 DB5:DE16 DB61:DE66 DW61:DZ66 AJ61:AM66 DI5:DL16 CO5:CQ16 AQ19:AT40 BL5:BO16 DP43:DS59 DI43:DL59 DW43:DZ59 AJ43:AM59 O19:O28 BS43:BV59 CG43:CJ59 BZ43:CC59 BL43:BO59 BE43:BH59 AQ43:AT59 BZ5:CC16 BS61:BV66 AX43:BA59 CG5:CJ16 BZ61:CC66 AJ19:AM34 O43:R59 CG61:CJ66 CN43:CQ59 O5:R16 CN61:CQ66 CN5:CN17 DB43:DE59 AL18 AJ35:AJ40 CV19:CV41 CU19:CU40 V43:Y59 AQ5:AT16 CN19:CQ40 BL19:BO40 V5:Y16 DB19:DE40 CW19:CX40 CG19:CJ40 DP19:DS40 BS19:BV40 AX19:BA40 P19:R40 DI19:DL40 BE19:BH40 DW19:DZ40 BZ19:CC40 AC43:AF59 O33:O40 AL35:AM40 AC19:AF40"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B22" zoomScale="110" zoomScaleNormal="110" workbookViewId="0">
      <selection activeCell="B31" sqref="B31"/>
    </sheetView>
  </sheetViews>
  <sheetFormatPr baseColWidth="10" defaultColWidth="10.69921875" defaultRowHeight="15.6"/>
  <cols>
    <col min="2" max="2" width="161" customWidth="1"/>
    <col min="3" max="3" width="10.796875" style="2"/>
  </cols>
  <sheetData>
    <row r="4" spans="2:2" ht="21">
      <c r="B4" s="4" t="s">
        <v>16</v>
      </c>
    </row>
    <row r="6" spans="2:2">
      <c r="B6" s="3" t="s">
        <v>13</v>
      </c>
    </row>
    <row r="7" spans="2:2" ht="46.8">
      <c r="B7" s="1" t="s">
        <v>14</v>
      </c>
    </row>
    <row r="9" spans="2:2">
      <c r="B9" s="3" t="s">
        <v>15</v>
      </c>
    </row>
    <row r="10" spans="2:2" ht="62.4">
      <c r="B10" s="1" t="s">
        <v>36</v>
      </c>
    </row>
    <row r="12" spans="2:2">
      <c r="B12" s="3" t="s">
        <v>17</v>
      </c>
    </row>
    <row r="13" spans="2:2" ht="140.4">
      <c r="B13" s="1" t="s">
        <v>18</v>
      </c>
    </row>
    <row r="15" spans="2:2">
      <c r="B15" s="3" t="s">
        <v>19</v>
      </c>
    </row>
    <row r="16" spans="2:2" ht="109.2">
      <c r="B16" s="1" t="s">
        <v>20</v>
      </c>
    </row>
    <row r="17" spans="2:2">
      <c r="B17" s="1"/>
    </row>
    <row r="18" spans="2:2">
      <c r="B18" s="3" t="s">
        <v>35</v>
      </c>
    </row>
    <row r="19" spans="2:2" ht="140.4">
      <c r="B19" s="1" t="s">
        <v>37</v>
      </c>
    </row>
    <row r="21" spans="2:2">
      <c r="B21" s="3" t="s">
        <v>21</v>
      </c>
    </row>
    <row r="22" spans="2:2" ht="124.8">
      <c r="B22" s="1" t="s">
        <v>38</v>
      </c>
    </row>
    <row r="24" spans="2:2">
      <c r="B24" s="3" t="s">
        <v>22</v>
      </c>
    </row>
    <row r="25" spans="2:2" ht="124.8">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A7" sqref="A7"/>
    </sheetView>
  </sheetViews>
  <sheetFormatPr baseColWidth="10" defaultColWidth="10.69921875" defaultRowHeight="15.6"/>
  <cols>
    <col min="1" max="1" width="16.796875" style="11" customWidth="1"/>
    <col min="2" max="2" width="19.19921875" style="11" customWidth="1"/>
    <col min="3" max="3" width="18.19921875" style="11" customWidth="1"/>
    <col min="4" max="4" width="19.5" style="11" customWidth="1"/>
    <col min="8" max="8" width="15.19921875" customWidth="1"/>
    <col min="10" max="10" width="42" customWidth="1"/>
    <col min="11" max="11" width="28.5" customWidth="1"/>
  </cols>
  <sheetData>
    <row r="1" spans="1:11" ht="31.2">
      <c r="A1" s="11" t="s">
        <v>42</v>
      </c>
      <c r="B1" s="17" t="s">
        <v>39</v>
      </c>
      <c r="C1" s="17" t="s">
        <v>40</v>
      </c>
      <c r="D1" s="17" t="s">
        <v>41</v>
      </c>
      <c r="E1" s="1" t="s">
        <v>43</v>
      </c>
      <c r="F1" s="1" t="s">
        <v>44</v>
      </c>
      <c r="G1" s="1" t="s">
        <v>45</v>
      </c>
      <c r="H1" s="1" t="s">
        <v>46</v>
      </c>
      <c r="I1" s="1" t="s">
        <v>47</v>
      </c>
      <c r="J1" s="1" t="s">
        <v>48</v>
      </c>
      <c r="K1" s="1" t="s">
        <v>49</v>
      </c>
    </row>
    <row r="2" spans="1:11">
      <c r="A2" s="16">
        <v>44876</v>
      </c>
      <c r="D2" s="18">
        <v>1</v>
      </c>
    </row>
    <row r="3" spans="1:11">
      <c r="A3" s="16">
        <v>44877</v>
      </c>
    </row>
    <row r="4" spans="1:11">
      <c r="A4" s="16">
        <v>44878</v>
      </c>
    </row>
    <row r="5" spans="1:11">
      <c r="A5" s="16">
        <v>44879</v>
      </c>
    </row>
    <row r="6" spans="1:11">
      <c r="A6" s="16">
        <v>44880</v>
      </c>
    </row>
    <row r="7" spans="1:11">
      <c r="A7" s="16">
        <v>44881</v>
      </c>
    </row>
    <row r="8" spans="1:11">
      <c r="A8" s="16">
        <v>44882</v>
      </c>
    </row>
    <row r="9" spans="1:11">
      <c r="A9" s="16">
        <v>44883</v>
      </c>
    </row>
    <row r="10" spans="1:11">
      <c r="A10" s="16">
        <v>44884</v>
      </c>
    </row>
    <row r="11" spans="1:11">
      <c r="A11" s="16">
        <v>44885</v>
      </c>
    </row>
    <row r="12" spans="1:11">
      <c r="A12" s="16">
        <v>44886</v>
      </c>
    </row>
    <row r="13" spans="1:11">
      <c r="A13" s="16">
        <v>44887</v>
      </c>
    </row>
    <row r="14" spans="1:11">
      <c r="A14" s="16">
        <v>44888</v>
      </c>
    </row>
    <row r="15" spans="1:11">
      <c r="A15" s="16">
        <v>44889</v>
      </c>
    </row>
    <row r="16" spans="1:11">
      <c r="A16" s="16">
        <v>44890</v>
      </c>
    </row>
    <row r="17" spans="1:1">
      <c r="A17" s="16">
        <v>44891</v>
      </c>
    </row>
    <row r="18" spans="1:1">
      <c r="A18" s="16">
        <v>44892</v>
      </c>
    </row>
    <row r="19" spans="1:1">
      <c r="A19" s="16">
        <v>44893</v>
      </c>
    </row>
    <row r="20" spans="1:1">
      <c r="A20" s="16">
        <v>44894</v>
      </c>
    </row>
    <row r="21" spans="1:1">
      <c r="A21" s="16">
        <v>44895</v>
      </c>
    </row>
    <row r="22" spans="1:1">
      <c r="A22" s="16">
        <v>44896</v>
      </c>
    </row>
    <row r="23" spans="1:1">
      <c r="A23" s="16">
        <v>44897</v>
      </c>
    </row>
    <row r="24" spans="1:1">
      <c r="A24" s="16">
        <v>44898</v>
      </c>
    </row>
    <row r="25" spans="1:1">
      <c r="A25" s="16">
        <v>44899</v>
      </c>
    </row>
    <row r="26" spans="1:1">
      <c r="A26" s="16">
        <v>44900</v>
      </c>
    </row>
    <row r="27" spans="1:1">
      <c r="A27" s="16">
        <v>44901</v>
      </c>
    </row>
    <row r="28" spans="1:1">
      <c r="A28" s="16">
        <v>44902</v>
      </c>
    </row>
    <row r="29" spans="1:1">
      <c r="A29" s="16">
        <v>44903</v>
      </c>
    </row>
    <row r="30" spans="1:1">
      <c r="A30" s="16">
        <v>44904</v>
      </c>
    </row>
    <row r="31" spans="1:1">
      <c r="A31" s="16">
        <v>44905</v>
      </c>
    </row>
    <row r="32" spans="1:1">
      <c r="A32" s="16">
        <v>44906</v>
      </c>
    </row>
    <row r="33" spans="1:1">
      <c r="A33" s="16">
        <v>44907</v>
      </c>
    </row>
    <row r="34" spans="1:1">
      <c r="A34" s="16">
        <v>44908</v>
      </c>
    </row>
    <row r="35" spans="1:1">
      <c r="A35" s="16">
        <v>44909</v>
      </c>
    </row>
    <row r="36" spans="1:1">
      <c r="A36" s="16">
        <v>44910</v>
      </c>
    </row>
    <row r="37" spans="1:1">
      <c r="A37" s="16">
        <v>44911</v>
      </c>
    </row>
    <row r="38" spans="1:1">
      <c r="A38" s="16">
        <v>44912</v>
      </c>
    </row>
    <row r="39" spans="1:1">
      <c r="A39" s="16">
        <v>44913</v>
      </c>
    </row>
    <row r="40" spans="1:1">
      <c r="A40" s="16">
        <v>44914</v>
      </c>
    </row>
    <row r="41" spans="1:1">
      <c r="A41" s="16">
        <v>44915</v>
      </c>
    </row>
    <row r="42" spans="1:1">
      <c r="A42" s="16">
        <v>44916</v>
      </c>
    </row>
    <row r="43" spans="1:1">
      <c r="A43" s="16">
        <v>44917</v>
      </c>
    </row>
    <row r="44" spans="1:1">
      <c r="A44" s="16">
        <v>44918</v>
      </c>
    </row>
    <row r="45" spans="1:1">
      <c r="A45" s="16">
        <v>44919</v>
      </c>
    </row>
    <row r="46" spans="1:1">
      <c r="A46" s="16">
        <v>44920</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51"/>
  <sheetViews>
    <sheetView tabSelected="1" zoomScale="90" zoomScaleNormal="90" workbookViewId="0">
      <selection activeCell="K9" sqref="K9"/>
    </sheetView>
  </sheetViews>
  <sheetFormatPr baseColWidth="10" defaultColWidth="10.69921875" defaultRowHeight="15.6"/>
  <cols>
    <col min="2" max="3" width="15.5" customWidth="1"/>
    <col min="4" max="4" width="16.8984375" customWidth="1"/>
    <col min="5" max="5" width="14.3984375" customWidth="1"/>
    <col min="6" max="6" width="18.09765625" customWidth="1"/>
    <col min="7" max="7" width="14.09765625" customWidth="1"/>
    <col min="8" max="8" width="13.8984375" customWidth="1"/>
  </cols>
  <sheetData>
    <row r="1" spans="1:8" ht="24.6">
      <c r="B1" s="8" t="s">
        <v>25</v>
      </c>
    </row>
    <row r="3" spans="1:8">
      <c r="G3" s="2"/>
      <c r="H3" s="2"/>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0.42708333333333331</v>
      </c>
    </row>
    <row r="19" spans="1:1">
      <c r="A19" s="10">
        <v>0.4375</v>
      </c>
    </row>
    <row r="20" spans="1:1">
      <c r="A20" s="10">
        <v>0.45833333333333398</v>
      </c>
    </row>
    <row r="21" spans="1:1">
      <c r="A21" s="10">
        <v>0.48958333333333331</v>
      </c>
    </row>
    <row r="22" spans="1:1">
      <c r="A22" s="10">
        <v>0.47916666666666702</v>
      </c>
    </row>
    <row r="23" spans="1:1">
      <c r="A23" s="10">
        <v>0.5</v>
      </c>
    </row>
    <row r="24" spans="1:1">
      <c r="A24" s="10">
        <v>0.52083333333333404</v>
      </c>
    </row>
    <row r="25" spans="1:1">
      <c r="A25" s="10">
        <v>0.54166666666666696</v>
      </c>
    </row>
    <row r="26" spans="1:1">
      <c r="A26" s="10">
        <v>0.5625</v>
      </c>
    </row>
    <row r="27" spans="1:1">
      <c r="A27" s="10">
        <v>0.58333333333333404</v>
      </c>
    </row>
    <row r="28" spans="1:1">
      <c r="A28" s="10">
        <v>0.60416666666666696</v>
      </c>
    </row>
    <row r="29" spans="1:1">
      <c r="A29" s="10">
        <v>0.625000000000001</v>
      </c>
    </row>
    <row r="30" spans="1:1">
      <c r="A30" s="10">
        <v>0.64583333333333404</v>
      </c>
    </row>
    <row r="31" spans="1:1">
      <c r="A31" s="10">
        <v>0.66666666666666696</v>
      </c>
    </row>
    <row r="32" spans="1:1">
      <c r="A32" s="10">
        <v>0.67708333333333337</v>
      </c>
    </row>
    <row r="33" spans="1:1">
      <c r="A33" s="10">
        <v>0.687500000000001</v>
      </c>
    </row>
    <row r="34" spans="1:1">
      <c r="A34" s="10">
        <v>0.70833333333333404</v>
      </c>
    </row>
    <row r="35" spans="1:1">
      <c r="A35" s="10">
        <v>0.72916666666666696</v>
      </c>
    </row>
    <row r="36" spans="1:1">
      <c r="A36" s="10">
        <v>0.73958333333333337</v>
      </c>
    </row>
    <row r="37" spans="1:1">
      <c r="A37" s="10">
        <v>0.750000000000001</v>
      </c>
    </row>
    <row r="38" spans="1:1">
      <c r="A38" s="10">
        <v>0.77083333333333404</v>
      </c>
    </row>
    <row r="39" spans="1:1">
      <c r="A39" s="10">
        <v>0.79166666666666696</v>
      </c>
    </row>
    <row r="40" spans="1:1">
      <c r="A40" s="10">
        <v>0.812500000000001</v>
      </c>
    </row>
    <row r="41" spans="1:1">
      <c r="A41" s="10">
        <v>0.83333333333333404</v>
      </c>
    </row>
    <row r="42" spans="1:1">
      <c r="A42" s="10">
        <v>0.85416666666666696</v>
      </c>
    </row>
    <row r="43" spans="1:1">
      <c r="A43" s="10">
        <v>0.875000000000001</v>
      </c>
    </row>
    <row r="44" spans="1:1">
      <c r="A44" s="10">
        <v>0.89583333333333404</v>
      </c>
    </row>
    <row r="45" spans="1:1">
      <c r="A45" s="10">
        <v>0.91666666666666696</v>
      </c>
    </row>
    <row r="46" spans="1:1">
      <c r="A46" s="10">
        <v>0.937500000000001</v>
      </c>
    </row>
    <row r="47" spans="1:1">
      <c r="A47" s="10">
        <v>0.95833333333333404</v>
      </c>
    </row>
    <row r="48" spans="1:1">
      <c r="A48" s="10">
        <v>0.97916666666666696</v>
      </c>
    </row>
    <row r="49" spans="1:1">
      <c r="A49" s="10">
        <v>1</v>
      </c>
    </row>
    <row r="50" spans="1:1">
      <c r="A50" s="10">
        <v>1.0208333333333299</v>
      </c>
    </row>
    <row r="51" spans="1:1">
      <c r="A51"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J47"/>
  <sheetViews>
    <sheetView zoomScale="80" zoomScaleNormal="80" workbookViewId="0">
      <selection activeCell="D18" sqref="D18:D20"/>
    </sheetView>
  </sheetViews>
  <sheetFormatPr baseColWidth="10" defaultColWidth="10.69921875" defaultRowHeight="15.6"/>
  <sheetData>
    <row r="1" spans="1:10" ht="15.45" customHeight="1">
      <c r="B1" s="8" t="s">
        <v>25</v>
      </c>
    </row>
    <row r="4" spans="1:10">
      <c r="B4" s="3" t="s">
        <v>4</v>
      </c>
      <c r="C4" s="3" t="s">
        <v>5</v>
      </c>
      <c r="D4" s="3" t="s">
        <v>6</v>
      </c>
      <c r="E4" s="3" t="s">
        <v>7</v>
      </c>
      <c r="F4" s="3" t="s">
        <v>10</v>
      </c>
      <c r="G4" s="3" t="s">
        <v>8</v>
      </c>
      <c r="H4" s="3" t="s">
        <v>9</v>
      </c>
    </row>
    <row r="5" spans="1:10" ht="15.45" customHeight="1">
      <c r="A5" s="10">
        <v>0.16666666666666666</v>
      </c>
    </row>
    <row r="6" spans="1:10">
      <c r="A6" s="10">
        <v>0.1875</v>
      </c>
    </row>
    <row r="7" spans="1:10">
      <c r="A7" s="10">
        <v>0.20833333333333301</v>
      </c>
    </row>
    <row r="8" spans="1:10">
      <c r="A8" s="10">
        <v>0.22916666666666699</v>
      </c>
    </row>
    <row r="9" spans="1:10" ht="15.45" customHeight="1">
      <c r="A9" s="10">
        <v>0.25</v>
      </c>
    </row>
    <row r="10" spans="1:10">
      <c r="A10" s="10">
        <v>0.27083333333333398</v>
      </c>
    </row>
    <row r="11" spans="1:10">
      <c r="A11" s="10">
        <v>0.29166666666666702</v>
      </c>
    </row>
    <row r="12" spans="1:10">
      <c r="A12" s="10">
        <v>0.3125</v>
      </c>
      <c r="I12" s="2"/>
      <c r="J12" s="2"/>
    </row>
    <row r="13" spans="1:10" ht="15.45" customHeight="1">
      <c r="A13" s="10">
        <v>0.33333333333333398</v>
      </c>
      <c r="B13" s="25"/>
      <c r="C13" s="26"/>
      <c r="D13" s="27"/>
      <c r="E13" s="27"/>
      <c r="F13" s="27"/>
      <c r="G13" s="38"/>
      <c r="H13" s="38"/>
      <c r="I13" s="2"/>
      <c r="J13" s="2"/>
    </row>
    <row r="14" spans="1:10">
      <c r="A14" s="10">
        <v>0.35416666666666702</v>
      </c>
      <c r="B14" s="25"/>
      <c r="C14" s="26"/>
      <c r="D14" s="27"/>
      <c r="E14" s="39" t="s">
        <v>165</v>
      </c>
      <c r="F14" s="27"/>
      <c r="G14" s="42"/>
      <c r="H14" s="42"/>
      <c r="I14" s="2"/>
      <c r="J14" s="2"/>
    </row>
    <row r="15" spans="1:10">
      <c r="A15" s="10">
        <v>0.375</v>
      </c>
      <c r="B15" s="25"/>
      <c r="C15" s="26"/>
      <c r="D15" s="27"/>
      <c r="E15" s="40"/>
      <c r="F15" s="27"/>
      <c r="G15" s="42"/>
      <c r="H15" s="42"/>
      <c r="I15" s="33"/>
      <c r="J15" s="34"/>
    </row>
    <row r="16" spans="1:10">
      <c r="A16" s="10">
        <v>0.39583333333333398</v>
      </c>
      <c r="B16" s="25"/>
      <c r="C16" s="26"/>
      <c r="D16" s="27"/>
      <c r="E16" s="41"/>
      <c r="F16" s="27"/>
      <c r="G16" s="42"/>
      <c r="H16" s="42"/>
      <c r="I16" s="33"/>
      <c r="J16" s="34"/>
    </row>
    <row r="17" spans="1:10" ht="15.45" customHeight="1">
      <c r="A17" s="10">
        <v>0.41666666666666702</v>
      </c>
      <c r="B17" s="25"/>
      <c r="C17" s="28"/>
      <c r="D17" s="26"/>
      <c r="E17" s="28"/>
      <c r="F17" s="26"/>
      <c r="G17" s="42"/>
      <c r="H17" s="42"/>
      <c r="I17" s="33"/>
      <c r="J17" s="34"/>
    </row>
    <row r="18" spans="1:10">
      <c r="A18" s="10">
        <v>0.4375</v>
      </c>
      <c r="B18" s="25"/>
      <c r="C18" s="45" t="s">
        <v>158</v>
      </c>
      <c r="D18" s="45" t="s">
        <v>159</v>
      </c>
      <c r="E18" s="28"/>
      <c r="F18" s="45" t="s">
        <v>160</v>
      </c>
      <c r="G18" s="42"/>
      <c r="H18" s="42"/>
      <c r="I18" s="33"/>
      <c r="J18" s="34"/>
    </row>
    <row r="19" spans="1:10">
      <c r="A19" s="10">
        <v>0.45833333333333398</v>
      </c>
      <c r="B19" s="25"/>
      <c r="C19" s="46"/>
      <c r="D19" s="46"/>
      <c r="E19" s="28"/>
      <c r="F19" s="46"/>
      <c r="G19" s="42"/>
      <c r="H19" s="42"/>
      <c r="I19" s="33"/>
      <c r="J19" s="34"/>
    </row>
    <row r="20" spans="1:10">
      <c r="A20" s="10">
        <v>0.47916666666666702</v>
      </c>
      <c r="B20" s="25"/>
      <c r="C20" s="47"/>
      <c r="D20" s="47"/>
      <c r="E20" s="28"/>
      <c r="F20" s="47"/>
      <c r="G20" s="42"/>
      <c r="H20" s="42"/>
      <c r="I20" s="33"/>
      <c r="J20" s="34"/>
    </row>
    <row r="21" spans="1:10" ht="15.45" customHeight="1">
      <c r="A21" s="10">
        <v>0.5</v>
      </c>
      <c r="B21" s="25"/>
      <c r="C21" s="29"/>
      <c r="D21" s="26"/>
      <c r="E21" s="28"/>
      <c r="F21" s="26"/>
      <c r="G21" s="43"/>
      <c r="H21" s="44"/>
      <c r="I21" s="33"/>
      <c r="J21" s="34"/>
    </row>
    <row r="22" spans="1:10">
      <c r="A22" s="10">
        <v>0.52083333333333404</v>
      </c>
      <c r="B22" s="25"/>
      <c r="C22" s="45" t="s">
        <v>161</v>
      </c>
      <c r="D22" s="39" t="s">
        <v>166</v>
      </c>
      <c r="E22" s="27"/>
      <c r="F22" s="30"/>
      <c r="G22" s="43"/>
      <c r="H22" s="44"/>
      <c r="I22" s="33"/>
      <c r="J22" s="34"/>
    </row>
    <row r="23" spans="1:10">
      <c r="A23" s="10">
        <v>0.54166666666666696</v>
      </c>
      <c r="B23" s="25"/>
      <c r="C23" s="46"/>
      <c r="D23" s="40"/>
      <c r="E23" s="27"/>
      <c r="F23" s="30"/>
      <c r="G23" s="43"/>
      <c r="H23" s="44"/>
      <c r="I23" s="33"/>
      <c r="J23" s="34"/>
    </row>
    <row r="24" spans="1:10">
      <c r="A24" s="10">
        <v>0.5625</v>
      </c>
      <c r="B24" s="25"/>
      <c r="C24" s="47"/>
      <c r="D24" s="41"/>
      <c r="E24" s="27"/>
      <c r="F24" s="30"/>
      <c r="G24" s="43"/>
      <c r="H24" s="44"/>
      <c r="I24" s="33"/>
      <c r="J24" s="34"/>
    </row>
    <row r="25" spans="1:10" ht="15.45" customHeight="1">
      <c r="A25" s="10">
        <v>0.58333333333333404</v>
      </c>
      <c r="B25" s="25"/>
      <c r="C25" s="26"/>
      <c r="D25" s="26"/>
      <c r="E25" s="26"/>
      <c r="F25" s="28"/>
      <c r="G25" s="43"/>
      <c r="H25" s="44"/>
      <c r="I25" s="33"/>
      <c r="J25" s="34"/>
    </row>
    <row r="26" spans="1:10">
      <c r="A26" s="10">
        <v>0.60416666666666696</v>
      </c>
      <c r="B26" s="25"/>
      <c r="C26" s="45" t="s">
        <v>162</v>
      </c>
      <c r="D26" s="26"/>
      <c r="E26" s="30"/>
      <c r="F26" s="28"/>
      <c r="G26" s="43"/>
      <c r="H26" s="44"/>
      <c r="I26" s="33"/>
      <c r="J26" s="34"/>
    </row>
    <row r="27" spans="1:10">
      <c r="A27" s="10">
        <v>0.625000000000001</v>
      </c>
      <c r="B27" s="25"/>
      <c r="C27" s="46"/>
      <c r="D27" s="26"/>
      <c r="E27" s="30"/>
      <c r="F27" s="28"/>
      <c r="G27" s="43"/>
      <c r="H27" s="44"/>
      <c r="I27" s="33"/>
      <c r="J27" s="34"/>
    </row>
    <row r="28" spans="1:10">
      <c r="A28" s="10">
        <v>0.64583333333333404</v>
      </c>
      <c r="B28" s="25"/>
      <c r="C28" s="47"/>
      <c r="D28" s="26"/>
      <c r="E28" s="30"/>
      <c r="F28" s="28"/>
      <c r="G28" s="43"/>
      <c r="H28" s="44"/>
      <c r="I28" s="33"/>
      <c r="J28" s="34"/>
    </row>
    <row r="29" spans="1:10" ht="15.45" customHeight="1">
      <c r="A29" s="10">
        <v>0.66666666666666696</v>
      </c>
      <c r="B29" s="31"/>
      <c r="C29" s="28"/>
      <c r="D29" s="28" t="s">
        <v>163</v>
      </c>
      <c r="E29" s="26"/>
      <c r="F29" s="29"/>
      <c r="G29" s="43"/>
      <c r="H29" s="44"/>
      <c r="I29" s="33"/>
      <c r="J29" s="34"/>
    </row>
    <row r="30" spans="1:10">
      <c r="A30" s="10">
        <v>0.687500000000001</v>
      </c>
      <c r="B30" s="50" t="s">
        <v>164</v>
      </c>
      <c r="C30" s="28"/>
      <c r="D30" s="28"/>
      <c r="E30" s="26"/>
      <c r="F30" s="29"/>
      <c r="G30" s="43"/>
      <c r="H30" s="44"/>
      <c r="I30" s="33"/>
      <c r="J30" s="34"/>
    </row>
    <row r="31" spans="1:10">
      <c r="A31" s="10">
        <v>0.70833333333333404</v>
      </c>
      <c r="B31" s="51"/>
      <c r="C31" s="28"/>
      <c r="D31" s="28"/>
      <c r="E31" s="26"/>
      <c r="F31" s="29"/>
      <c r="G31" s="43"/>
      <c r="H31" s="44"/>
      <c r="I31" s="33"/>
      <c r="J31" s="34"/>
    </row>
    <row r="32" spans="1:10">
      <c r="A32" s="10">
        <v>0.72916666666666696</v>
      </c>
      <c r="B32" s="52"/>
      <c r="C32" s="28"/>
      <c r="D32" s="28"/>
      <c r="E32" s="26"/>
      <c r="F32" s="29"/>
      <c r="G32" s="43"/>
      <c r="H32" s="44"/>
      <c r="I32" s="33"/>
      <c r="J32" s="34"/>
    </row>
    <row r="33" spans="1:10">
      <c r="A33" s="10">
        <v>0.750000000000001</v>
      </c>
      <c r="B33" s="28"/>
      <c r="C33" s="26"/>
      <c r="D33" s="28"/>
      <c r="E33" s="28"/>
      <c r="F33" s="28"/>
      <c r="G33" s="48"/>
      <c r="H33" s="49"/>
      <c r="I33" s="33"/>
      <c r="J33" s="34"/>
    </row>
    <row r="34" spans="1:10">
      <c r="A34" s="10">
        <v>0.77083333333333404</v>
      </c>
      <c r="B34" s="28"/>
      <c r="C34" s="26"/>
      <c r="D34" s="28"/>
      <c r="E34" s="28"/>
      <c r="F34" s="28"/>
      <c r="G34" s="48"/>
      <c r="H34" s="49"/>
      <c r="I34" s="33"/>
      <c r="J34" s="34"/>
    </row>
    <row r="35" spans="1:10">
      <c r="A35" s="10">
        <v>0.79166666666666696</v>
      </c>
      <c r="B35" s="28"/>
      <c r="C35" s="26"/>
      <c r="D35" s="28"/>
      <c r="E35" s="28"/>
      <c r="F35" s="28"/>
      <c r="G35" s="48"/>
      <c r="H35" s="49"/>
      <c r="I35" s="32"/>
      <c r="J35" s="32"/>
    </row>
    <row r="36" spans="1:10">
      <c r="A36" s="10">
        <v>0.812500000000001</v>
      </c>
    </row>
    <row r="37" spans="1:10">
      <c r="A37" s="10">
        <v>0.83333333333333404</v>
      </c>
    </row>
    <row r="38" spans="1:10">
      <c r="A38" s="10">
        <v>0.85416666666666696</v>
      </c>
    </row>
    <row r="39" spans="1:10">
      <c r="A39" s="10">
        <v>0.875000000000001</v>
      </c>
    </row>
    <row r="40" spans="1:10">
      <c r="A40" s="10">
        <v>0.89583333333333404</v>
      </c>
    </row>
    <row r="41" spans="1:10">
      <c r="A41" s="10">
        <v>0.91666666666666696</v>
      </c>
    </row>
    <row r="42" spans="1:10">
      <c r="A42" s="10">
        <v>0.937500000000001</v>
      </c>
    </row>
    <row r="43" spans="1:10">
      <c r="A43" s="10">
        <v>0.95833333333333404</v>
      </c>
    </row>
    <row r="44" spans="1:10">
      <c r="A44" s="10">
        <v>0.97916666666666696</v>
      </c>
    </row>
    <row r="45" spans="1:10">
      <c r="A45" s="10">
        <v>1</v>
      </c>
    </row>
    <row r="46" spans="1:10">
      <c r="A46" s="10">
        <v>1.0208333333333299</v>
      </c>
    </row>
    <row r="47" spans="1:10">
      <c r="A47" s="10">
        <v>1.0416666666666701</v>
      </c>
    </row>
  </sheetData>
  <mergeCells count="31">
    <mergeCell ref="G33:H33"/>
    <mergeCell ref="G34:H34"/>
    <mergeCell ref="G35:H35"/>
    <mergeCell ref="G29:H29"/>
    <mergeCell ref="B30:B32"/>
    <mergeCell ref="G30:H30"/>
    <mergeCell ref="G31:H31"/>
    <mergeCell ref="G32:H32"/>
    <mergeCell ref="G25:H25"/>
    <mergeCell ref="C26:C28"/>
    <mergeCell ref="G26:H26"/>
    <mergeCell ref="G27:H27"/>
    <mergeCell ref="G28:H28"/>
    <mergeCell ref="G21:H21"/>
    <mergeCell ref="G16:H16"/>
    <mergeCell ref="G17:H17"/>
    <mergeCell ref="C22:C24"/>
    <mergeCell ref="D22:D24"/>
    <mergeCell ref="G22:H22"/>
    <mergeCell ref="G23:H23"/>
    <mergeCell ref="G24:H24"/>
    <mergeCell ref="C18:C20"/>
    <mergeCell ref="D18:D20"/>
    <mergeCell ref="F18:F20"/>
    <mergeCell ref="G18:H18"/>
    <mergeCell ref="G20:H20"/>
    <mergeCell ref="G13:H13"/>
    <mergeCell ref="E14:E16"/>
    <mergeCell ref="G14:H14"/>
    <mergeCell ref="G15:H15"/>
    <mergeCell ref="G19:H19"/>
  </mergeCells>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47</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arman zahedi</cp:lastModifiedBy>
  <dcterms:created xsi:type="dcterms:W3CDTF">2020-04-19T13:33:28Z</dcterms:created>
  <dcterms:modified xsi:type="dcterms:W3CDTF">2022-11-11T19:34:11Z</dcterms:modified>
</cp:coreProperties>
</file>