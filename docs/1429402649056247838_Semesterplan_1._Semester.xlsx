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dmitriy_oksak/Documents/Uni Münster/BWL/Semesterplanung/"/>
    </mc:Choice>
  </mc:AlternateContent>
  <xr:revisionPtr revIDLastSave="0" documentId="13_ncr:1_{0ED146D1-431A-774B-9C15-6452C8FCC3AC}" xr6:coauthVersionLast="47" xr6:coauthVersionMax="47" xr10:uidLastSave="{00000000-0000-0000-0000-000000000000}"/>
  <bookViews>
    <workbookView xWindow="0" yWindow="860" windowWidth="36000" windowHeight="2252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40" i="7" l="1"/>
  <c r="J40" i="7" a="1"/>
  <c r="J40" i="7" s="1"/>
  <c r="K40" i="7" a="1"/>
  <c r="K40" i="7" s="1"/>
  <c r="K9" i="7" l="1" a="1"/>
  <c r="K9" i="7" s="1"/>
  <c r="J9" i="7" a="1"/>
  <c r="J9" i="7" s="1"/>
  <c r="I9" i="7"/>
  <c r="K20" i="7" a="1"/>
  <c r="K20" i="7" s="1"/>
  <c r="J20" i="7" a="1"/>
  <c r="J20" i="7" s="1"/>
  <c r="I20" i="7"/>
  <c r="K19" i="7" a="1"/>
  <c r="K19" i="7" s="1"/>
  <c r="J19" i="7" a="1"/>
  <c r="J19" i="7" s="1"/>
  <c r="I19" i="7"/>
  <c r="K18" i="7" a="1"/>
  <c r="K18" i="7" s="1"/>
  <c r="J18" i="7" a="1"/>
  <c r="J18" i="7" s="1"/>
  <c r="I18" i="7"/>
  <c r="K17" i="7" a="1"/>
  <c r="K17" i="7" s="1"/>
  <c r="J17" i="7" a="1"/>
  <c r="J17" i="7" s="1"/>
  <c r="I17" i="7"/>
  <c r="K16" i="7" a="1"/>
  <c r="K16" i="7" s="1"/>
  <c r="J16" i="7" a="1"/>
  <c r="J16" i="7" s="1"/>
  <c r="I16" i="7"/>
  <c r="K15" i="7" a="1"/>
  <c r="K15" i="7" s="1"/>
  <c r="J15" i="7" a="1"/>
  <c r="J15" i="7" s="1"/>
  <c r="I15" i="7"/>
  <c r="K14" i="7" a="1"/>
  <c r="K14" i="7" s="1"/>
  <c r="J14" i="7" a="1"/>
  <c r="J14" i="7" s="1"/>
  <c r="I14" i="7"/>
  <c r="K13" i="7" a="1"/>
  <c r="K13" i="7" s="1"/>
  <c r="J13" i="7" a="1"/>
  <c r="J13" i="7" s="1"/>
  <c r="I13" i="7"/>
  <c r="K8" i="7" a="1"/>
  <c r="K8" i="7" s="1"/>
  <c r="J8" i="7" a="1"/>
  <c r="J8" i="7" s="1"/>
  <c r="I8" i="7"/>
  <c r="K7" i="7" a="1"/>
  <c r="K7" i="7" s="1"/>
  <c r="J7" i="7" a="1"/>
  <c r="J7" i="7" s="1"/>
  <c r="I7" i="7"/>
  <c r="K6" i="7" a="1"/>
  <c r="K6" i="7" s="1"/>
  <c r="J6" i="7" a="1"/>
  <c r="J6" i="7" s="1"/>
  <c r="I6" i="7"/>
  <c r="K48" i="7" a="1"/>
  <c r="K48" i="7" s="1"/>
  <c r="J48" i="7" a="1"/>
  <c r="J48" i="7" s="1"/>
  <c r="I48" i="7"/>
  <c r="K47" i="7" a="1"/>
  <c r="K47" i="7" s="1"/>
  <c r="J47" i="7" a="1"/>
  <c r="J47" i="7" s="1"/>
  <c r="I47" i="7"/>
  <c r="K46" i="7" a="1"/>
  <c r="K46" i="7" s="1"/>
  <c r="J46" i="7" a="1"/>
  <c r="J46" i="7" s="1"/>
  <c r="I46" i="7"/>
  <c r="K31" i="7" a="1"/>
  <c r="K31" i="7" s="1"/>
  <c r="J31" i="7" a="1"/>
  <c r="J31" i="7" s="1"/>
  <c r="I31" i="7"/>
  <c r="K30" i="7" a="1"/>
  <c r="K30" i="7" s="1"/>
  <c r="J30" i="7" a="1"/>
  <c r="J30" i="7" s="1"/>
  <c r="I30" i="7"/>
  <c r="K29" i="7" a="1"/>
  <c r="K29" i="7" s="1"/>
  <c r="J29" i="7" a="1"/>
  <c r="J29" i="7" s="1"/>
  <c r="I29" i="7"/>
  <c r="K28" i="7" a="1"/>
  <c r="K28" i="7" s="1"/>
  <c r="J28" i="7" a="1"/>
  <c r="J28" i="7" s="1"/>
  <c r="I28" i="7"/>
  <c r="K27" i="7" a="1"/>
  <c r="K27" i="7" s="1"/>
  <c r="J27" i="7" a="1"/>
  <c r="J27" i="7" s="1"/>
  <c r="I27" i="7"/>
  <c r="EQ87" i="7"/>
  <c r="EQ81" i="7"/>
  <c r="EQ73" i="7"/>
  <c r="EQ65" i="7"/>
  <c r="EQ58" i="7"/>
  <c r="EQ50" i="7"/>
  <c r="EQ36" i="7"/>
  <c r="EQ22" i="7"/>
  <c r="EQ4" i="7"/>
  <c r="EJ87" i="7"/>
  <c r="EJ81" i="7"/>
  <c r="EJ73" i="7"/>
  <c r="EJ65" i="7"/>
  <c r="EJ58" i="7"/>
  <c r="EJ50" i="7"/>
  <c r="EJ36" i="7"/>
  <c r="EJ22" i="7"/>
  <c r="EJ4" i="7"/>
  <c r="EC87" i="7"/>
  <c r="EC81" i="7"/>
  <c r="EC73" i="7"/>
  <c r="EC65" i="7"/>
  <c r="EC58" i="7"/>
  <c r="EC50" i="7"/>
  <c r="EC36" i="7"/>
  <c r="EC22" i="7"/>
  <c r="EC4" i="7"/>
  <c r="DV87" i="7"/>
  <c r="DV81" i="7"/>
  <c r="DV73" i="7"/>
  <c r="DV65" i="7"/>
  <c r="DV58" i="7"/>
  <c r="DV50" i="7"/>
  <c r="DV36" i="7"/>
  <c r="DV22" i="7"/>
  <c r="DV4" i="7"/>
  <c r="DO87" i="7"/>
  <c r="DO81" i="7"/>
  <c r="DO73" i="7"/>
  <c r="DO65" i="7"/>
  <c r="DO58" i="7"/>
  <c r="DO50" i="7"/>
  <c r="DO36" i="7"/>
  <c r="DO22" i="7"/>
  <c r="DO4" i="7"/>
  <c r="DH87" i="7"/>
  <c r="DH81" i="7"/>
  <c r="DH73" i="7"/>
  <c r="DH65" i="7"/>
  <c r="DH58" i="7"/>
  <c r="DH50" i="7"/>
  <c r="DH36" i="7"/>
  <c r="DH22" i="7"/>
  <c r="DH4" i="7"/>
  <c r="DA87" i="7"/>
  <c r="DA81" i="7"/>
  <c r="DA73" i="7"/>
  <c r="DA65" i="7"/>
  <c r="DA58" i="7"/>
  <c r="DA50" i="7"/>
  <c r="DA36" i="7"/>
  <c r="DA22" i="7"/>
  <c r="DA4" i="7"/>
  <c r="CT87" i="7"/>
  <c r="CT81" i="7"/>
  <c r="CT73" i="7"/>
  <c r="CT65" i="7"/>
  <c r="CT58" i="7"/>
  <c r="CT50" i="7"/>
  <c r="CT36" i="7"/>
  <c r="CT22" i="7"/>
  <c r="CT4" i="7"/>
  <c r="CM87" i="7"/>
  <c r="CM81" i="7"/>
  <c r="CM73" i="7"/>
  <c r="CM65" i="7"/>
  <c r="CM58" i="7"/>
  <c r="CM50" i="7"/>
  <c r="CM36" i="7"/>
  <c r="CM22" i="7"/>
  <c r="CM4" i="7"/>
  <c r="CF87" i="7"/>
  <c r="CF81" i="7"/>
  <c r="CF73" i="7"/>
  <c r="CF65" i="7"/>
  <c r="CF58" i="7"/>
  <c r="CF50" i="7"/>
  <c r="CF36" i="7"/>
  <c r="CF22" i="7"/>
  <c r="CF4" i="7"/>
  <c r="BY87" i="7"/>
  <c r="BY81" i="7"/>
  <c r="BY73" i="7"/>
  <c r="BY65" i="7"/>
  <c r="BY58" i="7"/>
  <c r="BY50" i="7"/>
  <c r="BY36" i="7"/>
  <c r="BY22" i="7"/>
  <c r="BY4" i="7"/>
  <c r="BR87" i="7"/>
  <c r="BR81" i="7"/>
  <c r="BR73" i="7"/>
  <c r="BR65" i="7"/>
  <c r="BR58" i="7"/>
  <c r="BR50" i="7"/>
  <c r="BR36" i="7"/>
  <c r="BR22" i="7"/>
  <c r="BR4" i="7"/>
  <c r="BK87" i="7"/>
  <c r="BK81" i="7"/>
  <c r="BK73" i="7"/>
  <c r="BK65" i="7"/>
  <c r="BK58" i="7"/>
  <c r="BK50" i="7"/>
  <c r="BK36" i="7"/>
  <c r="BK22" i="7"/>
  <c r="BK4" i="7"/>
  <c r="BD87" i="7"/>
  <c r="BD81" i="7"/>
  <c r="BD73" i="7"/>
  <c r="BD65" i="7"/>
  <c r="BD58" i="7"/>
  <c r="BD50" i="7"/>
  <c r="BD36" i="7"/>
  <c r="BD22" i="7"/>
  <c r="BD4" i="7"/>
  <c r="AW87" i="7"/>
  <c r="AW81" i="7"/>
  <c r="AW73" i="7"/>
  <c r="AW65" i="7"/>
  <c r="AW58" i="7"/>
  <c r="AW50" i="7"/>
  <c r="AW36" i="7"/>
  <c r="AW22" i="7"/>
  <c r="AW4" i="7"/>
  <c r="K12" i="7" a="1"/>
  <c r="K12" i="7" s="1"/>
  <c r="J12" i="7" a="1"/>
  <c r="J12" i="7" s="1"/>
  <c r="I12" i="7"/>
  <c r="K11" i="7" a="1"/>
  <c r="K11" i="7" s="1"/>
  <c r="J11" i="7" a="1"/>
  <c r="J11" i="7" s="1"/>
  <c r="I11" i="7"/>
  <c r="N22" i="7"/>
  <c r="K95" i="7" a="1"/>
  <c r="K95" i="7" s="1"/>
  <c r="J95" i="7" a="1"/>
  <c r="J95" i="7" s="1"/>
  <c r="I95" i="7"/>
  <c r="K94" i="7" a="1"/>
  <c r="K94" i="7" s="1"/>
  <c r="J94" i="7" a="1"/>
  <c r="J94" i="7" s="1"/>
  <c r="I94" i="7"/>
  <c r="K93" i="7" a="1"/>
  <c r="K93" i="7" s="1"/>
  <c r="J93" i="7" a="1"/>
  <c r="J93" i="7" s="1"/>
  <c r="I93" i="7"/>
  <c r="K92" i="7" a="1"/>
  <c r="K92" i="7" s="1"/>
  <c r="J92" i="7" a="1"/>
  <c r="J92" i="7" s="1"/>
  <c r="I92" i="7"/>
  <c r="K91" i="7" a="1"/>
  <c r="K91" i="7" s="1"/>
  <c r="J91" i="7" a="1"/>
  <c r="J91" i="7" s="1"/>
  <c r="I91" i="7"/>
  <c r="K90" i="7" a="1"/>
  <c r="K90" i="7" s="1"/>
  <c r="J90" i="7" a="1"/>
  <c r="J90" i="7" s="1"/>
  <c r="I90" i="7"/>
  <c r="K89" i="7" a="1"/>
  <c r="K89" i="7" s="1"/>
  <c r="J89" i="7" a="1"/>
  <c r="J89" i="7" s="1"/>
  <c r="I89" i="7"/>
  <c r="K88" i="7" a="1"/>
  <c r="K88" i="7" s="1"/>
  <c r="J88" i="7" a="1"/>
  <c r="J88" i="7" s="1"/>
  <c r="I88" i="7"/>
  <c r="AP87" i="7"/>
  <c r="AI87" i="7"/>
  <c r="AB87" i="7"/>
  <c r="U87" i="7"/>
  <c r="N87" i="7"/>
  <c r="G87" i="7"/>
  <c r="K85" i="7" a="1"/>
  <c r="K85" i="7" s="1"/>
  <c r="J85" i="7" a="1"/>
  <c r="J85" i="7" s="1"/>
  <c r="I85" i="7"/>
  <c r="K84" i="7" a="1"/>
  <c r="K84" i="7" s="1"/>
  <c r="J84" i="7" a="1"/>
  <c r="J84" i="7" s="1"/>
  <c r="I84" i="7"/>
  <c r="K83" i="7" a="1"/>
  <c r="K83" i="7" s="1"/>
  <c r="J83" i="7" a="1"/>
  <c r="J83" i="7" s="1"/>
  <c r="I83" i="7"/>
  <c r="K82" i="7" a="1"/>
  <c r="K82" i="7" s="1"/>
  <c r="J82" i="7" a="1"/>
  <c r="J82" i="7" s="1"/>
  <c r="I82" i="7"/>
  <c r="AP81" i="7"/>
  <c r="AI81" i="7"/>
  <c r="AB81" i="7"/>
  <c r="U81" i="7"/>
  <c r="N81" i="7"/>
  <c r="G81" i="7"/>
  <c r="K79" i="7" a="1"/>
  <c r="K79" i="7" s="1"/>
  <c r="J79" i="7" a="1"/>
  <c r="J79" i="7" s="1"/>
  <c r="I79" i="7"/>
  <c r="K78" i="7" a="1"/>
  <c r="K78" i="7" s="1"/>
  <c r="J78" i="7" a="1"/>
  <c r="J78" i="7" s="1"/>
  <c r="I78" i="7"/>
  <c r="K77" i="7" a="1"/>
  <c r="K77" i="7" s="1"/>
  <c r="J77" i="7" a="1"/>
  <c r="J77" i="7" s="1"/>
  <c r="I77" i="7"/>
  <c r="K76" i="7" a="1"/>
  <c r="K76" i="7" s="1"/>
  <c r="J76" i="7" a="1"/>
  <c r="J76" i="7" s="1"/>
  <c r="I76" i="7"/>
  <c r="K75" i="7" a="1"/>
  <c r="K75" i="7" s="1"/>
  <c r="J75" i="7" a="1"/>
  <c r="J75" i="7" s="1"/>
  <c r="I75" i="7"/>
  <c r="K74" i="7" a="1"/>
  <c r="K74" i="7" s="1"/>
  <c r="J74" i="7" a="1"/>
  <c r="J74" i="7" s="1"/>
  <c r="I74" i="7"/>
  <c r="AP73" i="7"/>
  <c r="AI73" i="7"/>
  <c r="AB73" i="7"/>
  <c r="U73" i="7"/>
  <c r="N73" i="7"/>
  <c r="G73" i="7"/>
  <c r="K71" i="7" a="1"/>
  <c r="K71" i="7" s="1"/>
  <c r="J71" i="7" a="1"/>
  <c r="J71" i="7" s="1"/>
  <c r="I71" i="7"/>
  <c r="K70" i="7" a="1"/>
  <c r="K70" i="7" s="1"/>
  <c r="J70" i="7" a="1"/>
  <c r="J70" i="7" s="1"/>
  <c r="I70" i="7"/>
  <c r="K69" i="7" a="1"/>
  <c r="K69" i="7" s="1"/>
  <c r="J69" i="7" a="1"/>
  <c r="J69" i="7" s="1"/>
  <c r="I69" i="7"/>
  <c r="K68" i="7" a="1"/>
  <c r="K68" i="7" s="1"/>
  <c r="J68" i="7" a="1"/>
  <c r="J68" i="7" s="1"/>
  <c r="I68" i="7"/>
  <c r="K67" i="7" a="1"/>
  <c r="K67" i="7" s="1"/>
  <c r="J67" i="7" a="1"/>
  <c r="J67" i="7" s="1"/>
  <c r="I67" i="7"/>
  <c r="K66" i="7" a="1"/>
  <c r="K66" i="7" s="1"/>
  <c r="J66" i="7" a="1"/>
  <c r="J66" i="7" s="1"/>
  <c r="I66" i="7"/>
  <c r="AP65" i="7"/>
  <c r="AI65" i="7"/>
  <c r="AB65" i="7"/>
  <c r="U65" i="7"/>
  <c r="N65" i="7"/>
  <c r="G65" i="7"/>
  <c r="C11" i="10"/>
  <c r="C7" i="10"/>
  <c r="K25" i="7" a="1"/>
  <c r="K25" i="7" s="1"/>
  <c r="J25" i="7" a="1"/>
  <c r="J25" i="7" s="1"/>
  <c r="I25" i="7"/>
  <c r="K24" i="7" a="1"/>
  <c r="K24" i="7" s="1"/>
  <c r="J24" i="7" a="1"/>
  <c r="J24" i="7" s="1"/>
  <c r="I2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AP58" i="7"/>
  <c r="AI58" i="7"/>
  <c r="AB58" i="7"/>
  <c r="U58" i="7"/>
  <c r="N58" i="7"/>
  <c r="G58"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AP50" i="7"/>
  <c r="AI50" i="7"/>
  <c r="AB50" i="7"/>
  <c r="U50" i="7"/>
  <c r="N50" i="7"/>
  <c r="G50" i="7"/>
  <c r="C12" i="10"/>
  <c r="K34" i="7" a="1"/>
  <c r="K34" i="7" s="1"/>
  <c r="J34" i="7" a="1"/>
  <c r="J34" i="7" s="1"/>
  <c r="K33" i="7" a="1"/>
  <c r="K33" i="7" s="1"/>
  <c r="J33" i="7" a="1"/>
  <c r="J33" i="7" s="1"/>
  <c r="K32" i="7" a="1"/>
  <c r="K32" i="7" s="1"/>
  <c r="J32" i="7" a="1"/>
  <c r="J32" i="7" s="1"/>
  <c r="K26" i="7" a="1"/>
  <c r="K26" i="7" s="1"/>
  <c r="J26" i="7" a="1"/>
  <c r="J26" i="7" s="1"/>
  <c r="K23" i="7" a="1"/>
  <c r="K23" i="7" s="1"/>
  <c r="J23" i="7" a="1"/>
  <c r="J23" i="7" s="1"/>
  <c r="K45" i="7" a="1"/>
  <c r="K45" i="7" s="1"/>
  <c r="J45" i="7" a="1"/>
  <c r="J45" i="7" s="1"/>
  <c r="K44" i="7" a="1"/>
  <c r="K44" i="7" s="1"/>
  <c r="J44" i="7" a="1"/>
  <c r="J44" i="7" s="1"/>
  <c r="K43" i="7" a="1"/>
  <c r="K43" i="7" s="1"/>
  <c r="J43" i="7" a="1"/>
  <c r="J43" i="7" s="1"/>
  <c r="K42" i="7" a="1"/>
  <c r="K42" i="7" s="1"/>
  <c r="J42" i="7" a="1"/>
  <c r="J42" i="7" s="1"/>
  <c r="K41" i="7" a="1"/>
  <c r="K41" i="7" s="1"/>
  <c r="J41" i="7" a="1"/>
  <c r="J41" i="7" s="1"/>
  <c r="K39" i="7" a="1"/>
  <c r="K39" i="7" s="1"/>
  <c r="J39" i="7" a="1"/>
  <c r="J39" i="7" s="1"/>
  <c r="K38" i="7" a="1"/>
  <c r="K38" i="7" s="1"/>
  <c r="J38" i="7" a="1"/>
  <c r="J38" i="7" s="1"/>
  <c r="K37" i="7" a="1"/>
  <c r="K37" i="7" s="1"/>
  <c r="J37" i="7" a="1"/>
  <c r="J37" i="7" s="1"/>
  <c r="K10" i="7" a="1"/>
  <c r="K10" i="7" s="1"/>
  <c r="J10" i="7" a="1"/>
  <c r="J10" i="7" s="1"/>
  <c r="K5" i="7" a="1"/>
  <c r="K5" i="7" s="1"/>
  <c r="J5" i="7" a="1"/>
  <c r="J5" i="7" s="1"/>
  <c r="AP22" i="7"/>
  <c r="AI22" i="7"/>
  <c r="AB22" i="7"/>
  <c r="U22" i="7"/>
  <c r="AP4" i="7"/>
  <c r="AI4" i="7"/>
  <c r="AB4" i="7"/>
  <c r="U4" i="7"/>
  <c r="N4" i="7"/>
  <c r="G4" i="7"/>
  <c r="AP36" i="7"/>
  <c r="AI36" i="7"/>
  <c r="AB36" i="7"/>
  <c r="U36" i="7"/>
  <c r="I45" i="7"/>
  <c r="I44" i="7"/>
  <c r="I43" i="7"/>
  <c r="I42" i="7"/>
  <c r="I41" i="7"/>
  <c r="I39" i="7"/>
  <c r="I38" i="7"/>
  <c r="I37" i="7"/>
  <c r="I34" i="7"/>
  <c r="I33" i="7"/>
  <c r="I32" i="7"/>
  <c r="I26" i="7"/>
  <c r="I23" i="7"/>
  <c r="I10" i="7"/>
  <c r="I5" i="7"/>
  <c r="N36" i="7"/>
  <c r="G36" i="7"/>
  <c r="G22" i="7"/>
  <c r="K73" i="7" l="1"/>
  <c r="I81" i="7"/>
  <c r="K87" i="7"/>
  <c r="K81" i="7"/>
  <c r="J81" i="7"/>
  <c r="I73" i="7"/>
  <c r="I65" i="7"/>
  <c r="I87" i="7"/>
  <c r="K65" i="7"/>
  <c r="J87" i="7"/>
  <c r="J73" i="7"/>
  <c r="J65" i="7"/>
  <c r="I58" i="7"/>
  <c r="I50" i="7"/>
  <c r="J58" i="7"/>
  <c r="K58" i="7"/>
  <c r="K50" i="7"/>
  <c r="J50" i="7"/>
  <c r="I36" i="7"/>
  <c r="J36" i="7"/>
  <c r="K36" i="7"/>
  <c r="I22" i="7"/>
  <c r="J22" i="7"/>
  <c r="K22"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<sst xmlns="http://schemas.openxmlformats.org/spreadsheetml/2006/main" count="598" uniqueCount="219">
  <si>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</si>
  <si>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</si>
  <si>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</si>
  <si>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</si>
  <si>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</si>
  <si>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</si>
  <si>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</si>
  <si>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</si>
  <si>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</si>
  <si>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</si>
  <si>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</si>
  <si>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</si>
  <si>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</si>
  <si>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</si>
  <si>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</si>
  <si>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</si>
  <si>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</si>
  <si>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</si>
  <si>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</si>
  <si>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</si>
  <si>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</si>
  <si>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</si>
  <si>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</si>
  <si>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</si>
  <si>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</si>
  <si>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</si>
  <si>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</si>
  <si>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</si>
  <si>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</si>
  <si>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</si>
  <si>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</si>
  <si>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</si>
  <si>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</si>
  <si>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</si>
  <si>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</si>
  <si>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</si>
  <si>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</si>
  <si>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</si>
  <si>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</si>
  <si>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</si>
  <si>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</si>
  <si>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</si>
  <si>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</si>
  <si>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</si>
  <si>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</si>
  <si>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</si>
  <si>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</si>
  <si>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</si>
  <si>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</si>
  <si>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</si>
  <si>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</si>
  <si>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</si>
  <si>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</si>
  <si>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</si>
  <si>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</si>
  <si>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</si>
  <si>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</si>
  <si>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</si>
  <si>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</si>
  <si>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</si>
  <si>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</si>
  <si>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</si>
  <si>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</si>
  <si>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</si>
  <si>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</si>
  <si>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</si>
  <si>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</si>
  <si>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</si>
  <si>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</si>
  <si>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</si>
  <si>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</si>
  <si>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</si>
  <si>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</si>
  <si>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</si>
  <si>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</si>
  <si>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</si>
  <si>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</si>
  <si>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</si>
  <si>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</si>
  <si>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</si>
  <si>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</si>
  <si>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</si>
  <si>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</si>
  <si>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</si>
  <si>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</si>
  <si>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</si>
  <si>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</si>
  <si>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</si>
  <si>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 xml:space="preserve">Allgemeine BWL (Term 1) </t>
  </si>
  <si>
    <t>Spezielle BWL (Term 1)</t>
  </si>
  <si>
    <t>You're the CEO (Term 2)</t>
  </si>
  <si>
    <t>1) Grundlagen</t>
  </si>
  <si>
    <t>1) Management</t>
  </si>
  <si>
    <t>2) Accounting</t>
  </si>
  <si>
    <t>3) Finance</t>
  </si>
  <si>
    <t>4) Marketing</t>
  </si>
  <si>
    <t>5) Enterpreneurship</t>
  </si>
  <si>
    <t>6) Digital Transformation</t>
  </si>
  <si>
    <t>1) Henkel</t>
  </si>
  <si>
    <t>2) Accenture</t>
  </si>
  <si>
    <t>3) Coolblue</t>
  </si>
  <si>
    <t>4) RWE</t>
  </si>
  <si>
    <t>5) Metro</t>
  </si>
  <si>
    <t>6) Flaschenpost</t>
  </si>
  <si>
    <t>1) Wert in der BWL</t>
  </si>
  <si>
    <t>2) BWL als Wissenschaft</t>
  </si>
  <si>
    <t>3) Data Analytics</t>
  </si>
  <si>
    <t>4) Kritisches Denken</t>
  </si>
  <si>
    <t>5) BWL-Kino</t>
  </si>
  <si>
    <t>3) Ansätze der Ethik</t>
  </si>
  <si>
    <t>5) Ethik der Rahmenordnung</t>
  </si>
  <si>
    <t>6) Ethik des Unternehmens</t>
  </si>
  <si>
    <t>1) Grundlagen der Ethik</t>
  </si>
  <si>
    <t>2) Moralprobleme</t>
  </si>
  <si>
    <t>4) Moral - Homo Oeconomicus</t>
  </si>
  <si>
    <t>emp. Forschung (Term 1&amp;2)</t>
  </si>
  <si>
    <t>13.10 - 19.10</t>
  </si>
  <si>
    <t>20.10 - 26.10</t>
  </si>
  <si>
    <t>27.10 - 02.11</t>
  </si>
  <si>
    <t>03.11 - 09.11</t>
  </si>
  <si>
    <t>10.11 - 16.11</t>
  </si>
  <si>
    <t>17.11 - 23.11</t>
  </si>
  <si>
    <t>24.11 - 30.11, vorgezogene Klausuren!</t>
  </si>
  <si>
    <t>01.12 - 07.12</t>
  </si>
  <si>
    <t>08.12 - 14.12</t>
  </si>
  <si>
    <t>15.12 - 21.12</t>
  </si>
  <si>
    <t>22.12 - 28.12</t>
  </si>
  <si>
    <t>29.12 - 04.01</t>
  </si>
  <si>
    <t>05.11 - 11.01</t>
  </si>
  <si>
    <t>12.01 - 18.01</t>
  </si>
  <si>
    <t>19.01 - 25.01</t>
  </si>
  <si>
    <t>26.01 - 01.02, Hausarbeit!</t>
  </si>
  <si>
    <t>02.02 - 08.02</t>
  </si>
  <si>
    <t>09.02 - 15.02, reguläre Klausuren!</t>
  </si>
  <si>
    <t>16.02 - 22.02, reguläre Klausuren!</t>
  </si>
  <si>
    <t>23.01 - 01.03, reguläre Klausuren!</t>
  </si>
  <si>
    <t>keine</t>
  </si>
  <si>
    <t>1) Einleitung</t>
  </si>
  <si>
    <t>1) Studie 1</t>
  </si>
  <si>
    <t>2) Studie 2</t>
  </si>
  <si>
    <t>3) Studie 3</t>
  </si>
  <si>
    <t>4) Studie 4</t>
  </si>
  <si>
    <t>2) Strategisches Vorgehen und Performance</t>
  </si>
  <si>
    <t>2.1) Marketingstrategie</t>
  </si>
  <si>
    <t>2.2) Vertriebsstrategie</t>
  </si>
  <si>
    <t>2.3) Fertigungsstrategie</t>
  </si>
  <si>
    <t>2.4) Personalstrategie</t>
  </si>
  <si>
    <t>2.5) Finanzstrategie</t>
  </si>
  <si>
    <t>3) Fazit</t>
  </si>
  <si>
    <t>2) Nachfrage und Angebot</t>
  </si>
  <si>
    <t>3) Normative Analyse</t>
  </si>
  <si>
    <t>4) Externalitäten</t>
  </si>
  <si>
    <t>5) Monopol</t>
  </si>
  <si>
    <t>6) Spieltheorie</t>
  </si>
  <si>
    <t>7) Asymmetrische Information</t>
  </si>
  <si>
    <t>8) Einführung in Makroökonomie</t>
  </si>
  <si>
    <t>9) Makroökonomie in der langen Frist</t>
  </si>
  <si>
    <t>10) Arbeitsmarkt</t>
  </si>
  <si>
    <t>11) Konjunkturelle Schwankungen</t>
  </si>
  <si>
    <t>12) Geldpolitik</t>
  </si>
  <si>
    <t>2) (Lineare) Funktionen</t>
  </si>
  <si>
    <t>3) Quadr. und Rat. Funktionen</t>
  </si>
  <si>
    <t>4) Exp., Log., Potenzfunktionen</t>
  </si>
  <si>
    <t>5) Trig., Stückweise def. Funkt.</t>
  </si>
  <si>
    <t>6) Folgen, Summenfolgen</t>
  </si>
  <si>
    <t>7) Konverg. Folgen und Reihen</t>
  </si>
  <si>
    <t>8) Finanzmathematik</t>
  </si>
  <si>
    <t>9) Funktionsgrenzw., Stetigkeit</t>
  </si>
  <si>
    <t>10) Ableitungsregeln, Eigensch.</t>
  </si>
  <si>
    <t>11) Funkt. nV, Differenz., Anw.</t>
  </si>
  <si>
    <t>12) Optimierung ohne NB</t>
  </si>
  <si>
    <t>13) Optimierung mit NB</t>
  </si>
  <si>
    <t>14) Komp. Stat</t>
  </si>
  <si>
    <t>15) Integrale, Stammfunkt., Reg.</t>
  </si>
  <si>
    <t>16) Mehrfachintegrale</t>
  </si>
  <si>
    <t>Klausur 18.02</t>
  </si>
  <si>
    <t>Klausur 19.02</t>
  </si>
  <si>
    <t>Hausarbeit 31.01</t>
  </si>
  <si>
    <t>Klausur 09.02</t>
  </si>
  <si>
    <t>Klausur 26.02</t>
  </si>
  <si>
    <t>Klausur 29.11</t>
  </si>
  <si>
    <t>48 Levelups</t>
  </si>
  <si>
    <t>36 Levelups</t>
  </si>
  <si>
    <t>18 Levelups</t>
  </si>
  <si>
    <t>15 Levelups</t>
  </si>
  <si>
    <t>21 Levelups</t>
  </si>
  <si>
    <t>Ethik (Term 1&amp;2)</t>
  </si>
  <si>
    <t>Mikroökonomik (Term 1&amp;2)</t>
  </si>
  <si>
    <t xml:space="preserve">Einführung in VWL (Term 1) </t>
  </si>
  <si>
    <t>Analysis für WiWi (Term 1&amp;2)</t>
  </si>
  <si>
    <t>BWL in Praxis (Term 2)</t>
  </si>
  <si>
    <t>2 Levelups</t>
  </si>
  <si>
    <t>4 Levelups</t>
  </si>
  <si>
    <t>3 Levelups</t>
  </si>
  <si>
    <t xml:space="preserve">216 Lev. ges. </t>
  </si>
  <si>
    <t>1 Levelup</t>
  </si>
  <si>
    <t>9 Levelups</t>
  </si>
  <si>
    <t>7 Levelups</t>
  </si>
  <si>
    <t>8 Levelups</t>
  </si>
  <si>
    <t>7,2 Lev./Wo.</t>
  </si>
  <si>
    <t>14,4 Lev./Wo.</t>
  </si>
  <si>
    <t>3,2 Lev./Wo.</t>
  </si>
  <si>
    <t>2) Mathe Refresher</t>
  </si>
  <si>
    <t>3) Optimale Wahl</t>
  </si>
  <si>
    <t>4) Nachfrage</t>
  </si>
  <si>
    <t>5) Marktnachfrage</t>
  </si>
  <si>
    <t>6) Technologie und Produktion</t>
  </si>
  <si>
    <t>7) Kostenminimierung &amp; -kurven</t>
  </si>
  <si>
    <t>8) Angebot</t>
  </si>
  <si>
    <t>9) Monopol</t>
  </si>
  <si>
    <t>10) komp. Gleichgewicht</t>
  </si>
  <si>
    <t>11) Oligopol</t>
  </si>
  <si>
    <t>12) Anwendungen</t>
  </si>
  <si>
    <t xml:space="preserve">2,25 Lev./Wo. </t>
  </si>
  <si>
    <t>1,3 Lev./Wo.</t>
  </si>
  <si>
    <t>1 Lev./Wo.</t>
  </si>
  <si>
    <t>1,2 Lev./Wo.</t>
  </si>
  <si>
    <t>2,25 Lev./Wo.</t>
  </si>
  <si>
    <t>7 Lev./Wo.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</si>
</sst>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000000"/>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10" fontId="0" fillId="0" borderId="0" xfId="0" applyNumberFormat="1"/>
    <xf numFmtId="0" fontId="1" fillId="2" borderId="0" xfId="0" applyFont="1" applyFill="1" applyAlignment="1">
      <alignment horizontal="center"/>
    </xf>
    <xf numFmtId="9" fontId="5" fillId="0" borderId="0" xfId="0" applyNumberFormat="1" applyFont="1"/>
    <xf numFmtId="0" fontId="5" fillId="0" borderId="0" xfId="0" applyFont="1"/>
  </cellXfs>
  <cellStyles count="1">
    <cellStyle name="Standard" xfId="0" builtinId="0"/>
  </cellStyles>
  <dxfs count="57">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56">
  <autoFilter ref="A1:K46" xr:uid="{6E266E34-2786-2747-BCE7-51B74867A564}"/>
  <tableColumns count="11">
    <tableColumn id="1" xr3:uid="{95FD92F7-3DC8-704D-A103-A7EDDAB255AB}" name="Datum" dataDxfId="55"/>
    <tableColumn id="2" xr3:uid="{F464D510-8166-E740-A343-FB84BDEF877F}" name="Lerneinheiten durchgezogen" dataDxfId="54"/>
    <tableColumn id="3" xr3:uid="{75F52B08-1A00-0848-BBE6-1EDF7B31B1AD}" name="Tagesplan erstellt" dataDxfId="53"/>
    <tableColumn id="4" xr3:uid="{E6B18D89-E799-AD48-9DAA-37AEE1D29011}" name="Konzentrationslevel" dataDxfId="5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49" sqref="B49"/>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f>6+8+11+7+10</f>
        <v>42</v>
      </c>
    </row>
    <row r="8" spans="1:4" x14ac:dyDescent="0.2">
      <c r="A8" t="s">
        <v>52</v>
      </c>
      <c r="B8" s="18" t="s">
        <v>51</v>
      </c>
      <c r="D8" t="s">
        <v>75</v>
      </c>
    </row>
    <row r="9" spans="1:4" x14ac:dyDescent="0.2">
      <c r="A9" t="s">
        <v>60</v>
      </c>
      <c r="B9" s="18" t="s">
        <v>73</v>
      </c>
      <c r="D9" t="s">
        <v>76</v>
      </c>
    </row>
    <row r="10" spans="1:4" x14ac:dyDescent="0.2">
      <c r="A10" t="s">
        <v>64</v>
      </c>
      <c r="B10" t="s">
        <v>63</v>
      </c>
      <c r="C10" s="16">
        <v>10.5</v>
      </c>
      <c r="D10" t="s">
        <v>59</v>
      </c>
    </row>
    <row r="11" spans="1:4" x14ac:dyDescent="0.2">
      <c r="A11" t="s">
        <v>65</v>
      </c>
      <c r="B11" t="s">
        <v>67</v>
      </c>
      <c r="C11" s="16">
        <f>42*3</f>
        <v>126</v>
      </c>
      <c r="D11" t="s">
        <v>66</v>
      </c>
    </row>
    <row r="12" spans="1:4" x14ac:dyDescent="0.2">
      <c r="A12" t="s">
        <v>69</v>
      </c>
      <c r="B12" t="s">
        <v>68</v>
      </c>
      <c r="C12" s="17">
        <f>C11/C10</f>
        <v>12</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V95"/>
  <sheetViews>
    <sheetView showGridLines="0" tabSelected="1" zoomScale="90" zoomScaleNormal="136" workbookViewId="0">
      <pane xSplit="12" topLeftCell="M1" activePane="topRight" state="frozen"/>
      <selection pane="topRight" activeCell="DK100" sqref="DK100"/>
    </sheetView>
  </sheetViews>
  <sheetFormatPr baseColWidth="10" defaultColWidth="8.83203125" defaultRowHeight="16" outlineLevelRow="1" x14ac:dyDescent="0.2"/>
  <cols>
    <col min="3" max="3" width="24.5" bestFit="1" customWidth="1"/>
    <col min="4" max="4" width="13" bestFit="1" customWidth="1"/>
    <col min="5" max="5" width="4.83203125" bestFit="1" customWidth="1"/>
    <col min="6" max="6" width="26.6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 min="139" max="139" width="2.5" customWidth="1"/>
    <col min="141" max="141" width="12.5" bestFit="1" customWidth="1"/>
    <col min="142" max="142" width="6.33203125" customWidth="1"/>
    <col min="143" max="143" width="14.83203125" bestFit="1" customWidth="1"/>
    <col min="144" max="144" width="6" customWidth="1"/>
    <col min="145" max="145" width="12.6640625" bestFit="1"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s>
  <sheetData>
    <row r="1" spans="2:152" ht="34" x14ac:dyDescent="0.4">
      <c r="B1" s="4" t="s">
        <v>0</v>
      </c>
      <c r="D1" s="4"/>
      <c r="G1" s="13" t="s">
        <v>34</v>
      </c>
      <c r="I1" s="13" t="s">
        <v>34</v>
      </c>
      <c r="J1" s="13" t="s">
        <v>34</v>
      </c>
      <c r="K1" s="13" t="s">
        <v>34</v>
      </c>
    </row>
    <row r="2" spans="2:152" x14ac:dyDescent="0.2">
      <c r="I2" s="21" t="s">
        <v>27</v>
      </c>
      <c r="J2" s="21"/>
      <c r="K2" s="21"/>
      <c r="L2" s="21"/>
      <c r="N2" s="21" t="s">
        <v>116</v>
      </c>
      <c r="O2" s="21"/>
      <c r="P2" s="21"/>
      <c r="Q2" s="21"/>
      <c r="R2" s="21"/>
      <c r="S2" s="21"/>
      <c r="U2" s="21" t="s">
        <v>117</v>
      </c>
      <c r="V2" s="21"/>
      <c r="W2" s="21"/>
      <c r="X2" s="21"/>
      <c r="Y2" s="21"/>
      <c r="Z2" s="21"/>
      <c r="AB2" s="21" t="s">
        <v>118</v>
      </c>
      <c r="AC2" s="21"/>
      <c r="AD2" s="21"/>
      <c r="AE2" s="21"/>
      <c r="AF2" s="21"/>
      <c r="AG2" s="21"/>
      <c r="AI2" s="21" t="s">
        <v>119</v>
      </c>
      <c r="AJ2" s="21"/>
      <c r="AK2" s="21"/>
      <c r="AL2" s="21"/>
      <c r="AM2" s="21"/>
      <c r="AN2" s="21"/>
      <c r="AP2" s="21" t="s">
        <v>120</v>
      </c>
      <c r="AQ2" s="21"/>
      <c r="AR2" s="21"/>
      <c r="AS2" s="21"/>
      <c r="AT2" s="21"/>
      <c r="AU2" s="21"/>
      <c r="AW2" s="21" t="s">
        <v>121</v>
      </c>
      <c r="AX2" s="21"/>
      <c r="AY2" s="21"/>
      <c r="AZ2" s="21"/>
      <c r="BA2" s="21"/>
      <c r="BB2" s="21"/>
      <c r="BD2" s="21" t="s">
        <v>122</v>
      </c>
      <c r="BE2" s="21"/>
      <c r="BF2" s="21"/>
      <c r="BG2" s="21"/>
      <c r="BH2" s="21"/>
      <c r="BI2" s="21"/>
      <c r="BK2" s="21" t="s">
        <v>123</v>
      </c>
      <c r="BL2" s="21"/>
      <c r="BM2" s="21"/>
      <c r="BN2" s="21"/>
      <c r="BO2" s="21"/>
      <c r="BP2" s="21"/>
      <c r="BR2" s="21" t="s">
        <v>124</v>
      </c>
      <c r="BS2" s="21"/>
      <c r="BT2" s="21"/>
      <c r="BU2" s="21"/>
      <c r="BV2" s="21"/>
      <c r="BW2" s="21"/>
      <c r="BY2" s="21" t="s">
        <v>125</v>
      </c>
      <c r="BZ2" s="21"/>
      <c r="CA2" s="21"/>
      <c r="CB2" s="21"/>
      <c r="CC2" s="21"/>
      <c r="CD2" s="21"/>
      <c r="CF2" s="21" t="s">
        <v>126</v>
      </c>
      <c r="CG2" s="21"/>
      <c r="CH2" s="21"/>
      <c r="CI2" s="21"/>
      <c r="CJ2" s="21"/>
      <c r="CK2" s="21"/>
      <c r="CM2" s="21" t="s">
        <v>127</v>
      </c>
      <c r="CN2" s="21"/>
      <c r="CO2" s="21"/>
      <c r="CP2" s="21"/>
      <c r="CQ2" s="21"/>
      <c r="CR2" s="21"/>
      <c r="CT2" s="21" t="s">
        <v>128</v>
      </c>
      <c r="CU2" s="21"/>
      <c r="CV2" s="21"/>
      <c r="CW2" s="21"/>
      <c r="CX2" s="21"/>
      <c r="CY2" s="21"/>
      <c r="DA2" s="21" t="s">
        <v>129</v>
      </c>
      <c r="DB2" s="21"/>
      <c r="DC2" s="21"/>
      <c r="DD2" s="21"/>
      <c r="DE2" s="21"/>
      <c r="DF2" s="21"/>
      <c r="DH2" s="21" t="s">
        <v>130</v>
      </c>
      <c r="DI2" s="21"/>
      <c r="DJ2" s="21"/>
      <c r="DK2" s="21"/>
      <c r="DL2" s="21"/>
      <c r="DM2" s="21"/>
      <c r="DO2" s="21" t="s">
        <v>131</v>
      </c>
      <c r="DP2" s="21"/>
      <c r="DQ2" s="21"/>
      <c r="DR2" s="21"/>
      <c r="DS2" s="21"/>
      <c r="DT2" s="21"/>
      <c r="DV2" s="21" t="s">
        <v>132</v>
      </c>
      <c r="DW2" s="21"/>
      <c r="DX2" s="21"/>
      <c r="DY2" s="21"/>
      <c r="DZ2" s="21"/>
      <c r="EA2" s="21"/>
      <c r="EC2" s="21" t="s">
        <v>133</v>
      </c>
      <c r="ED2" s="21"/>
      <c r="EE2" s="21"/>
      <c r="EF2" s="21"/>
      <c r="EG2" s="21"/>
      <c r="EH2" s="21"/>
      <c r="EJ2" s="21" t="s">
        <v>134</v>
      </c>
      <c r="EK2" s="21"/>
      <c r="EL2" s="21"/>
      <c r="EM2" s="21"/>
      <c r="EN2" s="21"/>
      <c r="EO2" s="21"/>
      <c r="EQ2" s="21" t="s">
        <v>135</v>
      </c>
      <c r="ER2" s="21"/>
      <c r="ES2" s="21"/>
      <c r="ET2" s="21"/>
      <c r="EU2" s="21"/>
      <c r="EV2" s="21"/>
    </row>
    <row r="3" spans="2:152"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c r="DV3" s="5" t="s">
        <v>11</v>
      </c>
      <c r="DW3" s="5" t="s">
        <v>2</v>
      </c>
      <c r="DX3" s="5" t="s">
        <v>33</v>
      </c>
      <c r="DY3" s="5" t="s">
        <v>3</v>
      </c>
      <c r="DZ3" s="5" t="s">
        <v>33</v>
      </c>
      <c r="EA3" s="5" t="s">
        <v>12</v>
      </c>
      <c r="EC3" s="5" t="s">
        <v>11</v>
      </c>
      <c r="ED3" s="5" t="s">
        <v>2</v>
      </c>
      <c r="EE3" s="5" t="s">
        <v>33</v>
      </c>
      <c r="EF3" s="5" t="s">
        <v>3</v>
      </c>
      <c r="EG3" s="5" t="s">
        <v>33</v>
      </c>
      <c r="EH3" s="5" t="s">
        <v>12</v>
      </c>
      <c r="EJ3" s="5" t="s">
        <v>11</v>
      </c>
      <c r="EK3" s="5" t="s">
        <v>2</v>
      </c>
      <c r="EL3" s="5" t="s">
        <v>33</v>
      </c>
      <c r="EM3" s="5" t="s">
        <v>3</v>
      </c>
      <c r="EN3" s="5" t="s">
        <v>33</v>
      </c>
      <c r="EO3" s="5" t="s">
        <v>12</v>
      </c>
      <c r="EQ3" s="5" t="s">
        <v>11</v>
      </c>
      <c r="ER3" s="5" t="s">
        <v>2</v>
      </c>
      <c r="ES3" s="5" t="s">
        <v>33</v>
      </c>
      <c r="ET3" s="5" t="s">
        <v>3</v>
      </c>
      <c r="EU3" s="5" t="s">
        <v>33</v>
      </c>
      <c r="EV3" s="5" t="s">
        <v>12</v>
      </c>
    </row>
    <row r="4" spans="2:152" x14ac:dyDescent="0.2">
      <c r="B4" t="s">
        <v>27</v>
      </c>
      <c r="C4" t="s">
        <v>189</v>
      </c>
      <c r="D4" s="19">
        <v>46071</v>
      </c>
      <c r="E4" s="9">
        <v>6</v>
      </c>
      <c r="G4" s="10">
        <f>+SUM(G5:G20)</f>
        <v>1</v>
      </c>
      <c r="I4" s="12">
        <f>+SUM(I5:I20)</f>
        <v>0</v>
      </c>
      <c r="J4" s="11">
        <f>+SUMPRODUCT(G5:G20,J5:J20)</f>
        <v>0</v>
      </c>
      <c r="K4" s="11">
        <f>+SUMPRODUCT(G5:G20,K5:K20)</f>
        <v>0</v>
      </c>
      <c r="L4" s="9" t="s">
        <v>181</v>
      </c>
      <c r="N4" s="12">
        <f>+SUM(N5:N20)</f>
        <v>0</v>
      </c>
      <c r="U4" s="12">
        <f>+SUM(U5:U20)</f>
        <v>0</v>
      </c>
      <c r="AB4" s="12">
        <f>+SUM(AB5:AB20)</f>
        <v>0</v>
      </c>
      <c r="AI4" s="12">
        <f>+SUM(AI5:AI20)</f>
        <v>0</v>
      </c>
      <c r="AP4" s="12">
        <f>+SUM(AP5:AP20)</f>
        <v>0</v>
      </c>
      <c r="AW4" s="12">
        <f>+SUM(AW5:AW20)</f>
        <v>0</v>
      </c>
      <c r="BD4" s="12">
        <f>+SUM(BD5:BD20)</f>
        <v>0</v>
      </c>
      <c r="BK4" s="12">
        <f>+SUM(BK5:BK20)</f>
        <v>0</v>
      </c>
      <c r="BR4" s="12">
        <f>+SUM(BR5:BR20)</f>
        <v>0</v>
      </c>
      <c r="BY4" s="12">
        <f>+SUM(BY5:BY20)</f>
        <v>0</v>
      </c>
      <c r="CF4" s="12">
        <f>+SUM(CF5:CF20)</f>
        <v>0</v>
      </c>
      <c r="CM4" s="12">
        <f>+SUM(CM5:CM20)</f>
        <v>0</v>
      </c>
      <c r="CT4" s="12">
        <f>+SUM(CT5:CT20)</f>
        <v>0</v>
      </c>
      <c r="DA4" s="12">
        <f>+SUM(DA5:DA20)</f>
        <v>0</v>
      </c>
      <c r="DH4" s="12">
        <f>+SUM(DH5:DH20)</f>
        <v>0</v>
      </c>
      <c r="DO4" s="12">
        <f>+SUM(DO5:DO20)</f>
        <v>0</v>
      </c>
      <c r="DV4" s="12">
        <f>+SUM(DV5:DV20)</f>
        <v>0</v>
      </c>
      <c r="EC4" s="12">
        <f>+SUM(EC5:EC20)</f>
        <v>0</v>
      </c>
      <c r="EJ4" s="12">
        <f>+SUM(EJ5:EJ20)</f>
        <v>0</v>
      </c>
      <c r="EO4" t="s">
        <v>175</v>
      </c>
      <c r="EQ4" s="12">
        <f>+SUM(EQ5:EQ20)</f>
        <v>0</v>
      </c>
    </row>
    <row r="5" spans="2:152" outlineLevel="1" x14ac:dyDescent="0.2">
      <c r="B5" t="s">
        <v>28</v>
      </c>
      <c r="C5" t="s">
        <v>189</v>
      </c>
      <c r="E5" s="9"/>
      <c r="F5" t="s">
        <v>91</v>
      </c>
      <c r="G5" s="10">
        <v>6.25E-2</v>
      </c>
      <c r="I5" s="9">
        <f t="shared" ref="I5:I20" si="0">+SUMIF($N$3:$XO$3,I$3,$N5:$XO5)</f>
        <v>0</v>
      </c>
      <c r="J5" s="11" cm="1">
        <f t="array" ref="J5">MAX(IF($N$3:$BW$3=$J$3,N5:BW5))</f>
        <v>0</v>
      </c>
      <c r="K5" s="11" cm="1">
        <f t="array" ref="K5">MAX(IF($N$3:$BW$3=$J$3,N5:BW5))</f>
        <v>0</v>
      </c>
      <c r="L5" s="9" t="s">
        <v>201</v>
      </c>
      <c r="O5" s="10"/>
      <c r="P5" s="10">
        <v>0.5</v>
      </c>
      <c r="Q5" s="10"/>
      <c r="R5" s="10">
        <v>0.5</v>
      </c>
      <c r="S5" t="s">
        <v>191</v>
      </c>
      <c r="V5" s="10"/>
      <c r="W5" s="10">
        <v>0.5</v>
      </c>
      <c r="X5" s="10"/>
      <c r="Y5" s="10">
        <v>0.5</v>
      </c>
      <c r="Z5" t="s">
        <v>192</v>
      </c>
      <c r="AC5" s="10"/>
      <c r="AD5" s="10">
        <v>0.8</v>
      </c>
      <c r="AE5" s="10"/>
      <c r="AF5" s="10">
        <v>0.8</v>
      </c>
      <c r="AG5" t="s">
        <v>193</v>
      </c>
      <c r="AJ5" s="10"/>
      <c r="AK5" s="10">
        <v>0.8</v>
      </c>
      <c r="AL5" s="10"/>
      <c r="AM5" s="10">
        <v>0.8</v>
      </c>
      <c r="AN5" t="s">
        <v>193</v>
      </c>
      <c r="AQ5" s="10"/>
      <c r="AR5" s="10">
        <v>0.8</v>
      </c>
      <c r="AS5" s="10"/>
      <c r="AT5" s="10">
        <v>0.8</v>
      </c>
      <c r="AU5" t="s">
        <v>192</v>
      </c>
      <c r="AX5" s="10"/>
      <c r="AY5" s="10">
        <v>0.8</v>
      </c>
      <c r="AZ5" s="10"/>
      <c r="BA5" s="10">
        <v>0.8</v>
      </c>
      <c r="BB5" t="s">
        <v>193</v>
      </c>
      <c r="BE5" s="10"/>
      <c r="BF5" s="10">
        <v>0.8</v>
      </c>
      <c r="BG5" s="10"/>
      <c r="BH5" s="10">
        <v>0.8</v>
      </c>
      <c r="BI5" t="s">
        <v>195</v>
      </c>
      <c r="BL5" s="10"/>
      <c r="BM5" s="10">
        <v>1</v>
      </c>
      <c r="BN5" s="10"/>
      <c r="BO5" s="10">
        <v>1</v>
      </c>
      <c r="BP5" t="s">
        <v>192</v>
      </c>
      <c r="BS5" s="10"/>
      <c r="BT5" s="10">
        <v>1</v>
      </c>
      <c r="BU5" s="10"/>
      <c r="BV5" s="10">
        <v>1</v>
      </c>
      <c r="BW5" t="s">
        <v>192</v>
      </c>
      <c r="BZ5" s="10"/>
      <c r="CA5" s="10">
        <v>1</v>
      </c>
      <c r="CB5" s="10"/>
      <c r="CC5" s="10">
        <v>1</v>
      </c>
      <c r="CD5" t="s">
        <v>192</v>
      </c>
      <c r="CG5" s="10"/>
      <c r="CH5" s="10">
        <v>1</v>
      </c>
      <c r="CI5" s="10"/>
      <c r="CJ5" s="10">
        <v>1</v>
      </c>
      <c r="CK5" t="s">
        <v>193</v>
      </c>
      <c r="CN5" s="10"/>
      <c r="CO5" s="10">
        <v>1</v>
      </c>
      <c r="CP5" s="10"/>
      <c r="CQ5" s="10">
        <v>1</v>
      </c>
      <c r="CR5" t="s">
        <v>193</v>
      </c>
      <c r="CU5" s="10"/>
      <c r="CV5" s="10">
        <v>1</v>
      </c>
      <c r="CW5" s="10"/>
      <c r="CX5" s="10">
        <v>1</v>
      </c>
      <c r="CY5" t="s">
        <v>193</v>
      </c>
      <c r="DB5" s="10"/>
      <c r="DC5" s="10">
        <v>1</v>
      </c>
      <c r="DD5" s="10"/>
      <c r="DE5" s="10">
        <v>1</v>
      </c>
      <c r="DF5" t="s">
        <v>193</v>
      </c>
      <c r="DI5" s="10"/>
      <c r="DJ5" s="10">
        <v>1</v>
      </c>
      <c r="DK5" s="10"/>
      <c r="DL5" s="10">
        <v>1</v>
      </c>
      <c r="DM5" t="s">
        <v>192</v>
      </c>
      <c r="DP5" s="10"/>
      <c r="DQ5" s="10"/>
      <c r="DR5" s="10"/>
      <c r="DS5" s="10"/>
      <c r="DW5" s="10"/>
      <c r="DX5" s="10"/>
      <c r="DY5" s="10"/>
      <c r="DZ5" s="10"/>
      <c r="ED5" s="10"/>
      <c r="EE5" s="10"/>
      <c r="EF5" s="10"/>
      <c r="EG5" s="10"/>
      <c r="EK5" s="10"/>
      <c r="EL5" s="10"/>
      <c r="EM5" s="10"/>
      <c r="EN5" s="10"/>
      <c r="ER5" s="10"/>
      <c r="ES5" s="10"/>
      <c r="ET5" s="10"/>
      <c r="EU5" s="10"/>
    </row>
    <row r="6" spans="2:152" outlineLevel="1" x14ac:dyDescent="0.2">
      <c r="B6" t="s">
        <v>28</v>
      </c>
      <c r="C6" t="s">
        <v>189</v>
      </c>
      <c r="E6" s="9"/>
      <c r="F6" t="s">
        <v>160</v>
      </c>
      <c r="G6" s="10">
        <v>6.25E-2</v>
      </c>
      <c r="I6" s="9">
        <f t="shared" si="0"/>
        <v>0</v>
      </c>
      <c r="J6" s="11" cm="1">
        <f t="array" ref="J6">MAX(IF($N$3:$BW$3=$J$3,N6:BW6))</f>
        <v>0</v>
      </c>
      <c r="K6" s="11" cm="1">
        <f t="array" ref="K6">MAX(IF($N$3:$BW$3=$J$3,N6:BW6))</f>
        <v>0</v>
      </c>
      <c r="L6" s="9"/>
      <c r="O6" s="10"/>
      <c r="P6" s="10">
        <v>0.5</v>
      </c>
      <c r="Q6" s="10"/>
      <c r="R6" s="10">
        <v>0.5</v>
      </c>
      <c r="V6" s="10"/>
      <c r="W6" s="10">
        <v>0.5</v>
      </c>
      <c r="X6" s="10"/>
      <c r="Y6" s="10">
        <v>0.5</v>
      </c>
      <c r="AC6" s="10"/>
      <c r="AD6" s="10">
        <v>0.5</v>
      </c>
      <c r="AE6" s="10"/>
      <c r="AF6" s="10">
        <v>0.5</v>
      </c>
      <c r="AJ6" s="10"/>
      <c r="AK6" s="10">
        <v>0.8</v>
      </c>
      <c r="AL6" s="10"/>
      <c r="AM6" s="10">
        <v>0.8</v>
      </c>
      <c r="AQ6" s="10"/>
      <c r="AR6" s="10">
        <v>0.8</v>
      </c>
      <c r="AS6" s="10"/>
      <c r="AT6" s="10">
        <v>0.8</v>
      </c>
      <c r="AX6" s="10"/>
      <c r="AY6" s="10">
        <v>0.8</v>
      </c>
      <c r="AZ6" s="10"/>
      <c r="BA6" s="10">
        <v>0.8</v>
      </c>
      <c r="BE6" s="10"/>
      <c r="BF6" s="10">
        <v>0.8</v>
      </c>
      <c r="BG6" s="10"/>
      <c r="BH6" s="10">
        <v>0.8</v>
      </c>
      <c r="BL6" s="10"/>
      <c r="BM6" s="10">
        <v>0.8</v>
      </c>
      <c r="BN6" s="10"/>
      <c r="BO6" s="10">
        <v>0.8</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v>1</v>
      </c>
      <c r="DD6" s="10"/>
      <c r="DE6" s="10">
        <v>1</v>
      </c>
      <c r="DI6" s="10"/>
      <c r="DJ6" s="10">
        <v>1</v>
      </c>
      <c r="DK6" s="10"/>
      <c r="DL6" s="10">
        <v>1</v>
      </c>
      <c r="DP6" s="10"/>
      <c r="DQ6" s="10"/>
      <c r="DR6" s="10"/>
      <c r="DS6" s="10"/>
      <c r="DW6" s="10"/>
      <c r="DX6" s="10"/>
      <c r="DY6" s="10"/>
      <c r="DZ6" s="10"/>
      <c r="ED6" s="10"/>
      <c r="EE6" s="10"/>
      <c r="EF6" s="10"/>
      <c r="EG6" s="10"/>
      <c r="EK6" s="10"/>
      <c r="EL6" s="10"/>
      <c r="EM6" s="10"/>
      <c r="EN6" s="10"/>
      <c r="ER6" s="10"/>
      <c r="ES6" s="10"/>
      <c r="ET6" s="10"/>
      <c r="EU6" s="10"/>
    </row>
    <row r="7" spans="2:152" outlineLevel="1" x14ac:dyDescent="0.2">
      <c r="B7" t="s">
        <v>28</v>
      </c>
      <c r="C7" t="s">
        <v>189</v>
      </c>
      <c r="E7" s="9"/>
      <c r="F7" t="s">
        <v>161</v>
      </c>
      <c r="G7" s="10">
        <v>6.25E-2</v>
      </c>
      <c r="I7" s="9">
        <f t="shared" si="0"/>
        <v>0</v>
      </c>
      <c r="J7" s="11" cm="1">
        <f t="array" ref="J7">MAX(IF($N$3:$BW$3=$J$3,N7:BW7))</f>
        <v>0</v>
      </c>
      <c r="K7" s="11" cm="1">
        <f t="array" ref="K7">MAX(IF($N$3:$BW$3=$J$3,N7:BW7))</f>
        <v>0</v>
      </c>
      <c r="L7" s="9"/>
      <c r="O7" s="10"/>
      <c r="P7" s="10"/>
      <c r="Q7" s="10"/>
      <c r="R7" s="10"/>
      <c r="V7" s="10"/>
      <c r="W7" s="10">
        <v>0.5</v>
      </c>
      <c r="X7" s="10"/>
      <c r="Y7" s="10">
        <v>0.5</v>
      </c>
      <c r="AC7" s="10"/>
      <c r="AD7" s="10">
        <v>0.5</v>
      </c>
      <c r="AE7" s="10"/>
      <c r="AF7" s="10">
        <v>0.5</v>
      </c>
      <c r="AJ7" s="10"/>
      <c r="AK7" s="10">
        <v>0.8</v>
      </c>
      <c r="AL7" s="10"/>
      <c r="AM7" s="10">
        <v>0.8</v>
      </c>
      <c r="AQ7" s="10"/>
      <c r="AR7" s="10">
        <v>0.8</v>
      </c>
      <c r="AS7" s="10"/>
      <c r="AT7" s="10">
        <v>0.8</v>
      </c>
      <c r="AX7" s="10"/>
      <c r="AY7" s="10">
        <v>0.8</v>
      </c>
      <c r="AZ7" s="10"/>
      <c r="BA7" s="10">
        <v>0.8</v>
      </c>
      <c r="BE7" s="10"/>
      <c r="BF7" s="10">
        <v>0.8</v>
      </c>
      <c r="BG7" s="10"/>
      <c r="BH7" s="10">
        <v>0.8</v>
      </c>
      <c r="BL7" s="10"/>
      <c r="BM7" s="10">
        <v>0.8</v>
      </c>
      <c r="BN7" s="10"/>
      <c r="BO7" s="10">
        <v>0.8</v>
      </c>
      <c r="BS7" s="10"/>
      <c r="BT7" s="10">
        <v>1</v>
      </c>
      <c r="BU7" s="10"/>
      <c r="BV7" s="10">
        <v>1</v>
      </c>
      <c r="BZ7" s="10"/>
      <c r="CA7" s="10">
        <v>1</v>
      </c>
      <c r="CB7" s="10"/>
      <c r="CC7" s="10">
        <v>1</v>
      </c>
      <c r="CG7" s="10"/>
      <c r="CH7" s="10">
        <v>1</v>
      </c>
      <c r="CI7" s="10"/>
      <c r="CJ7" s="10">
        <v>1</v>
      </c>
      <c r="CN7" s="10"/>
      <c r="CO7" s="10">
        <v>1</v>
      </c>
      <c r="CP7" s="10"/>
      <c r="CQ7" s="10">
        <v>1</v>
      </c>
      <c r="CU7" s="10"/>
      <c r="CV7" s="10">
        <v>1</v>
      </c>
      <c r="CW7" s="10"/>
      <c r="CX7" s="10">
        <v>1</v>
      </c>
      <c r="DB7" s="10"/>
      <c r="DC7" s="10">
        <v>1</v>
      </c>
      <c r="DD7" s="10"/>
      <c r="DE7" s="10">
        <v>1</v>
      </c>
      <c r="DI7" s="10"/>
      <c r="DJ7" s="10">
        <v>1</v>
      </c>
      <c r="DK7" s="10"/>
      <c r="DL7" s="10">
        <v>1</v>
      </c>
      <c r="DP7" s="10"/>
      <c r="DQ7" s="10"/>
      <c r="DR7" s="10"/>
      <c r="DS7" s="10"/>
      <c r="DW7" s="10"/>
      <c r="DX7" s="10"/>
      <c r="DY7" s="10"/>
      <c r="DZ7" s="10"/>
      <c r="ED7" s="10"/>
      <c r="EE7" s="10"/>
      <c r="EF7" s="10"/>
      <c r="EG7" s="10"/>
      <c r="EK7" s="10"/>
      <c r="EL7" s="10"/>
      <c r="EM7" s="10"/>
      <c r="EN7" s="10"/>
      <c r="ER7" s="10"/>
      <c r="ES7" s="10"/>
      <c r="ET7" s="10"/>
      <c r="EU7" s="10"/>
    </row>
    <row r="8" spans="2:152" outlineLevel="1" x14ac:dyDescent="0.2">
      <c r="B8" t="s">
        <v>28</v>
      </c>
      <c r="C8" t="s">
        <v>189</v>
      </c>
      <c r="E8" s="9"/>
      <c r="F8" t="s">
        <v>162</v>
      </c>
      <c r="G8" s="10">
        <v>6.25E-2</v>
      </c>
      <c r="I8" s="9">
        <f t="shared" si="0"/>
        <v>0</v>
      </c>
      <c r="J8" s="11" cm="1">
        <f t="array" ref="J8">MAX(IF($N$3:$BW$3=$J$3,N8:BW8))</f>
        <v>0</v>
      </c>
      <c r="K8" s="11" cm="1">
        <f t="array" ref="K8">MAX(IF($N$3:$BW$3=$J$3,N8:BW8))</f>
        <v>0</v>
      </c>
      <c r="L8" s="9"/>
      <c r="O8" s="10"/>
      <c r="P8" s="10"/>
      <c r="Q8" s="10"/>
      <c r="R8" s="10"/>
      <c r="V8" s="10"/>
      <c r="W8" s="10">
        <v>0.5</v>
      </c>
      <c r="X8" s="10"/>
      <c r="Y8" s="10">
        <v>0.5</v>
      </c>
      <c r="AC8" s="10"/>
      <c r="AD8" s="10">
        <v>0.5</v>
      </c>
      <c r="AE8" s="10"/>
      <c r="AF8" s="10">
        <v>0.5</v>
      </c>
      <c r="AJ8" s="10"/>
      <c r="AK8" s="10">
        <v>0.5</v>
      </c>
      <c r="AL8" s="10"/>
      <c r="AM8" s="10">
        <v>0.5</v>
      </c>
      <c r="AQ8" s="10"/>
      <c r="AR8" s="10">
        <v>0.8</v>
      </c>
      <c r="AS8" s="10"/>
      <c r="AT8" s="10">
        <v>0.8</v>
      </c>
      <c r="AX8" s="10"/>
      <c r="AY8" s="10">
        <v>0.8</v>
      </c>
      <c r="AZ8" s="10"/>
      <c r="BA8" s="10">
        <v>0.8</v>
      </c>
      <c r="BE8" s="10"/>
      <c r="BF8" s="10">
        <v>0.8</v>
      </c>
      <c r="BG8" s="10"/>
      <c r="BH8" s="10">
        <v>0.8</v>
      </c>
      <c r="BL8" s="10"/>
      <c r="BM8" s="10">
        <v>0.8</v>
      </c>
      <c r="BN8" s="10"/>
      <c r="BO8" s="10">
        <v>0.8</v>
      </c>
      <c r="BS8" s="10"/>
      <c r="BT8" s="10">
        <v>0.8</v>
      </c>
      <c r="BU8" s="10"/>
      <c r="BV8" s="10">
        <v>0.8</v>
      </c>
      <c r="BZ8" s="10"/>
      <c r="CA8" s="10">
        <v>1</v>
      </c>
      <c r="CB8" s="10"/>
      <c r="CC8" s="10">
        <v>1</v>
      </c>
      <c r="CG8" s="10"/>
      <c r="CH8" s="10">
        <v>1</v>
      </c>
      <c r="CI8" s="10"/>
      <c r="CJ8" s="10">
        <v>1</v>
      </c>
      <c r="CN8" s="10"/>
      <c r="CO8" s="10">
        <v>1</v>
      </c>
      <c r="CP8" s="10"/>
      <c r="CQ8" s="10">
        <v>1</v>
      </c>
      <c r="CU8" s="10"/>
      <c r="CV8" s="10">
        <v>1</v>
      </c>
      <c r="CW8" s="10"/>
      <c r="CX8" s="10">
        <v>1</v>
      </c>
      <c r="DB8" s="10"/>
      <c r="DC8" s="10">
        <v>1</v>
      </c>
      <c r="DD8" s="10"/>
      <c r="DE8" s="10">
        <v>1</v>
      </c>
      <c r="DI8" s="10"/>
      <c r="DJ8" s="10">
        <v>1</v>
      </c>
      <c r="DK8" s="10"/>
      <c r="DL8" s="10">
        <v>1</v>
      </c>
      <c r="DP8" s="10"/>
      <c r="DQ8" s="10"/>
      <c r="DR8" s="10"/>
      <c r="DS8" s="10"/>
      <c r="DW8" s="10"/>
      <c r="DX8" s="10"/>
      <c r="DY8" s="10"/>
      <c r="DZ8" s="10"/>
      <c r="ED8" s="10"/>
      <c r="EE8" s="10"/>
      <c r="EF8" s="10"/>
      <c r="EG8" s="10"/>
      <c r="EK8" s="10"/>
      <c r="EL8" s="10"/>
      <c r="EM8" s="10"/>
      <c r="EN8" s="10"/>
      <c r="ER8" s="10"/>
      <c r="ES8" s="10"/>
      <c r="ET8" s="10"/>
      <c r="EU8" s="10"/>
    </row>
    <row r="9" spans="2:152" outlineLevel="1" x14ac:dyDescent="0.2">
      <c r="B9" t="s">
        <v>28</v>
      </c>
      <c r="C9" t="s">
        <v>189</v>
      </c>
      <c r="E9" s="9"/>
      <c r="F9" t="s">
        <v>163</v>
      </c>
      <c r="G9" s="10">
        <v>6.25E-2</v>
      </c>
      <c r="I9" s="9">
        <f t="shared" si="0"/>
        <v>0</v>
      </c>
      <c r="J9" s="11" cm="1">
        <f t="array" ref="J9">MAX(IF($N$3:$BW$3=$J$3,N9:BW9))</f>
        <v>0</v>
      </c>
      <c r="K9" s="11" cm="1">
        <f t="array" ref="K9">MAX(IF($N$3:$BW$3=$J$3,N9:BW9))</f>
        <v>0</v>
      </c>
      <c r="L9" s="9"/>
      <c r="O9" s="10"/>
      <c r="P9" s="10"/>
      <c r="Q9" s="10"/>
      <c r="R9" s="10"/>
      <c r="V9" s="10"/>
      <c r="W9" s="10">
        <v>0.5</v>
      </c>
      <c r="X9" s="10"/>
      <c r="Y9" s="10">
        <v>0.5</v>
      </c>
      <c r="AC9" s="10"/>
      <c r="AD9" s="10">
        <v>0.5</v>
      </c>
      <c r="AE9" s="10"/>
      <c r="AF9" s="10">
        <v>0.5</v>
      </c>
      <c r="AJ9" s="10"/>
      <c r="AK9" s="10">
        <v>0.5</v>
      </c>
      <c r="AL9" s="10"/>
      <c r="AM9" s="10">
        <v>0.5</v>
      </c>
      <c r="AQ9" s="10"/>
      <c r="AR9" s="10">
        <v>0.8</v>
      </c>
      <c r="AS9" s="10"/>
      <c r="AT9" s="10">
        <v>0.8</v>
      </c>
      <c r="AX9" s="10"/>
      <c r="AY9" s="10">
        <v>0.8</v>
      </c>
      <c r="AZ9" s="10"/>
      <c r="BA9" s="10">
        <v>0.8</v>
      </c>
      <c r="BE9" s="10"/>
      <c r="BF9" s="10">
        <v>0.8</v>
      </c>
      <c r="BG9" s="10"/>
      <c r="BH9" s="10">
        <v>0.8</v>
      </c>
      <c r="BL9" s="10"/>
      <c r="BM9" s="10">
        <v>0.8</v>
      </c>
      <c r="BN9" s="10"/>
      <c r="BO9" s="10">
        <v>0.8</v>
      </c>
      <c r="BS9" s="10"/>
      <c r="BT9" s="10">
        <v>0.8</v>
      </c>
      <c r="BU9" s="10"/>
      <c r="BV9" s="10">
        <v>0.8</v>
      </c>
      <c r="BZ9" s="10"/>
      <c r="CA9" s="10">
        <v>1</v>
      </c>
      <c r="CB9" s="10"/>
      <c r="CC9" s="10">
        <v>1</v>
      </c>
      <c r="CG9" s="10"/>
      <c r="CH9" s="10">
        <v>1</v>
      </c>
      <c r="CI9" s="10"/>
      <c r="CJ9" s="10">
        <v>1</v>
      </c>
      <c r="CN9" s="10"/>
      <c r="CO9" s="10">
        <v>1</v>
      </c>
      <c r="CP9" s="10"/>
      <c r="CQ9" s="10">
        <v>1</v>
      </c>
      <c r="CU9" s="10"/>
      <c r="CV9" s="10">
        <v>1</v>
      </c>
      <c r="CW9" s="10"/>
      <c r="CX9" s="10">
        <v>1</v>
      </c>
      <c r="DB9" s="10"/>
      <c r="DC9" s="10">
        <v>1</v>
      </c>
      <c r="DD9" s="10"/>
      <c r="DE9" s="10">
        <v>1</v>
      </c>
      <c r="DI9" s="10"/>
      <c r="DJ9" s="10">
        <v>1</v>
      </c>
      <c r="DK9" s="10"/>
      <c r="DL9" s="10">
        <v>1</v>
      </c>
      <c r="DP9" s="10"/>
      <c r="DQ9" s="10"/>
      <c r="DR9" s="10"/>
      <c r="DS9" s="10"/>
      <c r="DW9" s="10"/>
      <c r="DX9" s="10"/>
      <c r="DY9" s="10"/>
      <c r="DZ9" s="10"/>
      <c r="ED9" s="10"/>
      <c r="EE9" s="10"/>
      <c r="EF9" s="10"/>
      <c r="EG9" s="10"/>
      <c r="EK9" s="10"/>
      <c r="EL9" s="10"/>
      <c r="EM9" s="10"/>
      <c r="EN9" s="10"/>
      <c r="ER9" s="10"/>
      <c r="ES9" s="10"/>
      <c r="ET9" s="10"/>
      <c r="EU9" s="10"/>
    </row>
    <row r="10" spans="2:152" outlineLevel="1" x14ac:dyDescent="0.2">
      <c r="B10" t="s">
        <v>28</v>
      </c>
      <c r="C10" t="s">
        <v>189</v>
      </c>
      <c r="E10" s="9"/>
      <c r="F10" t="s">
        <v>164</v>
      </c>
      <c r="G10" s="10">
        <v>6.25E-2</v>
      </c>
      <c r="I10" s="9">
        <f t="shared" si="0"/>
        <v>0</v>
      </c>
      <c r="J10" s="11" cm="1">
        <f t="array" ref="J10">MAX(IF($N$3:$BW$3=$J$3,N10:BW10))</f>
        <v>0</v>
      </c>
      <c r="K10" s="11" cm="1">
        <f t="array" ref="K10">MAX(IF($N$3:$BW$3=$J$3,N10:BW10))</f>
        <v>0</v>
      </c>
      <c r="L10" s="9" t="s">
        <v>194</v>
      </c>
      <c r="O10" s="10"/>
      <c r="P10" s="10"/>
      <c r="Q10" s="10"/>
      <c r="R10" s="10"/>
      <c r="V10" s="10"/>
      <c r="W10" s="10">
        <v>0.5</v>
      </c>
      <c r="X10" s="10"/>
      <c r="Y10" s="10">
        <v>0.5</v>
      </c>
      <c r="AC10" s="10"/>
      <c r="AD10" s="10">
        <v>0.5</v>
      </c>
      <c r="AE10" s="10"/>
      <c r="AF10" s="10">
        <v>0.5</v>
      </c>
      <c r="AJ10" s="10"/>
      <c r="AK10" s="10">
        <v>0.5</v>
      </c>
      <c r="AL10" s="10"/>
      <c r="AM10" s="10">
        <v>0.5</v>
      </c>
      <c r="AQ10" s="10"/>
      <c r="AR10" s="10">
        <v>0.5</v>
      </c>
      <c r="AS10" s="10"/>
      <c r="AT10" s="10">
        <v>0.5</v>
      </c>
      <c r="AX10" s="10"/>
      <c r="AY10" s="10">
        <v>0.8</v>
      </c>
      <c r="AZ10" s="10"/>
      <c r="BA10" s="10">
        <v>0.8</v>
      </c>
      <c r="BE10" s="10"/>
      <c r="BF10" s="10">
        <v>0.8</v>
      </c>
      <c r="BG10" s="10"/>
      <c r="BH10" s="10">
        <v>0.8</v>
      </c>
      <c r="BL10" s="10"/>
      <c r="BM10" s="10">
        <v>0.8</v>
      </c>
      <c r="BN10" s="10"/>
      <c r="BO10" s="10">
        <v>0.8</v>
      </c>
      <c r="BS10" s="10"/>
      <c r="BT10" s="10">
        <v>0.8</v>
      </c>
      <c r="BU10" s="10"/>
      <c r="BV10" s="10">
        <v>0.8</v>
      </c>
      <c r="BZ10" s="10"/>
      <c r="CA10" s="10">
        <v>0.8</v>
      </c>
      <c r="CB10" s="10"/>
      <c r="CC10" s="10">
        <v>0.8</v>
      </c>
      <c r="CG10" s="10"/>
      <c r="CH10" s="10">
        <v>1</v>
      </c>
      <c r="CI10" s="10"/>
      <c r="CJ10" s="10">
        <v>1</v>
      </c>
      <c r="CN10" s="10"/>
      <c r="CO10" s="10">
        <v>1</v>
      </c>
      <c r="CP10" s="10"/>
      <c r="CQ10" s="10">
        <v>1</v>
      </c>
      <c r="CU10" s="10"/>
      <c r="CV10" s="10">
        <v>1</v>
      </c>
      <c r="CW10" s="10"/>
      <c r="CX10" s="10">
        <v>1</v>
      </c>
      <c r="DB10" s="10"/>
      <c r="DC10" s="10">
        <v>1</v>
      </c>
      <c r="DD10" s="10"/>
      <c r="DE10" s="10">
        <v>1</v>
      </c>
      <c r="DI10" s="10"/>
      <c r="DJ10" s="10">
        <v>1</v>
      </c>
      <c r="DK10" s="10"/>
      <c r="DL10" s="10">
        <v>1</v>
      </c>
      <c r="DP10" s="10"/>
      <c r="DQ10" s="10"/>
      <c r="DR10" s="10"/>
      <c r="DS10" s="10"/>
      <c r="DW10" s="10"/>
      <c r="DX10" s="10"/>
      <c r="DY10" s="10"/>
      <c r="DZ10" s="10"/>
      <c r="ED10" s="10"/>
      <c r="EE10" s="10"/>
      <c r="EF10" s="10"/>
      <c r="EG10" s="10"/>
      <c r="EK10" s="10"/>
      <c r="EL10" s="10"/>
      <c r="EM10" s="10"/>
      <c r="EN10" s="10"/>
      <c r="ER10" s="10"/>
      <c r="ES10" s="10"/>
      <c r="ET10" s="10"/>
      <c r="EU10" s="10"/>
    </row>
    <row r="11" spans="2:152" outlineLevel="1" x14ac:dyDescent="0.2">
      <c r="B11" t="s">
        <v>28</v>
      </c>
      <c r="C11" t="s">
        <v>189</v>
      </c>
      <c r="E11" s="9"/>
      <c r="F11" t="s">
        <v>165</v>
      </c>
      <c r="G11" s="10">
        <v>6.25E-2</v>
      </c>
      <c r="I11" s="9">
        <f t="shared" si="0"/>
        <v>0</v>
      </c>
      <c r="J11" s="11" cm="1">
        <f t="array" ref="J11">MAX(IF($N$3:$BW$3=$J$3,N11:BW11))</f>
        <v>0</v>
      </c>
      <c r="K11" s="11" cm="1">
        <f t="array" ref="K11">MAX(IF($N$3:$BW$3=$J$3,N11:BW11))</f>
        <v>0</v>
      </c>
      <c r="L11" s="9" t="s">
        <v>200</v>
      </c>
      <c r="O11" s="10"/>
      <c r="P11" s="10"/>
      <c r="Q11" s="10"/>
      <c r="R11" s="10"/>
      <c r="V11" s="10"/>
      <c r="W11" s="10"/>
      <c r="X11" s="10"/>
      <c r="Y11" s="10"/>
      <c r="AC11" s="10"/>
      <c r="AD11" s="10">
        <v>0.5</v>
      </c>
      <c r="AE11" s="10"/>
      <c r="AF11" s="10">
        <v>0.5</v>
      </c>
      <c r="AJ11" s="10"/>
      <c r="AK11" s="10">
        <v>0.5</v>
      </c>
      <c r="AL11" s="10"/>
      <c r="AM11" s="10">
        <v>0.5</v>
      </c>
      <c r="AQ11" s="10"/>
      <c r="AR11" s="10">
        <v>0.5</v>
      </c>
      <c r="AS11" s="10"/>
      <c r="AT11" s="10">
        <v>0.5</v>
      </c>
      <c r="AX11" s="10"/>
      <c r="AY11" s="10">
        <v>0.5</v>
      </c>
      <c r="AZ11" s="10"/>
      <c r="BA11" s="10">
        <v>0.5</v>
      </c>
      <c r="BE11" s="10"/>
      <c r="BF11" s="10">
        <v>0.8</v>
      </c>
      <c r="BG11" s="10"/>
      <c r="BH11" s="10">
        <v>0.8</v>
      </c>
      <c r="BL11" s="10"/>
      <c r="BM11" s="10">
        <v>0.8</v>
      </c>
      <c r="BN11" s="10"/>
      <c r="BO11" s="10">
        <v>0.8</v>
      </c>
      <c r="BS11" s="10"/>
      <c r="BT11" s="10">
        <v>0.8</v>
      </c>
      <c r="BU11" s="10"/>
      <c r="BV11" s="10">
        <v>0.8</v>
      </c>
      <c r="BZ11" s="10"/>
      <c r="CA11" s="10">
        <v>0.8</v>
      </c>
      <c r="CB11" s="10"/>
      <c r="CC11" s="10">
        <v>0.8</v>
      </c>
      <c r="CG11" s="10"/>
      <c r="CH11" s="10">
        <v>0.8</v>
      </c>
      <c r="CI11" s="10"/>
      <c r="CJ11" s="10">
        <v>0.8</v>
      </c>
      <c r="CN11" s="10"/>
      <c r="CO11" s="10">
        <v>1</v>
      </c>
      <c r="CP11" s="10"/>
      <c r="CQ11" s="10">
        <v>1</v>
      </c>
      <c r="CU11" s="10"/>
      <c r="CV11" s="10">
        <v>1</v>
      </c>
      <c r="CW11" s="10"/>
      <c r="CX11" s="10">
        <v>1</v>
      </c>
      <c r="DB11" s="10"/>
      <c r="DC11" s="10">
        <v>1</v>
      </c>
      <c r="DD11" s="10"/>
      <c r="DE11" s="10">
        <v>1</v>
      </c>
      <c r="DI11" s="10"/>
      <c r="DJ11" s="10">
        <v>1</v>
      </c>
      <c r="DK11" s="10"/>
      <c r="DL11" s="10">
        <v>1</v>
      </c>
      <c r="DP11" s="10"/>
      <c r="DQ11" s="10"/>
      <c r="DR11" s="10"/>
      <c r="DS11" s="10"/>
      <c r="DW11" s="10"/>
      <c r="DX11" s="10"/>
      <c r="DY11" s="10"/>
      <c r="DZ11" s="10"/>
      <c r="ED11" s="10"/>
      <c r="EE11" s="10"/>
      <c r="EF11" s="10"/>
      <c r="EG11" s="10"/>
      <c r="EK11" s="10"/>
      <c r="EL11" s="10"/>
      <c r="EM11" s="10"/>
      <c r="EN11" s="10"/>
      <c r="ER11" s="10"/>
      <c r="ES11" s="10"/>
      <c r="ET11" s="10"/>
      <c r="EU11" s="10"/>
    </row>
    <row r="12" spans="2:152" outlineLevel="1" x14ac:dyDescent="0.2">
      <c r="B12" t="s">
        <v>28</v>
      </c>
      <c r="C12" t="s">
        <v>189</v>
      </c>
      <c r="E12" s="9"/>
      <c r="F12" t="s">
        <v>166</v>
      </c>
      <c r="G12" s="10">
        <v>6.25E-2</v>
      </c>
      <c r="I12" s="9">
        <f t="shared" si="0"/>
        <v>0</v>
      </c>
      <c r="J12" s="11" cm="1">
        <f t="array" ref="J12">MAX(IF($N$3:$BW$3=$J$3,N12:BW12))</f>
        <v>0</v>
      </c>
      <c r="K12" s="11" cm="1">
        <f t="array" ref="K12">MAX(IF($N$3:$BW$3=$J$3,N12:BW12))</f>
        <v>0</v>
      </c>
      <c r="L12" s="9"/>
      <c r="O12" s="10"/>
      <c r="P12" s="10"/>
      <c r="Q12" s="10"/>
      <c r="R12" s="10"/>
      <c r="V12" s="10"/>
      <c r="W12" s="10"/>
      <c r="X12" s="10"/>
      <c r="Y12" s="10"/>
      <c r="AC12" s="10"/>
      <c r="AD12" s="10">
        <v>0.5</v>
      </c>
      <c r="AE12" s="10"/>
      <c r="AF12" s="10">
        <v>0.5</v>
      </c>
      <c r="AJ12" s="10"/>
      <c r="AK12" s="10">
        <v>0.5</v>
      </c>
      <c r="AL12" s="10"/>
      <c r="AM12" s="10">
        <v>0.5</v>
      </c>
      <c r="AQ12" s="10"/>
      <c r="AR12" s="10">
        <v>0.5</v>
      </c>
      <c r="AS12" s="10"/>
      <c r="AT12" s="10">
        <v>0.5</v>
      </c>
      <c r="AX12" s="10"/>
      <c r="AY12" s="10">
        <v>0.5</v>
      </c>
      <c r="AZ12" s="10"/>
      <c r="BA12" s="10">
        <v>0.5</v>
      </c>
      <c r="BE12" s="10"/>
      <c r="BF12" s="10">
        <v>0.5</v>
      </c>
      <c r="BG12" s="10"/>
      <c r="BH12" s="10">
        <v>0.5</v>
      </c>
      <c r="BL12" s="10"/>
      <c r="BM12" s="10">
        <v>0.5</v>
      </c>
      <c r="BN12" s="10"/>
      <c r="BO12" s="10">
        <v>0.5</v>
      </c>
      <c r="BS12" s="10"/>
      <c r="BT12" s="10">
        <v>0.8</v>
      </c>
      <c r="BU12" s="10"/>
      <c r="BV12" s="10">
        <v>0.8</v>
      </c>
      <c r="BZ12" s="10"/>
      <c r="CA12" s="10">
        <v>0.8</v>
      </c>
      <c r="CB12" s="10"/>
      <c r="CC12" s="10">
        <v>0.8</v>
      </c>
      <c r="CG12" s="10"/>
      <c r="CH12" s="10">
        <v>0.8</v>
      </c>
      <c r="CI12" s="10"/>
      <c r="CJ12" s="10">
        <v>0.8</v>
      </c>
      <c r="CN12" s="10"/>
      <c r="CO12" s="10">
        <v>1</v>
      </c>
      <c r="CP12" s="10"/>
      <c r="CQ12" s="10">
        <v>1</v>
      </c>
      <c r="CU12" s="10"/>
      <c r="CV12" s="10">
        <v>1</v>
      </c>
      <c r="CW12" s="10"/>
      <c r="CX12" s="10">
        <v>1</v>
      </c>
      <c r="DB12" s="10"/>
      <c r="DC12" s="10">
        <v>1</v>
      </c>
      <c r="DD12" s="10"/>
      <c r="DE12" s="10">
        <v>1</v>
      </c>
      <c r="DI12" s="10"/>
      <c r="DJ12" s="10">
        <v>1</v>
      </c>
      <c r="DK12" s="10"/>
      <c r="DL12" s="10">
        <v>1</v>
      </c>
      <c r="DP12" s="10"/>
      <c r="DQ12" s="10"/>
      <c r="DR12" s="10"/>
      <c r="DS12" s="10"/>
      <c r="DW12" s="10"/>
      <c r="DX12" s="10"/>
      <c r="DY12" s="10"/>
      <c r="DZ12" s="10"/>
      <c r="ED12" s="10"/>
      <c r="EE12" s="10"/>
      <c r="EF12" s="10"/>
      <c r="EG12" s="10"/>
      <c r="EK12" s="10"/>
      <c r="EL12" s="10"/>
      <c r="EM12" s="10"/>
      <c r="EN12" s="10"/>
      <c r="ER12" s="10"/>
      <c r="ES12" s="10"/>
      <c r="ET12" s="10"/>
      <c r="EU12" s="10"/>
    </row>
    <row r="13" spans="2:152" outlineLevel="1" x14ac:dyDescent="0.2">
      <c r="B13" t="s">
        <v>28</v>
      </c>
      <c r="C13" t="s">
        <v>189</v>
      </c>
      <c r="E13" s="9"/>
      <c r="F13" t="s">
        <v>167</v>
      </c>
      <c r="G13" s="10">
        <v>6.25E-2</v>
      </c>
      <c r="I13" s="9">
        <f t="shared" si="0"/>
        <v>0</v>
      </c>
      <c r="J13" s="11" cm="1">
        <f t="array" ref="J13">MAX(IF($N$3:$BW$3=$J$3,N13:BW13))</f>
        <v>0</v>
      </c>
      <c r="K13" s="11" cm="1">
        <f t="array" ref="K13">MAX(IF($N$3:$BW$3=$J$3,N13:BW13))</f>
        <v>0</v>
      </c>
      <c r="L13" s="9"/>
      <c r="O13" s="10"/>
      <c r="P13" s="10"/>
      <c r="Q13" s="10"/>
      <c r="R13" s="10"/>
      <c r="V13" s="10"/>
      <c r="W13" s="10"/>
      <c r="X13" s="10"/>
      <c r="Y13" s="10"/>
      <c r="AC13" s="10"/>
      <c r="AD13" s="10"/>
      <c r="AE13" s="10"/>
      <c r="AF13" s="10"/>
      <c r="AJ13" s="10"/>
      <c r="AK13" s="10">
        <v>0.5</v>
      </c>
      <c r="AL13" s="10"/>
      <c r="AM13" s="10">
        <v>0.5</v>
      </c>
      <c r="AQ13" s="10"/>
      <c r="AR13" s="10">
        <v>0.5</v>
      </c>
      <c r="AS13" s="10"/>
      <c r="AT13" s="10">
        <v>0.5</v>
      </c>
      <c r="AX13" s="10"/>
      <c r="AY13" s="10">
        <v>0.5</v>
      </c>
      <c r="AZ13" s="10"/>
      <c r="BA13" s="10">
        <v>0.5</v>
      </c>
      <c r="BE13" s="10"/>
      <c r="BF13" s="10">
        <v>0.5</v>
      </c>
      <c r="BG13" s="10"/>
      <c r="BH13" s="10">
        <v>0.5</v>
      </c>
      <c r="BL13" s="10"/>
      <c r="BM13" s="10">
        <v>0.5</v>
      </c>
      <c r="BN13" s="10"/>
      <c r="BO13" s="10">
        <v>0.5</v>
      </c>
      <c r="BS13" s="10"/>
      <c r="BT13" s="10">
        <v>0.8</v>
      </c>
      <c r="BU13" s="10"/>
      <c r="BV13" s="10">
        <v>0.8</v>
      </c>
      <c r="BZ13" s="10"/>
      <c r="CA13" s="10">
        <v>0.8</v>
      </c>
      <c r="CB13" s="10"/>
      <c r="CC13" s="10">
        <v>0.8</v>
      </c>
      <c r="CG13" s="10"/>
      <c r="CH13" s="10">
        <v>0.8</v>
      </c>
      <c r="CI13" s="10"/>
      <c r="CJ13" s="10">
        <v>0.8</v>
      </c>
      <c r="CN13" s="10"/>
      <c r="CO13" s="10">
        <v>0.8</v>
      </c>
      <c r="CP13" s="10"/>
      <c r="CQ13" s="10">
        <v>0.8</v>
      </c>
      <c r="CU13" s="10"/>
      <c r="CV13" s="10">
        <v>1</v>
      </c>
      <c r="CW13" s="10"/>
      <c r="CX13" s="10">
        <v>1</v>
      </c>
      <c r="DB13" s="10"/>
      <c r="DC13" s="10">
        <v>1</v>
      </c>
      <c r="DD13" s="10"/>
      <c r="DE13" s="10">
        <v>1</v>
      </c>
      <c r="DI13" s="10"/>
      <c r="DJ13" s="10">
        <v>1</v>
      </c>
      <c r="DK13" s="10"/>
      <c r="DL13" s="10">
        <v>1</v>
      </c>
      <c r="DP13" s="10"/>
      <c r="DQ13" s="10"/>
      <c r="DR13" s="10"/>
      <c r="DS13" s="10"/>
      <c r="DW13" s="10"/>
      <c r="DX13" s="10"/>
      <c r="DY13" s="10"/>
      <c r="DZ13" s="10"/>
      <c r="ED13" s="10"/>
      <c r="EE13" s="10"/>
      <c r="EF13" s="10"/>
      <c r="EG13" s="10"/>
      <c r="EK13" s="10"/>
      <c r="EL13" s="10"/>
      <c r="EM13" s="10"/>
      <c r="EN13" s="10"/>
      <c r="ER13" s="10"/>
      <c r="ES13" s="10"/>
      <c r="ET13" s="10"/>
      <c r="EU13" s="10"/>
    </row>
    <row r="14" spans="2:152" outlineLevel="1" x14ac:dyDescent="0.2">
      <c r="B14" t="s">
        <v>28</v>
      </c>
      <c r="C14" t="s">
        <v>189</v>
      </c>
      <c r="E14" s="9"/>
      <c r="F14" t="s">
        <v>168</v>
      </c>
      <c r="G14" s="10">
        <v>6.25E-2</v>
      </c>
      <c r="I14" s="9">
        <f t="shared" si="0"/>
        <v>0</v>
      </c>
      <c r="J14" s="11" cm="1">
        <f t="array" ref="J14">MAX(IF($N$3:$BW$3=$J$3,N14:BW14))</f>
        <v>0</v>
      </c>
      <c r="K14" s="11" cm="1">
        <f t="array" ref="K14">MAX(IF($N$3:$BW$3=$J$3,N14:BW14))</f>
        <v>0</v>
      </c>
      <c r="L14" s="9"/>
      <c r="O14" s="10"/>
      <c r="P14" s="10"/>
      <c r="Q14" s="10"/>
      <c r="R14" s="10"/>
      <c r="V14" s="10"/>
      <c r="W14" s="10"/>
      <c r="X14" s="10"/>
      <c r="Y14" s="10"/>
      <c r="AC14" s="10"/>
      <c r="AD14" s="10"/>
      <c r="AE14" s="10"/>
      <c r="AF14" s="10"/>
      <c r="AJ14" s="10"/>
      <c r="AK14" s="10"/>
      <c r="AL14" s="10"/>
      <c r="AM14" s="10"/>
      <c r="AQ14" s="10"/>
      <c r="AR14" s="10">
        <v>0.5</v>
      </c>
      <c r="AS14" s="10"/>
      <c r="AT14" s="22">
        <v>0.5</v>
      </c>
      <c r="AX14" s="10"/>
      <c r="AY14" s="22">
        <v>0.5</v>
      </c>
      <c r="AZ14" s="10"/>
      <c r="BA14" s="22">
        <v>0.5</v>
      </c>
      <c r="BE14" s="10"/>
      <c r="BF14" s="22">
        <v>0.5</v>
      </c>
      <c r="BG14" s="10"/>
      <c r="BH14" s="22">
        <v>0.5</v>
      </c>
      <c r="BL14" s="10"/>
      <c r="BM14" s="22">
        <v>0.5</v>
      </c>
      <c r="BN14" s="10"/>
      <c r="BO14" s="22">
        <v>0.5</v>
      </c>
      <c r="BS14" s="10"/>
      <c r="BT14" s="22">
        <v>0.5</v>
      </c>
      <c r="BU14" s="10"/>
      <c r="BV14" s="22">
        <v>0.5</v>
      </c>
      <c r="BZ14" s="10"/>
      <c r="CA14" s="10">
        <v>0.8</v>
      </c>
      <c r="CB14" s="10"/>
      <c r="CC14" s="10">
        <v>0.8</v>
      </c>
      <c r="CG14" s="10"/>
      <c r="CH14" s="10">
        <v>0.8</v>
      </c>
      <c r="CI14" s="10"/>
      <c r="CJ14" s="10">
        <v>0.8</v>
      </c>
      <c r="CN14" s="10"/>
      <c r="CO14" s="10">
        <v>0.8</v>
      </c>
      <c r="CP14" s="10"/>
      <c r="CQ14" s="10">
        <v>0.8</v>
      </c>
      <c r="CU14" s="10"/>
      <c r="CV14" s="10">
        <v>0.8</v>
      </c>
      <c r="CW14" s="10"/>
      <c r="CX14" s="10">
        <v>0.8</v>
      </c>
      <c r="DB14" s="10"/>
      <c r="DC14" s="10">
        <v>1</v>
      </c>
      <c r="DD14" s="10"/>
      <c r="DE14" s="10">
        <v>1</v>
      </c>
      <c r="DI14" s="10"/>
      <c r="DJ14" s="10">
        <v>1</v>
      </c>
      <c r="DK14" s="10"/>
      <c r="DL14" s="10">
        <v>1</v>
      </c>
      <c r="DP14" s="10"/>
      <c r="DQ14" s="10"/>
      <c r="DR14" s="10"/>
      <c r="DS14" s="10"/>
      <c r="DW14" s="10"/>
      <c r="DX14" s="10"/>
      <c r="DY14" s="10"/>
      <c r="DZ14" s="10"/>
      <c r="ED14" s="10"/>
      <c r="EE14" s="10"/>
      <c r="EF14" s="10"/>
      <c r="EG14" s="10"/>
      <c r="EK14" s="10"/>
      <c r="EL14" s="10"/>
      <c r="EM14" s="10"/>
      <c r="EN14" s="10"/>
      <c r="ER14" s="10"/>
      <c r="ES14" s="10"/>
      <c r="ET14" s="10"/>
      <c r="EU14" s="10"/>
    </row>
    <row r="15" spans="2:152" outlineLevel="1" x14ac:dyDescent="0.2">
      <c r="B15" t="s">
        <v>28</v>
      </c>
      <c r="C15" t="s">
        <v>189</v>
      </c>
      <c r="E15" s="9"/>
      <c r="F15" t="s">
        <v>169</v>
      </c>
      <c r="G15" s="10">
        <v>6.25E-2</v>
      </c>
      <c r="I15" s="9">
        <f t="shared" si="0"/>
        <v>0</v>
      </c>
      <c r="J15" s="11" cm="1">
        <f t="array" ref="J15">MAX(IF($N$3:$BW$3=$J$3,N15:BW15))</f>
        <v>0</v>
      </c>
      <c r="K15" s="11" cm="1">
        <f t="array" ref="K15">MAX(IF($N$3:$BW$3=$J$3,N15:BW15))</f>
        <v>0</v>
      </c>
      <c r="L15" s="9"/>
      <c r="O15" s="10"/>
      <c r="P15" s="10"/>
      <c r="Q15" s="10"/>
      <c r="R15" s="10"/>
      <c r="V15" s="10"/>
      <c r="W15" s="10"/>
      <c r="X15" s="10"/>
      <c r="Y15" s="10"/>
      <c r="AC15" s="10"/>
      <c r="AD15" s="10"/>
      <c r="AE15" s="10"/>
      <c r="AF15" s="10"/>
      <c r="AJ15" s="10"/>
      <c r="AK15" s="10"/>
      <c r="AL15" s="10"/>
      <c r="AM15" s="10"/>
      <c r="AQ15" s="10"/>
      <c r="AR15" s="10">
        <v>0.5</v>
      </c>
      <c r="AS15" s="10"/>
      <c r="AT15" s="10">
        <v>0.5</v>
      </c>
      <c r="AX15" s="10"/>
      <c r="AY15" s="10">
        <v>0.5</v>
      </c>
      <c r="AZ15" s="10"/>
      <c r="BA15" s="10">
        <v>0.5</v>
      </c>
      <c r="BE15" s="10"/>
      <c r="BF15" s="10">
        <v>0.5</v>
      </c>
      <c r="BG15" s="10"/>
      <c r="BH15" s="10">
        <v>0.5</v>
      </c>
      <c r="BL15" s="10"/>
      <c r="BM15" s="10">
        <v>0.5</v>
      </c>
      <c r="BN15" s="10"/>
      <c r="BO15" s="10">
        <v>0.5</v>
      </c>
      <c r="BS15" s="10"/>
      <c r="BT15" s="10">
        <v>0.5</v>
      </c>
      <c r="BU15" s="10"/>
      <c r="BV15" s="10">
        <v>0.5</v>
      </c>
      <c r="BZ15" s="10"/>
      <c r="CA15" s="10">
        <v>0.8</v>
      </c>
      <c r="CB15" s="10"/>
      <c r="CC15" s="10">
        <v>0.8</v>
      </c>
      <c r="CG15" s="10"/>
      <c r="CH15" s="10">
        <v>0.8</v>
      </c>
      <c r="CI15" s="10"/>
      <c r="CJ15" s="10">
        <v>0.8</v>
      </c>
      <c r="CN15" s="10"/>
      <c r="CO15" s="10">
        <v>0.8</v>
      </c>
      <c r="CP15" s="10"/>
      <c r="CQ15" s="10">
        <v>0.8</v>
      </c>
      <c r="CU15" s="10"/>
      <c r="CV15" s="10">
        <v>0.8</v>
      </c>
      <c r="CW15" s="10"/>
      <c r="CX15" s="10">
        <v>0.8</v>
      </c>
      <c r="DB15" s="10"/>
      <c r="DC15" s="10">
        <v>1</v>
      </c>
      <c r="DD15" s="10"/>
      <c r="DE15" s="10">
        <v>1</v>
      </c>
      <c r="DI15" s="10"/>
      <c r="DJ15" s="10">
        <v>1</v>
      </c>
      <c r="DK15" s="10"/>
      <c r="DL15" s="10">
        <v>1</v>
      </c>
      <c r="DP15" s="10"/>
      <c r="DQ15" s="10"/>
      <c r="DR15" s="10"/>
      <c r="DS15" s="10"/>
      <c r="DW15" s="10"/>
      <c r="DX15" s="10"/>
      <c r="DY15" s="10"/>
      <c r="DZ15" s="10"/>
      <c r="ED15" s="10"/>
      <c r="EE15" s="10"/>
      <c r="EF15" s="10"/>
      <c r="EG15" s="10"/>
      <c r="EK15" s="10"/>
      <c r="EL15" s="10"/>
      <c r="EM15" s="10"/>
      <c r="EN15" s="10"/>
      <c r="ER15" s="10"/>
      <c r="ES15" s="10"/>
      <c r="ET15" s="10"/>
      <c r="EU15" s="10"/>
    </row>
    <row r="16" spans="2:152" outlineLevel="1" x14ac:dyDescent="0.2">
      <c r="B16" t="s">
        <v>28</v>
      </c>
      <c r="C16" t="s">
        <v>189</v>
      </c>
      <c r="E16" s="9"/>
      <c r="F16" t="s">
        <v>170</v>
      </c>
      <c r="G16" s="10">
        <v>6.25E-2</v>
      </c>
      <c r="I16" s="9">
        <f t="shared" si="0"/>
        <v>0</v>
      </c>
      <c r="J16" s="11" cm="1">
        <f t="array" ref="J16">MAX(IF($N$3:$BW$3=$J$3,N16:BW16))</f>
        <v>0</v>
      </c>
      <c r="K16" s="11" cm="1">
        <f t="array" ref="K16">MAX(IF($N$3:$BW$3=$J$3,N16:BW16))</f>
        <v>0</v>
      </c>
      <c r="L16" s="9"/>
      <c r="O16" s="10"/>
      <c r="P16" s="10"/>
      <c r="Q16" s="10"/>
      <c r="R16" s="10"/>
      <c r="V16" s="10"/>
      <c r="W16" s="10"/>
      <c r="X16" s="10"/>
      <c r="Y16" s="10"/>
      <c r="AC16" s="10"/>
      <c r="AD16" s="10"/>
      <c r="AE16" s="10"/>
      <c r="AF16" s="10"/>
      <c r="AJ16" s="10"/>
      <c r="AK16" s="10"/>
      <c r="AL16" s="10"/>
      <c r="AM16" s="10"/>
      <c r="AQ16" s="10"/>
      <c r="AR16" s="10"/>
      <c r="AS16" s="10"/>
      <c r="AT16" s="10"/>
      <c r="AX16" s="10"/>
      <c r="AY16" s="10">
        <v>0.5</v>
      </c>
      <c r="AZ16" s="10"/>
      <c r="BA16" s="10">
        <v>0.5</v>
      </c>
      <c r="BE16" s="10"/>
      <c r="BF16" s="10">
        <v>0.5</v>
      </c>
      <c r="BG16" s="10"/>
      <c r="BH16" s="10">
        <v>0.5</v>
      </c>
      <c r="BL16" s="10"/>
      <c r="BM16" s="10">
        <v>0.5</v>
      </c>
      <c r="BN16" s="10"/>
      <c r="BO16" s="10">
        <v>0.5</v>
      </c>
      <c r="BS16" s="10"/>
      <c r="BT16" s="10">
        <v>0.5</v>
      </c>
      <c r="BU16" s="10"/>
      <c r="BV16" s="10">
        <v>0.5</v>
      </c>
      <c r="BZ16" s="10"/>
      <c r="CA16" s="10">
        <v>0.5</v>
      </c>
      <c r="CB16" s="10"/>
      <c r="CC16" s="10">
        <v>0.5</v>
      </c>
      <c r="CG16" s="10"/>
      <c r="CH16" s="10">
        <v>0.8</v>
      </c>
      <c r="CI16" s="10"/>
      <c r="CJ16" s="10">
        <v>0.8</v>
      </c>
      <c r="CN16" s="10"/>
      <c r="CO16" s="10">
        <v>0.8</v>
      </c>
      <c r="CP16" s="10"/>
      <c r="CQ16" s="10">
        <v>0.8</v>
      </c>
      <c r="CU16" s="10"/>
      <c r="CV16" s="10">
        <v>0.8</v>
      </c>
      <c r="CW16" s="10"/>
      <c r="CX16" s="10">
        <v>0.8</v>
      </c>
      <c r="DB16" s="10"/>
      <c r="DC16" s="10">
        <v>1</v>
      </c>
      <c r="DD16" s="10"/>
      <c r="DE16" s="10">
        <v>1</v>
      </c>
      <c r="DI16" s="10"/>
      <c r="DJ16" s="10">
        <v>1</v>
      </c>
      <c r="DK16" s="10"/>
      <c r="DL16" s="10">
        <v>1</v>
      </c>
      <c r="DP16" s="10"/>
      <c r="DQ16" s="10"/>
      <c r="DR16" s="10"/>
      <c r="DS16" s="10"/>
      <c r="DW16" s="10"/>
      <c r="DX16" s="10"/>
      <c r="DY16" s="10"/>
      <c r="DZ16" s="10"/>
      <c r="ED16" s="10"/>
      <c r="EE16" s="10"/>
      <c r="EF16" s="10"/>
      <c r="EG16" s="10"/>
      <c r="EK16" s="10"/>
      <c r="EL16" s="10"/>
      <c r="EM16" s="10"/>
      <c r="EN16" s="10"/>
      <c r="ER16" s="10"/>
      <c r="ES16" s="10"/>
      <c r="ET16" s="10"/>
      <c r="EU16" s="10"/>
    </row>
    <row r="17" spans="2:151" outlineLevel="1" x14ac:dyDescent="0.2">
      <c r="B17" t="s">
        <v>28</v>
      </c>
      <c r="C17" t="s">
        <v>189</v>
      </c>
      <c r="E17" s="9"/>
      <c r="F17" t="s">
        <v>171</v>
      </c>
      <c r="G17" s="10">
        <v>6.25E-2</v>
      </c>
      <c r="I17" s="9">
        <f t="shared" si="0"/>
        <v>0</v>
      </c>
      <c r="J17" s="11" cm="1">
        <f t="array" ref="J17">MAX(IF($N$3:$BW$3=$J$3,N17:BW17))</f>
        <v>0</v>
      </c>
      <c r="K17" s="11" cm="1">
        <f t="array" ref="K17">MAX(IF($N$3:$BW$3=$J$3,N17:BW17))</f>
        <v>0</v>
      </c>
      <c r="L17" s="9"/>
      <c r="O17" s="10"/>
      <c r="P17" s="10"/>
      <c r="Q17" s="10"/>
      <c r="R17" s="10"/>
      <c r="V17" s="10"/>
      <c r="W17" s="10"/>
      <c r="X17" s="10"/>
      <c r="Y17" s="10"/>
      <c r="AC17" s="10"/>
      <c r="AD17" s="10"/>
      <c r="AE17" s="10"/>
      <c r="AF17" s="10"/>
      <c r="AJ17" s="10"/>
      <c r="AK17" s="10"/>
      <c r="AL17" s="10"/>
      <c r="AM17" s="10"/>
      <c r="AQ17" s="10"/>
      <c r="AR17" s="10"/>
      <c r="AS17" s="10"/>
      <c r="AT17" s="10"/>
      <c r="AX17" s="10"/>
      <c r="AY17" s="10">
        <v>0.5</v>
      </c>
      <c r="AZ17" s="10"/>
      <c r="BA17" s="10">
        <v>0.5</v>
      </c>
      <c r="BE17" s="10"/>
      <c r="BF17" s="10">
        <v>0.5</v>
      </c>
      <c r="BG17" s="10"/>
      <c r="BH17" s="10">
        <v>0.5</v>
      </c>
      <c r="BL17" s="10"/>
      <c r="BM17" s="10">
        <v>0.5</v>
      </c>
      <c r="BN17" s="10"/>
      <c r="BO17" s="10">
        <v>0.5</v>
      </c>
      <c r="BS17" s="10"/>
      <c r="BT17" s="10">
        <v>0.5</v>
      </c>
      <c r="BU17" s="10"/>
      <c r="BV17" s="10">
        <v>0.5</v>
      </c>
      <c r="BZ17" s="10"/>
      <c r="CA17" s="10">
        <v>0.5</v>
      </c>
      <c r="CB17" s="10"/>
      <c r="CC17" s="10">
        <v>0.5</v>
      </c>
      <c r="CG17" s="10"/>
      <c r="CH17" s="10">
        <v>0.8</v>
      </c>
      <c r="CI17" s="10"/>
      <c r="CJ17" s="10">
        <v>0.8</v>
      </c>
      <c r="CN17" s="10"/>
      <c r="CO17" s="10">
        <v>0.8</v>
      </c>
      <c r="CP17" s="10"/>
      <c r="CQ17" s="10">
        <v>0.8</v>
      </c>
      <c r="CU17" s="10"/>
      <c r="CV17" s="10">
        <v>0.8</v>
      </c>
      <c r="CW17" s="10"/>
      <c r="CX17" s="10">
        <v>0.8</v>
      </c>
      <c r="DB17" s="10"/>
      <c r="DC17" s="10">
        <v>0.8</v>
      </c>
      <c r="DD17" s="10"/>
      <c r="DE17" s="10">
        <v>0.8</v>
      </c>
      <c r="DI17" s="10"/>
      <c r="DJ17" s="10">
        <v>1</v>
      </c>
      <c r="DK17" s="10"/>
      <c r="DL17" s="10">
        <v>1</v>
      </c>
      <c r="DP17" s="10"/>
      <c r="DQ17" s="10"/>
      <c r="DR17" s="10"/>
      <c r="DS17" s="10"/>
      <c r="DW17" s="10"/>
      <c r="DX17" s="10"/>
      <c r="DY17" s="10"/>
      <c r="DZ17" s="10"/>
      <c r="ED17" s="10"/>
      <c r="EE17" s="10"/>
      <c r="EF17" s="10"/>
      <c r="EG17" s="10"/>
      <c r="EK17" s="10"/>
      <c r="EL17" s="10"/>
      <c r="EM17" s="10"/>
      <c r="EN17" s="10"/>
      <c r="ER17" s="10"/>
      <c r="ES17" s="10"/>
      <c r="ET17" s="10"/>
      <c r="EU17" s="10"/>
    </row>
    <row r="18" spans="2:151" outlineLevel="1" x14ac:dyDescent="0.2">
      <c r="B18" t="s">
        <v>28</v>
      </c>
      <c r="C18" t="s">
        <v>189</v>
      </c>
      <c r="E18" s="9"/>
      <c r="F18" t="s">
        <v>172</v>
      </c>
      <c r="G18" s="10">
        <v>6.25E-2</v>
      </c>
      <c r="I18" s="9">
        <f t="shared" si="0"/>
        <v>0</v>
      </c>
      <c r="J18" s="11" cm="1">
        <f t="array" ref="J18">MAX(IF($N$3:$BW$3=$J$3,N18:BW18))</f>
        <v>0</v>
      </c>
      <c r="K18" s="11" cm="1">
        <f t="array" ref="K18">MAX(IF($N$3:$BW$3=$J$3,N18:BW18))</f>
        <v>0</v>
      </c>
      <c r="L18" s="9"/>
      <c r="O18" s="10"/>
      <c r="P18" s="10"/>
      <c r="Q18" s="10"/>
      <c r="R18" s="10"/>
      <c r="V18" s="10"/>
      <c r="W18" s="10"/>
      <c r="X18" s="10"/>
      <c r="Y18" s="10"/>
      <c r="AC18" s="10"/>
      <c r="AD18" s="10"/>
      <c r="AE18" s="10"/>
      <c r="AF18" s="10"/>
      <c r="AJ18" s="10"/>
      <c r="AK18" s="10"/>
      <c r="AL18" s="10"/>
      <c r="AM18" s="10"/>
      <c r="AQ18" s="10"/>
      <c r="AR18" s="10"/>
      <c r="AS18" s="10"/>
      <c r="AT18" s="10"/>
      <c r="AX18" s="10"/>
      <c r="AY18" s="10"/>
      <c r="AZ18" s="10"/>
      <c r="BA18" s="10"/>
      <c r="BE18" s="10"/>
      <c r="BF18" s="10"/>
      <c r="BG18" s="10"/>
      <c r="BH18" s="10"/>
      <c r="BL18" s="10"/>
      <c r="BM18" s="10">
        <v>0.5</v>
      </c>
      <c r="BN18" s="10"/>
      <c r="BO18" s="10">
        <v>0.5</v>
      </c>
      <c r="BS18" s="10"/>
      <c r="BT18" s="10">
        <v>0.5</v>
      </c>
      <c r="BU18" s="10"/>
      <c r="BV18" s="10">
        <v>0.5</v>
      </c>
      <c r="BZ18" s="10"/>
      <c r="CA18" s="10">
        <v>0.5</v>
      </c>
      <c r="CB18" s="10"/>
      <c r="CC18" s="10">
        <v>0.5</v>
      </c>
      <c r="CG18" s="10"/>
      <c r="CH18" s="10">
        <v>0.5</v>
      </c>
      <c r="CI18" s="10"/>
      <c r="CJ18" s="10">
        <v>0.5</v>
      </c>
      <c r="CN18" s="10"/>
      <c r="CO18" s="10">
        <v>0.8</v>
      </c>
      <c r="CP18" s="10"/>
      <c r="CQ18" s="10">
        <v>0.8</v>
      </c>
      <c r="CU18" s="10"/>
      <c r="CV18" s="10">
        <v>0.8</v>
      </c>
      <c r="CW18" s="10"/>
      <c r="CX18" s="10">
        <v>0.8</v>
      </c>
      <c r="DB18" s="10"/>
      <c r="DC18" s="10">
        <v>0.8</v>
      </c>
      <c r="DD18" s="10"/>
      <c r="DE18" s="10">
        <v>0.8</v>
      </c>
      <c r="DI18" s="10"/>
      <c r="DJ18" s="10">
        <v>1</v>
      </c>
      <c r="DK18" s="10"/>
      <c r="DL18" s="10">
        <v>1</v>
      </c>
      <c r="DP18" s="10"/>
      <c r="DQ18" s="10"/>
      <c r="DR18" s="10"/>
      <c r="DS18" s="10"/>
      <c r="DW18" s="10"/>
      <c r="DX18" s="10"/>
      <c r="DY18" s="10"/>
      <c r="DZ18" s="10"/>
      <c r="ED18" s="10"/>
      <c r="EE18" s="10"/>
      <c r="EF18" s="10"/>
      <c r="EG18" s="10"/>
      <c r="EK18" s="10"/>
      <c r="EL18" s="10"/>
      <c r="EM18" s="10"/>
      <c r="EN18" s="10"/>
      <c r="ER18" s="10"/>
      <c r="ES18" s="10"/>
      <c r="ET18" s="10"/>
      <c r="EU18" s="10"/>
    </row>
    <row r="19" spans="2:151" outlineLevel="1" x14ac:dyDescent="0.2">
      <c r="B19" t="s">
        <v>28</v>
      </c>
      <c r="C19" t="s">
        <v>189</v>
      </c>
      <c r="E19" s="9"/>
      <c r="F19" t="s">
        <v>173</v>
      </c>
      <c r="G19" s="10">
        <v>6.25E-2</v>
      </c>
      <c r="I19" s="9">
        <f t="shared" si="0"/>
        <v>0</v>
      </c>
      <c r="J19" s="11" cm="1">
        <f t="array" ref="J19">MAX(IF($N$3:$BW$3=$J$3,N19:BW19))</f>
        <v>0</v>
      </c>
      <c r="K19" s="11" cm="1">
        <f t="array" ref="K19">MAX(IF($N$3:$BW$3=$J$3,N19:BW19))</f>
        <v>0</v>
      </c>
      <c r="L19" s="9"/>
      <c r="O19" s="10"/>
      <c r="P19" s="10"/>
      <c r="Q19" s="10"/>
      <c r="R19" s="10"/>
      <c r="V19" s="10"/>
      <c r="W19" s="10"/>
      <c r="X19" s="10"/>
      <c r="Y19" s="10"/>
      <c r="AC19" s="10"/>
      <c r="AD19" s="10"/>
      <c r="AE19" s="10"/>
      <c r="AF19" s="10"/>
      <c r="AJ19" s="10"/>
      <c r="AK19" s="10"/>
      <c r="AL19" s="10"/>
      <c r="AM19" s="10"/>
      <c r="AQ19" s="10"/>
      <c r="AR19" s="10"/>
      <c r="AS19" s="10"/>
      <c r="AT19" s="10"/>
      <c r="AX19" s="10"/>
      <c r="AY19" s="10"/>
      <c r="AZ19" s="10"/>
      <c r="BA19" s="10"/>
      <c r="BE19" s="10"/>
      <c r="BF19" s="10"/>
      <c r="BG19" s="10"/>
      <c r="BH19" s="10"/>
      <c r="BL19" s="10"/>
      <c r="BM19" s="10">
        <v>0.5</v>
      </c>
      <c r="BN19" s="10"/>
      <c r="BO19" s="10">
        <v>0.5</v>
      </c>
      <c r="BS19" s="10"/>
      <c r="BT19" s="10">
        <v>0.5</v>
      </c>
      <c r="BU19" s="10"/>
      <c r="BV19" s="10">
        <v>0.5</v>
      </c>
      <c r="BZ19" s="10"/>
      <c r="CA19" s="10">
        <v>0.5</v>
      </c>
      <c r="CB19" s="10"/>
      <c r="CC19" s="10">
        <v>0.5</v>
      </c>
      <c r="CG19" s="10"/>
      <c r="CH19" s="10">
        <v>0.5</v>
      </c>
      <c r="CI19" s="10"/>
      <c r="CJ19" s="10">
        <v>0.5</v>
      </c>
      <c r="CN19" s="10"/>
      <c r="CO19" s="10">
        <v>0.5</v>
      </c>
      <c r="CP19" s="10"/>
      <c r="CQ19" s="10">
        <v>0.5</v>
      </c>
      <c r="CU19" s="10"/>
      <c r="CV19" s="10">
        <v>0.8</v>
      </c>
      <c r="CW19" s="10"/>
      <c r="CX19" s="10">
        <v>0.8</v>
      </c>
      <c r="DB19" s="10"/>
      <c r="DC19" s="10">
        <v>0.8</v>
      </c>
      <c r="DD19" s="10"/>
      <c r="DE19" s="10">
        <v>0.8</v>
      </c>
      <c r="DI19" s="10"/>
      <c r="DJ19" s="10">
        <v>1</v>
      </c>
      <c r="DK19" s="10"/>
      <c r="DL19" s="10">
        <v>1</v>
      </c>
      <c r="DP19" s="10"/>
      <c r="DQ19" s="10"/>
      <c r="DR19" s="10"/>
      <c r="DS19" s="10"/>
      <c r="DW19" s="10"/>
      <c r="DX19" s="10"/>
      <c r="DY19" s="10"/>
      <c r="DZ19" s="10"/>
      <c r="ED19" s="10"/>
      <c r="EE19" s="10"/>
      <c r="EF19" s="10"/>
      <c r="EG19" s="10"/>
      <c r="EK19" s="10"/>
      <c r="EL19" s="10"/>
      <c r="EM19" s="10"/>
      <c r="EN19" s="10"/>
      <c r="ER19" s="10"/>
      <c r="ES19" s="10"/>
      <c r="ET19" s="10"/>
      <c r="EU19" s="10"/>
    </row>
    <row r="20" spans="2:151" outlineLevel="1" x14ac:dyDescent="0.2">
      <c r="B20" t="s">
        <v>28</v>
      </c>
      <c r="C20" t="s">
        <v>189</v>
      </c>
      <c r="E20" s="9"/>
      <c r="F20" t="s">
        <v>174</v>
      </c>
      <c r="G20" s="10">
        <v>6.25E-2</v>
      </c>
      <c r="I20" s="9">
        <f t="shared" si="0"/>
        <v>0</v>
      </c>
      <c r="J20" s="11" cm="1">
        <f t="array" ref="J20">MAX(IF($N$3:$BW$3=$J$3,N20:BW20))</f>
        <v>0</v>
      </c>
      <c r="K20" s="11" cm="1">
        <f t="array" ref="K20">MAX(IF($N$3:$BW$3=$J$3,N20:BW20))</f>
        <v>0</v>
      </c>
      <c r="L20" s="9"/>
      <c r="O20" s="10"/>
      <c r="P20" s="10"/>
      <c r="Q20" s="10"/>
      <c r="R20" s="10"/>
      <c r="V20" s="10"/>
      <c r="W20" s="10"/>
      <c r="X20" s="10"/>
      <c r="Y20" s="10"/>
      <c r="AC20" s="10"/>
      <c r="AD20" s="10"/>
      <c r="AE20" s="10"/>
      <c r="AF20" s="10"/>
      <c r="AJ20" s="10"/>
      <c r="AK20" s="10"/>
      <c r="AL20" s="10"/>
      <c r="AM20" s="10"/>
      <c r="AQ20" s="10"/>
      <c r="AR20" s="10"/>
      <c r="AS20" s="10"/>
      <c r="AT20" s="10"/>
      <c r="AX20" s="10"/>
      <c r="AY20" s="10"/>
      <c r="AZ20" s="10"/>
      <c r="BA20" s="10"/>
      <c r="BE20" s="10"/>
      <c r="BF20" s="10"/>
      <c r="BG20" s="10"/>
      <c r="BH20" s="10"/>
      <c r="BL20" s="10"/>
      <c r="BM20" s="10">
        <v>0.5</v>
      </c>
      <c r="BN20" s="10"/>
      <c r="BO20" s="10">
        <v>0.5</v>
      </c>
      <c r="BS20" s="10"/>
      <c r="BT20" s="10">
        <v>0.5</v>
      </c>
      <c r="BU20" s="10"/>
      <c r="BV20" s="10">
        <v>0.5</v>
      </c>
      <c r="BZ20" s="10"/>
      <c r="CA20" s="10">
        <v>0.5</v>
      </c>
      <c r="CB20" s="10"/>
      <c r="CC20" s="10">
        <v>0.5</v>
      </c>
      <c r="CG20" s="10"/>
      <c r="CH20" s="10">
        <v>0.5</v>
      </c>
      <c r="CI20" s="10"/>
      <c r="CJ20" s="10">
        <v>0.5</v>
      </c>
      <c r="CN20" s="10"/>
      <c r="CO20" s="10">
        <v>0.5</v>
      </c>
      <c r="CP20" s="10"/>
      <c r="CQ20" s="10">
        <v>0.5</v>
      </c>
      <c r="CU20" s="10"/>
      <c r="CV20" s="10">
        <v>0.8</v>
      </c>
      <c r="CW20" s="10"/>
      <c r="CX20" s="10">
        <v>0.8</v>
      </c>
      <c r="DB20" s="10"/>
      <c r="DC20" s="10">
        <v>0.8</v>
      </c>
      <c r="DD20" s="10"/>
      <c r="DE20" s="10">
        <v>0.8</v>
      </c>
      <c r="DI20" s="10"/>
      <c r="DJ20" s="10">
        <v>1</v>
      </c>
      <c r="DK20" s="10"/>
      <c r="DL20" s="10">
        <v>1</v>
      </c>
      <c r="DP20" s="10"/>
      <c r="DQ20" s="10"/>
      <c r="DR20" s="10"/>
      <c r="DS20" s="10"/>
      <c r="DW20" s="10"/>
      <c r="DX20" s="10"/>
      <c r="DY20" s="10"/>
      <c r="DZ20" s="10"/>
      <c r="ED20" s="10"/>
      <c r="EE20" s="10"/>
      <c r="EF20" s="10"/>
      <c r="EG20" s="10"/>
      <c r="EK20" s="10"/>
      <c r="EL20" s="10"/>
      <c r="EM20" s="10"/>
      <c r="EN20" s="10"/>
      <c r="ER20" s="10"/>
      <c r="ES20" s="10"/>
      <c r="ET20" s="10"/>
      <c r="EU20" s="10"/>
    </row>
    <row r="22" spans="2:151" x14ac:dyDescent="0.2">
      <c r="B22" t="s">
        <v>27</v>
      </c>
      <c r="C22" t="s">
        <v>188</v>
      </c>
      <c r="D22" s="19">
        <v>45990</v>
      </c>
      <c r="E22" s="9">
        <v>3</v>
      </c>
      <c r="G22" s="10">
        <f>+SUM(G23:G34)</f>
        <v>1.0000000000000002</v>
      </c>
      <c r="I22" s="12">
        <f>+SUM(I23:I34)</f>
        <v>0</v>
      </c>
      <c r="J22" s="11">
        <f>+SUMPRODUCT(G23:G34,J23:J34)</f>
        <v>0</v>
      </c>
      <c r="K22" s="11">
        <f>+SUMPRODUCT(G23:G34,K23:K34)</f>
        <v>0</v>
      </c>
      <c r="L22" s="9" t="s">
        <v>182</v>
      </c>
      <c r="N22" s="12">
        <f>+SUM(N23:N34)</f>
        <v>0</v>
      </c>
      <c r="U22" s="12">
        <f>+SUM(U23:U34)</f>
        <v>0</v>
      </c>
      <c r="AB22" s="12">
        <f>+SUM(AB23:AB34)</f>
        <v>0</v>
      </c>
      <c r="AI22" s="12">
        <f>+SUM(AI23:AI34)</f>
        <v>0</v>
      </c>
      <c r="AP22" s="12">
        <f>+SUM(AP23:AP34)</f>
        <v>0</v>
      </c>
      <c r="AW22" s="12">
        <f>+SUM(AW23:AW34)</f>
        <v>0</v>
      </c>
      <c r="BD22" s="12">
        <f>+SUM(BD23:BD34)</f>
        <v>0</v>
      </c>
      <c r="BI22" t="s">
        <v>180</v>
      </c>
      <c r="BK22" s="12">
        <f>+SUM(BK23:BK34)</f>
        <v>0</v>
      </c>
      <c r="BR22" s="12">
        <f>+SUM(BR23:BR34)</f>
        <v>0</v>
      </c>
      <c r="BY22" s="12">
        <f>+SUM(BY23:BY34)</f>
        <v>0</v>
      </c>
      <c r="CF22" s="12">
        <f>+SUM(CF23:CF34)</f>
        <v>0</v>
      </c>
      <c r="CM22" s="12">
        <f>+SUM(CM23:CM34)</f>
        <v>0</v>
      </c>
      <c r="CT22" s="12">
        <f>+SUM(CT23:CT34)</f>
        <v>0</v>
      </c>
      <c r="DA22" s="12">
        <f>+SUM(DA23:DA34)</f>
        <v>0</v>
      </c>
      <c r="DH22" s="12">
        <f>+SUM(DH23:DH34)</f>
        <v>0</v>
      </c>
      <c r="DO22" s="12">
        <f>+SUM(DO23:DO34)</f>
        <v>0</v>
      </c>
      <c r="DV22" s="12">
        <f>+SUM(DV23:DV34)</f>
        <v>0</v>
      </c>
      <c r="EC22" s="12">
        <f>+SUM(EC23:EC34)</f>
        <v>0</v>
      </c>
      <c r="EJ22" s="12">
        <f>+SUM(EJ23:EJ34)</f>
        <v>0</v>
      </c>
      <c r="EQ22" s="12">
        <f>+SUM(EQ23:EQ34)</f>
        <v>0</v>
      </c>
    </row>
    <row r="23" spans="2:151" outlineLevel="1" x14ac:dyDescent="0.2">
      <c r="B23" t="s">
        <v>28</v>
      </c>
      <c r="C23" t="s">
        <v>188</v>
      </c>
      <c r="E23" s="9"/>
      <c r="F23" t="s">
        <v>30</v>
      </c>
      <c r="G23" s="20">
        <v>8.3333333333333343E-2</v>
      </c>
      <c r="I23" s="9">
        <f t="shared" ref="I23:I34" si="1">+SUMIF($N$3:$XO$3,I$3,$N23:$XO23)</f>
        <v>0</v>
      </c>
      <c r="J23" s="11" cm="1">
        <f t="array" ref="J23">MAX(IF($N$3:$BW$3=$J$3,N23:BW23))</f>
        <v>0</v>
      </c>
      <c r="K23" s="11" cm="1">
        <f t="array" ref="K23">MAX(IF($N$3:$BW$3=$J$3,N23:BW23))</f>
        <v>0</v>
      </c>
      <c r="L23" s="9" t="s">
        <v>199</v>
      </c>
      <c r="O23" s="10"/>
      <c r="P23" s="10">
        <v>0.5</v>
      </c>
      <c r="Q23" s="10"/>
      <c r="R23" s="10">
        <v>0.5</v>
      </c>
      <c r="S23" t="s">
        <v>193</v>
      </c>
      <c r="V23" s="10"/>
      <c r="W23" s="10">
        <v>0.8</v>
      </c>
      <c r="X23" s="10"/>
      <c r="Y23" s="10">
        <v>0.8</v>
      </c>
      <c r="Z23" t="s">
        <v>196</v>
      </c>
      <c r="AC23" s="10"/>
      <c r="AD23" s="10">
        <v>1</v>
      </c>
      <c r="AE23" s="10"/>
      <c r="AF23" s="10">
        <v>1</v>
      </c>
      <c r="AG23" t="s">
        <v>196</v>
      </c>
      <c r="AJ23" s="10"/>
      <c r="AK23" s="10">
        <v>1</v>
      </c>
      <c r="AL23" s="10"/>
      <c r="AM23" s="10">
        <v>1</v>
      </c>
      <c r="AN23" t="s">
        <v>197</v>
      </c>
      <c r="AQ23" s="10"/>
      <c r="AR23" s="10">
        <v>1</v>
      </c>
      <c r="AS23" s="10"/>
      <c r="AT23" s="10">
        <v>1</v>
      </c>
      <c r="AU23" t="s">
        <v>198</v>
      </c>
      <c r="AX23" s="10"/>
      <c r="AY23" s="10"/>
      <c r="AZ23" s="10"/>
      <c r="BA23" s="10"/>
      <c r="BE23" s="10"/>
      <c r="BF23" s="10"/>
      <c r="BG23" s="10"/>
      <c r="BH23" s="10"/>
      <c r="BL23" s="10"/>
      <c r="BM23" s="10"/>
      <c r="BN23" s="10"/>
      <c r="BO23" s="10"/>
      <c r="BS23" s="10"/>
      <c r="BT23" s="10"/>
      <c r="BU23" s="10"/>
      <c r="BV23" s="10"/>
      <c r="BZ23" s="10"/>
      <c r="CA23" s="10"/>
      <c r="CB23" s="10"/>
      <c r="CC23" s="10"/>
      <c r="CG23" s="10"/>
      <c r="CH23" s="10"/>
      <c r="CI23" s="10"/>
      <c r="CJ23" s="10"/>
      <c r="CN23" s="10"/>
      <c r="CO23" s="10"/>
      <c r="CP23" s="10"/>
      <c r="CQ23" s="10"/>
      <c r="CU23" s="10"/>
      <c r="CV23" s="10"/>
      <c r="CW23" s="10"/>
      <c r="CX23" s="10"/>
      <c r="DB23" s="10"/>
      <c r="DC23" s="10"/>
      <c r="DD23" s="10"/>
      <c r="DE23" s="10"/>
      <c r="DI23" s="10"/>
      <c r="DJ23" s="10"/>
      <c r="DK23" s="10"/>
      <c r="DL23" s="10"/>
      <c r="DP23" s="10"/>
      <c r="DQ23" s="10"/>
      <c r="DR23" s="10"/>
      <c r="DS23" s="10"/>
      <c r="DW23" s="10"/>
      <c r="DX23" s="10"/>
      <c r="DY23" s="10"/>
      <c r="DZ23" s="10"/>
      <c r="ED23" s="10"/>
      <c r="EE23" s="10"/>
      <c r="EF23" s="10"/>
      <c r="EG23" s="10"/>
      <c r="EK23" s="10"/>
      <c r="EL23" s="10"/>
      <c r="EM23" s="10"/>
      <c r="EN23" s="10"/>
      <c r="ER23" s="10"/>
      <c r="ES23" s="10"/>
      <c r="ET23" s="10"/>
      <c r="EU23" s="10"/>
    </row>
    <row r="24" spans="2:151" outlineLevel="1" x14ac:dyDescent="0.2">
      <c r="B24" t="s">
        <v>28</v>
      </c>
      <c r="C24" t="s">
        <v>188</v>
      </c>
      <c r="E24" s="9"/>
      <c r="F24" t="s">
        <v>149</v>
      </c>
      <c r="G24" s="20">
        <v>8.3333333333333343E-2</v>
      </c>
      <c r="I24" s="9">
        <f t="shared" si="1"/>
        <v>0</v>
      </c>
      <c r="J24" s="11" cm="1">
        <f t="array" ref="J24">MAX(IF($N$3:$BW$3=$J$3,N24:BW24))</f>
        <v>0</v>
      </c>
      <c r="K24" s="11" cm="1">
        <f t="array" ref="K24">MAX(IF($N$3:$BW$3=$J$3,N24:BW24))</f>
        <v>0</v>
      </c>
      <c r="L24" s="9"/>
      <c r="O24" s="10"/>
      <c r="P24" s="10">
        <v>0.5</v>
      </c>
      <c r="Q24" s="10"/>
      <c r="R24" s="10">
        <v>0.5</v>
      </c>
      <c r="V24" s="10"/>
      <c r="W24" s="10">
        <v>0.8</v>
      </c>
      <c r="X24" s="10"/>
      <c r="Y24" s="10">
        <v>0.8</v>
      </c>
      <c r="AC24" s="10"/>
      <c r="AD24" s="10">
        <v>1</v>
      </c>
      <c r="AE24" s="10"/>
      <c r="AF24" s="10">
        <v>1</v>
      </c>
      <c r="AJ24" s="10"/>
      <c r="AK24" s="10">
        <v>1</v>
      </c>
      <c r="AL24" s="10"/>
      <c r="AM24" s="10">
        <v>1</v>
      </c>
      <c r="AQ24" s="10"/>
      <c r="AR24" s="10">
        <v>1</v>
      </c>
      <c r="AS24" s="10"/>
      <c r="AT24" s="10">
        <v>1</v>
      </c>
      <c r="AX24" s="10"/>
      <c r="AY24" s="10"/>
      <c r="AZ24" s="10"/>
      <c r="BA24" s="10"/>
      <c r="BE24" s="10"/>
      <c r="BF24" s="10"/>
      <c r="BG24" s="10"/>
      <c r="BH24" s="10"/>
      <c r="BL24" s="10"/>
      <c r="BM24" s="10"/>
      <c r="BN24" s="10"/>
      <c r="BO24" s="10"/>
      <c r="BS24" s="10"/>
      <c r="BT24" s="10"/>
      <c r="BU24" s="10"/>
      <c r="BV24" s="10"/>
      <c r="BZ24" s="10"/>
      <c r="CA24" s="10"/>
      <c r="CB24" s="10"/>
      <c r="CC24" s="10"/>
      <c r="CG24" s="10"/>
      <c r="CH24" s="10"/>
      <c r="CI24" s="10"/>
      <c r="CJ24" s="10"/>
      <c r="CN24" s="10"/>
      <c r="CO24" s="10"/>
      <c r="CP24" s="10"/>
      <c r="CQ24" s="10"/>
      <c r="CU24" s="10"/>
      <c r="CV24" s="10"/>
      <c r="CW24" s="10"/>
      <c r="CX24" s="10"/>
      <c r="DB24" s="10"/>
      <c r="DC24" s="10"/>
      <c r="DD24" s="10"/>
      <c r="DE24" s="10"/>
      <c r="DI24" s="10"/>
      <c r="DJ24" s="10"/>
      <c r="DK24" s="10"/>
      <c r="DL24" s="10"/>
      <c r="DP24" s="10"/>
      <c r="DQ24" s="10"/>
      <c r="DR24" s="10"/>
      <c r="DS24" s="10"/>
      <c r="DW24" s="10"/>
      <c r="DX24" s="10"/>
      <c r="DY24" s="10"/>
      <c r="DZ24" s="10"/>
      <c r="ED24" s="10"/>
      <c r="EE24" s="10"/>
      <c r="EF24" s="10"/>
      <c r="EG24" s="10"/>
      <c r="EK24" s="10"/>
      <c r="EL24" s="10"/>
      <c r="EM24" s="10"/>
      <c r="EN24" s="10"/>
      <c r="ER24" s="10"/>
      <c r="ES24" s="10"/>
      <c r="ET24" s="10"/>
      <c r="EU24" s="10"/>
    </row>
    <row r="25" spans="2:151" outlineLevel="1" x14ac:dyDescent="0.2">
      <c r="B25" t="s">
        <v>28</v>
      </c>
      <c r="C25" t="s">
        <v>188</v>
      </c>
      <c r="E25" s="9"/>
      <c r="F25" t="s">
        <v>150</v>
      </c>
      <c r="G25" s="20">
        <v>8.3333333333333343E-2</v>
      </c>
      <c r="I25" s="9">
        <f t="shared" si="1"/>
        <v>0</v>
      </c>
      <c r="J25" s="11" cm="1">
        <f t="array" ref="J25">MAX(IF($N$3:$BW$3=$J$3,N25:BW25))</f>
        <v>0</v>
      </c>
      <c r="K25" s="11" cm="1">
        <f t="array" ref="K25">MAX(IF($N$3:$BW$3=$J$3,N25:BW25))</f>
        <v>0</v>
      </c>
      <c r="L25" s="9"/>
      <c r="O25" s="10"/>
      <c r="P25" s="10">
        <v>0.5</v>
      </c>
      <c r="Q25" s="10"/>
      <c r="R25" s="10">
        <v>0.5</v>
      </c>
      <c r="V25" s="10"/>
      <c r="W25" s="10">
        <v>0.8</v>
      </c>
      <c r="X25" s="10"/>
      <c r="Y25" s="10">
        <v>0.8</v>
      </c>
      <c r="AC25" s="10"/>
      <c r="AD25" s="10">
        <v>1</v>
      </c>
      <c r="AE25" s="10"/>
      <c r="AF25" s="10">
        <v>1</v>
      </c>
      <c r="AJ25" s="10"/>
      <c r="AK25" s="10">
        <v>1</v>
      </c>
      <c r="AL25" s="10"/>
      <c r="AM25" s="10">
        <v>1</v>
      </c>
      <c r="AQ25" s="10"/>
      <c r="AR25" s="10">
        <v>1</v>
      </c>
      <c r="AS25" s="10"/>
      <c r="AT25" s="10">
        <v>1</v>
      </c>
      <c r="AX25" s="10"/>
      <c r="AY25" s="10"/>
      <c r="AZ25" s="10"/>
      <c r="BA25" s="10"/>
      <c r="BE25" s="10"/>
      <c r="BF25" s="10"/>
      <c r="BG25" s="10"/>
      <c r="BH25" s="10"/>
      <c r="BL25" s="10"/>
      <c r="BM25" s="10"/>
      <c r="BN25" s="10"/>
      <c r="BO25" s="10"/>
      <c r="BS25" s="10"/>
      <c r="BT25" s="10"/>
      <c r="BU25" s="10"/>
      <c r="BV25" s="10"/>
      <c r="BZ25" s="10"/>
      <c r="CA25" s="10"/>
      <c r="CB25" s="10"/>
      <c r="CC25" s="10"/>
      <c r="CG25" s="10"/>
      <c r="CH25" s="10"/>
      <c r="CI25" s="10"/>
      <c r="CJ25" s="10"/>
      <c r="CN25" s="10"/>
      <c r="CO25" s="10"/>
      <c r="CP25" s="10"/>
      <c r="CQ25" s="10"/>
      <c r="CU25" s="10"/>
      <c r="CV25" s="10"/>
      <c r="CW25" s="10"/>
      <c r="CX25" s="10"/>
      <c r="DB25" s="10"/>
      <c r="DC25" s="10"/>
      <c r="DD25" s="10"/>
      <c r="DE25" s="10"/>
      <c r="DI25" s="10"/>
      <c r="DJ25" s="10"/>
      <c r="DK25" s="10"/>
      <c r="DL25" s="10"/>
      <c r="DP25" s="10"/>
      <c r="DQ25" s="10"/>
      <c r="DR25" s="10"/>
      <c r="DS25" s="10"/>
      <c r="DW25" s="10"/>
      <c r="DX25" s="10"/>
      <c r="DY25" s="10"/>
      <c r="DZ25" s="10"/>
      <c r="ED25" s="10"/>
      <c r="EE25" s="10"/>
      <c r="EF25" s="10"/>
      <c r="EG25" s="10"/>
      <c r="EK25" s="10"/>
      <c r="EL25" s="10"/>
      <c r="EM25" s="10"/>
      <c r="EN25" s="10"/>
      <c r="ER25" s="10"/>
      <c r="ES25" s="10"/>
      <c r="ET25" s="10"/>
      <c r="EU25" s="10"/>
    </row>
    <row r="26" spans="2:151" outlineLevel="1" x14ac:dyDescent="0.2">
      <c r="B26" t="s">
        <v>28</v>
      </c>
      <c r="C26" t="s">
        <v>188</v>
      </c>
      <c r="E26" s="9"/>
      <c r="F26" t="s">
        <v>151</v>
      </c>
      <c r="G26" s="20">
        <v>8.3333333333333343E-2</v>
      </c>
      <c r="I26" s="9">
        <f t="shared" si="1"/>
        <v>0</v>
      </c>
      <c r="J26" s="11" cm="1">
        <f t="array" ref="J26">MAX(IF($N$3:$BW$3=$J$3,N26:BW26))</f>
        <v>0</v>
      </c>
      <c r="K26" s="11" cm="1">
        <f t="array" ref="K26">MAX(IF($N$3:$BW$3=$J$3,N26:BW26))</f>
        <v>0</v>
      </c>
      <c r="L26" s="9"/>
      <c r="O26" s="10"/>
      <c r="P26" s="10"/>
      <c r="Q26" s="10"/>
      <c r="R26" s="10"/>
      <c r="V26" s="10"/>
      <c r="W26" s="10">
        <v>0.5</v>
      </c>
      <c r="X26" s="10"/>
      <c r="Y26" s="10">
        <v>0.5</v>
      </c>
      <c r="AC26" s="10"/>
      <c r="AD26" s="10">
        <v>0.8</v>
      </c>
      <c r="AE26" s="10"/>
      <c r="AF26" s="10">
        <v>0.8</v>
      </c>
      <c r="AJ26" s="10"/>
      <c r="AK26" s="10">
        <v>1</v>
      </c>
      <c r="AL26" s="10"/>
      <c r="AM26" s="10">
        <v>1</v>
      </c>
      <c r="AQ26" s="10"/>
      <c r="AR26" s="10">
        <v>1</v>
      </c>
      <c r="AS26" s="10"/>
      <c r="AT26" s="10">
        <v>1</v>
      </c>
      <c r="AX26" s="10"/>
      <c r="AY26" s="10"/>
      <c r="AZ26" s="10"/>
      <c r="BA26" s="10"/>
      <c r="BE26" s="10"/>
      <c r="BF26" s="10"/>
      <c r="BG26" s="10"/>
      <c r="BH26" s="10"/>
      <c r="BL26" s="10"/>
      <c r="BM26" s="10"/>
      <c r="BN26" s="10"/>
      <c r="BO26" s="10"/>
      <c r="BS26" s="10"/>
      <c r="BT26" s="10"/>
      <c r="BU26" s="10"/>
      <c r="BV26" s="10"/>
      <c r="BZ26" s="10"/>
      <c r="CA26" s="10"/>
      <c r="CB26" s="10"/>
      <c r="CC26" s="10"/>
      <c r="CG26" s="10"/>
      <c r="CH26" s="10"/>
      <c r="CI26" s="10"/>
      <c r="CJ26" s="10"/>
      <c r="CN26" s="10"/>
      <c r="CO26" s="10"/>
      <c r="CP26" s="10"/>
      <c r="CQ26" s="10"/>
      <c r="CU26" s="10"/>
      <c r="CV26" s="10"/>
      <c r="CW26" s="10"/>
      <c r="CX26" s="10"/>
      <c r="DB26" s="10"/>
      <c r="DC26" s="10"/>
      <c r="DD26" s="10"/>
      <c r="DE26" s="10"/>
      <c r="DI26" s="10"/>
      <c r="DJ26" s="10"/>
      <c r="DK26" s="10"/>
      <c r="DL26" s="10"/>
      <c r="DP26" s="10"/>
      <c r="DQ26" s="10"/>
      <c r="DR26" s="10"/>
      <c r="DS26" s="10"/>
      <c r="DW26" s="10"/>
      <c r="DX26" s="10"/>
      <c r="DY26" s="10"/>
      <c r="DZ26" s="10"/>
      <c r="ED26" s="10"/>
      <c r="EE26" s="10"/>
      <c r="EF26" s="10"/>
      <c r="EG26" s="10"/>
      <c r="EK26" s="10"/>
      <c r="EL26" s="10"/>
      <c r="EM26" s="10"/>
      <c r="EN26" s="10"/>
      <c r="ER26" s="10"/>
      <c r="ES26" s="10"/>
      <c r="ET26" s="10"/>
      <c r="EU26" s="10"/>
    </row>
    <row r="27" spans="2:151" outlineLevel="1" x14ac:dyDescent="0.2">
      <c r="B27" t="s">
        <v>28</v>
      </c>
      <c r="C27" t="s">
        <v>188</v>
      </c>
      <c r="E27" s="9"/>
      <c r="F27" t="s">
        <v>152</v>
      </c>
      <c r="G27" s="20">
        <v>8.3333333333333343E-2</v>
      </c>
      <c r="I27" s="9">
        <f t="shared" si="1"/>
        <v>0</v>
      </c>
      <c r="J27" s="11" cm="1">
        <f t="array" ref="J27">MAX(IF($N$3:$BW$3=$J$3,N27:BW27))</f>
        <v>0</v>
      </c>
      <c r="K27" s="11" cm="1">
        <f t="array" ref="K27">MAX(IF($N$3:$BW$3=$J$3,N27:BW27))</f>
        <v>0</v>
      </c>
      <c r="L27" s="9"/>
      <c r="O27" s="10"/>
      <c r="P27" s="10"/>
      <c r="Q27" s="10"/>
      <c r="R27" s="10"/>
      <c r="V27" s="10"/>
      <c r="W27" s="10">
        <v>0.5</v>
      </c>
      <c r="X27" s="10"/>
      <c r="Y27" s="10">
        <v>0.5</v>
      </c>
      <c r="AC27" s="10"/>
      <c r="AD27" s="10">
        <v>0.8</v>
      </c>
      <c r="AE27" s="10"/>
      <c r="AF27" s="10">
        <v>0.8</v>
      </c>
      <c r="AJ27" s="10"/>
      <c r="AK27" s="10">
        <v>1</v>
      </c>
      <c r="AL27" s="10"/>
      <c r="AM27" s="10">
        <v>1</v>
      </c>
      <c r="AQ27" s="10"/>
      <c r="AR27" s="10">
        <v>1</v>
      </c>
      <c r="AS27" s="10"/>
      <c r="AT27" s="10">
        <v>1</v>
      </c>
      <c r="AX27" s="10"/>
      <c r="AY27" s="10"/>
      <c r="AZ27" s="10"/>
      <c r="BA27" s="10"/>
      <c r="BE27" s="10"/>
      <c r="BF27" s="10"/>
      <c r="BG27" s="10"/>
      <c r="BH27" s="10"/>
      <c r="BL27" s="10"/>
      <c r="BM27" s="10"/>
      <c r="BN27" s="10"/>
      <c r="BO27" s="10"/>
      <c r="BS27" s="10"/>
      <c r="BT27" s="10"/>
      <c r="BU27" s="10"/>
      <c r="BV27" s="10"/>
      <c r="BZ27" s="10"/>
      <c r="CA27" s="10"/>
      <c r="CB27" s="10"/>
      <c r="CC27" s="10"/>
      <c r="CG27" s="10"/>
      <c r="CH27" s="10"/>
      <c r="CI27" s="10"/>
      <c r="CJ27" s="10"/>
      <c r="CN27" s="10"/>
      <c r="CO27" s="10"/>
      <c r="CP27" s="10"/>
      <c r="CQ27" s="10"/>
      <c r="CU27" s="10"/>
      <c r="CV27" s="10"/>
      <c r="CW27" s="10"/>
      <c r="CX27" s="10"/>
      <c r="DB27" s="10"/>
      <c r="DC27" s="10"/>
      <c r="DD27" s="10"/>
      <c r="DE27" s="10"/>
      <c r="DI27" s="10"/>
      <c r="DJ27" s="10"/>
      <c r="DK27" s="10"/>
      <c r="DL27" s="10"/>
      <c r="DP27" s="10"/>
      <c r="DQ27" s="10"/>
      <c r="DR27" s="10"/>
      <c r="DS27" s="10"/>
      <c r="DW27" s="10"/>
      <c r="DX27" s="10"/>
      <c r="DY27" s="10"/>
      <c r="DZ27" s="10"/>
      <c r="ED27" s="10"/>
      <c r="EE27" s="10"/>
      <c r="EF27" s="10"/>
      <c r="EG27" s="10"/>
      <c r="EK27" s="10"/>
      <c r="EL27" s="10"/>
      <c r="EM27" s="10"/>
      <c r="EN27" s="10"/>
      <c r="ER27" s="10"/>
      <c r="ES27" s="10"/>
      <c r="ET27" s="10"/>
      <c r="EU27" s="10"/>
    </row>
    <row r="28" spans="2:151" outlineLevel="1" x14ac:dyDescent="0.2">
      <c r="B28" t="s">
        <v>28</v>
      </c>
      <c r="C28" t="s">
        <v>188</v>
      </c>
      <c r="E28" s="9"/>
      <c r="F28" t="s">
        <v>153</v>
      </c>
      <c r="G28" s="20">
        <v>8.3333333333333343E-2</v>
      </c>
      <c r="I28" s="9">
        <f t="shared" si="1"/>
        <v>0</v>
      </c>
      <c r="J28" s="11" cm="1">
        <f t="array" ref="J28">MAX(IF($N$3:$BW$3=$J$3,N28:BW28))</f>
        <v>0</v>
      </c>
      <c r="K28" s="11" cm="1">
        <f t="array" ref="K28">MAX(IF($N$3:$BW$3=$J$3,N28:BW28))</f>
        <v>0</v>
      </c>
      <c r="L28" s="9"/>
      <c r="O28" s="10"/>
      <c r="P28" s="10"/>
      <c r="Q28" s="10"/>
      <c r="R28" s="10"/>
      <c r="V28" s="10"/>
      <c r="W28" s="10">
        <v>0.5</v>
      </c>
      <c r="X28" s="10"/>
      <c r="Y28" s="10">
        <v>0.5</v>
      </c>
      <c r="AC28" s="10"/>
      <c r="AD28" s="10">
        <v>0.8</v>
      </c>
      <c r="AE28" s="10"/>
      <c r="AF28" s="10">
        <v>0.8</v>
      </c>
      <c r="AJ28" s="10"/>
      <c r="AK28" s="10">
        <v>1</v>
      </c>
      <c r="AL28" s="10"/>
      <c r="AM28" s="10">
        <v>1</v>
      </c>
      <c r="AQ28" s="10"/>
      <c r="AR28" s="10">
        <v>1</v>
      </c>
      <c r="AS28" s="10"/>
      <c r="AT28" s="10">
        <v>1</v>
      </c>
      <c r="AX28" s="10"/>
      <c r="AY28" s="10"/>
      <c r="AZ28" s="10"/>
      <c r="BA28" s="10"/>
      <c r="BE28" s="10"/>
      <c r="BF28" s="10"/>
      <c r="BG28" s="10"/>
      <c r="BH28" s="10"/>
      <c r="BL28" s="10"/>
      <c r="BM28" s="10"/>
      <c r="BN28" s="10"/>
      <c r="BO28" s="10"/>
      <c r="BS28" s="10"/>
      <c r="BT28" s="10"/>
      <c r="BU28" s="10"/>
      <c r="BV28" s="10"/>
      <c r="BZ28" s="10"/>
      <c r="CA28" s="10"/>
      <c r="CB28" s="10"/>
      <c r="CC28" s="10"/>
      <c r="CG28" s="10"/>
      <c r="CH28" s="10"/>
      <c r="CI28" s="10"/>
      <c r="CJ28" s="10"/>
      <c r="CN28" s="10"/>
      <c r="CO28" s="10"/>
      <c r="CP28" s="10"/>
      <c r="CQ28" s="10"/>
      <c r="CU28" s="10"/>
      <c r="CV28" s="10"/>
      <c r="CW28" s="10"/>
      <c r="CX28" s="10"/>
      <c r="DB28" s="10"/>
      <c r="DC28" s="10"/>
      <c r="DD28" s="10"/>
      <c r="DE28" s="10"/>
      <c r="DI28" s="10"/>
      <c r="DJ28" s="10"/>
      <c r="DK28" s="10"/>
      <c r="DL28" s="10"/>
      <c r="DP28" s="10"/>
      <c r="DQ28" s="10"/>
      <c r="DR28" s="10"/>
      <c r="DS28" s="10"/>
      <c r="DW28" s="10"/>
      <c r="DX28" s="10"/>
      <c r="DY28" s="10"/>
      <c r="DZ28" s="10"/>
      <c r="ED28" s="10"/>
      <c r="EE28" s="10"/>
      <c r="EF28" s="10"/>
      <c r="EG28" s="10"/>
      <c r="EK28" s="10"/>
      <c r="EL28" s="10"/>
      <c r="EM28" s="10"/>
      <c r="EN28" s="10"/>
      <c r="ER28" s="10"/>
      <c r="ES28" s="10"/>
      <c r="ET28" s="10"/>
      <c r="EU28" s="10"/>
    </row>
    <row r="29" spans="2:151" outlineLevel="1" x14ac:dyDescent="0.2">
      <c r="B29" t="s">
        <v>28</v>
      </c>
      <c r="C29" t="s">
        <v>188</v>
      </c>
      <c r="E29" s="9"/>
      <c r="F29" t="s">
        <v>154</v>
      </c>
      <c r="G29" s="20">
        <v>8.3333333333333343E-2</v>
      </c>
      <c r="I29" s="9">
        <f t="shared" si="1"/>
        <v>0</v>
      </c>
      <c r="J29" s="11" cm="1">
        <f t="array" ref="J29">MAX(IF($N$3:$BW$3=$J$3,N29:BW29))</f>
        <v>0</v>
      </c>
      <c r="K29" s="11" cm="1">
        <f t="array" ref="K29">MAX(IF($N$3:$BW$3=$J$3,N29:BW29))</f>
        <v>0</v>
      </c>
      <c r="L29" s="9"/>
      <c r="O29" s="10"/>
      <c r="P29" s="10"/>
      <c r="Q29" s="10"/>
      <c r="R29" s="10"/>
      <c r="V29" s="10"/>
      <c r="W29" s="10">
        <v>0.5</v>
      </c>
      <c r="X29" s="10"/>
      <c r="Y29" s="10">
        <v>0.5</v>
      </c>
      <c r="AC29" s="10"/>
      <c r="AD29" s="10">
        <v>0.5</v>
      </c>
      <c r="AE29" s="10"/>
      <c r="AF29" s="10">
        <v>0.5</v>
      </c>
      <c r="AJ29" s="10"/>
      <c r="AK29" s="10">
        <v>0.8</v>
      </c>
      <c r="AL29" s="10"/>
      <c r="AM29" s="10">
        <v>0.8</v>
      </c>
      <c r="AQ29" s="10"/>
      <c r="AR29" s="10">
        <v>1</v>
      </c>
      <c r="AS29" s="10"/>
      <c r="AT29" s="10">
        <v>1</v>
      </c>
      <c r="AX29" s="10"/>
      <c r="AY29" s="10"/>
      <c r="AZ29" s="10"/>
      <c r="BA29" s="10"/>
      <c r="BE29" s="10"/>
      <c r="BF29" s="10"/>
      <c r="BG29" s="10"/>
      <c r="BH29" s="10"/>
      <c r="BL29" s="10"/>
      <c r="BM29" s="10"/>
      <c r="BN29" s="10"/>
      <c r="BO29" s="10"/>
      <c r="BS29" s="10"/>
      <c r="BT29" s="10"/>
      <c r="BU29" s="10"/>
      <c r="BV29" s="10"/>
      <c r="BZ29" s="10"/>
      <c r="CA29" s="10"/>
      <c r="CB29" s="10"/>
      <c r="CC29" s="10"/>
      <c r="CG29" s="10"/>
      <c r="CH29" s="10"/>
      <c r="CI29" s="10"/>
      <c r="CJ29" s="10"/>
      <c r="CN29" s="10"/>
      <c r="CO29" s="10"/>
      <c r="CP29" s="10"/>
      <c r="CQ29" s="10"/>
      <c r="CU29" s="10"/>
      <c r="CV29" s="10"/>
      <c r="CW29" s="10"/>
      <c r="CX29" s="10"/>
      <c r="DB29" s="10"/>
      <c r="DC29" s="10"/>
      <c r="DD29" s="10"/>
      <c r="DE29" s="10"/>
      <c r="DI29" s="10"/>
      <c r="DJ29" s="10"/>
      <c r="DK29" s="10"/>
      <c r="DL29" s="10"/>
      <c r="DP29" s="10"/>
      <c r="DQ29" s="10"/>
      <c r="DR29" s="10"/>
      <c r="DS29" s="10"/>
      <c r="DW29" s="10"/>
      <c r="DX29" s="10"/>
      <c r="DY29" s="10"/>
      <c r="DZ29" s="10"/>
      <c r="ED29" s="10"/>
      <c r="EE29" s="10"/>
      <c r="EF29" s="10"/>
      <c r="EG29" s="10"/>
      <c r="EK29" s="10"/>
      <c r="EL29" s="10"/>
      <c r="EM29" s="10"/>
      <c r="EN29" s="10"/>
      <c r="ER29" s="10"/>
      <c r="ES29" s="10"/>
      <c r="ET29" s="10"/>
      <c r="EU29" s="10"/>
    </row>
    <row r="30" spans="2:151" outlineLevel="1" x14ac:dyDescent="0.2">
      <c r="B30" t="s">
        <v>28</v>
      </c>
      <c r="C30" t="s">
        <v>188</v>
      </c>
      <c r="E30" s="9"/>
      <c r="F30" t="s">
        <v>155</v>
      </c>
      <c r="G30" s="20">
        <v>8.3333333333333343E-2</v>
      </c>
      <c r="I30" s="9">
        <f t="shared" si="1"/>
        <v>0</v>
      </c>
      <c r="J30" s="11" cm="1">
        <f t="array" ref="J30">MAX(IF($N$3:$BW$3=$J$3,N30:BW30))</f>
        <v>0</v>
      </c>
      <c r="K30" s="11" cm="1">
        <f t="array" ref="K30">MAX(IF($N$3:$BW$3=$J$3,N30:BW30))</f>
        <v>0</v>
      </c>
      <c r="L30" s="9"/>
      <c r="O30" s="10"/>
      <c r="P30" s="10"/>
      <c r="Q30" s="10"/>
      <c r="R30" s="10"/>
      <c r="V30" s="10"/>
      <c r="W30" s="10">
        <v>0.5</v>
      </c>
      <c r="X30" s="10"/>
      <c r="Y30" s="10">
        <v>0.5</v>
      </c>
      <c r="AC30" s="10"/>
      <c r="AD30" s="10">
        <v>0.5</v>
      </c>
      <c r="AE30" s="10"/>
      <c r="AF30" s="10">
        <v>0.5</v>
      </c>
      <c r="AJ30" s="10"/>
      <c r="AK30" s="10">
        <v>0.8</v>
      </c>
      <c r="AL30" s="10"/>
      <c r="AM30" s="10">
        <v>0.8</v>
      </c>
      <c r="AQ30" s="10"/>
      <c r="AR30" s="10">
        <v>1</v>
      </c>
      <c r="AS30" s="10"/>
      <c r="AT30" s="10">
        <v>1</v>
      </c>
      <c r="AX30" s="10"/>
      <c r="AY30" s="10"/>
      <c r="AZ30" s="10"/>
      <c r="BA30" s="10"/>
      <c r="BE30" s="10"/>
      <c r="BF30" s="10"/>
      <c r="BG30" s="10"/>
      <c r="BH30" s="10"/>
      <c r="BL30" s="10"/>
      <c r="BM30" s="10"/>
      <c r="BN30" s="10"/>
      <c r="BO30" s="10"/>
      <c r="BS30" s="10"/>
      <c r="BT30" s="10"/>
      <c r="BU30" s="10"/>
      <c r="BV30" s="10"/>
      <c r="BZ30" s="10"/>
      <c r="CA30" s="10"/>
      <c r="CB30" s="10"/>
      <c r="CC30" s="10"/>
      <c r="CG30" s="10"/>
      <c r="CH30" s="10"/>
      <c r="CI30" s="10"/>
      <c r="CJ30" s="10"/>
      <c r="CN30" s="10"/>
      <c r="CO30" s="10"/>
      <c r="CP30" s="10"/>
      <c r="CQ30" s="10"/>
      <c r="CU30" s="10"/>
      <c r="CV30" s="10"/>
      <c r="CW30" s="10"/>
      <c r="CX30" s="10"/>
      <c r="DB30" s="10"/>
      <c r="DC30" s="10"/>
      <c r="DD30" s="10"/>
      <c r="DE30" s="10"/>
      <c r="DI30" s="10"/>
      <c r="DJ30" s="10"/>
      <c r="DK30" s="10"/>
      <c r="DL30" s="10"/>
      <c r="DP30" s="10"/>
      <c r="DQ30" s="10"/>
      <c r="DR30" s="10"/>
      <c r="DS30" s="10"/>
      <c r="DW30" s="10"/>
      <c r="DX30" s="10"/>
      <c r="DY30" s="10"/>
      <c r="DZ30" s="10"/>
      <c r="ED30" s="10"/>
      <c r="EE30" s="10"/>
      <c r="EF30" s="10"/>
      <c r="EG30" s="10"/>
      <c r="EK30" s="10"/>
      <c r="EL30" s="10"/>
      <c r="EM30" s="10"/>
      <c r="EN30" s="10"/>
      <c r="ER30" s="10"/>
      <c r="ES30" s="10"/>
      <c r="ET30" s="10"/>
      <c r="EU30" s="10"/>
    </row>
    <row r="31" spans="2:151" outlineLevel="1" x14ac:dyDescent="0.2">
      <c r="B31" t="s">
        <v>28</v>
      </c>
      <c r="C31" t="s">
        <v>188</v>
      </c>
      <c r="E31" s="9"/>
      <c r="F31" t="s">
        <v>156</v>
      </c>
      <c r="G31" s="20">
        <v>8.3333333333333343E-2</v>
      </c>
      <c r="I31" s="9">
        <f t="shared" si="1"/>
        <v>0</v>
      </c>
      <c r="J31" s="11" cm="1">
        <f t="array" ref="J31">MAX(IF($N$3:$BW$3=$J$3,N31:BW31))</f>
        <v>0</v>
      </c>
      <c r="K31" s="11" cm="1">
        <f t="array" ref="K31">MAX(IF($N$3:$BW$3=$J$3,N31:BW31))</f>
        <v>0</v>
      </c>
      <c r="L31" s="9"/>
      <c r="O31" s="10"/>
      <c r="P31" s="10"/>
      <c r="Q31" s="10"/>
      <c r="R31" s="10"/>
      <c r="V31" s="10"/>
      <c r="W31" s="10">
        <v>0.5</v>
      </c>
      <c r="X31" s="10"/>
      <c r="Y31" s="10">
        <v>0.5</v>
      </c>
      <c r="AC31" s="10"/>
      <c r="AD31" s="10">
        <v>0.5</v>
      </c>
      <c r="AE31" s="10"/>
      <c r="AF31" s="10">
        <v>0.5</v>
      </c>
      <c r="AJ31" s="10"/>
      <c r="AK31" s="10">
        <v>0.8</v>
      </c>
      <c r="AL31" s="10"/>
      <c r="AM31" s="10">
        <v>0.8</v>
      </c>
      <c r="AQ31" s="10"/>
      <c r="AR31" s="10">
        <v>1</v>
      </c>
      <c r="AS31" s="10"/>
      <c r="AT31" s="10">
        <v>1</v>
      </c>
      <c r="AX31" s="10"/>
      <c r="AY31" s="10"/>
      <c r="AZ31" s="10"/>
      <c r="BA31" s="10"/>
      <c r="BE31" s="10"/>
      <c r="BF31" s="10"/>
      <c r="BG31" s="10"/>
      <c r="BH31" s="10"/>
      <c r="BL31" s="10"/>
      <c r="BM31" s="10"/>
      <c r="BN31" s="10"/>
      <c r="BO31" s="10"/>
      <c r="BS31" s="10"/>
      <c r="BT31" s="10"/>
      <c r="BU31" s="10"/>
      <c r="BV31" s="10"/>
      <c r="BZ31" s="10"/>
      <c r="CA31" s="10"/>
      <c r="CB31" s="10"/>
      <c r="CC31" s="10"/>
      <c r="CG31" s="10"/>
      <c r="CH31" s="10"/>
      <c r="CI31" s="10"/>
      <c r="CJ31" s="10"/>
      <c r="CN31" s="10"/>
      <c r="CO31" s="10"/>
      <c r="CP31" s="10"/>
      <c r="CQ31" s="10"/>
      <c r="CU31" s="10"/>
      <c r="CV31" s="10"/>
      <c r="CW31" s="10"/>
      <c r="CX31" s="10"/>
      <c r="DB31" s="10"/>
      <c r="DC31" s="10"/>
      <c r="DD31" s="10"/>
      <c r="DE31" s="10"/>
      <c r="DI31" s="10"/>
      <c r="DJ31" s="10"/>
      <c r="DK31" s="10"/>
      <c r="DL31" s="10"/>
      <c r="DP31" s="10"/>
      <c r="DQ31" s="10"/>
      <c r="DR31" s="10"/>
      <c r="DS31" s="10"/>
      <c r="DW31" s="10"/>
      <c r="DX31" s="10"/>
      <c r="DY31" s="10"/>
      <c r="DZ31" s="10"/>
      <c r="ED31" s="10"/>
      <c r="EE31" s="10"/>
      <c r="EF31" s="10"/>
      <c r="EG31" s="10"/>
      <c r="EK31" s="10"/>
      <c r="EL31" s="10"/>
      <c r="EM31" s="10"/>
      <c r="EN31" s="10"/>
      <c r="ER31" s="10"/>
      <c r="ES31" s="10"/>
      <c r="ET31" s="10"/>
      <c r="EU31" s="10"/>
    </row>
    <row r="32" spans="2:151" outlineLevel="1" x14ac:dyDescent="0.2">
      <c r="B32" t="s">
        <v>28</v>
      </c>
      <c r="C32" t="s">
        <v>188</v>
      </c>
      <c r="E32" s="9"/>
      <c r="F32" t="s">
        <v>157</v>
      </c>
      <c r="G32" s="20">
        <v>8.3333333333333343E-2</v>
      </c>
      <c r="I32" s="9">
        <f t="shared" si="1"/>
        <v>0</v>
      </c>
      <c r="J32" s="11" cm="1">
        <f t="array" ref="J32">MAX(IF($N$3:$BW$3=$J$3,N32:BW32))</f>
        <v>0</v>
      </c>
      <c r="K32" s="11" cm="1">
        <f t="array" ref="K32">MAX(IF($N$3:$BW$3=$J$3,N32:BW32))</f>
        <v>0</v>
      </c>
      <c r="L32" s="9"/>
      <c r="O32" s="10"/>
      <c r="P32" s="10"/>
      <c r="Q32" s="10"/>
      <c r="R32" s="10"/>
      <c r="V32" s="10"/>
      <c r="W32" s="10"/>
      <c r="X32" s="10"/>
      <c r="Y32" s="10"/>
      <c r="AC32" s="10"/>
      <c r="AD32" s="10">
        <v>0.5</v>
      </c>
      <c r="AE32" s="10"/>
      <c r="AF32" s="10">
        <v>0.5</v>
      </c>
      <c r="AJ32" s="10"/>
      <c r="AK32" s="10">
        <v>0.8</v>
      </c>
      <c r="AL32" s="10"/>
      <c r="AM32" s="10">
        <v>0.8</v>
      </c>
      <c r="AQ32" s="10"/>
      <c r="AR32" s="10">
        <v>1</v>
      </c>
      <c r="AS32" s="10"/>
      <c r="AT32" s="10">
        <v>1</v>
      </c>
      <c r="AX32" s="10"/>
      <c r="AY32" s="10"/>
      <c r="AZ32" s="10"/>
      <c r="BA32" s="10"/>
      <c r="BE32" s="10"/>
      <c r="BF32" s="10"/>
      <c r="BG32" s="10"/>
      <c r="BH32" s="10"/>
      <c r="BL32" s="10"/>
      <c r="BM32" s="10"/>
      <c r="BN32" s="10"/>
      <c r="BO32" s="10"/>
      <c r="BS32" s="10"/>
      <c r="BT32" s="10"/>
      <c r="BU32" s="10"/>
      <c r="BV32" s="10"/>
      <c r="BZ32" s="10"/>
      <c r="CA32" s="10"/>
      <c r="CB32" s="10"/>
      <c r="CC32" s="10"/>
      <c r="CG32" s="10"/>
      <c r="CH32" s="10"/>
      <c r="CI32" s="10"/>
      <c r="CJ32" s="10"/>
      <c r="CN32" s="10"/>
      <c r="CO32" s="10"/>
      <c r="CP32" s="10"/>
      <c r="CQ32" s="10"/>
      <c r="CU32" s="10"/>
      <c r="CV32" s="10"/>
      <c r="CW32" s="10"/>
      <c r="CX32" s="10"/>
      <c r="DB32" s="10"/>
      <c r="DC32" s="10"/>
      <c r="DD32" s="10"/>
      <c r="DE32" s="10"/>
      <c r="DI32" s="10"/>
      <c r="DJ32" s="10"/>
      <c r="DK32" s="10"/>
      <c r="DL32" s="10"/>
      <c r="DP32" s="10"/>
      <c r="DQ32" s="10"/>
      <c r="DR32" s="10"/>
      <c r="DS32" s="10"/>
      <c r="DW32" s="10"/>
      <c r="DX32" s="10"/>
      <c r="DY32" s="10"/>
      <c r="DZ32" s="10"/>
      <c r="ED32" s="10"/>
      <c r="EE32" s="10"/>
      <c r="EF32" s="10"/>
      <c r="EG32" s="10"/>
      <c r="EK32" s="10"/>
      <c r="EL32" s="10"/>
      <c r="EM32" s="10"/>
      <c r="EN32" s="10"/>
      <c r="ER32" s="10"/>
      <c r="ES32" s="10"/>
      <c r="ET32" s="10"/>
      <c r="EU32" s="10"/>
    </row>
    <row r="33" spans="2:152" outlineLevel="1" x14ac:dyDescent="0.2">
      <c r="B33" t="s">
        <v>28</v>
      </c>
      <c r="C33" t="s">
        <v>188</v>
      </c>
      <c r="E33" s="9"/>
      <c r="F33" t="s">
        <v>158</v>
      </c>
      <c r="G33" s="20">
        <v>8.3333333333333343E-2</v>
      </c>
      <c r="I33" s="9">
        <f t="shared" si="1"/>
        <v>0</v>
      </c>
      <c r="J33" s="11" cm="1">
        <f t="array" ref="J33">MAX(IF($N$3:$BW$3=$J$3,N33:BW33))</f>
        <v>0</v>
      </c>
      <c r="K33" s="11" cm="1">
        <f t="array" ref="K33">MAX(IF($N$3:$BW$3=$J$3,N33:BW33))</f>
        <v>0</v>
      </c>
      <c r="L33" s="9"/>
      <c r="O33" s="10"/>
      <c r="P33" s="10"/>
      <c r="Q33" s="10"/>
      <c r="R33" s="10"/>
      <c r="V33" s="10"/>
      <c r="W33" s="10"/>
      <c r="X33" s="10"/>
      <c r="Y33" s="10"/>
      <c r="AC33" s="10"/>
      <c r="AD33" s="10">
        <v>0.5</v>
      </c>
      <c r="AE33" s="10"/>
      <c r="AF33" s="10">
        <v>0.5</v>
      </c>
      <c r="AJ33" s="10"/>
      <c r="AK33" s="10">
        <v>0.5</v>
      </c>
      <c r="AL33" s="10"/>
      <c r="AM33" s="10">
        <v>0.5</v>
      </c>
      <c r="AQ33" s="10"/>
      <c r="AR33" s="10">
        <v>1</v>
      </c>
      <c r="AS33" s="10"/>
      <c r="AT33" s="10">
        <v>1</v>
      </c>
      <c r="AX33" s="10"/>
      <c r="AY33" s="10"/>
      <c r="AZ33" s="10"/>
      <c r="BA33" s="10"/>
      <c r="BE33" s="10"/>
      <c r="BF33" s="10"/>
      <c r="BG33" s="10"/>
      <c r="BH33" s="10"/>
      <c r="BL33" s="10"/>
      <c r="BM33" s="10"/>
      <c r="BN33" s="10"/>
      <c r="BO33" s="10"/>
      <c r="BS33" s="10"/>
      <c r="BT33" s="10"/>
      <c r="BU33" s="10"/>
      <c r="BV33" s="10"/>
      <c r="BZ33" s="10"/>
      <c r="CA33" s="10"/>
      <c r="CB33" s="10"/>
      <c r="CC33" s="10"/>
      <c r="CG33" s="10"/>
      <c r="CH33" s="10"/>
      <c r="CI33" s="10"/>
      <c r="CJ33" s="10"/>
      <c r="CN33" s="10"/>
      <c r="CO33" s="10"/>
      <c r="CP33" s="10"/>
      <c r="CQ33" s="10"/>
      <c r="CU33" s="10"/>
      <c r="CV33" s="10"/>
      <c r="CW33" s="10"/>
      <c r="CX33" s="10"/>
      <c r="DB33" s="10"/>
      <c r="DC33" s="10"/>
      <c r="DD33" s="10"/>
      <c r="DE33" s="10"/>
      <c r="DI33" s="10"/>
      <c r="DJ33" s="10"/>
      <c r="DK33" s="10"/>
      <c r="DL33" s="10"/>
      <c r="DP33" s="10"/>
      <c r="DQ33" s="10"/>
      <c r="DR33" s="10"/>
      <c r="DS33" s="10"/>
      <c r="DW33" s="10"/>
      <c r="DX33" s="10"/>
      <c r="DY33" s="10"/>
      <c r="DZ33" s="10"/>
      <c r="ED33" s="10"/>
      <c r="EE33" s="10"/>
      <c r="EF33" s="10"/>
      <c r="EG33" s="10"/>
      <c r="EK33" s="10"/>
      <c r="EL33" s="10"/>
      <c r="EM33" s="10"/>
      <c r="EN33" s="10"/>
      <c r="ER33" s="10"/>
      <c r="ES33" s="10"/>
      <c r="ET33" s="10"/>
      <c r="EU33" s="10"/>
    </row>
    <row r="34" spans="2:152" outlineLevel="1" x14ac:dyDescent="0.2">
      <c r="B34" t="s">
        <v>28</v>
      </c>
      <c r="C34" t="s">
        <v>188</v>
      </c>
      <c r="E34" s="9"/>
      <c r="F34" t="s">
        <v>159</v>
      </c>
      <c r="G34" s="20">
        <v>8.3333333333333343E-2</v>
      </c>
      <c r="I34" s="9">
        <f t="shared" si="1"/>
        <v>0</v>
      </c>
      <c r="J34" s="11" cm="1">
        <f t="array" ref="J34">MAX(IF($N$3:$BW$3=$J$3,N34:BW34))</f>
        <v>0</v>
      </c>
      <c r="K34" s="11" cm="1">
        <f t="array" ref="K34">MAX(IF($N$3:$BW$3=$J$3,N34:BW34))</f>
        <v>0</v>
      </c>
      <c r="L34" s="9"/>
      <c r="O34" s="10"/>
      <c r="P34" s="10"/>
      <c r="Q34" s="10"/>
      <c r="R34" s="10"/>
      <c r="V34" s="10"/>
      <c r="W34" s="10"/>
      <c r="X34" s="10"/>
      <c r="Y34" s="10"/>
      <c r="AC34" s="10"/>
      <c r="AD34" s="10">
        <v>0.5</v>
      </c>
      <c r="AE34" s="10"/>
      <c r="AF34" s="10">
        <v>0.5</v>
      </c>
      <c r="AJ34" s="10"/>
      <c r="AK34" s="10">
        <v>0.5</v>
      </c>
      <c r="AL34" s="10"/>
      <c r="AM34" s="10">
        <v>0.5</v>
      </c>
      <c r="AQ34" s="10"/>
      <c r="AR34" s="10">
        <v>1</v>
      </c>
      <c r="AS34" s="10"/>
      <c r="AT34" s="10">
        <v>1</v>
      </c>
      <c r="AX34" s="10"/>
      <c r="AY34" s="10"/>
      <c r="AZ34" s="10"/>
      <c r="BA34" s="10"/>
      <c r="BE34" s="10"/>
      <c r="BF34" s="10"/>
      <c r="BG34" s="10"/>
      <c r="BH34" s="10"/>
      <c r="BL34" s="10"/>
      <c r="BM34" s="10"/>
      <c r="BN34" s="10"/>
      <c r="BO34" s="10"/>
      <c r="BS34" s="10"/>
      <c r="BT34" s="10"/>
      <c r="BU34" s="10"/>
      <c r="BV34" s="10"/>
      <c r="BZ34" s="10"/>
      <c r="CA34" s="10"/>
      <c r="CB34" s="10"/>
      <c r="CC34" s="10"/>
      <c r="CG34" s="10"/>
      <c r="CH34" s="10"/>
      <c r="CI34" s="10"/>
      <c r="CJ34" s="10"/>
      <c r="CN34" s="10"/>
      <c r="CO34" s="10"/>
      <c r="CP34" s="10"/>
      <c r="CQ34" s="10"/>
      <c r="CU34" s="10"/>
      <c r="CV34" s="10"/>
      <c r="CW34" s="10"/>
      <c r="CX34" s="10"/>
      <c r="DB34" s="10"/>
      <c r="DC34" s="10"/>
      <c r="DD34" s="10"/>
      <c r="DE34" s="10"/>
      <c r="DI34" s="10"/>
      <c r="DJ34" s="10"/>
      <c r="DK34" s="10"/>
      <c r="DL34" s="10"/>
      <c r="DP34" s="10"/>
      <c r="DQ34" s="10"/>
      <c r="DR34" s="10"/>
      <c r="DS34" s="10"/>
      <c r="DW34" s="10"/>
      <c r="DX34" s="10"/>
      <c r="DY34" s="10"/>
      <c r="DZ34" s="10"/>
      <c r="ED34" s="10"/>
      <c r="EE34" s="10"/>
      <c r="EF34" s="10"/>
      <c r="EG34" s="10"/>
      <c r="EK34" s="10"/>
      <c r="EL34" s="10"/>
      <c r="EM34" s="10"/>
      <c r="EN34" s="10"/>
      <c r="ER34" s="10"/>
      <c r="ES34" s="10"/>
      <c r="ET34" s="10"/>
      <c r="EU34" s="10"/>
    </row>
    <row r="36" spans="2:152" x14ac:dyDescent="0.2">
      <c r="B36" t="s">
        <v>27</v>
      </c>
      <c r="C36" t="s">
        <v>187</v>
      </c>
      <c r="D36" s="19">
        <v>46079</v>
      </c>
      <c r="E36" s="9">
        <v>6</v>
      </c>
      <c r="G36" s="10">
        <f>+SUM(G37:G48)</f>
        <v>0.99999999999999989</v>
      </c>
      <c r="I36" s="12">
        <f>+SUM(I37:I48)</f>
        <v>0</v>
      </c>
      <c r="J36" s="11">
        <f>+SUMPRODUCT(G37:G48,J37:J48)</f>
        <v>0</v>
      </c>
      <c r="K36" s="11">
        <f>+SUMPRODUCT(G37:G48,K37:K48)</f>
        <v>0</v>
      </c>
      <c r="L36" s="9" t="s">
        <v>182</v>
      </c>
      <c r="N36" s="12">
        <f>+SUM(N37:N48)</f>
        <v>0</v>
      </c>
      <c r="U36" s="12">
        <f>+SUM(U37:U48)</f>
        <v>0</v>
      </c>
      <c r="AB36" s="12">
        <f>+SUM(AB37:AB48)</f>
        <v>0</v>
      </c>
      <c r="AI36" s="12">
        <f>+SUM(AI37:AI48)</f>
        <v>0</v>
      </c>
      <c r="AP36" s="12">
        <f>+SUM(AP37:AP48)</f>
        <v>0</v>
      </c>
      <c r="AW36" s="12">
        <f>+SUM(AW37:AW48)</f>
        <v>0</v>
      </c>
      <c r="BD36" s="12">
        <f>+SUM(BD37:BD48)</f>
        <v>0</v>
      </c>
      <c r="BK36" s="12">
        <f>+SUM(BK37:BK48)</f>
        <v>0</v>
      </c>
      <c r="BR36" s="12">
        <f>+SUM(BR37:BR48)</f>
        <v>0</v>
      </c>
      <c r="BY36" s="12">
        <f>+SUM(BY37:BY48)</f>
        <v>0</v>
      </c>
      <c r="CF36" s="12">
        <f>+SUM(CF37:CF48)</f>
        <v>0</v>
      </c>
      <c r="CM36" s="12">
        <f>+SUM(CM37:CM48)</f>
        <v>0</v>
      </c>
      <c r="CT36" s="12">
        <f>+SUM(CT37:CT48)</f>
        <v>0</v>
      </c>
      <c r="DA36" s="12">
        <f>+SUM(DA37:DA48)</f>
        <v>0</v>
      </c>
      <c r="DH36" s="12">
        <f>+SUM(DH37:DH48)</f>
        <v>0</v>
      </c>
      <c r="DO36" s="12">
        <f>+SUM(DO37:DO48)</f>
        <v>0</v>
      </c>
      <c r="DV36" s="12">
        <f>+SUM(DV37:DV48)</f>
        <v>0</v>
      </c>
      <c r="EC36" s="12">
        <f>+SUM(EC37:EC48)</f>
        <v>0</v>
      </c>
      <c r="EJ36" s="12">
        <f>+SUM(EJ37:EJ48)</f>
        <v>0</v>
      </c>
      <c r="EQ36" s="12">
        <f>+SUM(EQ37:EQ48)</f>
        <v>0</v>
      </c>
      <c r="EV36" t="s">
        <v>179</v>
      </c>
    </row>
    <row r="37" spans="2:152" outlineLevel="1" x14ac:dyDescent="0.2">
      <c r="B37" t="s">
        <v>28</v>
      </c>
      <c r="C37" t="s">
        <v>187</v>
      </c>
      <c r="E37" s="9"/>
      <c r="F37" t="s">
        <v>137</v>
      </c>
      <c r="G37" s="10">
        <v>0.02</v>
      </c>
      <c r="I37" s="9">
        <f t="shared" ref="I37:I48" si="2">+SUMIF($N$3:$XO$3,I$3,$N37:$XO37)</f>
        <v>0</v>
      </c>
      <c r="J37" s="11" cm="1">
        <f t="array" ref="J37">MAX(IF($N$3:$BW$3=$J$3,N37:BW37))</f>
        <v>0</v>
      </c>
      <c r="K37" s="11" cm="1">
        <f t="array" ref="K37">MAX(IF($N$3:$BW$3=$J$3,N37:BW37))</f>
        <v>0</v>
      </c>
      <c r="L37" s="9" t="s">
        <v>213</v>
      </c>
      <c r="O37" s="10"/>
      <c r="P37" s="10">
        <v>0.8</v>
      </c>
      <c r="Q37" s="10"/>
      <c r="R37" s="10">
        <v>0.8</v>
      </c>
      <c r="S37" t="s">
        <v>193</v>
      </c>
      <c r="V37" s="10"/>
      <c r="W37" s="10">
        <v>1</v>
      </c>
      <c r="X37" s="10"/>
      <c r="Y37" s="10">
        <v>1</v>
      </c>
      <c r="Z37" t="s">
        <v>193</v>
      </c>
      <c r="AC37" s="10"/>
      <c r="AD37" s="10">
        <v>1</v>
      </c>
      <c r="AE37" s="10"/>
      <c r="AF37" s="10">
        <v>1</v>
      </c>
      <c r="AG37" t="s">
        <v>193</v>
      </c>
      <c r="AJ37" s="10"/>
      <c r="AK37" s="10">
        <v>1</v>
      </c>
      <c r="AL37" s="10"/>
      <c r="AM37" s="10">
        <v>1</v>
      </c>
      <c r="AN37" t="s">
        <v>193</v>
      </c>
      <c r="AQ37" s="10"/>
      <c r="AR37" s="10">
        <v>1</v>
      </c>
      <c r="AS37" s="10"/>
      <c r="AT37" s="10">
        <v>1</v>
      </c>
      <c r="AU37" t="s">
        <v>193</v>
      </c>
      <c r="AX37" s="10"/>
      <c r="AY37" s="10">
        <v>1</v>
      </c>
      <c r="AZ37" s="10"/>
      <c r="BA37" s="10">
        <v>1</v>
      </c>
      <c r="BB37" t="s">
        <v>193</v>
      </c>
      <c r="BE37" s="10"/>
      <c r="BF37" s="10">
        <v>1</v>
      </c>
      <c r="BG37" s="10"/>
      <c r="BH37" s="10">
        <v>1</v>
      </c>
      <c r="BI37" t="s">
        <v>195</v>
      </c>
      <c r="BL37" s="10"/>
      <c r="BM37" s="10">
        <v>1</v>
      </c>
      <c r="BN37" s="10"/>
      <c r="BO37" s="10">
        <v>1</v>
      </c>
      <c r="BP37" t="s">
        <v>191</v>
      </c>
      <c r="BS37" s="10"/>
      <c r="BT37" s="10">
        <v>1</v>
      </c>
      <c r="BU37" s="10"/>
      <c r="BV37" s="10">
        <v>1</v>
      </c>
      <c r="BW37" t="s">
        <v>191</v>
      </c>
      <c r="BZ37" s="10"/>
      <c r="CA37" s="10">
        <v>1</v>
      </c>
      <c r="CB37" s="10"/>
      <c r="CC37" s="10">
        <v>1</v>
      </c>
      <c r="CD37" t="s">
        <v>191</v>
      </c>
      <c r="CG37" s="10"/>
      <c r="CH37" s="10">
        <v>1</v>
      </c>
      <c r="CI37" s="10"/>
      <c r="CJ37" s="10">
        <v>1</v>
      </c>
      <c r="CK37" t="s">
        <v>191</v>
      </c>
      <c r="CN37" s="10"/>
      <c r="CO37" s="10">
        <v>1</v>
      </c>
      <c r="CP37" s="10"/>
      <c r="CQ37" s="10">
        <v>1</v>
      </c>
      <c r="CR37" t="s">
        <v>191</v>
      </c>
      <c r="CU37" s="10"/>
      <c r="CV37" s="10">
        <v>1</v>
      </c>
      <c r="CW37" s="10"/>
      <c r="CX37" s="10">
        <v>1</v>
      </c>
      <c r="CY37" t="s">
        <v>191</v>
      </c>
      <c r="DB37" s="10"/>
      <c r="DC37" s="10">
        <v>1</v>
      </c>
      <c r="DD37" s="10"/>
      <c r="DE37" s="10">
        <v>1</v>
      </c>
      <c r="DF37" t="s">
        <v>191</v>
      </c>
      <c r="DI37" s="10"/>
      <c r="DJ37" s="10">
        <v>1</v>
      </c>
      <c r="DK37" s="10"/>
      <c r="DL37" s="10">
        <v>1</v>
      </c>
      <c r="DM37" t="s">
        <v>191</v>
      </c>
      <c r="DP37" s="10"/>
      <c r="DQ37" s="10">
        <v>1</v>
      </c>
      <c r="DR37" s="10"/>
      <c r="DS37" s="10">
        <v>1</v>
      </c>
      <c r="DT37" t="s">
        <v>195</v>
      </c>
      <c r="DW37" s="10"/>
      <c r="DX37" s="10"/>
      <c r="DY37" s="10"/>
      <c r="DZ37" s="10"/>
      <c r="ED37" s="10"/>
      <c r="EE37" s="10"/>
      <c r="EF37" s="10"/>
      <c r="EG37" s="10"/>
      <c r="EK37" s="10"/>
      <c r="EL37" s="10"/>
      <c r="EM37" s="10"/>
      <c r="EN37" s="10"/>
      <c r="ER37" s="10"/>
      <c r="ES37" s="10"/>
      <c r="ET37" s="10"/>
      <c r="EU37" s="10"/>
    </row>
    <row r="38" spans="2:152" outlineLevel="1" x14ac:dyDescent="0.2">
      <c r="B38" t="s">
        <v>28</v>
      </c>
      <c r="C38" t="s">
        <v>187</v>
      </c>
      <c r="E38" s="9"/>
      <c r="F38" t="s">
        <v>202</v>
      </c>
      <c r="G38" s="10">
        <v>0.02</v>
      </c>
      <c r="I38" s="9">
        <f t="shared" si="2"/>
        <v>0</v>
      </c>
      <c r="J38" s="11" cm="1">
        <f t="array" ref="J38">MAX(IF($N$3:$BW$3=$J$3,N38:BW38))</f>
        <v>0</v>
      </c>
      <c r="K38" s="11" cm="1">
        <f t="array" ref="K38">MAX(IF($N$3:$BW$3=$J$3,N38:BW38))</f>
        <v>0</v>
      </c>
      <c r="L38" s="9"/>
      <c r="O38" s="10"/>
      <c r="P38" s="10">
        <v>0.5</v>
      </c>
      <c r="Q38" s="10"/>
      <c r="R38" s="10">
        <v>0.5</v>
      </c>
      <c r="V38" s="10"/>
      <c r="W38" s="10">
        <v>1</v>
      </c>
      <c r="X38" s="10"/>
      <c r="Y38" s="10">
        <v>1</v>
      </c>
      <c r="AC38" s="10"/>
      <c r="AD38" s="10">
        <v>1</v>
      </c>
      <c r="AE38" s="10"/>
      <c r="AF38" s="10">
        <v>1</v>
      </c>
      <c r="AJ38" s="10"/>
      <c r="AK38" s="10">
        <v>1</v>
      </c>
      <c r="AL38" s="10"/>
      <c r="AM38" s="10">
        <v>1</v>
      </c>
      <c r="AQ38" s="10"/>
      <c r="AR38" s="10">
        <v>1</v>
      </c>
      <c r="AS38" s="10"/>
      <c r="AT38" s="10">
        <v>1</v>
      </c>
      <c r="AX38" s="10"/>
      <c r="AY38" s="10">
        <v>1</v>
      </c>
      <c r="AZ38" s="10"/>
      <c r="BA38" s="10">
        <v>1</v>
      </c>
      <c r="BE38" s="10"/>
      <c r="BF38" s="10">
        <v>1</v>
      </c>
      <c r="BG38" s="10"/>
      <c r="BH38" s="10">
        <v>1</v>
      </c>
      <c r="BL38" s="10"/>
      <c r="BM38" s="10">
        <v>1</v>
      </c>
      <c r="BN38" s="10"/>
      <c r="BO38" s="10">
        <v>1</v>
      </c>
      <c r="BS38" s="10"/>
      <c r="BT38" s="10">
        <v>1</v>
      </c>
      <c r="BU38" s="10"/>
      <c r="BV38" s="10">
        <v>1</v>
      </c>
      <c r="BZ38" s="10"/>
      <c r="CA38" s="10">
        <v>1</v>
      </c>
      <c r="CB38" s="10"/>
      <c r="CC38" s="10">
        <v>1</v>
      </c>
      <c r="CG38" s="10"/>
      <c r="CH38" s="10">
        <v>1</v>
      </c>
      <c r="CI38" s="10"/>
      <c r="CJ38" s="10">
        <v>1</v>
      </c>
      <c r="CN38" s="10"/>
      <c r="CO38" s="10">
        <v>1</v>
      </c>
      <c r="CP38" s="10"/>
      <c r="CQ38" s="10">
        <v>1</v>
      </c>
      <c r="CU38" s="10"/>
      <c r="CV38" s="10">
        <v>1</v>
      </c>
      <c r="CW38" s="10"/>
      <c r="CX38" s="10">
        <v>1</v>
      </c>
      <c r="DB38" s="10"/>
      <c r="DC38" s="10">
        <v>1</v>
      </c>
      <c r="DD38" s="10"/>
      <c r="DE38" s="10">
        <v>1</v>
      </c>
      <c r="DI38" s="10"/>
      <c r="DJ38" s="10">
        <v>1</v>
      </c>
      <c r="DK38" s="10"/>
      <c r="DL38" s="10">
        <v>1</v>
      </c>
      <c r="DP38" s="10"/>
      <c r="DQ38" s="10">
        <v>1</v>
      </c>
      <c r="DR38" s="10"/>
      <c r="DS38" s="10">
        <v>1</v>
      </c>
      <c r="DW38" s="10"/>
      <c r="DX38" s="10"/>
      <c r="DY38" s="10"/>
      <c r="DZ38" s="10"/>
      <c r="ED38" s="10"/>
      <c r="EE38" s="10"/>
      <c r="EF38" s="10"/>
      <c r="EG38" s="10"/>
      <c r="EK38" s="10"/>
      <c r="EL38" s="10"/>
      <c r="EM38" s="10"/>
      <c r="EN38" s="10"/>
      <c r="ER38" s="10"/>
      <c r="ES38" s="10"/>
      <c r="ET38" s="10"/>
      <c r="EU38" s="10"/>
    </row>
    <row r="39" spans="2:152" outlineLevel="1" x14ac:dyDescent="0.2">
      <c r="B39" t="s">
        <v>28</v>
      </c>
      <c r="C39" t="s">
        <v>187</v>
      </c>
      <c r="E39" s="9"/>
      <c r="F39" t="s">
        <v>203</v>
      </c>
      <c r="G39" s="10">
        <v>9.6000000000000002E-2</v>
      </c>
      <c r="I39" s="9">
        <f t="shared" si="2"/>
        <v>0</v>
      </c>
      <c r="J39" s="11" cm="1">
        <f t="array" ref="J39">MAX(IF($N$3:$BW$3=$J$3,N39:BW39))</f>
        <v>0</v>
      </c>
      <c r="K39" s="11" cm="1">
        <f t="array" ref="K39">MAX(IF($N$3:$BW$3=$J$3,N39:BW39))</f>
        <v>0</v>
      </c>
      <c r="L39" s="9"/>
      <c r="O39" s="10"/>
      <c r="P39" s="10"/>
      <c r="Q39" s="10"/>
      <c r="R39" s="10"/>
      <c r="V39" s="10"/>
      <c r="W39" s="10"/>
      <c r="X39" s="10"/>
      <c r="Y39" s="10"/>
      <c r="AC39" s="10"/>
      <c r="AD39" s="10">
        <v>1</v>
      </c>
      <c r="AE39" s="10"/>
      <c r="AF39" s="10">
        <v>1</v>
      </c>
      <c r="AJ39" s="10"/>
      <c r="AK39" s="10">
        <v>1</v>
      </c>
      <c r="AL39" s="10"/>
      <c r="AM39" s="10">
        <v>1</v>
      </c>
      <c r="AQ39" s="10"/>
      <c r="AR39" s="10">
        <v>1</v>
      </c>
      <c r="AS39" s="10"/>
      <c r="AT39" s="10">
        <v>1</v>
      </c>
      <c r="AX39" s="10"/>
      <c r="AY39" s="10">
        <v>1</v>
      </c>
      <c r="AZ39" s="10"/>
      <c r="BA39" s="10">
        <v>1</v>
      </c>
      <c r="BE39" s="10"/>
      <c r="BF39" s="10">
        <v>1</v>
      </c>
      <c r="BG39" s="10"/>
      <c r="BH39" s="10">
        <v>1</v>
      </c>
      <c r="BL39" s="10"/>
      <c r="BM39" s="10">
        <v>1</v>
      </c>
      <c r="BN39" s="10"/>
      <c r="BO39" s="10">
        <v>1</v>
      </c>
      <c r="BS39" s="10"/>
      <c r="BT39" s="10">
        <v>1</v>
      </c>
      <c r="BU39" s="10"/>
      <c r="BV39" s="10">
        <v>1</v>
      </c>
      <c r="BZ39" s="10"/>
      <c r="CA39" s="10">
        <v>1</v>
      </c>
      <c r="CB39" s="10"/>
      <c r="CC39" s="10">
        <v>1</v>
      </c>
      <c r="CG39" s="10"/>
      <c r="CH39" s="10">
        <v>1</v>
      </c>
      <c r="CI39" s="10"/>
      <c r="CJ39" s="10">
        <v>1</v>
      </c>
      <c r="CN39" s="10"/>
      <c r="CO39" s="10">
        <v>1</v>
      </c>
      <c r="CP39" s="10"/>
      <c r="CQ39" s="10">
        <v>1</v>
      </c>
      <c r="CU39" s="10"/>
      <c r="CV39" s="10">
        <v>1</v>
      </c>
      <c r="CW39" s="10"/>
      <c r="CX39" s="10">
        <v>1</v>
      </c>
      <c r="DB39" s="10"/>
      <c r="DC39" s="10">
        <v>1</v>
      </c>
      <c r="DD39" s="10"/>
      <c r="DE39" s="10">
        <v>1</v>
      </c>
      <c r="DI39" s="10"/>
      <c r="DJ39" s="10">
        <v>1</v>
      </c>
      <c r="DK39" s="10"/>
      <c r="DL39" s="10">
        <v>1</v>
      </c>
      <c r="DP39" s="10"/>
      <c r="DQ39" s="10">
        <v>1</v>
      </c>
      <c r="DR39" s="10"/>
      <c r="DS39" s="10">
        <v>1</v>
      </c>
      <c r="DW39" s="10"/>
      <c r="DX39" s="10"/>
      <c r="DY39" s="10"/>
      <c r="DZ39" s="10"/>
      <c r="ED39" s="10"/>
      <c r="EE39" s="10"/>
      <c r="EF39" s="10"/>
      <c r="EG39" s="10"/>
      <c r="EK39" s="10"/>
      <c r="EL39" s="10"/>
      <c r="EM39" s="10"/>
      <c r="EN39" s="10"/>
      <c r="ER39" s="10"/>
      <c r="ES39" s="10"/>
      <c r="ET39" s="10"/>
      <c r="EU39" s="10"/>
    </row>
    <row r="40" spans="2:152" outlineLevel="1" x14ac:dyDescent="0.2">
      <c r="B40" t="s">
        <v>28</v>
      </c>
      <c r="C40" t="s">
        <v>187</v>
      </c>
      <c r="E40" s="9"/>
      <c r="F40" t="s">
        <v>204</v>
      </c>
      <c r="G40" s="10">
        <v>9.6000000000000002E-2</v>
      </c>
      <c r="I40" s="9">
        <f t="shared" si="2"/>
        <v>0</v>
      </c>
      <c r="J40" s="11" cm="1">
        <f t="array" ref="J40">MAX(IF($N$3:$BW$3=$J$3,N40:BW40))</f>
        <v>0</v>
      </c>
      <c r="K40" s="11" cm="1">
        <f t="array" ref="K40">MAX(IF($N$3:$BW$3=$J$3,N40:BW40))</f>
        <v>0</v>
      </c>
      <c r="L40" s="9"/>
      <c r="O40" s="10"/>
      <c r="P40" s="10"/>
      <c r="Q40" s="10"/>
      <c r="R40" s="10"/>
      <c r="V40" s="10"/>
      <c r="W40" s="10"/>
      <c r="X40" s="10"/>
      <c r="Y40" s="10"/>
      <c r="AC40" s="10"/>
      <c r="AD40" s="10"/>
      <c r="AE40" s="10"/>
      <c r="AF40" s="10"/>
      <c r="AJ40" s="10"/>
      <c r="AK40" s="10">
        <v>1</v>
      </c>
      <c r="AL40" s="10"/>
      <c r="AM40" s="10">
        <v>1</v>
      </c>
      <c r="AQ40" s="10"/>
      <c r="AR40" s="10">
        <v>1</v>
      </c>
      <c r="AS40" s="10"/>
      <c r="AT40" s="10">
        <v>1</v>
      </c>
      <c r="AX40" s="10"/>
      <c r="AY40" s="10">
        <v>1</v>
      </c>
      <c r="AZ40" s="10"/>
      <c r="BA40" s="10">
        <v>1</v>
      </c>
      <c r="BE40" s="10"/>
      <c r="BF40" s="10">
        <v>1</v>
      </c>
      <c r="BG40" s="10"/>
      <c r="BH40" s="10">
        <v>1</v>
      </c>
      <c r="BL40" s="10"/>
      <c r="BM40" s="10">
        <v>1</v>
      </c>
      <c r="BN40" s="10"/>
      <c r="BO40" s="10">
        <v>1</v>
      </c>
      <c r="BS40" s="10"/>
      <c r="BT40" s="10">
        <v>1</v>
      </c>
      <c r="BU40" s="10"/>
      <c r="BV40" s="10">
        <v>1</v>
      </c>
      <c r="BZ40" s="10"/>
      <c r="CA40" s="10">
        <v>1</v>
      </c>
      <c r="CB40" s="10"/>
      <c r="CC40" s="10">
        <v>1</v>
      </c>
      <c r="CG40" s="10"/>
      <c r="CH40" s="10">
        <v>1</v>
      </c>
      <c r="CI40" s="10"/>
      <c r="CJ40" s="10">
        <v>1</v>
      </c>
      <c r="CN40" s="10"/>
      <c r="CO40" s="10">
        <v>1</v>
      </c>
      <c r="CP40" s="10"/>
      <c r="CQ40" s="10">
        <v>1</v>
      </c>
      <c r="CU40" s="10"/>
      <c r="CV40" s="10">
        <v>1</v>
      </c>
      <c r="CW40" s="10"/>
      <c r="CX40" s="10">
        <v>1</v>
      </c>
      <c r="DB40" s="10"/>
      <c r="DC40" s="10">
        <v>1</v>
      </c>
      <c r="DD40" s="10"/>
      <c r="DE40" s="10">
        <v>1</v>
      </c>
      <c r="DI40" s="10"/>
      <c r="DJ40" s="10">
        <v>1</v>
      </c>
      <c r="DK40" s="10"/>
      <c r="DL40" s="10">
        <v>1</v>
      </c>
      <c r="DP40" s="10"/>
      <c r="DQ40" s="10">
        <v>1</v>
      </c>
      <c r="DR40" s="10"/>
      <c r="DS40" s="10">
        <v>1</v>
      </c>
      <c r="DW40" s="10"/>
      <c r="DX40" s="10"/>
      <c r="DY40" s="10"/>
      <c r="DZ40" s="10"/>
      <c r="ED40" s="10"/>
      <c r="EE40" s="10"/>
      <c r="EF40" s="10"/>
      <c r="EG40" s="10"/>
      <c r="EK40" s="10"/>
      <c r="EL40" s="10"/>
      <c r="EM40" s="10"/>
      <c r="EN40" s="10"/>
      <c r="ER40" s="10"/>
      <c r="ES40" s="10"/>
      <c r="ET40" s="10"/>
      <c r="EU40" s="10"/>
    </row>
    <row r="41" spans="2:152" outlineLevel="1" x14ac:dyDescent="0.2">
      <c r="B41" t="s">
        <v>28</v>
      </c>
      <c r="C41" t="s">
        <v>187</v>
      </c>
      <c r="E41" s="9"/>
      <c r="F41" t="s">
        <v>205</v>
      </c>
      <c r="G41" s="10">
        <v>9.6000000000000002E-2</v>
      </c>
      <c r="I41" s="9">
        <f t="shared" si="2"/>
        <v>0</v>
      </c>
      <c r="J41" s="11" cm="1">
        <f t="array" ref="J41">MAX(IF($N$3:$BW$3=$J$3,N41:BW41))</f>
        <v>0</v>
      </c>
      <c r="K41" s="11" cm="1">
        <f t="array" ref="K41">MAX(IF($N$3:$BW$3=$J$3,N41:BW41))</f>
        <v>0</v>
      </c>
      <c r="L41" s="9"/>
      <c r="O41" s="10"/>
      <c r="P41" s="10"/>
      <c r="Q41" s="10"/>
      <c r="R41" s="10"/>
      <c r="V41" s="10"/>
      <c r="W41" s="10"/>
      <c r="X41" s="10"/>
      <c r="Y41" s="10"/>
      <c r="AC41" s="10"/>
      <c r="AD41" s="10"/>
      <c r="AE41" s="10"/>
      <c r="AF41" s="10"/>
      <c r="AJ41" s="10"/>
      <c r="AK41" s="10"/>
      <c r="AL41" s="10"/>
      <c r="AM41" s="10"/>
      <c r="AQ41" s="10"/>
      <c r="AR41" s="10">
        <v>1</v>
      </c>
      <c r="AS41" s="10"/>
      <c r="AT41" s="10">
        <v>1</v>
      </c>
      <c r="AX41" s="10"/>
      <c r="AY41" s="10">
        <v>1</v>
      </c>
      <c r="AZ41" s="10"/>
      <c r="BA41" s="10">
        <v>1</v>
      </c>
      <c r="BE41" s="10"/>
      <c r="BF41" s="10">
        <v>1</v>
      </c>
      <c r="BG41" s="10"/>
      <c r="BH41" s="10">
        <v>1</v>
      </c>
      <c r="BL41" s="10"/>
      <c r="BM41" s="10">
        <v>1</v>
      </c>
      <c r="BN41" s="10"/>
      <c r="BO41" s="10">
        <v>1</v>
      </c>
      <c r="BS41" s="10"/>
      <c r="BT41" s="10">
        <v>1</v>
      </c>
      <c r="BU41" s="10"/>
      <c r="BV41" s="10">
        <v>1</v>
      </c>
      <c r="BZ41" s="10"/>
      <c r="CA41" s="10">
        <v>1</v>
      </c>
      <c r="CB41" s="10"/>
      <c r="CC41" s="10">
        <v>1</v>
      </c>
      <c r="CG41" s="10"/>
      <c r="CH41" s="10">
        <v>1</v>
      </c>
      <c r="CI41" s="10"/>
      <c r="CJ41" s="10">
        <v>1</v>
      </c>
      <c r="CN41" s="10"/>
      <c r="CO41" s="10">
        <v>1</v>
      </c>
      <c r="CP41" s="10"/>
      <c r="CQ41" s="10">
        <v>1</v>
      </c>
      <c r="CU41" s="10"/>
      <c r="CV41" s="10">
        <v>1</v>
      </c>
      <c r="CW41" s="10"/>
      <c r="CX41" s="10">
        <v>1</v>
      </c>
      <c r="DB41" s="10"/>
      <c r="DC41" s="10">
        <v>1</v>
      </c>
      <c r="DD41" s="10"/>
      <c r="DE41" s="10">
        <v>1</v>
      </c>
      <c r="DI41" s="10"/>
      <c r="DJ41" s="10">
        <v>1</v>
      </c>
      <c r="DK41" s="10"/>
      <c r="DL41" s="10">
        <v>1</v>
      </c>
      <c r="DP41" s="10"/>
      <c r="DQ41" s="10">
        <v>1</v>
      </c>
      <c r="DR41" s="10"/>
      <c r="DS41" s="10">
        <v>1</v>
      </c>
      <c r="DW41" s="10"/>
      <c r="DX41" s="10"/>
      <c r="DY41" s="10"/>
      <c r="DZ41" s="10"/>
      <c r="ED41" s="10"/>
      <c r="EE41" s="10"/>
      <c r="EF41" s="10"/>
      <c r="EG41" s="10"/>
      <c r="EK41" s="10"/>
      <c r="EL41" s="10"/>
      <c r="EM41" s="10"/>
      <c r="EN41" s="10"/>
      <c r="ER41" s="10"/>
      <c r="ES41" s="10"/>
      <c r="ET41" s="10"/>
      <c r="EU41" s="10"/>
    </row>
    <row r="42" spans="2:152" outlineLevel="1" x14ac:dyDescent="0.2">
      <c r="B42" t="s">
        <v>28</v>
      </c>
      <c r="C42" t="s">
        <v>187</v>
      </c>
      <c r="E42" s="9"/>
      <c r="F42" t="s">
        <v>206</v>
      </c>
      <c r="G42" s="10">
        <v>9.6000000000000002E-2</v>
      </c>
      <c r="I42" s="9">
        <f t="shared" si="2"/>
        <v>0</v>
      </c>
      <c r="J42" s="11" cm="1">
        <f t="array" ref="J42">MAX(IF($N$3:$BW$3=$J$3,N42:BW42))</f>
        <v>0</v>
      </c>
      <c r="K42" s="11" cm="1">
        <f t="array" ref="K42">MAX(IF($N$3:$BW$3=$J$3,N42:BW42))</f>
        <v>0</v>
      </c>
      <c r="L42" s="9"/>
      <c r="O42" s="10"/>
      <c r="P42" s="10"/>
      <c r="Q42" s="10"/>
      <c r="R42" s="10"/>
      <c r="V42" s="10"/>
      <c r="W42" s="10"/>
      <c r="X42" s="10"/>
      <c r="Y42" s="10"/>
      <c r="AC42" s="10"/>
      <c r="AD42" s="10"/>
      <c r="AE42" s="10"/>
      <c r="AF42" s="10"/>
      <c r="AJ42" s="10"/>
      <c r="AK42" s="10"/>
      <c r="AL42" s="10"/>
      <c r="AM42" s="10"/>
      <c r="AQ42" s="10"/>
      <c r="AR42" s="10"/>
      <c r="AS42" s="10"/>
      <c r="AT42" s="10"/>
      <c r="AX42" s="10"/>
      <c r="AY42" s="10">
        <v>1</v>
      </c>
      <c r="AZ42" s="10"/>
      <c r="BA42" s="10">
        <v>1</v>
      </c>
      <c r="BE42" s="10"/>
      <c r="BF42" s="10">
        <v>1</v>
      </c>
      <c r="BG42" s="10"/>
      <c r="BH42" s="10">
        <v>1</v>
      </c>
      <c r="BL42" s="10"/>
      <c r="BM42" s="10">
        <v>1</v>
      </c>
      <c r="BN42" s="10"/>
      <c r="BO42" s="10">
        <v>1</v>
      </c>
      <c r="BS42" s="10"/>
      <c r="BT42" s="10">
        <v>1</v>
      </c>
      <c r="BU42" s="10"/>
      <c r="BV42" s="10">
        <v>1</v>
      </c>
      <c r="BZ42" s="10"/>
      <c r="CA42" s="10">
        <v>1</v>
      </c>
      <c r="CB42" s="10"/>
      <c r="CC42" s="10">
        <v>1</v>
      </c>
      <c r="CG42" s="10"/>
      <c r="CH42" s="10">
        <v>1</v>
      </c>
      <c r="CI42" s="10"/>
      <c r="CJ42" s="10">
        <v>1</v>
      </c>
      <c r="CN42" s="10"/>
      <c r="CO42" s="10">
        <v>1</v>
      </c>
      <c r="CP42" s="10"/>
      <c r="CQ42" s="10">
        <v>1</v>
      </c>
      <c r="CU42" s="10"/>
      <c r="CV42" s="10">
        <v>1</v>
      </c>
      <c r="CW42" s="10"/>
      <c r="CX42" s="10">
        <v>1</v>
      </c>
      <c r="DB42" s="10"/>
      <c r="DC42" s="10">
        <v>1</v>
      </c>
      <c r="DD42" s="10"/>
      <c r="DE42" s="10">
        <v>1</v>
      </c>
      <c r="DI42" s="10"/>
      <c r="DJ42" s="10">
        <v>1</v>
      </c>
      <c r="DK42" s="10"/>
      <c r="DL42" s="10">
        <v>1</v>
      </c>
      <c r="DP42" s="10"/>
      <c r="DQ42" s="10">
        <v>1</v>
      </c>
      <c r="DR42" s="10"/>
      <c r="DS42" s="10">
        <v>1</v>
      </c>
      <c r="DW42" s="10"/>
      <c r="DX42" s="10"/>
      <c r="DY42" s="10"/>
      <c r="DZ42" s="10"/>
      <c r="ED42" s="10"/>
      <c r="EE42" s="10"/>
      <c r="EF42" s="10"/>
      <c r="EG42" s="10"/>
      <c r="EK42" s="10"/>
      <c r="EL42" s="10"/>
      <c r="EM42" s="10"/>
      <c r="EN42" s="10"/>
      <c r="ER42" s="10"/>
      <c r="ES42" s="10"/>
      <c r="ET42" s="10"/>
      <c r="EU42" s="10"/>
    </row>
    <row r="43" spans="2:152" outlineLevel="1" x14ac:dyDescent="0.2">
      <c r="B43" t="s">
        <v>28</v>
      </c>
      <c r="C43" t="s">
        <v>187</v>
      </c>
      <c r="E43" s="9"/>
      <c r="F43" t="s">
        <v>207</v>
      </c>
      <c r="G43" s="10">
        <v>9.6000000000000002E-2</v>
      </c>
      <c r="I43" s="9">
        <f t="shared" si="2"/>
        <v>0</v>
      </c>
      <c r="J43" s="11" cm="1">
        <f t="array" ref="J43">MAX(IF($N$3:$BW$3=$J$3,N43:BW43))</f>
        <v>0</v>
      </c>
      <c r="K43" s="11" cm="1">
        <f t="array" ref="K43">MAX(IF($N$3:$BW$3=$J$3,N43:BW43))</f>
        <v>0</v>
      </c>
      <c r="L43" s="9"/>
      <c r="O43" s="10"/>
      <c r="P43" s="10"/>
      <c r="Q43" s="10"/>
      <c r="R43" s="10"/>
      <c r="V43" s="10"/>
      <c r="W43" s="10"/>
      <c r="X43" s="10"/>
      <c r="Y43" s="10"/>
      <c r="AC43" s="10"/>
      <c r="AD43" s="10"/>
      <c r="AE43" s="10"/>
      <c r="AF43" s="10"/>
      <c r="AJ43" s="10"/>
      <c r="AK43" s="10"/>
      <c r="AL43" s="10"/>
      <c r="AM43" s="10"/>
      <c r="AQ43" s="10"/>
      <c r="AR43" s="10"/>
      <c r="AS43" s="10"/>
      <c r="AT43" s="10"/>
      <c r="AX43" s="10"/>
      <c r="AY43" s="10"/>
      <c r="AZ43" s="10"/>
      <c r="BA43" s="10"/>
      <c r="BE43" s="10"/>
      <c r="BF43" s="10">
        <v>0.5</v>
      </c>
      <c r="BG43" s="10"/>
      <c r="BH43" s="10">
        <v>0.5</v>
      </c>
      <c r="BL43" s="10"/>
      <c r="BM43" s="10">
        <v>1</v>
      </c>
      <c r="BN43" s="10"/>
      <c r="BO43" s="10">
        <v>1</v>
      </c>
      <c r="BS43" s="10"/>
      <c r="BT43" s="10">
        <v>1</v>
      </c>
      <c r="BU43" s="10"/>
      <c r="BV43" s="10">
        <v>1</v>
      </c>
      <c r="BZ43" s="10"/>
      <c r="CA43" s="10">
        <v>1</v>
      </c>
      <c r="CB43" s="10"/>
      <c r="CC43" s="10">
        <v>1</v>
      </c>
      <c r="CG43" s="10"/>
      <c r="CH43" s="10">
        <v>1</v>
      </c>
      <c r="CI43" s="10"/>
      <c r="CJ43" s="10">
        <v>1</v>
      </c>
      <c r="CN43" s="10"/>
      <c r="CO43" s="10">
        <v>1</v>
      </c>
      <c r="CP43" s="10"/>
      <c r="CQ43" s="10">
        <v>1</v>
      </c>
      <c r="CU43" s="10"/>
      <c r="CV43" s="10">
        <v>1</v>
      </c>
      <c r="CW43" s="10"/>
      <c r="CX43" s="10">
        <v>1</v>
      </c>
      <c r="DB43" s="10"/>
      <c r="DC43" s="10">
        <v>1</v>
      </c>
      <c r="DD43" s="10"/>
      <c r="DE43" s="10">
        <v>1</v>
      </c>
      <c r="DI43" s="10"/>
      <c r="DJ43" s="10">
        <v>1</v>
      </c>
      <c r="DK43" s="10"/>
      <c r="DL43" s="10">
        <v>1</v>
      </c>
      <c r="DP43" s="10"/>
      <c r="DQ43" s="10">
        <v>1</v>
      </c>
      <c r="DR43" s="10"/>
      <c r="DS43" s="10">
        <v>1</v>
      </c>
      <c r="DW43" s="10"/>
      <c r="DX43" s="10"/>
      <c r="DY43" s="10"/>
      <c r="DZ43" s="10"/>
      <c r="ED43" s="10"/>
      <c r="EE43" s="10"/>
      <c r="EF43" s="10"/>
      <c r="EG43" s="10"/>
      <c r="EK43" s="10"/>
      <c r="EL43" s="10"/>
      <c r="EM43" s="10"/>
      <c r="EN43" s="10"/>
      <c r="ER43" s="10"/>
      <c r="ES43" s="10"/>
      <c r="ET43" s="10"/>
      <c r="EU43" s="10"/>
    </row>
    <row r="44" spans="2:152" outlineLevel="1" x14ac:dyDescent="0.2">
      <c r="B44" t="s">
        <v>28</v>
      </c>
      <c r="C44" t="s">
        <v>187</v>
      </c>
      <c r="E44" s="9"/>
      <c r="F44" t="s">
        <v>208</v>
      </c>
      <c r="G44" s="10">
        <v>9.6000000000000002E-2</v>
      </c>
      <c r="I44" s="9">
        <f t="shared" si="2"/>
        <v>0</v>
      </c>
      <c r="J44" s="11" cm="1">
        <f t="array" ref="J44">MAX(IF($N$3:$BW$3=$J$3,N44:BW44))</f>
        <v>0</v>
      </c>
      <c r="K44" s="11" cm="1">
        <f t="array" ref="K44">MAX(IF($N$3:$BW$3=$J$3,N44:BW44))</f>
        <v>0</v>
      </c>
      <c r="L44" s="9"/>
      <c r="O44" s="10"/>
      <c r="P44" s="10"/>
      <c r="Q44" s="10"/>
      <c r="R44" s="10"/>
      <c r="V44" s="10"/>
      <c r="W44" s="10"/>
      <c r="X44" s="10"/>
      <c r="Y44" s="10"/>
      <c r="AC44" s="10"/>
      <c r="AD44" s="10"/>
      <c r="AE44" s="10"/>
      <c r="AF44" s="10"/>
      <c r="AJ44" s="10"/>
      <c r="AK44" s="10"/>
      <c r="AL44" s="10"/>
      <c r="AM44" s="10"/>
      <c r="AQ44" s="10"/>
      <c r="AR44" s="10"/>
      <c r="AS44" s="10"/>
      <c r="AT44" s="10"/>
      <c r="AX44" s="10"/>
      <c r="AY44" s="10"/>
      <c r="AZ44" s="10"/>
      <c r="BA44" s="10"/>
      <c r="BE44" s="10"/>
      <c r="BF44" s="10"/>
      <c r="BG44" s="10"/>
      <c r="BH44" s="10"/>
      <c r="BL44" s="10"/>
      <c r="BM44" s="10"/>
      <c r="BN44" s="10"/>
      <c r="BO44" s="10"/>
      <c r="BS44" s="10"/>
      <c r="BT44" s="10">
        <v>0.8</v>
      </c>
      <c r="BU44" s="10"/>
      <c r="BV44" s="10">
        <v>0.8</v>
      </c>
      <c r="BZ44" s="10"/>
      <c r="CA44" s="10">
        <v>1</v>
      </c>
      <c r="CB44" s="10"/>
      <c r="CC44" s="10">
        <v>1</v>
      </c>
      <c r="CG44" s="10"/>
      <c r="CH44" s="10">
        <v>1</v>
      </c>
      <c r="CI44" s="10"/>
      <c r="CJ44" s="10">
        <v>1</v>
      </c>
      <c r="CN44" s="10"/>
      <c r="CO44" s="10">
        <v>1</v>
      </c>
      <c r="CP44" s="10"/>
      <c r="CQ44" s="10">
        <v>1</v>
      </c>
      <c r="CU44" s="10"/>
      <c r="CV44" s="10">
        <v>1</v>
      </c>
      <c r="CW44" s="10"/>
      <c r="CX44" s="10">
        <v>1</v>
      </c>
      <c r="DB44" s="10"/>
      <c r="DC44" s="10">
        <v>1</v>
      </c>
      <c r="DD44" s="10"/>
      <c r="DE44" s="10">
        <v>1</v>
      </c>
      <c r="DI44" s="10"/>
      <c r="DJ44" s="10">
        <v>1</v>
      </c>
      <c r="DK44" s="10"/>
      <c r="DL44" s="10">
        <v>1</v>
      </c>
      <c r="DP44" s="10"/>
      <c r="DQ44" s="10">
        <v>1</v>
      </c>
      <c r="DR44" s="10"/>
      <c r="DS44" s="10">
        <v>1</v>
      </c>
      <c r="DW44" s="10"/>
      <c r="DX44" s="10"/>
      <c r="DY44" s="10"/>
      <c r="DZ44" s="10"/>
      <c r="ED44" s="10"/>
      <c r="EE44" s="10"/>
      <c r="EF44" s="10"/>
      <c r="EG44" s="10"/>
      <c r="EK44" s="10"/>
      <c r="EL44" s="10"/>
      <c r="EM44" s="10"/>
      <c r="EN44" s="10"/>
      <c r="ER44" s="10"/>
      <c r="ES44" s="10"/>
      <c r="ET44" s="10"/>
      <c r="EU44" s="10"/>
    </row>
    <row r="45" spans="2:152" outlineLevel="1" x14ac:dyDescent="0.2">
      <c r="B45" t="s">
        <v>28</v>
      </c>
      <c r="C45" t="s">
        <v>187</v>
      </c>
      <c r="E45" s="9"/>
      <c r="F45" t="s">
        <v>209</v>
      </c>
      <c r="G45" s="10">
        <v>9.6000000000000002E-2</v>
      </c>
      <c r="I45" s="9">
        <f t="shared" si="2"/>
        <v>0</v>
      </c>
      <c r="J45" s="11" cm="1">
        <f t="array" ref="J45">MAX(IF($N$3:$BW$3=$J$3,N45:BW45))</f>
        <v>0</v>
      </c>
      <c r="K45" s="11" cm="1">
        <f t="array" ref="K45">MAX(IF($N$3:$BW$3=$J$3,N45:BW45))</f>
        <v>0</v>
      </c>
      <c r="L45" s="9"/>
      <c r="O45" s="10"/>
      <c r="P45" s="10"/>
      <c r="Q45" s="10"/>
      <c r="R45" s="10"/>
      <c r="V45" s="10"/>
      <c r="W45" s="10"/>
      <c r="X45" s="10"/>
      <c r="Y45" s="10"/>
      <c r="AC45" s="10"/>
      <c r="AD45" s="10"/>
      <c r="AE45" s="10"/>
      <c r="AF45" s="10"/>
      <c r="AJ45" s="10"/>
      <c r="AK45" s="10"/>
      <c r="AL45" s="10"/>
      <c r="AM45" s="10"/>
      <c r="AQ45" s="10"/>
      <c r="AR45" s="10"/>
      <c r="AS45" s="10"/>
      <c r="AT45" s="10"/>
      <c r="AX45" s="10"/>
      <c r="AY45" s="10"/>
      <c r="AZ45" s="10"/>
      <c r="BA45" s="10"/>
      <c r="BE45" s="10"/>
      <c r="BF45" s="10"/>
      <c r="BG45" s="10"/>
      <c r="BH45" s="10"/>
      <c r="BL45" s="10"/>
      <c r="BM45" s="10"/>
      <c r="BN45" s="10"/>
      <c r="BO45" s="10"/>
      <c r="BS45" s="10"/>
      <c r="BT45" s="10"/>
      <c r="BU45" s="10"/>
      <c r="BV45" s="10"/>
      <c r="BZ45" s="10"/>
      <c r="CA45" s="10">
        <v>0.5</v>
      </c>
      <c r="CB45" s="10"/>
      <c r="CC45" s="10">
        <v>0.5</v>
      </c>
      <c r="CG45" s="10"/>
      <c r="CH45" s="10">
        <v>1</v>
      </c>
      <c r="CI45" s="10"/>
      <c r="CJ45" s="10">
        <v>1</v>
      </c>
      <c r="CN45" s="10"/>
      <c r="CO45" s="10">
        <v>1</v>
      </c>
      <c r="CP45" s="10"/>
      <c r="CQ45" s="10">
        <v>1</v>
      </c>
      <c r="CU45" s="10"/>
      <c r="CV45" s="10">
        <v>1</v>
      </c>
      <c r="CW45" s="10"/>
      <c r="CX45" s="10">
        <v>1</v>
      </c>
      <c r="DB45" s="10"/>
      <c r="DC45" s="10">
        <v>1</v>
      </c>
      <c r="DD45" s="10"/>
      <c r="DE45" s="10">
        <v>1</v>
      </c>
      <c r="DI45" s="10"/>
      <c r="DJ45" s="10">
        <v>1</v>
      </c>
      <c r="DK45" s="10"/>
      <c r="DL45" s="10">
        <v>1</v>
      </c>
      <c r="DP45" s="10"/>
      <c r="DQ45" s="10">
        <v>1</v>
      </c>
      <c r="DR45" s="10"/>
      <c r="DS45" s="10">
        <v>1</v>
      </c>
      <c r="DW45" s="10"/>
      <c r="DX45" s="10"/>
      <c r="DY45" s="10"/>
      <c r="DZ45" s="10"/>
      <c r="ED45" s="10"/>
      <c r="EE45" s="10"/>
      <c r="EF45" s="10"/>
      <c r="EG45" s="10"/>
      <c r="EK45" s="10"/>
      <c r="EL45" s="10"/>
      <c r="EM45" s="10"/>
      <c r="EN45" s="10"/>
      <c r="ER45" s="10"/>
      <c r="ES45" s="10"/>
      <c r="ET45" s="10"/>
      <c r="EU45" s="10"/>
    </row>
    <row r="46" spans="2:152" outlineLevel="1" x14ac:dyDescent="0.2">
      <c r="B46" t="s">
        <v>28</v>
      </c>
      <c r="C46" t="s">
        <v>187</v>
      </c>
      <c r="E46" s="9"/>
      <c r="F46" t="s">
        <v>210</v>
      </c>
      <c r="G46" s="10">
        <v>9.6000000000000002E-2</v>
      </c>
      <c r="I46" s="9">
        <f t="shared" si="2"/>
        <v>0</v>
      </c>
      <c r="J46" s="11" cm="1">
        <f t="array" ref="J46">MAX(IF($N$3:$BW$3=$J$3,N46:BW46))</f>
        <v>0</v>
      </c>
      <c r="K46" s="11" cm="1">
        <f t="array" ref="K46">MAX(IF($N$3:$BW$3=$J$3,N46:BW46))</f>
        <v>0</v>
      </c>
      <c r="L46" s="9"/>
      <c r="O46" s="10"/>
      <c r="P46" s="10"/>
      <c r="Q46" s="10"/>
      <c r="R46" s="10"/>
      <c r="V46" s="10"/>
      <c r="W46" s="10"/>
      <c r="X46" s="10"/>
      <c r="Y46" s="10"/>
      <c r="AC46" s="10"/>
      <c r="AD46" s="10"/>
      <c r="AE46" s="10"/>
      <c r="AF46" s="10"/>
      <c r="AJ46" s="10"/>
      <c r="AK46" s="10"/>
      <c r="AL46" s="10"/>
      <c r="AM46" s="10"/>
      <c r="AQ46" s="10"/>
      <c r="AR46" s="10"/>
      <c r="AS46" s="10"/>
      <c r="AT46" s="10"/>
      <c r="AX46" s="10"/>
      <c r="AY46" s="10"/>
      <c r="AZ46" s="10"/>
      <c r="BA46" s="10"/>
      <c r="BE46" s="10"/>
      <c r="BF46" s="10"/>
      <c r="BG46" s="10"/>
      <c r="BH46" s="10"/>
      <c r="BL46" s="10"/>
      <c r="BM46" s="10"/>
      <c r="BN46" s="10"/>
      <c r="BO46" s="10"/>
      <c r="BS46" s="10"/>
      <c r="BT46" s="10"/>
      <c r="BU46" s="10"/>
      <c r="BV46" s="10"/>
      <c r="BZ46" s="10"/>
      <c r="CA46" s="10"/>
      <c r="CB46" s="10"/>
      <c r="CC46" s="10"/>
      <c r="CG46" s="10"/>
      <c r="CH46" s="10"/>
      <c r="CI46" s="10"/>
      <c r="CJ46" s="10"/>
      <c r="CN46" s="10"/>
      <c r="CO46" s="10">
        <v>0.8</v>
      </c>
      <c r="CP46" s="10"/>
      <c r="CQ46" s="10">
        <v>0.8</v>
      </c>
      <c r="CU46" s="10"/>
      <c r="CV46" s="10">
        <v>1</v>
      </c>
      <c r="CW46" s="10"/>
      <c r="CX46" s="10">
        <v>1</v>
      </c>
      <c r="DB46" s="10"/>
      <c r="DC46" s="10">
        <v>1</v>
      </c>
      <c r="DD46" s="10"/>
      <c r="DE46" s="10">
        <v>1</v>
      </c>
      <c r="DI46" s="10"/>
      <c r="DJ46" s="10">
        <v>1</v>
      </c>
      <c r="DK46" s="10"/>
      <c r="DL46" s="10">
        <v>1</v>
      </c>
      <c r="DP46" s="10"/>
      <c r="DQ46" s="10">
        <v>1</v>
      </c>
      <c r="DR46" s="10"/>
      <c r="DS46" s="10">
        <v>1</v>
      </c>
      <c r="DW46" s="10"/>
      <c r="DX46" s="10"/>
      <c r="DY46" s="10"/>
      <c r="DZ46" s="10"/>
      <c r="ED46" s="10"/>
      <c r="EE46" s="10"/>
      <c r="EF46" s="10"/>
      <c r="EG46" s="10"/>
      <c r="EK46" s="10"/>
      <c r="EL46" s="10"/>
      <c r="EM46" s="10"/>
      <c r="EN46" s="10"/>
      <c r="ER46" s="10"/>
      <c r="ES46" s="10"/>
      <c r="ET46" s="10"/>
      <c r="EU46" s="10"/>
    </row>
    <row r="47" spans="2:152" outlineLevel="1" x14ac:dyDescent="0.2">
      <c r="B47" t="s">
        <v>28</v>
      </c>
      <c r="C47" t="s">
        <v>187</v>
      </c>
      <c r="E47" s="9"/>
      <c r="F47" t="s">
        <v>211</v>
      </c>
      <c r="G47" s="10">
        <v>9.6000000000000002E-2</v>
      </c>
      <c r="I47" s="9">
        <f t="shared" si="2"/>
        <v>0</v>
      </c>
      <c r="J47" s="11" cm="1">
        <f t="array" ref="J47">MAX(IF($N$3:$BW$3=$J$3,N47:BW47))</f>
        <v>0</v>
      </c>
      <c r="K47" s="11" cm="1">
        <f t="array" ref="K47">MAX(IF($N$3:$BW$3=$J$3,N47:BW47))</f>
        <v>0</v>
      </c>
      <c r="L47" s="9"/>
      <c r="O47" s="10"/>
      <c r="P47" s="10"/>
      <c r="Q47" s="10"/>
      <c r="R47" s="10"/>
      <c r="V47" s="10"/>
      <c r="W47" s="10"/>
      <c r="X47" s="10"/>
      <c r="Y47" s="10"/>
      <c r="AC47" s="10"/>
      <c r="AD47" s="10"/>
      <c r="AE47" s="10"/>
      <c r="AF47" s="10"/>
      <c r="AJ47" s="10"/>
      <c r="AK47" s="10"/>
      <c r="AL47" s="10"/>
      <c r="AM47" s="10"/>
      <c r="AQ47" s="10"/>
      <c r="AR47" s="10"/>
      <c r="AS47" s="10"/>
      <c r="AT47" s="10"/>
      <c r="AX47" s="10"/>
      <c r="AY47" s="10"/>
      <c r="AZ47" s="10"/>
      <c r="BA47" s="10"/>
      <c r="BE47" s="10"/>
      <c r="BF47" s="10"/>
      <c r="BG47" s="10"/>
      <c r="BH47" s="10"/>
      <c r="BL47" s="10"/>
      <c r="BM47" s="10"/>
      <c r="BN47" s="10"/>
      <c r="BO47" s="10"/>
      <c r="BS47" s="10"/>
      <c r="BT47" s="10"/>
      <c r="BU47" s="10"/>
      <c r="BV47" s="10"/>
      <c r="BZ47" s="10"/>
      <c r="CA47" s="10"/>
      <c r="CB47" s="10"/>
      <c r="CC47" s="10"/>
      <c r="CG47" s="10"/>
      <c r="CH47" s="10"/>
      <c r="CI47" s="10"/>
      <c r="CJ47" s="10"/>
      <c r="CN47" s="10"/>
      <c r="CO47" s="10"/>
      <c r="CP47" s="10"/>
      <c r="CQ47" s="10"/>
      <c r="CU47" s="10"/>
      <c r="CV47" s="10">
        <v>0.5</v>
      </c>
      <c r="CW47" s="10"/>
      <c r="CX47" s="10">
        <v>0.5</v>
      </c>
      <c r="DB47" s="10"/>
      <c r="DC47" s="10">
        <v>1</v>
      </c>
      <c r="DD47" s="10"/>
      <c r="DE47" s="10">
        <v>1</v>
      </c>
      <c r="DI47" s="10"/>
      <c r="DJ47" s="10">
        <v>1</v>
      </c>
      <c r="DK47" s="10"/>
      <c r="DL47" s="10">
        <v>1</v>
      </c>
      <c r="DP47" s="10"/>
      <c r="DQ47" s="10">
        <v>1</v>
      </c>
      <c r="DR47" s="10"/>
      <c r="DS47" s="10">
        <v>1</v>
      </c>
      <c r="DW47" s="10"/>
      <c r="DX47" s="10"/>
      <c r="DY47" s="10"/>
      <c r="DZ47" s="10"/>
      <c r="ED47" s="10"/>
      <c r="EE47" s="10"/>
      <c r="EF47" s="10"/>
      <c r="EG47" s="10"/>
      <c r="EK47" s="10"/>
      <c r="EL47" s="10"/>
      <c r="EM47" s="10"/>
      <c r="EN47" s="10"/>
      <c r="ER47" s="10"/>
      <c r="ES47" s="10"/>
      <c r="ET47" s="10"/>
      <c r="EU47" s="10"/>
    </row>
    <row r="48" spans="2:152" outlineLevel="1" x14ac:dyDescent="0.2">
      <c r="B48" t="s">
        <v>28</v>
      </c>
      <c r="C48" t="s">
        <v>187</v>
      </c>
      <c r="E48" s="9"/>
      <c r="F48" t="s">
        <v>212</v>
      </c>
      <c r="G48" s="10">
        <v>9.6000000000000002E-2</v>
      </c>
      <c r="I48" s="9">
        <f t="shared" si="2"/>
        <v>0</v>
      </c>
      <c r="J48" s="11" cm="1">
        <f t="array" ref="J48">MAX(IF($N$3:$BW$3=$J$3,N48:BW48))</f>
        <v>0</v>
      </c>
      <c r="K48" s="11" cm="1">
        <f t="array" ref="K48">MAX(IF($N$3:$BW$3=$J$3,N48:BW48))</f>
        <v>0</v>
      </c>
      <c r="L48" s="9"/>
      <c r="O48" s="10"/>
      <c r="P48" s="10"/>
      <c r="Q48" s="10"/>
      <c r="R48" s="10"/>
      <c r="V48" s="10"/>
      <c r="W48" s="10"/>
      <c r="X48" s="10"/>
      <c r="Y48" s="10"/>
      <c r="AC48" s="10"/>
      <c r="AD48" s="10"/>
      <c r="AE48" s="10"/>
      <c r="AF48" s="10"/>
      <c r="AJ48" s="10"/>
      <c r="AK48" s="10"/>
      <c r="AL48" s="10"/>
      <c r="AM48" s="10"/>
      <c r="AQ48" s="10"/>
      <c r="AR48" s="10"/>
      <c r="AS48" s="10"/>
      <c r="AT48" s="10"/>
      <c r="AX48" s="10"/>
      <c r="AY48" s="10"/>
      <c r="AZ48" s="10"/>
      <c r="BA48" s="10"/>
      <c r="BE48" s="10"/>
      <c r="BF48" s="10"/>
      <c r="BG48" s="10"/>
      <c r="BH48" s="10"/>
      <c r="BL48" s="10"/>
      <c r="BM48" s="10"/>
      <c r="BN48" s="10"/>
      <c r="BO48" s="10"/>
      <c r="BS48" s="10"/>
      <c r="BT48" s="10"/>
      <c r="BU48" s="10"/>
      <c r="BV48" s="10"/>
      <c r="BZ48" s="10"/>
      <c r="CA48" s="10"/>
      <c r="CB48" s="10"/>
      <c r="CC48" s="10"/>
      <c r="CG48" s="10"/>
      <c r="CH48" s="10"/>
      <c r="CI48" s="10"/>
      <c r="CJ48" s="10"/>
      <c r="CN48" s="10"/>
      <c r="CO48" s="10"/>
      <c r="CP48" s="10"/>
      <c r="CQ48" s="10"/>
      <c r="CU48" s="10"/>
      <c r="CV48" s="10"/>
      <c r="CW48" s="10"/>
      <c r="CX48" s="10"/>
      <c r="DB48" s="10"/>
      <c r="DC48" s="10"/>
      <c r="DD48" s="10"/>
      <c r="DE48" s="10"/>
      <c r="DI48" s="10"/>
      <c r="DJ48" s="10">
        <v>0.8</v>
      </c>
      <c r="DK48" s="10"/>
      <c r="DL48" s="10">
        <v>0.8</v>
      </c>
      <c r="DP48" s="10"/>
      <c r="DQ48" s="10">
        <v>1</v>
      </c>
      <c r="DR48" s="10"/>
      <c r="DS48" s="10">
        <v>1</v>
      </c>
      <c r="DW48" s="10"/>
      <c r="DX48" s="10"/>
      <c r="DY48" s="10"/>
      <c r="DZ48" s="10"/>
      <c r="ED48" s="10"/>
      <c r="EE48" s="10"/>
      <c r="EF48" s="10"/>
      <c r="EG48" s="10"/>
      <c r="EK48" s="10"/>
      <c r="EL48" s="10"/>
      <c r="EM48" s="10"/>
      <c r="EN48" s="10"/>
      <c r="ER48" s="10"/>
      <c r="ES48" s="10"/>
      <c r="ET48" s="10"/>
      <c r="EU48" s="10"/>
    </row>
    <row r="50" spans="2:151" x14ac:dyDescent="0.2">
      <c r="B50" t="s">
        <v>27</v>
      </c>
      <c r="C50" t="s">
        <v>186</v>
      </c>
      <c r="D50" s="19">
        <v>46062</v>
      </c>
      <c r="E50" s="9">
        <v>3</v>
      </c>
      <c r="G50" s="10">
        <f>+SUM(G51:G56)</f>
        <v>1.0000000000000002</v>
      </c>
      <c r="I50" s="12">
        <f>+SUM(I51:I56)</f>
        <v>0</v>
      </c>
      <c r="J50" s="11">
        <f>+SUMPRODUCT(G51:G56,J51:J56)</f>
        <v>0</v>
      </c>
      <c r="K50" s="11">
        <f>+SUMPRODUCT(G51:G56,K51:K56)</f>
        <v>0</v>
      </c>
      <c r="L50" s="9" t="s">
        <v>183</v>
      </c>
      <c r="N50" s="12">
        <f>+SUM(N51:N56)</f>
        <v>0</v>
      </c>
      <c r="U50" s="12">
        <f>+SUM(U51:U56)</f>
        <v>0</v>
      </c>
      <c r="AB50" s="12">
        <f>+SUM(AB51:AB56)</f>
        <v>0</v>
      </c>
      <c r="AI50" s="12">
        <f>+SUM(AI51:AI56)</f>
        <v>0</v>
      </c>
      <c r="AP50" s="12">
        <f>+SUM(AP51:AP56)</f>
        <v>0</v>
      </c>
      <c r="AW50" s="12">
        <f>+SUM(AW51:AW56)</f>
        <v>0</v>
      </c>
      <c r="BD50" s="12">
        <f>+SUM(BD51:BD56)</f>
        <v>0</v>
      </c>
      <c r="BK50" s="12">
        <f>+SUM(BK51:BK56)</f>
        <v>0</v>
      </c>
      <c r="BR50" s="12">
        <f>+SUM(BR51:BR56)</f>
        <v>0</v>
      </c>
      <c r="BY50" s="12">
        <f>+SUM(BY51:BY56)</f>
        <v>0</v>
      </c>
      <c r="CF50" s="12">
        <f>+SUM(CF51:CF56)</f>
        <v>0</v>
      </c>
      <c r="CM50" s="12">
        <f>+SUM(CM51:CM56)</f>
        <v>0</v>
      </c>
      <c r="CT50" s="12">
        <f>+SUM(CT51:CT56)</f>
        <v>0</v>
      </c>
      <c r="DA50" s="12">
        <f>+SUM(DA51:DA56)</f>
        <v>0</v>
      </c>
      <c r="DH50" s="12">
        <f>+SUM(DH51:DH56)</f>
        <v>0</v>
      </c>
      <c r="DO50" s="12">
        <f>+SUM(DO51:DO56)</f>
        <v>0</v>
      </c>
      <c r="DV50" s="12">
        <f>+SUM(DV51:DV56)</f>
        <v>0</v>
      </c>
      <c r="EC50" s="12">
        <f>+SUM(EC51:EC56)</f>
        <v>0</v>
      </c>
      <c r="EH50" t="s">
        <v>178</v>
      </c>
      <c r="EJ50" s="12">
        <f>+SUM(EJ51:EJ56)</f>
        <v>0</v>
      </c>
      <c r="EQ50" s="12">
        <f>+SUM(EQ51:EQ56)</f>
        <v>0</v>
      </c>
    </row>
    <row r="51" spans="2:151" outlineLevel="1" x14ac:dyDescent="0.2">
      <c r="B51" t="s">
        <v>28</v>
      </c>
      <c r="C51" t="s">
        <v>186</v>
      </c>
      <c r="E51" s="9"/>
      <c r="F51" t="s">
        <v>112</v>
      </c>
      <c r="G51" s="10">
        <v>0.16666666666666669</v>
      </c>
      <c r="I51" s="9">
        <f t="shared" ref="I51:I56" si="3">+SUMIF($N$3:$XO$3,I$3,$N51:$XO51)</f>
        <v>0</v>
      </c>
      <c r="J51" s="11" cm="1">
        <f t="array" ref="J51">MAX(IF($N$3:$BW$3=$J$3,N51:BW51))</f>
        <v>0</v>
      </c>
      <c r="K51" s="11" cm="1">
        <f t="array" ref="K51">MAX(IF($N$3:$BW$3=$J$3,N51:BW51))</f>
        <v>0</v>
      </c>
      <c r="L51" s="9" t="s">
        <v>214</v>
      </c>
      <c r="O51" s="10"/>
      <c r="P51" s="10">
        <v>0.5</v>
      </c>
      <c r="Q51" s="10"/>
      <c r="R51" s="10">
        <v>0.5</v>
      </c>
      <c r="S51" t="s">
        <v>195</v>
      </c>
      <c r="V51" s="10"/>
      <c r="W51" s="10">
        <v>0.5</v>
      </c>
      <c r="X51" s="10"/>
      <c r="Y51" s="10">
        <v>0.5</v>
      </c>
      <c r="Z51" t="s">
        <v>195</v>
      </c>
      <c r="AC51" s="10"/>
      <c r="AD51" s="10">
        <v>0.8</v>
      </c>
      <c r="AE51" s="10"/>
      <c r="AF51" s="10">
        <v>0.8</v>
      </c>
      <c r="AG51" t="s">
        <v>191</v>
      </c>
      <c r="AJ51" s="10"/>
      <c r="AK51" s="10">
        <v>0.8</v>
      </c>
      <c r="AL51" s="10"/>
      <c r="AM51" s="10">
        <v>0.8</v>
      </c>
      <c r="AN51" t="s">
        <v>195</v>
      </c>
      <c r="AQ51" s="10"/>
      <c r="AR51" s="10">
        <v>0.8</v>
      </c>
      <c r="AS51" s="10"/>
      <c r="AT51" s="10">
        <v>0.8</v>
      </c>
      <c r="AU51" t="s">
        <v>195</v>
      </c>
      <c r="AX51" s="10"/>
      <c r="AY51" s="10">
        <v>0.8</v>
      </c>
      <c r="AZ51" s="10"/>
      <c r="BA51" s="10">
        <v>0.8</v>
      </c>
      <c r="BB51" t="s">
        <v>191</v>
      </c>
      <c r="BE51" s="10"/>
      <c r="BF51" s="10">
        <v>0.8</v>
      </c>
      <c r="BG51" s="10"/>
      <c r="BH51" s="10">
        <v>0.8</v>
      </c>
      <c r="BI51" t="s">
        <v>195</v>
      </c>
      <c r="BL51" s="10"/>
      <c r="BM51" s="10">
        <v>1</v>
      </c>
      <c r="BN51" s="10"/>
      <c r="BO51" s="10">
        <v>1</v>
      </c>
      <c r="BP51" t="s">
        <v>195</v>
      </c>
      <c r="BS51" s="10"/>
      <c r="BT51" s="10">
        <v>1</v>
      </c>
      <c r="BU51" s="10"/>
      <c r="BV51" s="10">
        <v>1</v>
      </c>
      <c r="BW51" t="s">
        <v>191</v>
      </c>
      <c r="BZ51" s="10"/>
      <c r="CA51" s="10">
        <v>1</v>
      </c>
      <c r="CB51" s="10"/>
      <c r="CC51" s="10">
        <v>1</v>
      </c>
      <c r="CD51" t="s">
        <v>195</v>
      </c>
      <c r="CG51" s="10"/>
      <c r="CH51" s="10">
        <v>1</v>
      </c>
      <c r="CI51" s="10"/>
      <c r="CJ51" s="10">
        <v>1</v>
      </c>
      <c r="CK51" t="s">
        <v>195</v>
      </c>
      <c r="CN51" s="10"/>
      <c r="CO51" s="10">
        <v>1</v>
      </c>
      <c r="CP51" s="10"/>
      <c r="CQ51" s="10">
        <v>1</v>
      </c>
      <c r="CR51" t="s">
        <v>191</v>
      </c>
      <c r="CU51" s="10"/>
      <c r="CV51" s="10">
        <v>1</v>
      </c>
      <c r="CW51" s="10"/>
      <c r="CX51" s="10">
        <v>1</v>
      </c>
      <c r="CY51" t="s">
        <v>195</v>
      </c>
      <c r="DB51" s="10"/>
      <c r="DC51" s="10">
        <v>1</v>
      </c>
      <c r="DD51" s="10"/>
      <c r="DE51" s="10">
        <v>1</v>
      </c>
      <c r="DF51" t="s">
        <v>195</v>
      </c>
      <c r="DI51" s="10"/>
      <c r="DJ51" s="10"/>
      <c r="DK51" s="10"/>
      <c r="DL51" s="10"/>
      <c r="DP51" s="10"/>
      <c r="DQ51" s="10"/>
      <c r="DR51" s="10"/>
      <c r="DS51" s="10"/>
      <c r="DW51" s="10"/>
      <c r="DX51" s="10"/>
      <c r="DY51" s="10"/>
      <c r="DZ51" s="10"/>
      <c r="ED51" s="10"/>
      <c r="EE51" s="10"/>
      <c r="EF51" s="10"/>
      <c r="EG51" s="10"/>
      <c r="EK51" s="10"/>
      <c r="EL51" s="10"/>
      <c r="EM51" s="10"/>
      <c r="EN51" s="10"/>
      <c r="ER51" s="10"/>
      <c r="ES51" s="10"/>
      <c r="ET51" s="10"/>
      <c r="EU51" s="10"/>
    </row>
    <row r="52" spans="2:151" outlineLevel="1" x14ac:dyDescent="0.2">
      <c r="B52" t="s">
        <v>28</v>
      </c>
      <c r="C52" t="s">
        <v>186</v>
      </c>
      <c r="E52" s="9"/>
      <c r="F52" t="s">
        <v>113</v>
      </c>
      <c r="G52" s="10">
        <v>0.16666666666666669</v>
      </c>
      <c r="I52" s="9">
        <f t="shared" si="3"/>
        <v>0</v>
      </c>
      <c r="J52" s="11" cm="1">
        <f t="array" ref="J52">MAX(IF($N$3:$BW$3=$J$3,N52:BW52))</f>
        <v>0</v>
      </c>
      <c r="K52" s="11" cm="1">
        <f t="array" ref="K52">MAX(IF($N$3:$BW$3=$J$3,N52:BW52))</f>
        <v>0</v>
      </c>
      <c r="L52" s="9"/>
      <c r="O52" s="10"/>
      <c r="P52" s="10"/>
      <c r="Q52" s="10"/>
      <c r="R52" s="10"/>
      <c r="V52" s="10"/>
      <c r="W52" s="10">
        <v>0.5</v>
      </c>
      <c r="X52" s="10"/>
      <c r="Y52" s="10">
        <v>0.5</v>
      </c>
      <c r="AC52" s="10"/>
      <c r="AD52" s="10">
        <v>0.5</v>
      </c>
      <c r="AE52" s="10"/>
      <c r="AF52" s="10">
        <v>0.5</v>
      </c>
      <c r="AJ52" s="10"/>
      <c r="AK52" s="10">
        <v>0.5</v>
      </c>
      <c r="AL52" s="10"/>
      <c r="AM52" s="10">
        <v>0.5</v>
      </c>
      <c r="AQ52" s="10"/>
      <c r="AR52" s="10">
        <v>0.8</v>
      </c>
      <c r="AS52" s="10"/>
      <c r="AT52" s="10">
        <v>0.8</v>
      </c>
      <c r="AX52" s="10"/>
      <c r="AY52" s="10">
        <v>0.8</v>
      </c>
      <c r="AZ52" s="10"/>
      <c r="BA52" s="10">
        <v>0.8</v>
      </c>
      <c r="BE52" s="10"/>
      <c r="BF52" s="10">
        <v>0.8</v>
      </c>
      <c r="BG52" s="10"/>
      <c r="BH52" s="10">
        <v>0.8</v>
      </c>
      <c r="BL52" s="10"/>
      <c r="BM52" s="10">
        <v>0.8</v>
      </c>
      <c r="BN52" s="10"/>
      <c r="BO52" s="10">
        <v>0.8</v>
      </c>
      <c r="BS52" s="10"/>
      <c r="BT52" s="10">
        <v>1</v>
      </c>
      <c r="BU52" s="10"/>
      <c r="BV52" s="10">
        <v>1</v>
      </c>
      <c r="BZ52" s="10"/>
      <c r="CA52" s="10">
        <v>1</v>
      </c>
      <c r="CB52" s="10"/>
      <c r="CC52" s="10">
        <v>1</v>
      </c>
      <c r="CG52" s="10"/>
      <c r="CH52" s="10">
        <v>1</v>
      </c>
      <c r="CI52" s="10"/>
      <c r="CJ52" s="10">
        <v>1</v>
      </c>
      <c r="CN52" s="10"/>
      <c r="CO52" s="10">
        <v>1</v>
      </c>
      <c r="CP52" s="10"/>
      <c r="CQ52" s="10">
        <v>1</v>
      </c>
      <c r="CU52" s="10"/>
      <c r="CV52" s="10">
        <v>1</v>
      </c>
      <c r="CW52" s="10"/>
      <c r="CX52" s="10">
        <v>1</v>
      </c>
      <c r="DB52" s="10"/>
      <c r="DC52" s="10">
        <v>1</v>
      </c>
      <c r="DD52" s="10"/>
      <c r="DE52" s="10">
        <v>1</v>
      </c>
      <c r="DI52" s="10"/>
      <c r="DJ52" s="10"/>
      <c r="DK52" s="10"/>
      <c r="DL52" s="10"/>
      <c r="DP52" s="10"/>
      <c r="DQ52" s="10"/>
      <c r="DR52" s="10"/>
      <c r="DS52" s="10"/>
      <c r="DW52" s="10"/>
      <c r="DX52" s="10"/>
      <c r="DY52" s="10"/>
      <c r="DZ52" s="10"/>
      <c r="ED52" s="10"/>
      <c r="EE52" s="10"/>
      <c r="EF52" s="10"/>
      <c r="EG52" s="10"/>
      <c r="EK52" s="10"/>
      <c r="EL52" s="10"/>
      <c r="EM52" s="10"/>
      <c r="EN52" s="10"/>
      <c r="ER52" s="10"/>
      <c r="ES52" s="10"/>
      <c r="ET52" s="10"/>
      <c r="EU52" s="10"/>
    </row>
    <row r="53" spans="2:151" outlineLevel="1" x14ac:dyDescent="0.2">
      <c r="B53" t="s">
        <v>28</v>
      </c>
      <c r="C53" t="s">
        <v>186</v>
      </c>
      <c r="E53" s="9"/>
      <c r="F53" t="s">
        <v>109</v>
      </c>
      <c r="G53" s="10">
        <v>0.16666666666666669</v>
      </c>
      <c r="I53" s="9">
        <f t="shared" si="3"/>
        <v>0</v>
      </c>
      <c r="J53" s="11" cm="1">
        <f t="array" ref="J53">MAX(IF($N$3:$BW$3=$J$3,N53:BW53))</f>
        <v>0</v>
      </c>
      <c r="K53" s="11" cm="1">
        <f t="array" ref="K53">MAX(IF($N$3:$BW$3=$J$3,N53:BW53))</f>
        <v>0</v>
      </c>
      <c r="L53" s="9"/>
      <c r="O53" s="10"/>
      <c r="P53" s="10"/>
      <c r="Q53" s="10"/>
      <c r="R53" s="10"/>
      <c r="V53" s="10"/>
      <c r="W53" s="10"/>
      <c r="X53" s="10"/>
      <c r="Y53" s="10"/>
      <c r="AC53" s="10"/>
      <c r="AD53" s="10">
        <v>0.5</v>
      </c>
      <c r="AE53" s="10"/>
      <c r="AF53" s="10">
        <v>0.5</v>
      </c>
      <c r="AJ53" s="10"/>
      <c r="AK53" s="10">
        <v>0.5</v>
      </c>
      <c r="AL53" s="10"/>
      <c r="AM53" s="10">
        <v>0.5</v>
      </c>
      <c r="AQ53" s="10"/>
      <c r="AR53" s="10">
        <v>0.5</v>
      </c>
      <c r="AS53" s="10"/>
      <c r="AT53" s="10">
        <v>0.5</v>
      </c>
      <c r="AX53" s="10"/>
      <c r="AY53" s="10">
        <v>0.8</v>
      </c>
      <c r="AZ53" s="10"/>
      <c r="BA53" s="10">
        <v>0.8</v>
      </c>
      <c r="BE53" s="10"/>
      <c r="BF53" s="10">
        <v>0.8</v>
      </c>
      <c r="BG53" s="10"/>
      <c r="BH53" s="10">
        <v>0.8</v>
      </c>
      <c r="BL53" s="10"/>
      <c r="BM53" s="10">
        <v>0.8</v>
      </c>
      <c r="BN53" s="10"/>
      <c r="BO53" s="10">
        <v>0.8</v>
      </c>
      <c r="BS53" s="10"/>
      <c r="BT53" s="10">
        <v>0.8</v>
      </c>
      <c r="BU53" s="10"/>
      <c r="BV53" s="10">
        <v>0.8</v>
      </c>
      <c r="BZ53" s="10"/>
      <c r="CA53" s="10">
        <v>0.8</v>
      </c>
      <c r="CB53" s="10"/>
      <c r="CC53" s="10">
        <v>0.8</v>
      </c>
      <c r="CG53" s="10"/>
      <c r="CH53" s="10">
        <v>1</v>
      </c>
      <c r="CI53" s="10"/>
      <c r="CJ53" s="10">
        <v>1</v>
      </c>
      <c r="CN53" s="10"/>
      <c r="CO53" s="10">
        <v>1</v>
      </c>
      <c r="CP53" s="10"/>
      <c r="CQ53" s="10">
        <v>1</v>
      </c>
      <c r="CU53" s="10"/>
      <c r="CV53" s="10">
        <v>1</v>
      </c>
      <c r="CW53" s="10"/>
      <c r="CX53" s="10">
        <v>1</v>
      </c>
      <c r="DB53" s="10"/>
      <c r="DC53" s="10">
        <v>1</v>
      </c>
      <c r="DD53" s="10"/>
      <c r="DE53" s="10">
        <v>1</v>
      </c>
      <c r="DI53" s="10"/>
      <c r="DJ53" s="10"/>
      <c r="DK53" s="10"/>
      <c r="DL53" s="10"/>
      <c r="DP53" s="10"/>
      <c r="DQ53" s="10"/>
      <c r="DR53" s="10"/>
      <c r="DS53" s="10"/>
      <c r="DW53" s="10"/>
      <c r="DX53" s="10"/>
      <c r="DY53" s="10"/>
      <c r="DZ53" s="10"/>
      <c r="ED53" s="10"/>
      <c r="EE53" s="10"/>
      <c r="EF53" s="10"/>
      <c r="EG53" s="10"/>
      <c r="EK53" s="10"/>
      <c r="EL53" s="10"/>
      <c r="EM53" s="10"/>
      <c r="EN53" s="10"/>
      <c r="ER53" s="10"/>
      <c r="ES53" s="10"/>
      <c r="ET53" s="10"/>
      <c r="EU53" s="10"/>
    </row>
    <row r="54" spans="2:151" outlineLevel="1" x14ac:dyDescent="0.2">
      <c r="B54" t="s">
        <v>28</v>
      </c>
      <c r="C54" t="s">
        <v>186</v>
      </c>
      <c r="E54" s="9"/>
      <c r="F54" t="s">
        <v>114</v>
      </c>
      <c r="G54" s="10">
        <v>0.16666666666666669</v>
      </c>
      <c r="I54" s="9">
        <f t="shared" si="3"/>
        <v>0</v>
      </c>
      <c r="J54" s="11" cm="1">
        <f t="array" ref="J54">MAX(IF($N$3:$BW$3=$J$3,N54:BW54))</f>
        <v>0</v>
      </c>
      <c r="K54" s="11" cm="1">
        <f t="array" ref="K54">MAX(IF($N$3:$BW$3=$J$3,N54:BW54))</f>
        <v>0</v>
      </c>
      <c r="L54" s="9"/>
      <c r="O54" s="10"/>
      <c r="P54" s="10"/>
      <c r="Q54" s="10"/>
      <c r="R54" s="10"/>
      <c r="V54" s="10"/>
      <c r="W54" s="10"/>
      <c r="X54" s="10"/>
      <c r="Y54" s="10"/>
      <c r="AC54" s="10"/>
      <c r="AD54" s="10"/>
      <c r="AE54" s="10"/>
      <c r="AF54" s="10"/>
      <c r="AJ54" s="10"/>
      <c r="AK54" s="10">
        <v>0.5</v>
      </c>
      <c r="AL54" s="10"/>
      <c r="AM54" s="10">
        <v>0.5</v>
      </c>
      <c r="AQ54" s="10"/>
      <c r="AR54" s="10">
        <v>0.5</v>
      </c>
      <c r="AS54" s="10"/>
      <c r="AT54" s="10">
        <v>0.5</v>
      </c>
      <c r="AX54" s="10"/>
      <c r="AY54" s="10">
        <v>0.5</v>
      </c>
      <c r="AZ54" s="10"/>
      <c r="BA54" s="10">
        <v>0.5</v>
      </c>
      <c r="BE54" s="10"/>
      <c r="BF54" s="10">
        <v>0.5</v>
      </c>
      <c r="BG54" s="10"/>
      <c r="BH54" s="10">
        <v>0.5</v>
      </c>
      <c r="BL54" s="10"/>
      <c r="BM54" s="10">
        <v>0.5</v>
      </c>
      <c r="BN54" s="10"/>
      <c r="BO54" s="10">
        <v>0.5</v>
      </c>
      <c r="BS54" s="10"/>
      <c r="BT54" s="10">
        <v>0.8</v>
      </c>
      <c r="BU54" s="10"/>
      <c r="BV54" s="10">
        <v>0.8</v>
      </c>
      <c r="BZ54" s="10"/>
      <c r="CA54" s="10">
        <v>0.8</v>
      </c>
      <c r="CB54" s="10"/>
      <c r="CC54" s="10">
        <v>0.8</v>
      </c>
      <c r="CG54" s="10"/>
      <c r="CH54" s="10">
        <v>0.8</v>
      </c>
      <c r="CI54" s="10"/>
      <c r="CJ54" s="10">
        <v>0.8</v>
      </c>
      <c r="CN54" s="10"/>
      <c r="CO54" s="10">
        <v>1</v>
      </c>
      <c r="CP54" s="10"/>
      <c r="CQ54" s="10">
        <v>1</v>
      </c>
      <c r="CU54" s="10"/>
      <c r="CV54" s="10">
        <v>1</v>
      </c>
      <c r="CW54" s="10"/>
      <c r="CX54" s="10">
        <v>1</v>
      </c>
      <c r="DB54" s="10"/>
      <c r="DC54" s="10">
        <v>1</v>
      </c>
      <c r="DD54" s="10"/>
      <c r="DE54" s="10">
        <v>1</v>
      </c>
      <c r="DI54" s="10"/>
      <c r="DJ54" s="10"/>
      <c r="DK54" s="10"/>
      <c r="DL54" s="10"/>
      <c r="DP54" s="10"/>
      <c r="DQ54" s="10"/>
      <c r="DR54" s="10"/>
      <c r="DS54" s="10"/>
      <c r="DW54" s="10"/>
      <c r="DX54" s="10"/>
      <c r="DY54" s="10"/>
      <c r="DZ54" s="10"/>
      <c r="ED54" s="10"/>
      <c r="EE54" s="10"/>
      <c r="EF54" s="10"/>
      <c r="EG54" s="10"/>
      <c r="EK54" s="10"/>
      <c r="EL54" s="10"/>
      <c r="EM54" s="10"/>
      <c r="EN54" s="10"/>
      <c r="ER54" s="10"/>
      <c r="ES54" s="10"/>
      <c r="ET54" s="10"/>
      <c r="EU54" s="10"/>
    </row>
    <row r="55" spans="2:151" outlineLevel="1" x14ac:dyDescent="0.2">
      <c r="B55" t="s">
        <v>28</v>
      </c>
      <c r="C55" t="s">
        <v>186</v>
      </c>
      <c r="E55" s="9"/>
      <c r="F55" t="s">
        <v>110</v>
      </c>
      <c r="G55" s="10">
        <v>0.16666666666666669</v>
      </c>
      <c r="I55" s="9">
        <f t="shared" si="3"/>
        <v>0</v>
      </c>
      <c r="J55" s="11" cm="1">
        <f t="array" ref="J55">MAX(IF($N$3:$BW$3=$J$3,N55:BW55))</f>
        <v>0</v>
      </c>
      <c r="K55" s="11" cm="1">
        <f t="array" ref="K55">MAX(IF($N$3:$BW$3=$J$3,N55:BW55))</f>
        <v>0</v>
      </c>
      <c r="L55" s="9"/>
      <c r="O55" s="10"/>
      <c r="P55" s="10"/>
      <c r="Q55" s="10"/>
      <c r="R55" s="10"/>
      <c r="V55" s="10"/>
      <c r="W55" s="10"/>
      <c r="X55" s="10"/>
      <c r="Y55" s="10"/>
      <c r="AC55" s="10"/>
      <c r="AD55" s="10"/>
      <c r="AE55" s="10"/>
      <c r="AF55" s="10"/>
      <c r="AJ55" s="10"/>
      <c r="AK55" s="10"/>
      <c r="AL55" s="10"/>
      <c r="AM55" s="10"/>
      <c r="AQ55" s="10"/>
      <c r="AR55" s="10"/>
      <c r="AS55" s="10"/>
      <c r="AT55" s="10"/>
      <c r="AX55" s="10"/>
      <c r="AY55" s="10">
        <v>0.5</v>
      </c>
      <c r="AZ55" s="10"/>
      <c r="BA55" s="10">
        <v>0.5</v>
      </c>
      <c r="BE55" s="10"/>
      <c r="BF55" s="10">
        <v>0.5</v>
      </c>
      <c r="BG55" s="10"/>
      <c r="BH55" s="10">
        <v>0.5</v>
      </c>
      <c r="BL55" s="10"/>
      <c r="BM55" s="10">
        <v>0.5</v>
      </c>
      <c r="BN55" s="10"/>
      <c r="BO55" s="10">
        <v>0.5</v>
      </c>
      <c r="BS55" s="10"/>
      <c r="BT55" s="10">
        <v>0.5</v>
      </c>
      <c r="BU55" s="10"/>
      <c r="BV55" s="10">
        <v>0.5</v>
      </c>
      <c r="BZ55" s="10"/>
      <c r="CA55" s="10">
        <v>0.8</v>
      </c>
      <c r="CB55" s="10"/>
      <c r="CC55" s="10">
        <v>0.8</v>
      </c>
      <c r="CG55" s="10"/>
      <c r="CH55" s="10">
        <v>0.8</v>
      </c>
      <c r="CI55" s="10"/>
      <c r="CJ55" s="10">
        <v>0.8</v>
      </c>
      <c r="CN55" s="10"/>
      <c r="CO55" s="10">
        <v>0.8</v>
      </c>
      <c r="CP55" s="10"/>
      <c r="CQ55" s="10">
        <v>0.8</v>
      </c>
      <c r="CU55" s="10"/>
      <c r="CV55" s="10">
        <v>1</v>
      </c>
      <c r="CW55" s="10"/>
      <c r="CX55" s="10">
        <v>1</v>
      </c>
      <c r="DB55" s="10"/>
      <c r="DC55" s="10">
        <v>1</v>
      </c>
      <c r="DD55" s="10"/>
      <c r="DE55" s="10">
        <v>1</v>
      </c>
      <c r="DI55" s="10"/>
      <c r="DJ55" s="10"/>
      <c r="DK55" s="10"/>
      <c r="DL55" s="10"/>
      <c r="DP55" s="10"/>
      <c r="DQ55" s="10"/>
      <c r="DR55" s="10"/>
      <c r="DS55" s="10"/>
      <c r="DW55" s="10"/>
      <c r="DX55" s="10"/>
      <c r="DY55" s="10"/>
      <c r="DZ55" s="10"/>
      <c r="ED55" s="10"/>
      <c r="EE55" s="10"/>
      <c r="EF55" s="10"/>
      <c r="EG55" s="10"/>
      <c r="EK55" s="10"/>
      <c r="EL55" s="10"/>
      <c r="EM55" s="10"/>
      <c r="EN55" s="10"/>
      <c r="ER55" s="10"/>
      <c r="ES55" s="10"/>
      <c r="ET55" s="10"/>
      <c r="EU55" s="10"/>
    </row>
    <row r="56" spans="2:151" outlineLevel="1" x14ac:dyDescent="0.2">
      <c r="B56" t="s">
        <v>28</v>
      </c>
      <c r="C56" t="s">
        <v>186</v>
      </c>
      <c r="E56" s="9"/>
      <c r="F56" t="s">
        <v>111</v>
      </c>
      <c r="G56" s="10">
        <v>0.16666666666666669</v>
      </c>
      <c r="I56" s="9">
        <f t="shared" si="3"/>
        <v>0</v>
      </c>
      <c r="J56" s="11" cm="1">
        <f t="array" ref="J56">MAX(IF($N$3:$BW$3=$J$3,N56:BW56))</f>
        <v>0</v>
      </c>
      <c r="K56" s="11" cm="1">
        <f t="array" ref="K56">MAX(IF($N$3:$BW$3=$J$3,N56:BW56))</f>
        <v>0</v>
      </c>
      <c r="L56" s="9"/>
      <c r="O56" s="10"/>
      <c r="P56" s="10"/>
      <c r="Q56" s="10"/>
      <c r="R56" s="10"/>
      <c r="V56" s="10"/>
      <c r="W56" s="10"/>
      <c r="X56" s="10"/>
      <c r="Y56" s="10"/>
      <c r="AC56" s="10"/>
      <c r="AD56" s="10"/>
      <c r="AE56" s="10"/>
      <c r="AF56" s="10"/>
      <c r="AJ56" s="10"/>
      <c r="AK56" s="10"/>
      <c r="AL56" s="10"/>
      <c r="AM56" s="10"/>
      <c r="AQ56" s="10"/>
      <c r="AR56" s="10"/>
      <c r="AS56" s="10"/>
      <c r="AT56" s="10"/>
      <c r="AX56" s="10"/>
      <c r="AY56" s="10"/>
      <c r="AZ56" s="10"/>
      <c r="BA56" s="10"/>
      <c r="BE56" s="10"/>
      <c r="BF56" s="10">
        <v>0.5</v>
      </c>
      <c r="BG56" s="10"/>
      <c r="BH56" s="10">
        <v>0.5</v>
      </c>
      <c r="BL56" s="10"/>
      <c r="BM56" s="10">
        <v>0.5</v>
      </c>
      <c r="BN56" s="10"/>
      <c r="BO56" s="10">
        <v>0.5</v>
      </c>
      <c r="BS56" s="10"/>
      <c r="BT56" s="10">
        <v>0.5</v>
      </c>
      <c r="BU56" s="10"/>
      <c r="BV56" s="10">
        <v>0.5</v>
      </c>
      <c r="BZ56" s="10"/>
      <c r="CA56" s="10">
        <v>0.5</v>
      </c>
      <c r="CB56" s="10"/>
      <c r="CC56" s="10">
        <v>0.5</v>
      </c>
      <c r="CG56" s="10"/>
      <c r="CH56" s="10">
        <v>0.5</v>
      </c>
      <c r="CI56" s="10"/>
      <c r="CJ56" s="10">
        <v>0.5</v>
      </c>
      <c r="CN56" s="10"/>
      <c r="CO56" s="10">
        <v>0.8</v>
      </c>
      <c r="CP56" s="10"/>
      <c r="CQ56" s="10">
        <v>0.8</v>
      </c>
      <c r="CU56" s="10"/>
      <c r="CV56" s="10">
        <v>0.8</v>
      </c>
      <c r="CW56" s="10"/>
      <c r="CX56" s="10">
        <v>0.8</v>
      </c>
      <c r="DB56" s="10"/>
      <c r="DC56" s="10">
        <v>1</v>
      </c>
      <c r="DD56" s="10"/>
      <c r="DE56" s="10">
        <v>1</v>
      </c>
      <c r="DI56" s="10"/>
      <c r="DJ56" s="10"/>
      <c r="DK56" s="10"/>
      <c r="DL56" s="10"/>
      <c r="DP56" s="10"/>
      <c r="DQ56" s="10"/>
      <c r="DR56" s="10"/>
      <c r="DS56" s="10"/>
      <c r="DW56" s="10"/>
      <c r="DX56" s="10"/>
      <c r="DY56" s="10"/>
      <c r="DZ56" s="10"/>
      <c r="ED56" s="10"/>
      <c r="EE56" s="10"/>
      <c r="EF56" s="10"/>
      <c r="EG56" s="10"/>
      <c r="EK56" s="10"/>
      <c r="EL56" s="10"/>
      <c r="EM56" s="10"/>
      <c r="EN56" s="10"/>
      <c r="ER56" s="10"/>
      <c r="ES56" s="10"/>
      <c r="ET56" s="10"/>
      <c r="EU56" s="10"/>
    </row>
    <row r="58" spans="2:151" x14ac:dyDescent="0.2">
      <c r="B58" t="s">
        <v>27</v>
      </c>
      <c r="C58" t="s">
        <v>88</v>
      </c>
      <c r="D58" s="19">
        <v>46072</v>
      </c>
      <c r="E58" s="9">
        <v>2.5</v>
      </c>
      <c r="G58" s="10">
        <f>+SUM(G59:G63)</f>
        <v>1</v>
      </c>
      <c r="I58" s="12">
        <f>+SUM(I59:I63)</f>
        <v>0</v>
      </c>
      <c r="J58" s="11">
        <f>+SUMPRODUCT(G59:G63,J59:J63)</f>
        <v>0</v>
      </c>
      <c r="K58" s="11">
        <f>+SUMPRODUCT(G59:G63,K59:K63)</f>
        <v>0</v>
      </c>
      <c r="L58" s="9" t="s">
        <v>184</v>
      </c>
      <c r="N58" s="12">
        <f>+SUM(N59:N63)</f>
        <v>0</v>
      </c>
      <c r="U58" s="12">
        <f>+SUM(U59:U63)</f>
        <v>0</v>
      </c>
      <c r="AB58" s="12">
        <f>+SUM(AB59:AB63)</f>
        <v>0</v>
      </c>
      <c r="AI58" s="12">
        <f>+SUM(AI59:AI63)</f>
        <v>0</v>
      </c>
      <c r="AP58" s="12">
        <f>+SUM(AP59:AP63)</f>
        <v>0</v>
      </c>
      <c r="AW58" s="12">
        <f>+SUM(AW59:AW63)</f>
        <v>0</v>
      </c>
      <c r="BD58" s="12">
        <f>+SUM(BD59:BD63)</f>
        <v>0</v>
      </c>
      <c r="BK58" s="12">
        <f>+SUM(BK59:BK63)</f>
        <v>0</v>
      </c>
      <c r="BR58" s="12">
        <f>+SUM(BR59:BR63)</f>
        <v>0</v>
      </c>
      <c r="BY58" s="12">
        <f>+SUM(BY59:BY63)</f>
        <v>0</v>
      </c>
      <c r="CF58" s="12">
        <f>+SUM(CF59:CF63)</f>
        <v>0</v>
      </c>
      <c r="CM58" s="12">
        <f>+SUM(CM59:CM63)</f>
        <v>0</v>
      </c>
      <c r="CT58" s="12">
        <f>+SUM(CT59:CT63)</f>
        <v>0</v>
      </c>
      <c r="DA58" s="12">
        <f>+SUM(DA59:DA63)</f>
        <v>0</v>
      </c>
      <c r="DH58" s="12">
        <f>+SUM(DH59:DH63)</f>
        <v>0</v>
      </c>
      <c r="DO58" s="12">
        <f>+SUM(DO59:DO63)</f>
        <v>0</v>
      </c>
      <c r="DV58" s="12">
        <f>+SUM(DV59:DV63)</f>
        <v>0</v>
      </c>
      <c r="EC58" s="12">
        <f>+SUM(EC59:EC63)</f>
        <v>0</v>
      </c>
      <c r="EJ58" s="12">
        <f>+SUM(EJ59:EJ63)</f>
        <v>0</v>
      </c>
      <c r="EO58" t="s">
        <v>176</v>
      </c>
      <c r="EQ58" s="12">
        <f>+SUM(EQ59:EQ63)</f>
        <v>0</v>
      </c>
    </row>
    <row r="59" spans="2:151" outlineLevel="1" x14ac:dyDescent="0.2">
      <c r="B59" t="s">
        <v>28</v>
      </c>
      <c r="C59" t="s">
        <v>88</v>
      </c>
      <c r="E59" s="9"/>
      <c r="F59" t="s">
        <v>104</v>
      </c>
      <c r="G59" s="10">
        <v>0.2</v>
      </c>
      <c r="I59" s="9">
        <f>+SUMIF($N$3:$XO$3,I$3,$N59:$XO59)</f>
        <v>0</v>
      </c>
      <c r="J59" s="11" cm="1">
        <f t="array" ref="J59">MAX(IF($N$3:$BW$3=$J$3,N59:BW59))</f>
        <v>0</v>
      </c>
      <c r="K59" s="11" cm="1">
        <f t="array" ref="K59">MAX(IF($N$3:$BW$3=$J$3,N59:BW59))</f>
        <v>0</v>
      </c>
      <c r="L59" s="9" t="s">
        <v>215</v>
      </c>
      <c r="O59" s="10"/>
      <c r="P59" s="10">
        <v>0.5</v>
      </c>
      <c r="Q59" s="10"/>
      <c r="R59" s="10">
        <v>0.5</v>
      </c>
      <c r="S59" t="s">
        <v>195</v>
      </c>
      <c r="V59" s="10"/>
      <c r="W59" s="10">
        <v>0.8</v>
      </c>
      <c r="X59" s="10"/>
      <c r="Y59" s="10">
        <v>0.8</v>
      </c>
      <c r="Z59" t="s">
        <v>195</v>
      </c>
      <c r="AC59" s="10"/>
      <c r="AD59" s="10">
        <v>0.8</v>
      </c>
      <c r="AE59" s="10"/>
      <c r="AF59" s="10">
        <v>0.8</v>
      </c>
      <c r="AG59" t="s">
        <v>195</v>
      </c>
      <c r="AJ59" s="10"/>
      <c r="AK59" s="10">
        <v>0.8</v>
      </c>
      <c r="AL59" s="10"/>
      <c r="AM59" s="10">
        <v>0.8</v>
      </c>
      <c r="AN59" t="s">
        <v>195</v>
      </c>
      <c r="AQ59" s="10"/>
      <c r="AR59" s="10">
        <v>0.8</v>
      </c>
      <c r="AS59" s="10"/>
      <c r="AT59" s="10">
        <v>0.8</v>
      </c>
      <c r="AU59" t="s">
        <v>195</v>
      </c>
      <c r="AX59" s="10"/>
      <c r="AY59" s="10">
        <v>0.8</v>
      </c>
      <c r="AZ59" s="10"/>
      <c r="BA59" s="10">
        <v>0.8</v>
      </c>
      <c r="BB59" t="s">
        <v>195</v>
      </c>
      <c r="BE59" s="10"/>
      <c r="BF59" s="10">
        <v>0.8</v>
      </c>
      <c r="BG59" s="10"/>
      <c r="BH59" s="10">
        <v>0.8</v>
      </c>
      <c r="BI59" t="s">
        <v>195</v>
      </c>
      <c r="BL59" s="10"/>
      <c r="BM59" s="10">
        <v>0.8</v>
      </c>
      <c r="BN59" s="10"/>
      <c r="BO59" s="10">
        <v>0.8</v>
      </c>
      <c r="BP59" t="s">
        <v>195</v>
      </c>
      <c r="BS59" s="10"/>
      <c r="BT59" s="10">
        <v>1</v>
      </c>
      <c r="BU59" s="10"/>
      <c r="BV59" s="10">
        <v>1</v>
      </c>
      <c r="BW59" t="s">
        <v>195</v>
      </c>
      <c r="BZ59" s="10"/>
      <c r="CA59" s="10">
        <v>1</v>
      </c>
      <c r="CB59" s="10"/>
      <c r="CC59" s="10">
        <v>1</v>
      </c>
      <c r="CD59" t="s">
        <v>195</v>
      </c>
      <c r="CG59" s="10"/>
      <c r="CH59" s="10">
        <v>1</v>
      </c>
      <c r="CI59" s="10"/>
      <c r="CJ59" s="10">
        <v>1</v>
      </c>
      <c r="CK59" t="s">
        <v>195</v>
      </c>
      <c r="CN59" s="10"/>
      <c r="CO59" s="10">
        <v>1</v>
      </c>
      <c r="CP59" s="10"/>
      <c r="CQ59" s="10">
        <v>1</v>
      </c>
      <c r="CR59" t="s">
        <v>195</v>
      </c>
      <c r="CU59" s="10"/>
      <c r="CV59" s="10">
        <v>1</v>
      </c>
      <c r="CW59" s="10"/>
      <c r="CX59" s="10">
        <v>1</v>
      </c>
      <c r="CY59" t="s">
        <v>195</v>
      </c>
      <c r="DB59" s="10"/>
      <c r="DC59" s="10">
        <v>1</v>
      </c>
      <c r="DD59" s="10"/>
      <c r="DE59" s="10">
        <v>1</v>
      </c>
      <c r="DF59" t="s">
        <v>195</v>
      </c>
      <c r="DI59" s="10"/>
      <c r="DJ59" s="10">
        <v>1</v>
      </c>
      <c r="DK59" s="10"/>
      <c r="DL59" s="10">
        <v>1</v>
      </c>
      <c r="DM59" t="s">
        <v>195</v>
      </c>
      <c r="DP59" s="10"/>
      <c r="DQ59" s="10"/>
      <c r="DR59" s="10"/>
      <c r="DS59" s="10"/>
      <c r="DW59" s="10"/>
      <c r="DX59" s="10"/>
      <c r="DY59" s="10"/>
      <c r="DZ59" s="10"/>
      <c r="ED59" s="10"/>
      <c r="EE59" s="10"/>
      <c r="EF59" s="10"/>
      <c r="EG59" s="10"/>
      <c r="EK59" s="10"/>
      <c r="EL59" s="10"/>
      <c r="EM59" s="10"/>
      <c r="EN59" s="10"/>
      <c r="ER59" s="10"/>
      <c r="ES59" s="10"/>
      <c r="ET59" s="10"/>
      <c r="EU59" s="10"/>
    </row>
    <row r="60" spans="2:151" outlineLevel="1" x14ac:dyDescent="0.2">
      <c r="B60" t="s">
        <v>28</v>
      </c>
      <c r="C60" t="s">
        <v>88</v>
      </c>
      <c r="E60" s="9"/>
      <c r="F60" t="s">
        <v>105</v>
      </c>
      <c r="G60" s="10">
        <v>0.2</v>
      </c>
      <c r="I60" s="9">
        <f>+SUMIF($N$3:$XO$3,I$3,$N60:$XO60)</f>
        <v>0</v>
      </c>
      <c r="J60" s="11" cm="1">
        <f t="array" ref="J60">MAX(IF($N$3:$BW$3=$J$3,N60:BW60))</f>
        <v>0</v>
      </c>
      <c r="K60" s="11" cm="1">
        <f t="array" ref="K60">MAX(IF($N$3:$BW$3=$J$3,N60:BW60))</f>
        <v>0</v>
      </c>
      <c r="L60" s="9"/>
      <c r="O60" s="10"/>
      <c r="P60" s="10"/>
      <c r="Q60" s="10"/>
      <c r="R60" s="10"/>
      <c r="V60" s="10"/>
      <c r="W60" s="10"/>
      <c r="X60" s="10"/>
      <c r="Y60" s="10"/>
      <c r="AC60" s="10"/>
      <c r="AD60" s="10">
        <v>0.5</v>
      </c>
      <c r="AE60" s="10"/>
      <c r="AF60" s="10">
        <v>0.5</v>
      </c>
      <c r="AJ60" s="10"/>
      <c r="AK60" s="10">
        <v>0.5</v>
      </c>
      <c r="AL60" s="10"/>
      <c r="AM60" s="10">
        <v>0.5</v>
      </c>
      <c r="AQ60" s="10"/>
      <c r="AR60" s="10">
        <v>0.5</v>
      </c>
      <c r="AS60" s="10"/>
      <c r="AT60" s="10">
        <v>0.5</v>
      </c>
      <c r="AX60" s="10"/>
      <c r="AY60" s="10">
        <v>0.8</v>
      </c>
      <c r="AZ60" s="10"/>
      <c r="BA60" s="10">
        <v>0.8</v>
      </c>
      <c r="BE60" s="10"/>
      <c r="BF60" s="10">
        <v>0.8</v>
      </c>
      <c r="BG60" s="10"/>
      <c r="BH60" s="10">
        <v>0.8</v>
      </c>
      <c r="BL60" s="10"/>
      <c r="BM60" s="10">
        <v>0.8</v>
      </c>
      <c r="BN60" s="10"/>
      <c r="BO60" s="10">
        <v>0.8</v>
      </c>
      <c r="BS60" s="10"/>
      <c r="BT60" s="10">
        <v>0.8</v>
      </c>
      <c r="BU60" s="10"/>
      <c r="BV60" s="10">
        <v>0.8</v>
      </c>
      <c r="BZ60" s="10"/>
      <c r="CA60" s="10">
        <v>0.8</v>
      </c>
      <c r="CB60" s="10"/>
      <c r="CC60" s="10">
        <v>0.8</v>
      </c>
      <c r="CG60" s="10"/>
      <c r="CH60" s="10">
        <v>1</v>
      </c>
      <c r="CI60" s="10"/>
      <c r="CJ60" s="10">
        <v>1</v>
      </c>
      <c r="CN60" s="10"/>
      <c r="CO60" s="10">
        <v>1</v>
      </c>
      <c r="CP60" s="10"/>
      <c r="CQ60" s="10">
        <v>1</v>
      </c>
      <c r="CU60" s="10"/>
      <c r="CV60" s="10">
        <v>1</v>
      </c>
      <c r="CW60" s="10"/>
      <c r="CX60" s="10">
        <v>1</v>
      </c>
      <c r="DB60" s="10"/>
      <c r="DC60" s="10">
        <v>1</v>
      </c>
      <c r="DD60" s="10"/>
      <c r="DE60" s="10">
        <v>1</v>
      </c>
      <c r="DI60" s="10"/>
      <c r="DJ60" s="10">
        <v>1</v>
      </c>
      <c r="DK60" s="10"/>
      <c r="DL60" s="10">
        <v>1</v>
      </c>
      <c r="DP60" s="10"/>
      <c r="DQ60" s="10"/>
      <c r="DR60" s="10"/>
      <c r="DS60" s="10"/>
      <c r="DW60" s="10"/>
      <c r="DX60" s="10"/>
      <c r="DY60" s="10"/>
      <c r="DZ60" s="10"/>
      <c r="ED60" s="10"/>
      <c r="EE60" s="10"/>
      <c r="EF60" s="10"/>
      <c r="EG60" s="10"/>
      <c r="EK60" s="10"/>
      <c r="EL60" s="10"/>
      <c r="EM60" s="10"/>
      <c r="EN60" s="10"/>
      <c r="ER60" s="10"/>
      <c r="ES60" s="10"/>
      <c r="ET60" s="10"/>
      <c r="EU60" s="10"/>
    </row>
    <row r="61" spans="2:151" outlineLevel="1" x14ac:dyDescent="0.2">
      <c r="B61" t="s">
        <v>28</v>
      </c>
      <c r="C61" t="s">
        <v>88</v>
      </c>
      <c r="E61" s="9"/>
      <c r="F61" t="s">
        <v>106</v>
      </c>
      <c r="G61" s="10">
        <v>0.2</v>
      </c>
      <c r="I61" s="9">
        <f>+SUMIF($N$3:$XO$3,I$3,$N61:$XO61)</f>
        <v>0</v>
      </c>
      <c r="J61" s="11" cm="1">
        <f t="array" ref="J61">MAX(IF($N$3:$BW$3=$J$3,N61:BW61))</f>
        <v>0</v>
      </c>
      <c r="K61" s="11" cm="1">
        <f t="array" ref="K61">MAX(IF($N$3:$BW$3=$J$3,N61:BW61))</f>
        <v>0</v>
      </c>
      <c r="L61" s="9"/>
      <c r="O61" s="10"/>
      <c r="P61" s="10"/>
      <c r="Q61" s="10"/>
      <c r="R61" s="10"/>
      <c r="V61" s="10"/>
      <c r="W61" s="10"/>
      <c r="X61" s="10"/>
      <c r="Y61" s="10"/>
      <c r="AC61" s="10"/>
      <c r="AD61" s="10"/>
      <c r="AE61" s="10"/>
      <c r="AF61" s="10"/>
      <c r="AJ61" s="10"/>
      <c r="AK61" s="10">
        <v>0.5</v>
      </c>
      <c r="AL61" s="10"/>
      <c r="AM61" s="10">
        <v>0.5</v>
      </c>
      <c r="AQ61" s="10"/>
      <c r="AR61" s="10">
        <v>0.5</v>
      </c>
      <c r="AS61" s="10"/>
      <c r="AT61" s="10">
        <v>0.5</v>
      </c>
      <c r="AX61" s="10"/>
      <c r="AY61" s="10">
        <v>0.5</v>
      </c>
      <c r="AZ61" s="10"/>
      <c r="BA61" s="10">
        <v>0.5</v>
      </c>
      <c r="BE61" s="10"/>
      <c r="BF61" s="10">
        <v>0.5</v>
      </c>
      <c r="BG61" s="10"/>
      <c r="BH61" s="10">
        <v>0.5</v>
      </c>
      <c r="BL61" s="10"/>
      <c r="BM61" s="10">
        <v>0.8</v>
      </c>
      <c r="BN61" s="10"/>
      <c r="BO61" s="10">
        <v>0.8</v>
      </c>
      <c r="BS61" s="10"/>
      <c r="BT61" s="10">
        <v>0.8</v>
      </c>
      <c r="BU61" s="10"/>
      <c r="BV61" s="10">
        <v>0.8</v>
      </c>
      <c r="BZ61" s="10"/>
      <c r="CA61" s="10">
        <v>0.8</v>
      </c>
      <c r="CB61" s="10"/>
      <c r="CC61" s="10">
        <v>0.8</v>
      </c>
      <c r="CG61" s="10"/>
      <c r="CH61" s="10">
        <v>0.8</v>
      </c>
      <c r="CI61" s="10"/>
      <c r="CJ61" s="10">
        <v>0.8</v>
      </c>
      <c r="CN61" s="10"/>
      <c r="CO61" s="10">
        <v>0.8</v>
      </c>
      <c r="CP61" s="10"/>
      <c r="CQ61" s="10">
        <v>0.8</v>
      </c>
      <c r="CU61" s="10"/>
      <c r="CV61" s="10">
        <v>1</v>
      </c>
      <c r="CW61" s="10"/>
      <c r="CX61" s="10">
        <v>1</v>
      </c>
      <c r="DB61" s="10"/>
      <c r="DC61" s="10">
        <v>1</v>
      </c>
      <c r="DD61" s="10"/>
      <c r="DE61" s="10">
        <v>1</v>
      </c>
      <c r="DI61" s="10"/>
      <c r="DJ61" s="10">
        <v>1</v>
      </c>
      <c r="DK61" s="10"/>
      <c r="DL61" s="10">
        <v>1</v>
      </c>
      <c r="DP61" s="10"/>
      <c r="DQ61" s="10"/>
      <c r="DR61" s="10"/>
      <c r="DS61" s="10"/>
      <c r="DW61" s="10"/>
      <c r="DX61" s="10"/>
      <c r="DY61" s="10"/>
      <c r="DZ61" s="10"/>
      <c r="ED61" s="10"/>
      <c r="EE61" s="10"/>
      <c r="EF61" s="10"/>
      <c r="EG61" s="10"/>
      <c r="EK61" s="10"/>
      <c r="EL61" s="10"/>
      <c r="EM61" s="10"/>
      <c r="EN61" s="10"/>
      <c r="ER61" s="10"/>
      <c r="ES61" s="10"/>
      <c r="ET61" s="10"/>
      <c r="EU61" s="10"/>
    </row>
    <row r="62" spans="2:151" outlineLevel="1" x14ac:dyDescent="0.2">
      <c r="B62" t="s">
        <v>28</v>
      </c>
      <c r="C62" t="s">
        <v>88</v>
      </c>
      <c r="E62" s="9"/>
      <c r="F62" t="s">
        <v>107</v>
      </c>
      <c r="G62" s="10">
        <v>0.2</v>
      </c>
      <c r="I62" s="9">
        <f>+SUMIF($N$3:$XO$3,I$3,$N62:$XO62)</f>
        <v>0</v>
      </c>
      <c r="J62" s="11" cm="1">
        <f t="array" ref="J62">MAX(IF($N$3:$BW$3=$J$3,N62:BW62))</f>
        <v>0</v>
      </c>
      <c r="K62" s="11" cm="1">
        <f t="array" ref="K62">MAX(IF($N$3:$BW$3=$J$3,N62:BW62))</f>
        <v>0</v>
      </c>
      <c r="L62" s="9"/>
      <c r="O62" s="10"/>
      <c r="P62" s="10"/>
      <c r="Q62" s="10"/>
      <c r="R62" s="10"/>
      <c r="V62" s="10"/>
      <c r="W62" s="10"/>
      <c r="X62" s="10"/>
      <c r="Y62" s="10"/>
      <c r="AC62" s="10"/>
      <c r="AD62" s="10"/>
      <c r="AE62" s="10"/>
      <c r="AF62" s="10"/>
      <c r="AJ62" s="10"/>
      <c r="AK62" s="10"/>
      <c r="AL62" s="10"/>
      <c r="AM62" s="10"/>
      <c r="AQ62" s="10"/>
      <c r="AR62" s="10">
        <v>0.5</v>
      </c>
      <c r="AS62" s="10"/>
      <c r="AT62" s="10">
        <v>0.5</v>
      </c>
      <c r="AX62" s="10"/>
      <c r="AY62" s="10">
        <v>0.5</v>
      </c>
      <c r="AZ62" s="10"/>
      <c r="BA62" s="10">
        <v>0.5</v>
      </c>
      <c r="BE62" s="10"/>
      <c r="BF62" s="10">
        <v>0.5</v>
      </c>
      <c r="BG62" s="10"/>
      <c r="BH62" s="10">
        <v>0.5</v>
      </c>
      <c r="BL62" s="10"/>
      <c r="BM62" s="10">
        <v>0.5</v>
      </c>
      <c r="BN62" s="10"/>
      <c r="BO62" s="10">
        <v>0.5</v>
      </c>
      <c r="BS62" s="10"/>
      <c r="BT62" s="10">
        <v>0.5</v>
      </c>
      <c r="BU62" s="10"/>
      <c r="BV62" s="10">
        <v>0.5</v>
      </c>
      <c r="BZ62" s="10"/>
      <c r="CA62" s="10">
        <v>0.8</v>
      </c>
      <c r="CB62" s="10"/>
      <c r="CC62" s="10">
        <v>0.8</v>
      </c>
      <c r="CG62" s="10"/>
      <c r="CH62" s="10">
        <v>0.8</v>
      </c>
      <c r="CI62" s="10"/>
      <c r="CJ62" s="10">
        <v>0.8</v>
      </c>
      <c r="CN62" s="10"/>
      <c r="CO62" s="10">
        <v>0.8</v>
      </c>
      <c r="CP62" s="10"/>
      <c r="CQ62" s="10">
        <v>0.8</v>
      </c>
      <c r="CU62" s="10"/>
      <c r="CV62" s="10">
        <v>0.8</v>
      </c>
      <c r="CW62" s="10"/>
      <c r="CX62" s="10">
        <v>0.8</v>
      </c>
      <c r="DB62" s="10"/>
      <c r="DC62" s="10">
        <v>1</v>
      </c>
      <c r="DD62" s="10"/>
      <c r="DE62" s="10">
        <v>1</v>
      </c>
      <c r="DI62" s="10"/>
      <c r="DJ62" s="10">
        <v>1</v>
      </c>
      <c r="DK62" s="10"/>
      <c r="DL62" s="10">
        <v>1</v>
      </c>
      <c r="DP62" s="10"/>
      <c r="DQ62" s="10"/>
      <c r="DR62" s="10"/>
      <c r="DS62" s="10"/>
      <c r="DW62" s="10"/>
      <c r="DX62" s="10"/>
      <c r="DY62" s="10"/>
      <c r="DZ62" s="10"/>
      <c r="ED62" s="10"/>
      <c r="EE62" s="10"/>
      <c r="EF62" s="10"/>
      <c r="EG62" s="10"/>
      <c r="EK62" s="10"/>
      <c r="EL62" s="10"/>
      <c r="EM62" s="10"/>
      <c r="EN62" s="10"/>
      <c r="ER62" s="10"/>
      <c r="ES62" s="10"/>
      <c r="ET62" s="10"/>
      <c r="EU62" s="10"/>
    </row>
    <row r="63" spans="2:151" outlineLevel="1" x14ac:dyDescent="0.2">
      <c r="B63" t="s">
        <v>28</v>
      </c>
      <c r="C63" t="s">
        <v>88</v>
      </c>
      <c r="E63" s="9"/>
      <c r="F63" t="s">
        <v>108</v>
      </c>
      <c r="G63" s="10">
        <v>0.2</v>
      </c>
      <c r="I63" s="9">
        <f>+SUMIF($N$3:$XO$3,I$3,$N63:$XO63)</f>
        <v>0</v>
      </c>
      <c r="J63" s="11" cm="1">
        <f t="array" ref="J63">MAX(IF($N$3:$BW$3=$J$3,N63:BW63))</f>
        <v>0</v>
      </c>
      <c r="K63" s="11" cm="1">
        <f t="array" ref="K63">MAX(IF($N$3:$BW$3=$J$3,N63:BW63))</f>
        <v>0</v>
      </c>
      <c r="L63" s="9"/>
      <c r="O63" s="10"/>
      <c r="P63" s="10"/>
      <c r="Q63" s="10"/>
      <c r="R63" s="10"/>
      <c r="V63" s="10"/>
      <c r="W63" s="10"/>
      <c r="X63" s="10"/>
      <c r="Y63" s="10"/>
      <c r="AC63" s="10"/>
      <c r="AD63" s="10"/>
      <c r="AE63" s="10"/>
      <c r="AF63" s="10"/>
      <c r="AJ63" s="10"/>
      <c r="AK63" s="10"/>
      <c r="AL63" s="10"/>
      <c r="AM63" s="10"/>
      <c r="AQ63" s="10"/>
      <c r="AR63" s="10"/>
      <c r="AS63" s="10"/>
      <c r="AT63" s="10"/>
      <c r="AX63" s="10"/>
      <c r="AY63" s="10"/>
      <c r="AZ63" s="10"/>
      <c r="BA63" s="10"/>
      <c r="BE63" s="10"/>
      <c r="BF63" s="10">
        <v>0.5</v>
      </c>
      <c r="BG63" s="10"/>
      <c r="BH63" s="10">
        <v>0.5</v>
      </c>
      <c r="BL63" s="10"/>
      <c r="BM63" s="10">
        <v>0.5</v>
      </c>
      <c r="BN63" s="10"/>
      <c r="BO63" s="10">
        <v>0.5</v>
      </c>
      <c r="BS63" s="10"/>
      <c r="BT63" s="10">
        <v>0.5</v>
      </c>
      <c r="BU63" s="10"/>
      <c r="BV63" s="10">
        <v>0.5</v>
      </c>
      <c r="BZ63" s="10"/>
      <c r="CA63" s="10">
        <v>0.5</v>
      </c>
      <c r="CB63" s="10"/>
      <c r="CC63" s="10">
        <v>0.5</v>
      </c>
      <c r="CG63" s="10"/>
      <c r="CH63" s="10">
        <v>0.5</v>
      </c>
      <c r="CI63" s="10"/>
      <c r="CJ63" s="10">
        <v>0.5</v>
      </c>
      <c r="CN63" s="10"/>
      <c r="CO63" s="10">
        <v>0.8</v>
      </c>
      <c r="CP63" s="10"/>
      <c r="CQ63" s="10">
        <v>0.8</v>
      </c>
      <c r="CU63" s="10"/>
      <c r="CV63" s="10">
        <v>0.8</v>
      </c>
      <c r="CW63" s="10"/>
      <c r="CX63" s="10">
        <v>0.8</v>
      </c>
      <c r="DB63" s="10"/>
      <c r="DC63" s="10">
        <v>0.8</v>
      </c>
      <c r="DD63" s="10"/>
      <c r="DE63" s="10">
        <v>0.8</v>
      </c>
      <c r="DI63" s="10"/>
      <c r="DJ63" s="10">
        <v>1</v>
      </c>
      <c r="DK63" s="10"/>
      <c r="DL63" s="10">
        <v>1</v>
      </c>
      <c r="DP63" s="10"/>
      <c r="DQ63" s="10"/>
      <c r="DR63" s="10"/>
      <c r="DS63" s="10"/>
      <c r="DW63" s="10"/>
      <c r="DX63" s="10"/>
      <c r="DY63" s="10"/>
      <c r="DZ63" s="10"/>
      <c r="ED63" s="10"/>
      <c r="EE63" s="10"/>
      <c r="EF63" s="10"/>
      <c r="EG63" s="10"/>
      <c r="EK63" s="10"/>
      <c r="EL63" s="10"/>
      <c r="EM63" s="10"/>
      <c r="EN63" s="10"/>
      <c r="ER63" s="10"/>
      <c r="ES63" s="10"/>
      <c r="ET63" s="10"/>
      <c r="EU63" s="10"/>
    </row>
    <row r="65" spans="2:151" x14ac:dyDescent="0.2">
      <c r="B65" t="s">
        <v>27</v>
      </c>
      <c r="C65" t="s">
        <v>89</v>
      </c>
      <c r="D65" s="19">
        <v>46072</v>
      </c>
      <c r="E65" s="9">
        <v>2.5</v>
      </c>
      <c r="G65" s="10">
        <f>+SUM(G66:G71)</f>
        <v>1.0000000000000002</v>
      </c>
      <c r="I65" s="12">
        <f>+SUM(I66:I71)</f>
        <v>0</v>
      </c>
      <c r="J65" s="11">
        <f>+SUMPRODUCT(G66:G71,J66:J71)</f>
        <v>0</v>
      </c>
      <c r="K65" s="11">
        <f>+SUMPRODUCT(G66:G71,K66:K71)</f>
        <v>0</v>
      </c>
      <c r="L65" s="9" t="s">
        <v>183</v>
      </c>
      <c r="N65" s="12">
        <f>+SUM(N66:N71)</f>
        <v>0</v>
      </c>
      <c r="U65" s="12">
        <f>+SUM(U66:U71)</f>
        <v>0</v>
      </c>
      <c r="AB65" s="12">
        <f>+SUM(AB66:AB71)</f>
        <v>0</v>
      </c>
      <c r="AI65" s="12">
        <f>+SUM(AI66:AI71)</f>
        <v>0</v>
      </c>
      <c r="AP65" s="12">
        <f>+SUM(AP66:AP71)</f>
        <v>0</v>
      </c>
      <c r="AW65" s="12">
        <f>+SUM(AW66:AW71)</f>
        <v>0</v>
      </c>
      <c r="BD65" s="12">
        <f>+SUM(BD66:BD71)</f>
        <v>0</v>
      </c>
      <c r="BK65" s="12">
        <f>+SUM(BK66:BK71)</f>
        <v>0</v>
      </c>
      <c r="BR65" s="12">
        <f>+SUM(BR66:BR71)</f>
        <v>0</v>
      </c>
      <c r="BY65" s="12">
        <f>+SUM(BY66:BY71)</f>
        <v>0</v>
      </c>
      <c r="CF65" s="12">
        <f>+SUM(CF66:CF71)</f>
        <v>0</v>
      </c>
      <c r="CM65" s="12">
        <f>+SUM(CM66:CM71)</f>
        <v>0</v>
      </c>
      <c r="CT65" s="12">
        <f>+SUM(CT66:CT71)</f>
        <v>0</v>
      </c>
      <c r="DA65" s="12">
        <f>+SUM(DA66:DA71)</f>
        <v>0</v>
      </c>
      <c r="DH65" s="12">
        <f>+SUM(DH66:DH71)</f>
        <v>0</v>
      </c>
      <c r="DO65" s="12">
        <f>+SUM(DO66:DO71)</f>
        <v>0</v>
      </c>
      <c r="DV65" s="12">
        <f>+SUM(DV66:DV71)</f>
        <v>0</v>
      </c>
      <c r="EC65" s="12">
        <f>+SUM(EC66:EC71)</f>
        <v>0</v>
      </c>
      <c r="EJ65" s="12">
        <f>+SUM(EJ66:EJ71)</f>
        <v>0</v>
      </c>
      <c r="EO65" t="s">
        <v>176</v>
      </c>
      <c r="EQ65" s="12">
        <f>+SUM(EQ66:EQ71)</f>
        <v>0</v>
      </c>
    </row>
    <row r="66" spans="2:151" outlineLevel="1" x14ac:dyDescent="0.2">
      <c r="B66" t="s">
        <v>28</v>
      </c>
      <c r="C66" t="s">
        <v>89</v>
      </c>
      <c r="E66" s="9"/>
      <c r="F66" t="s">
        <v>92</v>
      </c>
      <c r="G66" s="10">
        <v>0.16666666666666669</v>
      </c>
      <c r="I66" s="9">
        <f t="shared" ref="I66:I71" si="4">+SUMIF($N$3:$XO$3,I$3,$N66:$XO66)</f>
        <v>0</v>
      </c>
      <c r="J66" s="11" cm="1">
        <f t="array" ref="J66">MAX(IF($N$3:$BW$3=$J$3,N66:BW66))</f>
        <v>0</v>
      </c>
      <c r="K66" s="11" cm="1">
        <f t="array" ref="K66">MAX(IF($N$3:$BW$3=$J$3,N66:BW66))</f>
        <v>0</v>
      </c>
      <c r="L66" s="9" t="s">
        <v>216</v>
      </c>
      <c r="O66" s="10"/>
      <c r="P66" s="10">
        <v>0.5</v>
      </c>
      <c r="Q66" s="10"/>
      <c r="R66" s="10">
        <v>0.5</v>
      </c>
      <c r="S66" t="s">
        <v>195</v>
      </c>
      <c r="V66" s="10"/>
      <c r="W66" s="10">
        <v>0.8</v>
      </c>
      <c r="X66" s="10"/>
      <c r="Y66" s="10">
        <v>0.8</v>
      </c>
      <c r="Z66" t="s">
        <v>195</v>
      </c>
      <c r="AC66" s="10"/>
      <c r="AD66" s="10">
        <v>0.8</v>
      </c>
      <c r="AE66" s="10"/>
      <c r="AF66" s="10">
        <v>0.8</v>
      </c>
      <c r="AG66" t="s">
        <v>195</v>
      </c>
      <c r="AJ66" s="10"/>
      <c r="AK66" s="10">
        <v>0.8</v>
      </c>
      <c r="AL66" s="10"/>
      <c r="AM66" s="10">
        <v>0.8</v>
      </c>
      <c r="AN66" t="s">
        <v>195</v>
      </c>
      <c r="AQ66" s="10"/>
      <c r="AR66" s="10">
        <v>0.8</v>
      </c>
      <c r="AS66" s="10"/>
      <c r="AT66" s="10">
        <v>0.8</v>
      </c>
      <c r="AU66" t="s">
        <v>191</v>
      </c>
      <c r="AX66" s="10"/>
      <c r="AY66" s="10">
        <v>0.8</v>
      </c>
      <c r="AZ66" s="10"/>
      <c r="BA66" s="10">
        <v>0.8</v>
      </c>
      <c r="BB66" t="s">
        <v>195</v>
      </c>
      <c r="BE66" s="10"/>
      <c r="BF66" s="10">
        <v>0.8</v>
      </c>
      <c r="BG66" s="10"/>
      <c r="BH66" s="10">
        <v>0.8</v>
      </c>
      <c r="BI66" t="s">
        <v>195</v>
      </c>
      <c r="BL66" s="10"/>
      <c r="BM66" s="10">
        <v>0.8</v>
      </c>
      <c r="BN66" s="10"/>
      <c r="BO66" s="10">
        <v>0.8</v>
      </c>
      <c r="BP66" t="s">
        <v>195</v>
      </c>
      <c r="BS66" s="10"/>
      <c r="BT66" s="10">
        <v>1</v>
      </c>
      <c r="BU66" s="10"/>
      <c r="BV66" s="10">
        <v>1</v>
      </c>
      <c r="BW66" t="s">
        <v>195</v>
      </c>
      <c r="BZ66" s="10"/>
      <c r="CA66" s="10">
        <v>1</v>
      </c>
      <c r="CB66" s="10"/>
      <c r="CC66" s="10">
        <v>1</v>
      </c>
      <c r="CD66" t="s">
        <v>191</v>
      </c>
      <c r="CG66" s="10"/>
      <c r="CH66" s="10">
        <v>1</v>
      </c>
      <c r="CI66" s="10"/>
      <c r="CJ66" s="10">
        <v>1</v>
      </c>
      <c r="CK66" t="s">
        <v>195</v>
      </c>
      <c r="CN66" s="10"/>
      <c r="CO66" s="10">
        <v>1</v>
      </c>
      <c r="CP66" s="10"/>
      <c r="CQ66" s="10">
        <v>1</v>
      </c>
      <c r="CR66" t="s">
        <v>195</v>
      </c>
      <c r="CU66" s="10"/>
      <c r="CV66" s="10">
        <v>1</v>
      </c>
      <c r="CW66" s="10"/>
      <c r="CX66" s="10">
        <v>1</v>
      </c>
      <c r="CY66" t="s">
        <v>195</v>
      </c>
      <c r="DB66" s="10"/>
      <c r="DC66" s="10">
        <v>1</v>
      </c>
      <c r="DD66" s="10"/>
      <c r="DE66" s="10">
        <v>1</v>
      </c>
      <c r="DF66" t="s">
        <v>195</v>
      </c>
      <c r="DI66" s="10"/>
      <c r="DJ66" s="10">
        <v>1</v>
      </c>
      <c r="DK66" s="10"/>
      <c r="DL66" s="10">
        <v>1</v>
      </c>
      <c r="DM66" t="s">
        <v>191</v>
      </c>
      <c r="DP66" s="10"/>
      <c r="DQ66" s="10"/>
      <c r="DR66" s="10"/>
      <c r="DS66" s="10"/>
      <c r="DW66" s="10"/>
      <c r="DX66" s="10"/>
      <c r="DY66" s="10"/>
      <c r="DZ66" s="10"/>
      <c r="ED66" s="10"/>
      <c r="EE66" s="10"/>
      <c r="EF66" s="10"/>
      <c r="EG66" s="10"/>
      <c r="EK66" s="10"/>
      <c r="EL66" s="10"/>
      <c r="EM66" s="10"/>
      <c r="EN66" s="10"/>
      <c r="ER66" s="10"/>
      <c r="ES66" s="10"/>
      <c r="ET66" s="10"/>
      <c r="EU66" s="10"/>
    </row>
    <row r="67" spans="2:151" outlineLevel="1" x14ac:dyDescent="0.2">
      <c r="B67" t="s">
        <v>28</v>
      </c>
      <c r="C67" t="s">
        <v>89</v>
      </c>
      <c r="E67" s="9"/>
      <c r="F67" t="s">
        <v>93</v>
      </c>
      <c r="G67" s="10">
        <v>0.16666666666666669</v>
      </c>
      <c r="I67" s="9">
        <f t="shared" si="4"/>
        <v>0</v>
      </c>
      <c r="J67" s="11" cm="1">
        <f t="array" ref="J67">MAX(IF($N$3:$BW$3=$J$3,N67:BW67))</f>
        <v>0</v>
      </c>
      <c r="K67" s="11" cm="1">
        <f t="array" ref="K67">MAX(IF($N$3:$BW$3=$J$3,N67:BW67))</f>
        <v>0</v>
      </c>
      <c r="L67" s="9"/>
      <c r="O67" s="10"/>
      <c r="P67" s="10"/>
      <c r="Q67" s="10"/>
      <c r="R67" s="10"/>
      <c r="V67" s="10"/>
      <c r="W67" s="10"/>
      <c r="X67" s="10"/>
      <c r="Y67" s="10"/>
      <c r="AC67" s="10"/>
      <c r="AD67" s="10">
        <v>0.5</v>
      </c>
      <c r="AE67" s="10"/>
      <c r="AF67" s="10">
        <v>0.5</v>
      </c>
      <c r="AJ67" s="10"/>
      <c r="AK67" s="10">
        <v>0.5</v>
      </c>
      <c r="AL67" s="10"/>
      <c r="AM67" s="10">
        <v>0.5</v>
      </c>
      <c r="AQ67" s="10"/>
      <c r="AR67" s="10">
        <v>0.8</v>
      </c>
      <c r="AS67" s="10"/>
      <c r="AT67" s="10">
        <v>0.8</v>
      </c>
      <c r="AX67" s="10"/>
      <c r="AY67" s="10">
        <v>0.8</v>
      </c>
      <c r="AZ67" s="10"/>
      <c r="BA67" s="10">
        <v>0.8</v>
      </c>
      <c r="BE67" s="10"/>
      <c r="BF67" s="10">
        <v>0.8</v>
      </c>
      <c r="BG67" s="10"/>
      <c r="BH67" s="10">
        <v>0.8</v>
      </c>
      <c r="BL67" s="10"/>
      <c r="BM67" s="10">
        <v>0.8</v>
      </c>
      <c r="BN67" s="10"/>
      <c r="BO67" s="10">
        <v>0.8</v>
      </c>
      <c r="BS67" s="10"/>
      <c r="BT67" s="10">
        <v>0.8</v>
      </c>
      <c r="BU67" s="10"/>
      <c r="BV67" s="10">
        <v>0.8</v>
      </c>
      <c r="BZ67" s="10"/>
      <c r="CA67" s="10">
        <v>1</v>
      </c>
      <c r="CB67" s="10"/>
      <c r="CC67" s="10">
        <v>1</v>
      </c>
      <c r="CG67" s="10"/>
      <c r="CH67" s="10">
        <v>1</v>
      </c>
      <c r="CI67" s="10"/>
      <c r="CJ67" s="10">
        <v>1</v>
      </c>
      <c r="CN67" s="10"/>
      <c r="CO67" s="10">
        <v>1</v>
      </c>
      <c r="CP67" s="10"/>
      <c r="CQ67" s="10">
        <v>1</v>
      </c>
      <c r="CU67" s="10"/>
      <c r="CV67" s="10">
        <v>1</v>
      </c>
      <c r="CW67" s="10"/>
      <c r="CX67" s="10">
        <v>1</v>
      </c>
      <c r="DB67" s="10"/>
      <c r="DC67" s="10">
        <v>1</v>
      </c>
      <c r="DD67" s="10"/>
      <c r="DE67" s="10">
        <v>1</v>
      </c>
      <c r="DI67" s="10"/>
      <c r="DJ67" s="10">
        <v>1</v>
      </c>
      <c r="DK67" s="10"/>
      <c r="DL67" s="10">
        <v>1</v>
      </c>
      <c r="DP67" s="10"/>
      <c r="DQ67" s="10"/>
      <c r="DR67" s="10"/>
      <c r="DS67" s="10"/>
      <c r="DW67" s="10"/>
      <c r="DX67" s="10"/>
      <c r="DY67" s="10"/>
      <c r="DZ67" s="10"/>
      <c r="ED67" s="10"/>
      <c r="EE67" s="10"/>
      <c r="EF67" s="10"/>
      <c r="EG67" s="10"/>
      <c r="EK67" s="10"/>
      <c r="EL67" s="10"/>
      <c r="EM67" s="10"/>
      <c r="EN67" s="10"/>
      <c r="ER67" s="10"/>
      <c r="ES67" s="10"/>
      <c r="ET67" s="10"/>
      <c r="EU67" s="10"/>
    </row>
    <row r="68" spans="2:151" outlineLevel="1" x14ac:dyDescent="0.2">
      <c r="B68" t="s">
        <v>28</v>
      </c>
      <c r="C68" t="s">
        <v>89</v>
      </c>
      <c r="E68" s="9"/>
      <c r="F68" t="s">
        <v>94</v>
      </c>
      <c r="G68" s="10">
        <v>0.16666666666666669</v>
      </c>
      <c r="I68" s="9">
        <f t="shared" si="4"/>
        <v>0</v>
      </c>
      <c r="J68" s="11" cm="1">
        <f t="array" ref="J68">MAX(IF($N$3:$BW$3=$J$3,N68:BW68))</f>
        <v>0</v>
      </c>
      <c r="K68" s="11" cm="1">
        <f t="array" ref="K68">MAX(IF($N$3:$BW$3=$J$3,N68:BW68))</f>
        <v>0</v>
      </c>
      <c r="L68" s="9"/>
      <c r="O68" s="10"/>
      <c r="P68" s="10"/>
      <c r="Q68" s="10"/>
      <c r="R68" s="10"/>
      <c r="V68" s="10"/>
      <c r="W68" s="10"/>
      <c r="X68" s="10"/>
      <c r="Y68" s="10"/>
      <c r="AC68" s="10"/>
      <c r="AD68" s="10"/>
      <c r="AE68" s="10"/>
      <c r="AF68" s="10"/>
      <c r="AJ68" s="10"/>
      <c r="AK68" s="10">
        <v>0.5</v>
      </c>
      <c r="AL68" s="10"/>
      <c r="AM68" s="10">
        <v>0.5</v>
      </c>
      <c r="AQ68" s="10"/>
      <c r="AR68" s="10">
        <v>0.5</v>
      </c>
      <c r="AS68" s="10"/>
      <c r="AT68" s="10">
        <v>0.5</v>
      </c>
      <c r="AX68" s="10"/>
      <c r="AY68" s="10">
        <v>0.5</v>
      </c>
      <c r="AZ68" s="10"/>
      <c r="BA68" s="10">
        <v>0.5</v>
      </c>
      <c r="BE68" s="10"/>
      <c r="BF68" s="10">
        <v>0.8</v>
      </c>
      <c r="BG68" s="10"/>
      <c r="BH68" s="10">
        <v>0.8</v>
      </c>
      <c r="BL68" s="10"/>
      <c r="BM68" s="10">
        <v>0.8</v>
      </c>
      <c r="BN68" s="10"/>
      <c r="BO68" s="10">
        <v>0.8</v>
      </c>
      <c r="BS68" s="10"/>
      <c r="BT68" s="10">
        <v>0.8</v>
      </c>
      <c r="BU68" s="10"/>
      <c r="BV68" s="10">
        <v>0.8</v>
      </c>
      <c r="BZ68" s="10"/>
      <c r="CA68" s="10">
        <v>0.8</v>
      </c>
      <c r="CB68" s="10"/>
      <c r="CC68" s="10">
        <v>0.8</v>
      </c>
      <c r="CG68" s="10"/>
      <c r="CH68" s="10">
        <v>0.8</v>
      </c>
      <c r="CI68" s="10"/>
      <c r="CJ68" s="10">
        <v>0.8</v>
      </c>
      <c r="CN68" s="10"/>
      <c r="CO68" s="10">
        <v>1</v>
      </c>
      <c r="CP68" s="10"/>
      <c r="CQ68" s="10">
        <v>1</v>
      </c>
      <c r="CU68" s="10"/>
      <c r="CV68" s="10">
        <v>1</v>
      </c>
      <c r="CW68" s="10"/>
      <c r="CX68" s="10">
        <v>1</v>
      </c>
      <c r="DB68" s="10"/>
      <c r="DC68" s="10">
        <v>1</v>
      </c>
      <c r="DD68" s="10"/>
      <c r="DE68" s="10">
        <v>1</v>
      </c>
      <c r="DI68" s="10"/>
      <c r="DJ68" s="10">
        <v>1</v>
      </c>
      <c r="DK68" s="10"/>
      <c r="DL68" s="10">
        <v>1</v>
      </c>
      <c r="DP68" s="10"/>
      <c r="DQ68" s="10"/>
      <c r="DR68" s="10"/>
      <c r="DS68" s="10"/>
      <c r="DW68" s="10"/>
      <c r="DX68" s="10"/>
      <c r="DY68" s="10"/>
      <c r="DZ68" s="10"/>
      <c r="ED68" s="10"/>
      <c r="EE68" s="10"/>
      <c r="EF68" s="10"/>
      <c r="EG68" s="10"/>
      <c r="EK68" s="10"/>
      <c r="EL68" s="10"/>
      <c r="EM68" s="10"/>
      <c r="EN68" s="10"/>
      <c r="ER68" s="10"/>
      <c r="ES68" s="10"/>
      <c r="ET68" s="10"/>
      <c r="EU68" s="10"/>
    </row>
    <row r="69" spans="2:151" outlineLevel="1" x14ac:dyDescent="0.2">
      <c r="B69" t="s">
        <v>28</v>
      </c>
      <c r="C69" t="s">
        <v>89</v>
      </c>
      <c r="E69" s="9"/>
      <c r="F69" t="s">
        <v>95</v>
      </c>
      <c r="G69" s="10">
        <v>0.16666666666666669</v>
      </c>
      <c r="I69" s="9">
        <f t="shared" si="4"/>
        <v>0</v>
      </c>
      <c r="J69" s="11" cm="1">
        <f t="array" ref="J69">MAX(IF($N$3:$BW$3=$J$3,N69:BW69))</f>
        <v>0</v>
      </c>
      <c r="K69" s="11" cm="1">
        <f t="array" ref="K69">MAX(IF($N$3:$BW$3=$J$3,N69:BW69))</f>
        <v>0</v>
      </c>
      <c r="L69" s="9"/>
      <c r="O69" s="10"/>
      <c r="P69" s="10"/>
      <c r="Q69" s="10"/>
      <c r="R69" s="10"/>
      <c r="V69" s="10"/>
      <c r="W69" s="10"/>
      <c r="X69" s="10"/>
      <c r="Y69" s="10"/>
      <c r="AC69" s="10"/>
      <c r="AD69" s="10"/>
      <c r="AE69" s="10"/>
      <c r="AF69" s="10"/>
      <c r="AJ69" s="10"/>
      <c r="AK69" s="10"/>
      <c r="AL69" s="10"/>
      <c r="AM69" s="10"/>
      <c r="AQ69" s="10"/>
      <c r="AR69" s="10">
        <v>0.5</v>
      </c>
      <c r="AS69" s="10"/>
      <c r="AT69" s="10">
        <v>0.5</v>
      </c>
      <c r="AX69" s="10"/>
      <c r="AY69" s="10">
        <v>0.5</v>
      </c>
      <c r="AZ69" s="10"/>
      <c r="BA69" s="10">
        <v>0.5</v>
      </c>
      <c r="BE69" s="10"/>
      <c r="BF69" s="10">
        <v>0.5</v>
      </c>
      <c r="BG69" s="10"/>
      <c r="BH69" s="10">
        <v>0.5</v>
      </c>
      <c r="BL69" s="10"/>
      <c r="BM69" s="10">
        <v>0.5</v>
      </c>
      <c r="BN69" s="10"/>
      <c r="BO69" s="10">
        <v>0.5</v>
      </c>
      <c r="BS69" s="10"/>
      <c r="BT69" s="10">
        <v>0.5</v>
      </c>
      <c r="BU69" s="10"/>
      <c r="BV69" s="10">
        <v>0.5</v>
      </c>
      <c r="BZ69" s="10"/>
      <c r="CA69" s="10">
        <v>0.8</v>
      </c>
      <c r="CB69" s="10"/>
      <c r="CC69" s="10">
        <v>0.8</v>
      </c>
      <c r="CG69" s="10"/>
      <c r="CH69" s="10">
        <v>0.8</v>
      </c>
      <c r="CI69" s="10"/>
      <c r="CJ69" s="10">
        <v>0.8</v>
      </c>
      <c r="CN69" s="10"/>
      <c r="CO69" s="10">
        <v>0.8</v>
      </c>
      <c r="CP69" s="10"/>
      <c r="CQ69" s="10">
        <v>0.8</v>
      </c>
      <c r="CU69" s="10"/>
      <c r="CV69" s="10">
        <v>0.8</v>
      </c>
      <c r="CW69" s="10"/>
      <c r="CX69" s="10">
        <v>0.8</v>
      </c>
      <c r="DB69" s="10"/>
      <c r="DC69" s="10">
        <v>1</v>
      </c>
      <c r="DD69" s="10"/>
      <c r="DE69" s="10">
        <v>1</v>
      </c>
      <c r="DI69" s="10"/>
      <c r="DJ69" s="10">
        <v>1</v>
      </c>
      <c r="DK69" s="10"/>
      <c r="DL69" s="10">
        <v>1</v>
      </c>
      <c r="DP69" s="10"/>
      <c r="DQ69" s="10"/>
      <c r="DR69" s="10"/>
      <c r="DS69" s="10"/>
      <c r="DW69" s="10"/>
      <c r="DX69" s="10"/>
      <c r="DY69" s="10"/>
      <c r="DZ69" s="10"/>
      <c r="ED69" s="10"/>
      <c r="EE69" s="10"/>
      <c r="EF69" s="10"/>
      <c r="EG69" s="10"/>
      <c r="EK69" s="10"/>
      <c r="EL69" s="10"/>
      <c r="EM69" s="10"/>
      <c r="EN69" s="10"/>
      <c r="ER69" s="10"/>
      <c r="ES69" s="10"/>
      <c r="ET69" s="10"/>
      <c r="EU69" s="10"/>
    </row>
    <row r="70" spans="2:151" outlineLevel="1" x14ac:dyDescent="0.2">
      <c r="B70" t="s">
        <v>28</v>
      </c>
      <c r="C70" t="s">
        <v>89</v>
      </c>
      <c r="E70" s="9"/>
      <c r="F70" t="s">
        <v>96</v>
      </c>
      <c r="G70" s="10">
        <v>0.16666666666666669</v>
      </c>
      <c r="I70" s="9">
        <f t="shared" si="4"/>
        <v>0</v>
      </c>
      <c r="J70" s="11" cm="1">
        <f t="array" ref="J70">MAX(IF($N$3:$BW$3=$J$3,N70:BW70))</f>
        <v>0</v>
      </c>
      <c r="K70" s="11" cm="1">
        <f t="array" ref="K70">MAX(IF($N$3:$BW$3=$J$3,N70:BW70))</f>
        <v>0</v>
      </c>
      <c r="L70" s="9"/>
      <c r="O70" s="10"/>
      <c r="P70" s="10"/>
      <c r="Q70" s="10"/>
      <c r="R70" s="10"/>
      <c r="V70" s="10"/>
      <c r="W70" s="10"/>
      <c r="X70" s="10"/>
      <c r="Y70" s="10"/>
      <c r="AC70" s="10"/>
      <c r="AD70" s="10"/>
      <c r="AE70" s="10"/>
      <c r="AF70" s="10"/>
      <c r="AJ70" s="10"/>
      <c r="AK70" s="10"/>
      <c r="AL70" s="10"/>
      <c r="AM70" s="10"/>
      <c r="AQ70" s="10"/>
      <c r="AR70" s="10"/>
      <c r="AS70" s="10"/>
      <c r="AT70" s="10"/>
      <c r="AX70" s="10"/>
      <c r="AY70" s="10">
        <v>0.5</v>
      </c>
      <c r="AZ70" s="10"/>
      <c r="BA70" s="10">
        <v>0.5</v>
      </c>
      <c r="BE70" s="10"/>
      <c r="BF70" s="10">
        <v>0.5</v>
      </c>
      <c r="BG70" s="10"/>
      <c r="BH70" s="10">
        <v>0.5</v>
      </c>
      <c r="BL70" s="10"/>
      <c r="BM70" s="10">
        <v>0.5</v>
      </c>
      <c r="BN70" s="10"/>
      <c r="BO70" s="10">
        <v>0.5</v>
      </c>
      <c r="BS70" s="10"/>
      <c r="BT70" s="10">
        <v>0.5</v>
      </c>
      <c r="BU70" s="10"/>
      <c r="BV70" s="10">
        <v>0.5</v>
      </c>
      <c r="BZ70" s="10"/>
      <c r="CA70" s="10">
        <v>0.5</v>
      </c>
      <c r="CB70" s="10"/>
      <c r="CC70" s="10">
        <v>0.5</v>
      </c>
      <c r="CG70" s="10"/>
      <c r="CH70" s="10">
        <v>0.8</v>
      </c>
      <c r="CI70" s="10"/>
      <c r="CJ70" s="10">
        <v>0.8</v>
      </c>
      <c r="CN70" s="10"/>
      <c r="CO70" s="10">
        <v>0.8</v>
      </c>
      <c r="CP70" s="10"/>
      <c r="CQ70" s="10">
        <v>0.8</v>
      </c>
      <c r="CU70" s="10"/>
      <c r="CV70" s="10">
        <v>0.8</v>
      </c>
      <c r="CW70" s="10"/>
      <c r="CX70" s="10">
        <v>0.8</v>
      </c>
      <c r="DB70" s="10"/>
      <c r="DC70" s="10">
        <v>0.8</v>
      </c>
      <c r="DD70" s="10"/>
      <c r="DE70" s="10">
        <v>0.8</v>
      </c>
      <c r="DI70" s="10"/>
      <c r="DJ70" s="10">
        <v>1</v>
      </c>
      <c r="DK70" s="10"/>
      <c r="DL70" s="10">
        <v>1</v>
      </c>
      <c r="DP70" s="10"/>
      <c r="DQ70" s="10"/>
      <c r="DR70" s="10"/>
      <c r="DS70" s="10"/>
      <c r="DW70" s="10"/>
      <c r="DX70" s="10"/>
      <c r="DY70" s="10"/>
      <c r="DZ70" s="10"/>
      <c r="ED70" s="10"/>
      <c r="EE70" s="10"/>
      <c r="EF70" s="10"/>
      <c r="EG70" s="10"/>
      <c r="EK70" s="10"/>
      <c r="EL70" s="10"/>
      <c r="EM70" s="10"/>
      <c r="EN70" s="10"/>
      <c r="ER70" s="10"/>
      <c r="ES70" s="10"/>
      <c r="ET70" s="10"/>
      <c r="EU70" s="10"/>
    </row>
    <row r="71" spans="2:151" outlineLevel="1" x14ac:dyDescent="0.2">
      <c r="B71" t="s">
        <v>28</v>
      </c>
      <c r="C71" t="s">
        <v>89</v>
      </c>
      <c r="E71" s="9"/>
      <c r="F71" t="s">
        <v>97</v>
      </c>
      <c r="G71" s="10">
        <v>0.16666666666666669</v>
      </c>
      <c r="I71" s="9">
        <f t="shared" si="4"/>
        <v>0</v>
      </c>
      <c r="J71" s="11" cm="1">
        <f t="array" ref="J71">MAX(IF($N$3:$BW$3=$J$3,N71:BW71))</f>
        <v>0</v>
      </c>
      <c r="K71" s="11" cm="1">
        <f t="array" ref="K71">MAX(IF($N$3:$BW$3=$J$3,N71:BW71))</f>
        <v>0</v>
      </c>
      <c r="L71" s="9"/>
      <c r="O71" s="10"/>
      <c r="P71" s="10"/>
      <c r="Q71" s="10"/>
      <c r="R71" s="10"/>
      <c r="V71" s="10"/>
      <c r="W71" s="10"/>
      <c r="X71" s="10"/>
      <c r="Y71" s="10"/>
      <c r="AC71" s="10"/>
      <c r="AD71" s="10"/>
      <c r="AE71" s="10"/>
      <c r="AF71" s="10"/>
      <c r="AJ71" s="10"/>
      <c r="AK71" s="10"/>
      <c r="AL71" s="10"/>
      <c r="AM71" s="10"/>
      <c r="AQ71" s="10"/>
      <c r="AR71" s="10"/>
      <c r="AS71" s="10"/>
      <c r="AT71" s="10"/>
      <c r="AX71" s="10"/>
      <c r="AY71" s="10"/>
      <c r="AZ71" s="10"/>
      <c r="BA71" s="10"/>
      <c r="BE71" s="10"/>
      <c r="BF71" s="10"/>
      <c r="BG71" s="10"/>
      <c r="BH71" s="10"/>
      <c r="BL71" s="10"/>
      <c r="BM71" s="10">
        <v>0.5</v>
      </c>
      <c r="BN71" s="10"/>
      <c r="BO71" s="10">
        <v>0.5</v>
      </c>
      <c r="BS71" s="10"/>
      <c r="BT71" s="10">
        <v>0.5</v>
      </c>
      <c r="BU71" s="10"/>
      <c r="BV71" s="10">
        <v>0.5</v>
      </c>
      <c r="BZ71" s="10"/>
      <c r="CA71" s="10">
        <v>0.5</v>
      </c>
      <c r="CB71" s="10"/>
      <c r="CC71" s="10">
        <v>0.5</v>
      </c>
      <c r="CG71" s="10"/>
      <c r="CH71" s="10">
        <v>0.5</v>
      </c>
      <c r="CI71" s="10"/>
      <c r="CJ71" s="10">
        <v>0.5</v>
      </c>
      <c r="CN71" s="10"/>
      <c r="CO71" s="10">
        <v>0.5</v>
      </c>
      <c r="CP71" s="10"/>
      <c r="CQ71" s="10">
        <v>0.5</v>
      </c>
      <c r="CU71" s="10"/>
      <c r="CV71" s="10">
        <v>0.8</v>
      </c>
      <c r="CW71" s="10"/>
      <c r="CX71" s="10">
        <v>0.8</v>
      </c>
      <c r="DB71" s="10"/>
      <c r="DC71" s="10">
        <v>0.8</v>
      </c>
      <c r="DD71" s="10"/>
      <c r="DE71" s="10">
        <v>0.8</v>
      </c>
      <c r="DI71" s="10"/>
      <c r="DJ71" s="10">
        <v>1</v>
      </c>
      <c r="DK71" s="10"/>
      <c r="DL71" s="10">
        <v>1</v>
      </c>
      <c r="DP71" s="10"/>
      <c r="DQ71" s="10"/>
      <c r="DR71" s="10"/>
      <c r="DS71" s="10"/>
      <c r="DW71" s="10"/>
      <c r="DX71" s="10"/>
      <c r="DY71" s="10"/>
      <c r="DZ71" s="10"/>
      <c r="ED71" s="10"/>
      <c r="EE71" s="10"/>
      <c r="EF71" s="10"/>
      <c r="EG71" s="10"/>
      <c r="EK71" s="10"/>
      <c r="EL71" s="10"/>
      <c r="EM71" s="10"/>
      <c r="EN71" s="10"/>
      <c r="ER71" s="10"/>
      <c r="ES71" s="10"/>
      <c r="ET71" s="10"/>
      <c r="EU71" s="10"/>
    </row>
    <row r="73" spans="2:151" x14ac:dyDescent="0.2">
      <c r="B73" t="s">
        <v>27</v>
      </c>
      <c r="C73" t="s">
        <v>190</v>
      </c>
      <c r="D73" s="19">
        <v>46072</v>
      </c>
      <c r="E73" s="9">
        <v>0.5</v>
      </c>
      <c r="G73" s="10">
        <f>+SUM(G74:G79)</f>
        <v>1.0000000000000007</v>
      </c>
      <c r="I73" s="12">
        <f>+SUM(I74:I79)</f>
        <v>0</v>
      </c>
      <c r="J73" s="11">
        <f>+SUMPRODUCT(G74:G79,J74:J79)</f>
        <v>0</v>
      </c>
      <c r="K73" s="11">
        <f>+SUMPRODUCT(G74:G79,K74:K79)</f>
        <v>0</v>
      </c>
      <c r="L73" s="9" t="s">
        <v>183</v>
      </c>
      <c r="N73" s="12">
        <f>+SUM(N74:N79)</f>
        <v>0</v>
      </c>
      <c r="U73" s="12">
        <f>+SUM(U74:U79)</f>
        <v>0</v>
      </c>
      <c r="AB73" s="12">
        <f>+SUM(AB74:AB79)</f>
        <v>0</v>
      </c>
      <c r="AI73" s="12">
        <f>+SUM(AI74:AI79)</f>
        <v>0</v>
      </c>
      <c r="AP73" s="12">
        <f>+SUM(AP74:AP79)</f>
        <v>0</v>
      </c>
      <c r="AW73" s="12">
        <f>+SUM(AW74:AW79)</f>
        <v>0</v>
      </c>
      <c r="BD73" s="12">
        <f>+SUM(BD74:BD79)</f>
        <v>0</v>
      </c>
      <c r="BK73" s="12">
        <f>+SUM(BK74:BK79)</f>
        <v>0</v>
      </c>
      <c r="BR73" s="12">
        <f>+SUM(BR74:BR79)</f>
        <v>0</v>
      </c>
      <c r="BY73" s="12">
        <f>+SUM(BY74:BY79)</f>
        <v>0</v>
      </c>
      <c r="CF73" s="12">
        <f>+SUM(CF74:CF79)</f>
        <v>0</v>
      </c>
      <c r="CM73" s="12">
        <f>+SUM(CM74:CM79)</f>
        <v>0</v>
      </c>
      <c r="CT73" s="12">
        <f>+SUM(CT74:CT79)</f>
        <v>0</v>
      </c>
      <c r="DA73" s="12">
        <f>+SUM(DA74:DA79)</f>
        <v>0</v>
      </c>
      <c r="DH73" s="12">
        <f>+SUM(DH74:DH79)</f>
        <v>0</v>
      </c>
      <c r="DO73" s="12">
        <f>+SUM(DO74:DO79)</f>
        <v>0</v>
      </c>
      <c r="DV73" s="12">
        <f>+SUM(DV74:DV79)</f>
        <v>0</v>
      </c>
      <c r="EC73" s="12">
        <f>+SUM(EC74:EC79)</f>
        <v>0</v>
      </c>
      <c r="EJ73" s="12">
        <f>+SUM(EJ74:EJ79)</f>
        <v>0</v>
      </c>
      <c r="EO73" t="s">
        <v>176</v>
      </c>
      <c r="EQ73" s="12">
        <f>+SUM(EQ74:EQ79)</f>
        <v>0</v>
      </c>
    </row>
    <row r="74" spans="2:151" outlineLevel="1" x14ac:dyDescent="0.2">
      <c r="B74" t="s">
        <v>28</v>
      </c>
      <c r="C74" t="s">
        <v>190</v>
      </c>
      <c r="E74" s="9"/>
      <c r="F74" t="s">
        <v>98</v>
      </c>
      <c r="G74" s="10">
        <v>0.16666666666666699</v>
      </c>
      <c r="I74" s="9">
        <f t="shared" ref="I74:I79" si="5">+SUMIF($N$3:$XO$3,I$3,$N74:$XO74)</f>
        <v>0</v>
      </c>
      <c r="J74" s="11" cm="1">
        <f t="array" ref="J74">MAX(IF($N$3:$BW$3=$J$3,N74:BW74))</f>
        <v>0</v>
      </c>
      <c r="K74" s="11" cm="1">
        <f t="array" ref="K74">MAX(IF($N$3:$BW$3=$J$3,N74:BW74))</f>
        <v>0</v>
      </c>
      <c r="L74" s="9" t="s">
        <v>217</v>
      </c>
      <c r="O74" s="10"/>
      <c r="P74" s="10"/>
      <c r="Q74" s="10"/>
      <c r="R74" s="10"/>
      <c r="V74" s="10"/>
      <c r="W74" s="10"/>
      <c r="X74" s="10"/>
      <c r="Y74" s="10"/>
      <c r="AC74" s="10"/>
      <c r="AD74" s="10"/>
      <c r="AE74" s="10"/>
      <c r="AF74" s="10"/>
      <c r="AJ74" s="10"/>
      <c r="AK74" s="10"/>
      <c r="AL74" s="10"/>
      <c r="AM74" s="10"/>
      <c r="AQ74" s="10"/>
      <c r="AR74" s="10"/>
      <c r="AS74" s="10"/>
      <c r="AT74" s="10"/>
      <c r="AX74" s="10"/>
      <c r="AY74" s="10"/>
      <c r="AZ74" s="10"/>
      <c r="BA74" s="10"/>
      <c r="BE74" s="10"/>
      <c r="BF74" s="10"/>
      <c r="BG74" s="10"/>
      <c r="BH74" s="10"/>
      <c r="BL74" s="10"/>
      <c r="BM74" s="10">
        <v>0.8</v>
      </c>
      <c r="BN74" s="10"/>
      <c r="BO74" s="10">
        <v>0.8</v>
      </c>
      <c r="BP74" t="s">
        <v>191</v>
      </c>
      <c r="BS74" s="10"/>
      <c r="BT74" s="10">
        <v>0.8</v>
      </c>
      <c r="BU74" s="10"/>
      <c r="BV74" s="10">
        <v>0.8</v>
      </c>
      <c r="BW74" t="s">
        <v>191</v>
      </c>
      <c r="BZ74" s="10"/>
      <c r="CA74" s="10">
        <v>0.8</v>
      </c>
      <c r="CB74" s="10"/>
      <c r="CC74" s="10">
        <v>0.8</v>
      </c>
      <c r="CD74" t="s">
        <v>191</v>
      </c>
      <c r="CG74" s="10"/>
      <c r="CH74" s="10">
        <v>1</v>
      </c>
      <c r="CI74" s="10"/>
      <c r="CJ74" s="10">
        <v>1</v>
      </c>
      <c r="CK74" t="s">
        <v>191</v>
      </c>
      <c r="CN74" s="10"/>
      <c r="CO74" s="10">
        <v>1</v>
      </c>
      <c r="CP74" s="10"/>
      <c r="CQ74" s="10">
        <v>1</v>
      </c>
      <c r="CR74" t="s">
        <v>191</v>
      </c>
      <c r="CU74" s="10"/>
      <c r="CV74" s="10">
        <v>1</v>
      </c>
      <c r="CW74" s="10"/>
      <c r="CX74" s="10">
        <v>1</v>
      </c>
      <c r="CY74" t="s">
        <v>195</v>
      </c>
      <c r="DB74" s="10"/>
      <c r="DC74" s="10">
        <v>1</v>
      </c>
      <c r="DD74" s="10"/>
      <c r="DE74" s="10">
        <v>1</v>
      </c>
      <c r="DF74" t="s">
        <v>195</v>
      </c>
      <c r="DI74" s="10"/>
      <c r="DJ74" s="10">
        <v>1</v>
      </c>
      <c r="DK74" s="10"/>
      <c r="DL74" s="10">
        <v>1</v>
      </c>
      <c r="DM74" t="s">
        <v>193</v>
      </c>
      <c r="DP74" s="10"/>
      <c r="DQ74" s="10">
        <v>1</v>
      </c>
      <c r="DR74" s="10"/>
      <c r="DS74" s="10">
        <v>1</v>
      </c>
      <c r="DT74" t="s">
        <v>193</v>
      </c>
      <c r="DW74" s="10"/>
      <c r="DX74" s="10"/>
      <c r="DY74" s="10"/>
      <c r="DZ74" s="10"/>
      <c r="ED74" s="10"/>
      <c r="EE74" s="10"/>
      <c r="EF74" s="10"/>
      <c r="EG74" s="10"/>
      <c r="EK74" s="10"/>
      <c r="EL74" s="10"/>
      <c r="EM74" s="10"/>
      <c r="EN74" s="10"/>
      <c r="ER74" s="10"/>
      <c r="ES74" s="10"/>
      <c r="ET74" s="10"/>
      <c r="EU74" s="10"/>
    </row>
    <row r="75" spans="2:151" outlineLevel="1" x14ac:dyDescent="0.2">
      <c r="B75" t="s">
        <v>28</v>
      </c>
      <c r="C75" t="s">
        <v>190</v>
      </c>
      <c r="E75" s="9"/>
      <c r="F75" t="s">
        <v>99</v>
      </c>
      <c r="G75" s="10">
        <v>0.16666666666666669</v>
      </c>
      <c r="I75" s="9">
        <f t="shared" si="5"/>
        <v>0</v>
      </c>
      <c r="J75" s="11" cm="1">
        <f t="array" ref="J75">MAX(IF($N$3:$BW$3=$J$3,N75:BW75))</f>
        <v>0</v>
      </c>
      <c r="K75" s="11" cm="1">
        <f t="array" ref="K75">MAX(IF($N$3:$BW$3=$J$3,N75:BW75))</f>
        <v>0</v>
      </c>
      <c r="L75" s="9"/>
      <c r="O75" s="10"/>
      <c r="P75" s="10"/>
      <c r="Q75" s="10"/>
      <c r="R75" s="10"/>
      <c r="V75" s="10"/>
      <c r="W75" s="10"/>
      <c r="X75" s="10"/>
      <c r="Y75" s="10"/>
      <c r="AC75" s="10"/>
      <c r="AD75" s="10"/>
      <c r="AE75" s="10"/>
      <c r="AF75" s="10"/>
      <c r="AJ75" s="10"/>
      <c r="AK75" s="10"/>
      <c r="AL75" s="10"/>
      <c r="AM75" s="10"/>
      <c r="AQ75" s="10"/>
      <c r="AR75" s="10"/>
      <c r="AS75" s="10"/>
      <c r="AT75" s="10"/>
      <c r="AX75" s="10"/>
      <c r="AY75" s="10"/>
      <c r="AZ75" s="10"/>
      <c r="BA75" s="10"/>
      <c r="BE75" s="10"/>
      <c r="BF75" s="10"/>
      <c r="BG75" s="10"/>
      <c r="BH75" s="10"/>
      <c r="BL75" s="10"/>
      <c r="BM75" s="10"/>
      <c r="BN75" s="10"/>
      <c r="BO75" s="10"/>
      <c r="BS75" s="10"/>
      <c r="BT75" s="10">
        <v>0.5</v>
      </c>
      <c r="BU75" s="10"/>
      <c r="BV75" s="10">
        <v>0.5</v>
      </c>
      <c r="BZ75" s="10"/>
      <c r="CA75" s="10">
        <v>0.8</v>
      </c>
      <c r="CB75" s="10"/>
      <c r="CC75" s="10">
        <v>0.8</v>
      </c>
      <c r="CG75" s="10"/>
      <c r="CH75" s="10">
        <v>0.8</v>
      </c>
      <c r="CI75" s="10"/>
      <c r="CJ75" s="10">
        <v>0.8</v>
      </c>
      <c r="CN75" s="10"/>
      <c r="CO75" s="10">
        <v>1</v>
      </c>
      <c r="CP75" s="10"/>
      <c r="CQ75" s="10">
        <v>1</v>
      </c>
      <c r="CU75" s="10"/>
      <c r="CV75" s="10">
        <v>1</v>
      </c>
      <c r="CW75" s="10"/>
      <c r="CX75" s="10">
        <v>1</v>
      </c>
      <c r="DB75" s="10"/>
      <c r="DC75" s="10">
        <v>1</v>
      </c>
      <c r="DD75" s="10"/>
      <c r="DE75" s="10">
        <v>1</v>
      </c>
      <c r="DI75" s="10"/>
      <c r="DJ75" s="10">
        <v>1</v>
      </c>
      <c r="DK75" s="10"/>
      <c r="DL75" s="10">
        <v>1</v>
      </c>
      <c r="DP75" s="10"/>
      <c r="DQ75" s="10">
        <v>1</v>
      </c>
      <c r="DR75" s="10"/>
      <c r="DS75" s="10">
        <v>1</v>
      </c>
      <c r="DW75" s="10"/>
      <c r="DX75" s="10"/>
      <c r="DY75" s="10"/>
      <c r="DZ75" s="10"/>
      <c r="ED75" s="10"/>
      <c r="EE75" s="10"/>
      <c r="EF75" s="10"/>
      <c r="EG75" s="10"/>
      <c r="EK75" s="10"/>
      <c r="EL75" s="10"/>
      <c r="EM75" s="10"/>
      <c r="EN75" s="10"/>
      <c r="ER75" s="10"/>
      <c r="ES75" s="10"/>
      <c r="ET75" s="10"/>
      <c r="EU75" s="10"/>
    </row>
    <row r="76" spans="2:151" outlineLevel="1" x14ac:dyDescent="0.2">
      <c r="B76" t="s">
        <v>28</v>
      </c>
      <c r="C76" t="s">
        <v>190</v>
      </c>
      <c r="E76" s="9"/>
      <c r="F76" t="s">
        <v>100</v>
      </c>
      <c r="G76" s="10">
        <v>0.16666666666666669</v>
      </c>
      <c r="I76" s="9">
        <f t="shared" si="5"/>
        <v>0</v>
      </c>
      <c r="J76" s="11" cm="1">
        <f t="array" ref="J76">MAX(IF($N$3:$BW$3=$J$3,N76:BW76))</f>
        <v>0</v>
      </c>
      <c r="K76" s="11" cm="1">
        <f t="array" ref="K76">MAX(IF($N$3:$BW$3=$J$3,N76:BW76))</f>
        <v>0</v>
      </c>
      <c r="L76" s="9"/>
      <c r="O76" s="10"/>
      <c r="P76" s="10"/>
      <c r="Q76" s="10"/>
      <c r="R76" s="10"/>
      <c r="V76" s="10"/>
      <c r="W76" s="10"/>
      <c r="X76" s="10"/>
      <c r="Y76" s="10"/>
      <c r="AC76" s="10"/>
      <c r="AD76" s="10"/>
      <c r="AE76" s="10"/>
      <c r="AF76" s="10"/>
      <c r="AJ76" s="10"/>
      <c r="AK76" s="10"/>
      <c r="AL76" s="10"/>
      <c r="AM76" s="10"/>
      <c r="AQ76" s="10"/>
      <c r="AR76" s="10"/>
      <c r="AS76" s="10"/>
      <c r="AT76" s="10"/>
      <c r="AX76" s="10"/>
      <c r="AY76" s="10"/>
      <c r="AZ76" s="10"/>
      <c r="BA76" s="10"/>
      <c r="BE76" s="10"/>
      <c r="BF76" s="10"/>
      <c r="BG76" s="10"/>
      <c r="BH76" s="10"/>
      <c r="BL76" s="10"/>
      <c r="BM76" s="10"/>
      <c r="BN76" s="10"/>
      <c r="BO76" s="10"/>
      <c r="BS76" s="10"/>
      <c r="BT76" s="10">
        <v>0.5</v>
      </c>
      <c r="BU76" s="10"/>
      <c r="BV76" s="10">
        <v>0.5</v>
      </c>
      <c r="BZ76" s="10"/>
      <c r="CA76" s="10">
        <v>0.5</v>
      </c>
      <c r="CB76" s="10"/>
      <c r="CC76" s="10">
        <v>0.5</v>
      </c>
      <c r="CG76" s="10"/>
      <c r="CH76" s="10">
        <v>0.8</v>
      </c>
      <c r="CI76" s="10"/>
      <c r="CJ76" s="10">
        <v>0.8</v>
      </c>
      <c r="CN76" s="10"/>
      <c r="CO76" s="10">
        <v>0.8</v>
      </c>
      <c r="CP76" s="10"/>
      <c r="CQ76" s="10">
        <v>0.8</v>
      </c>
      <c r="CU76" s="10"/>
      <c r="CV76" s="10">
        <v>1</v>
      </c>
      <c r="CW76" s="10"/>
      <c r="CX76" s="10">
        <v>1</v>
      </c>
      <c r="DB76" s="10"/>
      <c r="DC76" s="10">
        <v>1</v>
      </c>
      <c r="DD76" s="10"/>
      <c r="DE76" s="10">
        <v>1</v>
      </c>
      <c r="DI76" s="10"/>
      <c r="DJ76" s="10">
        <v>1</v>
      </c>
      <c r="DK76" s="10"/>
      <c r="DL76" s="10">
        <v>1</v>
      </c>
      <c r="DP76" s="10"/>
      <c r="DQ76" s="10">
        <v>1</v>
      </c>
      <c r="DR76" s="10"/>
      <c r="DS76" s="10">
        <v>1</v>
      </c>
      <c r="DW76" s="10"/>
      <c r="DX76" s="10"/>
      <c r="DY76" s="10"/>
      <c r="DZ76" s="10"/>
      <c r="ED76" s="10"/>
      <c r="EE76" s="10"/>
      <c r="EF76" s="10"/>
      <c r="EG76" s="10"/>
      <c r="EK76" s="10"/>
      <c r="EL76" s="10"/>
      <c r="EM76" s="10"/>
      <c r="EN76" s="10"/>
      <c r="ER76" s="10"/>
      <c r="ES76" s="10"/>
      <c r="ET76" s="10"/>
      <c r="EU76" s="10"/>
    </row>
    <row r="77" spans="2:151" outlineLevel="1" x14ac:dyDescent="0.2">
      <c r="B77" t="s">
        <v>28</v>
      </c>
      <c r="C77" t="s">
        <v>190</v>
      </c>
      <c r="E77" s="9"/>
      <c r="F77" t="s">
        <v>101</v>
      </c>
      <c r="G77" s="10">
        <v>0.16666666666666669</v>
      </c>
      <c r="I77" s="9">
        <f t="shared" si="5"/>
        <v>0</v>
      </c>
      <c r="J77" s="11" cm="1">
        <f t="array" ref="J77">MAX(IF($N$3:$BW$3=$J$3,N77:BW77))</f>
        <v>0</v>
      </c>
      <c r="K77" s="11" cm="1">
        <f t="array" ref="K77">MAX(IF($N$3:$BW$3=$J$3,N77:BW77))</f>
        <v>0</v>
      </c>
      <c r="L77" s="9"/>
      <c r="O77" s="10"/>
      <c r="P77" s="10"/>
      <c r="Q77" s="10"/>
      <c r="R77" s="10"/>
      <c r="V77" s="10"/>
      <c r="W77" s="10"/>
      <c r="X77" s="10"/>
      <c r="Y77" s="10"/>
      <c r="AC77" s="10"/>
      <c r="AD77" s="10"/>
      <c r="AE77" s="10"/>
      <c r="AF77" s="10"/>
      <c r="AJ77" s="10"/>
      <c r="AK77" s="10"/>
      <c r="AL77" s="10"/>
      <c r="AM77" s="10"/>
      <c r="AQ77" s="10"/>
      <c r="AR77" s="10"/>
      <c r="AS77" s="10"/>
      <c r="AT77" s="10"/>
      <c r="AX77" s="10"/>
      <c r="AY77" s="10"/>
      <c r="AZ77" s="10"/>
      <c r="BA77" s="10"/>
      <c r="BE77" s="10"/>
      <c r="BF77" s="10"/>
      <c r="BG77" s="10"/>
      <c r="BH77" s="10"/>
      <c r="BL77" s="10"/>
      <c r="BM77" s="10"/>
      <c r="BN77" s="10"/>
      <c r="BO77" s="10"/>
      <c r="BS77" s="10"/>
      <c r="BT77" s="10"/>
      <c r="BU77" s="10"/>
      <c r="BV77" s="10"/>
      <c r="BZ77" s="10"/>
      <c r="CA77" s="10">
        <v>0.5</v>
      </c>
      <c r="CB77" s="10"/>
      <c r="CC77" s="10">
        <v>0.5</v>
      </c>
      <c r="CG77" s="10"/>
      <c r="CH77" s="10">
        <v>0.5</v>
      </c>
      <c r="CI77" s="10"/>
      <c r="CJ77" s="10">
        <v>0.5</v>
      </c>
      <c r="CN77" s="10"/>
      <c r="CO77" s="10">
        <v>0.8</v>
      </c>
      <c r="CP77" s="10"/>
      <c r="CQ77" s="10">
        <v>0.8</v>
      </c>
      <c r="CU77" s="10"/>
      <c r="CV77" s="10">
        <v>0.8</v>
      </c>
      <c r="CW77" s="10"/>
      <c r="CX77" s="10">
        <v>0.8</v>
      </c>
      <c r="DB77" s="10"/>
      <c r="DC77" s="10">
        <v>1</v>
      </c>
      <c r="DD77" s="10"/>
      <c r="DE77" s="10">
        <v>1</v>
      </c>
      <c r="DI77" s="10"/>
      <c r="DJ77" s="10">
        <v>1</v>
      </c>
      <c r="DK77" s="10"/>
      <c r="DL77" s="10">
        <v>1</v>
      </c>
      <c r="DP77" s="10"/>
      <c r="DQ77" s="10">
        <v>1</v>
      </c>
      <c r="DR77" s="10"/>
      <c r="DS77" s="10">
        <v>1</v>
      </c>
      <c r="DW77" s="10"/>
      <c r="DX77" s="10"/>
      <c r="DY77" s="10"/>
      <c r="DZ77" s="10"/>
      <c r="ED77" s="10"/>
      <c r="EE77" s="10"/>
      <c r="EF77" s="10"/>
      <c r="EG77" s="10"/>
      <c r="EK77" s="10"/>
      <c r="EL77" s="10"/>
      <c r="EM77" s="10"/>
      <c r="EN77" s="10"/>
      <c r="ER77" s="10"/>
      <c r="ES77" s="10"/>
      <c r="ET77" s="10"/>
      <c r="EU77" s="10"/>
    </row>
    <row r="78" spans="2:151" outlineLevel="1" x14ac:dyDescent="0.2">
      <c r="B78" t="s">
        <v>28</v>
      </c>
      <c r="C78" t="s">
        <v>190</v>
      </c>
      <c r="E78" s="9"/>
      <c r="F78" t="s">
        <v>102</v>
      </c>
      <c r="G78" s="10">
        <v>0.16666666666666669</v>
      </c>
      <c r="I78" s="9">
        <f t="shared" si="5"/>
        <v>0</v>
      </c>
      <c r="J78" s="11" cm="1">
        <f t="array" ref="J78">MAX(IF($N$3:$BW$3=$J$3,N78:BW78))</f>
        <v>0</v>
      </c>
      <c r="K78" s="11" cm="1">
        <f t="array" ref="K78">MAX(IF($N$3:$BW$3=$J$3,N78:BW78))</f>
        <v>0</v>
      </c>
      <c r="L78" s="9"/>
      <c r="O78" s="10"/>
      <c r="P78" s="10"/>
      <c r="Q78" s="10"/>
      <c r="R78" s="10"/>
      <c r="V78" s="10"/>
      <c r="W78" s="10"/>
      <c r="X78" s="10"/>
      <c r="Y78" s="10"/>
      <c r="AC78" s="10"/>
      <c r="AD78" s="10"/>
      <c r="AE78" s="10"/>
      <c r="AF78" s="10"/>
      <c r="AJ78" s="10"/>
      <c r="AK78" s="10"/>
      <c r="AL78" s="10"/>
      <c r="AM78" s="10"/>
      <c r="AQ78" s="10"/>
      <c r="AR78" s="10"/>
      <c r="AS78" s="10"/>
      <c r="AT78" s="10"/>
      <c r="AX78" s="10"/>
      <c r="AY78" s="10"/>
      <c r="AZ78" s="10"/>
      <c r="BA78" s="10"/>
      <c r="BE78" s="10"/>
      <c r="BF78" s="10"/>
      <c r="BG78" s="10"/>
      <c r="BH78" s="10"/>
      <c r="BL78" s="10"/>
      <c r="BM78" s="10"/>
      <c r="BN78" s="10"/>
      <c r="BO78" s="10"/>
      <c r="BS78" s="10"/>
      <c r="BT78" s="10"/>
      <c r="BU78" s="10"/>
      <c r="BV78" s="10"/>
      <c r="BZ78" s="10"/>
      <c r="CA78" s="10"/>
      <c r="CB78" s="10"/>
      <c r="CC78" s="10"/>
      <c r="CG78" s="10"/>
      <c r="CH78" s="10"/>
      <c r="CI78" s="10"/>
      <c r="CJ78" s="10"/>
      <c r="CN78" s="10"/>
      <c r="CO78" s="10"/>
      <c r="CP78" s="10"/>
      <c r="CQ78" s="10"/>
      <c r="CU78" s="10"/>
      <c r="CV78" s="10"/>
      <c r="CW78" s="10"/>
      <c r="CX78" s="10"/>
      <c r="DB78" s="10"/>
      <c r="DC78" s="10"/>
      <c r="DD78" s="10"/>
      <c r="DE78" s="10"/>
      <c r="DI78" s="10"/>
      <c r="DJ78" s="10">
        <v>1</v>
      </c>
      <c r="DK78" s="10"/>
      <c r="DL78" s="10">
        <v>1</v>
      </c>
      <c r="DP78" s="10"/>
      <c r="DQ78" s="10">
        <v>1</v>
      </c>
      <c r="DR78" s="10"/>
      <c r="DS78" s="10">
        <v>1</v>
      </c>
      <c r="DW78" s="10"/>
      <c r="DX78" s="10"/>
      <c r="DY78" s="10"/>
      <c r="DZ78" s="10"/>
      <c r="ED78" s="10"/>
      <c r="EE78" s="10"/>
      <c r="EF78" s="10"/>
      <c r="EG78" s="10"/>
      <c r="EK78" s="10"/>
      <c r="EL78" s="10"/>
      <c r="EM78" s="10"/>
      <c r="EN78" s="10"/>
      <c r="ER78" s="10"/>
      <c r="ES78" s="10"/>
      <c r="ET78" s="10"/>
      <c r="EU78" s="10"/>
    </row>
    <row r="79" spans="2:151" outlineLevel="1" x14ac:dyDescent="0.2">
      <c r="B79" t="s">
        <v>28</v>
      </c>
      <c r="C79" t="s">
        <v>190</v>
      </c>
      <c r="E79" s="9"/>
      <c r="F79" t="s">
        <v>103</v>
      </c>
      <c r="G79" s="10">
        <v>0.16666666666666669</v>
      </c>
      <c r="I79" s="9">
        <f t="shared" si="5"/>
        <v>0</v>
      </c>
      <c r="J79" s="11" cm="1">
        <f t="array" ref="J79">MAX(IF($N$3:$BW$3=$J$3,N79:BW79))</f>
        <v>0</v>
      </c>
      <c r="K79" s="11" cm="1">
        <f t="array" ref="K79">MAX(IF($N$3:$BW$3=$J$3,N79:BW79))</f>
        <v>0</v>
      </c>
      <c r="L79" s="9"/>
      <c r="O79" s="10"/>
      <c r="P79" s="10"/>
      <c r="Q79" s="10"/>
      <c r="R79" s="10"/>
      <c r="V79" s="10"/>
      <c r="W79" s="10"/>
      <c r="X79" s="10"/>
      <c r="Y79" s="10"/>
      <c r="AC79" s="10"/>
      <c r="AD79" s="10"/>
      <c r="AE79" s="10"/>
      <c r="AF79" s="10"/>
      <c r="AJ79" s="10"/>
      <c r="AK79" s="10"/>
      <c r="AL79" s="10"/>
      <c r="AM79" s="10"/>
      <c r="AQ79" s="10"/>
      <c r="AR79" s="10"/>
      <c r="AS79" s="10"/>
      <c r="AT79" s="10"/>
      <c r="AX79" s="10"/>
      <c r="AY79" s="10"/>
      <c r="AZ79" s="10"/>
      <c r="BA79" s="10"/>
      <c r="BE79" s="10"/>
      <c r="BF79" s="10"/>
      <c r="BG79" s="10"/>
      <c r="BH79" s="10"/>
      <c r="BL79" s="10"/>
      <c r="BM79" s="10"/>
      <c r="BN79" s="10"/>
      <c r="BO79" s="10"/>
      <c r="BS79" s="10"/>
      <c r="BT79" s="10"/>
      <c r="BU79" s="10"/>
      <c r="BV79" s="10"/>
      <c r="BZ79" s="10"/>
      <c r="CA79" s="10"/>
      <c r="CB79" s="10"/>
      <c r="CC79" s="10"/>
      <c r="CG79" s="10"/>
      <c r="CH79" s="10"/>
      <c r="CI79" s="10"/>
      <c r="CJ79" s="10"/>
      <c r="CN79" s="10"/>
      <c r="CO79" s="10"/>
      <c r="CP79" s="10"/>
      <c r="CQ79" s="10"/>
      <c r="CU79" s="10"/>
      <c r="CV79" s="10"/>
      <c r="CW79" s="10"/>
      <c r="CX79" s="10"/>
      <c r="DB79" s="10"/>
      <c r="DC79" s="10"/>
      <c r="DD79" s="10"/>
      <c r="DE79" s="10"/>
      <c r="DI79" s="10"/>
      <c r="DJ79" s="10"/>
      <c r="DK79" s="10"/>
      <c r="DL79" s="10"/>
      <c r="DP79" s="10"/>
      <c r="DQ79" s="10">
        <v>1</v>
      </c>
      <c r="DR79" s="10"/>
      <c r="DS79" s="10">
        <v>1</v>
      </c>
      <c r="DW79" s="10"/>
      <c r="DX79" s="10"/>
      <c r="DY79" s="10"/>
      <c r="DZ79" s="10"/>
      <c r="ED79" s="10"/>
      <c r="EE79" s="10"/>
      <c r="EF79" s="10"/>
      <c r="EG79" s="10"/>
      <c r="EK79" s="10"/>
      <c r="EL79" s="10"/>
      <c r="EM79" s="10"/>
      <c r="EN79" s="10"/>
      <c r="ER79" s="10"/>
      <c r="ES79" s="10"/>
      <c r="ET79" s="10"/>
      <c r="EU79" s="10"/>
    </row>
    <row r="81" spans="2:151" x14ac:dyDescent="0.2">
      <c r="B81" t="s">
        <v>27</v>
      </c>
      <c r="C81" t="s">
        <v>115</v>
      </c>
      <c r="D81" s="19" t="s">
        <v>136</v>
      </c>
      <c r="E81" s="9">
        <v>4.5</v>
      </c>
      <c r="G81" s="10">
        <f>+SUM(G82:G85)</f>
        <v>1</v>
      </c>
      <c r="I81" s="12">
        <f>+SUM(I82:I85)</f>
        <v>0</v>
      </c>
      <c r="J81" s="11">
        <f>+SUMPRODUCT(G82:G85,J82:J85)</f>
        <v>0</v>
      </c>
      <c r="K81" s="11">
        <f>+SUMPRODUCT(G82:G85,K82:K85)</f>
        <v>0</v>
      </c>
      <c r="L81" s="9"/>
      <c r="N81" s="12">
        <f>+SUM(N82:N85)</f>
        <v>0</v>
      </c>
      <c r="U81" s="12">
        <f>+SUM(U82:U85)</f>
        <v>0</v>
      </c>
      <c r="AB81" s="12">
        <f>+SUM(AB82:AB85)</f>
        <v>0</v>
      </c>
      <c r="AI81" s="12">
        <f>+SUM(AI82:AI85)</f>
        <v>0</v>
      </c>
      <c r="AP81" s="12">
        <f>+SUM(AP82:AP85)</f>
        <v>0</v>
      </c>
      <c r="AW81" s="12">
        <f>+SUM(AW82:AW85)</f>
        <v>0</v>
      </c>
      <c r="BD81" s="12">
        <f>+SUM(BD82:BD85)</f>
        <v>0</v>
      </c>
      <c r="BK81" s="12">
        <f>+SUM(BK82:BK85)</f>
        <v>0</v>
      </c>
      <c r="BR81" s="12">
        <f>+SUM(BR82:BR85)</f>
        <v>0</v>
      </c>
      <c r="BY81" s="12">
        <f>+SUM(BY82:BY85)</f>
        <v>0</v>
      </c>
      <c r="CF81" s="12">
        <f>+SUM(CF82:CF85)</f>
        <v>0</v>
      </c>
      <c r="CM81" s="12">
        <f>+SUM(CM82:CM85)</f>
        <v>0</v>
      </c>
      <c r="CT81" s="12">
        <f>+SUM(CT82:CT85)</f>
        <v>0</v>
      </c>
      <c r="DA81" s="12">
        <f>+SUM(DA82:DA85)</f>
        <v>0</v>
      </c>
      <c r="DH81" s="12">
        <f>+SUM(DH82:DH85)</f>
        <v>0</v>
      </c>
      <c r="DO81" s="12">
        <f>+SUM(DO82:DO85)</f>
        <v>0</v>
      </c>
      <c r="DV81" s="12">
        <f>+SUM(DV82:DV85)</f>
        <v>0</v>
      </c>
      <c r="EC81" s="12">
        <f>+SUM(EC82:EC85)</f>
        <v>0</v>
      </c>
      <c r="EJ81" s="12">
        <f>+SUM(EJ82:EJ85)</f>
        <v>0</v>
      </c>
      <c r="EQ81" s="12">
        <f>+SUM(EQ82:EQ85)</f>
        <v>0</v>
      </c>
    </row>
    <row r="82" spans="2:151" hidden="1" outlineLevel="1" x14ac:dyDescent="0.2">
      <c r="B82" t="s">
        <v>28</v>
      </c>
      <c r="C82" t="s">
        <v>115</v>
      </c>
      <c r="E82" s="9"/>
      <c r="F82" t="s">
        <v>138</v>
      </c>
      <c r="G82" s="10">
        <v>0.25</v>
      </c>
      <c r="I82" s="9">
        <f>+SUMIF($N$3:$XO$3,I$3,$N82:$XO82)</f>
        <v>0</v>
      </c>
      <c r="J82" s="11" cm="1">
        <f t="array" ref="J82">MAX(IF($N$3:$BW$3=$J$3,N82:BW82))</f>
        <v>0</v>
      </c>
      <c r="K82" s="11" cm="1">
        <f t="array" ref="K82">MAX(IF($N$3:$BW$3=$J$3,N82:BW82))</f>
        <v>0</v>
      </c>
      <c r="L82" s="9"/>
      <c r="O82" s="10"/>
      <c r="P82" s="10"/>
      <c r="Q82" s="10"/>
      <c r="R82" s="10"/>
      <c r="V82" s="10"/>
      <c r="W82" s="10"/>
      <c r="X82" s="10"/>
      <c r="Y82" s="10"/>
      <c r="AC82" s="10"/>
      <c r="AD82" s="10"/>
      <c r="AE82" s="10"/>
      <c r="AF82" s="10"/>
      <c r="AJ82" s="10"/>
      <c r="AK82" s="10"/>
      <c r="AL82" s="10"/>
      <c r="AM82" s="10"/>
      <c r="AQ82" s="10"/>
      <c r="AR82" s="10"/>
      <c r="AS82" s="10"/>
      <c r="AT82" s="10"/>
      <c r="AX82" s="10"/>
      <c r="AY82" s="10"/>
      <c r="AZ82" s="10"/>
      <c r="BA82" s="10"/>
      <c r="BE82" s="10"/>
      <c r="BF82" s="10"/>
      <c r="BG82" s="10"/>
      <c r="BH82" s="10"/>
      <c r="BL82" s="10"/>
      <c r="BM82" s="10"/>
      <c r="BN82" s="10"/>
      <c r="BO82" s="10"/>
      <c r="BS82" s="10"/>
      <c r="BT82" s="10"/>
      <c r="BU82" s="10"/>
      <c r="BV82" s="10"/>
      <c r="BZ82" s="10"/>
      <c r="CA82" s="10"/>
      <c r="CB82" s="10"/>
      <c r="CC82" s="10"/>
      <c r="CG82" s="10"/>
      <c r="CH82" s="10"/>
      <c r="CI82" s="10"/>
      <c r="CJ82" s="10"/>
      <c r="CN82" s="10"/>
      <c r="CO82" s="10"/>
      <c r="CP82" s="10"/>
      <c r="CQ82" s="10"/>
      <c r="CU82" s="10"/>
      <c r="CV82" s="10"/>
      <c r="CW82" s="10"/>
      <c r="CX82" s="10"/>
      <c r="DB82" s="10"/>
      <c r="DC82" s="10"/>
      <c r="DD82" s="10"/>
      <c r="DE82" s="10"/>
      <c r="DI82" s="10"/>
      <c r="DJ82" s="10"/>
      <c r="DK82" s="10"/>
      <c r="DL82" s="10"/>
      <c r="DP82" s="10"/>
      <c r="DQ82" s="10"/>
      <c r="DR82" s="10"/>
      <c r="DS82" s="10"/>
      <c r="DW82" s="10"/>
      <c r="DX82" s="10"/>
      <c r="DY82" s="10"/>
      <c r="DZ82" s="10"/>
      <c r="ED82" s="10"/>
      <c r="EE82" s="10"/>
      <c r="EF82" s="10"/>
      <c r="EG82" s="10"/>
      <c r="EK82" s="10"/>
      <c r="EL82" s="10"/>
      <c r="EM82" s="10"/>
      <c r="EN82" s="10"/>
      <c r="ER82" s="10"/>
      <c r="ES82" s="10"/>
      <c r="ET82" s="10"/>
      <c r="EU82" s="10"/>
    </row>
    <row r="83" spans="2:151" hidden="1" outlineLevel="1" x14ac:dyDescent="0.2">
      <c r="B83" t="s">
        <v>28</v>
      </c>
      <c r="C83" t="s">
        <v>115</v>
      </c>
      <c r="E83" s="9"/>
      <c r="F83" t="s">
        <v>139</v>
      </c>
      <c r="G83" s="10">
        <v>0.25</v>
      </c>
      <c r="I83" s="9">
        <f>+SUMIF($N$3:$XO$3,I$3,$N83:$XO83)</f>
        <v>0</v>
      </c>
      <c r="J83" s="11" cm="1">
        <f t="array" ref="J83">MAX(IF($N$3:$BW$3=$J$3,N83:BW83))</f>
        <v>0</v>
      </c>
      <c r="K83" s="11" cm="1">
        <f t="array" ref="K83">MAX(IF($N$3:$BW$3=$J$3,N83:BW83))</f>
        <v>0</v>
      </c>
      <c r="L83" s="9"/>
      <c r="O83" s="10"/>
      <c r="P83" s="10"/>
      <c r="Q83" s="10"/>
      <c r="R83" s="10"/>
      <c r="V83" s="10"/>
      <c r="W83" s="10"/>
      <c r="X83" s="10"/>
      <c r="Y83" s="10"/>
      <c r="AC83" s="10"/>
      <c r="AD83" s="10"/>
      <c r="AE83" s="10"/>
      <c r="AF83" s="10"/>
      <c r="AJ83" s="10"/>
      <c r="AK83" s="10"/>
      <c r="AL83" s="10"/>
      <c r="AM83" s="10"/>
      <c r="AQ83" s="10"/>
      <c r="AR83" s="10"/>
      <c r="AS83" s="10"/>
      <c r="AT83" s="10"/>
      <c r="AX83" s="10"/>
      <c r="AY83" s="10"/>
      <c r="AZ83" s="10"/>
      <c r="BA83" s="10"/>
      <c r="BE83" s="10"/>
      <c r="BF83" s="10"/>
      <c r="BG83" s="10"/>
      <c r="BH83" s="10"/>
      <c r="BL83" s="10"/>
      <c r="BM83" s="10"/>
      <c r="BN83" s="10"/>
      <c r="BO83" s="10"/>
      <c r="BS83" s="10"/>
      <c r="BT83" s="10"/>
      <c r="BU83" s="10"/>
      <c r="BV83" s="10"/>
      <c r="BZ83" s="10"/>
      <c r="CA83" s="10"/>
      <c r="CB83" s="10"/>
      <c r="CC83" s="10"/>
      <c r="CG83" s="10"/>
      <c r="CH83" s="10"/>
      <c r="CI83" s="10"/>
      <c r="CJ83" s="10"/>
      <c r="CN83" s="10"/>
      <c r="CO83" s="10"/>
      <c r="CP83" s="10"/>
      <c r="CQ83" s="10"/>
      <c r="CU83" s="10"/>
      <c r="CV83" s="10"/>
      <c r="CW83" s="10"/>
      <c r="CX83" s="10"/>
      <c r="DB83" s="10"/>
      <c r="DC83" s="10"/>
      <c r="DD83" s="10"/>
      <c r="DE83" s="10"/>
      <c r="DI83" s="10"/>
      <c r="DJ83" s="10"/>
      <c r="DK83" s="10"/>
      <c r="DL83" s="10"/>
      <c r="DP83" s="10"/>
      <c r="DQ83" s="10"/>
      <c r="DR83" s="10"/>
      <c r="DS83" s="10"/>
      <c r="DW83" s="10"/>
      <c r="DX83" s="10"/>
      <c r="DY83" s="10"/>
      <c r="DZ83" s="10"/>
      <c r="ED83" s="10"/>
      <c r="EE83" s="10"/>
      <c r="EF83" s="10"/>
      <c r="EG83" s="10"/>
      <c r="EK83" s="10"/>
      <c r="EL83" s="10"/>
      <c r="EM83" s="10"/>
      <c r="EN83" s="10"/>
      <c r="ER83" s="10"/>
      <c r="ES83" s="10"/>
      <c r="ET83" s="10"/>
      <c r="EU83" s="10"/>
    </row>
    <row r="84" spans="2:151" hidden="1" outlineLevel="1" x14ac:dyDescent="0.2">
      <c r="B84" t="s">
        <v>28</v>
      </c>
      <c r="C84" t="s">
        <v>115</v>
      </c>
      <c r="E84" s="9"/>
      <c r="F84" t="s">
        <v>140</v>
      </c>
      <c r="G84" s="10">
        <v>0.25</v>
      </c>
      <c r="I84" s="9">
        <f>+SUMIF($N$3:$XO$3,I$3,$N84:$XO84)</f>
        <v>0</v>
      </c>
      <c r="J84" s="11" cm="1">
        <f t="array" ref="J84">MAX(IF($N$3:$BW$3=$J$3,N84:BW84))</f>
        <v>0</v>
      </c>
      <c r="K84" s="11" cm="1">
        <f t="array" ref="K84">MAX(IF($N$3:$BW$3=$J$3,N84:BW84))</f>
        <v>0</v>
      </c>
      <c r="L84" s="9"/>
      <c r="O84" s="10"/>
      <c r="P84" s="10"/>
      <c r="Q84" s="10"/>
      <c r="R84" s="10"/>
      <c r="V84" s="10"/>
      <c r="W84" s="10"/>
      <c r="X84" s="10"/>
      <c r="Y84" s="10"/>
      <c r="AC84" s="10"/>
      <c r="AD84" s="10"/>
      <c r="AE84" s="10"/>
      <c r="AF84" s="10"/>
      <c r="AJ84" s="10"/>
      <c r="AK84" s="10"/>
      <c r="AL84" s="10"/>
      <c r="AM84" s="10"/>
      <c r="AQ84" s="10"/>
      <c r="AR84" s="10"/>
      <c r="AS84" s="10"/>
      <c r="AT84" s="10"/>
      <c r="AX84" s="10"/>
      <c r="AY84" s="10"/>
      <c r="AZ84" s="10"/>
      <c r="BA84" s="10"/>
      <c r="BE84" s="10"/>
      <c r="BF84" s="10"/>
      <c r="BG84" s="10"/>
      <c r="BH84" s="10"/>
      <c r="BL84" s="10"/>
      <c r="BM84" s="10"/>
      <c r="BN84" s="10"/>
      <c r="BO84" s="10"/>
      <c r="BS84" s="10"/>
      <c r="BT84" s="10"/>
      <c r="BU84" s="10"/>
      <c r="BV84" s="10"/>
      <c r="BZ84" s="10"/>
      <c r="CA84" s="10"/>
      <c r="CB84" s="10"/>
      <c r="CC84" s="10"/>
      <c r="CG84" s="10"/>
      <c r="CH84" s="10"/>
      <c r="CI84" s="10"/>
      <c r="CJ84" s="10"/>
      <c r="CN84" s="10"/>
      <c r="CO84" s="10"/>
      <c r="CP84" s="10"/>
      <c r="CQ84" s="10"/>
      <c r="CU84" s="10"/>
      <c r="CV84" s="10"/>
      <c r="CW84" s="10"/>
      <c r="CX84" s="10"/>
      <c r="DB84" s="10"/>
      <c r="DC84" s="10"/>
      <c r="DD84" s="10"/>
      <c r="DE84" s="10"/>
      <c r="DI84" s="10"/>
      <c r="DJ84" s="10"/>
      <c r="DK84" s="10"/>
      <c r="DL84" s="10"/>
      <c r="DP84" s="10"/>
      <c r="DQ84" s="10"/>
      <c r="DR84" s="10"/>
      <c r="DS84" s="10"/>
      <c r="DW84" s="10"/>
      <c r="DX84" s="10"/>
      <c r="DY84" s="10"/>
      <c r="DZ84" s="10"/>
      <c r="ED84" s="10"/>
      <c r="EE84" s="10"/>
      <c r="EF84" s="10"/>
      <c r="EG84" s="10"/>
      <c r="EK84" s="10"/>
      <c r="EL84" s="10"/>
      <c r="EM84" s="10"/>
      <c r="EN84" s="10"/>
      <c r="ER84" s="10"/>
      <c r="ES84" s="10"/>
      <c r="ET84" s="10"/>
      <c r="EU84" s="10"/>
    </row>
    <row r="85" spans="2:151" hidden="1" outlineLevel="1" x14ac:dyDescent="0.2">
      <c r="B85" t="s">
        <v>28</v>
      </c>
      <c r="C85" t="s">
        <v>115</v>
      </c>
      <c r="E85" s="9"/>
      <c r="F85" t="s">
        <v>141</v>
      </c>
      <c r="G85" s="10">
        <v>0.25</v>
      </c>
      <c r="I85" s="9">
        <f>+SUMIF($N$3:$XO$3,I$3,$N85:$XO85)</f>
        <v>0</v>
      </c>
      <c r="J85" s="11" cm="1">
        <f t="array" ref="J85">MAX(IF($N$3:$BW$3=$J$3,N85:BW85))</f>
        <v>0</v>
      </c>
      <c r="K85" s="11" cm="1">
        <f t="array" ref="K85">MAX(IF($N$3:$BW$3=$J$3,N85:BW85))</f>
        <v>0</v>
      </c>
      <c r="L85" s="9"/>
      <c r="O85" s="10"/>
      <c r="P85" s="10"/>
      <c r="Q85" s="10"/>
      <c r="R85" s="10"/>
      <c r="V85" s="10"/>
      <c r="W85" s="10"/>
      <c r="X85" s="10"/>
      <c r="Y85" s="10"/>
      <c r="AC85" s="10"/>
      <c r="AD85" s="10"/>
      <c r="AE85" s="10"/>
      <c r="AF85" s="10"/>
      <c r="AJ85" s="10"/>
      <c r="AK85" s="10"/>
      <c r="AL85" s="10"/>
      <c r="AM85" s="10"/>
      <c r="AQ85" s="10"/>
      <c r="AR85" s="10"/>
      <c r="AS85" s="10"/>
      <c r="AT85" s="10"/>
      <c r="AX85" s="10"/>
      <c r="AY85" s="10"/>
      <c r="AZ85" s="10"/>
      <c r="BA85" s="10"/>
      <c r="BE85" s="10"/>
      <c r="BF85" s="10"/>
      <c r="BG85" s="10"/>
      <c r="BH85" s="10"/>
      <c r="BL85" s="10"/>
      <c r="BM85" s="10"/>
      <c r="BN85" s="10"/>
      <c r="BO85" s="10"/>
      <c r="BS85" s="10"/>
      <c r="BT85" s="10"/>
      <c r="BU85" s="10"/>
      <c r="BV85" s="10"/>
      <c r="BZ85" s="10"/>
      <c r="CA85" s="10"/>
      <c r="CB85" s="10"/>
      <c r="CC85" s="10"/>
      <c r="CG85" s="10"/>
      <c r="CH85" s="10"/>
      <c r="CI85" s="10"/>
      <c r="CJ85" s="10"/>
      <c r="CN85" s="10"/>
      <c r="CO85" s="10"/>
      <c r="CP85" s="10"/>
      <c r="CQ85" s="10"/>
      <c r="CU85" s="10"/>
      <c r="CV85" s="10"/>
      <c r="CW85" s="10"/>
      <c r="CX85" s="10"/>
      <c r="DB85" s="10"/>
      <c r="DC85" s="10"/>
      <c r="DD85" s="10"/>
      <c r="DE85" s="10"/>
      <c r="DI85" s="10"/>
      <c r="DJ85" s="10"/>
      <c r="DK85" s="10"/>
      <c r="DL85" s="10"/>
      <c r="DP85" s="10"/>
      <c r="DQ85" s="10"/>
      <c r="DR85" s="10"/>
      <c r="DS85" s="10"/>
      <c r="DW85" s="10"/>
      <c r="DX85" s="10"/>
      <c r="DY85" s="10"/>
      <c r="DZ85" s="10"/>
      <c r="ED85" s="10"/>
      <c r="EE85" s="10"/>
      <c r="EF85" s="10"/>
      <c r="EG85" s="10"/>
      <c r="EK85" s="10"/>
      <c r="EL85" s="10"/>
      <c r="EM85" s="10"/>
      <c r="EN85" s="10"/>
      <c r="ER85" s="10"/>
      <c r="ES85" s="10"/>
      <c r="ET85" s="10"/>
      <c r="EU85" s="10"/>
    </row>
    <row r="86" spans="2:151" collapsed="1" x14ac:dyDescent="0.2"/>
    <row r="87" spans="2:151" x14ac:dyDescent="0.2">
      <c r="B87" t="s">
        <v>27</v>
      </c>
      <c r="C87" t="s">
        <v>90</v>
      </c>
      <c r="D87" s="19">
        <v>46053</v>
      </c>
      <c r="E87" s="9">
        <v>2</v>
      </c>
      <c r="G87" s="10">
        <f>+SUM(G88:G95)</f>
        <v>0.8</v>
      </c>
      <c r="I87" s="12">
        <f>+SUM(I88:I95)</f>
        <v>0</v>
      </c>
      <c r="J87" s="11">
        <f>+SUMPRODUCT(G88:G95,J88:J95)</f>
        <v>0</v>
      </c>
      <c r="K87" s="11">
        <f>+SUMPRODUCT(G88:G95,K88:K95)</f>
        <v>0</v>
      </c>
      <c r="L87" s="9" t="s">
        <v>185</v>
      </c>
      <c r="N87" s="12">
        <f>+SUM(N88:N95)</f>
        <v>0</v>
      </c>
      <c r="U87" s="12">
        <f>+SUM(U88:U95)</f>
        <v>0</v>
      </c>
      <c r="AB87" s="12">
        <f>+SUM(AB88:AB95)</f>
        <v>0</v>
      </c>
      <c r="AI87" s="12">
        <f>+SUM(AI88:AI95)</f>
        <v>0</v>
      </c>
      <c r="AP87" s="12">
        <f>+SUM(AP88:AP95)</f>
        <v>0</v>
      </c>
      <c r="AW87" s="12">
        <f>+SUM(AW88:AW95)</f>
        <v>0</v>
      </c>
      <c r="BD87" s="12">
        <f>+SUM(BD88:BD95)</f>
        <v>0</v>
      </c>
      <c r="BK87" s="12">
        <f>+SUM(BK88:BK95)</f>
        <v>0</v>
      </c>
      <c r="BR87" s="12">
        <f>+SUM(BR88:BR95)</f>
        <v>0</v>
      </c>
      <c r="BY87" s="12">
        <f>+SUM(BY88:BY95)</f>
        <v>0</v>
      </c>
      <c r="CF87" s="12">
        <f>+SUM(CF88:CF95)</f>
        <v>0</v>
      </c>
      <c r="CM87" s="12">
        <f>+SUM(CM88:CM95)</f>
        <v>0</v>
      </c>
      <c r="CT87" s="12">
        <f>+SUM(CT88:CT95)</f>
        <v>0</v>
      </c>
      <c r="DA87" s="12">
        <f>+SUM(DA88:DA95)</f>
        <v>0</v>
      </c>
      <c r="DH87" s="12">
        <f>+SUM(DH88:DH95)</f>
        <v>0</v>
      </c>
      <c r="DO87" s="12">
        <f>+SUM(DO88:DO95)</f>
        <v>0</v>
      </c>
      <c r="DT87" t="s">
        <v>177</v>
      </c>
      <c r="DV87" s="12">
        <f>+SUM(DV88:DV95)</f>
        <v>0</v>
      </c>
      <c r="EC87" s="12">
        <f>+SUM(EC88:EC95)</f>
        <v>0</v>
      </c>
      <c r="EJ87" s="12">
        <f>+SUM(EJ88:EJ95)</f>
        <v>0</v>
      </c>
      <c r="EQ87" s="12">
        <f>+SUM(EQ88:EQ95)</f>
        <v>0</v>
      </c>
    </row>
    <row r="88" spans="2:151" outlineLevel="1" x14ac:dyDescent="0.2">
      <c r="B88" t="s">
        <v>28</v>
      </c>
      <c r="C88" t="s">
        <v>90</v>
      </c>
      <c r="E88" s="9"/>
      <c r="F88" t="s">
        <v>137</v>
      </c>
      <c r="G88" s="10">
        <v>0.2</v>
      </c>
      <c r="I88" s="9">
        <f t="shared" ref="I88:I95" si="6">+SUMIF($N$3:$XO$3,I$3,$N88:$XO88)</f>
        <v>0</v>
      </c>
      <c r="J88" s="11" cm="1">
        <f t="array" ref="J88">MAX(IF($N$3:$BW$3=$J$3,N88:BW88))</f>
        <v>0</v>
      </c>
      <c r="K88" s="11" cm="1">
        <f t="array" ref="K88">MAX(IF($N$3:$BW$3=$J$3,N88:BW88))</f>
        <v>0</v>
      </c>
      <c r="L88" s="9" t="s">
        <v>218</v>
      </c>
      <c r="O88" s="10"/>
      <c r="P88" s="10"/>
      <c r="Q88" s="10"/>
      <c r="R88" s="10"/>
      <c r="V88" s="10"/>
      <c r="W88" s="10"/>
      <c r="X88" s="10"/>
      <c r="Y88" s="10"/>
      <c r="AC88" s="10"/>
      <c r="AD88" s="10"/>
      <c r="AE88" s="10"/>
      <c r="AF88" s="10"/>
      <c r="AJ88" s="10"/>
      <c r="AK88" s="10"/>
      <c r="AL88" s="10"/>
      <c r="AM88" s="10"/>
      <c r="AQ88" s="10"/>
      <c r="AR88" s="10"/>
      <c r="AS88" s="10"/>
      <c r="AT88" s="10"/>
      <c r="AX88" s="10"/>
      <c r="AY88" s="10"/>
      <c r="AZ88" s="10"/>
      <c r="BA88" s="10"/>
      <c r="BE88" s="10"/>
      <c r="BF88" s="10"/>
      <c r="BG88" s="10"/>
      <c r="BH88" s="10"/>
      <c r="BL88" s="10"/>
      <c r="BM88" s="10"/>
      <c r="BN88" s="10"/>
      <c r="BO88" s="10"/>
      <c r="BS88" s="10"/>
      <c r="BT88" s="10"/>
      <c r="BU88" s="10"/>
      <c r="BV88" s="10"/>
      <c r="BZ88" s="10"/>
      <c r="CA88" s="10"/>
      <c r="CB88" s="10"/>
      <c r="CC88" s="10"/>
      <c r="CG88" s="10"/>
      <c r="CH88" s="10"/>
      <c r="CI88" s="10"/>
      <c r="CJ88" s="10"/>
      <c r="CN88" s="10"/>
      <c r="CO88" s="10"/>
      <c r="CP88" s="10"/>
      <c r="CQ88" s="10"/>
      <c r="CU88" s="10"/>
      <c r="CV88" s="10">
        <v>1</v>
      </c>
      <c r="CW88" s="10"/>
      <c r="CX88" s="10">
        <v>1</v>
      </c>
      <c r="CY88" t="s">
        <v>197</v>
      </c>
      <c r="DB88" s="10"/>
      <c r="DC88" s="10">
        <v>1</v>
      </c>
      <c r="DD88" s="10"/>
      <c r="DE88" s="10">
        <v>1</v>
      </c>
      <c r="DF88" s="23" t="s">
        <v>197</v>
      </c>
      <c r="DI88" s="10"/>
      <c r="DJ88" s="10">
        <v>1</v>
      </c>
      <c r="DK88" s="10"/>
      <c r="DL88" s="10">
        <v>1</v>
      </c>
      <c r="DM88" t="s">
        <v>197</v>
      </c>
      <c r="DP88" s="10"/>
      <c r="DQ88" s="10"/>
      <c r="DR88" s="10"/>
      <c r="DS88" s="10"/>
      <c r="DW88" s="10"/>
      <c r="DX88" s="10"/>
      <c r="DY88" s="10"/>
      <c r="DZ88" s="10"/>
      <c r="ED88" s="10"/>
      <c r="EE88" s="10"/>
      <c r="EF88" s="10"/>
      <c r="EG88" s="10"/>
      <c r="EK88" s="10"/>
      <c r="EL88" s="10"/>
      <c r="EM88" s="10"/>
      <c r="EN88" s="10"/>
      <c r="ER88" s="10"/>
      <c r="ES88" s="10"/>
      <c r="ET88" s="10"/>
      <c r="EU88" s="10"/>
    </row>
    <row r="89" spans="2:151" outlineLevel="1" x14ac:dyDescent="0.2">
      <c r="B89" t="s">
        <v>28</v>
      </c>
      <c r="C89" t="s">
        <v>90</v>
      </c>
      <c r="E89" s="9"/>
      <c r="F89" t="s">
        <v>142</v>
      </c>
      <c r="G89" s="10"/>
      <c r="I89" s="9">
        <f t="shared" si="6"/>
        <v>0</v>
      </c>
      <c r="J89" s="11" cm="1">
        <f t="array" ref="J89">MAX(IF($N$3:$BW$3=$J$3,N89:BW89))</f>
        <v>0</v>
      </c>
      <c r="K89" s="11" cm="1">
        <f t="array" ref="K89">MAX(IF($N$3:$BW$3=$J$3,N89:BW89))</f>
        <v>0</v>
      </c>
      <c r="L89" s="9"/>
      <c r="O89" s="10"/>
      <c r="P89" s="10"/>
      <c r="Q89" s="10"/>
      <c r="R89" s="10"/>
      <c r="V89" s="10"/>
      <c r="W89" s="10"/>
      <c r="X89" s="10"/>
      <c r="Y89" s="10"/>
      <c r="AC89" s="10"/>
      <c r="AD89" s="10"/>
      <c r="AE89" s="10"/>
      <c r="AF89" s="10"/>
      <c r="AJ89" s="10"/>
      <c r="AK89" s="10"/>
      <c r="AL89" s="10"/>
      <c r="AM89" s="10"/>
      <c r="AQ89" s="10"/>
      <c r="AR89" s="10"/>
      <c r="AS89" s="10"/>
      <c r="AT89" s="10"/>
      <c r="AX89" s="10"/>
      <c r="AY89" s="10"/>
      <c r="AZ89" s="10"/>
      <c r="BA89" s="10"/>
      <c r="BE89" s="10"/>
      <c r="BF89" s="10"/>
      <c r="BG89" s="10"/>
      <c r="BH89" s="10"/>
      <c r="BL89" s="10"/>
      <c r="BM89" s="10"/>
      <c r="BN89" s="10"/>
      <c r="BO89" s="10"/>
      <c r="BS89" s="10"/>
      <c r="BT89" s="10"/>
      <c r="BU89" s="10"/>
      <c r="BV89" s="10"/>
      <c r="BZ89" s="10"/>
      <c r="CA89" s="10"/>
      <c r="CB89" s="10"/>
      <c r="CC89" s="10"/>
      <c r="CG89" s="10"/>
      <c r="CH89" s="10"/>
      <c r="CI89" s="10"/>
      <c r="CJ89" s="10"/>
      <c r="CN89" s="10"/>
      <c r="CO89" s="10"/>
      <c r="CP89" s="10"/>
      <c r="CQ89" s="10"/>
      <c r="CU89" s="10"/>
      <c r="CV89" s="10"/>
      <c r="CW89" s="10"/>
      <c r="CX89" s="10"/>
      <c r="DB89" s="10"/>
      <c r="DC89" s="10"/>
      <c r="DD89" s="10"/>
      <c r="DE89" s="10"/>
      <c r="DI89" s="10"/>
      <c r="DJ89" s="10"/>
      <c r="DK89" s="10"/>
      <c r="DL89" s="10"/>
      <c r="DP89" s="10"/>
      <c r="DQ89" s="10"/>
      <c r="DR89" s="10"/>
      <c r="DS89" s="10"/>
      <c r="DW89" s="10"/>
      <c r="DX89" s="10"/>
      <c r="DY89" s="10"/>
      <c r="DZ89" s="10"/>
      <c r="ED89" s="10"/>
      <c r="EE89" s="10"/>
      <c r="EF89" s="10"/>
      <c r="EG89" s="10"/>
      <c r="EK89" s="10"/>
      <c r="EL89" s="10"/>
      <c r="EM89" s="10"/>
      <c r="EN89" s="10"/>
      <c r="ER89" s="10"/>
      <c r="ES89" s="10"/>
      <c r="ET89" s="10"/>
      <c r="EU89" s="10"/>
    </row>
    <row r="90" spans="2:151" outlineLevel="1" x14ac:dyDescent="0.2">
      <c r="B90" t="s">
        <v>28</v>
      </c>
      <c r="C90" t="s">
        <v>90</v>
      </c>
      <c r="E90" s="9"/>
      <c r="F90" t="s">
        <v>143</v>
      </c>
      <c r="G90" s="10">
        <v>0.08</v>
      </c>
      <c r="I90" s="9">
        <f t="shared" si="6"/>
        <v>0</v>
      </c>
      <c r="J90" s="11" cm="1">
        <f t="array" ref="J90">MAX(IF($N$3:$BW$3=$J$3,N90:BW90))</f>
        <v>0</v>
      </c>
      <c r="K90" s="11" cm="1">
        <f t="array" ref="K90">MAX(IF($N$3:$BW$3=$J$3,N90:BW90))</f>
        <v>0</v>
      </c>
      <c r="L90" s="9"/>
      <c r="O90" s="10"/>
      <c r="P90" s="10"/>
      <c r="Q90" s="10"/>
      <c r="R90" s="10"/>
      <c r="V90" s="10"/>
      <c r="W90" s="10"/>
      <c r="X90" s="10"/>
      <c r="Y90" s="10"/>
      <c r="AC90" s="10"/>
      <c r="AD90" s="10"/>
      <c r="AE90" s="10"/>
      <c r="AF90" s="10"/>
      <c r="AJ90" s="10"/>
      <c r="AK90" s="10"/>
      <c r="AL90" s="10"/>
      <c r="AM90" s="10"/>
      <c r="AQ90" s="10"/>
      <c r="AR90" s="10"/>
      <c r="AS90" s="10"/>
      <c r="AT90" s="10"/>
      <c r="AX90" s="10"/>
      <c r="AY90" s="10"/>
      <c r="AZ90" s="10"/>
      <c r="BA90" s="10"/>
      <c r="BE90" s="10"/>
      <c r="BF90" s="10"/>
      <c r="BG90" s="10"/>
      <c r="BH90" s="10"/>
      <c r="BL90" s="10"/>
      <c r="BM90" s="10"/>
      <c r="BN90" s="10"/>
      <c r="BO90" s="10"/>
      <c r="BS90" s="10"/>
      <c r="BT90" s="10"/>
      <c r="BU90" s="10"/>
      <c r="BV90" s="10"/>
      <c r="BZ90" s="10"/>
      <c r="CA90" s="10"/>
      <c r="CB90" s="10"/>
      <c r="CC90" s="10"/>
      <c r="CG90" s="10"/>
      <c r="CH90" s="10"/>
      <c r="CI90" s="10"/>
      <c r="CJ90" s="10"/>
      <c r="CN90" s="10"/>
      <c r="CO90" s="10"/>
      <c r="CP90" s="10"/>
      <c r="CQ90" s="10"/>
      <c r="CU90" s="10"/>
      <c r="CV90" s="10">
        <v>1</v>
      </c>
      <c r="CW90" s="10"/>
      <c r="CX90" s="10">
        <v>1</v>
      </c>
      <c r="DB90" s="10"/>
      <c r="DC90" s="10">
        <v>1</v>
      </c>
      <c r="DD90" s="10"/>
      <c r="DE90" s="10">
        <v>1</v>
      </c>
      <c r="DI90" s="10"/>
      <c r="DJ90" s="10">
        <v>1</v>
      </c>
      <c r="DK90" s="10"/>
      <c r="DL90" s="10">
        <v>1</v>
      </c>
      <c r="DP90" s="10"/>
      <c r="DQ90" s="10"/>
      <c r="DR90" s="10"/>
      <c r="DS90" s="10"/>
      <c r="DW90" s="10"/>
      <c r="DX90" s="10"/>
      <c r="DY90" s="10"/>
      <c r="DZ90" s="10"/>
      <c r="ED90" s="10"/>
      <c r="EE90" s="10"/>
      <c r="EF90" s="10"/>
      <c r="EG90" s="10"/>
      <c r="EK90" s="10"/>
      <c r="EL90" s="10"/>
      <c r="EM90" s="10"/>
      <c r="EN90" s="10"/>
      <c r="ER90" s="10"/>
      <c r="ES90" s="10"/>
      <c r="ET90" s="10"/>
      <c r="EU90" s="10"/>
    </row>
    <row r="91" spans="2:151" outlineLevel="1" x14ac:dyDescent="0.2">
      <c r="B91" t="s">
        <v>28</v>
      </c>
      <c r="C91" t="s">
        <v>90</v>
      </c>
      <c r="E91" s="9"/>
      <c r="F91" t="s">
        <v>144</v>
      </c>
      <c r="G91" s="10">
        <v>0.08</v>
      </c>
      <c r="I91" s="9">
        <f t="shared" si="6"/>
        <v>0</v>
      </c>
      <c r="J91" s="11" cm="1">
        <f t="array" ref="J91">MAX(IF($N$3:$BW$3=$J$3,N91:BW91))</f>
        <v>0</v>
      </c>
      <c r="K91" s="11" cm="1">
        <f t="array" ref="K91">MAX(IF($N$3:$BW$3=$J$3,N91:BW91))</f>
        <v>0</v>
      </c>
      <c r="L91" s="9"/>
      <c r="O91" s="10"/>
      <c r="P91" s="10"/>
      <c r="Q91" s="10"/>
      <c r="R91" s="10"/>
      <c r="V91" s="10"/>
      <c r="W91" s="10"/>
      <c r="X91" s="10"/>
      <c r="Y91" s="10"/>
      <c r="AC91" s="10"/>
      <c r="AD91" s="10"/>
      <c r="AE91" s="10"/>
      <c r="AF91" s="10"/>
      <c r="AJ91" s="10"/>
      <c r="AK91" s="10"/>
      <c r="AL91" s="10"/>
      <c r="AM91" s="10"/>
      <c r="AQ91" s="10"/>
      <c r="AR91" s="10"/>
      <c r="AS91" s="10"/>
      <c r="AT91" s="10"/>
      <c r="AX91" s="10"/>
      <c r="AY91" s="10"/>
      <c r="AZ91" s="10"/>
      <c r="BA91" s="10"/>
      <c r="BE91" s="10"/>
      <c r="BF91" s="10"/>
      <c r="BG91" s="10"/>
      <c r="BH91" s="10"/>
      <c r="BL91" s="10"/>
      <c r="BM91" s="10"/>
      <c r="BN91" s="10"/>
      <c r="BO91" s="10"/>
      <c r="BS91" s="10"/>
      <c r="BT91" s="10"/>
      <c r="BU91" s="10"/>
      <c r="BV91" s="10"/>
      <c r="BZ91" s="10"/>
      <c r="CA91" s="10"/>
      <c r="CB91" s="10"/>
      <c r="CC91" s="10"/>
      <c r="CG91" s="10"/>
      <c r="CH91" s="10"/>
      <c r="CI91" s="10"/>
      <c r="CJ91" s="10"/>
      <c r="CN91" s="10"/>
      <c r="CO91" s="10"/>
      <c r="CP91" s="10"/>
      <c r="CQ91" s="10"/>
      <c r="CU91" s="10"/>
      <c r="CV91" s="10">
        <v>0.5</v>
      </c>
      <c r="CW91" s="10"/>
      <c r="CX91" s="10">
        <v>0.5</v>
      </c>
      <c r="DB91" s="10"/>
      <c r="DC91" s="10">
        <v>1</v>
      </c>
      <c r="DD91" s="10"/>
      <c r="DE91" s="10">
        <v>1</v>
      </c>
      <c r="DI91" s="10"/>
      <c r="DJ91" s="10">
        <v>1</v>
      </c>
      <c r="DK91" s="10"/>
      <c r="DL91" s="10">
        <v>1</v>
      </c>
      <c r="DP91" s="10"/>
      <c r="DQ91" s="10"/>
      <c r="DR91" s="10"/>
      <c r="DS91" s="10"/>
      <c r="DW91" s="10"/>
      <c r="DX91" s="10"/>
      <c r="DY91" s="10"/>
      <c r="DZ91" s="10"/>
      <c r="ED91" s="10"/>
      <c r="EE91" s="10"/>
      <c r="EF91" s="10"/>
      <c r="EG91" s="10"/>
      <c r="EK91" s="10"/>
      <c r="EL91" s="10"/>
      <c r="EM91" s="10"/>
      <c r="EN91" s="10"/>
      <c r="ER91" s="10"/>
      <c r="ES91" s="10"/>
      <c r="ET91" s="10"/>
      <c r="EU91" s="10"/>
    </row>
    <row r="92" spans="2:151" outlineLevel="1" x14ac:dyDescent="0.2">
      <c r="B92" t="s">
        <v>28</v>
      </c>
      <c r="C92" t="s">
        <v>90</v>
      </c>
      <c r="E92" s="9"/>
      <c r="F92" t="s">
        <v>145</v>
      </c>
      <c r="G92" s="10">
        <v>0.08</v>
      </c>
      <c r="I92" s="9">
        <f t="shared" si="6"/>
        <v>0</v>
      </c>
      <c r="J92" s="11" cm="1">
        <f t="array" ref="J92">MAX(IF($N$3:$BW$3=$J$3,N92:BW92))</f>
        <v>0</v>
      </c>
      <c r="K92" s="11" cm="1">
        <f t="array" ref="K92">MAX(IF($N$3:$BW$3=$J$3,N92:BW92))</f>
        <v>0</v>
      </c>
      <c r="L92" s="9"/>
      <c r="O92" s="10"/>
      <c r="P92" s="10"/>
      <c r="Q92" s="10"/>
      <c r="R92" s="10"/>
      <c r="V92" s="10"/>
      <c r="W92" s="10"/>
      <c r="X92" s="10"/>
      <c r="Y92" s="10"/>
      <c r="AC92" s="10"/>
      <c r="AD92" s="10"/>
      <c r="AE92" s="10"/>
      <c r="AF92" s="10"/>
      <c r="AJ92" s="10"/>
      <c r="AK92" s="10"/>
      <c r="AL92" s="10"/>
      <c r="AM92" s="10"/>
      <c r="AQ92" s="10"/>
      <c r="AR92" s="10"/>
      <c r="AS92" s="10"/>
      <c r="AT92" s="10"/>
      <c r="AX92" s="10"/>
      <c r="AY92" s="10"/>
      <c r="AZ92" s="10"/>
      <c r="BA92" s="10"/>
      <c r="BE92" s="10"/>
      <c r="BF92" s="10"/>
      <c r="BG92" s="10"/>
      <c r="BH92" s="10"/>
      <c r="BL92" s="10"/>
      <c r="BM92" s="10"/>
      <c r="BN92" s="10"/>
      <c r="BO92" s="10"/>
      <c r="BS92" s="10"/>
      <c r="BT92" s="10"/>
      <c r="BU92" s="10"/>
      <c r="BV92" s="10"/>
      <c r="BZ92" s="10"/>
      <c r="CA92" s="10"/>
      <c r="CB92" s="10"/>
      <c r="CC92" s="10"/>
      <c r="CG92" s="10"/>
      <c r="CH92" s="10"/>
      <c r="CI92" s="10"/>
      <c r="CJ92" s="10"/>
      <c r="CN92" s="10"/>
      <c r="CO92" s="10"/>
      <c r="CP92" s="10"/>
      <c r="CQ92" s="10"/>
      <c r="CU92" s="10"/>
      <c r="CV92" s="10"/>
      <c r="CW92" s="10"/>
      <c r="CX92" s="10"/>
      <c r="DB92" s="10"/>
      <c r="DC92" s="10">
        <v>1</v>
      </c>
      <c r="DD92" s="10"/>
      <c r="DE92" s="10">
        <v>1</v>
      </c>
      <c r="DI92" s="10"/>
      <c r="DJ92" s="10">
        <v>1</v>
      </c>
      <c r="DK92" s="10"/>
      <c r="DL92" s="10">
        <v>1</v>
      </c>
      <c r="DP92" s="10"/>
      <c r="DQ92" s="10"/>
      <c r="DR92" s="10"/>
      <c r="DS92" s="10"/>
      <c r="DW92" s="10"/>
      <c r="DX92" s="10"/>
      <c r="DY92" s="10"/>
      <c r="DZ92" s="10"/>
      <c r="ED92" s="10"/>
      <c r="EE92" s="10"/>
      <c r="EF92" s="10"/>
      <c r="EG92" s="10"/>
      <c r="EK92" s="10"/>
      <c r="EL92" s="10"/>
      <c r="EM92" s="10"/>
      <c r="EN92" s="10"/>
      <c r="ER92" s="10"/>
      <c r="ES92" s="10"/>
      <c r="ET92" s="10"/>
      <c r="EU92" s="10"/>
    </row>
    <row r="93" spans="2:151" outlineLevel="1" x14ac:dyDescent="0.2">
      <c r="B93" t="s">
        <v>28</v>
      </c>
      <c r="C93" t="s">
        <v>90</v>
      </c>
      <c r="E93" s="9"/>
      <c r="F93" t="s">
        <v>146</v>
      </c>
      <c r="G93" s="10">
        <v>0.08</v>
      </c>
      <c r="I93" s="9">
        <f t="shared" si="6"/>
        <v>0</v>
      </c>
      <c r="J93" s="11" cm="1">
        <f t="array" ref="J93">MAX(IF($N$3:$BW$3=$J$3,N93:BW93))</f>
        <v>0</v>
      </c>
      <c r="K93" s="11" cm="1">
        <f t="array" ref="K93">MAX(IF($N$3:$BW$3=$J$3,N93:BW93))</f>
        <v>0</v>
      </c>
      <c r="L93" s="9"/>
      <c r="O93" s="10"/>
      <c r="P93" s="10"/>
      <c r="Q93" s="10"/>
      <c r="R93" s="10"/>
      <c r="V93" s="10"/>
      <c r="W93" s="10"/>
      <c r="X93" s="10"/>
      <c r="Y93" s="10"/>
      <c r="AC93" s="10"/>
      <c r="AD93" s="10"/>
      <c r="AE93" s="10"/>
      <c r="AF93" s="10"/>
      <c r="AJ93" s="10"/>
      <c r="AK93" s="10"/>
      <c r="AL93" s="10"/>
      <c r="AM93" s="10"/>
      <c r="AQ93" s="10"/>
      <c r="AR93" s="10"/>
      <c r="AS93" s="10"/>
      <c r="AT93" s="10"/>
      <c r="AX93" s="10"/>
      <c r="AY93" s="10"/>
      <c r="AZ93" s="10"/>
      <c r="BA93" s="10"/>
      <c r="BE93" s="10"/>
      <c r="BF93" s="10"/>
      <c r="BG93" s="10"/>
      <c r="BH93" s="10"/>
      <c r="BL93" s="10"/>
      <c r="BM93" s="10"/>
      <c r="BN93" s="10"/>
      <c r="BO93" s="10"/>
      <c r="BS93" s="10"/>
      <c r="BT93" s="10"/>
      <c r="BU93" s="10"/>
      <c r="BV93" s="10"/>
      <c r="BZ93" s="10"/>
      <c r="CA93" s="10"/>
      <c r="CB93" s="10"/>
      <c r="CC93" s="10"/>
      <c r="CG93" s="10"/>
      <c r="CH93" s="10"/>
      <c r="CI93" s="10"/>
      <c r="CJ93" s="10"/>
      <c r="CN93" s="10"/>
      <c r="CO93" s="10"/>
      <c r="CP93" s="10"/>
      <c r="CQ93" s="10"/>
      <c r="CU93" s="10"/>
      <c r="CV93" s="10"/>
      <c r="CW93" s="10"/>
      <c r="CX93" s="10"/>
      <c r="DB93" s="10"/>
      <c r="DC93" s="10">
        <v>0.8</v>
      </c>
      <c r="DD93" s="10"/>
      <c r="DE93" s="10">
        <v>0.8</v>
      </c>
      <c r="DI93" s="10"/>
      <c r="DJ93" s="10">
        <v>1</v>
      </c>
      <c r="DK93" s="10"/>
      <c r="DL93" s="10">
        <v>1</v>
      </c>
      <c r="DP93" s="10"/>
      <c r="DQ93" s="10"/>
      <c r="DR93" s="10"/>
      <c r="DS93" s="10"/>
      <c r="DW93" s="10"/>
      <c r="DX93" s="10"/>
      <c r="DY93" s="10"/>
      <c r="DZ93" s="10"/>
      <c r="ED93" s="10"/>
      <c r="EE93" s="10"/>
      <c r="EF93" s="10"/>
      <c r="EG93" s="10"/>
      <c r="EK93" s="10"/>
      <c r="EL93" s="10"/>
      <c r="EM93" s="10"/>
      <c r="EN93" s="10"/>
      <c r="ER93" s="10"/>
      <c r="ES93" s="10"/>
      <c r="ET93" s="10"/>
      <c r="EU93" s="10"/>
    </row>
    <row r="94" spans="2:151" outlineLevel="1" x14ac:dyDescent="0.2">
      <c r="B94" t="s">
        <v>28</v>
      </c>
      <c r="C94" t="s">
        <v>90</v>
      </c>
      <c r="E94" s="9"/>
      <c r="F94" t="s">
        <v>147</v>
      </c>
      <c r="G94" s="10">
        <v>0.08</v>
      </c>
      <c r="I94" s="9">
        <f t="shared" si="6"/>
        <v>0</v>
      </c>
      <c r="J94" s="11" cm="1">
        <f t="array" ref="J94">MAX(IF($N$3:$BW$3=$J$3,N94:BW94))</f>
        <v>0</v>
      </c>
      <c r="K94" s="11" cm="1">
        <f t="array" ref="K94">MAX(IF($N$3:$BW$3=$J$3,N94:BW94))</f>
        <v>0</v>
      </c>
      <c r="L94" s="9"/>
      <c r="O94" s="10"/>
      <c r="P94" s="10"/>
      <c r="Q94" s="10"/>
      <c r="R94" s="10"/>
      <c r="V94" s="10"/>
      <c r="W94" s="10"/>
      <c r="X94" s="10"/>
      <c r="Y94" s="10"/>
      <c r="AC94" s="10"/>
      <c r="AD94" s="10"/>
      <c r="AE94" s="10"/>
      <c r="AF94" s="10"/>
      <c r="AJ94" s="10"/>
      <c r="AK94" s="10"/>
      <c r="AL94" s="10"/>
      <c r="AM94" s="10"/>
      <c r="AQ94" s="10"/>
      <c r="AR94" s="10"/>
      <c r="AS94" s="10"/>
      <c r="AT94" s="10"/>
      <c r="AX94" s="10"/>
      <c r="AY94" s="10"/>
      <c r="AZ94" s="10"/>
      <c r="BA94" s="10"/>
      <c r="BE94" s="10"/>
      <c r="BF94" s="10"/>
      <c r="BG94" s="10"/>
      <c r="BH94" s="10"/>
      <c r="BL94" s="10"/>
      <c r="BM94" s="10"/>
      <c r="BN94" s="10"/>
      <c r="BO94" s="10"/>
      <c r="BS94" s="10"/>
      <c r="BT94" s="10"/>
      <c r="BU94" s="10"/>
      <c r="BV94" s="10"/>
      <c r="BZ94" s="10"/>
      <c r="CA94" s="10"/>
      <c r="CB94" s="10"/>
      <c r="CC94" s="10"/>
      <c r="CG94" s="10"/>
      <c r="CH94" s="10"/>
      <c r="CI94" s="10"/>
      <c r="CJ94" s="10"/>
      <c r="CN94" s="10"/>
      <c r="CO94" s="10"/>
      <c r="CP94" s="10"/>
      <c r="CQ94" s="10"/>
      <c r="CU94" s="10"/>
      <c r="CV94" s="10"/>
      <c r="CW94" s="10"/>
      <c r="CX94" s="10"/>
      <c r="DB94" s="10"/>
      <c r="DC94" s="10"/>
      <c r="DD94" s="10"/>
      <c r="DE94" s="10"/>
      <c r="DI94" s="10"/>
      <c r="DJ94" s="10">
        <v>1</v>
      </c>
      <c r="DK94" s="10"/>
      <c r="DL94" s="10">
        <v>1</v>
      </c>
      <c r="DP94" s="10"/>
      <c r="DQ94" s="10"/>
      <c r="DR94" s="10"/>
      <c r="DS94" s="10"/>
      <c r="DW94" s="10"/>
      <c r="DX94" s="10"/>
      <c r="DY94" s="10"/>
      <c r="DZ94" s="10"/>
      <c r="ED94" s="10"/>
      <c r="EE94" s="10"/>
      <c r="EF94" s="10"/>
      <c r="EG94" s="10"/>
      <c r="EK94" s="10"/>
      <c r="EL94" s="10"/>
      <c r="EM94" s="10"/>
      <c r="EN94" s="10"/>
      <c r="ER94" s="10"/>
      <c r="ES94" s="10"/>
      <c r="ET94" s="10"/>
      <c r="EU94" s="10"/>
    </row>
    <row r="95" spans="2:151" outlineLevel="1" x14ac:dyDescent="0.2">
      <c r="B95" t="s">
        <v>28</v>
      </c>
      <c r="C95" t="s">
        <v>90</v>
      </c>
      <c r="E95" s="9"/>
      <c r="F95" t="s">
        <v>148</v>
      </c>
      <c r="G95" s="10">
        <v>0.2</v>
      </c>
      <c r="I95" s="9">
        <f t="shared" si="6"/>
        <v>0</v>
      </c>
      <c r="J95" s="11" cm="1">
        <f t="array" ref="J95">MAX(IF($N$3:$BW$3=$J$3,N95:BW95))</f>
        <v>0</v>
      </c>
      <c r="K95" s="11" cm="1">
        <f t="array" ref="K95">MAX(IF($N$3:$BW$3=$J$3,N95:BW95))</f>
        <v>0</v>
      </c>
      <c r="L95" s="9"/>
      <c r="O95" s="10"/>
      <c r="P95" s="10"/>
      <c r="Q95" s="10"/>
      <c r="R95" s="10"/>
      <c r="V95" s="10"/>
      <c r="W95" s="10"/>
      <c r="X95" s="10"/>
      <c r="Y95" s="10"/>
      <c r="AC95" s="10"/>
      <c r="AD95" s="10"/>
      <c r="AE95" s="10"/>
      <c r="AF95" s="10"/>
      <c r="AJ95" s="10"/>
      <c r="AK95" s="10"/>
      <c r="AL95" s="10"/>
      <c r="AM95" s="10"/>
      <c r="AQ95" s="10"/>
      <c r="AR95" s="10"/>
      <c r="AS95" s="10"/>
      <c r="AT95" s="10"/>
      <c r="AX95" s="10"/>
      <c r="AY95" s="10"/>
      <c r="AZ95" s="10"/>
      <c r="BA95" s="10"/>
      <c r="BE95" s="10"/>
      <c r="BF95" s="10"/>
      <c r="BG95" s="10"/>
      <c r="BH95" s="10"/>
      <c r="BL95" s="10"/>
      <c r="BM95" s="10"/>
      <c r="BN95" s="10"/>
      <c r="BO95" s="10"/>
      <c r="BS95" s="10"/>
      <c r="BT95" s="10"/>
      <c r="BU95" s="10"/>
      <c r="BV95" s="10"/>
      <c r="BZ95" s="10"/>
      <c r="CA95" s="10"/>
      <c r="CB95" s="10"/>
      <c r="CC95" s="10"/>
      <c r="CG95" s="10"/>
      <c r="CH95" s="10"/>
      <c r="CI95" s="10"/>
      <c r="CJ95" s="10"/>
      <c r="CN95" s="10"/>
      <c r="CO95" s="10"/>
      <c r="CP95" s="10"/>
      <c r="CQ95" s="10"/>
      <c r="CU95" s="10"/>
      <c r="CV95" s="10"/>
      <c r="CW95" s="10"/>
      <c r="CX95" s="10"/>
      <c r="DB95" s="10"/>
      <c r="DC95" s="10"/>
      <c r="DD95" s="10"/>
      <c r="DE95" s="10"/>
      <c r="DI95" s="10"/>
      <c r="DJ95" s="10">
        <v>1</v>
      </c>
      <c r="DK95" s="10"/>
      <c r="DL95" s="10">
        <v>1</v>
      </c>
      <c r="DP95" s="10"/>
      <c r="DQ95" s="10"/>
      <c r="DR95" s="10"/>
      <c r="DS95" s="10"/>
      <c r="DW95" s="10"/>
      <c r="DX95" s="10"/>
      <c r="DY95" s="10"/>
      <c r="DZ95" s="10"/>
      <c r="ED95" s="10"/>
      <c r="EE95" s="10"/>
      <c r="EF95" s="10"/>
      <c r="EG95" s="10"/>
      <c r="EK95" s="10"/>
      <c r="EL95" s="10"/>
      <c r="EM95" s="10"/>
      <c r="EN95" s="10"/>
      <c r="ER95" s="10"/>
      <c r="ES95" s="10"/>
      <c r="ET95" s="10"/>
      <c r="EU95" s="10"/>
    </row>
  </sheetData>
  <mergeCells count="21">
    <mergeCell ref="AP2:AU2"/>
    <mergeCell ref="CT2:CY2"/>
    <mergeCell ref="DA2:DF2"/>
    <mergeCell ref="BK2:BP2"/>
    <mergeCell ref="BR2:BW2"/>
    <mergeCell ref="BY2:CD2"/>
    <mergeCell ref="CF2:CK2"/>
    <mergeCell ref="CM2:CR2"/>
    <mergeCell ref="I2:L2"/>
    <mergeCell ref="N2:S2"/>
    <mergeCell ref="U2:Z2"/>
    <mergeCell ref="AB2:AG2"/>
    <mergeCell ref="AI2:AN2"/>
    <mergeCell ref="EC2:EH2"/>
    <mergeCell ref="EJ2:EO2"/>
    <mergeCell ref="EQ2:EV2"/>
    <mergeCell ref="BD2:BI2"/>
    <mergeCell ref="AW2:BB2"/>
    <mergeCell ref="DH2:DM2"/>
    <mergeCell ref="DO2:DT2"/>
    <mergeCell ref="DV2:EA2"/>
  </mergeCells>
  <conditionalFormatting sqref="J24">
    <cfRule type="colorScale" priority="397">
      <colorScale>
        <cfvo type="percent" val="0"/>
        <cfvo type="percent" val="100"/>
        <color rgb="FFFF231B"/>
        <color rgb="FF10FF07"/>
      </colorScale>
    </cfRule>
  </conditionalFormatting>
  <conditionalFormatting sqref="J25">
    <cfRule type="colorScale" priority="378">
      <colorScale>
        <cfvo type="percent" val="0"/>
        <cfvo type="percent" val="100"/>
        <color rgb="FFFF231B"/>
        <color rgb="FF10FF07"/>
      </colorScale>
    </cfRule>
  </conditionalFormatting>
  <conditionalFormatting sqref="J26:J34 J23">
    <cfRule type="colorScale" priority="1151">
      <colorScale>
        <cfvo type="percent" val="0"/>
        <cfvo type="percent" val="100"/>
        <color rgb="FFFF231B"/>
        <color rgb="FF10FF07"/>
      </colorScale>
    </cfRule>
  </conditionalFormatting>
  <conditionalFormatting sqref="J51:J56">
    <cfRule type="colorScale" priority="1138">
      <colorScale>
        <cfvo type="percent" val="0"/>
        <cfvo type="percent" val="100"/>
        <color rgb="FFFF231B"/>
        <color rgb="FF10FF07"/>
      </colorScale>
    </cfRule>
  </conditionalFormatting>
  <conditionalFormatting sqref="J59:J63">
    <cfRule type="colorScale" priority="1135">
      <colorScale>
        <cfvo type="percent" val="0"/>
        <cfvo type="percent" val="100"/>
        <color rgb="FFFF231B"/>
        <color rgb="FF10FF07"/>
      </colorScale>
    </cfRule>
  </conditionalFormatting>
  <conditionalFormatting sqref="J66:J71">
    <cfRule type="colorScale" priority="1129">
      <colorScale>
        <cfvo type="percent" val="0"/>
        <cfvo type="percent" val="100"/>
        <color rgb="FFFF231B"/>
        <color rgb="FF10FF07"/>
      </colorScale>
    </cfRule>
  </conditionalFormatting>
  <conditionalFormatting sqref="J74:J79">
    <cfRule type="colorScale" priority="1132">
      <colorScale>
        <cfvo type="percent" val="0"/>
        <cfvo type="percent" val="100"/>
        <color rgb="FFFF231B"/>
        <color rgb="FF10FF07"/>
      </colorScale>
    </cfRule>
  </conditionalFormatting>
  <conditionalFormatting sqref="J82:J85">
    <cfRule type="colorScale" priority="1145">
      <colorScale>
        <cfvo type="percent" val="0"/>
        <cfvo type="percent" val="100"/>
        <color rgb="FFFF231B"/>
        <color rgb="FF10FF07"/>
      </colorScale>
    </cfRule>
  </conditionalFormatting>
  <conditionalFormatting sqref="J88:J95">
    <cfRule type="colorScale" priority="1148">
      <colorScale>
        <cfvo type="percent" val="0"/>
        <cfvo type="percent" val="100"/>
        <color rgb="FFFF231B"/>
        <color rgb="FF10FF07"/>
      </colorScale>
    </cfRule>
  </conditionalFormatting>
  <conditionalFormatting sqref="J24:K24">
    <cfRule type="colorScale" priority="398">
      <colorScale>
        <cfvo type="percent" val="0"/>
        <cfvo type="percent" val="100"/>
        <color rgb="FFFF231B"/>
        <color rgb="FF10FF07"/>
      </colorScale>
    </cfRule>
  </conditionalFormatting>
  <conditionalFormatting sqref="J25:K25">
    <cfRule type="colorScale" priority="379">
      <colorScale>
        <cfvo type="percent" val="0"/>
        <cfvo type="percent" val="100"/>
        <color rgb="FFFF231B"/>
        <color rgb="FF10FF07"/>
      </colorScale>
    </cfRule>
  </conditionalFormatting>
  <conditionalFormatting sqref="J26:K34">
    <cfRule type="colorScale" priority="1153">
      <colorScale>
        <cfvo type="percent" val="0"/>
        <cfvo type="percent" val="100"/>
        <color rgb="FFFF231B"/>
        <color rgb="FF10FF07"/>
      </colorScale>
    </cfRule>
  </conditionalFormatting>
  <conditionalFormatting sqref="J52:K56">
    <cfRule type="colorScale" priority="1139">
      <colorScale>
        <cfvo type="percent" val="0"/>
        <cfvo type="percent" val="100"/>
        <color rgb="FFFF231B"/>
        <color rgb="FF10FF07"/>
      </colorScale>
    </cfRule>
  </conditionalFormatting>
  <conditionalFormatting sqref="J60:K63">
    <cfRule type="colorScale" priority="1136">
      <colorScale>
        <cfvo type="percent" val="0"/>
        <cfvo type="percent" val="100"/>
        <color rgb="FFFF231B"/>
        <color rgb="FF10FF07"/>
      </colorScale>
    </cfRule>
  </conditionalFormatting>
  <conditionalFormatting sqref="J67:K71">
    <cfRule type="colorScale" priority="1130">
      <colorScale>
        <cfvo type="percent" val="0"/>
        <cfvo type="percent" val="100"/>
        <color rgb="FFFF231B"/>
        <color rgb="FF10FF07"/>
      </colorScale>
    </cfRule>
  </conditionalFormatting>
  <conditionalFormatting sqref="J75:K79">
    <cfRule type="colorScale" priority="1133">
      <colorScale>
        <cfvo type="percent" val="0"/>
        <cfvo type="percent" val="100"/>
        <color rgb="FFFF231B"/>
        <color rgb="FF10FF07"/>
      </colorScale>
    </cfRule>
  </conditionalFormatting>
  <conditionalFormatting sqref="J83:K85">
    <cfRule type="colorScale" priority="1146">
      <colorScale>
        <cfvo type="percent" val="0"/>
        <cfvo type="percent" val="100"/>
        <color rgb="FFFF231B"/>
        <color rgb="FF10FF07"/>
      </colorScale>
    </cfRule>
  </conditionalFormatting>
  <conditionalFormatting sqref="J89:K95">
    <cfRule type="colorScale" priority="1149">
      <colorScale>
        <cfvo type="percent" val="0"/>
        <cfvo type="percent" val="100"/>
        <color rgb="FFFF231B"/>
        <color rgb="FF10FF07"/>
      </colorScale>
    </cfRule>
  </conditionalFormatting>
  <conditionalFormatting sqref="K24">
    <cfRule type="colorScale" priority="396">
      <colorScale>
        <cfvo type="percent" val="0"/>
        <cfvo type="percent" val="100"/>
        <color rgb="FFFF231B"/>
        <color rgb="FF10FF07"/>
      </colorScale>
    </cfRule>
  </conditionalFormatting>
  <conditionalFormatting sqref="K25">
    <cfRule type="colorScale" priority="377">
      <colorScale>
        <cfvo type="percent" val="0"/>
        <cfvo type="percent" val="100"/>
        <color rgb="FFFF231B"/>
        <color rgb="FF10FF07"/>
      </colorScale>
    </cfRule>
  </conditionalFormatting>
  <conditionalFormatting sqref="K26:K34 K23">
    <cfRule type="colorScale" priority="1154">
      <colorScale>
        <cfvo type="percent" val="0"/>
        <cfvo type="percent" val="100"/>
        <color rgb="FFFF231B"/>
        <color rgb="FF10FF07"/>
      </colorScale>
    </cfRule>
  </conditionalFormatting>
  <conditionalFormatting sqref="K51:K56">
    <cfRule type="colorScale" priority="1140">
      <colorScale>
        <cfvo type="percent" val="0"/>
        <cfvo type="percent" val="100"/>
        <color rgb="FFFF231B"/>
        <color rgb="FF10FF07"/>
      </colorScale>
    </cfRule>
  </conditionalFormatting>
  <conditionalFormatting sqref="K59:K63">
    <cfRule type="colorScale" priority="1137">
      <colorScale>
        <cfvo type="percent" val="0"/>
        <cfvo type="percent" val="100"/>
        <color rgb="FFFF231B"/>
        <color rgb="FF10FF07"/>
      </colorScale>
    </cfRule>
  </conditionalFormatting>
  <conditionalFormatting sqref="K66:K71">
    <cfRule type="colorScale" priority="1131">
      <colorScale>
        <cfvo type="percent" val="0"/>
        <cfvo type="percent" val="100"/>
        <color rgb="FFFF231B"/>
        <color rgb="FF10FF07"/>
      </colorScale>
    </cfRule>
  </conditionalFormatting>
  <conditionalFormatting sqref="K74:K79">
    <cfRule type="colorScale" priority="1134">
      <colorScale>
        <cfvo type="percent" val="0"/>
        <cfvo type="percent" val="100"/>
        <color rgb="FFFF231B"/>
        <color rgb="FF10FF07"/>
      </colorScale>
    </cfRule>
  </conditionalFormatting>
  <conditionalFormatting sqref="K82:K85">
    <cfRule type="colorScale" priority="1147">
      <colorScale>
        <cfvo type="percent" val="0"/>
        <cfvo type="percent" val="100"/>
        <color rgb="FFFF231B"/>
        <color rgb="FF10FF07"/>
      </colorScale>
    </cfRule>
  </conditionalFormatting>
  <conditionalFormatting sqref="K88:K95">
    <cfRule type="colorScale" priority="1150">
      <colorScale>
        <cfvo type="percent" val="0"/>
        <cfvo type="percent" val="100"/>
        <color rgb="FFFF231B"/>
        <color rgb="FF10FF07"/>
      </colorScale>
    </cfRule>
  </conditionalFormatting>
  <conditionalFormatting sqref="AS23:AS33 O23:O34 Q23:Q34 V23:V34 X23:X34 AC23:AC34 AE23:AE34 AJ23:AJ34 AL23:AL34 AQ23:AQ34 AX23:AX34 AZ23:AZ34 BE23:BE34 BL23:BL34 BN23:BN34 BS23:BS34 BU23:BU34 BZ23:BZ34 CB23:CB34 CG23:CG34 CI23:CI34 CN23:CN34 CP23:CP34 CU23:CU34 CW23:CW34 DB23:DB34 DD23:DD34 DI23:DI34 DK23:DK34 DP23:DP34 DR23:DR34 DW23:DW34 DY23:DY34 ED23:ED34 EF23:EF34 EK23:EK34 EM23:EM34 ER23:ER34 ET23:ET34 BG25:BG34 O51:O56 Q51:Q56 V51:V56 X51:X56 AC51:AC56 AE51:AE56 AJ51:AJ56 AL51:AL56 AQ51:AQ56 AS51:AS56 O59:O63 Q59:Q63 V59:V63 X59:X63 AC59:AC63 AE59:AE63 AJ59:AJ63 AL59:AL63 AQ59:AQ63 AS59:AS63 O66:O71 Q66:Q71 V66:V71 X66:X71 AC66:AC71 AE66:AE71 AJ66:AJ71 AL66:AL71 AQ66:AQ71 AS66:AS71 O74:O79 Q74:Q79 V74:V79 X74:X79 AC74:AC79 AE74:AE79 AJ74:AJ79 AL74:AL79 AQ74:AQ79 AS74:AS79 O82:O85 Q82:Q85 V82:V85 X82:X85 AC82:AC85 AE82:AE85 AJ82:AJ85 AL82:AL85 AQ82:AQ85 AS82:AS85 AX82:AX85 AZ82:AZ85 BE82:BE85 BG82:BG85 BL82:BL85 BN82:BN85 BS82:BS85 BU82:BU85 BZ82:BZ85 CB82:CB85 CG82:CG85 CI82:CI85 CN82:CN85 CP82:CP85 CU82:CU85 CW82:CW85 DB82:DB85 DD82:DD85 DI82:DI85 DK82:DK85 DP82:DP85 DR82:DR85 DW82:DW85 DY82:DY85 ED82:ED85 EF82:EF85 EK82:EK85 EM82:EM85 ER82:ER85 ET82:ET85 O88:O95 Q88:Q95 V88:V95 X88:X95 AC88:AC95 AE88:AE95 AJ88:AJ95 AL88:AL95 AQ88:AQ95 AS88:AS95 AX88:AX95 AZ88:AZ95 BE88:BE95 BG88:BG95 BL88:BL95 BN88:BN95 BS88:BS95 BU88:BU95 BZ88:BZ95 CB88:CB95 CG88:CG95 CI88:CI95 CN88:CN95 CP88:CP95 CU88:CU95 CW88:CW95 DB88:DB95 DD88:DD95 DI88:DI95 DK88:DK95 DP88:DP95 DR88:DR95 DW88:DW95 DY88:DY95 ED88:ED95 EF88:EF95 EK88:EK95 EM88:EM95 ER88:ER95 ET88:ET95 O5:O20 Q5:Q20 V5:V20 X5:X20 AC5:AC20 AE5:AE20 AJ5:AJ20 AL5:AL20 AQ5:AQ20 AS5:AS20 AX5:AX20 AZ5:AZ20 BE5:BE20 BG5:BG20 BN5:BN20 BS5:BS20 BU5:BU20 BZ5:BZ20 CB5:CB20 CG5:CG20 CI5:CI20 CN5:CN20 CP5:CP20 CU5:CU20 CW5:CW20 DB5:DB20 DD5:DD20 DI5:DI20 DK5:DK20 DP5:DP20 DR5:DR20 DW5:DW20 DY5:DY20 ED5:ED20 EF5:EF20 EK5:EK20 EM5:EM20 ER5:ER20 ET5:ET20 BL6:BL20 O37:O48 Q37:Q48 V37:V48 X37:X48 AE37:AE48 AJ37:AJ48 AL37:AL48 AQ37:AQ48 AS37:AS48 AX37:AX48 AZ37:AZ48 BE37:BE48 BG37:BG48 BL37:BL48 BN37:BN48 BS37:BS48 BU37:BU48 BZ37:BZ48 CB37:CB48 CG37:CG48 CI37:CI48 CN37:CN48 CP37:CP48 CU37:CU48 CW37:CW48 DB37:DB48 DD37:DD48 DI37:DI48 DK37:DK48 DP37:DP48 DR37:DR48 DW37:DW48 DY37:DY48 ED37:ED48 EF37:EF48 EK37:EK48 EM37:EM48 ER37:ER48 ET37:ET48 AC38:AC48">
    <cfRule type="expression" dxfId="51" priority="817">
      <formula>OR(IF(O5&lt;P5,TRUE),IF(AND(P5="",O5&lt;&gt;""),TRUE))</formula>
    </cfRule>
    <cfRule type="expression" dxfId="50" priority="818">
      <formula>IF(O5&gt;=P5,IF(O5="",FALSE,TRUE))</formula>
    </cfRule>
  </conditionalFormatting>
  <conditionalFormatting sqref="AX51:AX56 AZ51:AZ56 AX59:AX63 AZ59:AZ63 AX66:AX71 AZ66:AZ71 AX74:AX79 AZ74:AZ79">
    <cfRule type="expression" dxfId="49" priority="183">
      <formula>OR(IF(AX51&lt;AY51,TRUE),IF(AND(AY51="",AX51&lt;&gt;""),TRUE))</formula>
    </cfRule>
    <cfRule type="expression" dxfId="48" priority="184">
      <formula>IF(AX51&gt;=AY51,IF(AX51="",FALSE,TRUE))</formula>
    </cfRule>
  </conditionalFormatting>
  <conditionalFormatting sqref="BE51:BE56 BG51:BG56 BE59:BE63 BG59:BG63 BE66:BE71 BG66:BG71 BE74:BE79 BG74:BG79">
    <cfRule type="expression" dxfId="47" priority="171">
      <formula>OR(IF(BE51&lt;BF51,TRUE),IF(AND(BF51="",BE51&lt;&gt;""),TRUE))</formula>
    </cfRule>
    <cfRule type="expression" dxfId="46" priority="172">
      <formula>IF(BE51&gt;=BF51,IF(BE51="",FALSE,TRUE))</formula>
    </cfRule>
  </conditionalFormatting>
  <conditionalFormatting sqref="BG23">
    <cfRule type="expression" dxfId="45" priority="3">
      <formula>OR(IF(BG23&lt;BH23,TRUE),IF(AND(BH23="",BG23&lt;&gt;""),TRUE))</formula>
    </cfRule>
    <cfRule type="expression" dxfId="44" priority="4">
      <formula>IF(BG23&gt;=BH23,IF(BG23="",FALSE,TRUE))</formula>
    </cfRule>
  </conditionalFormatting>
  <conditionalFormatting sqref="BG24 AS34">
    <cfRule type="expression" dxfId="43" priority="1143">
      <formula>OR(IF(AS24&lt;AT23,TRUE),IF(AND(AT23="",AS24&lt;&gt;""),TRUE))</formula>
    </cfRule>
    <cfRule type="expression" dxfId="42" priority="1144">
      <formula>IF(AS24&gt;=AT23,IF(AS24="",FALSE,TRUE))</formula>
    </cfRule>
  </conditionalFormatting>
  <conditionalFormatting sqref="BL51:BL56 BN51:BN56 BL59:BL63 BN59:BN63 BL66:BL71 BN66:BN71 BL74:BL79 BN74:BN79">
    <cfRule type="expression" dxfId="41" priority="159">
      <formula>OR(IF(BL51&lt;BM51,TRUE),IF(AND(BM51="",BL51&lt;&gt;""),TRUE))</formula>
    </cfRule>
    <cfRule type="expression" dxfId="40" priority="160">
      <formula>IF(BL51&gt;=BM51,IF(BL51="",FALSE,TRUE))</formula>
    </cfRule>
  </conditionalFormatting>
  <conditionalFormatting sqref="BS51:BS56 BU51:BU56 BS59:BS63 BU59:BU63 BS66:BS71 BU66:BU71 BS74:BS79 BU74:BU79">
    <cfRule type="expression" dxfId="39" priority="147">
      <formula>OR(IF(BS51&lt;BT51,TRUE),IF(AND(BT51="",BS51&lt;&gt;""),TRUE))</formula>
    </cfRule>
    <cfRule type="expression" dxfId="38" priority="148">
      <formula>IF(BS51&gt;=BT51,IF(BS51="",FALSE,TRUE))</formula>
    </cfRule>
  </conditionalFormatting>
  <conditionalFormatting sqref="BZ51:BZ56 CB51:CB56 BZ59:BZ63 CB59:CB63 BZ66:BZ71 CB66:CB71 BZ74:BZ79 CB74:CB79">
    <cfRule type="expression" dxfId="37" priority="135">
      <formula>OR(IF(BZ51&lt;CA51,TRUE),IF(AND(CA51="",BZ51&lt;&gt;""),TRUE))</formula>
    </cfRule>
    <cfRule type="expression" dxfId="36" priority="136">
      <formula>IF(BZ51&gt;=CA51,IF(BZ51="",FALSE,TRUE))</formula>
    </cfRule>
  </conditionalFormatting>
  <conditionalFormatting sqref="CG51:CG56 CI51:CI56 CG59:CG63 CI59:CI63 CG66:CG71 CI66:CI71 CG74:CG79 CI74:CI79">
    <cfRule type="expression" dxfId="35" priority="123">
      <formula>OR(IF(CG51&lt;CH51,TRUE),IF(AND(CH51="",CG51&lt;&gt;""),TRUE))</formula>
    </cfRule>
    <cfRule type="expression" dxfId="34" priority="124">
      <formula>IF(CG51&gt;=CH51,IF(CG51="",FALSE,TRUE))</formula>
    </cfRule>
  </conditionalFormatting>
  <conditionalFormatting sqref="CN51:CN56 CP51:CP56 CN59:CN63 CP59:CP63 CN66:CN71 CP66:CP71 CN74:CN79 CP74:CP79">
    <cfRule type="expression" dxfId="33" priority="111">
      <formula>OR(IF(CN51&lt;CO51,TRUE),IF(AND(CO51="",CN51&lt;&gt;""),TRUE))</formula>
    </cfRule>
    <cfRule type="expression" dxfId="32" priority="112">
      <formula>IF(CN51&gt;=CO51,IF(CN51="",FALSE,TRUE))</formula>
    </cfRule>
  </conditionalFormatting>
  <conditionalFormatting sqref="CU51:CU56 CW51:CW56 CU59:CU63 CW59:CW63 CU66:CU71 CW66:CW71 CU74:CU79 CW74:CW79">
    <cfRule type="expression" dxfId="31" priority="99">
      <formula>OR(IF(CU51&lt;CV51,TRUE),IF(AND(CV51="",CU51&lt;&gt;""),TRUE))</formula>
    </cfRule>
    <cfRule type="expression" dxfId="30" priority="100">
      <formula>IF(CU51&gt;=CV51,IF(CU51="",FALSE,TRUE))</formula>
    </cfRule>
  </conditionalFormatting>
  <conditionalFormatting sqref="DB51:DB56 DD51:DD56 DB59:DB63 DD59:DD63 DB66:DB71 DD66:DD71 DB74:DB79 DD74:DD79">
    <cfRule type="expression" dxfId="29" priority="87">
      <formula>OR(IF(DB51&lt;DC51,TRUE),IF(AND(DC51="",DB51&lt;&gt;""),TRUE))</formula>
    </cfRule>
    <cfRule type="expression" dxfId="28" priority="88">
      <formula>IF(DB51&gt;=DC51,IF(DB51="",FALSE,TRUE))</formula>
    </cfRule>
  </conditionalFormatting>
  <conditionalFormatting sqref="DI51:DI56 DK51:DK56 DI59:DI63 DK59:DK63 DI66:DI71 DK66:DK71 DI74:DI79 DK74:DK79">
    <cfRule type="expression" dxfId="27" priority="75">
      <formula>OR(IF(DI51&lt;DJ51,TRUE),IF(AND(DJ51="",DI51&lt;&gt;""),TRUE))</formula>
    </cfRule>
    <cfRule type="expression" dxfId="26" priority="76">
      <formula>IF(DI51&gt;=DJ51,IF(DI51="",FALSE,TRUE))</formula>
    </cfRule>
  </conditionalFormatting>
  <conditionalFormatting sqref="DP51:DP56 DR51:DR56 DP59:DP63 DR59:DR63 DP66:DP71 DR66:DR71 DP74:DP79 DR74:DR79">
    <cfRule type="expression" dxfId="25" priority="63">
      <formula>OR(IF(DP51&lt;DQ51,TRUE),IF(AND(DQ51="",DP51&lt;&gt;""),TRUE))</formula>
    </cfRule>
    <cfRule type="expression" dxfId="24" priority="64">
      <formula>IF(DP51&gt;=DQ51,IF(DP51="",FALSE,TRUE))</formula>
    </cfRule>
  </conditionalFormatting>
  <conditionalFormatting sqref="DW51:DW56 DY51:DY56 DW59:DW63 DY59:DY63 DW66:DW71 DY66:DY71 DW74:DW79 DY74:DY79">
    <cfRule type="expression" dxfId="23" priority="51">
      <formula>OR(IF(DW51&lt;DX51,TRUE),IF(AND(DX51="",DW51&lt;&gt;""),TRUE))</formula>
    </cfRule>
    <cfRule type="expression" dxfId="22" priority="52">
      <formula>IF(DW51&gt;=DX51,IF(DW51="",FALSE,TRUE))</formula>
    </cfRule>
  </conditionalFormatting>
  <conditionalFormatting sqref="ED51:ED56 EF51:EF56 ED59:ED63 EF59:EF63 ED66:ED71 EF66:EF71 ED74:ED79 EF74:EF79">
    <cfRule type="expression" dxfId="21" priority="39">
      <formula>OR(IF(ED51&lt;EE51,TRUE),IF(AND(EE51="",ED51&lt;&gt;""),TRUE))</formula>
    </cfRule>
    <cfRule type="expression" dxfId="20" priority="40">
      <formula>IF(ED51&gt;=EE51,IF(ED51="",FALSE,TRUE))</formula>
    </cfRule>
  </conditionalFormatting>
  <conditionalFormatting sqref="EK51:EK56 EM51:EM56 EK59:EK63 EM59:EM63 EK66:EK71 EM66:EM71 EK74:EK79 EM74:EM79">
    <cfRule type="expression" dxfId="19" priority="27">
      <formula>OR(IF(EK51&lt;EL51,TRUE),IF(AND(EL51="",EK51&lt;&gt;""),TRUE))</formula>
    </cfRule>
    <cfRule type="expression" dxfId="18" priority="28">
      <formula>IF(EK51&gt;=EL51,IF(EK51="",FALSE,TRUE))</formula>
    </cfRule>
  </conditionalFormatting>
  <conditionalFormatting sqref="ER51:ER56 ET51:ET56 ER59:ER63 ET59:ET63 ER66:ER71 ET66:ET71 ER74:ER79 ET74:ET79">
    <cfRule type="expression" dxfId="17" priority="15">
      <formula>OR(IF(ER51&lt;ES51,TRUE),IF(AND(ES51="",ER51&lt;&gt;""),TRUE))</formula>
    </cfRule>
    <cfRule type="expression" dxfId="16" priority="16">
      <formula>IF(ER51&gt;=ES51,IF(ER51="",FALSE,TRUE))</formula>
    </cfRule>
  </conditionalFormatting>
  <conditionalFormatting sqref="J10:K20">
    <cfRule type="colorScale" priority="1160">
      <colorScale>
        <cfvo type="percent" val="0"/>
        <cfvo type="percent" val="100"/>
        <color rgb="FFFF231B"/>
        <color rgb="FF10FF07"/>
      </colorScale>
    </cfRule>
  </conditionalFormatting>
  <conditionalFormatting sqref="J5:J20">
    <cfRule type="colorScale" priority="1324">
      <colorScale>
        <cfvo type="percent" val="0"/>
        <cfvo type="percent" val="100"/>
        <color rgb="FFFF231B"/>
        <color rgb="FF10FF07"/>
      </colorScale>
    </cfRule>
  </conditionalFormatting>
  <conditionalFormatting sqref="K5:K20">
    <cfRule type="colorScale" priority="1326">
      <colorScale>
        <cfvo type="percent" val="0"/>
        <cfvo type="percent" val="100"/>
        <color rgb="FFFF231B"/>
        <color rgb="FF10FF07"/>
      </colorScale>
    </cfRule>
  </conditionalFormatting>
  <conditionalFormatting sqref="BL5">
    <cfRule type="expression" dxfId="15" priority="1">
      <formula>OR(IF(BL5&lt;BM5,TRUE),IF(AND(BM5="",BL5&lt;&gt;""),TRUE))</formula>
    </cfRule>
    <cfRule type="expression" dxfId="14" priority="2">
      <formula>IF(BL5&gt;=BM5,IF(BL5="",FALSE,TRUE))</formula>
    </cfRule>
  </conditionalFormatting>
  <conditionalFormatting sqref="AC37">
    <cfRule type="expression" dxfId="13" priority="1329">
      <formula>OR(IF(AC37&lt;AD38,TRUE),IF(AND(AD38="",AC37&lt;&gt;""),TRUE))</formula>
    </cfRule>
    <cfRule type="expression" dxfId="12" priority="1330">
      <formula>IF(AC37&gt;=AD38,IF(AC37="",FALSE,TRUE))</formula>
    </cfRule>
  </conditionalFormatting>
  <conditionalFormatting sqref="J37:J48">
    <cfRule type="colorScale" priority="1331">
      <colorScale>
        <cfvo type="percent" val="0"/>
        <cfvo type="percent" val="100"/>
        <color rgb="FFFF231B"/>
        <color rgb="FF10FF07"/>
      </colorScale>
    </cfRule>
  </conditionalFormatting>
  <conditionalFormatting sqref="J38:K48">
    <cfRule type="colorScale" priority="1332">
      <colorScale>
        <cfvo type="percent" val="0"/>
        <cfvo type="percent" val="100"/>
        <color rgb="FFFF231B"/>
        <color rgb="FF10FF07"/>
      </colorScale>
    </cfRule>
  </conditionalFormatting>
  <conditionalFormatting sqref="K37:K48">
    <cfRule type="colorScale" priority="1333">
      <colorScale>
        <cfvo type="percent" val="0"/>
        <cfvo type="percent" val="100"/>
        <color rgb="FFFF231B"/>
        <color rgb="FF10FF07"/>
      </colorScale>
    </cfRule>
  </conditionalFormatting>
  <dataValidations count="1">
    <dataValidation type="list" allowBlank="1" showInputMessage="1" showErrorMessage="1" sqref="AC59:AF63 O88:R95 O51:R56 AJ51:AM56 DI37:DL48 AC51:AF56 V51:Y56 AJ59:AM63 CU51:CX56 V59:Y63 O59:R63 AC66:AF71 AJ66:AM71 DB59:DE63 V66:Y71 O66:R71 AJ74:AM79 AQ74:AT79 AC74:AF79 V74:Y79 O74:R79 AJ82:AM85 AQ82:AT85 AC82:AF85 V82:Y85 O82:R85 AJ88:AM95 AQ88:AT95 AC88:AF95 V88:Y95 AQ51:AT56 AQ59:AT63 AQ66:AT71 AX74:BA79 AX82:BA85 AX88:BA95 AX51:BA56 AX59:BA63 AX66:BA71 BE74:BH79 BE82:BH85 BE88:BH95 BE51:BH56 BE59:BH63 BE66:BH71 BL74:BO79 BL82:BO85 BL88:BO95 BL51:BO56 BL59:BO63 BL66:BO71 DB66:DE71 BS82:BV85 BS88:BV95 BS51:BV56 BS59:BV63 BS66:BV71 BS74:BV79 BZ82:CC85 BZ88:CC95 BZ51:CC56 BZ59:CC63 BZ66:CC71 BZ74:CC79 CG82:CJ85 CG88:CJ95 CG51:CJ56 CG59:CJ63 CG66:CJ71 CG74:CJ79 CN82:CQ85 CN88:CQ95 CN51:CQ56 CN59:CQ63 CN66:CQ71 CN74:CQ79 CU82:CX85 CU88:CX95 DB51:DE56 CU59:CX63 CU66:CX71 DI74:DL79 DP74:DS79 DI51:DL56 DP37:DS48 DI59:DL63 DI66:DL71 DI82:DL85 DB74:DE79 DP51:DS56 DP59:DS63 DP66:DS71 CU74:CX79 DP82:DS85 DP88:DS95 DW51:DZ56 DW59:DZ63 DW66:DZ71 DW74:DZ79 DW82:DZ85 DW88:DZ95 ED51:EG56 ED59:EG63 ED66:EG71 ED74:EG79 ED82:EG85 ED88:EG95 EK51:EN56 EK59:EN63 EK66:EN71 EK74:EN79 EK82:EN85 EK88:EN95 DB82:DE85 DB5:DE20 ER51:EU56 ER59:EU63 ER66:EU71 ER74:EU79 ER82:EU85 ER88:EU95 ER37:EU48 ER23:EU34 EK23:EN34 ED23:EG34 DW23:DZ34 DP23:DS34 DI23:DL34 AX23:BA34 DB23:DE34 CU23:CX34 CN23:CQ34 CG23:CJ34 BZ23:CC34 BS23:BV34 BL23:BO34 ER5:EU20 AQ23:AT34 O23:R34 AC23:AF34 V23:Y34 AJ23:AM34 AJ37:AM48 AC37:AF48 O37:R48 AQ37:AT48 AX37:BA48 BE37:BH48 BL37:BO48 BS37:BV48 BZ37:CC48 CG37:CJ48 CN37:CQ48 CU37:CX48 DB37:DE48 CN5:CQ20 DW37:DZ48 ED37:EG48 EK37:EN48 O5:R20 AJ5:AM20 AC5:AF20 DI88:DL95 V5:Y20 AT5:AT13 BA15:BA20 BO15:BO20 BV5:BV13 BZ5:CC20 CU5:CX20 CG5:CJ20 DI5:DL20 BE23:BH34 DP5:DS20 DW5:DZ20 ED5:EG20 EK5:EN20 AT15:AT20 AQ5:AS20 AX5:AX20 AY15:AY20 AY5:AY13 AZ5:AZ20 BA5:BA13 BE5:BE20 BF5:BF13 BF15:BF20 BG5:BG20 BH5:BH13 BH15:BH20 BM15:BM20 BL5:BL20 BM5:BM13 BN5:BN20 BO5:BO13 BS5:BS20 BT15:BT20 BV15:BV20 BU5:BU20 BT5:BT13 V37:Y48 DB88:DE95"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5"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C2" sqref="C2"/>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4" zoomScale="117" workbookViewId="0">
      <selection activeCell="B47" sqref="B47"/>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Dmytro Oksak</cp:lastModifiedBy>
  <dcterms:created xsi:type="dcterms:W3CDTF">2020-04-19T13:33:28Z</dcterms:created>
  <dcterms:modified xsi:type="dcterms:W3CDTF">2025-10-16T12:16:03Z</dcterms:modified>
</cp:coreProperties>
</file>