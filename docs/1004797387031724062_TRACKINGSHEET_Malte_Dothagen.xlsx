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Malte/Desktop/"/>
    </mc:Choice>
  </mc:AlternateContent>
  <xr:revisionPtr revIDLastSave="0" documentId="13_ncr:1_{06D3100D-4E29-0348-9DA7-AD95D25E7A68}" xr6:coauthVersionLast="36" xr6:coauthVersionMax="47" xr10:uidLastSave="{00000000-0000-0000-0000-000000000000}"/>
  <bookViews>
    <workbookView xWindow="8940" yWindow="3240" windowWidth="35840" windowHeight="22400" activeTab="1" xr2:uid="{50F29292-BE80-0C47-A0D2-DD086CB3D310}"/>
  </bookViews>
  <sheets>
    <sheet name="ANLEITUNG" sheetId="10" r:id="rId1"/>
    <sheet name="Semesterplan" sheetId="7" r:id="rId2"/>
    <sheet name="Best-Practices" sheetId="2" r:id="rId3"/>
    <sheet name="COMMITTMENT" sheetId="9" r:id="rId4"/>
    <sheet name="Wochenplan KW 35" sheetId="3" r:id="rId5"/>
    <sheet name="Wochenplan KW 36" sheetId="8" r:id="rId6"/>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4" i="7" l="1"/>
  <c r="N16" i="7" l="1"/>
  <c r="F16" i="7"/>
  <c r="N91" i="7" l="1"/>
  <c r="N90" i="7" s="1"/>
  <c r="N89" i="7" s="1"/>
  <c r="N88" i="7" l="1"/>
  <c r="N78" i="7"/>
  <c r="G16" i="7"/>
  <c r="I78" i="7" l="1"/>
  <c r="J78" i="7" a="1"/>
  <c r="J78" i="7" s="1"/>
  <c r="K78" i="7" a="1"/>
  <c r="K78" i="7" s="1"/>
  <c r="N87" i="7"/>
  <c r="N77" i="7"/>
  <c r="K12" i="7" a="1"/>
  <c r="K12" i="7" s="1"/>
  <c r="J12" i="7" a="1"/>
  <c r="J12" i="7" s="1"/>
  <c r="I12" i="7"/>
  <c r="K11" i="7" a="1"/>
  <c r="K11" i="7" s="1"/>
  <c r="J11" i="7" a="1"/>
  <c r="J11" i="7" s="1"/>
  <c r="I11" i="7"/>
  <c r="K10" i="7" a="1"/>
  <c r="K10" i="7" s="1"/>
  <c r="J10" i="7" a="1"/>
  <c r="J10" i="7" s="1"/>
  <c r="I10" i="7"/>
  <c r="K9" i="7" a="1"/>
  <c r="K9" i="7" s="1"/>
  <c r="J9" i="7" a="1"/>
  <c r="J9" i="7" s="1"/>
  <c r="I9" i="7"/>
  <c r="N86" i="7" l="1"/>
  <c r="N76" i="7"/>
  <c r="I77" i="7"/>
  <c r="J77" i="7" a="1"/>
  <c r="J77" i="7" s="1"/>
  <c r="K77" i="7" a="1"/>
  <c r="K77" i="7" s="1"/>
  <c r="C11" i="10"/>
  <c r="C7" i="10"/>
  <c r="I91" i="7"/>
  <c r="I90" i="7"/>
  <c r="I89" i="7"/>
  <c r="I88" i="7"/>
  <c r="I87" i="7"/>
  <c r="I86" i="7"/>
  <c r="G81" i="7"/>
  <c r="G45" i="7"/>
  <c r="C12" i="10"/>
  <c r="K14" i="7" a="1"/>
  <c r="K14" i="7" s="1"/>
  <c r="J14" i="7" a="1"/>
  <c r="J14" i="7" s="1"/>
  <c r="K13" i="7" a="1"/>
  <c r="K13" i="7" s="1"/>
  <c r="J13" i="7" a="1"/>
  <c r="J13" i="7" s="1"/>
  <c r="K8" i="7" a="1"/>
  <c r="K8" i="7" s="1"/>
  <c r="J8" i="7" a="1"/>
  <c r="J8" i="7" s="1"/>
  <c r="K7" i="7" a="1"/>
  <c r="K7" i="7" s="1"/>
  <c r="J7" i="7" a="1"/>
  <c r="J7" i="7" s="1"/>
  <c r="K6" i="7" a="1"/>
  <c r="K6" i="7" s="1"/>
  <c r="J6" i="7" a="1"/>
  <c r="J6" i="7" s="1"/>
  <c r="K5" i="7" a="1"/>
  <c r="K5" i="7" s="1"/>
  <c r="J5" i="7" a="1"/>
  <c r="J5" i="7" s="1"/>
  <c r="G4" i="7"/>
  <c r="I28" i="7"/>
  <c r="I27" i="7"/>
  <c r="I13" i="7"/>
  <c r="I14" i="7"/>
  <c r="G30" i="7"/>
  <c r="J76" i="7" l="1" a="1"/>
  <c r="J76" i="7" s="1"/>
  <c r="I76" i="7"/>
  <c r="K76" i="7" a="1"/>
  <c r="K76" i="7" s="1"/>
  <c r="N85" i="7"/>
  <c r="N75" i="7"/>
  <c r="N84" i="7" l="1"/>
  <c r="N74" i="7"/>
  <c r="I85" i="7"/>
  <c r="K75" i="7" a="1"/>
  <c r="K75" i="7" s="1"/>
  <c r="I75" i="7"/>
  <c r="J75" i="7" a="1"/>
  <c r="J75" i="7" s="1"/>
  <c r="I74" i="7" l="1"/>
  <c r="J74" i="7" a="1"/>
  <c r="J74" i="7" s="1"/>
  <c r="K74" i="7" a="1"/>
  <c r="K74" i="7" s="1"/>
  <c r="N83" i="7"/>
  <c r="N73" i="7"/>
  <c r="I84" i="7"/>
  <c r="N82" i="7" l="1"/>
  <c r="N72" i="7"/>
  <c r="I83" i="7"/>
  <c r="I73" i="7"/>
  <c r="J73" i="7" a="1"/>
  <c r="J73" i="7" s="1"/>
  <c r="K73" i="7" a="1"/>
  <c r="K73" i="7" s="1"/>
  <c r="K72" i="7" l="1" a="1"/>
  <c r="K72" i="7" s="1"/>
  <c r="I72" i="7"/>
  <c r="J72" i="7" a="1"/>
  <c r="J72" i="7" s="1"/>
  <c r="N71" i="7"/>
  <c r="N81" i="7"/>
  <c r="I82" i="7"/>
  <c r="I81" i="7" s="1"/>
  <c r="K71" i="7" l="1" a="1"/>
  <c r="K71" i="7" s="1"/>
  <c r="I71" i="7"/>
  <c r="J71" i="7" a="1"/>
  <c r="J71" i="7" s="1"/>
  <c r="N69" i="7"/>
  <c r="N70" i="7"/>
  <c r="N79" i="7"/>
  <c r="I69" i="7" l="1"/>
  <c r="J69" i="7" a="1"/>
  <c r="J69" i="7" s="1"/>
  <c r="K69" i="7" a="1"/>
  <c r="K69" i="7" s="1"/>
  <c r="N68" i="7"/>
  <c r="J79" i="7" a="1"/>
  <c r="J79" i="7" s="1"/>
  <c r="K79" i="7" a="1"/>
  <c r="K79" i="7" s="1"/>
  <c r="I79" i="7"/>
  <c r="J70" i="7" a="1"/>
  <c r="J70" i="7" s="1"/>
  <c r="I70" i="7"/>
  <c r="K70" i="7" a="1"/>
  <c r="K70" i="7" s="1"/>
  <c r="I68" i="7" l="1"/>
  <c r="N67" i="7"/>
  <c r="K68" i="7" a="1"/>
  <c r="K68" i="7" s="1"/>
  <c r="J68" i="7" a="1"/>
  <c r="J68" i="7" s="1"/>
  <c r="J67" i="7" l="1" a="1"/>
  <c r="J67" i="7" s="1"/>
  <c r="K67" i="7" a="1"/>
  <c r="K67" i="7" s="1"/>
  <c r="I67" i="7"/>
  <c r="N66" i="7"/>
  <c r="I66" i="7" l="1"/>
  <c r="N65" i="7"/>
  <c r="J66" i="7" a="1"/>
  <c r="J66" i="7" s="1"/>
  <c r="K66" i="7" a="1"/>
  <c r="K66" i="7" s="1"/>
  <c r="K65" i="7" l="1" a="1"/>
  <c r="K65" i="7" s="1"/>
  <c r="I65" i="7"/>
  <c r="J65" i="7" a="1"/>
  <c r="J65" i="7" s="1"/>
  <c r="N64" i="7"/>
  <c r="N63" i="7" l="1"/>
  <c r="I64" i="7"/>
  <c r="J64" i="7" a="1"/>
  <c r="J64" i="7" s="1"/>
  <c r="K64" i="7" a="1"/>
  <c r="K64" i="7" s="1"/>
  <c r="N54" i="7" l="1"/>
  <c r="I63" i="7"/>
  <c r="N62" i="7"/>
  <c r="J63" i="7" a="1"/>
  <c r="J63" i="7" s="1"/>
  <c r="K63" i="7" a="1"/>
  <c r="K63" i="7" s="1"/>
  <c r="K54" i="7" l="1" a="1"/>
  <c r="K54" i="7" s="1"/>
  <c r="J54" i="7" a="1"/>
  <c r="J54" i="7" s="1"/>
  <c r="I54" i="7"/>
  <c r="N53" i="7"/>
  <c r="K62" i="7" a="1"/>
  <c r="K62" i="7" s="1"/>
  <c r="I62" i="7"/>
  <c r="N61" i="7"/>
  <c r="J62" i="7" a="1"/>
  <c r="J62" i="7" s="1"/>
  <c r="J53" i="7" l="1" a="1"/>
  <c r="J53" i="7" s="1"/>
  <c r="K53" i="7" a="1"/>
  <c r="K53" i="7" s="1"/>
  <c r="I53" i="7"/>
  <c r="N52" i="7"/>
  <c r="K61" i="7" a="1"/>
  <c r="K61" i="7" s="1"/>
  <c r="I61" i="7"/>
  <c r="N60" i="7"/>
  <c r="J61" i="7" a="1"/>
  <c r="J61" i="7" s="1"/>
  <c r="I52" i="7" l="1"/>
  <c r="J52" i="7" a="1"/>
  <c r="J52" i="7" s="1"/>
  <c r="K52" i="7" a="1"/>
  <c r="K52" i="7" s="1"/>
  <c r="N51" i="7"/>
  <c r="K60" i="7" a="1"/>
  <c r="K60" i="7" s="1"/>
  <c r="J60" i="7" a="1"/>
  <c r="J60" i="7" s="1"/>
  <c r="I60" i="7"/>
  <c r="N59" i="7"/>
  <c r="N50" i="7" l="1"/>
  <c r="I59" i="7"/>
  <c r="K59" i="7" a="1"/>
  <c r="K59" i="7" s="1"/>
  <c r="N58" i="7"/>
  <c r="J59" i="7" a="1"/>
  <c r="J59" i="7" s="1"/>
  <c r="J51" i="7" a="1"/>
  <c r="J51" i="7" s="1"/>
  <c r="I51" i="7"/>
  <c r="K51" i="7" a="1"/>
  <c r="K51" i="7" s="1"/>
  <c r="N49" i="7" l="1"/>
  <c r="J58" i="7" a="1"/>
  <c r="J58" i="7" s="1"/>
  <c r="I58" i="7"/>
  <c r="K58" i="7" a="1"/>
  <c r="K58" i="7" s="1"/>
  <c r="N57" i="7"/>
  <c r="K50" i="7" a="1"/>
  <c r="K50" i="7" s="1"/>
  <c r="I50" i="7"/>
  <c r="J50" i="7" a="1"/>
  <c r="J50" i="7" s="1"/>
  <c r="N48" i="7" l="1"/>
  <c r="K57" i="7" a="1"/>
  <c r="K57" i="7" s="1"/>
  <c r="J57" i="7" a="1"/>
  <c r="J57" i="7" s="1"/>
  <c r="I57" i="7"/>
  <c r="N56" i="7"/>
  <c r="I49" i="7"/>
  <c r="K49" i="7" a="1"/>
  <c r="K49" i="7" s="1"/>
  <c r="J49" i="7" a="1"/>
  <c r="J49" i="7" s="1"/>
  <c r="N47" i="7" l="1"/>
  <c r="J56" i="7" a="1"/>
  <c r="J56" i="7" s="1"/>
  <c r="I56" i="7"/>
  <c r="K56" i="7" a="1"/>
  <c r="K56" i="7" s="1"/>
  <c r="N55" i="7"/>
  <c r="N42" i="7"/>
  <c r="I48" i="7"/>
  <c r="J48" i="7" a="1"/>
  <c r="J48" i="7" s="1"/>
  <c r="K48" i="7" a="1"/>
  <c r="K48" i="7" s="1"/>
  <c r="K42" i="7" l="1" a="1"/>
  <c r="K42" i="7" s="1"/>
  <c r="J42" i="7" a="1"/>
  <c r="J42" i="7" s="1"/>
  <c r="I42" i="7"/>
  <c r="K55" i="7" a="1"/>
  <c r="K55" i="7" s="1"/>
  <c r="J55" i="7" a="1"/>
  <c r="J55" i="7" s="1"/>
  <c r="I55" i="7"/>
  <c r="N46" i="7"/>
  <c r="N41" i="7"/>
  <c r="K47" i="7" a="1"/>
  <c r="K47" i="7" s="1"/>
  <c r="I47" i="7"/>
  <c r="J47" i="7" a="1"/>
  <c r="J47" i="7" s="1"/>
  <c r="J41" i="7" l="1" a="1"/>
  <c r="J41" i="7" s="1"/>
  <c r="I41" i="7"/>
  <c r="K41" i="7" a="1"/>
  <c r="K41" i="7" s="1"/>
  <c r="N45" i="7"/>
  <c r="N40" i="7"/>
  <c r="I46" i="7"/>
  <c r="I45" i="7" s="1"/>
  <c r="K46" i="7" a="1"/>
  <c r="K46" i="7" s="1"/>
  <c r="K45" i="7" s="1"/>
  <c r="J46" i="7" a="1"/>
  <c r="J46" i="7" s="1"/>
  <c r="J45" i="7" s="1"/>
  <c r="N38" i="7" l="1"/>
  <c r="N39" i="7"/>
  <c r="N43" i="7"/>
  <c r="K40" i="7" a="1"/>
  <c r="K40" i="7" s="1"/>
  <c r="J40" i="7" a="1"/>
  <c r="J40" i="7" s="1"/>
  <c r="I40" i="7"/>
  <c r="N37" i="7" l="1"/>
  <c r="I43" i="7"/>
  <c r="J43" i="7" a="1"/>
  <c r="J43" i="7" s="1"/>
  <c r="K43" i="7" a="1"/>
  <c r="K43" i="7" s="1"/>
  <c r="J39" i="7" a="1"/>
  <c r="J39" i="7" s="1"/>
  <c r="I39" i="7"/>
  <c r="K39" i="7" a="1"/>
  <c r="K39" i="7" s="1"/>
  <c r="K38" i="7" a="1"/>
  <c r="K38" i="7" s="1"/>
  <c r="J38" i="7" a="1"/>
  <c r="J38" i="7" s="1"/>
  <c r="I38" i="7"/>
  <c r="N36" i="7" l="1"/>
  <c r="K37" i="7" a="1"/>
  <c r="K37" i="7" s="1"/>
  <c r="J37" i="7" a="1"/>
  <c r="J37" i="7" s="1"/>
  <c r="I37" i="7"/>
  <c r="I36" i="7" l="1"/>
  <c r="K36" i="7" a="1"/>
  <c r="K36" i="7" s="1"/>
  <c r="J36" i="7" a="1"/>
  <c r="J36" i="7" s="1"/>
  <c r="N35" i="7"/>
  <c r="N34" i="7" l="1"/>
  <c r="K35" i="7" a="1"/>
  <c r="K35" i="7" s="1"/>
  <c r="J35" i="7" a="1"/>
  <c r="J35" i="7" s="1"/>
  <c r="I35" i="7"/>
  <c r="J34" i="7" l="1" a="1"/>
  <c r="J34" i="7" s="1"/>
  <c r="N33" i="7"/>
  <c r="N32" i="7" s="1"/>
  <c r="I34" i="7"/>
  <c r="K34" i="7" a="1"/>
  <c r="K34" i="7" s="1"/>
  <c r="I32" i="7" l="1"/>
  <c r="J32" i="7" a="1"/>
  <c r="J32" i="7" s="1"/>
  <c r="K32" i="7" a="1"/>
  <c r="K32" i="7" s="1"/>
  <c r="I33" i="7"/>
  <c r="J33" i="7" a="1"/>
  <c r="J33" i="7" s="1"/>
  <c r="J26" i="7" s="1"/>
  <c r="K33" i="7" a="1"/>
  <c r="K33" i="7" s="1"/>
  <c r="K26" i="7" s="1"/>
  <c r="N31" i="7" l="1"/>
  <c r="J25" i="7"/>
  <c r="K25" i="7"/>
  <c r="N30" i="7" l="1"/>
  <c r="I31" i="7"/>
  <c r="I30" i="7" s="1"/>
  <c r="K31" i="7" a="1"/>
  <c r="K31" i="7" s="1"/>
  <c r="J31" i="7" a="1"/>
  <c r="J31" i="7" s="1"/>
  <c r="J24" i="7" l="1"/>
  <c r="J30" i="7"/>
  <c r="K30" i="7"/>
  <c r="K24" i="7"/>
  <c r="K28" i="7" l="1"/>
  <c r="K23" i="7"/>
  <c r="K22" i="7"/>
  <c r="J22" i="7"/>
  <c r="J28" i="7"/>
  <c r="J23" i="7"/>
  <c r="J27" i="7" l="1"/>
  <c r="J20" i="7" s="1"/>
  <c r="J21" i="7"/>
  <c r="K27" i="7"/>
  <c r="K20" i="7" s="1"/>
  <c r="K21" i="7"/>
  <c r="J19" i="7" l="1"/>
  <c r="J18" i="7" s="1"/>
  <c r="J17" i="7" s="1"/>
  <c r="J16" i="7" s="1"/>
  <c r="K19" i="7"/>
  <c r="K18" i="7" s="1"/>
  <c r="K17" i="7" s="1"/>
  <c r="K16" i="7"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<sst xmlns="http://schemas.openxmlformats.org/spreadsheetml/2006/main" count="457" uniqueCount="195">
  <si>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</si>
  <si>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</si>
  <si>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</si>
  <si>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</si>
  <si>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</si>
  <si>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</si>
  <si>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</si>
  <si>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</si>
  <si>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</si>
  <si>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</si>
  <si>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</si>
  <si>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</si>
  <si>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</si>
  <si>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</si>
  <si>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</si>
  <si>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</si>
  <si>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</si>
  <si>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</si>
  <si>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</si>
  <si>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</si>
  <si>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</si>
  <si>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</si>
  <si>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</si>
  <si>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</si>
  <si>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</si>
  <si>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</si>
  <si>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</si>
  <si>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</si>
  <si>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</si>
  <si>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</si>
  <si>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</si>
  <si>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</si>
  <si>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</si>
  <si>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</si>
  <si>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</si>
  <si>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</si>
  <si>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</si>
  <si>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</si>
  <si>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</si>
  <si>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</si>
  <si>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</si>
  <si>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</si>
  <si>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</si>
  <si>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</si>
  <si>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</si>
  <si>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</si>
  <si>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</si>
  <si>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</si>
  <si>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</si>
  <si>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</si>
  <si>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</si>
  <si>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</si>
  <si>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</si>
  <si>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</si>
  <si>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</si>
  <si>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</si>
  <si>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</si>
  <si>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</si>
  <si>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</si>
  <si>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</si>
  <si>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</si>
  <si>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</si>
  <si>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</si>
  <si>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</si>
  <si>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</si>
  <si>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</si>
  <si>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</si>
  <si>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</si>
  <si>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</si>
  <si>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</si>
  <si>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</si>
  <si>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</si>
  <si>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</si>
  <si>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</si>
  <si>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</si>
  <si>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</si>
  <si>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</si>
  <si>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</si>
  <si>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</si>
  <si>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</si>
  <si>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</si>
  <si>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</si>
  <si>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</si>
  <si>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</si>
  <si>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</si>
  <si>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</si>
  <si>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KLAUSUREN!!!</t>
  </si>
  <si>
    <t>Principles of Management</t>
  </si>
  <si>
    <t xml:space="preserve">Financial Accounting </t>
  </si>
  <si>
    <t>Introduction to Prgramming</t>
  </si>
  <si>
    <t xml:space="preserve">Mathematics </t>
  </si>
  <si>
    <t>Analytical Thinking &amp; Critical Reasoning</t>
  </si>
  <si>
    <t>KW 35</t>
  </si>
  <si>
    <t>KW 36</t>
  </si>
  <si>
    <t>KW 37</t>
  </si>
  <si>
    <t>KW 38</t>
  </si>
  <si>
    <t>KW 39</t>
  </si>
  <si>
    <t>KW 40</t>
  </si>
  <si>
    <t>KW 41</t>
  </si>
  <si>
    <t>1) Excel Basics</t>
  </si>
  <si>
    <t xml:space="preserve">2) Creating Charts </t>
  </si>
  <si>
    <t>3) Advanced Excel</t>
  </si>
  <si>
    <t>4) Conditional Strutures</t>
  </si>
  <si>
    <t>5) Lookup Functions</t>
  </si>
  <si>
    <t xml:space="preserve">6) Optimization </t>
  </si>
  <si>
    <t>7) Pivot Tables</t>
  </si>
  <si>
    <t xml:space="preserve">1) Introduction to Management  </t>
  </si>
  <si>
    <t>2) Business Enviroment</t>
  </si>
  <si>
    <t>3) Decision Making</t>
  </si>
  <si>
    <t>4) Planning &amp; Strategy</t>
  </si>
  <si>
    <t>1) Moral Theories</t>
  </si>
  <si>
    <t>Folgen und Reihen</t>
  </si>
  <si>
    <t>Introduction to Excel</t>
  </si>
  <si>
    <t>Introduction to Python</t>
  </si>
  <si>
    <t xml:space="preserve"> </t>
  </si>
  <si>
    <t>Klausuren Früh</t>
  </si>
  <si>
    <t>KW 44</t>
  </si>
  <si>
    <t>KW 45</t>
  </si>
  <si>
    <t>KW 46</t>
  </si>
  <si>
    <t>KW 47</t>
  </si>
  <si>
    <t>KW 48</t>
  </si>
  <si>
    <t>KW 49</t>
  </si>
  <si>
    <t>0%%</t>
  </si>
  <si>
    <t>10) Powerty &amp; Conclusion</t>
  </si>
  <si>
    <t>9) Exploitation</t>
  </si>
  <si>
    <t xml:space="preserve">2) Moral Methods </t>
  </si>
  <si>
    <t>3) Privates Proverty</t>
  </si>
  <si>
    <t>4) Markets, their values &amp; limits</t>
  </si>
  <si>
    <t>5) /</t>
  </si>
  <si>
    <t>6) /</t>
  </si>
  <si>
    <t>8) Justice and Fairness</t>
  </si>
  <si>
    <t>7) Justice and Entitlement</t>
  </si>
  <si>
    <t xml:space="preserve">9) Grundlagen zur IFRS-Bilanzierung </t>
  </si>
  <si>
    <t xml:space="preserve">1) Externes/Internes Rech. &amp; Bilanzierung </t>
  </si>
  <si>
    <t>2) Rechungslegung kapitalmarktorientieter Unternehmen</t>
  </si>
  <si>
    <t>3) Buchführung Teil 1</t>
  </si>
  <si>
    <t xml:space="preserve">4) Buchführung Teil 2 </t>
  </si>
  <si>
    <t>5) Buchungssätze</t>
  </si>
  <si>
    <t>6) HGB &amp; IFRS Bilanzierung</t>
  </si>
  <si>
    <t>7) Bilanzierung: Immatrielle &amp; finanzieller Vermögenswerte &amp; Vorräte</t>
  </si>
  <si>
    <t>8) Bilanzierung: Sachanlagevermögen</t>
  </si>
  <si>
    <t>11) Darstellung der Ertragslage</t>
  </si>
  <si>
    <t>12) Finanzanalyse</t>
  </si>
  <si>
    <t xml:space="preserve">10) Grundlagen zu Ansatz und Bewertung (Selbststudium) </t>
  </si>
  <si>
    <t>Semesterplan (1. Semester)</t>
  </si>
  <si>
    <t xml:space="preserve">Integralrechung </t>
  </si>
  <si>
    <t>Funktionen und Diff. einer Variabeln</t>
  </si>
  <si>
    <t>Funktionen und Diff. mehrere Variabeln</t>
  </si>
  <si>
    <t>Lineare Algebra</t>
  </si>
  <si>
    <t xml:space="preserve">1) Matrizen und Vektoren </t>
  </si>
  <si>
    <t>2) Rechnen mit Matrizen und Vektoren</t>
  </si>
  <si>
    <t xml:space="preserve">3) Lineare Gleichungssysteme (LGS) </t>
  </si>
  <si>
    <t>4) Rang einer Matrix</t>
  </si>
  <si>
    <t>5) Lineare Abhängigkeit/Unabhängigkeit</t>
  </si>
  <si>
    <t>6) Determinanten</t>
  </si>
  <si>
    <t>7) Inverse einer Matrix</t>
  </si>
  <si>
    <t xml:space="preserve">8) Lineare Optimierung </t>
  </si>
  <si>
    <t>9) Zahlenfolgen</t>
  </si>
  <si>
    <t xml:space="preserve">10) Konvergenz und Divergenz </t>
  </si>
  <si>
    <t>11) Monotiekriterium</t>
  </si>
  <si>
    <t>12) Die Eulersche Zahl e</t>
  </si>
  <si>
    <t>13) Spezielle Nullfolgen</t>
  </si>
  <si>
    <t>14) Reihen</t>
  </si>
  <si>
    <t>15) Vollständige Induktion</t>
  </si>
  <si>
    <t>16) Einführung</t>
  </si>
  <si>
    <t>17) Elementare Funkt. Und ihre Graphen</t>
  </si>
  <si>
    <t>18) Kurvendiskussion</t>
  </si>
  <si>
    <t xml:space="preserve">19) Eigenschaften von Funktionen </t>
  </si>
  <si>
    <t>20) Regula falsi</t>
  </si>
  <si>
    <t>21) Differentialrechnung</t>
  </si>
  <si>
    <t>22)  Kurvendiskussion (Fortsetzung)</t>
  </si>
  <si>
    <t>23) Regel von De L'Hospital</t>
  </si>
  <si>
    <t>24) Taylor-Entwicklung</t>
  </si>
  <si>
    <t xml:space="preserve">25) Einführung </t>
  </si>
  <si>
    <t xml:space="preserve">26) Quadratische Formen </t>
  </si>
  <si>
    <t xml:space="preserve">27) Partielle Ableitungen, der Gradient </t>
  </si>
  <si>
    <t>28) Ableitungen hörerer Ordnung</t>
  </si>
  <si>
    <t xml:space="preserve">29) Lokale Extrema </t>
  </si>
  <si>
    <t xml:space="preserve">30) Lokale Extrema unter Nebenbedingungen </t>
  </si>
  <si>
    <t xml:space="preserve">31) Das unbestimmmte Integral </t>
  </si>
  <si>
    <t xml:space="preserve">32) Das bestimmte Integral </t>
  </si>
  <si>
    <t>33) Uneigentliche Integral</t>
  </si>
  <si>
    <t xml:space="preserve">34) Ausgewählte Differentialrechung </t>
  </si>
  <si>
    <t>8) Seite 1-22</t>
  </si>
  <si>
    <t>9) Seite 23-44</t>
  </si>
  <si>
    <t>10) Seite 45-66</t>
  </si>
  <si>
    <t>11) Seite 67-88</t>
  </si>
  <si>
    <t>12) Seite 89-110</t>
  </si>
  <si>
    <t>13) Seite 111-132</t>
  </si>
  <si>
    <t>5) Organizational Structure &amp; Culture</t>
  </si>
  <si>
    <t>6) Motivation</t>
  </si>
  <si>
    <t>7) Leadership</t>
  </si>
  <si>
    <t xml:space="preserve">8) Teamwork </t>
  </si>
  <si>
    <t>9) Controlling</t>
  </si>
  <si>
    <t>10) Rewiev und Prüfungsvorbereitung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</si>
</sst>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rgb="FF000000"/>
      <name val="Calibri"/>
      <family val="2"/>
      <scheme val="minor"/>
    </font>
  </fonts>
  <fills count="9">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theme="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32">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0" fontId="0" fillId="0" borderId="0" xfId="0" applyFont="1"/>
    <xf numFmtId="0" fontId="0" fillId="0" borderId="0" xfId="0" applyFont="1" applyAlignment="1">
      <alignment horizontal="center"/>
    </xf>
    <xf numFmtId="9" fontId="0" fillId="0" borderId="0" xfId="0" applyNumberFormat="1" applyFont="1"/>
    <xf numFmtId="9" fontId="0" fillId="0" borderId="0" xfId="0" applyNumberFormat="1" applyFont="1" applyAlignment="1">
      <alignment horizontal="center"/>
    </xf>
    <xf numFmtId="9" fontId="0" fillId="5" borderId="0" xfId="0" applyNumberFormat="1" applyFill="1" applyAlignment="1">
      <alignment horizontal="center"/>
    </xf>
    <xf numFmtId="9" fontId="5" fillId="5" borderId="0" xfId="0" applyNumberFormat="1" applyFont="1" applyFill="1" applyAlignment="1">
      <alignment horizontal="center"/>
    </xf>
    <xf numFmtId="9" fontId="5" fillId="7" borderId="0" xfId="0" applyNumberFormat="1" applyFont="1" applyFill="1" applyAlignment="1">
      <alignment horizontal="center"/>
    </xf>
    <xf numFmtId="14" fontId="0" fillId="8" borderId="0" xfId="0" applyNumberFormat="1" applyFont="1" applyFill="1"/>
    <xf numFmtId="14" fontId="0" fillId="8" borderId="0" xfId="0" applyNumberFormat="1" applyFill="1"/>
    <xf numFmtId="0" fontId="1" fillId="2" borderId="0" xfId="0" applyFont="1" applyFill="1" applyAlignment="1">
      <alignment horizontal="center"/>
    </xf>
  </cellXfs>
  <cellStyles count="1">
    <cellStyle name="Standard" xfId="0" builtinId="0"/>
  </cellStyles>
  <dxfs count="811">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810">
  <autoFilter ref="A1:K46" xr:uid="{6E266E34-2786-2747-BCE7-51B74867A564}"/>
  <tableColumns count="11">
    <tableColumn id="1" xr3:uid="{95FD92F7-3DC8-704D-A103-A7EDDAB255AB}" name="Datum" dataDxfId="809"/>
    <tableColumn id="2" xr3:uid="{F464D510-8166-E740-A343-FB84BDEF877F}" name="Lerneinheiten durchgezogen" dataDxfId="808"/>
    <tableColumn id="3" xr3:uid="{75F52B08-1A00-0848-BBE6-1EDF7B31B1AD}" name="Tagesplan erstellt" dataDxfId="807"/>
    <tableColumn id="4" xr3:uid="{E6B18D89-E799-AD48-9DAA-37AEE1D29011}" name="Konzentrationslevel" dataDxfId="806"/>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C11" sqref="C11"/>
    </sheetView>
  </sheetViews>
  <sheetFormatPr baseColWidth="10" defaultRowHeight="16"/>
  <cols>
    <col min="1" max="1" width="11.83203125" customWidth="1"/>
    <col min="2" max="2" width="62.6640625" customWidth="1"/>
  </cols>
  <sheetData>
    <row r="2" spans="1:4">
      <c r="C2" s="21" t="s">
        <v>70</v>
      </c>
    </row>
    <row r="3" spans="1:4">
      <c r="C3" s="20" t="s">
        <v>55</v>
      </c>
    </row>
    <row r="4" spans="1:4">
      <c r="C4" s="19" t="s">
        <v>69</v>
      </c>
    </row>
    <row r="5" spans="1:4">
      <c r="A5" s="3" t="s">
        <v>52</v>
      </c>
      <c r="B5" s="3" t="s">
        <v>53</v>
      </c>
      <c r="C5" s="3" t="s">
        <v>54</v>
      </c>
      <c r="D5" s="3" t="s">
        <v>56</v>
      </c>
    </row>
    <row r="6" spans="1:4">
      <c r="A6" t="s">
        <v>48</v>
      </c>
      <c r="B6" s="21" t="s">
        <v>51</v>
      </c>
      <c r="D6" t="s">
        <v>85</v>
      </c>
    </row>
    <row r="7" spans="1:4">
      <c r="A7" t="s">
        <v>59</v>
      </c>
      <c r="B7" t="s">
        <v>60</v>
      </c>
      <c r="C7" s="19">
        <f>6+8+11+7+10</f>
        <v>42</v>
      </c>
    </row>
    <row r="8" spans="1:4">
      <c r="A8" t="s">
        <v>50</v>
      </c>
      <c r="B8" s="21" t="s">
        <v>49</v>
      </c>
      <c r="C8" s="9"/>
      <c r="D8" t="s">
        <v>73</v>
      </c>
    </row>
    <row r="9" spans="1:4">
      <c r="A9" t="s">
        <v>58</v>
      </c>
      <c r="B9" s="21" t="s">
        <v>71</v>
      </c>
      <c r="D9" t="s">
        <v>74</v>
      </c>
    </row>
    <row r="10" spans="1:4">
      <c r="A10" t="s">
        <v>62</v>
      </c>
      <c r="B10" t="s">
        <v>61</v>
      </c>
      <c r="C10" s="19">
        <v>5</v>
      </c>
      <c r="D10" t="s">
        <v>57</v>
      </c>
    </row>
    <row r="11" spans="1:4">
      <c r="A11" t="s">
        <v>63</v>
      </c>
      <c r="B11" t="s">
        <v>65</v>
      </c>
      <c r="C11" s="19">
        <f>42*3</f>
        <v>126</v>
      </c>
      <c r="D11" t="s">
        <v>64</v>
      </c>
    </row>
    <row r="12" spans="1:4">
      <c r="A12" t="s">
        <v>67</v>
      </c>
      <c r="B12" t="s">
        <v>66</v>
      </c>
      <c r="C12" s="20">
        <f>C11/C10</f>
        <v>25.2</v>
      </c>
    </row>
    <row r="13" spans="1:4">
      <c r="A13" t="s">
        <v>72</v>
      </c>
      <c r="B13" t="s">
        <v>68</v>
      </c>
      <c r="D13" t="s">
        <v>75</v>
      </c>
    </row>
    <row r="14" spans="1:4">
      <c r="A14" t="s">
        <v>76</v>
      </c>
      <c r="B14" t="s">
        <v>77</v>
      </c>
      <c r="D14" t="s">
        <v>78</v>
      </c>
    </row>
    <row r="15" spans="1:4">
      <c r="A15" t="s">
        <v>79</v>
      </c>
      <c r="B15" s="21" t="s">
        <v>80</v>
      </c>
    </row>
    <row r="16" spans="1:4">
      <c r="A16" t="s">
        <v>83</v>
      </c>
      <c r="B16" s="21" t="s">
        <v>81</v>
      </c>
    </row>
    <row r="17" spans="1:2">
      <c r="A17" t="s">
        <v>84</v>
      </c>
      <c r="B17" t="s">
        <v>82</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T93"/>
  <sheetViews>
    <sheetView showGridLines="0" tabSelected="1" zoomScale="141" zoomScaleNormal="141" workbookViewId="0">
      <selection activeCell="S60" sqref="S60"/>
    </sheetView>
  </sheetViews>
  <sheetFormatPr baseColWidth="10" defaultColWidth="8.83203125" defaultRowHeight="16" outlineLevelRow="1"/>
  <cols>
    <col min="3" max="3" width="35.1640625" bestFit="1" customWidth="1"/>
    <col min="4" max="4" width="13" bestFit="1" customWidth="1"/>
    <col min="5" max="5" width="4.83203125" bestFit="1" customWidth="1"/>
    <col min="6" max="6" width="59.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33203125" bestFit="1" customWidth="1"/>
    <col min="44" max="44" width="6.33203125" customWidth="1"/>
    <col min="45" max="45" width="14.66406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 min="113" max="113" width="12.33203125" bestFit="1" customWidth="1"/>
    <col min="115" max="115" width="14.6640625" bestFit="1" customWidth="1"/>
    <col min="117" max="117" width="12.83203125" bestFit="1" customWidth="1"/>
    <col min="118" max="118" width="2.6640625" customWidth="1"/>
    <col min="120" max="120" width="12.33203125" bestFit="1" customWidth="1"/>
    <col min="122" max="122" width="14.6640625" bestFit="1" customWidth="1"/>
    <col min="124" max="124" width="12.83203125" bestFit="1" customWidth="1"/>
  </cols>
  <sheetData>
    <row r="1" spans="2:124" ht="34">
      <c r="B1" s="5" t="s">
        <v>144</v>
      </c>
      <c r="D1" s="5"/>
      <c r="G1" s="15" t="s">
        <v>32</v>
      </c>
      <c r="I1" s="15" t="s">
        <v>32</v>
      </c>
      <c r="J1" s="15" t="s">
        <v>32</v>
      </c>
      <c r="K1" s="15" t="s">
        <v>32</v>
      </c>
    </row>
    <row r="2" spans="2:124">
      <c r="I2" s="31" t="s">
        <v>26</v>
      </c>
      <c r="J2" s="31"/>
      <c r="K2" s="31"/>
      <c r="L2" s="31"/>
      <c r="N2" s="31" t="s">
        <v>92</v>
      </c>
      <c r="O2" s="31"/>
      <c r="P2" s="31"/>
      <c r="Q2" s="31"/>
      <c r="R2" s="31"/>
      <c r="S2" s="31"/>
      <c r="U2" s="31" t="s">
        <v>93</v>
      </c>
      <c r="V2" s="31"/>
      <c r="W2" s="31"/>
      <c r="X2" s="31"/>
      <c r="Y2" s="31"/>
      <c r="Z2" s="31"/>
      <c r="AB2" s="31" t="s">
        <v>94</v>
      </c>
      <c r="AC2" s="31"/>
      <c r="AD2" s="31"/>
      <c r="AE2" s="31"/>
      <c r="AF2" s="31"/>
      <c r="AG2" s="31"/>
      <c r="AI2" s="31" t="s">
        <v>95</v>
      </c>
      <c r="AJ2" s="31"/>
      <c r="AK2" s="31"/>
      <c r="AL2" s="31"/>
      <c r="AM2" s="31"/>
      <c r="AN2" s="31"/>
      <c r="AP2" s="31" t="s">
        <v>96</v>
      </c>
      <c r="AQ2" s="31"/>
      <c r="AR2" s="31"/>
      <c r="AS2" s="31"/>
      <c r="AT2" s="31"/>
      <c r="AU2" s="31"/>
      <c r="AW2" s="31" t="s">
        <v>97</v>
      </c>
      <c r="AX2" s="31"/>
      <c r="AY2" s="31"/>
      <c r="AZ2" s="31"/>
      <c r="BA2" s="31"/>
      <c r="BB2" s="31"/>
      <c r="BD2" s="31" t="s">
        <v>98</v>
      </c>
      <c r="BE2" s="31"/>
      <c r="BF2" s="31"/>
      <c r="BG2" s="31"/>
      <c r="BH2" s="31"/>
      <c r="BI2" s="31"/>
      <c r="BK2" s="31" t="s">
        <v>115</v>
      </c>
      <c r="BL2" s="31"/>
      <c r="BM2" s="31"/>
      <c r="BN2" s="31"/>
      <c r="BO2" s="31"/>
      <c r="BP2" s="31"/>
      <c r="BR2" s="31" t="s">
        <v>115</v>
      </c>
      <c r="BS2" s="31"/>
      <c r="BT2" s="31"/>
      <c r="BU2" s="31"/>
      <c r="BV2" s="31"/>
      <c r="BW2" s="31"/>
      <c r="BY2" s="31" t="s">
        <v>116</v>
      </c>
      <c r="BZ2" s="31"/>
      <c r="CA2" s="31"/>
      <c r="CB2" s="31"/>
      <c r="CC2" s="31"/>
      <c r="CD2" s="31"/>
      <c r="CF2" s="31" t="s">
        <v>117</v>
      </c>
      <c r="CG2" s="31"/>
      <c r="CH2" s="31"/>
      <c r="CI2" s="31"/>
      <c r="CJ2" s="31"/>
      <c r="CK2" s="31"/>
      <c r="CM2" s="31" t="s">
        <v>118</v>
      </c>
      <c r="CN2" s="31"/>
      <c r="CO2" s="31"/>
      <c r="CP2" s="31"/>
      <c r="CQ2" s="31"/>
      <c r="CR2" s="31"/>
      <c r="CT2" s="31" t="s">
        <v>119</v>
      </c>
      <c r="CU2" s="31"/>
      <c r="CV2" s="31"/>
      <c r="CW2" s="31"/>
      <c r="CX2" s="31"/>
      <c r="CY2" s="31"/>
      <c r="DA2" s="31" t="s">
        <v>120</v>
      </c>
      <c r="DB2" s="31"/>
      <c r="DC2" s="31"/>
      <c r="DD2" s="31"/>
      <c r="DE2" s="31"/>
      <c r="DF2" s="31"/>
      <c r="DH2" s="31" t="s">
        <v>121</v>
      </c>
      <c r="DI2" s="31"/>
      <c r="DJ2" s="31"/>
      <c r="DK2" s="31"/>
      <c r="DL2" s="31"/>
      <c r="DM2" s="31"/>
      <c r="DO2" s="31" t="s">
        <v>86</v>
      </c>
      <c r="DP2" s="31"/>
      <c r="DQ2" s="31"/>
      <c r="DR2" s="31"/>
      <c r="DS2" s="31"/>
      <c r="DT2" s="31"/>
    </row>
    <row r="3" spans="2:124">
      <c r="B3" s="6" t="s">
        <v>25</v>
      </c>
      <c r="C3" s="6" t="s">
        <v>0</v>
      </c>
      <c r="D3" s="6" t="s">
        <v>23</v>
      </c>
      <c r="E3" s="7" t="s">
        <v>29</v>
      </c>
      <c r="F3" s="6" t="s">
        <v>28</v>
      </c>
      <c r="G3" s="6" t="s">
        <v>30</v>
      </c>
      <c r="I3" s="7" t="s">
        <v>10</v>
      </c>
      <c r="J3" s="7" t="s">
        <v>1</v>
      </c>
      <c r="K3" s="7" t="s">
        <v>2</v>
      </c>
      <c r="L3" s="7" t="s">
        <v>11</v>
      </c>
      <c r="N3" s="6" t="s">
        <v>10</v>
      </c>
      <c r="O3" s="6" t="s">
        <v>1</v>
      </c>
      <c r="P3" s="6" t="s">
        <v>31</v>
      </c>
      <c r="Q3" s="6" t="s">
        <v>2</v>
      </c>
      <c r="R3" s="6" t="s">
        <v>31</v>
      </c>
      <c r="S3" s="6" t="s">
        <v>11</v>
      </c>
      <c r="U3" s="6" t="s">
        <v>10</v>
      </c>
      <c r="V3" s="6" t="s">
        <v>1</v>
      </c>
      <c r="W3" s="6" t="s">
        <v>31</v>
      </c>
      <c r="X3" s="6" t="s">
        <v>2</v>
      </c>
      <c r="Y3" s="6" t="s">
        <v>31</v>
      </c>
      <c r="Z3" s="6" t="s">
        <v>11</v>
      </c>
      <c r="AB3" s="6" t="s">
        <v>10</v>
      </c>
      <c r="AC3" s="6" t="s">
        <v>1</v>
      </c>
      <c r="AD3" s="6" t="s">
        <v>31</v>
      </c>
      <c r="AE3" s="6" t="s">
        <v>2</v>
      </c>
      <c r="AF3" s="6" t="s">
        <v>31</v>
      </c>
      <c r="AG3" s="6" t="s">
        <v>11</v>
      </c>
      <c r="AI3" s="6" t="s">
        <v>10</v>
      </c>
      <c r="AJ3" s="6" t="s">
        <v>1</v>
      </c>
      <c r="AK3" s="6" t="s">
        <v>31</v>
      </c>
      <c r="AL3" s="6" t="s">
        <v>2</v>
      </c>
      <c r="AM3" s="6" t="s">
        <v>31</v>
      </c>
      <c r="AN3" s="6" t="s">
        <v>11</v>
      </c>
      <c r="AP3" s="6" t="s">
        <v>10</v>
      </c>
      <c r="AQ3" s="6" t="s">
        <v>1</v>
      </c>
      <c r="AR3" s="6" t="s">
        <v>31</v>
      </c>
      <c r="AS3" s="6" t="s">
        <v>2</v>
      </c>
      <c r="AT3" s="6" t="s">
        <v>31</v>
      </c>
      <c r="AU3" s="6" t="s">
        <v>11</v>
      </c>
      <c r="AW3" s="6" t="s">
        <v>10</v>
      </c>
      <c r="AX3" s="6" t="s">
        <v>1</v>
      </c>
      <c r="AY3" s="6" t="s">
        <v>31</v>
      </c>
      <c r="AZ3" s="6" t="s">
        <v>2</v>
      </c>
      <c r="BA3" s="6" t="s">
        <v>31</v>
      </c>
      <c r="BB3" s="6" t="s">
        <v>11</v>
      </c>
      <c r="BD3" s="6" t="s">
        <v>10</v>
      </c>
      <c r="BE3" s="6" t="s">
        <v>1</v>
      </c>
      <c r="BF3" s="6" t="s">
        <v>31</v>
      </c>
      <c r="BG3" s="6" t="s">
        <v>2</v>
      </c>
      <c r="BH3" s="6" t="s">
        <v>31</v>
      </c>
      <c r="BI3" s="6" t="s">
        <v>11</v>
      </c>
      <c r="BK3" s="6" t="s">
        <v>10</v>
      </c>
      <c r="BL3" s="6" t="s">
        <v>1</v>
      </c>
      <c r="BM3" s="6" t="s">
        <v>31</v>
      </c>
      <c r="BN3" s="6" t="s">
        <v>2</v>
      </c>
      <c r="BO3" s="6" t="s">
        <v>31</v>
      </c>
      <c r="BP3" s="6" t="s">
        <v>11</v>
      </c>
      <c r="BR3" s="6" t="s">
        <v>10</v>
      </c>
      <c r="BS3" s="6" t="s">
        <v>1</v>
      </c>
      <c r="BT3" s="6" t="s">
        <v>31</v>
      </c>
      <c r="BU3" s="6" t="s">
        <v>2</v>
      </c>
      <c r="BV3" s="6" t="s">
        <v>31</v>
      </c>
      <c r="BW3" s="6" t="s">
        <v>11</v>
      </c>
      <c r="BY3" s="6" t="s">
        <v>10</v>
      </c>
      <c r="BZ3" s="6" t="s">
        <v>1</v>
      </c>
      <c r="CA3" s="6" t="s">
        <v>31</v>
      </c>
      <c r="CB3" s="6" t="s">
        <v>2</v>
      </c>
      <c r="CC3" s="6" t="s">
        <v>31</v>
      </c>
      <c r="CD3" s="6" t="s">
        <v>11</v>
      </c>
      <c r="CF3" s="6" t="s">
        <v>10</v>
      </c>
      <c r="CG3" s="6" t="s">
        <v>1</v>
      </c>
      <c r="CH3" s="6" t="s">
        <v>31</v>
      </c>
      <c r="CI3" s="6" t="s">
        <v>2</v>
      </c>
      <c r="CJ3" s="6" t="s">
        <v>31</v>
      </c>
      <c r="CK3" s="6" t="s">
        <v>11</v>
      </c>
      <c r="CM3" s="6" t="s">
        <v>10</v>
      </c>
      <c r="CN3" s="6" t="s">
        <v>1</v>
      </c>
      <c r="CO3" s="6" t="s">
        <v>31</v>
      </c>
      <c r="CP3" s="6" t="s">
        <v>2</v>
      </c>
      <c r="CQ3" s="6" t="s">
        <v>31</v>
      </c>
      <c r="CR3" s="6" t="s">
        <v>11</v>
      </c>
      <c r="CT3" s="6" t="s">
        <v>10</v>
      </c>
      <c r="CU3" s="6" t="s">
        <v>1</v>
      </c>
      <c r="CV3" s="6" t="s">
        <v>31</v>
      </c>
      <c r="CW3" s="6" t="s">
        <v>2</v>
      </c>
      <c r="CX3" s="6" t="s">
        <v>31</v>
      </c>
      <c r="CY3" s="6" t="s">
        <v>11</v>
      </c>
      <c r="DA3" s="6" t="s">
        <v>10</v>
      </c>
      <c r="DB3" s="6" t="s">
        <v>1</v>
      </c>
      <c r="DC3" s="6" t="s">
        <v>31</v>
      </c>
      <c r="DD3" s="6" t="s">
        <v>2</v>
      </c>
      <c r="DE3" s="6" t="s">
        <v>31</v>
      </c>
      <c r="DF3" s="6" t="s">
        <v>11</v>
      </c>
      <c r="DH3" s="6" t="s">
        <v>10</v>
      </c>
      <c r="DI3" s="6" t="s">
        <v>1</v>
      </c>
      <c r="DJ3" s="6" t="s">
        <v>31</v>
      </c>
      <c r="DK3" s="6" t="s">
        <v>2</v>
      </c>
      <c r="DL3" s="6" t="s">
        <v>31</v>
      </c>
      <c r="DM3" s="6" t="s">
        <v>11</v>
      </c>
      <c r="DO3" s="6" t="s">
        <v>10</v>
      </c>
      <c r="DP3" s="6" t="s">
        <v>1</v>
      </c>
      <c r="DQ3" s="6" t="s">
        <v>31</v>
      </c>
      <c r="DR3" s="6" t="s">
        <v>2</v>
      </c>
      <c r="DS3" s="6" t="s">
        <v>31</v>
      </c>
      <c r="DT3" s="6" t="s">
        <v>11</v>
      </c>
    </row>
    <row r="4" spans="2:124">
      <c r="B4" s="3" t="s">
        <v>26</v>
      </c>
      <c r="C4" s="3" t="s">
        <v>87</v>
      </c>
      <c r="D4" s="29">
        <v>44909</v>
      </c>
      <c r="E4" s="11">
        <v>6</v>
      </c>
      <c r="G4" s="12">
        <f>+SUM(G5:G14)</f>
        <v>0.9</v>
      </c>
      <c r="I4" s="14">
        <v>0</v>
      </c>
      <c r="J4" s="13">
        <v>0</v>
      </c>
      <c r="K4" s="13" t="s">
        <v>122</v>
      </c>
      <c r="L4" s="11"/>
      <c r="N4" s="14">
        <f>SUM(N5:N14)</f>
        <v>0</v>
      </c>
      <c r="U4" s="14"/>
      <c r="AB4" s="14"/>
      <c r="AI4" s="14"/>
      <c r="AP4" s="14"/>
      <c r="AW4" s="14"/>
      <c r="BD4" s="14"/>
      <c r="BK4" s="14"/>
      <c r="BR4" s="14"/>
      <c r="BY4" s="14"/>
      <c r="CF4" s="14"/>
      <c r="CM4" s="14"/>
      <c r="CT4" s="14"/>
      <c r="DA4" s="14"/>
      <c r="DH4" s="14"/>
    </row>
    <row r="5" spans="2:124" outlineLevel="1">
      <c r="B5" t="s">
        <v>27</v>
      </c>
      <c r="C5" t="s">
        <v>87</v>
      </c>
      <c r="E5" s="11"/>
      <c r="F5" t="s">
        <v>106</v>
      </c>
      <c r="G5" s="12">
        <v>0.1</v>
      </c>
      <c r="I5" s="11">
        <v>0</v>
      </c>
      <c r="J5" s="13" cm="1">
        <f t="array" ref="J5">MAX(IF($N$3:$EH$3=$J$3,N5:EH5))</f>
        <v>0</v>
      </c>
      <c r="K5" s="13" cm="1">
        <f t="array" ref="K5">MAX(IF($N$3:$EH$3=$J$3,N5:EH5))</f>
        <v>0</v>
      </c>
      <c r="L5" s="11"/>
      <c r="N5" s="14">
        <v>0</v>
      </c>
      <c r="O5" s="12"/>
      <c r="P5" s="12">
        <v>0.5</v>
      </c>
      <c r="Q5" s="12"/>
      <c r="R5" s="12">
        <v>0.5</v>
      </c>
      <c r="V5" s="12"/>
      <c r="W5" s="12">
        <v>0.8</v>
      </c>
      <c r="X5" s="12"/>
      <c r="Y5" s="12">
        <v>0.8</v>
      </c>
      <c r="AC5" s="12"/>
      <c r="AD5" s="12">
        <v>0.8</v>
      </c>
      <c r="AE5" s="12"/>
      <c r="AF5" s="12">
        <v>0.8</v>
      </c>
      <c r="AJ5" s="12"/>
      <c r="AK5" s="12">
        <v>0.8</v>
      </c>
      <c r="AL5" s="12"/>
      <c r="AM5" s="12">
        <v>0.8</v>
      </c>
      <c r="AQ5" s="12"/>
      <c r="AR5" s="12">
        <v>0.8</v>
      </c>
      <c r="AS5" s="12"/>
      <c r="AT5" s="12">
        <v>0.8</v>
      </c>
      <c r="AX5" s="12"/>
      <c r="AY5" s="12">
        <v>1</v>
      </c>
      <c r="AZ5" s="12"/>
      <c r="BA5" s="12">
        <v>1</v>
      </c>
      <c r="BE5" s="12"/>
      <c r="BF5" s="12"/>
      <c r="BG5" s="12"/>
      <c r="BH5" s="12"/>
      <c r="BL5" s="12"/>
      <c r="BM5" s="12"/>
      <c r="BN5" s="12"/>
      <c r="BO5" s="12"/>
      <c r="BS5" s="12"/>
      <c r="BT5" s="12"/>
      <c r="BU5" s="12"/>
      <c r="BV5" s="12"/>
      <c r="BZ5" s="12"/>
      <c r="CA5" s="12">
        <v>1</v>
      </c>
      <c r="CB5" s="12"/>
      <c r="CC5" s="12">
        <v>1</v>
      </c>
      <c r="CG5" s="12"/>
      <c r="CH5" s="12">
        <v>1</v>
      </c>
      <c r="CI5" s="12"/>
      <c r="CJ5" s="12">
        <v>1</v>
      </c>
      <c r="CN5" s="12"/>
      <c r="CO5" s="12">
        <v>1</v>
      </c>
      <c r="CP5" s="12"/>
      <c r="CQ5" s="12">
        <v>1</v>
      </c>
      <c r="CU5" s="12"/>
      <c r="CV5" s="12">
        <v>1</v>
      </c>
      <c r="CW5" s="12"/>
      <c r="CX5" s="12">
        <v>1</v>
      </c>
      <c r="DB5" s="12"/>
      <c r="DC5" s="12"/>
      <c r="DD5" s="12"/>
      <c r="DE5" s="12"/>
      <c r="DI5" s="12"/>
      <c r="DJ5" s="12"/>
      <c r="DK5" s="12"/>
      <c r="DL5" s="12"/>
    </row>
    <row r="6" spans="2:124" outlineLevel="1">
      <c r="B6" t="s">
        <v>27</v>
      </c>
      <c r="C6" t="s">
        <v>87</v>
      </c>
      <c r="E6" s="11"/>
      <c r="F6" t="s">
        <v>107</v>
      </c>
      <c r="G6" s="12">
        <v>0.1</v>
      </c>
      <c r="I6" s="11">
        <v>0</v>
      </c>
      <c r="J6" s="13" cm="1">
        <f t="array" ref="J6">MAX(IF($N$3:$EH$3=$J$3,N6:EH6))</f>
        <v>0</v>
      </c>
      <c r="K6" s="13" cm="1">
        <f t="array" ref="K6">MAX(IF($N$3:$EH$3=$J$3,N6:EH6))</f>
        <v>0</v>
      </c>
      <c r="L6" s="11"/>
      <c r="N6" s="14">
        <v>0</v>
      </c>
      <c r="O6" s="12"/>
      <c r="P6" s="12">
        <v>0.5</v>
      </c>
      <c r="Q6" s="12"/>
      <c r="R6" s="12">
        <v>0.5</v>
      </c>
      <c r="V6" s="12"/>
      <c r="W6" s="12">
        <v>0.5</v>
      </c>
      <c r="X6" s="12"/>
      <c r="Y6" s="12">
        <v>0.5</v>
      </c>
      <c r="AC6" s="12"/>
      <c r="AD6" s="12">
        <v>0.8</v>
      </c>
      <c r="AE6" s="12"/>
      <c r="AF6" s="12">
        <v>0.8</v>
      </c>
      <c r="AJ6" s="12"/>
      <c r="AK6" s="12">
        <v>0.8</v>
      </c>
      <c r="AL6" s="12"/>
      <c r="AM6" s="12">
        <v>0.8</v>
      </c>
      <c r="AQ6" s="12"/>
      <c r="AR6" s="12">
        <v>0.8</v>
      </c>
      <c r="AS6" s="12"/>
      <c r="AT6" s="12">
        <v>0.8</v>
      </c>
      <c r="AX6" s="12"/>
      <c r="AY6" s="12">
        <v>0.8</v>
      </c>
      <c r="AZ6" s="12"/>
      <c r="BA6" s="12">
        <v>0.8</v>
      </c>
      <c r="BE6" s="12"/>
      <c r="BF6" s="12"/>
      <c r="BG6" s="12"/>
      <c r="BH6" s="12"/>
      <c r="BL6" s="12"/>
      <c r="BM6" s="12"/>
      <c r="BN6" s="12"/>
      <c r="BO6" s="12"/>
      <c r="BS6" s="12"/>
      <c r="BT6" s="12"/>
      <c r="BU6" s="12"/>
      <c r="BV6" s="12"/>
      <c r="BZ6" s="12"/>
      <c r="CA6" s="12">
        <v>1</v>
      </c>
      <c r="CB6" s="12"/>
      <c r="CC6" s="12">
        <v>1</v>
      </c>
      <c r="CG6" s="12"/>
      <c r="CH6" s="12">
        <v>1</v>
      </c>
      <c r="CI6" s="12"/>
      <c r="CJ6" s="12">
        <v>1</v>
      </c>
      <c r="CN6" s="12"/>
      <c r="CO6" s="12">
        <v>1</v>
      </c>
      <c r="CP6" s="12"/>
      <c r="CQ6" s="12">
        <v>1</v>
      </c>
      <c r="CU6" s="12"/>
      <c r="CV6" s="12">
        <v>1</v>
      </c>
      <c r="CW6" s="12"/>
      <c r="CX6" s="12">
        <v>1</v>
      </c>
      <c r="DB6" s="12"/>
      <c r="DC6" s="12"/>
      <c r="DD6" s="12"/>
      <c r="DE6" s="12"/>
      <c r="DI6" s="12"/>
      <c r="DJ6" s="12"/>
      <c r="DK6" s="12"/>
      <c r="DL6" s="12"/>
    </row>
    <row r="7" spans="2:124" outlineLevel="1">
      <c r="B7" t="s">
        <v>27</v>
      </c>
      <c r="C7" t="s">
        <v>87</v>
      </c>
      <c r="E7" s="11"/>
      <c r="F7" t="s">
        <v>108</v>
      </c>
      <c r="G7" s="12">
        <v>0.1</v>
      </c>
      <c r="I7" s="11">
        <v>0</v>
      </c>
      <c r="J7" s="13" cm="1">
        <f t="array" ref="J7">MAX(IF($N$3:$EH$3=$J$3,N7:EH7))</f>
        <v>0</v>
      </c>
      <c r="K7" s="13" cm="1">
        <f t="array" ref="K7">MAX(IF($N$3:$EH$3=$J$3,N7:EH7))</f>
        <v>0</v>
      </c>
      <c r="L7" s="11"/>
      <c r="N7" s="14">
        <v>0</v>
      </c>
      <c r="O7" s="12"/>
      <c r="P7" s="12">
        <v>0.5</v>
      </c>
      <c r="Q7" s="12"/>
      <c r="R7" s="12">
        <v>0.5</v>
      </c>
      <c r="V7" s="12"/>
      <c r="W7" s="12">
        <v>0.5</v>
      </c>
      <c r="X7" s="12"/>
      <c r="Y7" s="12">
        <v>0.5</v>
      </c>
      <c r="AC7" s="12"/>
      <c r="AD7" s="12">
        <v>0.5</v>
      </c>
      <c r="AE7" s="12"/>
      <c r="AF7" s="12">
        <v>0.5</v>
      </c>
      <c r="AJ7" s="12"/>
      <c r="AK7" s="12">
        <v>0.8</v>
      </c>
      <c r="AL7" s="12"/>
      <c r="AM7" s="12">
        <v>0.8</v>
      </c>
      <c r="AQ7" s="12"/>
      <c r="AR7" s="12">
        <v>0.8</v>
      </c>
      <c r="AS7" s="12"/>
      <c r="AT7" s="12">
        <v>0.8</v>
      </c>
      <c r="AX7" s="12"/>
      <c r="AY7" s="12">
        <v>0.8</v>
      </c>
      <c r="AZ7" s="12"/>
      <c r="BA7" s="12">
        <v>0.8</v>
      </c>
      <c r="BE7" s="12"/>
      <c r="BF7" s="12"/>
      <c r="BG7" s="12"/>
      <c r="BH7" s="12"/>
      <c r="BL7" s="12"/>
      <c r="BM7" s="12"/>
      <c r="BN7" s="12"/>
      <c r="BO7" s="12"/>
      <c r="BS7" s="12"/>
      <c r="BT7" s="12"/>
      <c r="BU7" s="12"/>
      <c r="BV7" s="12"/>
      <c r="BZ7" s="12"/>
      <c r="CA7" s="12">
        <v>0.8</v>
      </c>
      <c r="CB7" s="12"/>
      <c r="CC7" s="12">
        <v>0.8</v>
      </c>
      <c r="CG7" s="12"/>
      <c r="CH7" s="12">
        <v>1</v>
      </c>
      <c r="CI7" s="12"/>
      <c r="CJ7" s="12">
        <v>1</v>
      </c>
      <c r="CN7" s="12"/>
      <c r="CO7" s="12">
        <v>1</v>
      </c>
      <c r="CP7" s="12"/>
      <c r="CQ7" s="12">
        <v>1</v>
      </c>
      <c r="CU7" s="12"/>
      <c r="CV7" s="12">
        <v>1</v>
      </c>
      <c r="CW7" s="12"/>
      <c r="CX7" s="12">
        <v>1</v>
      </c>
      <c r="DB7" s="12"/>
      <c r="DC7" s="12"/>
      <c r="DD7" s="12"/>
      <c r="DE7" s="12"/>
      <c r="DI7" s="12"/>
      <c r="DJ7" s="12"/>
      <c r="DK7" s="12"/>
      <c r="DL7" s="12"/>
    </row>
    <row r="8" spans="2:124" outlineLevel="1">
      <c r="B8" t="s">
        <v>27</v>
      </c>
      <c r="C8" t="s">
        <v>87</v>
      </c>
      <c r="E8" s="11"/>
      <c r="F8" t="s">
        <v>109</v>
      </c>
      <c r="G8" s="12">
        <v>0.1</v>
      </c>
      <c r="I8" s="11">
        <v>0</v>
      </c>
      <c r="J8" s="13" cm="1">
        <f t="array" ref="J8">MAX(IF($N$3:$EH$3=$J$3,N8:EH8))</f>
        <v>0</v>
      </c>
      <c r="K8" s="13" cm="1">
        <f t="array" ref="K8">MAX(IF($N$3:$EH$3=$J$3,N8:EH8))</f>
        <v>0</v>
      </c>
      <c r="L8" s="11"/>
      <c r="N8" s="14">
        <v>0</v>
      </c>
      <c r="O8" s="12"/>
      <c r="P8" s="12"/>
      <c r="Q8" s="12"/>
      <c r="R8" s="12"/>
      <c r="V8" s="12"/>
      <c r="W8" s="12">
        <v>0.5</v>
      </c>
      <c r="X8" s="12"/>
      <c r="Y8" s="12">
        <v>0.5</v>
      </c>
      <c r="AC8" s="12"/>
      <c r="AD8" s="12">
        <v>0.5</v>
      </c>
      <c r="AE8" s="12"/>
      <c r="AF8" s="12">
        <v>0.5</v>
      </c>
      <c r="AJ8" s="12"/>
      <c r="AK8" s="12">
        <v>0.5</v>
      </c>
      <c r="AL8" s="12"/>
      <c r="AM8" s="12">
        <v>0.5</v>
      </c>
      <c r="AQ8" s="12"/>
      <c r="AR8" s="12">
        <v>0.8</v>
      </c>
      <c r="AS8" s="12"/>
      <c r="AT8" s="12">
        <v>0.8</v>
      </c>
      <c r="AX8" s="12"/>
      <c r="AY8" s="12">
        <v>0.8</v>
      </c>
      <c r="AZ8" s="12"/>
      <c r="BA8" s="12">
        <v>0.8</v>
      </c>
      <c r="BE8" s="12"/>
      <c r="BF8" s="12"/>
      <c r="BG8" s="12"/>
      <c r="BH8" s="12"/>
      <c r="BL8" s="12"/>
      <c r="BM8" s="12"/>
      <c r="BN8" s="12"/>
      <c r="BO8" s="12"/>
      <c r="BS8" s="12"/>
      <c r="BT8" s="12"/>
      <c r="BU8" s="12"/>
      <c r="BV8" s="12"/>
      <c r="BZ8" s="12"/>
      <c r="CA8" s="12">
        <v>0.8</v>
      </c>
      <c r="CB8" s="12"/>
      <c r="CC8" s="12">
        <v>0.8</v>
      </c>
      <c r="CG8" s="12"/>
      <c r="CH8" s="12">
        <v>1</v>
      </c>
      <c r="CI8" s="12"/>
      <c r="CJ8" s="12">
        <v>1</v>
      </c>
      <c r="CN8" s="12"/>
      <c r="CO8" s="12">
        <v>1</v>
      </c>
      <c r="CP8" s="12"/>
      <c r="CQ8" s="12">
        <v>1</v>
      </c>
      <c r="CU8" s="12"/>
      <c r="CV8" s="12">
        <v>1</v>
      </c>
      <c r="CW8" s="12"/>
      <c r="CX8" s="12">
        <v>1</v>
      </c>
      <c r="DB8" s="12"/>
      <c r="DC8" s="12"/>
      <c r="DD8" s="12"/>
      <c r="DE8" s="12"/>
      <c r="DI8" s="12"/>
      <c r="DJ8" s="12"/>
      <c r="DK8" s="12"/>
      <c r="DL8" s="12"/>
    </row>
    <row r="9" spans="2:124" outlineLevel="1">
      <c r="B9" t="s">
        <v>27</v>
      </c>
      <c r="C9" t="s">
        <v>87</v>
      </c>
      <c r="E9" s="11"/>
      <c r="F9" t="s">
        <v>189</v>
      </c>
      <c r="G9" s="12">
        <v>0.1</v>
      </c>
      <c r="I9" s="11">
        <f t="shared" ref="I9:I14" si="0">+SUMIF($N$3:$ZZ$3,I$3,$N9:$ZZ9)</f>
        <v>0</v>
      </c>
      <c r="J9" s="13" cm="1">
        <f t="array" ref="J9">MAX(IF($N$3:$EH$3=$J$3,N9:EH9))</f>
        <v>0</v>
      </c>
      <c r="K9" s="13" cm="1">
        <f t="array" ref="K9">MAX(IF($N$3:$EH$3=$J$3,N9:EH9))</f>
        <v>0</v>
      </c>
      <c r="L9" s="11"/>
      <c r="N9" s="14">
        <v>0</v>
      </c>
      <c r="O9" s="12"/>
      <c r="P9" s="12"/>
      <c r="Q9" s="12"/>
      <c r="R9" s="12"/>
      <c r="V9" s="12"/>
      <c r="W9" s="12">
        <v>0.5</v>
      </c>
      <c r="X9" s="12"/>
      <c r="Y9" s="12">
        <v>0.5</v>
      </c>
      <c r="AC9" s="12"/>
      <c r="AD9" s="12">
        <v>0.5</v>
      </c>
      <c r="AE9" s="12"/>
      <c r="AF9" s="12">
        <v>0.5</v>
      </c>
      <c r="AJ9" s="12"/>
      <c r="AK9" s="12">
        <v>0.5</v>
      </c>
      <c r="AL9" s="12"/>
      <c r="AM9" s="12">
        <v>0.5</v>
      </c>
      <c r="AQ9" s="12"/>
      <c r="AR9" s="12">
        <v>0.8</v>
      </c>
      <c r="AS9" s="12"/>
      <c r="AT9" s="12">
        <v>0.8</v>
      </c>
      <c r="AX9" s="12"/>
      <c r="AY9" s="12">
        <v>0.8</v>
      </c>
      <c r="AZ9" s="12"/>
      <c r="BA9" s="12">
        <v>0.8</v>
      </c>
      <c r="BE9" s="12"/>
      <c r="BF9" s="12"/>
      <c r="BG9" s="12"/>
      <c r="BH9" s="12"/>
      <c r="BL9" s="12"/>
      <c r="BM9" s="12"/>
      <c r="BN9" s="12"/>
      <c r="BO9" s="12"/>
      <c r="BS9" s="12"/>
      <c r="BT9" s="12"/>
      <c r="BU9" s="12"/>
      <c r="BV9" s="12"/>
      <c r="BZ9" s="12"/>
      <c r="CA9" s="12">
        <v>0.8</v>
      </c>
      <c r="CB9" s="12"/>
      <c r="CC9" s="12">
        <v>0.8</v>
      </c>
      <c r="CG9" s="12"/>
      <c r="CH9" s="12">
        <v>0.8</v>
      </c>
      <c r="CI9" s="12"/>
      <c r="CJ9" s="12">
        <v>0.8</v>
      </c>
      <c r="CN9" s="12"/>
      <c r="CO9" s="12">
        <v>1</v>
      </c>
      <c r="CP9" s="12"/>
      <c r="CQ9" s="12">
        <v>1</v>
      </c>
      <c r="CU9" s="12"/>
      <c r="CV9" s="12">
        <v>1</v>
      </c>
      <c r="CW9" s="12"/>
      <c r="CX9" s="12">
        <v>1</v>
      </c>
      <c r="DB9" s="12"/>
      <c r="DC9" s="12"/>
      <c r="DD9" s="12"/>
      <c r="DE9" s="12"/>
      <c r="DI9" s="12"/>
      <c r="DJ9" s="12"/>
      <c r="DK9" s="12"/>
      <c r="DL9" s="12"/>
    </row>
    <row r="10" spans="2:124" outlineLevel="1">
      <c r="B10" t="s">
        <v>27</v>
      </c>
      <c r="C10" t="s">
        <v>87</v>
      </c>
      <c r="E10" s="11"/>
      <c r="F10" t="s">
        <v>190</v>
      </c>
      <c r="G10" s="12">
        <v>0.1</v>
      </c>
      <c r="I10" s="11">
        <f t="shared" si="0"/>
        <v>0</v>
      </c>
      <c r="J10" s="13" cm="1">
        <f t="array" ref="J10">MAX(IF($N$3:$EH$3=$J$3,N10:EH10))</f>
        <v>0</v>
      </c>
      <c r="K10" s="13" cm="1">
        <f t="array" ref="K10">MAX(IF($N$3:$EH$3=$J$3,N10:EH10))</f>
        <v>0</v>
      </c>
      <c r="L10" s="11"/>
      <c r="N10" s="14">
        <v>0</v>
      </c>
      <c r="O10" s="12"/>
      <c r="P10" s="12"/>
      <c r="Q10" s="12"/>
      <c r="R10" s="12"/>
      <c r="V10" s="12"/>
      <c r="W10" s="12"/>
      <c r="X10" s="12"/>
      <c r="Y10" s="12"/>
      <c r="AC10" s="12"/>
      <c r="AD10" s="12">
        <v>0.5</v>
      </c>
      <c r="AE10" s="12"/>
      <c r="AF10" s="12">
        <v>0.5</v>
      </c>
      <c r="AJ10" s="12"/>
      <c r="AK10" s="12">
        <v>0.5</v>
      </c>
      <c r="AL10" s="12"/>
      <c r="AM10" s="12">
        <v>0.5</v>
      </c>
      <c r="AQ10" s="12"/>
      <c r="AR10" s="12">
        <v>0.5</v>
      </c>
      <c r="AS10" s="12"/>
      <c r="AT10" s="12">
        <v>0.5</v>
      </c>
      <c r="AX10" s="12"/>
      <c r="AY10" s="12">
        <v>0.8</v>
      </c>
      <c r="AZ10" s="12"/>
      <c r="BA10" s="12">
        <v>0.8</v>
      </c>
      <c r="BE10" s="12"/>
      <c r="BF10" s="12"/>
      <c r="BG10" s="12"/>
      <c r="BH10" s="12"/>
      <c r="BL10" s="12"/>
      <c r="BM10" s="12"/>
      <c r="BN10" s="12"/>
      <c r="BO10" s="12"/>
      <c r="BS10" s="12"/>
      <c r="BT10" s="12"/>
      <c r="BU10" s="12"/>
      <c r="BV10" s="12"/>
      <c r="BZ10" s="12"/>
      <c r="CA10" s="12">
        <v>0.8</v>
      </c>
      <c r="CB10" s="12"/>
      <c r="CC10" s="12">
        <v>0.8</v>
      </c>
      <c r="CG10" s="12"/>
      <c r="CH10" s="12">
        <v>0.8</v>
      </c>
      <c r="CI10" s="12"/>
      <c r="CJ10" s="12">
        <v>0.8</v>
      </c>
      <c r="CN10" s="12"/>
      <c r="CO10" s="12">
        <v>1</v>
      </c>
      <c r="CP10" s="12"/>
      <c r="CQ10" s="12">
        <v>1</v>
      </c>
      <c r="CU10" s="12"/>
      <c r="CV10" s="12">
        <v>1</v>
      </c>
      <c r="CW10" s="12"/>
      <c r="CX10" s="12">
        <v>1</v>
      </c>
      <c r="DB10" s="12"/>
      <c r="DC10" s="12"/>
      <c r="DD10" s="12"/>
      <c r="DE10" s="12"/>
      <c r="DI10" s="12"/>
      <c r="DJ10" s="12"/>
      <c r="DK10" s="12"/>
      <c r="DL10" s="12"/>
    </row>
    <row r="11" spans="2:124" outlineLevel="1">
      <c r="B11" t="s">
        <v>27</v>
      </c>
      <c r="C11" t="s">
        <v>87</v>
      </c>
      <c r="E11" s="11"/>
      <c r="F11" t="s">
        <v>191</v>
      </c>
      <c r="G11" s="12">
        <v>0.1</v>
      </c>
      <c r="I11" s="11">
        <f t="shared" si="0"/>
        <v>0</v>
      </c>
      <c r="J11" s="13" cm="1">
        <f t="array" ref="J11">MAX(IF($N$3:$EH$3=$J$3,N11:EH11))</f>
        <v>0</v>
      </c>
      <c r="K11" s="13" cm="1">
        <f t="array" ref="K11">MAX(IF($N$3:$EH$3=$J$3,N11:EH11))</f>
        <v>0</v>
      </c>
      <c r="L11" s="11"/>
      <c r="N11" s="14">
        <v>0</v>
      </c>
      <c r="O11" s="12"/>
      <c r="P11" s="12"/>
      <c r="Q11" s="12"/>
      <c r="R11" s="12"/>
      <c r="V11" s="12"/>
      <c r="W11" s="12"/>
      <c r="X11" s="12"/>
      <c r="Y11" s="12"/>
      <c r="AC11" s="12"/>
      <c r="AD11" s="12">
        <v>0.5</v>
      </c>
      <c r="AE11" s="12"/>
      <c r="AF11" s="12">
        <v>0.5</v>
      </c>
      <c r="AJ11" s="12"/>
      <c r="AK11" s="12">
        <v>0.5</v>
      </c>
      <c r="AL11" s="12"/>
      <c r="AM11" s="12">
        <v>0.5</v>
      </c>
      <c r="AQ11" s="12"/>
      <c r="AR11" s="12">
        <v>0.5</v>
      </c>
      <c r="AS11" s="12"/>
      <c r="AT11" s="12">
        <v>0.5</v>
      </c>
      <c r="AX11" s="12"/>
      <c r="AY11" s="12">
        <v>0.8</v>
      </c>
      <c r="AZ11" s="12"/>
      <c r="BA11" s="12">
        <v>0.8</v>
      </c>
      <c r="BE11" s="12"/>
      <c r="BF11" s="12"/>
      <c r="BG11" s="12"/>
      <c r="BH11" s="12"/>
      <c r="BL11" s="12"/>
      <c r="BM11" s="12"/>
      <c r="BN11" s="12"/>
      <c r="BO11" s="12"/>
      <c r="BS11" s="12"/>
      <c r="BT11" s="12"/>
      <c r="BU11" s="12"/>
      <c r="BV11" s="12"/>
      <c r="BZ11" s="12"/>
      <c r="CA11" s="12">
        <v>0.8</v>
      </c>
      <c r="CB11" s="12"/>
      <c r="CC11" s="12">
        <v>0.8</v>
      </c>
      <c r="CG11" s="12"/>
      <c r="CH11" s="12">
        <v>0.8</v>
      </c>
      <c r="CI11" s="12"/>
      <c r="CJ11" s="12">
        <v>0.8</v>
      </c>
      <c r="CN11" s="12"/>
      <c r="CO11" s="12">
        <v>1</v>
      </c>
      <c r="CP11" s="12"/>
      <c r="CQ11" s="12">
        <v>1</v>
      </c>
      <c r="CU11" s="12"/>
      <c r="CV11" s="12">
        <v>1</v>
      </c>
      <c r="CW11" s="12"/>
      <c r="CX11" s="12">
        <v>1</v>
      </c>
      <c r="DB11" s="12"/>
      <c r="DC11" s="12"/>
      <c r="DD11" s="12"/>
      <c r="DE11" s="12"/>
      <c r="DI11" s="12"/>
      <c r="DJ11" s="12"/>
      <c r="DK11" s="12"/>
      <c r="DL11" s="12"/>
    </row>
    <row r="12" spans="2:124" outlineLevel="1">
      <c r="B12" t="s">
        <v>27</v>
      </c>
      <c r="C12" t="s">
        <v>87</v>
      </c>
      <c r="E12" s="11"/>
      <c r="F12" t="s">
        <v>192</v>
      </c>
      <c r="G12" s="12">
        <v>0.05</v>
      </c>
      <c r="I12" s="11">
        <f t="shared" si="0"/>
        <v>0</v>
      </c>
      <c r="J12" s="13" cm="1">
        <f t="array" ref="J12">MAX(IF($N$3:$EH$3=$J$3,N12:EH12))</f>
        <v>0</v>
      </c>
      <c r="K12" s="13" cm="1">
        <f t="array" ref="K12">MAX(IF($N$3:$EH$3=$J$3,N12:EH12))</f>
        <v>0</v>
      </c>
      <c r="L12" s="11"/>
      <c r="N12" s="14">
        <v>0</v>
      </c>
      <c r="O12" s="12"/>
      <c r="P12" s="12"/>
      <c r="Q12" s="12"/>
      <c r="R12" s="12"/>
      <c r="V12" s="12"/>
      <c r="W12" s="12"/>
      <c r="X12" s="12"/>
      <c r="Y12" s="12"/>
      <c r="AC12" s="12"/>
      <c r="AD12" s="12"/>
      <c r="AE12" s="12"/>
      <c r="AF12" s="12"/>
      <c r="AJ12" s="12"/>
      <c r="AK12" s="12">
        <v>0.5</v>
      </c>
      <c r="AL12" s="12"/>
      <c r="AM12" s="12">
        <v>0.5</v>
      </c>
      <c r="AQ12" s="12"/>
      <c r="AR12" s="12">
        <v>0.5</v>
      </c>
      <c r="AS12" s="12"/>
      <c r="AT12" s="12">
        <v>0.5</v>
      </c>
      <c r="AX12" s="12"/>
      <c r="AY12" s="12">
        <v>0.5</v>
      </c>
      <c r="AZ12" s="12"/>
      <c r="BA12" s="12">
        <v>0.5</v>
      </c>
      <c r="BE12" s="12"/>
      <c r="BF12" s="12"/>
      <c r="BG12" s="12"/>
      <c r="BH12" s="12"/>
      <c r="BL12" s="12"/>
      <c r="BM12" s="12"/>
      <c r="BN12" s="12"/>
      <c r="BO12" s="12"/>
      <c r="BS12" s="12"/>
      <c r="BT12" s="12"/>
      <c r="BU12" s="12"/>
      <c r="BV12" s="12"/>
      <c r="BZ12" s="12"/>
      <c r="CA12" s="12">
        <v>0.8</v>
      </c>
      <c r="CB12" s="12"/>
      <c r="CC12" s="12">
        <v>0.8</v>
      </c>
      <c r="CG12" s="12"/>
      <c r="CH12" s="12">
        <v>0.8</v>
      </c>
      <c r="CI12" s="12"/>
      <c r="CJ12" s="12">
        <v>0.8</v>
      </c>
      <c r="CN12" s="12"/>
      <c r="CO12" s="12">
        <v>0.8</v>
      </c>
      <c r="CP12" s="12"/>
      <c r="CQ12" s="12">
        <v>0.8</v>
      </c>
      <c r="CU12" s="12"/>
      <c r="CV12" s="12">
        <v>1</v>
      </c>
      <c r="CW12" s="12"/>
      <c r="CX12" s="12">
        <v>1</v>
      </c>
      <c r="DB12" s="12"/>
      <c r="DC12" s="12"/>
      <c r="DD12" s="12"/>
      <c r="DE12" s="12"/>
      <c r="DI12" s="12"/>
      <c r="DJ12" s="12"/>
      <c r="DK12" s="12"/>
      <c r="DL12" s="12"/>
    </row>
    <row r="13" spans="2:124" outlineLevel="1">
      <c r="B13" t="s">
        <v>27</v>
      </c>
      <c r="C13" t="s">
        <v>87</v>
      </c>
      <c r="E13" s="11"/>
      <c r="F13" t="s">
        <v>193</v>
      </c>
      <c r="G13" s="12">
        <v>0.05</v>
      </c>
      <c r="I13" s="11">
        <f t="shared" si="0"/>
        <v>0</v>
      </c>
      <c r="J13" s="13" cm="1">
        <f t="array" ref="J13">MAX(IF($N$3:$EH$3=$J$3,N13:EH13))</f>
        <v>0</v>
      </c>
      <c r="K13" s="13" cm="1">
        <f t="array" ref="K13">MAX(IF($N$3:$EH$3=$J$3,N13:EH13))</f>
        <v>0</v>
      </c>
      <c r="L13" s="11"/>
      <c r="N13" s="14">
        <v>0</v>
      </c>
      <c r="O13" s="12"/>
      <c r="P13" s="12"/>
      <c r="Q13" s="12"/>
      <c r="R13" s="12"/>
      <c r="V13" s="12"/>
      <c r="W13" s="12"/>
      <c r="X13" s="12"/>
      <c r="Y13" s="12"/>
      <c r="AC13" s="12"/>
      <c r="AD13" s="12"/>
      <c r="AE13" s="12"/>
      <c r="AF13" s="12"/>
      <c r="AJ13" s="12"/>
      <c r="AK13" s="12">
        <v>0.5</v>
      </c>
      <c r="AL13" s="12"/>
      <c r="AM13" s="12">
        <v>0.5</v>
      </c>
      <c r="AQ13" s="12"/>
      <c r="AR13" s="12">
        <v>0.5</v>
      </c>
      <c r="AS13" s="12"/>
      <c r="AT13" s="12">
        <v>0.5</v>
      </c>
      <c r="AX13" s="12"/>
      <c r="AY13" s="12">
        <v>0.5</v>
      </c>
      <c r="AZ13" s="12"/>
      <c r="BA13" s="12">
        <v>0.5</v>
      </c>
      <c r="BE13" s="12"/>
      <c r="BF13" s="12"/>
      <c r="BG13" s="12"/>
      <c r="BH13" s="12"/>
      <c r="BL13" s="12"/>
      <c r="BM13" s="12"/>
      <c r="BN13" s="12"/>
      <c r="BO13" s="12"/>
      <c r="BS13" s="12"/>
      <c r="BT13" s="12"/>
      <c r="BU13" s="12"/>
      <c r="BV13" s="12"/>
      <c r="BZ13" s="12"/>
      <c r="CA13" s="12">
        <v>0.8</v>
      </c>
      <c r="CB13" s="12"/>
      <c r="CC13" s="12">
        <v>0.8</v>
      </c>
      <c r="CG13" s="12"/>
      <c r="CH13" s="12">
        <v>0.8</v>
      </c>
      <c r="CI13" s="12"/>
      <c r="CJ13" s="12">
        <v>0.8</v>
      </c>
      <c r="CN13" s="12"/>
      <c r="CO13" s="12">
        <v>0.8</v>
      </c>
      <c r="CP13" s="12"/>
      <c r="CQ13" s="12">
        <v>0.8</v>
      </c>
      <c r="CU13" s="12"/>
      <c r="CV13" s="12">
        <v>1</v>
      </c>
      <c r="CW13" s="12"/>
      <c r="CX13" s="12">
        <v>1</v>
      </c>
      <c r="DB13" s="12"/>
      <c r="DC13" s="12"/>
      <c r="DD13" s="12"/>
      <c r="DE13" s="12"/>
      <c r="DI13" s="12"/>
      <c r="DJ13" s="12"/>
      <c r="DK13" s="12"/>
      <c r="DL13" s="12"/>
    </row>
    <row r="14" spans="2:124" outlineLevel="1">
      <c r="B14" t="s">
        <v>27</v>
      </c>
      <c r="C14" t="s">
        <v>87</v>
      </c>
      <c r="E14" s="11"/>
      <c r="F14" t="s">
        <v>194</v>
      </c>
      <c r="G14" s="12">
        <v>0.1</v>
      </c>
      <c r="I14" s="11">
        <f t="shared" si="0"/>
        <v>0</v>
      </c>
      <c r="J14" s="13" cm="1">
        <f t="array" ref="J14">MAX(IF($N$3:$EH$3=$J$3,N14:EH14))</f>
        <v>0</v>
      </c>
      <c r="K14" s="13" cm="1">
        <f t="array" ref="K14">MAX(IF($N$3:$EH$3=$J$3,N14:EH14))</f>
        <v>0</v>
      </c>
      <c r="L14" s="11"/>
      <c r="N14" s="14">
        <v>0</v>
      </c>
      <c r="O14" s="12"/>
      <c r="P14" s="12"/>
      <c r="Q14" s="12"/>
      <c r="R14" s="12"/>
      <c r="V14" s="12"/>
      <c r="W14" s="12"/>
      <c r="X14" s="12"/>
      <c r="Y14" s="12"/>
      <c r="AC14" s="12"/>
      <c r="AD14" s="12"/>
      <c r="AE14" s="12"/>
      <c r="AF14" s="12"/>
      <c r="AJ14" s="12"/>
      <c r="AK14" s="12"/>
      <c r="AL14" s="12"/>
      <c r="AM14" s="12"/>
      <c r="AQ14" s="12"/>
      <c r="AR14" s="12">
        <v>0.5</v>
      </c>
      <c r="AS14" s="12"/>
      <c r="AT14" s="12">
        <v>0.5</v>
      </c>
      <c r="AX14" s="12"/>
      <c r="AY14" s="12">
        <v>0.5</v>
      </c>
      <c r="AZ14" s="12"/>
      <c r="BA14" s="12">
        <v>0.5</v>
      </c>
      <c r="BE14" s="12"/>
      <c r="BF14" s="12"/>
      <c r="BG14" s="12"/>
      <c r="BH14" s="12"/>
      <c r="BL14" s="12"/>
      <c r="BM14" s="12"/>
      <c r="BN14" s="12"/>
      <c r="BO14" s="12"/>
      <c r="BS14" s="12"/>
      <c r="BT14" s="12"/>
      <c r="BU14" s="12"/>
      <c r="BV14" s="12"/>
      <c r="BZ14" s="12"/>
      <c r="CA14" s="12">
        <v>0.5</v>
      </c>
      <c r="CB14" s="12"/>
      <c r="CC14" s="12">
        <v>0.5</v>
      </c>
      <c r="CG14" s="12"/>
      <c r="CH14" s="12">
        <v>0.8</v>
      </c>
      <c r="CI14" s="12"/>
      <c r="CJ14" s="12">
        <v>0.8</v>
      </c>
      <c r="CN14" s="12"/>
      <c r="CO14" s="12">
        <v>0.8</v>
      </c>
      <c r="CP14" s="12"/>
      <c r="CQ14" s="12">
        <v>0.8</v>
      </c>
      <c r="CU14" s="12"/>
      <c r="CV14" s="12">
        <v>1</v>
      </c>
      <c r="CW14" s="12"/>
      <c r="CX14" s="12">
        <v>1</v>
      </c>
      <c r="DB14" s="12"/>
      <c r="DC14" s="12"/>
      <c r="DD14" s="12"/>
      <c r="DE14" s="12"/>
      <c r="DI14" s="12"/>
      <c r="DJ14" s="12"/>
      <c r="DK14" s="12"/>
      <c r="DL14" s="12"/>
    </row>
    <row r="15" spans="2:124">
      <c r="F15" t="s">
        <v>114</v>
      </c>
      <c r="N15" s="11"/>
      <c r="O15" s="9"/>
      <c r="V15" s="9"/>
      <c r="AC15" s="9"/>
      <c r="AJ15" s="9"/>
      <c r="AQ15" s="9"/>
      <c r="AX15" s="9"/>
      <c r="BE15" s="9"/>
      <c r="BL15" s="9"/>
      <c r="BS15" s="9"/>
      <c r="BZ15" s="9"/>
      <c r="CG15" s="9"/>
      <c r="CN15" s="9"/>
      <c r="CU15" s="12"/>
      <c r="CV15" s="12"/>
      <c r="CW15" s="12"/>
      <c r="CX15" s="12"/>
      <c r="DB15" s="9"/>
      <c r="DI15" s="9"/>
    </row>
    <row r="16" spans="2:124">
      <c r="B16" s="3" t="s">
        <v>26</v>
      </c>
      <c r="C16" s="3" t="s">
        <v>88</v>
      </c>
      <c r="D16" s="30">
        <v>44853</v>
      </c>
      <c r="E16" s="11">
        <v>6</v>
      </c>
      <c r="F16">
        <f>(12*3)/6</f>
        <v>6</v>
      </c>
      <c r="G16" s="12">
        <f>+SUM(G17:G28)</f>
        <v>1.0000000000000002</v>
      </c>
      <c r="I16" s="14">
        <v>0</v>
      </c>
      <c r="J16" s="13">
        <f t="shared" ref="J16:K19" si="1">+SUMPRODUCT(F17:F28,J17:J28)</f>
        <v>0</v>
      </c>
      <c r="K16" s="13">
        <f t="shared" si="1"/>
        <v>0</v>
      </c>
      <c r="L16" s="11"/>
      <c r="N16" s="14">
        <f>SUM(N17:N28)</f>
        <v>0</v>
      </c>
      <c r="U16" s="14"/>
      <c r="AB16" s="14"/>
      <c r="AI16" s="14"/>
      <c r="AP16" s="14"/>
    </row>
    <row r="17" spans="2:116" outlineLevel="1">
      <c r="B17" t="s">
        <v>27</v>
      </c>
      <c r="C17" t="s">
        <v>88</v>
      </c>
      <c r="E17" s="11"/>
      <c r="F17" t="s">
        <v>133</v>
      </c>
      <c r="G17" s="12">
        <v>0.1</v>
      </c>
      <c r="I17" s="11">
        <v>0</v>
      </c>
      <c r="J17" s="26">
        <f t="shared" si="1"/>
        <v>0</v>
      </c>
      <c r="K17" s="26">
        <f t="shared" si="1"/>
        <v>0</v>
      </c>
      <c r="L17" s="11"/>
      <c r="N17" s="14">
        <v>0</v>
      </c>
      <c r="O17" s="12"/>
      <c r="P17" s="12">
        <v>0.5</v>
      </c>
      <c r="Q17" s="12"/>
      <c r="R17" s="12">
        <v>0.5</v>
      </c>
      <c r="V17" s="12"/>
      <c r="W17" s="12">
        <v>0.8</v>
      </c>
      <c r="X17" s="12"/>
      <c r="Y17" s="12">
        <v>0.8</v>
      </c>
      <c r="AC17" s="12"/>
      <c r="AD17" s="12">
        <v>0.8</v>
      </c>
      <c r="AE17" s="12"/>
      <c r="AF17" s="12">
        <v>0.8</v>
      </c>
      <c r="AJ17" s="12"/>
      <c r="AK17" s="12">
        <v>1</v>
      </c>
      <c r="AL17" s="12"/>
      <c r="AM17" s="12">
        <v>1</v>
      </c>
      <c r="AQ17" s="12"/>
      <c r="AR17" s="12">
        <v>1</v>
      </c>
      <c r="AS17" s="12"/>
      <c r="AT17" s="12">
        <v>1</v>
      </c>
      <c r="AX17" s="12"/>
      <c r="AY17" s="12">
        <v>1</v>
      </c>
      <c r="AZ17" s="12"/>
      <c r="BA17" s="12">
        <v>1</v>
      </c>
      <c r="BE17" s="12"/>
      <c r="BF17" s="12"/>
      <c r="BG17" s="12"/>
      <c r="BH17" s="12"/>
      <c r="BL17" s="12"/>
      <c r="BM17" s="12"/>
      <c r="BN17" s="12"/>
      <c r="BO17" s="12"/>
      <c r="BS17" s="12"/>
      <c r="BT17" s="12"/>
      <c r="BU17" s="12"/>
      <c r="BV17" s="12"/>
      <c r="BZ17" s="12"/>
      <c r="CA17" s="12"/>
      <c r="CB17" s="12"/>
      <c r="CC17" s="12"/>
      <c r="CG17" s="12"/>
      <c r="CH17" s="12"/>
      <c r="CI17" s="12"/>
      <c r="CJ17" s="12"/>
      <c r="CN17" s="12"/>
      <c r="CO17" s="12"/>
      <c r="CP17" s="12"/>
      <c r="CQ17" s="12"/>
      <c r="CU17" s="12"/>
      <c r="CV17" s="12"/>
      <c r="CW17" s="12"/>
      <c r="CX17" s="12"/>
      <c r="DB17" s="12"/>
      <c r="DC17" s="12"/>
      <c r="DD17" s="12"/>
      <c r="DE17" s="12"/>
      <c r="DI17" s="12"/>
      <c r="DJ17" s="12"/>
      <c r="DK17" s="12"/>
      <c r="DL17" s="12"/>
    </row>
    <row r="18" spans="2:116" outlineLevel="1">
      <c r="B18" t="s">
        <v>27</v>
      </c>
      <c r="C18" t="s">
        <v>88</v>
      </c>
      <c r="E18" s="11"/>
      <c r="F18" t="s">
        <v>134</v>
      </c>
      <c r="G18" s="12">
        <v>0.1</v>
      </c>
      <c r="I18" s="11">
        <v>0</v>
      </c>
      <c r="J18" s="26">
        <f t="shared" si="1"/>
        <v>0</v>
      </c>
      <c r="K18" s="26">
        <f t="shared" si="1"/>
        <v>0</v>
      </c>
      <c r="L18" s="11"/>
      <c r="N18" s="14">
        <v>0</v>
      </c>
      <c r="O18" s="12"/>
      <c r="P18" s="12">
        <v>0.5</v>
      </c>
      <c r="Q18" s="12"/>
      <c r="R18" s="12">
        <v>0.5</v>
      </c>
      <c r="V18" s="12"/>
      <c r="W18" s="12">
        <v>0.8</v>
      </c>
      <c r="X18" s="12"/>
      <c r="Y18" s="12">
        <v>0.8</v>
      </c>
      <c r="AC18" s="12"/>
      <c r="AD18" s="12">
        <v>0.8</v>
      </c>
      <c r="AE18" s="12"/>
      <c r="AF18" s="12">
        <v>0.8</v>
      </c>
      <c r="AJ18" s="12"/>
      <c r="AK18" s="12">
        <v>1</v>
      </c>
      <c r="AL18" s="12"/>
      <c r="AM18" s="12">
        <v>1</v>
      </c>
      <c r="AQ18" s="12"/>
      <c r="AR18" s="12">
        <v>1</v>
      </c>
      <c r="AS18" s="12"/>
      <c r="AT18" s="12">
        <v>1</v>
      </c>
      <c r="AX18" s="12"/>
      <c r="AY18" s="12">
        <v>1</v>
      </c>
      <c r="AZ18" s="12"/>
      <c r="BA18" s="12">
        <v>1</v>
      </c>
      <c r="BE18" s="12"/>
      <c r="BF18" s="12"/>
      <c r="BG18" s="12"/>
      <c r="BH18" s="12"/>
      <c r="BL18" s="12"/>
      <c r="BM18" s="12"/>
      <c r="BN18" s="12"/>
      <c r="BO18" s="12"/>
      <c r="BS18" s="12"/>
      <c r="BT18" s="12"/>
      <c r="BU18" s="12"/>
      <c r="BV18" s="12"/>
      <c r="BZ18" s="12"/>
      <c r="CA18" s="12"/>
      <c r="CB18" s="12"/>
      <c r="CC18" s="12"/>
      <c r="CG18" s="12"/>
      <c r="CH18" s="12"/>
      <c r="CI18" s="12"/>
      <c r="CJ18" s="12"/>
      <c r="CN18" s="12"/>
      <c r="CO18" s="12"/>
      <c r="CP18" s="12"/>
      <c r="CQ18" s="12"/>
      <c r="CU18" s="12"/>
      <c r="CV18" s="12"/>
      <c r="CW18" s="12"/>
      <c r="CX18" s="12"/>
      <c r="DB18" s="12"/>
      <c r="DC18" s="12"/>
      <c r="DD18" s="12"/>
      <c r="DE18" s="12"/>
      <c r="DI18" s="12"/>
      <c r="DJ18" s="12"/>
      <c r="DK18" s="12"/>
      <c r="DL18" s="12"/>
    </row>
    <row r="19" spans="2:116" outlineLevel="1">
      <c r="B19" t="s">
        <v>27</v>
      </c>
      <c r="C19" t="s">
        <v>88</v>
      </c>
      <c r="E19" s="11"/>
      <c r="F19" t="s">
        <v>135</v>
      </c>
      <c r="G19" s="12">
        <v>0.1</v>
      </c>
      <c r="I19" s="11">
        <v>0</v>
      </c>
      <c r="J19" s="26">
        <f t="shared" si="1"/>
        <v>0</v>
      </c>
      <c r="K19" s="26">
        <f t="shared" si="1"/>
        <v>0</v>
      </c>
      <c r="L19" s="11"/>
      <c r="N19" s="14">
        <v>0</v>
      </c>
      <c r="O19" s="12"/>
      <c r="P19" s="12">
        <v>0.5</v>
      </c>
      <c r="Q19" s="12"/>
      <c r="R19" s="12">
        <v>0.5</v>
      </c>
      <c r="V19" s="12"/>
      <c r="W19" s="12">
        <v>0.8</v>
      </c>
      <c r="X19" s="12"/>
      <c r="Y19" s="12">
        <v>0.8</v>
      </c>
      <c r="AC19" s="12"/>
      <c r="AD19" s="12">
        <v>0.8</v>
      </c>
      <c r="AE19" s="12"/>
      <c r="AF19" s="12">
        <v>0.8</v>
      </c>
      <c r="AJ19" s="12"/>
      <c r="AK19" s="12">
        <v>1</v>
      </c>
      <c r="AL19" s="12"/>
      <c r="AM19" s="12">
        <v>1</v>
      </c>
      <c r="AQ19" s="12"/>
      <c r="AR19" s="12">
        <v>1</v>
      </c>
      <c r="AS19" s="12"/>
      <c r="AT19" s="12">
        <v>1</v>
      </c>
      <c r="AX19" s="12"/>
      <c r="AY19" s="12">
        <v>1</v>
      </c>
      <c r="AZ19" s="12"/>
      <c r="BA19" s="12">
        <v>1</v>
      </c>
      <c r="BE19" s="12"/>
      <c r="BF19" s="12"/>
      <c r="BG19" s="12"/>
      <c r="BH19" s="12"/>
      <c r="BL19" s="12"/>
      <c r="BM19" s="12"/>
      <c r="BN19" s="12"/>
      <c r="BO19" s="12"/>
      <c r="BS19" s="12"/>
      <c r="BT19" s="12"/>
      <c r="BU19" s="12"/>
      <c r="BV19" s="12"/>
      <c r="BZ19" s="12"/>
      <c r="CA19" s="12"/>
      <c r="CB19" s="12"/>
      <c r="CC19" s="12"/>
      <c r="CG19" s="12"/>
      <c r="CH19" s="12"/>
      <c r="CI19" s="12"/>
      <c r="CJ19" s="12"/>
      <c r="CN19" s="12"/>
      <c r="CO19" s="12"/>
      <c r="CP19" s="12"/>
      <c r="CQ19" s="12"/>
      <c r="CU19" s="12"/>
      <c r="CV19" s="12"/>
      <c r="CW19" s="12"/>
      <c r="CX19" s="12"/>
      <c r="DB19" s="12"/>
      <c r="DC19" s="12"/>
      <c r="DD19" s="12"/>
      <c r="DE19" s="12"/>
      <c r="DI19" s="12"/>
      <c r="DJ19" s="12"/>
      <c r="DK19" s="12"/>
      <c r="DL19" s="12"/>
    </row>
    <row r="20" spans="2:116" outlineLevel="1">
      <c r="B20" t="s">
        <v>27</v>
      </c>
      <c r="C20" t="s">
        <v>88</v>
      </c>
      <c r="E20" s="11"/>
      <c r="F20" t="s">
        <v>136</v>
      </c>
      <c r="G20" s="12">
        <v>0.1</v>
      </c>
      <c r="I20" s="11">
        <v>0</v>
      </c>
      <c r="J20" s="26">
        <f>+SUMPRODUCT(F27:F32,J27:J32)</f>
        <v>0</v>
      </c>
      <c r="K20" s="26">
        <f>+SUMPRODUCT(G27:G32,K27:K32)</f>
        <v>0</v>
      </c>
      <c r="L20" s="11"/>
      <c r="N20" s="14">
        <v>0</v>
      </c>
      <c r="O20" s="12"/>
      <c r="P20" s="12">
        <v>0.5</v>
      </c>
      <c r="Q20" s="12"/>
      <c r="R20" s="12">
        <v>0.5</v>
      </c>
      <c r="V20" s="12"/>
      <c r="W20" s="12">
        <v>0.5</v>
      </c>
      <c r="X20" s="12"/>
      <c r="Y20" s="12">
        <v>0.5</v>
      </c>
      <c r="AC20" s="12"/>
      <c r="AD20" s="12">
        <v>0.8</v>
      </c>
      <c r="AE20" s="12"/>
      <c r="AF20" s="12">
        <v>0.8</v>
      </c>
      <c r="AJ20" s="12"/>
      <c r="AK20" s="12">
        <v>0.8</v>
      </c>
      <c r="AL20" s="12"/>
      <c r="AM20" s="12">
        <v>0.8</v>
      </c>
      <c r="AQ20" s="12"/>
      <c r="AR20" s="12">
        <v>1</v>
      </c>
      <c r="AS20" s="12"/>
      <c r="AT20" s="12">
        <v>1</v>
      </c>
      <c r="AX20" s="12"/>
      <c r="AY20" s="12">
        <v>1</v>
      </c>
      <c r="AZ20" s="12"/>
      <c r="BA20" s="12">
        <v>1</v>
      </c>
      <c r="BE20" s="12"/>
      <c r="BF20" s="12"/>
      <c r="BG20" s="12"/>
      <c r="BH20" s="12"/>
      <c r="BL20" s="12"/>
      <c r="BM20" s="12"/>
      <c r="BN20" s="12"/>
      <c r="BO20" s="12"/>
      <c r="BS20" s="12"/>
      <c r="BT20" s="12"/>
      <c r="BU20" s="12"/>
      <c r="BV20" s="12"/>
      <c r="BZ20" s="12"/>
      <c r="CA20" s="12"/>
      <c r="CB20" s="12"/>
      <c r="CC20" s="12"/>
      <c r="CG20" s="12"/>
      <c r="CH20" s="12"/>
      <c r="CI20" s="12"/>
      <c r="CJ20" s="12"/>
      <c r="CN20" s="12"/>
      <c r="CO20" s="12"/>
      <c r="CP20" s="12"/>
      <c r="CQ20" s="12"/>
      <c r="CU20" s="12"/>
      <c r="CV20" s="12"/>
      <c r="CW20" s="12"/>
      <c r="CX20" s="12"/>
      <c r="DB20" s="12"/>
      <c r="DC20" s="12"/>
      <c r="DD20" s="12"/>
      <c r="DE20" s="12"/>
      <c r="DI20" s="12"/>
      <c r="DJ20" s="12"/>
      <c r="DK20" s="12"/>
      <c r="DL20" s="12"/>
    </row>
    <row r="21" spans="2:116" outlineLevel="1">
      <c r="B21" t="s">
        <v>27</v>
      </c>
      <c r="C21" t="s">
        <v>88</v>
      </c>
      <c r="E21" s="11"/>
      <c r="F21" t="s">
        <v>137</v>
      </c>
      <c r="G21" s="12">
        <v>0.05</v>
      </c>
      <c r="I21" s="11">
        <v>0</v>
      </c>
      <c r="J21" s="26">
        <f>+SUMPRODUCT(F28:F33,J28:J33)</f>
        <v>0</v>
      </c>
      <c r="K21" s="26">
        <f>+SUMPRODUCT(G28:G33,K28:K33)</f>
        <v>0</v>
      </c>
      <c r="L21" s="11"/>
      <c r="N21" s="14">
        <v>0</v>
      </c>
      <c r="O21" s="12"/>
      <c r="P21" s="12">
        <v>0.5</v>
      </c>
      <c r="Q21" s="12"/>
      <c r="R21" s="12">
        <v>0.5</v>
      </c>
      <c r="V21" s="12"/>
      <c r="W21" s="12">
        <v>0.5</v>
      </c>
      <c r="X21" s="12"/>
      <c r="Y21" s="12">
        <v>0.5</v>
      </c>
      <c r="AC21" s="12"/>
      <c r="AD21" s="12">
        <v>0.8</v>
      </c>
      <c r="AE21" s="12"/>
      <c r="AF21" s="12">
        <v>0.8</v>
      </c>
      <c r="AJ21" s="12"/>
      <c r="AK21" s="12">
        <v>0.8</v>
      </c>
      <c r="AL21" s="12"/>
      <c r="AM21" s="12">
        <v>0.8</v>
      </c>
      <c r="AQ21" s="12"/>
      <c r="AR21" s="12">
        <v>1</v>
      </c>
      <c r="AS21" s="12"/>
      <c r="AT21" s="12">
        <v>1</v>
      </c>
      <c r="AX21" s="12"/>
      <c r="AY21" s="12">
        <v>1</v>
      </c>
      <c r="AZ21" s="12"/>
      <c r="BA21" s="12">
        <v>1</v>
      </c>
      <c r="BE21" s="12"/>
      <c r="BF21" s="12"/>
      <c r="BG21" s="12"/>
      <c r="BH21" s="12"/>
      <c r="BL21" s="12"/>
      <c r="BM21" s="12"/>
      <c r="BN21" s="12"/>
      <c r="BO21" s="12"/>
      <c r="BS21" s="12"/>
      <c r="BT21" s="12"/>
      <c r="BU21" s="12"/>
      <c r="BV21" s="12"/>
      <c r="BZ21" s="12"/>
      <c r="CA21" s="12"/>
      <c r="CB21" s="12"/>
      <c r="CC21" s="12"/>
      <c r="CG21" s="12"/>
      <c r="CH21" s="12"/>
      <c r="CI21" s="12"/>
      <c r="CJ21" s="12"/>
      <c r="CN21" s="12"/>
      <c r="CO21" s="12"/>
      <c r="CP21" s="12"/>
      <c r="CQ21" s="12"/>
      <c r="CU21" s="12"/>
      <c r="CV21" s="12"/>
      <c r="CW21" s="12"/>
      <c r="CX21" s="12"/>
      <c r="DB21" s="12"/>
      <c r="DC21" s="12"/>
      <c r="DD21" s="12"/>
      <c r="DE21" s="12"/>
      <c r="DI21" s="12"/>
      <c r="DJ21" s="12"/>
      <c r="DK21" s="12"/>
      <c r="DL21" s="12"/>
    </row>
    <row r="22" spans="2:116" outlineLevel="1">
      <c r="B22" t="s">
        <v>27</v>
      </c>
      <c r="C22" t="s">
        <v>88</v>
      </c>
      <c r="E22" s="11"/>
      <c r="F22" t="s">
        <v>138</v>
      </c>
      <c r="G22" s="12">
        <v>0.1</v>
      </c>
      <c r="I22" s="11">
        <v>0</v>
      </c>
      <c r="J22" s="26">
        <f>+SUMPRODUCT(F29:F34,J29:J34)</f>
        <v>0</v>
      </c>
      <c r="K22" s="26">
        <f>+SUMPRODUCT(G29:G34,K29:K34)</f>
        <v>0</v>
      </c>
      <c r="L22" s="11"/>
      <c r="N22" s="14">
        <v>0</v>
      </c>
      <c r="O22" s="12"/>
      <c r="P22" s="12">
        <v>0.5</v>
      </c>
      <c r="Q22" s="12"/>
      <c r="R22" s="12">
        <v>0.5</v>
      </c>
      <c r="V22" s="12"/>
      <c r="W22" s="12">
        <v>0.5</v>
      </c>
      <c r="X22" s="12"/>
      <c r="Y22" s="12">
        <v>0.5</v>
      </c>
      <c r="AC22" s="12"/>
      <c r="AD22" s="12">
        <v>0.8</v>
      </c>
      <c r="AE22" s="12"/>
      <c r="AF22" s="12">
        <v>0.8</v>
      </c>
      <c r="AJ22" s="12"/>
      <c r="AK22" s="12">
        <v>0.8</v>
      </c>
      <c r="AL22" s="12"/>
      <c r="AM22" s="12">
        <v>0.8</v>
      </c>
      <c r="AQ22" s="12"/>
      <c r="AR22" s="12">
        <v>1</v>
      </c>
      <c r="AS22" s="12"/>
      <c r="AT22" s="12">
        <v>1</v>
      </c>
      <c r="AX22" s="12"/>
      <c r="AY22" s="12">
        <v>1</v>
      </c>
      <c r="AZ22" s="12"/>
      <c r="BA22" s="12">
        <v>1</v>
      </c>
      <c r="BE22" s="12"/>
      <c r="BF22" s="12"/>
      <c r="BG22" s="12"/>
      <c r="BH22" s="12"/>
      <c r="BL22" s="12"/>
      <c r="BM22" s="12"/>
      <c r="BN22" s="12"/>
      <c r="BO22" s="12"/>
      <c r="BS22" s="12"/>
      <c r="BT22" s="12"/>
      <c r="BU22" s="12"/>
      <c r="BV22" s="12"/>
      <c r="BZ22" s="12"/>
      <c r="CA22" s="12"/>
      <c r="CB22" s="12"/>
      <c r="CC22" s="12"/>
      <c r="CG22" s="12"/>
      <c r="CH22" s="12"/>
      <c r="CI22" s="12"/>
      <c r="CJ22" s="12"/>
      <c r="CN22" s="12"/>
      <c r="CO22" s="12"/>
      <c r="CP22" s="12"/>
      <c r="CQ22" s="12"/>
      <c r="CU22" s="12"/>
      <c r="CV22" s="12"/>
      <c r="CW22" s="12"/>
      <c r="CX22" s="12"/>
      <c r="DB22" s="12"/>
      <c r="DC22" s="12"/>
      <c r="DD22" s="12"/>
      <c r="DE22" s="12"/>
      <c r="DI22" s="12"/>
      <c r="DJ22" s="12"/>
      <c r="DK22" s="12"/>
      <c r="DL22" s="12"/>
    </row>
    <row r="23" spans="2:116" outlineLevel="1">
      <c r="B23" t="s">
        <v>27</v>
      </c>
      <c r="C23" t="s">
        <v>88</v>
      </c>
      <c r="E23" s="11"/>
      <c r="F23" t="s">
        <v>139</v>
      </c>
      <c r="G23" s="12">
        <v>0.05</v>
      </c>
      <c r="I23" s="11">
        <v>0</v>
      </c>
      <c r="J23" s="26">
        <f>+SUMPRODUCT(F30:F35,J30:J35)</f>
        <v>0</v>
      </c>
      <c r="K23" s="26">
        <f>+SUMPRODUCT(G30:G35,K30:K35)</f>
        <v>0</v>
      </c>
      <c r="L23" s="11"/>
      <c r="N23" s="14">
        <v>0</v>
      </c>
      <c r="O23" s="12"/>
      <c r="P23" s="12"/>
      <c r="Q23" s="12"/>
      <c r="R23" s="12"/>
      <c r="V23" s="12"/>
      <c r="W23" s="12">
        <v>0.5</v>
      </c>
      <c r="X23" s="12"/>
      <c r="Y23" s="12">
        <v>0.5</v>
      </c>
      <c r="AC23" s="12"/>
      <c r="AD23" s="12">
        <v>0.5</v>
      </c>
      <c r="AE23" s="12"/>
      <c r="AF23" s="12">
        <v>0.5</v>
      </c>
      <c r="AJ23" s="12"/>
      <c r="AK23" s="12">
        <v>0.8</v>
      </c>
      <c r="AL23" s="12"/>
      <c r="AM23" s="12">
        <v>0.8</v>
      </c>
      <c r="AQ23" s="12"/>
      <c r="AR23" s="12">
        <v>0.8</v>
      </c>
      <c r="AS23" s="12"/>
      <c r="AT23" s="12">
        <v>0.8</v>
      </c>
      <c r="AX23" s="12"/>
      <c r="AY23" s="12">
        <v>1</v>
      </c>
      <c r="AZ23" s="12"/>
      <c r="BA23" s="12">
        <v>1</v>
      </c>
      <c r="BE23" s="12"/>
      <c r="BF23" s="12"/>
      <c r="BG23" s="12"/>
      <c r="BH23" s="12"/>
      <c r="BL23" s="12"/>
      <c r="BM23" s="12"/>
      <c r="BN23" s="12"/>
      <c r="BO23" s="12"/>
      <c r="BS23" s="12"/>
      <c r="BT23" s="12"/>
      <c r="BU23" s="12"/>
      <c r="BV23" s="12"/>
      <c r="BZ23" s="12"/>
      <c r="CA23" s="12"/>
      <c r="CB23" s="12"/>
      <c r="CC23" s="12"/>
      <c r="CG23" s="12"/>
      <c r="CH23" s="12"/>
      <c r="CI23" s="12"/>
      <c r="CJ23" s="12"/>
      <c r="CN23" s="12"/>
      <c r="CO23" s="12"/>
      <c r="CP23" s="12"/>
      <c r="CQ23" s="12"/>
      <c r="CU23" s="12"/>
      <c r="CV23" s="12"/>
      <c r="CW23" s="12"/>
      <c r="CX23" s="12"/>
      <c r="DB23" s="12"/>
      <c r="DC23" s="12"/>
      <c r="DD23" s="12"/>
      <c r="DE23" s="12"/>
      <c r="DI23" s="12"/>
      <c r="DJ23" s="12"/>
      <c r="DK23" s="12"/>
      <c r="DL23" s="12"/>
    </row>
    <row r="24" spans="2:116" outlineLevel="1">
      <c r="B24" t="s">
        <v>27</v>
      </c>
      <c r="C24" t="s">
        <v>88</v>
      </c>
      <c r="E24" s="11"/>
      <c r="F24" t="s">
        <v>140</v>
      </c>
      <c r="G24" s="12">
        <v>0.05</v>
      </c>
      <c r="I24" s="11">
        <v>0</v>
      </c>
      <c r="J24" s="26">
        <f>+SUMPRODUCT(F31:F36,J31:J36)</f>
        <v>0</v>
      </c>
      <c r="K24" s="26">
        <f>+SUMPRODUCT(G31:G36,K31:K36)</f>
        <v>0</v>
      </c>
      <c r="L24" s="11"/>
      <c r="N24" s="14">
        <v>0</v>
      </c>
      <c r="O24" s="12"/>
      <c r="P24" s="12"/>
      <c r="Q24" s="12"/>
      <c r="R24" s="12"/>
      <c r="V24" s="12"/>
      <c r="W24" s="12">
        <v>0.5</v>
      </c>
      <c r="X24" s="12"/>
      <c r="Y24" s="12">
        <v>0.5</v>
      </c>
      <c r="AC24" s="12"/>
      <c r="AD24" s="12">
        <v>0.5</v>
      </c>
      <c r="AE24" s="12"/>
      <c r="AF24" s="12">
        <v>0.5</v>
      </c>
      <c r="AJ24" s="12"/>
      <c r="AK24" s="12">
        <v>0.8</v>
      </c>
      <c r="AL24" s="12"/>
      <c r="AM24" s="12">
        <v>0.8</v>
      </c>
      <c r="AQ24" s="12"/>
      <c r="AR24" s="12">
        <v>0.8</v>
      </c>
      <c r="AS24" s="12"/>
      <c r="AT24" s="12">
        <v>0.8</v>
      </c>
      <c r="AX24" s="12"/>
      <c r="AY24" s="12">
        <v>1</v>
      </c>
      <c r="AZ24" s="12"/>
      <c r="BA24" s="12">
        <v>1</v>
      </c>
      <c r="BE24" s="12"/>
      <c r="BF24" s="12"/>
      <c r="BG24" s="12"/>
      <c r="BH24" s="12"/>
      <c r="BL24" s="12"/>
      <c r="BM24" s="12"/>
      <c r="BN24" s="12"/>
      <c r="BO24" s="12"/>
      <c r="BS24" s="12"/>
      <c r="BT24" s="12"/>
      <c r="BU24" s="12"/>
      <c r="BV24" s="12"/>
      <c r="BZ24" s="12"/>
      <c r="CA24" s="12"/>
      <c r="CB24" s="12"/>
      <c r="CC24" s="12"/>
      <c r="CG24" s="12"/>
      <c r="CH24" s="12"/>
      <c r="CI24" s="12"/>
      <c r="CJ24" s="12"/>
      <c r="CN24" s="12"/>
      <c r="CO24" s="12"/>
      <c r="CP24" s="12"/>
      <c r="CQ24" s="12"/>
      <c r="CU24" s="12"/>
      <c r="CV24" s="12"/>
      <c r="CW24" s="12"/>
      <c r="CX24" s="12"/>
      <c r="DB24" s="12"/>
      <c r="DC24" s="12"/>
      <c r="DD24" s="12"/>
      <c r="DE24" s="12"/>
      <c r="DI24" s="12"/>
      <c r="DJ24" s="12"/>
      <c r="DK24" s="12"/>
      <c r="DL24" s="12"/>
    </row>
    <row r="25" spans="2:116" outlineLevel="1">
      <c r="B25" t="s">
        <v>27</v>
      </c>
      <c r="C25" t="s">
        <v>88</v>
      </c>
      <c r="E25" s="11"/>
      <c r="F25" t="s">
        <v>132</v>
      </c>
      <c r="G25" s="12">
        <v>0.1</v>
      </c>
      <c r="I25" s="11">
        <v>0</v>
      </c>
      <c r="J25" s="26">
        <f>+SUMPRODUCT(F32:F37,J32:J37)</f>
        <v>0</v>
      </c>
      <c r="K25" s="26">
        <f>+SUMPRODUCT(G32:G37,K32:K37)</f>
        <v>0</v>
      </c>
      <c r="L25" s="11"/>
      <c r="N25" s="14">
        <v>0</v>
      </c>
      <c r="O25" s="12"/>
      <c r="P25" s="12"/>
      <c r="Q25" s="12"/>
      <c r="R25" s="12"/>
      <c r="V25" s="12"/>
      <c r="W25" s="12">
        <v>0.5</v>
      </c>
      <c r="X25" s="12"/>
      <c r="Y25" s="12">
        <v>0.5</v>
      </c>
      <c r="AC25" s="12"/>
      <c r="AD25" s="12">
        <v>0.5</v>
      </c>
      <c r="AE25" s="12"/>
      <c r="AF25" s="12">
        <v>0.5</v>
      </c>
      <c r="AJ25" s="12"/>
      <c r="AK25" s="12">
        <v>0.8</v>
      </c>
      <c r="AL25" s="12"/>
      <c r="AM25" s="12">
        <v>0.8</v>
      </c>
      <c r="AQ25" s="12"/>
      <c r="AR25" s="12">
        <v>0.8</v>
      </c>
      <c r="AS25" s="12"/>
      <c r="AT25" s="12">
        <v>0.8</v>
      </c>
      <c r="AX25" s="12"/>
      <c r="AY25" s="12">
        <v>1</v>
      </c>
      <c r="AZ25" s="12"/>
      <c r="BA25" s="12">
        <v>1</v>
      </c>
      <c r="BE25" s="12"/>
      <c r="BF25" s="12"/>
      <c r="BG25" s="12"/>
      <c r="BH25" s="12"/>
      <c r="BL25" s="12"/>
      <c r="BM25" s="12"/>
      <c r="BN25" s="12"/>
      <c r="BO25" s="12"/>
      <c r="BS25" s="12"/>
      <c r="BT25" s="12"/>
      <c r="BU25" s="12"/>
      <c r="BV25" s="12"/>
      <c r="BZ25" s="12"/>
      <c r="CA25" s="12"/>
      <c r="CB25" s="12"/>
      <c r="CC25" s="12"/>
      <c r="CG25" s="12"/>
      <c r="CH25" s="12"/>
      <c r="CI25" s="12"/>
      <c r="CJ25" s="12"/>
      <c r="CN25" s="12"/>
      <c r="CO25" s="12"/>
      <c r="CP25" s="12"/>
      <c r="CQ25" s="12"/>
      <c r="CU25" s="12"/>
      <c r="CV25" s="12"/>
      <c r="CW25" s="12"/>
      <c r="CX25" s="12"/>
      <c r="DB25" s="12"/>
      <c r="DC25" s="12"/>
      <c r="DD25" s="12"/>
      <c r="DE25" s="12"/>
      <c r="DI25" s="12"/>
      <c r="DJ25" s="12"/>
      <c r="DK25" s="12"/>
      <c r="DL25" s="12"/>
    </row>
    <row r="26" spans="2:116" outlineLevel="1">
      <c r="B26" t="s">
        <v>27</v>
      </c>
      <c r="C26" t="s">
        <v>88</v>
      </c>
      <c r="E26" s="11"/>
      <c r="F26" t="s">
        <v>143</v>
      </c>
      <c r="G26" s="12">
        <v>0.05</v>
      </c>
      <c r="I26" s="11">
        <v>0</v>
      </c>
      <c r="J26" s="26">
        <f>+SUMPRODUCT(F33:F43,J33:J43)</f>
        <v>0</v>
      </c>
      <c r="K26" s="26">
        <f>+SUMPRODUCT(G33:G43,K33:K43)</f>
        <v>0</v>
      </c>
      <c r="L26" s="11"/>
      <c r="N26" s="14">
        <v>0</v>
      </c>
      <c r="O26" s="12"/>
      <c r="P26" s="12"/>
      <c r="Q26" s="12"/>
      <c r="R26" s="12"/>
      <c r="V26" s="12"/>
      <c r="W26" s="12"/>
      <c r="X26" s="12"/>
      <c r="Y26" s="12"/>
      <c r="AC26" s="12"/>
      <c r="AD26" s="12">
        <v>0.5</v>
      </c>
      <c r="AE26" s="12"/>
      <c r="AF26" s="12">
        <v>0.5</v>
      </c>
      <c r="AJ26" s="12"/>
      <c r="AK26" s="12">
        <v>0.5</v>
      </c>
      <c r="AL26" s="12"/>
      <c r="AM26" s="12">
        <v>0.5</v>
      </c>
      <c r="AQ26" s="12"/>
      <c r="AR26" s="12">
        <v>0.8</v>
      </c>
      <c r="AS26" s="12"/>
      <c r="AT26" s="12">
        <v>0.8</v>
      </c>
      <c r="AX26" s="12"/>
      <c r="AY26" s="12">
        <v>1</v>
      </c>
      <c r="AZ26" s="12"/>
      <c r="BA26" s="12">
        <v>1</v>
      </c>
      <c r="BE26" s="12"/>
      <c r="BF26" s="12"/>
      <c r="BG26" s="12"/>
      <c r="BH26" s="12"/>
      <c r="BL26" s="12"/>
      <c r="BM26" s="12"/>
      <c r="BN26" s="12"/>
      <c r="BO26" s="12"/>
      <c r="BS26" s="12"/>
      <c r="BT26" s="12"/>
      <c r="BU26" s="12"/>
      <c r="BV26" s="12"/>
      <c r="BZ26" s="12"/>
      <c r="CA26" s="12"/>
      <c r="CB26" s="12"/>
      <c r="CC26" s="12"/>
      <c r="CG26" s="12"/>
      <c r="CH26" s="12"/>
      <c r="CI26" s="12"/>
      <c r="CJ26" s="12"/>
      <c r="CN26" s="12"/>
      <c r="CO26" s="12"/>
      <c r="CP26" s="12"/>
      <c r="CQ26" s="12"/>
      <c r="CU26" s="12"/>
      <c r="CV26" s="12"/>
      <c r="CW26" s="12"/>
      <c r="CX26" s="12"/>
      <c r="DB26" s="12"/>
      <c r="DC26" s="12"/>
      <c r="DD26" s="12"/>
      <c r="DE26" s="12"/>
      <c r="DI26" s="12"/>
      <c r="DJ26" s="12"/>
      <c r="DK26" s="12"/>
      <c r="DL26" s="12"/>
    </row>
    <row r="27" spans="2:116" outlineLevel="1">
      <c r="B27" t="s">
        <v>27</v>
      </c>
      <c r="C27" t="s">
        <v>88</v>
      </c>
      <c r="E27" s="11"/>
      <c r="F27" t="s">
        <v>141</v>
      </c>
      <c r="G27" s="12">
        <v>0.1</v>
      </c>
      <c r="I27" s="11">
        <f t="shared" ref="I27:I28" si="2">+SUMIF($N$3:$ZZ$3,I$3,$N27:$ZZ27)</f>
        <v>0</v>
      </c>
      <c r="J27" s="26">
        <f>+SUMPRODUCT(F28:F33,J28:J33)</f>
        <v>0</v>
      </c>
      <c r="K27" s="26">
        <f>+SUMPRODUCT(G28:G33,K28:K33)</f>
        <v>0</v>
      </c>
      <c r="L27" s="11"/>
      <c r="N27" s="14">
        <v>0</v>
      </c>
      <c r="O27" s="12"/>
      <c r="P27" s="12"/>
      <c r="Q27" s="12"/>
      <c r="R27" s="12"/>
      <c r="V27" s="12"/>
      <c r="W27" s="12"/>
      <c r="X27" s="12"/>
      <c r="Y27" s="12"/>
      <c r="AC27" s="12"/>
      <c r="AD27" s="12">
        <v>0.5</v>
      </c>
      <c r="AE27" s="12"/>
      <c r="AF27" s="12">
        <v>0.5</v>
      </c>
      <c r="AJ27" s="12"/>
      <c r="AK27" s="12">
        <v>0.5</v>
      </c>
      <c r="AL27" s="12"/>
      <c r="AM27" s="12">
        <v>0.5</v>
      </c>
      <c r="AQ27" s="12"/>
      <c r="AR27" s="12">
        <v>0.8</v>
      </c>
      <c r="AS27" s="12"/>
      <c r="AT27" s="12">
        <v>0.8</v>
      </c>
      <c r="AX27" s="12"/>
      <c r="AY27" s="12">
        <v>1</v>
      </c>
      <c r="AZ27" s="12"/>
      <c r="BA27" s="12">
        <v>1</v>
      </c>
      <c r="BE27" s="12"/>
      <c r="BF27" s="12"/>
      <c r="BG27" s="12"/>
      <c r="BH27" s="12"/>
      <c r="BL27" s="12"/>
      <c r="BM27" s="12"/>
      <c r="BN27" s="12"/>
      <c r="BO27" s="12"/>
      <c r="BS27" s="12"/>
      <c r="BT27" s="12"/>
      <c r="BU27" s="12"/>
      <c r="BV27" s="12"/>
      <c r="BZ27" s="12"/>
      <c r="CA27" s="12"/>
      <c r="CB27" s="12"/>
      <c r="CC27" s="12"/>
      <c r="CG27" s="12"/>
      <c r="CH27" s="12"/>
      <c r="CI27" s="12"/>
      <c r="CJ27" s="12"/>
      <c r="CN27" s="12"/>
      <c r="CO27" s="12"/>
      <c r="CP27" s="12"/>
      <c r="CQ27" s="12"/>
      <c r="CU27" s="12"/>
      <c r="CV27" s="12"/>
      <c r="CW27" s="12"/>
      <c r="CX27" s="12"/>
      <c r="DB27" s="12"/>
      <c r="DC27" s="12"/>
      <c r="DD27" s="12"/>
      <c r="DE27" s="12"/>
      <c r="DI27" s="12"/>
      <c r="DJ27" s="12"/>
      <c r="DK27" s="12"/>
      <c r="DL27" s="12"/>
    </row>
    <row r="28" spans="2:116" outlineLevel="1">
      <c r="B28" t="s">
        <v>27</v>
      </c>
      <c r="C28" t="s">
        <v>88</v>
      </c>
      <c r="E28" s="11"/>
      <c r="F28" t="s">
        <v>142</v>
      </c>
      <c r="G28" s="12">
        <v>0.1</v>
      </c>
      <c r="I28" s="11">
        <f t="shared" si="2"/>
        <v>0</v>
      </c>
      <c r="J28" s="26">
        <f>+SUMPRODUCT(F29:F34,J29:J34)</f>
        <v>0</v>
      </c>
      <c r="K28" s="26">
        <f>+SUMPRODUCT(G29:G34,K29:K34)</f>
        <v>0</v>
      </c>
      <c r="L28" s="11"/>
      <c r="N28" s="14">
        <v>0</v>
      </c>
      <c r="O28" s="12"/>
      <c r="P28" s="12"/>
      <c r="Q28" s="12"/>
      <c r="R28" s="12"/>
      <c r="V28" s="12"/>
      <c r="W28" s="12"/>
      <c r="X28" s="12"/>
      <c r="Y28" s="12"/>
      <c r="AC28" s="12"/>
      <c r="AD28" s="12">
        <v>0.5</v>
      </c>
      <c r="AE28" s="12"/>
      <c r="AF28" s="12">
        <v>0.5</v>
      </c>
      <c r="AJ28" s="12"/>
      <c r="AK28" s="12">
        <v>0.5</v>
      </c>
      <c r="AL28" s="12"/>
      <c r="AM28" s="12">
        <v>0.5</v>
      </c>
      <c r="AQ28" s="12"/>
      <c r="AR28" s="12">
        <v>0.8</v>
      </c>
      <c r="AS28" s="12"/>
      <c r="AT28" s="12">
        <v>0.8</v>
      </c>
      <c r="AX28" s="12"/>
      <c r="AY28" s="12">
        <v>1</v>
      </c>
      <c r="AZ28" s="12"/>
      <c r="BA28" s="12">
        <v>1</v>
      </c>
      <c r="BE28" s="12"/>
      <c r="BF28" s="12"/>
      <c r="BG28" s="12"/>
      <c r="BH28" s="12"/>
      <c r="BL28" s="12"/>
      <c r="BM28" s="12"/>
      <c r="BN28" s="12"/>
      <c r="BO28" s="12"/>
      <c r="BS28" s="12"/>
      <c r="BT28" s="12"/>
      <c r="BU28" s="12"/>
      <c r="BV28" s="12"/>
      <c r="BZ28" s="12"/>
      <c r="CA28" s="12"/>
      <c r="CB28" s="12"/>
      <c r="CC28" s="12"/>
      <c r="CG28" s="12"/>
      <c r="CH28" s="12"/>
      <c r="CI28" s="12"/>
      <c r="CJ28" s="12"/>
      <c r="CN28" s="12"/>
      <c r="CO28" s="12"/>
      <c r="CP28" s="12"/>
      <c r="CQ28" s="12"/>
      <c r="CU28" s="12"/>
      <c r="CV28" s="12"/>
      <c r="CW28" s="12"/>
      <c r="CX28" s="12"/>
      <c r="DB28" s="12"/>
      <c r="DC28" s="12"/>
      <c r="DD28" s="12"/>
      <c r="DE28" s="12"/>
      <c r="DI28" s="12"/>
      <c r="DJ28" s="12"/>
      <c r="DK28" s="12"/>
      <c r="DL28" s="12"/>
    </row>
    <row r="29" spans="2:116">
      <c r="N29" s="11"/>
      <c r="V29" s="12"/>
      <c r="W29" s="12"/>
      <c r="Y29" s="12"/>
      <c r="AC29" s="12"/>
      <c r="AD29" s="12"/>
      <c r="AF29" s="12"/>
      <c r="AJ29" s="12"/>
      <c r="AK29" s="12"/>
      <c r="AM29" s="12"/>
      <c r="AQ29" s="12"/>
      <c r="AR29" s="12"/>
      <c r="AT29" s="12"/>
      <c r="AX29" s="12"/>
      <c r="AY29" s="12"/>
      <c r="BA29" s="12"/>
    </row>
    <row r="30" spans="2:116">
      <c r="B30" s="3" t="s">
        <v>26</v>
      </c>
      <c r="C30" s="3" t="s">
        <v>89</v>
      </c>
      <c r="D30" s="30">
        <v>44909</v>
      </c>
      <c r="E30" s="11">
        <v>6</v>
      </c>
      <c r="G30" s="12">
        <f>+SUM(G31:G43)</f>
        <v>1.3</v>
      </c>
      <c r="I30" s="14">
        <f>+SUM(I31:I43)</f>
        <v>0</v>
      </c>
      <c r="J30" s="13">
        <f>+SUMPRODUCT(G31:G43,J31:J43)</f>
        <v>0</v>
      </c>
      <c r="K30" s="13">
        <f>+SUMPRODUCT(G31:G43,K31:K43)</f>
        <v>0</v>
      </c>
      <c r="L30" s="11"/>
      <c r="N30" s="14">
        <f>+SUM(N31:N43)</f>
        <v>0</v>
      </c>
      <c r="U30" s="14"/>
      <c r="AB30" s="14"/>
      <c r="AI30" s="14"/>
      <c r="AP30" s="14"/>
      <c r="AX30" s="12"/>
    </row>
    <row r="31" spans="2:116" outlineLevel="1">
      <c r="B31" t="s">
        <v>27</v>
      </c>
      <c r="C31" t="s">
        <v>112</v>
      </c>
      <c r="E31" s="11"/>
      <c r="F31" t="s">
        <v>99</v>
      </c>
      <c r="G31" s="12">
        <v>0.1</v>
      </c>
      <c r="I31" s="11">
        <f t="shared" ref="I31:I43" si="3">+SUMIF($N$3:$ZZ$3,I$3,$N31:$ZZ31)</f>
        <v>0</v>
      </c>
      <c r="J31" s="13" cm="1">
        <f t="array" ref="J31">MAX(IF($N$3:$EH$3=$J$3,N31:EH31))</f>
        <v>0</v>
      </c>
      <c r="K31" s="13" cm="1">
        <f t="array" ref="K31">MAX(IF($N$3:$EH$3=$J$3,N31:EH31))</f>
        <v>0</v>
      </c>
      <c r="L31" s="11"/>
      <c r="N31" s="14">
        <f>+SUM(N32:N44)</f>
        <v>0</v>
      </c>
      <c r="O31" s="12"/>
      <c r="P31" s="12">
        <v>0.5</v>
      </c>
      <c r="Q31" s="12"/>
      <c r="R31" s="12">
        <v>0.5</v>
      </c>
      <c r="V31" s="12"/>
      <c r="W31" s="12">
        <v>0.8</v>
      </c>
      <c r="X31" s="12"/>
      <c r="Y31" s="12">
        <v>0.8</v>
      </c>
      <c r="AC31" s="12"/>
      <c r="AD31" s="12">
        <v>0.8</v>
      </c>
      <c r="AE31" s="12"/>
      <c r="AF31" s="12">
        <v>0.8</v>
      </c>
      <c r="AJ31" s="12"/>
      <c r="AK31" s="12">
        <v>0.8</v>
      </c>
      <c r="AL31" s="12"/>
      <c r="AM31" s="12">
        <v>0.8</v>
      </c>
      <c r="AQ31" s="12"/>
      <c r="AR31" s="12">
        <v>0.8</v>
      </c>
      <c r="AS31" s="12"/>
      <c r="AT31" s="12">
        <v>0.8</v>
      </c>
      <c r="AX31" s="12"/>
      <c r="AY31" s="12">
        <v>1</v>
      </c>
      <c r="AZ31" s="12"/>
      <c r="BA31" s="12">
        <v>1</v>
      </c>
      <c r="BE31" s="12"/>
      <c r="BF31" s="12"/>
      <c r="BG31" s="12"/>
      <c r="BH31" s="12"/>
      <c r="BL31" s="12"/>
      <c r="BM31" s="12"/>
      <c r="BN31" s="12"/>
      <c r="BO31" s="12"/>
      <c r="BS31" s="12"/>
      <c r="BT31" s="12"/>
      <c r="BU31" s="12"/>
      <c r="BV31" s="12"/>
      <c r="BZ31" s="12"/>
      <c r="CA31" s="12">
        <v>1</v>
      </c>
      <c r="CB31" s="12"/>
      <c r="CC31" s="12">
        <v>1</v>
      </c>
      <c r="CG31" s="12"/>
      <c r="CH31" s="12">
        <v>1</v>
      </c>
      <c r="CI31" s="12"/>
      <c r="CJ31" s="12">
        <v>1</v>
      </c>
      <c r="CN31" s="12"/>
      <c r="CO31" s="12">
        <v>1</v>
      </c>
      <c r="CP31" s="12"/>
      <c r="CQ31" s="12">
        <v>1</v>
      </c>
      <c r="CU31" s="12"/>
      <c r="CV31" s="12">
        <v>1</v>
      </c>
      <c r="CW31" s="12"/>
      <c r="CX31" s="12">
        <v>1</v>
      </c>
      <c r="DB31" s="12"/>
      <c r="DC31" s="12"/>
      <c r="DD31" s="12"/>
      <c r="DE31" s="12"/>
      <c r="DI31" s="12"/>
      <c r="DJ31" s="12"/>
      <c r="DK31" s="12"/>
      <c r="DL31" s="12"/>
    </row>
    <row r="32" spans="2:116" outlineLevel="1">
      <c r="B32" t="s">
        <v>27</v>
      </c>
      <c r="C32" t="s">
        <v>112</v>
      </c>
      <c r="E32" s="11"/>
      <c r="F32" t="s">
        <v>100</v>
      </c>
      <c r="G32" s="12">
        <v>0.1</v>
      </c>
      <c r="I32" s="11">
        <f t="shared" si="3"/>
        <v>0</v>
      </c>
      <c r="J32" s="13" cm="1">
        <f t="array" ref="J32">MAX(IF($N$3:$EH$3=$J$3,N32:EH32))</f>
        <v>0</v>
      </c>
      <c r="K32" s="13" cm="1">
        <f t="array" ref="K32">MAX(IF($N$3:$EH$3=$J$3,N32:EH32))</f>
        <v>0</v>
      </c>
      <c r="L32" s="11"/>
      <c r="N32" s="14">
        <f>+SUM(N33:N45)</f>
        <v>0</v>
      </c>
      <c r="O32" s="12"/>
      <c r="P32" s="12">
        <v>0.5</v>
      </c>
      <c r="Q32" s="12"/>
      <c r="R32" s="12">
        <v>0.5</v>
      </c>
      <c r="V32" s="12"/>
      <c r="W32" s="12">
        <v>0.5</v>
      </c>
      <c r="X32" s="12"/>
      <c r="Y32" s="12">
        <v>0.5</v>
      </c>
      <c r="AC32" s="12"/>
      <c r="AD32" s="12">
        <v>0.8</v>
      </c>
      <c r="AE32" s="12"/>
      <c r="AF32" s="12">
        <v>0.8</v>
      </c>
      <c r="AJ32" s="12"/>
      <c r="AK32" s="12">
        <v>0.8</v>
      </c>
      <c r="AL32" s="12"/>
      <c r="AM32" s="12">
        <v>0.8</v>
      </c>
      <c r="AQ32" s="12"/>
      <c r="AR32" s="12">
        <v>0.8</v>
      </c>
      <c r="AS32" s="12"/>
      <c r="AT32" s="12">
        <v>0.8</v>
      </c>
      <c r="AX32" s="12"/>
      <c r="AY32" s="12">
        <v>1</v>
      </c>
      <c r="AZ32" s="12"/>
      <c r="BA32" s="12">
        <v>1</v>
      </c>
      <c r="BE32" s="12"/>
      <c r="BF32" s="12"/>
      <c r="BG32" s="12"/>
      <c r="BH32" s="12"/>
      <c r="BL32" s="12"/>
      <c r="BM32" s="12"/>
      <c r="BN32" s="12"/>
      <c r="BO32" s="12"/>
      <c r="BS32" s="12"/>
      <c r="BT32" s="12"/>
      <c r="BU32" s="12"/>
      <c r="BV32" s="12"/>
      <c r="BZ32" s="12"/>
      <c r="CA32" s="12">
        <v>1</v>
      </c>
      <c r="CB32" s="12"/>
      <c r="CC32" s="12">
        <v>1</v>
      </c>
      <c r="CG32" s="12"/>
      <c r="CH32" s="12">
        <v>1</v>
      </c>
      <c r="CI32" s="12"/>
      <c r="CJ32" s="12">
        <v>1</v>
      </c>
      <c r="CN32" s="12"/>
      <c r="CO32" s="12">
        <v>1</v>
      </c>
      <c r="CP32" s="12"/>
      <c r="CQ32" s="12">
        <v>1</v>
      </c>
      <c r="CU32" s="12"/>
      <c r="CV32" s="12">
        <v>1</v>
      </c>
      <c r="CW32" s="12"/>
      <c r="CX32" s="12">
        <v>1</v>
      </c>
      <c r="DB32" s="12"/>
      <c r="DC32" s="12"/>
      <c r="DD32" s="12"/>
      <c r="DE32" s="12"/>
      <c r="DI32" s="12"/>
      <c r="DJ32" s="12"/>
      <c r="DK32" s="12"/>
      <c r="DL32" s="12"/>
    </row>
    <row r="33" spans="2:116" outlineLevel="1">
      <c r="B33" t="s">
        <v>27</v>
      </c>
      <c r="C33" t="s">
        <v>112</v>
      </c>
      <c r="E33" s="11"/>
      <c r="F33" t="s">
        <v>101</v>
      </c>
      <c r="G33" s="12">
        <v>0.1</v>
      </c>
      <c r="I33" s="11">
        <f t="shared" si="3"/>
        <v>0</v>
      </c>
      <c r="J33" s="13" cm="1">
        <f t="array" ref="J33">MAX(IF($N$3:$EH$3=$J$3,N33:EH33))</f>
        <v>0</v>
      </c>
      <c r="K33" s="13" cm="1">
        <f t="array" ref="K33">MAX(IF($N$3:$EH$3=$J$3,N33:EH33))</f>
        <v>0</v>
      </c>
      <c r="L33" s="11"/>
      <c r="N33" s="14">
        <f>+SUM(N34:N46)</f>
        <v>0</v>
      </c>
      <c r="O33" s="12"/>
      <c r="P33" s="12">
        <v>0.5</v>
      </c>
      <c r="Q33" s="12"/>
      <c r="R33" s="12">
        <v>0.5</v>
      </c>
      <c r="V33" s="12"/>
      <c r="W33" s="12">
        <v>0.5</v>
      </c>
      <c r="X33" s="12"/>
      <c r="Y33" s="12">
        <v>0.5</v>
      </c>
      <c r="AC33" s="12"/>
      <c r="AD33" s="12">
        <v>0.5</v>
      </c>
      <c r="AE33" s="12"/>
      <c r="AF33" s="12">
        <v>0.5</v>
      </c>
      <c r="AJ33" s="12"/>
      <c r="AK33" s="12">
        <v>0.8</v>
      </c>
      <c r="AL33" s="12"/>
      <c r="AM33" s="12">
        <v>0.8</v>
      </c>
      <c r="AQ33" s="12"/>
      <c r="AR33" s="12">
        <v>0.8</v>
      </c>
      <c r="AS33" s="12"/>
      <c r="AT33" s="12">
        <v>0.8</v>
      </c>
      <c r="AX33" s="12"/>
      <c r="AY33" s="12">
        <v>0.8</v>
      </c>
      <c r="AZ33" s="12"/>
      <c r="BA33" s="12">
        <v>0.8</v>
      </c>
      <c r="BE33" s="12"/>
      <c r="BF33" s="12"/>
      <c r="BG33" s="12"/>
      <c r="BH33" s="12"/>
      <c r="BL33" s="12"/>
      <c r="BM33" s="12"/>
      <c r="BN33" s="12"/>
      <c r="BO33" s="12"/>
      <c r="BS33" s="12"/>
      <c r="BT33" s="12"/>
      <c r="BU33" s="12"/>
      <c r="BV33" s="12"/>
      <c r="BZ33" s="12"/>
      <c r="CA33" s="12">
        <v>1</v>
      </c>
      <c r="CB33" s="12"/>
      <c r="CC33" s="12">
        <v>1</v>
      </c>
      <c r="CG33" s="12"/>
      <c r="CH33" s="12">
        <v>1</v>
      </c>
      <c r="CI33" s="12"/>
      <c r="CJ33" s="12">
        <v>1</v>
      </c>
      <c r="CN33" s="12"/>
      <c r="CO33" s="12">
        <v>1</v>
      </c>
      <c r="CP33" s="12"/>
      <c r="CQ33" s="12">
        <v>1</v>
      </c>
      <c r="CU33" s="12"/>
      <c r="CV33" s="12">
        <v>1</v>
      </c>
      <c r="CW33" s="12"/>
      <c r="CX33" s="12">
        <v>1</v>
      </c>
      <c r="DB33" s="12"/>
      <c r="DC33" s="12"/>
      <c r="DD33" s="12"/>
      <c r="DE33" s="12"/>
      <c r="DI33" s="12"/>
      <c r="DJ33" s="12"/>
      <c r="DK33" s="12"/>
      <c r="DL33" s="12"/>
    </row>
    <row r="34" spans="2:116" outlineLevel="1">
      <c r="B34" t="s">
        <v>27</v>
      </c>
      <c r="C34" t="s">
        <v>112</v>
      </c>
      <c r="E34" s="11"/>
      <c r="F34" t="s">
        <v>102</v>
      </c>
      <c r="G34" s="12">
        <v>0.1</v>
      </c>
      <c r="I34" s="11">
        <f t="shared" si="3"/>
        <v>0</v>
      </c>
      <c r="J34" s="13" cm="1">
        <f t="array" ref="J34">MAX(IF($N$3:$EH$3=$J$3,N34:EH34))</f>
        <v>0</v>
      </c>
      <c r="K34" s="13" cm="1">
        <f t="array" ref="K34">MAX(IF($N$3:$EH$3=$J$3,N34:EH34))</f>
        <v>0</v>
      </c>
      <c r="L34" s="11"/>
      <c r="N34" s="14">
        <f>+SUM(N35:N55)</f>
        <v>0</v>
      </c>
      <c r="O34" s="12"/>
      <c r="P34" s="12"/>
      <c r="Q34" s="12"/>
      <c r="R34" s="12"/>
      <c r="V34" s="12"/>
      <c r="W34" s="12">
        <v>0.5</v>
      </c>
      <c r="X34" s="12"/>
      <c r="Y34" s="12">
        <v>0.5</v>
      </c>
      <c r="AC34" s="12"/>
      <c r="AD34" s="12">
        <v>0.5</v>
      </c>
      <c r="AE34" s="12"/>
      <c r="AF34" s="12">
        <v>0.5</v>
      </c>
      <c r="AJ34" s="12"/>
      <c r="AK34" s="12">
        <v>0.8</v>
      </c>
      <c r="AL34" s="12"/>
      <c r="AM34" s="12">
        <v>0.8</v>
      </c>
      <c r="AQ34" s="12"/>
      <c r="AR34" s="12">
        <v>0.8</v>
      </c>
      <c r="AS34" s="12"/>
      <c r="AT34" s="12">
        <v>0.8</v>
      </c>
      <c r="AX34" s="12"/>
      <c r="AY34" s="12">
        <v>0.8</v>
      </c>
      <c r="AZ34" s="12"/>
      <c r="BA34" s="12">
        <v>0.8</v>
      </c>
      <c r="BE34" s="12"/>
      <c r="BF34" s="12"/>
      <c r="BG34" s="12"/>
      <c r="BH34" s="12"/>
      <c r="BL34" s="12"/>
      <c r="BM34" s="12"/>
      <c r="BN34" s="12"/>
      <c r="BO34" s="12"/>
      <c r="BS34" s="12"/>
      <c r="BT34" s="12"/>
      <c r="BU34" s="12"/>
      <c r="BV34" s="12"/>
      <c r="BZ34" s="12"/>
      <c r="CA34" s="12">
        <v>0.8</v>
      </c>
      <c r="CB34" s="12"/>
      <c r="CC34" s="12">
        <v>0.8</v>
      </c>
      <c r="CG34" s="12"/>
      <c r="CH34" s="12">
        <v>1</v>
      </c>
      <c r="CI34" s="12"/>
      <c r="CJ34" s="12">
        <v>1</v>
      </c>
      <c r="CN34" s="12"/>
      <c r="CO34" s="12">
        <v>1</v>
      </c>
      <c r="CP34" s="12"/>
      <c r="CQ34" s="12">
        <v>1</v>
      </c>
      <c r="CU34" s="12"/>
      <c r="CV34" s="12">
        <v>1</v>
      </c>
      <c r="CW34" s="12"/>
      <c r="CX34" s="12">
        <v>1</v>
      </c>
      <c r="DB34" s="12"/>
      <c r="DC34" s="12"/>
      <c r="DD34" s="12"/>
      <c r="DE34" s="12"/>
      <c r="DI34" s="12"/>
      <c r="DJ34" s="12"/>
      <c r="DK34" s="12"/>
      <c r="DL34" s="12"/>
    </row>
    <row r="35" spans="2:116" outlineLevel="1">
      <c r="B35" t="s">
        <v>27</v>
      </c>
      <c r="C35" t="s">
        <v>112</v>
      </c>
      <c r="E35" s="11"/>
      <c r="F35" t="s">
        <v>103</v>
      </c>
      <c r="G35" s="12">
        <v>0.1</v>
      </c>
      <c r="I35" s="11">
        <f t="shared" si="3"/>
        <v>0</v>
      </c>
      <c r="J35" s="13" cm="1">
        <f t="array" ref="J35">MAX(IF($N$3:$EH$3=$J$3,N35:EH35))</f>
        <v>0</v>
      </c>
      <c r="K35" s="13" cm="1">
        <f t="array" ref="K35">MAX(IF($N$3:$EH$3=$J$3,N35:EH35))</f>
        <v>0</v>
      </c>
      <c r="L35" s="11"/>
      <c r="N35" s="14">
        <f>+SUM(N36:N56)</f>
        <v>0</v>
      </c>
      <c r="O35" s="12"/>
      <c r="P35" s="12"/>
      <c r="Q35" s="12"/>
      <c r="R35" s="12"/>
      <c r="V35" s="12"/>
      <c r="W35" s="12">
        <v>0.5</v>
      </c>
      <c r="X35" s="12"/>
      <c r="Y35" s="12">
        <v>0.5</v>
      </c>
      <c r="AC35" s="12"/>
      <c r="AD35" s="12">
        <v>0.5</v>
      </c>
      <c r="AE35" s="12"/>
      <c r="AF35" s="12">
        <v>0.5</v>
      </c>
      <c r="AJ35" s="12"/>
      <c r="AK35" s="12">
        <v>0.5</v>
      </c>
      <c r="AL35" s="12"/>
      <c r="AM35" s="12">
        <v>0.5</v>
      </c>
      <c r="AQ35" s="12"/>
      <c r="AR35" s="12">
        <v>0.8</v>
      </c>
      <c r="AS35" s="12"/>
      <c r="AT35" s="12">
        <v>0.8</v>
      </c>
      <c r="AX35" s="12"/>
      <c r="AY35" s="12">
        <v>0.8</v>
      </c>
      <c r="AZ35" s="12"/>
      <c r="BA35" s="12">
        <v>0.8</v>
      </c>
      <c r="BE35" s="12"/>
      <c r="BF35" s="12"/>
      <c r="BG35" s="12"/>
      <c r="BH35" s="12"/>
      <c r="BL35" s="12"/>
      <c r="BM35" s="12"/>
      <c r="BN35" s="12"/>
      <c r="BO35" s="12"/>
      <c r="BS35" s="12"/>
      <c r="BT35" s="12"/>
      <c r="BU35" s="12"/>
      <c r="BV35" s="12"/>
      <c r="BZ35" s="12"/>
      <c r="CA35" s="12">
        <v>0.8</v>
      </c>
      <c r="CB35" s="12"/>
      <c r="CC35" s="12">
        <v>0.8</v>
      </c>
      <c r="CG35" s="12"/>
      <c r="CH35" s="12">
        <v>1</v>
      </c>
      <c r="CI35" s="12"/>
      <c r="CJ35" s="12">
        <v>1</v>
      </c>
      <c r="CN35" s="12"/>
      <c r="CO35" s="12">
        <v>1</v>
      </c>
      <c r="CP35" s="12"/>
      <c r="CQ35" s="12">
        <v>1</v>
      </c>
      <c r="CU35" s="12"/>
      <c r="CV35" s="12">
        <v>1</v>
      </c>
      <c r="CW35" s="12"/>
      <c r="CX35" s="12">
        <v>1</v>
      </c>
      <c r="DB35" s="12"/>
      <c r="DC35" s="12"/>
      <c r="DD35" s="12"/>
      <c r="DE35" s="12"/>
      <c r="DI35" s="12"/>
      <c r="DJ35" s="12"/>
      <c r="DK35" s="12"/>
      <c r="DL35" s="12"/>
    </row>
    <row r="36" spans="2:116" outlineLevel="1">
      <c r="B36" t="s">
        <v>27</v>
      </c>
      <c r="C36" t="s">
        <v>112</v>
      </c>
      <c r="E36" s="11"/>
      <c r="F36" t="s">
        <v>104</v>
      </c>
      <c r="G36" s="12">
        <v>0.1</v>
      </c>
      <c r="I36" s="11">
        <f t="shared" si="3"/>
        <v>0</v>
      </c>
      <c r="J36" s="13" cm="1">
        <f t="array" ref="J36">MAX(IF($N$3:$EH$3=$J$3,N36:EH36))</f>
        <v>0</v>
      </c>
      <c r="K36" s="13" cm="1">
        <f t="array" ref="K36">MAX(IF($N$3:$EH$3=$J$3,N36:EH36))</f>
        <v>0</v>
      </c>
      <c r="L36" s="11"/>
      <c r="N36" s="14">
        <f>+SUM(N37:N57)</f>
        <v>0</v>
      </c>
      <c r="O36" s="12"/>
      <c r="P36" s="12"/>
      <c r="Q36" s="12"/>
      <c r="R36" s="12"/>
      <c r="V36" s="12"/>
      <c r="W36" s="12">
        <v>0.5</v>
      </c>
      <c r="X36" s="12"/>
      <c r="Y36" s="12">
        <v>0.5</v>
      </c>
      <c r="AC36" s="12"/>
      <c r="AD36" s="12">
        <v>0.5</v>
      </c>
      <c r="AE36" s="12"/>
      <c r="AF36" s="12">
        <v>0.5</v>
      </c>
      <c r="AJ36" s="12"/>
      <c r="AK36" s="12">
        <v>0.5</v>
      </c>
      <c r="AL36" s="12"/>
      <c r="AM36" s="12">
        <v>0.5</v>
      </c>
      <c r="AQ36" s="12"/>
      <c r="AR36" s="12">
        <v>0.8</v>
      </c>
      <c r="AS36" s="12"/>
      <c r="AT36" s="12">
        <v>0.8</v>
      </c>
      <c r="AX36" s="12"/>
      <c r="AY36" s="12">
        <v>0.8</v>
      </c>
      <c r="AZ36" s="12"/>
      <c r="BA36" s="12">
        <v>0.8</v>
      </c>
      <c r="BE36" s="12"/>
      <c r="BF36" s="12"/>
      <c r="BG36" s="12"/>
      <c r="BH36" s="12"/>
      <c r="BL36" s="12"/>
      <c r="BM36" s="12"/>
      <c r="BN36" s="12"/>
      <c r="BO36" s="12"/>
      <c r="BS36" s="12"/>
      <c r="BT36" s="12"/>
      <c r="BU36" s="12"/>
      <c r="BV36" s="12"/>
      <c r="BZ36" s="12"/>
      <c r="CA36" s="12">
        <v>0.8</v>
      </c>
      <c r="CB36" s="12"/>
      <c r="CC36" s="12">
        <v>0.8</v>
      </c>
      <c r="CG36" s="12"/>
      <c r="CH36" s="12">
        <v>0.8</v>
      </c>
      <c r="CI36" s="12"/>
      <c r="CJ36" s="12">
        <v>0.8</v>
      </c>
      <c r="CN36" s="12"/>
      <c r="CO36" s="12">
        <v>1</v>
      </c>
      <c r="CP36" s="12"/>
      <c r="CQ36" s="12">
        <v>1</v>
      </c>
      <c r="CU36" s="12"/>
      <c r="CV36" s="12">
        <v>1</v>
      </c>
      <c r="CW36" s="12"/>
      <c r="CX36" s="12">
        <v>1</v>
      </c>
      <c r="DB36" s="12"/>
      <c r="DC36" s="12"/>
      <c r="DD36" s="12"/>
      <c r="DE36" s="12"/>
      <c r="DI36" s="12"/>
      <c r="DJ36" s="12"/>
      <c r="DK36" s="12"/>
      <c r="DL36" s="12"/>
    </row>
    <row r="37" spans="2:116" outlineLevel="1">
      <c r="B37" t="s">
        <v>27</v>
      </c>
      <c r="C37" t="s">
        <v>112</v>
      </c>
      <c r="E37" s="11"/>
      <c r="F37" t="s">
        <v>105</v>
      </c>
      <c r="G37" s="12">
        <v>0.1</v>
      </c>
      <c r="I37" s="11">
        <f t="shared" si="3"/>
        <v>0</v>
      </c>
      <c r="J37" s="13" cm="1">
        <f t="array" ref="J37">MAX(IF($N$3:$EH$3=$J$3,N37:EH37))</f>
        <v>0</v>
      </c>
      <c r="K37" s="13" cm="1">
        <f t="array" ref="K37">MAX(IF($N$3:$EH$3=$J$3,N37:EH37))</f>
        <v>0</v>
      </c>
      <c r="L37" s="11"/>
      <c r="N37" s="14">
        <f>+SUM(N43:N58)</f>
        <v>0</v>
      </c>
      <c r="O37" s="12"/>
      <c r="P37" s="12"/>
      <c r="Q37" s="12"/>
      <c r="R37" s="12"/>
      <c r="V37" s="12"/>
      <c r="W37" s="12"/>
      <c r="X37" s="12"/>
      <c r="Y37" s="12"/>
      <c r="AC37" s="12"/>
      <c r="AD37" s="12">
        <v>0.5</v>
      </c>
      <c r="AE37" s="12"/>
      <c r="AF37" s="12">
        <v>0.5</v>
      </c>
      <c r="AJ37" s="12"/>
      <c r="AK37" s="12">
        <v>0.5</v>
      </c>
      <c r="AL37" s="12"/>
      <c r="AM37" s="12">
        <v>0.5</v>
      </c>
      <c r="AQ37" s="12"/>
      <c r="AR37" s="12">
        <v>0.8</v>
      </c>
      <c r="AS37" s="12"/>
      <c r="AT37" s="12">
        <v>0.8</v>
      </c>
      <c r="AX37" s="12"/>
      <c r="AY37" s="12">
        <v>0.8</v>
      </c>
      <c r="AZ37" s="12"/>
      <c r="BA37" s="12">
        <v>0.8</v>
      </c>
      <c r="BE37" s="12"/>
      <c r="BF37" s="12"/>
      <c r="BG37" s="12"/>
      <c r="BH37" s="12"/>
      <c r="BL37" s="12"/>
      <c r="BM37" s="12"/>
      <c r="BN37" s="12"/>
      <c r="BO37" s="12"/>
      <c r="BS37" s="12"/>
      <c r="BT37" s="12"/>
      <c r="BU37" s="12"/>
      <c r="BV37" s="12"/>
      <c r="BZ37" s="12"/>
      <c r="CA37" s="12">
        <v>0.8</v>
      </c>
      <c r="CB37" s="12"/>
      <c r="CC37" s="12">
        <v>0.8</v>
      </c>
      <c r="CG37" s="12"/>
      <c r="CH37" s="12">
        <v>0.8</v>
      </c>
      <c r="CI37" s="12"/>
      <c r="CJ37" s="12">
        <v>0.8</v>
      </c>
      <c r="CN37" s="12"/>
      <c r="CO37" s="12">
        <v>1</v>
      </c>
      <c r="CP37" s="12"/>
      <c r="CQ37" s="12">
        <v>1</v>
      </c>
      <c r="CU37" s="12"/>
      <c r="CV37" s="12">
        <v>1</v>
      </c>
      <c r="CW37" s="12"/>
      <c r="CX37" s="12">
        <v>1</v>
      </c>
      <c r="DB37" s="12"/>
      <c r="DC37" s="12"/>
      <c r="DD37" s="12"/>
      <c r="DE37" s="12"/>
      <c r="DI37" s="12"/>
      <c r="DJ37" s="12"/>
      <c r="DK37" s="12"/>
      <c r="DL37" s="12"/>
    </row>
    <row r="38" spans="2:116" outlineLevel="1">
      <c r="B38" t="s">
        <v>27</v>
      </c>
      <c r="C38" t="s">
        <v>113</v>
      </c>
      <c r="E38" s="11"/>
      <c r="F38" t="s">
        <v>183</v>
      </c>
      <c r="G38" s="12">
        <v>0.1</v>
      </c>
      <c r="I38" s="11">
        <f t="shared" si="3"/>
        <v>0</v>
      </c>
      <c r="J38" s="13" cm="1">
        <f t="array" ref="J38">MAX(IF($N$3:$EH$3=$J$3,N38:EH38))</f>
        <v>0</v>
      </c>
      <c r="K38" s="13" cm="1">
        <f t="array" ref="K38">MAX(IF($N$3:$EH$3=$J$3,N38:EH38))</f>
        <v>0</v>
      </c>
      <c r="L38" s="11"/>
      <c r="N38" s="14">
        <f t="shared" ref="N38:N42" si="4">+SUM(N44:N59)</f>
        <v>0</v>
      </c>
      <c r="O38" s="12"/>
      <c r="P38" s="12"/>
      <c r="Q38" s="12"/>
      <c r="R38" s="12"/>
      <c r="V38" s="12"/>
      <c r="W38" s="12"/>
      <c r="X38" s="12"/>
      <c r="Y38" s="12"/>
      <c r="AC38" s="12"/>
      <c r="AD38" s="12">
        <v>0.5</v>
      </c>
      <c r="AE38" s="12"/>
      <c r="AF38" s="12">
        <v>0.5</v>
      </c>
      <c r="AJ38" s="12"/>
      <c r="AK38" s="12">
        <v>0.5</v>
      </c>
      <c r="AL38" s="12"/>
      <c r="AM38" s="12">
        <v>0.5</v>
      </c>
      <c r="AQ38" s="12"/>
      <c r="AR38" s="12">
        <v>0.5</v>
      </c>
      <c r="AS38" s="12"/>
      <c r="AT38" s="12">
        <v>0.5</v>
      </c>
      <c r="AX38" s="12"/>
      <c r="AY38" s="12">
        <v>0.8</v>
      </c>
      <c r="AZ38" s="12"/>
      <c r="BA38" s="12">
        <v>0.8</v>
      </c>
      <c r="BE38" s="12"/>
      <c r="BF38" s="12"/>
      <c r="BG38" s="12"/>
      <c r="BH38" s="12"/>
      <c r="BL38" s="12"/>
      <c r="BM38" s="12"/>
      <c r="BN38" s="12"/>
      <c r="BO38" s="12"/>
      <c r="BS38" s="12"/>
      <c r="BT38" s="12"/>
      <c r="BU38" s="12"/>
      <c r="BV38" s="12"/>
      <c r="BZ38" s="12"/>
      <c r="CA38" s="12">
        <v>0.8</v>
      </c>
      <c r="CB38" s="12"/>
      <c r="CC38" s="12">
        <v>0.8</v>
      </c>
      <c r="CG38" s="12"/>
      <c r="CH38" s="12">
        <v>0.8</v>
      </c>
      <c r="CI38" s="12"/>
      <c r="CJ38" s="12">
        <v>0.8</v>
      </c>
      <c r="CN38" s="12"/>
      <c r="CO38" s="12">
        <v>1</v>
      </c>
      <c r="CP38" s="12"/>
      <c r="CQ38" s="12">
        <v>1</v>
      </c>
      <c r="CU38" s="12"/>
      <c r="CV38" s="12">
        <v>1</v>
      </c>
      <c r="CW38" s="12"/>
      <c r="CX38" s="12">
        <v>1</v>
      </c>
      <c r="DB38" s="12"/>
      <c r="DC38" s="12"/>
      <c r="DD38" s="12"/>
      <c r="DE38" s="12"/>
      <c r="DI38" s="12"/>
      <c r="DJ38" s="12"/>
      <c r="DK38" s="12"/>
      <c r="DL38" s="12"/>
    </row>
    <row r="39" spans="2:116" outlineLevel="1">
      <c r="B39" t="s">
        <v>27</v>
      </c>
      <c r="C39" t="s">
        <v>113</v>
      </c>
      <c r="E39" s="11"/>
      <c r="F39" t="s">
        <v>184</v>
      </c>
      <c r="G39" s="12">
        <v>0.1</v>
      </c>
      <c r="I39" s="11">
        <f t="shared" si="3"/>
        <v>0</v>
      </c>
      <c r="J39" s="13" cm="1">
        <f t="array" ref="J39">MAX(IF($N$3:$EH$3=$J$3,N39:EH39))</f>
        <v>0</v>
      </c>
      <c r="K39" s="13" cm="1">
        <f t="array" ref="K39">MAX(IF($N$3:$EH$3=$J$3,N39:EH39))</f>
        <v>0</v>
      </c>
      <c r="L39" s="11"/>
      <c r="N39" s="14">
        <f t="shared" si="4"/>
        <v>0</v>
      </c>
      <c r="O39" s="12"/>
      <c r="P39" s="12"/>
      <c r="Q39" s="12"/>
      <c r="R39" s="12"/>
      <c r="V39" s="12"/>
      <c r="W39" s="12"/>
      <c r="X39" s="12"/>
      <c r="Y39" s="12"/>
      <c r="AC39" s="12"/>
      <c r="AD39" s="12">
        <v>0.5</v>
      </c>
      <c r="AE39" s="12"/>
      <c r="AF39" s="12">
        <v>0.5</v>
      </c>
      <c r="AJ39" s="12"/>
      <c r="AK39" s="12">
        <v>0.5</v>
      </c>
      <c r="AL39" s="12"/>
      <c r="AM39" s="12">
        <v>0.5</v>
      </c>
      <c r="AQ39" s="12"/>
      <c r="AR39" s="12">
        <v>0.5</v>
      </c>
      <c r="AS39" s="12"/>
      <c r="AT39" s="12">
        <v>0.5</v>
      </c>
      <c r="AX39" s="12"/>
      <c r="AY39" s="12">
        <v>0.5</v>
      </c>
      <c r="AZ39" s="12"/>
      <c r="BA39" s="12">
        <v>0.5</v>
      </c>
      <c r="BE39" s="12"/>
      <c r="BF39" s="12"/>
      <c r="BG39" s="12"/>
      <c r="BH39" s="12"/>
      <c r="BL39" s="12"/>
      <c r="BM39" s="12"/>
      <c r="BN39" s="12"/>
      <c r="BO39" s="12"/>
      <c r="BS39" s="12"/>
      <c r="BT39" s="12"/>
      <c r="BU39" s="12"/>
      <c r="BV39" s="12"/>
      <c r="BZ39" s="12"/>
      <c r="CA39" s="12">
        <v>0.8</v>
      </c>
      <c r="CB39" s="12"/>
      <c r="CC39" s="12">
        <v>0.8</v>
      </c>
      <c r="CG39" s="12"/>
      <c r="CH39" s="12">
        <v>0.8</v>
      </c>
      <c r="CI39" s="12"/>
      <c r="CJ39" s="12">
        <v>0.8</v>
      </c>
      <c r="CN39" s="12"/>
      <c r="CO39" s="12">
        <v>1</v>
      </c>
      <c r="CP39" s="12"/>
      <c r="CQ39" s="12">
        <v>1</v>
      </c>
      <c r="CU39" s="12"/>
      <c r="CV39" s="12">
        <v>1</v>
      </c>
      <c r="CW39" s="12"/>
      <c r="CX39" s="12">
        <v>1</v>
      </c>
      <c r="DB39" s="12"/>
      <c r="DC39" s="12"/>
      <c r="DD39" s="12"/>
      <c r="DE39" s="12"/>
      <c r="DI39" s="12"/>
      <c r="DJ39" s="12"/>
      <c r="DK39" s="12"/>
      <c r="DL39" s="12"/>
    </row>
    <row r="40" spans="2:116" outlineLevel="1">
      <c r="B40" t="s">
        <v>27</v>
      </c>
      <c r="C40" t="s">
        <v>113</v>
      </c>
      <c r="E40" s="11"/>
      <c r="F40" t="s">
        <v>185</v>
      </c>
      <c r="G40" s="12">
        <v>0.1</v>
      </c>
      <c r="I40" s="11">
        <f t="shared" si="3"/>
        <v>0</v>
      </c>
      <c r="J40" s="13" cm="1">
        <f t="array" ref="J40">MAX(IF($N$3:$EH$3=$J$3,N40:EH40))</f>
        <v>0</v>
      </c>
      <c r="K40" s="13" cm="1">
        <f t="array" ref="K40">MAX(IF($N$3:$EH$3=$J$3,N40:EH40))</f>
        <v>0</v>
      </c>
      <c r="L40" s="11"/>
      <c r="N40" s="14">
        <f t="shared" si="4"/>
        <v>0</v>
      </c>
      <c r="O40" s="12"/>
      <c r="P40" s="12"/>
      <c r="Q40" s="12"/>
      <c r="R40" s="12"/>
      <c r="V40" s="12"/>
      <c r="W40" s="12"/>
      <c r="X40" s="12"/>
      <c r="Y40" s="12"/>
      <c r="AC40" s="12"/>
      <c r="AD40" s="12"/>
      <c r="AE40" s="12"/>
      <c r="AF40" s="12"/>
      <c r="AJ40" s="12"/>
      <c r="AK40" s="12">
        <v>0.5</v>
      </c>
      <c r="AL40" s="12"/>
      <c r="AM40" s="12">
        <v>0.5</v>
      </c>
      <c r="AQ40" s="12"/>
      <c r="AR40" s="12">
        <v>0.5</v>
      </c>
      <c r="AS40" s="12"/>
      <c r="AT40" s="12">
        <v>0.5</v>
      </c>
      <c r="AX40" s="12"/>
      <c r="AY40" s="12">
        <v>0.5</v>
      </c>
      <c r="AZ40" s="12"/>
      <c r="BA40" s="12">
        <v>0.5</v>
      </c>
      <c r="BE40" s="12"/>
      <c r="BF40" s="12"/>
      <c r="BG40" s="12"/>
      <c r="BH40" s="12"/>
      <c r="BL40" s="12"/>
      <c r="BM40" s="12"/>
      <c r="BN40" s="12"/>
      <c r="BO40" s="12"/>
      <c r="BS40" s="12"/>
      <c r="BT40" s="12"/>
      <c r="BU40" s="12"/>
      <c r="BV40" s="12"/>
      <c r="BZ40" s="12"/>
      <c r="CA40" s="12">
        <v>0.8</v>
      </c>
      <c r="CB40" s="12"/>
      <c r="CC40" s="12">
        <v>0.8</v>
      </c>
      <c r="CG40" s="12"/>
      <c r="CH40" s="12">
        <v>0.8</v>
      </c>
      <c r="CI40" s="12"/>
      <c r="CJ40" s="12">
        <v>0.8</v>
      </c>
      <c r="CN40" s="12"/>
      <c r="CO40" s="12">
        <v>0.8</v>
      </c>
      <c r="CP40" s="12"/>
      <c r="CQ40" s="12">
        <v>0.8</v>
      </c>
      <c r="CU40" s="12"/>
      <c r="CV40" s="12">
        <v>1</v>
      </c>
      <c r="CW40" s="12"/>
      <c r="CX40" s="12">
        <v>1</v>
      </c>
      <c r="DB40" s="12"/>
      <c r="DC40" s="12"/>
      <c r="DD40" s="12"/>
      <c r="DE40" s="12"/>
      <c r="DI40" s="12"/>
      <c r="DJ40" s="12"/>
      <c r="DK40" s="12"/>
      <c r="DL40" s="12"/>
    </row>
    <row r="41" spans="2:116" outlineLevel="1">
      <c r="B41" t="s">
        <v>27</v>
      </c>
      <c r="C41" t="s">
        <v>113</v>
      </c>
      <c r="E41" s="11"/>
      <c r="F41" t="s">
        <v>186</v>
      </c>
      <c r="G41" s="12">
        <v>0.1</v>
      </c>
      <c r="I41" s="11">
        <f t="shared" si="3"/>
        <v>0</v>
      </c>
      <c r="J41" s="13" cm="1">
        <f t="array" ref="J41">MAX(IF($N$3:$EH$3=$J$3,N41:EH41))</f>
        <v>0</v>
      </c>
      <c r="K41" s="13" cm="1">
        <f t="array" ref="K41">MAX(IF($N$3:$EH$3=$J$3,N41:EH41))</f>
        <v>0</v>
      </c>
      <c r="L41" s="11"/>
      <c r="N41" s="14">
        <f t="shared" si="4"/>
        <v>0</v>
      </c>
      <c r="O41" s="12"/>
      <c r="P41" s="12"/>
      <c r="Q41" s="12"/>
      <c r="R41" s="12"/>
      <c r="V41" s="12"/>
      <c r="W41" s="12"/>
      <c r="X41" s="12"/>
      <c r="Y41" s="12"/>
      <c r="AC41" s="12"/>
      <c r="AD41" s="12"/>
      <c r="AE41" s="12"/>
      <c r="AF41" s="12"/>
      <c r="AJ41" s="12"/>
      <c r="AK41" s="12">
        <v>0.5</v>
      </c>
      <c r="AL41" s="12"/>
      <c r="AM41" s="12">
        <v>0.5</v>
      </c>
      <c r="AQ41" s="12"/>
      <c r="AR41" s="12">
        <v>0.5</v>
      </c>
      <c r="AS41" s="12"/>
      <c r="AT41" s="12">
        <v>0.5</v>
      </c>
      <c r="AX41" s="12"/>
      <c r="AY41" s="12">
        <v>0.5</v>
      </c>
      <c r="AZ41" s="12"/>
      <c r="BA41" s="12">
        <v>0.5</v>
      </c>
      <c r="BE41" s="12"/>
      <c r="BF41" s="12"/>
      <c r="BG41" s="12"/>
      <c r="BH41" s="12"/>
      <c r="BL41" s="12"/>
      <c r="BM41" s="12"/>
      <c r="BN41" s="12"/>
      <c r="BO41" s="12"/>
      <c r="BS41" s="12"/>
      <c r="BT41" s="12"/>
      <c r="BU41" s="12"/>
      <c r="BV41" s="12"/>
      <c r="BZ41" s="12"/>
      <c r="CA41" s="12">
        <v>0.8</v>
      </c>
      <c r="CB41" s="12"/>
      <c r="CC41" s="12">
        <v>0.8</v>
      </c>
      <c r="CG41" s="12"/>
      <c r="CH41" s="12">
        <v>0.8</v>
      </c>
      <c r="CI41" s="12"/>
      <c r="CJ41" s="12">
        <v>0.8</v>
      </c>
      <c r="CN41" s="12"/>
      <c r="CO41" s="12">
        <v>0.8</v>
      </c>
      <c r="CP41" s="12"/>
      <c r="CQ41" s="12">
        <v>0.8</v>
      </c>
      <c r="CU41" s="12"/>
      <c r="CV41" s="12">
        <v>1</v>
      </c>
      <c r="CW41" s="12"/>
      <c r="CX41" s="12">
        <v>1</v>
      </c>
      <c r="DB41" s="12"/>
      <c r="DC41" s="12"/>
      <c r="DD41" s="12"/>
      <c r="DE41" s="12"/>
      <c r="DI41" s="12"/>
      <c r="DJ41" s="12"/>
      <c r="DK41" s="12"/>
      <c r="DL41" s="12"/>
    </row>
    <row r="42" spans="2:116" outlineLevel="1">
      <c r="B42" t="s">
        <v>27</v>
      </c>
      <c r="C42" t="s">
        <v>113</v>
      </c>
      <c r="E42" s="11"/>
      <c r="F42" t="s">
        <v>187</v>
      </c>
      <c r="G42" s="12">
        <v>0.1</v>
      </c>
      <c r="I42" s="11">
        <f t="shared" si="3"/>
        <v>0</v>
      </c>
      <c r="J42" s="13" cm="1">
        <f t="array" ref="J42">MAX(IF($N$3:$EH$3=$J$3,N42:EH42))</f>
        <v>0</v>
      </c>
      <c r="K42" s="13" cm="1">
        <f t="array" ref="K42">MAX(IF($N$3:$EH$3=$J$3,N42:EH42))</f>
        <v>0</v>
      </c>
      <c r="L42" s="11"/>
      <c r="N42" s="14">
        <f t="shared" si="4"/>
        <v>0</v>
      </c>
      <c r="O42" s="12"/>
      <c r="P42" s="12"/>
      <c r="Q42" s="12"/>
      <c r="R42" s="12"/>
      <c r="V42" s="12"/>
      <c r="W42" s="12"/>
      <c r="X42" s="12"/>
      <c r="Y42" s="12"/>
      <c r="AC42" s="12"/>
      <c r="AD42" s="12"/>
      <c r="AE42" s="12"/>
      <c r="AF42" s="12"/>
      <c r="AJ42" s="12"/>
      <c r="AK42" s="12"/>
      <c r="AL42" s="12"/>
      <c r="AM42" s="12"/>
      <c r="AQ42" s="12"/>
      <c r="AR42" s="12">
        <v>0.5</v>
      </c>
      <c r="AS42" s="12"/>
      <c r="AT42" s="12">
        <v>0.5</v>
      </c>
      <c r="AX42" s="12"/>
      <c r="AY42" s="12">
        <v>0.5</v>
      </c>
      <c r="AZ42" s="12"/>
      <c r="BA42" s="12">
        <v>0.5</v>
      </c>
      <c r="BE42" s="12"/>
      <c r="BF42" s="12"/>
      <c r="BG42" s="12"/>
      <c r="BH42" s="12"/>
      <c r="BL42" s="12"/>
      <c r="BM42" s="12"/>
      <c r="BN42" s="12"/>
      <c r="BO42" s="12"/>
      <c r="BS42" s="12"/>
      <c r="BT42" s="12"/>
      <c r="BU42" s="12"/>
      <c r="BV42" s="12"/>
      <c r="BZ42" s="12"/>
      <c r="CA42" s="12">
        <v>0.5</v>
      </c>
      <c r="CB42" s="12"/>
      <c r="CC42" s="12">
        <v>0.5</v>
      </c>
      <c r="CG42" s="12"/>
      <c r="CH42" s="12">
        <v>0.8</v>
      </c>
      <c r="CI42" s="12"/>
      <c r="CJ42" s="12">
        <v>0.8</v>
      </c>
      <c r="CN42" s="12"/>
      <c r="CO42" s="12">
        <v>0.8</v>
      </c>
      <c r="CP42" s="12"/>
      <c r="CQ42" s="12">
        <v>0.8</v>
      </c>
      <c r="CU42" s="12"/>
      <c r="CV42" s="12">
        <v>1</v>
      </c>
      <c r="CW42" s="12"/>
      <c r="CX42" s="12">
        <v>1</v>
      </c>
      <c r="DB42" s="12"/>
      <c r="DC42" s="12"/>
      <c r="DD42" s="12"/>
      <c r="DE42" s="12"/>
      <c r="DI42" s="12"/>
      <c r="DJ42" s="12"/>
      <c r="DK42" s="12"/>
      <c r="DL42" s="12"/>
    </row>
    <row r="43" spans="2:116" outlineLevel="1">
      <c r="B43" t="s">
        <v>27</v>
      </c>
      <c r="C43" t="s">
        <v>113</v>
      </c>
      <c r="E43" s="11"/>
      <c r="F43" t="s">
        <v>188</v>
      </c>
      <c r="G43" s="12">
        <v>0.1</v>
      </c>
      <c r="I43" s="11">
        <f t="shared" si="3"/>
        <v>0</v>
      </c>
      <c r="J43" s="13" cm="1">
        <f t="array" ref="J43">MAX(IF($N$3:$EH$3=$J$3,N43:EH43))</f>
        <v>0</v>
      </c>
      <c r="K43" s="13" cm="1">
        <f t="array" ref="K43">MAX(IF($N$3:$EH$3=$J$3,N43:EH43))</f>
        <v>0</v>
      </c>
      <c r="L43" s="11"/>
      <c r="N43" s="14">
        <f>+SUM(N44:N59)</f>
        <v>0</v>
      </c>
      <c r="O43" s="12"/>
      <c r="P43" s="12"/>
      <c r="Q43" s="12"/>
      <c r="R43" s="12"/>
      <c r="V43" s="12"/>
      <c r="W43" s="12"/>
      <c r="X43" s="12"/>
      <c r="Y43" s="12"/>
      <c r="AC43" s="12"/>
      <c r="AD43" s="12"/>
      <c r="AE43" s="12"/>
      <c r="AF43" s="12"/>
      <c r="AJ43" s="12"/>
      <c r="AK43" s="12"/>
      <c r="AL43" s="12"/>
      <c r="AM43" s="12"/>
      <c r="AQ43" s="12"/>
      <c r="AR43" s="12"/>
      <c r="AS43" s="12"/>
      <c r="AT43" s="12"/>
      <c r="AX43" s="12"/>
      <c r="AY43" s="12">
        <v>0.5</v>
      </c>
      <c r="AZ43" s="12"/>
      <c r="BA43" s="12">
        <v>0.5</v>
      </c>
      <c r="BE43" s="12"/>
      <c r="BF43" s="12"/>
      <c r="BG43" s="12"/>
      <c r="BH43" s="12"/>
      <c r="BL43" s="12"/>
      <c r="BM43" s="12"/>
      <c r="BN43" s="12"/>
      <c r="BO43" s="12"/>
      <c r="BS43" s="12"/>
      <c r="BT43" s="12"/>
      <c r="BU43" s="12"/>
      <c r="BV43" s="12"/>
      <c r="BZ43" s="12"/>
      <c r="CA43" s="12">
        <v>0.5</v>
      </c>
      <c r="CB43" s="12"/>
      <c r="CC43" s="12">
        <v>0.5</v>
      </c>
      <c r="CG43" s="12"/>
      <c r="CH43" s="12">
        <v>0.8</v>
      </c>
      <c r="CI43" s="12"/>
      <c r="CJ43" s="12">
        <v>0.8</v>
      </c>
      <c r="CN43" s="12"/>
      <c r="CO43" s="12">
        <v>0.8</v>
      </c>
      <c r="CP43" s="12"/>
      <c r="CQ43" s="12">
        <v>0.8</v>
      </c>
      <c r="CU43" s="12"/>
      <c r="CV43" s="12">
        <v>1</v>
      </c>
      <c r="CW43" s="12"/>
      <c r="CX43" s="12">
        <v>1</v>
      </c>
      <c r="DB43" s="12"/>
      <c r="DC43" s="12"/>
      <c r="DD43" s="12"/>
      <c r="DE43" s="12"/>
      <c r="DI43" s="12"/>
      <c r="DJ43" s="12"/>
      <c r="DK43" s="12"/>
      <c r="DL43" s="12"/>
    </row>
    <row r="44" spans="2:116">
      <c r="N44" s="11"/>
    </row>
    <row r="45" spans="2:116">
      <c r="B45" s="3" t="s">
        <v>26</v>
      </c>
      <c r="C45" s="3" t="s">
        <v>90</v>
      </c>
      <c r="D45" s="30">
        <v>44909</v>
      </c>
      <c r="E45" s="11">
        <v>6</v>
      </c>
      <c r="G45" s="12">
        <f>+SUM(G46:G79)</f>
        <v>1.7000000000000008</v>
      </c>
      <c r="I45" s="14">
        <f>+SUM(I46:I79)</f>
        <v>0</v>
      </c>
      <c r="J45" s="13">
        <f>+SUMPRODUCT(G46:G79,J46:J79)</f>
        <v>0</v>
      </c>
      <c r="K45" s="13">
        <f>+SUMPRODUCT(G46:G79,K46:K79)</f>
        <v>0</v>
      </c>
      <c r="L45" s="11"/>
      <c r="N45" s="14">
        <f>+SUM(N46:N79)</f>
        <v>0</v>
      </c>
      <c r="U45" s="14"/>
      <c r="AB45" s="14"/>
      <c r="AI45" s="14"/>
      <c r="AP45" s="14"/>
    </row>
    <row r="46" spans="2:116" outlineLevel="1">
      <c r="B46" t="s">
        <v>27</v>
      </c>
      <c r="C46" t="s">
        <v>148</v>
      </c>
      <c r="E46" s="11"/>
      <c r="F46" t="s">
        <v>149</v>
      </c>
      <c r="G46" s="12">
        <v>0.05</v>
      </c>
      <c r="I46" s="11">
        <f t="shared" ref="I46:I79" si="5">+SUMIF($N$3:$ZZ$3,I$3,$N46:$ZZ46)</f>
        <v>0</v>
      </c>
      <c r="J46" s="13" cm="1">
        <f t="array" ref="J46">MAX(IF($N$3:$EH$3=$J$3,N46:EH46))</f>
        <v>0</v>
      </c>
      <c r="K46" s="13" cm="1">
        <f t="array" ref="K46">MAX(IF($N$3:$EH$3=$J$3,N46:EH46))</f>
        <v>0</v>
      </c>
      <c r="L46" s="11"/>
      <c r="N46" s="14">
        <f>+SUM(N55:N80)</f>
        <v>0</v>
      </c>
      <c r="O46" s="12"/>
      <c r="P46" s="12">
        <v>0.5</v>
      </c>
      <c r="Q46" s="12"/>
      <c r="R46" s="12">
        <v>0.5</v>
      </c>
      <c r="V46" s="12"/>
      <c r="W46" s="12">
        <v>0.8</v>
      </c>
      <c r="X46" s="12"/>
      <c r="Y46" s="12">
        <v>0.8</v>
      </c>
      <c r="AC46" s="12"/>
      <c r="AD46" s="12">
        <v>0.8</v>
      </c>
      <c r="AE46" s="12"/>
      <c r="AF46" s="12">
        <v>0.8</v>
      </c>
      <c r="AJ46" s="12"/>
      <c r="AK46" s="12">
        <v>1</v>
      </c>
      <c r="AL46" s="12"/>
      <c r="AM46" s="12">
        <v>1</v>
      </c>
      <c r="AQ46" s="12"/>
      <c r="AR46" s="12">
        <v>1</v>
      </c>
      <c r="AS46" s="12"/>
      <c r="AT46" s="12">
        <v>1</v>
      </c>
      <c r="AX46" s="12"/>
      <c r="AY46" s="12">
        <v>1</v>
      </c>
      <c r="AZ46" s="12"/>
      <c r="BA46" s="12">
        <v>1</v>
      </c>
      <c r="BE46" s="12"/>
      <c r="BF46" s="12"/>
      <c r="BG46" s="12"/>
      <c r="BH46" s="12"/>
      <c r="BL46" s="12"/>
      <c r="BM46" s="12"/>
      <c r="BN46" s="12"/>
      <c r="BO46" s="12"/>
      <c r="BS46" s="12"/>
      <c r="BT46" s="12"/>
      <c r="BU46" s="12"/>
      <c r="BV46" s="12"/>
      <c r="BZ46" s="12"/>
      <c r="CA46" s="12">
        <v>1</v>
      </c>
      <c r="CB46" s="12"/>
      <c r="CC46" s="12">
        <v>1</v>
      </c>
      <c r="CG46" s="12"/>
      <c r="CH46" s="12">
        <v>1</v>
      </c>
      <c r="CI46" s="12"/>
      <c r="CJ46" s="12">
        <v>1</v>
      </c>
      <c r="CN46" s="12"/>
      <c r="CO46" s="12">
        <v>1</v>
      </c>
      <c r="CP46" s="12"/>
      <c r="CQ46" s="12">
        <v>1</v>
      </c>
      <c r="CU46" s="12"/>
      <c r="CV46" s="12">
        <v>1</v>
      </c>
      <c r="CW46" s="12"/>
      <c r="CX46" s="12">
        <v>1</v>
      </c>
      <c r="DB46" s="12"/>
      <c r="DC46" s="12"/>
      <c r="DD46" s="12"/>
      <c r="DE46" s="12"/>
      <c r="DI46" s="12"/>
      <c r="DJ46" s="12"/>
      <c r="DK46" s="12"/>
      <c r="DL46" s="12"/>
    </row>
    <row r="47" spans="2:116" outlineLevel="1">
      <c r="B47" t="s">
        <v>27</v>
      </c>
      <c r="C47" t="s">
        <v>148</v>
      </c>
      <c r="E47" s="11"/>
      <c r="F47" t="s">
        <v>150</v>
      </c>
      <c r="G47" s="12">
        <v>0.05</v>
      </c>
      <c r="I47" s="11">
        <f t="shared" si="5"/>
        <v>0</v>
      </c>
      <c r="J47" s="13" cm="1">
        <f t="array" ref="J47">MAX(IF($N$3:$EH$3=$J$3,N47:EH47))</f>
        <v>0</v>
      </c>
      <c r="K47" s="13" cm="1">
        <f t="array" ref="K47">MAX(IF($N$3:$EH$3=$J$3,N47:EH47))</f>
        <v>0</v>
      </c>
      <c r="L47" s="11"/>
      <c r="N47" s="14">
        <f t="shared" ref="N47:N54" si="6">+SUM(N56:N81)</f>
        <v>0</v>
      </c>
      <c r="O47" s="12"/>
      <c r="P47" s="12">
        <v>0.5</v>
      </c>
      <c r="Q47" s="12"/>
      <c r="R47" s="12">
        <v>0.5</v>
      </c>
      <c r="V47" s="12"/>
      <c r="W47" s="12">
        <v>0.8</v>
      </c>
      <c r="X47" s="12"/>
      <c r="Y47" s="12">
        <v>0.8</v>
      </c>
      <c r="AC47" s="12"/>
      <c r="AD47" s="12">
        <v>0.8</v>
      </c>
      <c r="AE47" s="12"/>
      <c r="AF47" s="12">
        <v>0.8</v>
      </c>
      <c r="AJ47" s="12"/>
      <c r="AK47" s="12">
        <v>0.8</v>
      </c>
      <c r="AL47" s="12"/>
      <c r="AM47" s="12">
        <v>0.8</v>
      </c>
      <c r="AQ47" s="12"/>
      <c r="AR47" s="12">
        <v>1</v>
      </c>
      <c r="AS47" s="12"/>
      <c r="AT47" s="12">
        <v>1</v>
      </c>
      <c r="AX47" s="12"/>
      <c r="AY47" s="12">
        <v>1</v>
      </c>
      <c r="AZ47" s="12"/>
      <c r="BA47" s="12">
        <v>1</v>
      </c>
      <c r="BE47" s="12"/>
      <c r="BF47" s="12"/>
      <c r="BG47" s="12"/>
      <c r="BH47" s="12"/>
      <c r="BL47" s="12"/>
      <c r="BM47" s="12"/>
      <c r="BN47" s="12"/>
      <c r="BO47" s="12"/>
      <c r="BS47" s="12"/>
      <c r="BT47" s="12"/>
      <c r="BU47" s="12"/>
      <c r="BV47" s="12"/>
      <c r="BZ47" s="12"/>
      <c r="CA47" s="12">
        <v>1</v>
      </c>
      <c r="CB47" s="12"/>
      <c r="CC47" s="12">
        <v>1</v>
      </c>
      <c r="CG47" s="12"/>
      <c r="CH47" s="12">
        <v>1</v>
      </c>
      <c r="CI47" s="12"/>
      <c r="CJ47" s="12">
        <v>1</v>
      </c>
      <c r="CN47" s="12"/>
      <c r="CO47" s="12">
        <v>1</v>
      </c>
      <c r="CP47" s="12"/>
      <c r="CQ47" s="12">
        <v>1</v>
      </c>
      <c r="CU47" s="12"/>
      <c r="CV47" s="12">
        <v>1</v>
      </c>
      <c r="CW47" s="12"/>
      <c r="CX47" s="12">
        <v>1</v>
      </c>
      <c r="DB47" s="12"/>
      <c r="DC47" s="12"/>
      <c r="DD47" s="12"/>
      <c r="DE47" s="12"/>
      <c r="DI47" s="12"/>
      <c r="DJ47" s="12"/>
      <c r="DK47" s="12"/>
      <c r="DL47" s="12"/>
    </row>
    <row r="48" spans="2:116" outlineLevel="1">
      <c r="B48" t="s">
        <v>27</v>
      </c>
      <c r="C48" t="s">
        <v>148</v>
      </c>
      <c r="E48" s="11"/>
      <c r="F48" t="s">
        <v>151</v>
      </c>
      <c r="G48" s="12">
        <v>0.05</v>
      </c>
      <c r="I48" s="11">
        <f t="shared" si="5"/>
        <v>0</v>
      </c>
      <c r="J48" s="13" cm="1">
        <f t="array" ref="J48">MAX(IF($N$3:$EH$3=$J$3,N48:EH48))</f>
        <v>0</v>
      </c>
      <c r="K48" s="13" cm="1">
        <f t="array" ref="K48">MAX(IF($N$3:$EH$3=$J$3,N48:EH48))</f>
        <v>0</v>
      </c>
      <c r="L48" s="11"/>
      <c r="N48" s="14">
        <f t="shared" si="6"/>
        <v>0</v>
      </c>
      <c r="O48" s="12"/>
      <c r="P48" s="12">
        <v>0.5</v>
      </c>
      <c r="Q48" s="12"/>
      <c r="R48" s="12">
        <v>0.5</v>
      </c>
      <c r="V48" s="12"/>
      <c r="W48" s="12">
        <v>0.8</v>
      </c>
      <c r="X48" s="12"/>
      <c r="Y48" s="12">
        <v>0.8</v>
      </c>
      <c r="AC48" s="12"/>
      <c r="AD48" s="12">
        <v>0.8</v>
      </c>
      <c r="AE48" s="12"/>
      <c r="AF48" s="12">
        <v>0.8</v>
      </c>
      <c r="AJ48" s="12"/>
      <c r="AK48" s="12">
        <v>0.8</v>
      </c>
      <c r="AL48" s="12"/>
      <c r="AM48" s="12">
        <v>0.8</v>
      </c>
      <c r="AQ48" s="12"/>
      <c r="AR48" s="12">
        <v>1</v>
      </c>
      <c r="AS48" s="12"/>
      <c r="AT48" s="12">
        <v>1</v>
      </c>
      <c r="AX48" s="12"/>
      <c r="AY48" s="12">
        <v>1</v>
      </c>
      <c r="AZ48" s="12"/>
      <c r="BA48" s="12">
        <v>1</v>
      </c>
      <c r="BE48" s="12"/>
      <c r="BF48" s="12"/>
      <c r="BG48" s="12"/>
      <c r="BH48" s="12"/>
      <c r="BL48" s="12"/>
      <c r="BM48" s="12"/>
      <c r="BN48" s="12"/>
      <c r="BO48" s="12"/>
      <c r="BS48" s="12"/>
      <c r="BT48" s="12"/>
      <c r="BU48" s="12"/>
      <c r="BV48" s="12"/>
      <c r="BZ48" s="12"/>
      <c r="CA48" s="12">
        <v>1</v>
      </c>
      <c r="CB48" s="12"/>
      <c r="CC48" s="12">
        <v>1</v>
      </c>
      <c r="CG48" s="12"/>
      <c r="CH48" s="12">
        <v>1</v>
      </c>
      <c r="CI48" s="12"/>
      <c r="CJ48" s="12">
        <v>1</v>
      </c>
      <c r="CN48" s="12"/>
      <c r="CO48" s="12">
        <v>1</v>
      </c>
      <c r="CP48" s="12"/>
      <c r="CQ48" s="12">
        <v>1</v>
      </c>
      <c r="CU48" s="12"/>
      <c r="CV48" s="12">
        <v>1</v>
      </c>
      <c r="CW48" s="12"/>
      <c r="CX48" s="12">
        <v>1</v>
      </c>
      <c r="DB48" s="12"/>
      <c r="DC48" s="12"/>
      <c r="DD48" s="12"/>
      <c r="DE48" s="12"/>
      <c r="DI48" s="12"/>
      <c r="DJ48" s="12"/>
      <c r="DK48" s="12"/>
      <c r="DL48" s="12"/>
    </row>
    <row r="49" spans="2:116" outlineLevel="1">
      <c r="B49" t="s">
        <v>27</v>
      </c>
      <c r="C49" t="s">
        <v>148</v>
      </c>
      <c r="E49" s="11"/>
      <c r="F49" t="s">
        <v>152</v>
      </c>
      <c r="G49" s="12">
        <v>0.05</v>
      </c>
      <c r="I49" s="11">
        <f t="shared" si="5"/>
        <v>0</v>
      </c>
      <c r="J49" s="13" cm="1">
        <f t="array" ref="J49">MAX(IF($N$3:$EH$3=$J$3,N49:EH49))</f>
        <v>0</v>
      </c>
      <c r="K49" s="13" cm="1">
        <f t="array" ref="K49">MAX(IF($N$3:$EH$3=$J$3,N49:EH49))</f>
        <v>0</v>
      </c>
      <c r="L49" s="11"/>
      <c r="N49" s="14">
        <f t="shared" si="6"/>
        <v>0</v>
      </c>
      <c r="O49" s="12"/>
      <c r="P49" s="12">
        <v>0.5</v>
      </c>
      <c r="Q49" s="12"/>
      <c r="R49" s="12">
        <v>0.5</v>
      </c>
      <c r="V49" s="12"/>
      <c r="W49" s="12">
        <v>0.8</v>
      </c>
      <c r="X49" s="12"/>
      <c r="Y49" s="12">
        <v>0.8</v>
      </c>
      <c r="AC49" s="12"/>
      <c r="AD49" s="12">
        <v>0.8</v>
      </c>
      <c r="AE49" s="12"/>
      <c r="AF49" s="12">
        <v>0.8</v>
      </c>
      <c r="AJ49" s="12"/>
      <c r="AK49" s="12">
        <v>0.8</v>
      </c>
      <c r="AL49" s="12"/>
      <c r="AM49" s="12">
        <v>0.8</v>
      </c>
      <c r="AQ49" s="12"/>
      <c r="AR49" s="12">
        <v>0.8</v>
      </c>
      <c r="AS49" s="12"/>
      <c r="AT49" s="12">
        <v>0.8</v>
      </c>
      <c r="AX49" s="12"/>
      <c r="AY49" s="12">
        <v>1</v>
      </c>
      <c r="AZ49" s="12"/>
      <c r="BA49" s="12">
        <v>1</v>
      </c>
      <c r="BE49" s="12"/>
      <c r="BF49" s="12"/>
      <c r="BG49" s="12"/>
      <c r="BH49" s="12"/>
      <c r="BL49" s="12"/>
      <c r="BM49" s="12"/>
      <c r="BN49" s="12"/>
      <c r="BO49" s="12"/>
      <c r="BS49" s="12"/>
      <c r="BT49" s="12"/>
      <c r="BU49" s="12"/>
      <c r="BV49" s="12"/>
      <c r="BZ49" s="12"/>
      <c r="CA49" s="12">
        <v>1</v>
      </c>
      <c r="CB49" s="12"/>
      <c r="CC49" s="12">
        <v>1</v>
      </c>
      <c r="CG49" s="12"/>
      <c r="CH49" s="12">
        <v>1</v>
      </c>
      <c r="CI49" s="12"/>
      <c r="CJ49" s="12">
        <v>1</v>
      </c>
      <c r="CN49" s="12"/>
      <c r="CO49" s="12">
        <v>1</v>
      </c>
      <c r="CP49" s="12"/>
      <c r="CQ49" s="12">
        <v>1</v>
      </c>
      <c r="CU49" s="12"/>
      <c r="CV49" s="12">
        <v>1</v>
      </c>
      <c r="CW49" s="12"/>
      <c r="CX49" s="12">
        <v>1</v>
      </c>
      <c r="DB49" s="12"/>
      <c r="DC49" s="12"/>
      <c r="DD49" s="12"/>
      <c r="DE49" s="12"/>
      <c r="DI49" s="12"/>
      <c r="DJ49" s="12"/>
      <c r="DK49" s="12"/>
      <c r="DL49" s="12"/>
    </row>
    <row r="50" spans="2:116" outlineLevel="1">
      <c r="B50" t="s">
        <v>27</v>
      </c>
      <c r="C50" t="s">
        <v>148</v>
      </c>
      <c r="E50" s="11"/>
      <c r="F50" t="s">
        <v>153</v>
      </c>
      <c r="G50" s="12">
        <v>0.05</v>
      </c>
      <c r="I50" s="11">
        <f t="shared" si="5"/>
        <v>0</v>
      </c>
      <c r="J50" s="13" cm="1">
        <f t="array" ref="J50">MAX(IF($N$3:$EH$3=$J$3,N50:EH50))</f>
        <v>0</v>
      </c>
      <c r="K50" s="13" cm="1">
        <f t="array" ref="K50">MAX(IF($N$3:$EH$3=$J$3,N50:EH50))</f>
        <v>0</v>
      </c>
      <c r="L50" s="11"/>
      <c r="N50" s="14">
        <f t="shared" si="6"/>
        <v>0</v>
      </c>
      <c r="O50" s="12"/>
      <c r="P50" s="12">
        <v>0.5</v>
      </c>
      <c r="Q50" s="12"/>
      <c r="R50" s="12">
        <v>0.5</v>
      </c>
      <c r="V50" s="12"/>
      <c r="W50" s="12">
        <v>0.5</v>
      </c>
      <c r="X50" s="12"/>
      <c r="Y50" s="12">
        <v>0.5</v>
      </c>
      <c r="AC50" s="12"/>
      <c r="AD50" s="12">
        <v>0.8</v>
      </c>
      <c r="AE50" s="12"/>
      <c r="AF50" s="12">
        <v>0.8</v>
      </c>
      <c r="AJ50" s="12"/>
      <c r="AK50" s="12">
        <v>0.8</v>
      </c>
      <c r="AL50" s="12"/>
      <c r="AM50" s="12">
        <v>0.8</v>
      </c>
      <c r="AQ50" s="12"/>
      <c r="AR50" s="12">
        <v>0.8</v>
      </c>
      <c r="AS50" s="12"/>
      <c r="AT50" s="12">
        <v>0.8</v>
      </c>
      <c r="AX50" s="12"/>
      <c r="AY50" s="12">
        <v>1</v>
      </c>
      <c r="AZ50" s="12"/>
      <c r="BA50" s="12">
        <v>1</v>
      </c>
      <c r="BE50" s="12"/>
      <c r="BF50" s="12"/>
      <c r="BG50" s="12"/>
      <c r="BH50" s="12"/>
      <c r="BL50" s="12"/>
      <c r="BM50" s="12"/>
      <c r="BN50" s="12"/>
      <c r="BO50" s="12"/>
      <c r="BS50" s="12"/>
      <c r="BT50" s="12"/>
      <c r="BU50" s="12"/>
      <c r="BV50" s="12"/>
      <c r="BZ50" s="12"/>
      <c r="CA50" s="12">
        <v>1</v>
      </c>
      <c r="CB50" s="12"/>
      <c r="CC50" s="12">
        <v>1</v>
      </c>
      <c r="CG50" s="12"/>
      <c r="CH50" s="12">
        <v>1</v>
      </c>
      <c r="CI50" s="12"/>
      <c r="CJ50" s="12">
        <v>1</v>
      </c>
      <c r="CN50" s="12"/>
      <c r="CO50" s="12">
        <v>1</v>
      </c>
      <c r="CP50" s="12"/>
      <c r="CQ50" s="12">
        <v>1</v>
      </c>
      <c r="CU50" s="12"/>
      <c r="CV50" s="12">
        <v>1</v>
      </c>
      <c r="CW50" s="12"/>
      <c r="CX50" s="12">
        <v>1</v>
      </c>
      <c r="DB50" s="12"/>
      <c r="DC50" s="12"/>
      <c r="DD50" s="12"/>
      <c r="DE50" s="12"/>
      <c r="DI50" s="12"/>
      <c r="DJ50" s="12"/>
      <c r="DK50" s="12"/>
      <c r="DL50" s="12"/>
    </row>
    <row r="51" spans="2:116" outlineLevel="1">
      <c r="B51" t="s">
        <v>27</v>
      </c>
      <c r="C51" t="s">
        <v>148</v>
      </c>
      <c r="E51" s="11"/>
      <c r="F51" t="s">
        <v>154</v>
      </c>
      <c r="G51" s="12">
        <v>0.05</v>
      </c>
      <c r="I51" s="11">
        <f t="shared" si="5"/>
        <v>0</v>
      </c>
      <c r="J51" s="13" cm="1">
        <f t="array" ref="J51">MAX(IF($N$3:$EH$3=$J$3,N51:EH51))</f>
        <v>0</v>
      </c>
      <c r="K51" s="13" cm="1">
        <f t="array" ref="K51">MAX(IF($N$3:$EH$3=$J$3,N51:EH51))</f>
        <v>0</v>
      </c>
      <c r="L51" s="11"/>
      <c r="N51" s="14">
        <f t="shared" si="6"/>
        <v>0</v>
      </c>
      <c r="O51" s="12"/>
      <c r="P51" s="12">
        <v>0.5</v>
      </c>
      <c r="Q51" s="12"/>
      <c r="R51" s="12">
        <v>0.5</v>
      </c>
      <c r="V51" s="12"/>
      <c r="W51" s="12">
        <v>0.5</v>
      </c>
      <c r="X51" s="12"/>
      <c r="Y51" s="12">
        <v>0.5</v>
      </c>
      <c r="AC51" s="12"/>
      <c r="AD51" s="12">
        <v>0.8</v>
      </c>
      <c r="AE51" s="12"/>
      <c r="AF51" s="12">
        <v>0.8</v>
      </c>
      <c r="AJ51" s="12"/>
      <c r="AK51" s="12">
        <v>0.8</v>
      </c>
      <c r="AL51" s="12"/>
      <c r="AM51" s="12">
        <v>0.8</v>
      </c>
      <c r="AQ51" s="12"/>
      <c r="AR51" s="12">
        <v>0.8</v>
      </c>
      <c r="AS51" s="12"/>
      <c r="AT51" s="12">
        <v>0.8</v>
      </c>
      <c r="AX51" s="12"/>
      <c r="AY51" s="12">
        <v>1</v>
      </c>
      <c r="AZ51" s="12"/>
      <c r="BA51" s="12">
        <v>1</v>
      </c>
      <c r="BE51" s="12"/>
      <c r="BF51" s="12"/>
      <c r="BG51" s="12"/>
      <c r="BH51" s="12"/>
      <c r="BL51" s="12"/>
      <c r="BM51" s="12"/>
      <c r="BN51" s="12"/>
      <c r="BO51" s="12"/>
      <c r="BS51" s="12"/>
      <c r="BT51" s="12"/>
      <c r="BU51" s="12"/>
      <c r="BV51" s="12"/>
      <c r="BZ51" s="12"/>
      <c r="CA51" s="12">
        <v>1</v>
      </c>
      <c r="CB51" s="12"/>
      <c r="CC51" s="12">
        <v>1</v>
      </c>
      <c r="CG51" s="12"/>
      <c r="CH51" s="12">
        <v>1</v>
      </c>
      <c r="CI51" s="12"/>
      <c r="CJ51" s="12">
        <v>1</v>
      </c>
      <c r="CN51" s="12"/>
      <c r="CO51" s="12">
        <v>1</v>
      </c>
      <c r="CP51" s="12"/>
      <c r="CQ51" s="12">
        <v>1</v>
      </c>
      <c r="CU51" s="12"/>
      <c r="CV51" s="12">
        <v>1</v>
      </c>
      <c r="CW51" s="12"/>
      <c r="CX51" s="12">
        <v>1</v>
      </c>
      <c r="DB51" s="12"/>
      <c r="DC51" s="12"/>
      <c r="DD51" s="12"/>
      <c r="DE51" s="12"/>
      <c r="DI51" s="12"/>
      <c r="DJ51" s="12"/>
      <c r="DK51" s="12"/>
      <c r="DL51" s="12"/>
    </row>
    <row r="52" spans="2:116" outlineLevel="1">
      <c r="B52" t="s">
        <v>27</v>
      </c>
      <c r="C52" t="s">
        <v>148</v>
      </c>
      <c r="E52" s="11"/>
      <c r="F52" t="s">
        <v>155</v>
      </c>
      <c r="G52" s="12">
        <v>0.05</v>
      </c>
      <c r="I52" s="11">
        <f t="shared" si="5"/>
        <v>0</v>
      </c>
      <c r="J52" s="13" cm="1">
        <f t="array" ref="J52">MAX(IF($N$3:$EH$3=$J$3,N52:EH52))</f>
        <v>0</v>
      </c>
      <c r="K52" s="13" cm="1">
        <f t="array" ref="K52">MAX(IF($N$3:$EH$3=$J$3,N52:EH52))</f>
        <v>0</v>
      </c>
      <c r="L52" s="11"/>
      <c r="N52" s="14">
        <f t="shared" si="6"/>
        <v>0</v>
      </c>
      <c r="O52" s="12"/>
      <c r="P52" s="12">
        <v>0.5</v>
      </c>
      <c r="Q52" s="12"/>
      <c r="R52" s="12">
        <v>0.5</v>
      </c>
      <c r="V52" s="12"/>
      <c r="W52" s="12">
        <v>0.5</v>
      </c>
      <c r="X52" s="12"/>
      <c r="Y52" s="12">
        <v>0.5</v>
      </c>
      <c r="AC52" s="12"/>
      <c r="AD52" s="12">
        <v>0.8</v>
      </c>
      <c r="AE52" s="12"/>
      <c r="AF52" s="12">
        <v>0.8</v>
      </c>
      <c r="AJ52" s="12"/>
      <c r="AK52" s="12">
        <v>0.8</v>
      </c>
      <c r="AL52" s="12"/>
      <c r="AM52" s="12">
        <v>0.8</v>
      </c>
      <c r="AQ52" s="12"/>
      <c r="AR52" s="12">
        <v>0.8</v>
      </c>
      <c r="AS52" s="12"/>
      <c r="AT52" s="12">
        <v>0.8</v>
      </c>
      <c r="AX52" s="12"/>
      <c r="AY52" s="12">
        <v>1</v>
      </c>
      <c r="AZ52" s="12"/>
      <c r="BA52" s="12">
        <v>1</v>
      </c>
      <c r="BE52" s="12"/>
      <c r="BF52" s="12"/>
      <c r="BG52" s="12"/>
      <c r="BH52" s="12"/>
      <c r="BL52" s="12"/>
      <c r="BM52" s="12"/>
      <c r="BN52" s="12"/>
      <c r="BO52" s="12"/>
      <c r="BS52" s="12"/>
      <c r="BT52" s="12"/>
      <c r="BU52" s="12"/>
      <c r="BV52" s="12"/>
      <c r="BZ52" s="12"/>
      <c r="CA52" s="12">
        <v>1</v>
      </c>
      <c r="CB52" s="12"/>
      <c r="CC52" s="12">
        <v>1</v>
      </c>
      <c r="CG52" s="12"/>
      <c r="CH52" s="12">
        <v>1</v>
      </c>
      <c r="CI52" s="12"/>
      <c r="CJ52" s="12">
        <v>1</v>
      </c>
      <c r="CN52" s="12"/>
      <c r="CO52" s="12">
        <v>1</v>
      </c>
      <c r="CP52" s="12"/>
      <c r="CQ52" s="12">
        <v>1</v>
      </c>
      <c r="CU52" s="12"/>
      <c r="CV52" s="12">
        <v>1</v>
      </c>
      <c r="CW52" s="12"/>
      <c r="CX52" s="12">
        <v>1</v>
      </c>
      <c r="DB52" s="12"/>
      <c r="DC52" s="12"/>
      <c r="DD52" s="12"/>
      <c r="DE52" s="12"/>
      <c r="DI52" s="12"/>
      <c r="DJ52" s="12"/>
      <c r="DK52" s="12"/>
      <c r="DL52" s="12"/>
    </row>
    <row r="53" spans="2:116" outlineLevel="1">
      <c r="B53" t="s">
        <v>27</v>
      </c>
      <c r="C53" t="s">
        <v>148</v>
      </c>
      <c r="E53" s="11"/>
      <c r="F53" t="s">
        <v>156</v>
      </c>
      <c r="G53" s="12">
        <v>0.05</v>
      </c>
      <c r="I53" s="11">
        <f t="shared" si="5"/>
        <v>0</v>
      </c>
      <c r="J53" s="13" cm="1">
        <f t="array" ref="J53">MAX(IF($N$3:$EH$3=$J$3,N53:EH53))</f>
        <v>0</v>
      </c>
      <c r="K53" s="13" cm="1">
        <f t="array" ref="K53">MAX(IF($N$3:$EH$3=$J$3,N53:EH53))</f>
        <v>0</v>
      </c>
      <c r="L53" s="11"/>
      <c r="N53" s="14">
        <f t="shared" si="6"/>
        <v>0</v>
      </c>
      <c r="O53" s="12"/>
      <c r="P53" s="12">
        <v>0.5</v>
      </c>
      <c r="Q53" s="12"/>
      <c r="R53" s="12">
        <v>0.5</v>
      </c>
      <c r="V53" s="12"/>
      <c r="W53" s="12">
        <v>0.5</v>
      </c>
      <c r="X53" s="12"/>
      <c r="Y53" s="12">
        <v>0.5</v>
      </c>
      <c r="AC53" s="12"/>
      <c r="AD53" s="12">
        <v>0.8</v>
      </c>
      <c r="AE53" s="12"/>
      <c r="AF53" s="12">
        <v>0.8</v>
      </c>
      <c r="AJ53" s="12"/>
      <c r="AK53" s="12">
        <v>0.8</v>
      </c>
      <c r="AL53" s="12"/>
      <c r="AM53" s="12">
        <v>0.8</v>
      </c>
      <c r="AQ53" s="12"/>
      <c r="AR53" s="12">
        <v>0.8</v>
      </c>
      <c r="AS53" s="12"/>
      <c r="AT53" s="12">
        <v>0.8</v>
      </c>
      <c r="AX53" s="12"/>
      <c r="AY53" s="12">
        <v>0.8</v>
      </c>
      <c r="AZ53" s="12"/>
      <c r="BA53" s="12">
        <v>0.8</v>
      </c>
      <c r="BE53" s="12"/>
      <c r="BF53" s="12"/>
      <c r="BG53" s="12"/>
      <c r="BH53" s="12"/>
      <c r="BL53" s="12"/>
      <c r="BM53" s="12"/>
      <c r="BN53" s="12"/>
      <c r="BO53" s="12"/>
      <c r="BS53" s="12"/>
      <c r="BT53" s="12"/>
      <c r="BU53" s="12"/>
      <c r="BV53" s="12"/>
      <c r="BZ53" s="12"/>
      <c r="CA53" s="12">
        <v>1</v>
      </c>
      <c r="CB53" s="12"/>
      <c r="CC53" s="12">
        <v>1</v>
      </c>
      <c r="CG53" s="12"/>
      <c r="CH53" s="12">
        <v>1</v>
      </c>
      <c r="CI53" s="12"/>
      <c r="CJ53" s="12">
        <v>1</v>
      </c>
      <c r="CN53" s="12"/>
      <c r="CO53" s="12">
        <v>1</v>
      </c>
      <c r="CP53" s="12"/>
      <c r="CQ53" s="12">
        <v>1</v>
      </c>
      <c r="CU53" s="12"/>
      <c r="CV53" s="12">
        <v>1</v>
      </c>
      <c r="CW53" s="12"/>
      <c r="CX53" s="12">
        <v>1</v>
      </c>
      <c r="DB53" s="12"/>
      <c r="DC53" s="12"/>
      <c r="DD53" s="12"/>
      <c r="DE53" s="12"/>
      <c r="DI53" s="12"/>
      <c r="DJ53" s="12"/>
      <c r="DK53" s="12"/>
      <c r="DL53" s="12"/>
    </row>
    <row r="54" spans="2:116" outlineLevel="1">
      <c r="B54" t="s">
        <v>27</v>
      </c>
      <c r="C54" t="s">
        <v>148</v>
      </c>
      <c r="E54" s="11"/>
      <c r="F54" t="s">
        <v>157</v>
      </c>
      <c r="G54" s="12">
        <v>0.05</v>
      </c>
      <c r="I54" s="11">
        <f t="shared" si="5"/>
        <v>0</v>
      </c>
      <c r="J54" s="13" cm="1">
        <f t="array" ref="J54">MAX(IF($N$3:$EH$3=$J$3,N54:EH54))</f>
        <v>0</v>
      </c>
      <c r="K54" s="13" cm="1">
        <f t="array" ref="K54">MAX(IF($N$3:$EH$3=$J$3,N54:EH54))</f>
        <v>0</v>
      </c>
      <c r="L54" s="11"/>
      <c r="N54" s="14">
        <f t="shared" si="6"/>
        <v>0</v>
      </c>
      <c r="O54" s="12"/>
      <c r="P54" s="12">
        <v>0.5</v>
      </c>
      <c r="Q54" s="12"/>
      <c r="R54" s="12">
        <v>0.5</v>
      </c>
      <c r="V54" s="12"/>
      <c r="W54" s="12">
        <v>0.5</v>
      </c>
      <c r="X54" s="12"/>
      <c r="Y54" s="12">
        <v>0.5</v>
      </c>
      <c r="AC54" s="12"/>
      <c r="AD54" s="12">
        <v>0.8</v>
      </c>
      <c r="AE54" s="12"/>
      <c r="AF54" s="12">
        <v>0.8</v>
      </c>
      <c r="AJ54" s="12"/>
      <c r="AK54" s="12">
        <v>0.8</v>
      </c>
      <c r="AL54" s="12"/>
      <c r="AM54" s="12">
        <v>0.8</v>
      </c>
      <c r="AQ54" s="12"/>
      <c r="AR54" s="12">
        <v>0.8</v>
      </c>
      <c r="AS54" s="12"/>
      <c r="AT54" s="12">
        <v>0.8</v>
      </c>
      <c r="AX54" s="12"/>
      <c r="AY54" s="12">
        <v>0.8</v>
      </c>
      <c r="AZ54" s="12"/>
      <c r="BA54" s="12">
        <v>0.8</v>
      </c>
      <c r="BE54" s="12"/>
      <c r="BF54" s="12"/>
      <c r="BG54" s="12"/>
      <c r="BH54" s="12"/>
      <c r="BL54" s="12"/>
      <c r="BM54" s="12"/>
      <c r="BN54" s="12"/>
      <c r="BO54" s="12"/>
      <c r="BS54" s="12"/>
      <c r="BT54" s="12"/>
      <c r="BU54" s="12"/>
      <c r="BV54" s="12"/>
      <c r="BZ54" s="12"/>
      <c r="CA54" s="12">
        <v>1</v>
      </c>
      <c r="CB54" s="12"/>
      <c r="CC54" s="12">
        <v>1</v>
      </c>
      <c r="CG54" s="12"/>
      <c r="CH54" s="12">
        <v>1</v>
      </c>
      <c r="CI54" s="12"/>
      <c r="CJ54" s="12">
        <v>1</v>
      </c>
      <c r="CN54" s="12"/>
      <c r="CO54" s="12">
        <v>1</v>
      </c>
      <c r="CP54" s="12"/>
      <c r="CQ54" s="12">
        <v>1</v>
      </c>
      <c r="CU54" s="12"/>
      <c r="CV54" s="12">
        <v>1</v>
      </c>
      <c r="CW54" s="12"/>
      <c r="CX54" s="12">
        <v>1</v>
      </c>
      <c r="DB54" s="12"/>
      <c r="DC54" s="12"/>
      <c r="DD54" s="12"/>
      <c r="DE54" s="12"/>
      <c r="DI54" s="12"/>
      <c r="DJ54" s="12"/>
      <c r="DK54" s="12"/>
      <c r="DL54" s="12"/>
    </row>
    <row r="55" spans="2:116" outlineLevel="1">
      <c r="B55" t="s">
        <v>27</v>
      </c>
      <c r="C55" t="s">
        <v>111</v>
      </c>
      <c r="E55" s="11"/>
      <c r="F55" t="s">
        <v>158</v>
      </c>
      <c r="G55" s="12">
        <v>0.05</v>
      </c>
      <c r="I55" s="11">
        <f t="shared" si="5"/>
        <v>0</v>
      </c>
      <c r="J55" s="13" cm="1">
        <f t="array" ref="J55">MAX(IF($N$3:$EH$3=$J$3,N55:EH55))</f>
        <v>0</v>
      </c>
      <c r="K55" s="13" cm="1">
        <f t="array" ref="K55">MAX(IF($N$3:$EH$3=$J$3,N55:EH55))</f>
        <v>0</v>
      </c>
      <c r="L55" s="11"/>
      <c r="N55" s="14">
        <f t="shared" ref="N55:N67" si="7">+SUM(N56:N81)</f>
        <v>0</v>
      </c>
      <c r="O55" s="12"/>
      <c r="P55" s="12">
        <v>0.5</v>
      </c>
      <c r="Q55" s="12"/>
      <c r="R55" s="12">
        <v>0.5</v>
      </c>
      <c r="V55" s="12"/>
      <c r="W55" s="12">
        <v>0.5</v>
      </c>
      <c r="X55" s="12"/>
      <c r="Y55" s="12">
        <v>0.5</v>
      </c>
      <c r="AC55" s="12"/>
      <c r="AD55" s="12">
        <v>0.5</v>
      </c>
      <c r="AE55" s="12"/>
      <c r="AF55" s="12">
        <v>0.5</v>
      </c>
      <c r="AJ55" s="12"/>
      <c r="AK55" s="12">
        <v>0.8</v>
      </c>
      <c r="AL55" s="12"/>
      <c r="AM55" s="12">
        <v>0.8</v>
      </c>
      <c r="AQ55" s="12"/>
      <c r="AR55" s="12">
        <v>0.8</v>
      </c>
      <c r="AS55" s="12"/>
      <c r="AT55" s="12">
        <v>0.8</v>
      </c>
      <c r="AX55" s="12"/>
      <c r="AY55" s="12">
        <v>0.8</v>
      </c>
      <c r="AZ55" s="12"/>
      <c r="BA55" s="12">
        <v>0.8</v>
      </c>
      <c r="BE55" s="12"/>
      <c r="BF55" s="12"/>
      <c r="BG55" s="12"/>
      <c r="BH55" s="12"/>
      <c r="BL55" s="12"/>
      <c r="BM55" s="12"/>
      <c r="BN55" s="12"/>
      <c r="BO55" s="12"/>
      <c r="BS55" s="12"/>
      <c r="BT55" s="12"/>
      <c r="BU55" s="12"/>
      <c r="BV55" s="12"/>
      <c r="BZ55" s="12"/>
      <c r="CA55" s="12">
        <v>1</v>
      </c>
      <c r="CB55" s="12"/>
      <c r="CC55" s="12">
        <v>1</v>
      </c>
      <c r="CG55" s="12"/>
      <c r="CH55" s="12">
        <v>1</v>
      </c>
      <c r="CI55" s="12"/>
      <c r="CJ55" s="12">
        <v>1</v>
      </c>
      <c r="CN55" s="12"/>
      <c r="CO55" s="12">
        <v>1</v>
      </c>
      <c r="CP55" s="12"/>
      <c r="CQ55" s="12">
        <v>1</v>
      </c>
      <c r="CU55" s="12"/>
      <c r="CV55" s="12">
        <v>1</v>
      </c>
      <c r="CW55" s="12"/>
      <c r="CX55" s="12">
        <v>1</v>
      </c>
      <c r="DB55" s="12"/>
      <c r="DC55" s="12"/>
      <c r="DD55" s="12"/>
      <c r="DE55" s="12"/>
      <c r="DI55" s="12"/>
      <c r="DJ55" s="12"/>
      <c r="DK55" s="12"/>
      <c r="DL55" s="12"/>
    </row>
    <row r="56" spans="2:116" outlineLevel="1">
      <c r="B56" t="s">
        <v>27</v>
      </c>
      <c r="C56" t="s">
        <v>111</v>
      </c>
      <c r="E56" s="11"/>
      <c r="F56" t="s">
        <v>159</v>
      </c>
      <c r="G56" s="12">
        <v>0.05</v>
      </c>
      <c r="I56" s="11">
        <f t="shared" si="5"/>
        <v>0</v>
      </c>
      <c r="J56" s="13" cm="1">
        <f t="array" ref="J56">MAX(IF($N$3:$EH$3=$J$3,N56:EH56))</f>
        <v>0</v>
      </c>
      <c r="K56" s="13" cm="1">
        <f t="array" ref="K56">MAX(IF($N$3:$EH$3=$J$3,N56:EH56))</f>
        <v>0</v>
      </c>
      <c r="L56" s="11"/>
      <c r="N56" s="14">
        <f t="shared" si="7"/>
        <v>0</v>
      </c>
      <c r="O56" s="12"/>
      <c r="P56" s="12"/>
      <c r="Q56" s="12"/>
      <c r="R56" s="12"/>
      <c r="V56" s="12"/>
      <c r="W56" s="12">
        <v>0.5</v>
      </c>
      <c r="X56" s="12"/>
      <c r="Y56" s="12">
        <v>0.5</v>
      </c>
      <c r="AC56" s="12"/>
      <c r="AD56" s="12">
        <v>0.5</v>
      </c>
      <c r="AE56" s="12"/>
      <c r="AF56" s="12">
        <v>0.5</v>
      </c>
      <c r="AJ56" s="12"/>
      <c r="AK56" s="12">
        <v>0.8</v>
      </c>
      <c r="AL56" s="12"/>
      <c r="AM56" s="12">
        <v>0.8</v>
      </c>
      <c r="AQ56" s="12"/>
      <c r="AR56" s="12">
        <v>0.8</v>
      </c>
      <c r="AS56" s="12"/>
      <c r="AT56" s="12">
        <v>0.8</v>
      </c>
      <c r="AX56" s="12"/>
      <c r="AY56" s="12">
        <v>0.8</v>
      </c>
      <c r="AZ56" s="12"/>
      <c r="BA56" s="12">
        <v>0.8</v>
      </c>
      <c r="BE56" s="12"/>
      <c r="BF56" s="12"/>
      <c r="BG56" s="12"/>
      <c r="BH56" s="12"/>
      <c r="BL56" s="12"/>
      <c r="BM56" s="12"/>
      <c r="BN56" s="12"/>
      <c r="BO56" s="12"/>
      <c r="BS56" s="12"/>
      <c r="BT56" s="12"/>
      <c r="BU56" s="12"/>
      <c r="BV56" s="12"/>
      <c r="BZ56" s="12"/>
      <c r="CA56" s="12">
        <v>1</v>
      </c>
      <c r="CB56" s="12"/>
      <c r="CC56" s="12">
        <v>1</v>
      </c>
      <c r="CG56" s="12"/>
      <c r="CH56" s="12">
        <v>1</v>
      </c>
      <c r="CI56" s="12"/>
      <c r="CJ56" s="12">
        <v>1</v>
      </c>
      <c r="CN56" s="12"/>
      <c r="CO56" s="12">
        <v>1</v>
      </c>
      <c r="CP56" s="12"/>
      <c r="CQ56" s="12">
        <v>1</v>
      </c>
      <c r="CU56" s="12"/>
      <c r="CV56" s="12">
        <v>1</v>
      </c>
      <c r="CW56" s="12"/>
      <c r="CX56" s="12">
        <v>1</v>
      </c>
      <c r="DB56" s="12"/>
      <c r="DC56" s="12"/>
      <c r="DD56" s="12"/>
      <c r="DE56" s="12"/>
      <c r="DI56" s="12"/>
      <c r="DJ56" s="12"/>
      <c r="DK56" s="12"/>
      <c r="DL56" s="12"/>
    </row>
    <row r="57" spans="2:116" outlineLevel="1">
      <c r="B57" t="s">
        <v>27</v>
      </c>
      <c r="C57" t="s">
        <v>111</v>
      </c>
      <c r="E57" s="11"/>
      <c r="F57" t="s">
        <v>160</v>
      </c>
      <c r="G57" s="12">
        <v>0.05</v>
      </c>
      <c r="I57" s="11">
        <f t="shared" si="5"/>
        <v>0</v>
      </c>
      <c r="J57" s="13" cm="1">
        <f t="array" ref="J57">MAX(IF($N$3:$EH$3=$J$3,N57:EH57))</f>
        <v>0</v>
      </c>
      <c r="K57" s="13" cm="1">
        <f t="array" ref="K57">MAX(IF($N$3:$EH$3=$J$3,N57:EH57))</f>
        <v>0</v>
      </c>
      <c r="L57" s="11"/>
      <c r="N57" s="14">
        <f t="shared" si="7"/>
        <v>0</v>
      </c>
      <c r="O57" s="12"/>
      <c r="P57" s="12"/>
      <c r="Q57" s="12"/>
      <c r="R57" s="12"/>
      <c r="V57" s="12"/>
      <c r="W57" s="12">
        <v>0.5</v>
      </c>
      <c r="X57" s="12"/>
      <c r="Y57" s="12">
        <v>0.5</v>
      </c>
      <c r="AC57" s="12"/>
      <c r="AD57" s="12">
        <v>0.5</v>
      </c>
      <c r="AE57" s="12"/>
      <c r="AF57" s="12">
        <v>0.5</v>
      </c>
      <c r="AJ57" s="12"/>
      <c r="AK57" s="12">
        <v>0.8</v>
      </c>
      <c r="AL57" s="12"/>
      <c r="AM57" s="12">
        <v>0.8</v>
      </c>
      <c r="AQ57" s="12"/>
      <c r="AR57" s="12">
        <v>0.8</v>
      </c>
      <c r="AS57" s="12"/>
      <c r="AT57" s="12">
        <v>0.8</v>
      </c>
      <c r="AX57" s="12"/>
      <c r="AY57" s="12">
        <v>0.8</v>
      </c>
      <c r="AZ57" s="12"/>
      <c r="BA57" s="12">
        <v>0.8</v>
      </c>
      <c r="BE57" s="12"/>
      <c r="BF57" s="12"/>
      <c r="BG57" s="12"/>
      <c r="BH57" s="12"/>
      <c r="BL57" s="12"/>
      <c r="BM57" s="12"/>
      <c r="BN57" s="12"/>
      <c r="BO57" s="12"/>
      <c r="BS57" s="12"/>
      <c r="BT57" s="12"/>
      <c r="BU57" s="12"/>
      <c r="BV57" s="12"/>
      <c r="BZ57" s="12"/>
      <c r="CA57" s="12">
        <v>0.8</v>
      </c>
      <c r="CB57" s="12"/>
      <c r="CC57" s="12">
        <v>0.8</v>
      </c>
      <c r="CG57" s="12"/>
      <c r="CH57" s="12">
        <v>1</v>
      </c>
      <c r="CI57" s="12"/>
      <c r="CJ57" s="12">
        <v>1</v>
      </c>
      <c r="CN57" s="12"/>
      <c r="CO57" s="12">
        <v>1</v>
      </c>
      <c r="CP57" s="12"/>
      <c r="CQ57" s="12">
        <v>1</v>
      </c>
      <c r="CU57" s="12"/>
      <c r="CV57" s="12">
        <v>1</v>
      </c>
      <c r="CW57" s="12"/>
      <c r="CX57" s="12">
        <v>1</v>
      </c>
      <c r="DB57" s="12"/>
      <c r="DC57" s="12"/>
      <c r="DD57" s="12"/>
      <c r="DE57" s="12"/>
      <c r="DI57" s="12"/>
      <c r="DJ57" s="12"/>
      <c r="DK57" s="12"/>
      <c r="DL57" s="12"/>
    </row>
    <row r="58" spans="2:116" outlineLevel="1">
      <c r="B58" t="s">
        <v>27</v>
      </c>
      <c r="C58" t="s">
        <v>111</v>
      </c>
      <c r="E58" s="11"/>
      <c r="F58" t="s">
        <v>161</v>
      </c>
      <c r="G58" s="12">
        <v>0.05</v>
      </c>
      <c r="I58" s="11">
        <f t="shared" si="5"/>
        <v>0</v>
      </c>
      <c r="J58" s="13" cm="1">
        <f t="array" ref="J58">MAX(IF($N$3:$EH$3=$J$3,N58:EH58))</f>
        <v>0</v>
      </c>
      <c r="K58" s="13" cm="1">
        <f t="array" ref="K58">MAX(IF($N$3:$EH$3=$J$3,N58:EH58))</f>
        <v>0</v>
      </c>
      <c r="L58" s="11"/>
      <c r="N58" s="14">
        <f t="shared" si="7"/>
        <v>0</v>
      </c>
      <c r="O58" s="12"/>
      <c r="P58" s="12"/>
      <c r="Q58" s="12"/>
      <c r="R58" s="12"/>
      <c r="V58" s="12"/>
      <c r="W58" s="12">
        <v>0.5</v>
      </c>
      <c r="X58" s="12"/>
      <c r="Y58" s="12">
        <v>0.5</v>
      </c>
      <c r="AC58" s="12"/>
      <c r="AD58" s="12">
        <v>0.5</v>
      </c>
      <c r="AE58" s="12"/>
      <c r="AF58" s="12">
        <v>0.5</v>
      </c>
      <c r="AJ58" s="12"/>
      <c r="AK58" s="12">
        <v>0.8</v>
      </c>
      <c r="AL58" s="12"/>
      <c r="AM58" s="12">
        <v>0.8</v>
      </c>
      <c r="AQ58" s="12"/>
      <c r="AR58" s="12">
        <v>0.8</v>
      </c>
      <c r="AS58" s="12"/>
      <c r="AT58" s="12">
        <v>0.8</v>
      </c>
      <c r="AX58" s="12"/>
      <c r="AY58" s="12">
        <v>0.8</v>
      </c>
      <c r="AZ58" s="12"/>
      <c r="BA58" s="12">
        <v>0.8</v>
      </c>
      <c r="BE58" s="12"/>
      <c r="BF58" s="12"/>
      <c r="BG58" s="12"/>
      <c r="BH58" s="12"/>
      <c r="BL58" s="12"/>
      <c r="BM58" s="12"/>
      <c r="BN58" s="12"/>
      <c r="BO58" s="12"/>
      <c r="BS58" s="12"/>
      <c r="BT58" s="12"/>
      <c r="BU58" s="12"/>
      <c r="BV58" s="12"/>
      <c r="BZ58" s="12"/>
      <c r="CA58" s="12">
        <v>0.8</v>
      </c>
      <c r="CB58" s="12"/>
      <c r="CC58" s="12">
        <v>0.8</v>
      </c>
      <c r="CG58" s="12"/>
      <c r="CH58" s="12">
        <v>1</v>
      </c>
      <c r="CI58" s="12"/>
      <c r="CJ58" s="12">
        <v>1</v>
      </c>
      <c r="CN58" s="12"/>
      <c r="CO58" s="12">
        <v>1</v>
      </c>
      <c r="CP58" s="12"/>
      <c r="CQ58" s="12">
        <v>1</v>
      </c>
      <c r="CU58" s="12"/>
      <c r="CV58" s="12">
        <v>1</v>
      </c>
      <c r="CW58" s="12"/>
      <c r="CX58" s="12">
        <v>1</v>
      </c>
      <c r="DB58" s="12"/>
      <c r="DC58" s="12"/>
      <c r="DD58" s="12"/>
      <c r="DE58" s="12"/>
      <c r="DI58" s="12"/>
      <c r="DJ58" s="12"/>
      <c r="DK58" s="12"/>
      <c r="DL58" s="12"/>
    </row>
    <row r="59" spans="2:116" outlineLevel="1">
      <c r="B59" t="s">
        <v>27</v>
      </c>
      <c r="C59" t="s">
        <v>111</v>
      </c>
      <c r="E59" s="11"/>
      <c r="F59" t="s">
        <v>162</v>
      </c>
      <c r="G59" s="12">
        <v>0.05</v>
      </c>
      <c r="I59" s="11">
        <f t="shared" si="5"/>
        <v>0</v>
      </c>
      <c r="J59" s="13" cm="1">
        <f t="array" ref="J59">MAX(IF($N$3:$EH$3=$J$3,N59:EH59))</f>
        <v>0</v>
      </c>
      <c r="K59" s="13" cm="1">
        <f t="array" ref="K59">MAX(IF($N$3:$EH$3=$J$3,N59:EH59))</f>
        <v>0</v>
      </c>
      <c r="L59" s="11"/>
      <c r="N59" s="14">
        <f t="shared" si="7"/>
        <v>0</v>
      </c>
      <c r="O59" s="12"/>
      <c r="P59" s="12"/>
      <c r="Q59" s="12"/>
      <c r="R59" s="12"/>
      <c r="V59" s="12"/>
      <c r="W59" s="12">
        <v>0.5</v>
      </c>
      <c r="X59" s="12"/>
      <c r="Y59" s="12">
        <v>0.5</v>
      </c>
      <c r="AC59" s="12"/>
      <c r="AD59" s="12">
        <v>0.5</v>
      </c>
      <c r="AE59" s="12"/>
      <c r="AF59" s="12">
        <v>0.5</v>
      </c>
      <c r="AJ59" s="12"/>
      <c r="AK59" s="12">
        <v>0.5</v>
      </c>
      <c r="AL59" s="12"/>
      <c r="AM59" s="12">
        <v>0.5</v>
      </c>
      <c r="AQ59" s="12"/>
      <c r="AR59" s="12">
        <v>0.8</v>
      </c>
      <c r="AS59" s="12"/>
      <c r="AT59" s="12">
        <v>0.8</v>
      </c>
      <c r="AX59" s="12"/>
      <c r="AY59" s="12">
        <v>0.8</v>
      </c>
      <c r="AZ59" s="12"/>
      <c r="BA59" s="12">
        <v>0.8</v>
      </c>
      <c r="BE59" s="12"/>
      <c r="BF59" s="12"/>
      <c r="BG59" s="12"/>
      <c r="BH59" s="12"/>
      <c r="BL59" s="12"/>
      <c r="BM59" s="12"/>
      <c r="BN59" s="12"/>
      <c r="BO59" s="12"/>
      <c r="BS59" s="12"/>
      <c r="BT59" s="12"/>
      <c r="BU59" s="12"/>
      <c r="BV59" s="12"/>
      <c r="BZ59" s="12"/>
      <c r="CA59" s="12">
        <v>0.8</v>
      </c>
      <c r="CB59" s="12"/>
      <c r="CC59" s="12">
        <v>0.8</v>
      </c>
      <c r="CG59" s="12"/>
      <c r="CH59" s="12">
        <v>1</v>
      </c>
      <c r="CI59" s="12"/>
      <c r="CJ59" s="12">
        <v>1</v>
      </c>
      <c r="CN59" s="12"/>
      <c r="CO59" s="12">
        <v>1</v>
      </c>
      <c r="CP59" s="12"/>
      <c r="CQ59" s="12">
        <v>1</v>
      </c>
      <c r="CU59" s="12"/>
      <c r="CV59" s="12">
        <v>1</v>
      </c>
      <c r="CW59" s="12"/>
      <c r="CX59" s="12">
        <v>1</v>
      </c>
      <c r="DB59" s="12"/>
      <c r="DC59" s="12"/>
      <c r="DD59" s="12"/>
      <c r="DE59" s="12"/>
      <c r="DI59" s="12"/>
      <c r="DJ59" s="12"/>
      <c r="DK59" s="12"/>
      <c r="DL59" s="12"/>
    </row>
    <row r="60" spans="2:116" outlineLevel="1">
      <c r="B60" t="s">
        <v>27</v>
      </c>
      <c r="C60" t="s">
        <v>111</v>
      </c>
      <c r="E60" s="11"/>
      <c r="F60" t="s">
        <v>163</v>
      </c>
      <c r="G60" s="12">
        <v>0.05</v>
      </c>
      <c r="I60" s="11">
        <f t="shared" si="5"/>
        <v>0</v>
      </c>
      <c r="J60" s="13" cm="1">
        <f t="array" ref="J60">MAX(IF($N$3:$EH$3=$J$3,N60:EH60))</f>
        <v>0</v>
      </c>
      <c r="K60" s="13" cm="1">
        <f t="array" ref="K60">MAX(IF($N$3:$EH$3=$J$3,N60:EH60))</f>
        <v>0</v>
      </c>
      <c r="L60" s="11"/>
      <c r="N60" s="14">
        <f t="shared" si="7"/>
        <v>0</v>
      </c>
      <c r="O60" s="12"/>
      <c r="P60" s="12"/>
      <c r="Q60" s="12"/>
      <c r="R60" s="12"/>
      <c r="V60" s="12"/>
      <c r="W60" s="12">
        <v>0.5</v>
      </c>
      <c r="X60" s="12"/>
      <c r="Y60" s="12">
        <v>0.5</v>
      </c>
      <c r="AC60" s="12"/>
      <c r="AD60" s="12">
        <v>0.5</v>
      </c>
      <c r="AE60" s="12"/>
      <c r="AF60" s="12">
        <v>0.5</v>
      </c>
      <c r="AJ60" s="12"/>
      <c r="AK60" s="12">
        <v>0.5</v>
      </c>
      <c r="AL60" s="12"/>
      <c r="AM60" s="12">
        <v>0.5</v>
      </c>
      <c r="AQ60" s="12"/>
      <c r="AR60" s="12">
        <v>0.8</v>
      </c>
      <c r="AS60" s="12"/>
      <c r="AT60" s="12">
        <v>0.8</v>
      </c>
      <c r="AX60" s="12"/>
      <c r="AY60" s="12">
        <v>0.8</v>
      </c>
      <c r="AZ60" s="12"/>
      <c r="BA60" s="12">
        <v>0.8</v>
      </c>
      <c r="BE60" s="12"/>
      <c r="BF60" s="12"/>
      <c r="BG60" s="12"/>
      <c r="BH60" s="12"/>
      <c r="BL60" s="12"/>
      <c r="BM60" s="12"/>
      <c r="BN60" s="12"/>
      <c r="BO60" s="12"/>
      <c r="BS60" s="12"/>
      <c r="BT60" s="12"/>
      <c r="BU60" s="12"/>
      <c r="BV60" s="12"/>
      <c r="BZ60" s="12"/>
      <c r="CA60" s="12">
        <v>0.8</v>
      </c>
      <c r="CB60" s="12"/>
      <c r="CC60" s="12">
        <v>0.8</v>
      </c>
      <c r="CG60" s="12"/>
      <c r="CH60" s="12">
        <v>1</v>
      </c>
      <c r="CI60" s="12"/>
      <c r="CJ60" s="12">
        <v>1</v>
      </c>
      <c r="CN60" s="12"/>
      <c r="CO60" s="12">
        <v>1</v>
      </c>
      <c r="CP60" s="12"/>
      <c r="CQ60" s="12">
        <v>1</v>
      </c>
      <c r="CU60" s="12"/>
      <c r="CV60" s="12">
        <v>1</v>
      </c>
      <c r="CW60" s="12"/>
      <c r="CX60" s="12">
        <v>1</v>
      </c>
      <c r="DB60" s="12"/>
      <c r="DC60" s="12"/>
      <c r="DD60" s="12"/>
      <c r="DE60" s="12"/>
      <c r="DI60" s="12"/>
      <c r="DJ60" s="12"/>
      <c r="DK60" s="12"/>
      <c r="DL60" s="12"/>
    </row>
    <row r="61" spans="2:116" outlineLevel="1">
      <c r="B61" t="s">
        <v>27</v>
      </c>
      <c r="C61" t="s">
        <v>146</v>
      </c>
      <c r="E61" s="11"/>
      <c r="F61" t="s">
        <v>164</v>
      </c>
      <c r="G61" s="12">
        <v>0.05</v>
      </c>
      <c r="I61" s="11">
        <f t="shared" si="5"/>
        <v>0</v>
      </c>
      <c r="J61" s="13" cm="1">
        <f t="array" ref="J61">MAX(IF($N$3:$EH$3=$J$3,N61:EH61))</f>
        <v>0</v>
      </c>
      <c r="K61" s="13" cm="1">
        <f t="array" ref="K61">MAX(IF($N$3:$EH$3=$J$3,N61:EH61))</f>
        <v>0</v>
      </c>
      <c r="L61" s="11"/>
      <c r="N61" s="14">
        <f t="shared" si="7"/>
        <v>0</v>
      </c>
      <c r="O61" s="12"/>
      <c r="P61" s="12"/>
      <c r="Q61" s="12"/>
      <c r="R61" s="12"/>
      <c r="V61" s="12"/>
      <c r="W61" s="12">
        <v>0.5</v>
      </c>
      <c r="X61" s="12"/>
      <c r="Y61" s="12">
        <v>0.5</v>
      </c>
      <c r="AC61" s="12"/>
      <c r="AD61" s="12">
        <v>0.5</v>
      </c>
      <c r="AE61" s="12"/>
      <c r="AF61" s="12">
        <v>0.5</v>
      </c>
      <c r="AJ61" s="12"/>
      <c r="AK61" s="12">
        <v>0.5</v>
      </c>
      <c r="AL61" s="12"/>
      <c r="AM61" s="12">
        <v>0.5</v>
      </c>
      <c r="AQ61" s="12"/>
      <c r="AR61" s="12">
        <v>0.8</v>
      </c>
      <c r="AS61" s="12"/>
      <c r="AT61" s="12">
        <v>0.8</v>
      </c>
      <c r="AX61" s="12"/>
      <c r="AY61" s="12">
        <v>0.8</v>
      </c>
      <c r="AZ61" s="12"/>
      <c r="BA61" s="12">
        <v>0.8</v>
      </c>
      <c r="BE61" s="12"/>
      <c r="BF61" s="12"/>
      <c r="BG61" s="12"/>
      <c r="BH61" s="12"/>
      <c r="BL61" s="12"/>
      <c r="BM61" s="12"/>
      <c r="BN61" s="12"/>
      <c r="BO61" s="12"/>
      <c r="BS61" s="12"/>
      <c r="BT61" s="12"/>
      <c r="BU61" s="12"/>
      <c r="BV61" s="12"/>
      <c r="BZ61" s="12"/>
      <c r="CA61" s="12">
        <v>0.8</v>
      </c>
      <c r="CB61" s="12"/>
      <c r="CC61" s="12">
        <v>0.8</v>
      </c>
      <c r="CG61" s="12"/>
      <c r="CH61" s="12">
        <v>1</v>
      </c>
      <c r="CI61" s="12"/>
      <c r="CJ61" s="12">
        <v>1</v>
      </c>
      <c r="CN61" s="12"/>
      <c r="CO61" s="12">
        <v>1</v>
      </c>
      <c r="CP61" s="12"/>
      <c r="CQ61" s="12">
        <v>1</v>
      </c>
      <c r="CU61" s="12"/>
      <c r="CV61" s="12">
        <v>1</v>
      </c>
      <c r="CW61" s="12"/>
      <c r="CX61" s="12">
        <v>1</v>
      </c>
      <c r="DB61" s="12"/>
      <c r="DC61" s="12"/>
      <c r="DD61" s="12"/>
      <c r="DE61" s="12"/>
      <c r="DI61" s="12"/>
      <c r="DJ61" s="12"/>
      <c r="DK61" s="12"/>
      <c r="DL61" s="12"/>
    </row>
    <row r="62" spans="2:116" outlineLevel="1">
      <c r="B62" t="s">
        <v>27</v>
      </c>
      <c r="C62" t="s">
        <v>146</v>
      </c>
      <c r="E62" s="11"/>
      <c r="F62" t="s">
        <v>165</v>
      </c>
      <c r="G62" s="12">
        <v>0.05</v>
      </c>
      <c r="I62" s="11">
        <f t="shared" si="5"/>
        <v>0</v>
      </c>
      <c r="J62" s="13" cm="1">
        <f t="array" ref="J62">MAX(IF($N$3:$EH$3=$J$3,N62:EH62))</f>
        <v>0</v>
      </c>
      <c r="K62" s="13" cm="1">
        <f t="array" ref="K62">MAX(IF($N$3:$EH$3=$J$3,N62:EH62))</f>
        <v>0</v>
      </c>
      <c r="L62" s="11"/>
      <c r="N62" s="14">
        <f t="shared" si="7"/>
        <v>0</v>
      </c>
      <c r="O62" s="12"/>
      <c r="P62" s="12"/>
      <c r="Q62" s="12"/>
      <c r="R62" s="12"/>
      <c r="V62" s="12"/>
      <c r="W62" s="12"/>
      <c r="X62" s="12"/>
      <c r="Y62" s="12"/>
      <c r="AC62" s="12"/>
      <c r="AD62" s="12">
        <v>0.5</v>
      </c>
      <c r="AE62" s="12"/>
      <c r="AF62" s="12">
        <v>0.5</v>
      </c>
      <c r="AJ62" s="12"/>
      <c r="AK62" s="12">
        <v>0.5</v>
      </c>
      <c r="AL62" s="12"/>
      <c r="AM62" s="12">
        <v>0.5</v>
      </c>
      <c r="AQ62" s="12"/>
      <c r="AR62" s="12">
        <v>0.8</v>
      </c>
      <c r="AS62" s="12"/>
      <c r="AT62" s="12">
        <v>0.8</v>
      </c>
      <c r="AX62" s="12"/>
      <c r="AY62" s="12">
        <v>0.8</v>
      </c>
      <c r="AZ62" s="12"/>
      <c r="BA62" s="12">
        <v>0.8</v>
      </c>
      <c r="BE62" s="12"/>
      <c r="BF62" s="12"/>
      <c r="BG62" s="12"/>
      <c r="BH62" s="12"/>
      <c r="BL62" s="12"/>
      <c r="BM62" s="12"/>
      <c r="BN62" s="12"/>
      <c r="BO62" s="12"/>
      <c r="BS62" s="12"/>
      <c r="BT62" s="12"/>
      <c r="BU62" s="12"/>
      <c r="BV62" s="12"/>
      <c r="BZ62" s="12"/>
      <c r="CA62" s="12">
        <v>0.8</v>
      </c>
      <c r="CB62" s="12"/>
      <c r="CC62" s="12">
        <v>0.8</v>
      </c>
      <c r="CG62" s="12"/>
      <c r="CH62" s="12">
        <v>0.8</v>
      </c>
      <c r="CI62" s="12"/>
      <c r="CJ62" s="12">
        <v>0.8</v>
      </c>
      <c r="CN62" s="12"/>
      <c r="CO62" s="12">
        <v>1</v>
      </c>
      <c r="CP62" s="12"/>
      <c r="CQ62" s="12">
        <v>1</v>
      </c>
      <c r="CU62" s="12"/>
      <c r="CV62" s="12">
        <v>1</v>
      </c>
      <c r="CW62" s="12"/>
      <c r="CX62" s="12">
        <v>1</v>
      </c>
      <c r="DB62" s="12"/>
      <c r="DC62" s="12"/>
      <c r="DD62" s="12"/>
      <c r="DE62" s="12"/>
      <c r="DI62" s="12"/>
      <c r="DJ62" s="12"/>
      <c r="DK62" s="12"/>
      <c r="DL62" s="12"/>
    </row>
    <row r="63" spans="2:116" s="22" customFormat="1" outlineLevel="1">
      <c r="B63" s="22" t="s">
        <v>27</v>
      </c>
      <c r="C63" t="s">
        <v>146</v>
      </c>
      <c r="E63" s="23"/>
      <c r="F63" s="22" t="s">
        <v>166</v>
      </c>
      <c r="G63" s="12">
        <v>0.05</v>
      </c>
      <c r="I63" s="23">
        <f t="shared" si="5"/>
        <v>0</v>
      </c>
      <c r="J63" s="25" cm="1">
        <f t="array" ref="J63">MAX(IF($N$3:$EH$3=$J$3,N63:EH63))</f>
        <v>0</v>
      </c>
      <c r="K63" s="25" cm="1">
        <f t="array" ref="K63">MAX(IF($N$3:$EH$3=$J$3,N63:EH63))</f>
        <v>0</v>
      </c>
      <c r="L63" s="23"/>
      <c r="N63" s="14">
        <f t="shared" si="7"/>
        <v>0</v>
      </c>
      <c r="O63" s="24"/>
      <c r="P63" s="24"/>
      <c r="Q63" s="24"/>
      <c r="R63" s="24"/>
      <c r="V63" s="24"/>
      <c r="W63" s="12"/>
      <c r="X63" s="24"/>
      <c r="Y63" s="12"/>
      <c r="AC63" s="24"/>
      <c r="AD63" s="12">
        <v>0.5</v>
      </c>
      <c r="AE63" s="24"/>
      <c r="AF63" s="12">
        <v>0.5</v>
      </c>
      <c r="AJ63" s="24"/>
      <c r="AK63" s="12">
        <v>0.5</v>
      </c>
      <c r="AL63" s="24"/>
      <c r="AM63" s="12">
        <v>0.5</v>
      </c>
      <c r="AQ63" s="24"/>
      <c r="AR63" s="12">
        <v>0.5</v>
      </c>
      <c r="AS63" s="24"/>
      <c r="AT63" s="12">
        <v>0.5</v>
      </c>
      <c r="AX63" s="24"/>
      <c r="AY63" s="12">
        <v>0.8</v>
      </c>
      <c r="AZ63" s="24"/>
      <c r="BA63" s="12">
        <v>0.8</v>
      </c>
      <c r="BE63" s="24"/>
      <c r="BF63" s="24"/>
      <c r="BG63" s="24"/>
      <c r="BH63" s="24"/>
      <c r="BL63" s="24"/>
      <c r="BM63" s="24"/>
      <c r="BN63" s="24"/>
      <c r="BO63" s="24"/>
      <c r="BS63" s="24"/>
      <c r="BT63" s="24"/>
      <c r="BU63" s="24"/>
      <c r="BV63" s="24"/>
      <c r="BZ63" s="24"/>
      <c r="CA63" s="12">
        <v>0.8</v>
      </c>
      <c r="CB63" s="24"/>
      <c r="CC63" s="12">
        <v>0.8</v>
      </c>
      <c r="CG63" s="24"/>
      <c r="CH63" s="12">
        <v>0.8</v>
      </c>
      <c r="CI63" s="24"/>
      <c r="CJ63" s="12">
        <v>0.8</v>
      </c>
      <c r="CN63" s="24"/>
      <c r="CO63" s="12">
        <v>1</v>
      </c>
      <c r="CP63" s="24"/>
      <c r="CQ63" s="12">
        <v>1</v>
      </c>
      <c r="CU63" s="24"/>
      <c r="CV63" s="12">
        <v>1</v>
      </c>
      <c r="CW63" s="24"/>
      <c r="CX63" s="12">
        <v>1</v>
      </c>
      <c r="DB63" s="24"/>
      <c r="DC63" s="24"/>
      <c r="DD63" s="24"/>
      <c r="DE63" s="24"/>
      <c r="DI63" s="24"/>
      <c r="DJ63" s="24"/>
      <c r="DK63" s="24"/>
      <c r="DL63" s="24"/>
    </row>
    <row r="64" spans="2:116" s="22" customFormat="1" outlineLevel="1">
      <c r="B64" s="22" t="s">
        <v>27</v>
      </c>
      <c r="C64" t="s">
        <v>146</v>
      </c>
      <c r="E64" s="23"/>
      <c r="F64" s="22" t="s">
        <v>167</v>
      </c>
      <c r="G64" s="12">
        <v>0.05</v>
      </c>
      <c r="I64" s="23">
        <f t="shared" si="5"/>
        <v>0</v>
      </c>
      <c r="J64" s="25" cm="1">
        <f t="array" ref="J64">MAX(IF($N$3:$EH$3=$J$3,N64:EH64))</f>
        <v>0</v>
      </c>
      <c r="K64" s="25" cm="1">
        <f t="array" ref="K64">MAX(IF($N$3:$EH$3=$J$3,N64:EH64))</f>
        <v>0</v>
      </c>
      <c r="L64" s="23"/>
      <c r="N64" s="14">
        <f t="shared" si="7"/>
        <v>0</v>
      </c>
      <c r="O64" s="24"/>
      <c r="P64" s="24"/>
      <c r="Q64" s="24"/>
      <c r="R64" s="24"/>
      <c r="V64" s="24"/>
      <c r="W64" s="12"/>
      <c r="X64" s="24"/>
      <c r="Y64" s="12"/>
      <c r="AC64" s="24"/>
      <c r="AD64" s="12">
        <v>0.5</v>
      </c>
      <c r="AE64" s="24"/>
      <c r="AF64" s="12">
        <v>0.5</v>
      </c>
      <c r="AJ64" s="24"/>
      <c r="AK64" s="12">
        <v>0.5</v>
      </c>
      <c r="AL64" s="24"/>
      <c r="AM64" s="12">
        <v>0.5</v>
      </c>
      <c r="AQ64" s="24"/>
      <c r="AR64" s="12">
        <v>0.5</v>
      </c>
      <c r="AS64" s="24"/>
      <c r="AT64" s="12">
        <v>0.5</v>
      </c>
      <c r="AX64" s="24"/>
      <c r="AY64" s="12">
        <v>0.8</v>
      </c>
      <c r="AZ64" s="24"/>
      <c r="BA64" s="12">
        <v>0.8</v>
      </c>
      <c r="BE64" s="24"/>
      <c r="BF64" s="24"/>
      <c r="BG64" s="24"/>
      <c r="BH64" s="24"/>
      <c r="BL64" s="24"/>
      <c r="BM64" s="24"/>
      <c r="BN64" s="24"/>
      <c r="BO64" s="24"/>
      <c r="BS64" s="24"/>
      <c r="BT64" s="24"/>
      <c r="BU64" s="24"/>
      <c r="BV64" s="24"/>
      <c r="BZ64" s="24"/>
      <c r="CA64" s="12">
        <v>0.8</v>
      </c>
      <c r="CB64" s="24"/>
      <c r="CC64" s="12">
        <v>0.8</v>
      </c>
      <c r="CG64" s="24"/>
      <c r="CH64" s="12">
        <v>0.8</v>
      </c>
      <c r="CI64" s="24"/>
      <c r="CJ64" s="12">
        <v>0.8</v>
      </c>
      <c r="CN64" s="24"/>
      <c r="CO64" s="12">
        <v>1</v>
      </c>
      <c r="CP64" s="24"/>
      <c r="CQ64" s="12">
        <v>1</v>
      </c>
      <c r="CU64" s="24"/>
      <c r="CV64" s="12">
        <v>1</v>
      </c>
      <c r="CW64" s="24"/>
      <c r="CX64" s="12">
        <v>1</v>
      </c>
      <c r="DB64" s="24"/>
      <c r="DC64" s="24"/>
      <c r="DD64" s="24"/>
      <c r="DE64" s="24"/>
      <c r="DI64" s="24"/>
      <c r="DJ64" s="24"/>
      <c r="DK64" s="24"/>
      <c r="DL64" s="24"/>
    </row>
    <row r="65" spans="2:116" s="22" customFormat="1" outlineLevel="1">
      <c r="B65" s="22" t="s">
        <v>27</v>
      </c>
      <c r="C65" t="s">
        <v>146</v>
      </c>
      <c r="E65" s="23"/>
      <c r="F65" s="22" t="s">
        <v>168</v>
      </c>
      <c r="G65" s="12">
        <v>0.05</v>
      </c>
      <c r="I65" s="23">
        <f t="shared" si="5"/>
        <v>0</v>
      </c>
      <c r="J65" s="25" cm="1">
        <f t="array" ref="J65">MAX(IF($N$3:$EH$3=$J$3,N65:EH65))</f>
        <v>0</v>
      </c>
      <c r="K65" s="25" cm="1">
        <f t="array" ref="K65">MAX(IF($N$3:$EH$3=$J$3,N65:EH65))</f>
        <v>0</v>
      </c>
      <c r="L65" s="23"/>
      <c r="N65" s="14">
        <f t="shared" si="7"/>
        <v>0</v>
      </c>
      <c r="O65" s="24"/>
      <c r="P65" s="24"/>
      <c r="Q65" s="24"/>
      <c r="R65" s="24"/>
      <c r="V65" s="24"/>
      <c r="W65" s="12"/>
      <c r="X65" s="24"/>
      <c r="Y65" s="12"/>
      <c r="AC65" s="24"/>
      <c r="AD65" s="12">
        <v>0.5</v>
      </c>
      <c r="AE65" s="24"/>
      <c r="AF65" s="12">
        <v>0.5</v>
      </c>
      <c r="AJ65" s="24"/>
      <c r="AK65" s="12">
        <v>0.5</v>
      </c>
      <c r="AL65" s="24"/>
      <c r="AM65" s="12">
        <v>0.5</v>
      </c>
      <c r="AQ65" s="24"/>
      <c r="AR65" s="12">
        <v>0.5</v>
      </c>
      <c r="AS65" s="24"/>
      <c r="AT65" s="12">
        <v>0.5</v>
      </c>
      <c r="AX65" s="24"/>
      <c r="AY65" s="12">
        <v>0.8</v>
      </c>
      <c r="AZ65" s="24"/>
      <c r="BA65" s="12">
        <v>0.8</v>
      </c>
      <c r="BE65" s="24"/>
      <c r="BF65" s="24"/>
      <c r="BG65" s="24"/>
      <c r="BH65" s="24"/>
      <c r="BL65" s="24"/>
      <c r="BM65" s="24"/>
      <c r="BN65" s="24"/>
      <c r="BO65" s="24"/>
      <c r="BS65" s="24"/>
      <c r="BT65" s="24"/>
      <c r="BU65" s="24"/>
      <c r="BV65" s="24"/>
      <c r="BZ65" s="24"/>
      <c r="CA65" s="12">
        <v>0.8</v>
      </c>
      <c r="CB65" s="24"/>
      <c r="CC65" s="12">
        <v>0.8</v>
      </c>
      <c r="CG65" s="24"/>
      <c r="CH65" s="12">
        <v>0.8</v>
      </c>
      <c r="CI65" s="24"/>
      <c r="CJ65" s="12">
        <v>0.8</v>
      </c>
      <c r="CN65" s="24"/>
      <c r="CO65" s="12">
        <v>1</v>
      </c>
      <c r="CP65" s="24"/>
      <c r="CQ65" s="12">
        <v>1</v>
      </c>
      <c r="CU65" s="24"/>
      <c r="CV65" s="12">
        <v>1</v>
      </c>
      <c r="CW65" s="24"/>
      <c r="CX65" s="12">
        <v>1</v>
      </c>
      <c r="DB65" s="24"/>
      <c r="DC65" s="24"/>
      <c r="DD65" s="24"/>
      <c r="DE65" s="24"/>
      <c r="DI65" s="24"/>
      <c r="DJ65" s="24"/>
      <c r="DK65" s="24"/>
      <c r="DL65" s="24"/>
    </row>
    <row r="66" spans="2:116" s="22" customFormat="1" outlineLevel="1">
      <c r="B66" s="22" t="s">
        <v>27</v>
      </c>
      <c r="C66" t="s">
        <v>146</v>
      </c>
      <c r="E66" s="23"/>
      <c r="F66" s="22" t="s">
        <v>169</v>
      </c>
      <c r="G66" s="24">
        <v>0.05</v>
      </c>
      <c r="I66" s="23">
        <f t="shared" si="5"/>
        <v>0</v>
      </c>
      <c r="J66" s="25" cm="1">
        <f t="array" ref="J66">MAX(IF($N$3:$EH$3=$J$3,N66:EH66))</f>
        <v>0</v>
      </c>
      <c r="K66" s="25" cm="1">
        <f t="array" ref="K66">MAX(IF($N$3:$EH$3=$J$3,N66:EH66))</f>
        <v>0</v>
      </c>
      <c r="L66" s="23"/>
      <c r="N66" s="14">
        <f t="shared" si="7"/>
        <v>0</v>
      </c>
      <c r="O66" s="24"/>
      <c r="P66" s="24"/>
      <c r="Q66" s="24"/>
      <c r="R66" s="24"/>
      <c r="V66" s="24"/>
      <c r="W66" s="12"/>
      <c r="X66" s="24"/>
      <c r="Y66" s="12"/>
      <c r="AC66" s="24"/>
      <c r="AD66" s="12">
        <v>0.5</v>
      </c>
      <c r="AE66" s="24"/>
      <c r="AF66" s="12">
        <v>0.5</v>
      </c>
      <c r="AJ66" s="24"/>
      <c r="AK66" s="12">
        <v>0.5</v>
      </c>
      <c r="AL66" s="24"/>
      <c r="AM66" s="12">
        <v>0.5</v>
      </c>
      <c r="AQ66" s="24"/>
      <c r="AR66" s="12">
        <v>0.5</v>
      </c>
      <c r="AS66" s="24"/>
      <c r="AT66" s="12">
        <v>0.5</v>
      </c>
      <c r="AX66" s="24"/>
      <c r="AY66" s="12">
        <v>0.8</v>
      </c>
      <c r="AZ66" s="24"/>
      <c r="BA66" s="12">
        <v>0.8</v>
      </c>
      <c r="BE66" s="24"/>
      <c r="BF66" s="24"/>
      <c r="BG66" s="24"/>
      <c r="BH66" s="24"/>
      <c r="BL66" s="24"/>
      <c r="BM66" s="24"/>
      <c r="BN66" s="24"/>
      <c r="BO66" s="24"/>
      <c r="BS66" s="24"/>
      <c r="BT66" s="24"/>
      <c r="BU66" s="24"/>
      <c r="BV66" s="24"/>
      <c r="BZ66" s="24"/>
      <c r="CA66" s="12">
        <v>0.8</v>
      </c>
      <c r="CB66" s="24"/>
      <c r="CC66" s="12">
        <v>0.8</v>
      </c>
      <c r="CG66" s="24"/>
      <c r="CH66" s="12">
        <v>0.8</v>
      </c>
      <c r="CI66" s="24"/>
      <c r="CJ66" s="12">
        <v>0.8</v>
      </c>
      <c r="CN66" s="24"/>
      <c r="CO66" s="12">
        <v>1</v>
      </c>
      <c r="CP66" s="24"/>
      <c r="CQ66" s="12">
        <v>1</v>
      </c>
      <c r="CU66" s="24"/>
      <c r="CV66" s="12">
        <v>1</v>
      </c>
      <c r="CW66" s="24"/>
      <c r="CX66" s="12">
        <v>1</v>
      </c>
      <c r="DB66" s="24"/>
      <c r="DC66" s="24"/>
      <c r="DD66" s="24"/>
      <c r="DE66" s="24"/>
      <c r="DI66" s="24"/>
      <c r="DJ66" s="24"/>
      <c r="DK66" s="24"/>
      <c r="DL66" s="24"/>
    </row>
    <row r="67" spans="2:116" s="22" customFormat="1" outlineLevel="1">
      <c r="B67" s="22" t="s">
        <v>27</v>
      </c>
      <c r="C67" t="s">
        <v>146</v>
      </c>
      <c r="E67" s="23"/>
      <c r="F67" s="22" t="s">
        <v>170</v>
      </c>
      <c r="G67" s="24">
        <v>0.05</v>
      </c>
      <c r="I67" s="23">
        <f t="shared" si="5"/>
        <v>0</v>
      </c>
      <c r="J67" s="25" cm="1">
        <f t="array" ref="J67">MAX(IF($N$3:$EH$3=$J$3,N67:EH67))</f>
        <v>0</v>
      </c>
      <c r="K67" s="25" cm="1">
        <f t="array" ref="K67">MAX(IF($N$3:$EH$3=$J$3,N67:EH67))</f>
        <v>0</v>
      </c>
      <c r="L67" s="23"/>
      <c r="N67" s="14">
        <f t="shared" si="7"/>
        <v>0</v>
      </c>
      <c r="O67" s="24"/>
      <c r="P67" s="24"/>
      <c r="Q67" s="24"/>
      <c r="R67" s="24"/>
      <c r="V67" s="24"/>
      <c r="W67" s="24"/>
      <c r="X67" s="24"/>
      <c r="Y67" s="24"/>
      <c r="AC67" s="24"/>
      <c r="AD67" s="12"/>
      <c r="AE67" s="24"/>
      <c r="AF67" s="12"/>
      <c r="AJ67" s="24"/>
      <c r="AK67" s="12">
        <v>0.5</v>
      </c>
      <c r="AL67" s="24"/>
      <c r="AM67" s="12">
        <v>0.5</v>
      </c>
      <c r="AQ67" s="24"/>
      <c r="AR67" s="12">
        <v>0.5</v>
      </c>
      <c r="AS67" s="24"/>
      <c r="AT67" s="12">
        <v>0.5</v>
      </c>
      <c r="AX67" s="24"/>
      <c r="AY67" s="12">
        <v>0.5</v>
      </c>
      <c r="AZ67" s="24"/>
      <c r="BA67" s="12">
        <v>0.5</v>
      </c>
      <c r="BE67" s="24"/>
      <c r="BF67" s="24"/>
      <c r="BG67" s="24"/>
      <c r="BH67" s="24"/>
      <c r="BL67" s="24"/>
      <c r="BM67" s="24"/>
      <c r="BN67" s="24"/>
      <c r="BO67" s="24"/>
      <c r="BS67" s="24"/>
      <c r="BT67" s="24"/>
      <c r="BU67" s="24"/>
      <c r="BV67" s="24"/>
      <c r="BZ67" s="24"/>
      <c r="CA67" s="12">
        <v>0.8</v>
      </c>
      <c r="CB67" s="24"/>
      <c r="CC67" s="12">
        <v>0.8</v>
      </c>
      <c r="CG67" s="24"/>
      <c r="CH67" s="12">
        <v>0.8</v>
      </c>
      <c r="CI67" s="24"/>
      <c r="CJ67" s="12">
        <v>0.8</v>
      </c>
      <c r="CN67" s="24"/>
      <c r="CO67" s="12">
        <v>1</v>
      </c>
      <c r="CP67" s="24"/>
      <c r="CQ67" s="12">
        <v>1</v>
      </c>
      <c r="CU67" s="24"/>
      <c r="CV67" s="12">
        <v>1</v>
      </c>
      <c r="CW67" s="24"/>
      <c r="CX67" s="12">
        <v>1</v>
      </c>
      <c r="DB67" s="24"/>
      <c r="DC67" s="24"/>
      <c r="DD67" s="24"/>
      <c r="DE67" s="24"/>
      <c r="DI67" s="24"/>
      <c r="DJ67" s="24"/>
      <c r="DK67" s="24"/>
      <c r="DL67" s="24"/>
    </row>
    <row r="68" spans="2:116" s="22" customFormat="1" outlineLevel="1">
      <c r="B68" s="22" t="s">
        <v>27</v>
      </c>
      <c r="C68" t="s">
        <v>146</v>
      </c>
      <c r="E68" s="23"/>
      <c r="F68" s="22" t="s">
        <v>171</v>
      </c>
      <c r="G68" s="24">
        <v>0.05</v>
      </c>
      <c r="I68" s="23">
        <f t="shared" si="5"/>
        <v>0</v>
      </c>
      <c r="J68" s="25" cm="1">
        <f t="array" ref="J68">MAX(IF($N$3:$EH$3=$J$3,N68:EH68))</f>
        <v>0</v>
      </c>
      <c r="K68" s="25" cm="1">
        <f t="array" ref="K68">MAX(IF($N$3:$EH$3=$J$3,N68:EH68))</f>
        <v>0</v>
      </c>
      <c r="L68" s="23"/>
      <c r="N68" s="14">
        <f>+SUM(N79:N94)</f>
        <v>0</v>
      </c>
      <c r="O68" s="24"/>
      <c r="P68" s="24"/>
      <c r="Q68" s="24"/>
      <c r="R68" s="24"/>
      <c r="V68" s="24"/>
      <c r="W68" s="24"/>
      <c r="X68" s="24"/>
      <c r="Y68" s="24"/>
      <c r="AC68" s="24"/>
      <c r="AD68" s="12"/>
      <c r="AE68" s="24"/>
      <c r="AF68" s="12"/>
      <c r="AJ68" s="24"/>
      <c r="AK68" s="12">
        <v>0.5</v>
      </c>
      <c r="AL68" s="24"/>
      <c r="AM68" s="12">
        <v>0.5</v>
      </c>
      <c r="AQ68" s="24"/>
      <c r="AR68" s="12">
        <v>0.5</v>
      </c>
      <c r="AS68" s="24"/>
      <c r="AT68" s="12">
        <v>0.5</v>
      </c>
      <c r="AX68" s="24"/>
      <c r="AY68" s="12">
        <v>0.5</v>
      </c>
      <c r="AZ68" s="24"/>
      <c r="BA68" s="12">
        <v>0.5</v>
      </c>
      <c r="BE68" s="24"/>
      <c r="BF68" s="24"/>
      <c r="BG68" s="24"/>
      <c r="BH68" s="24"/>
      <c r="BL68" s="24"/>
      <c r="BM68" s="24"/>
      <c r="BN68" s="24"/>
      <c r="BO68" s="24"/>
      <c r="BS68" s="24"/>
      <c r="BT68" s="24"/>
      <c r="BU68" s="24"/>
      <c r="BV68" s="24"/>
      <c r="BZ68" s="24"/>
      <c r="CA68" s="12">
        <v>0.8</v>
      </c>
      <c r="CB68" s="24"/>
      <c r="CC68" s="12">
        <v>0.8</v>
      </c>
      <c r="CG68" s="24"/>
      <c r="CH68" s="12">
        <v>0.8</v>
      </c>
      <c r="CI68" s="24"/>
      <c r="CJ68" s="12">
        <v>0.8</v>
      </c>
      <c r="CN68" s="24"/>
      <c r="CO68" s="12">
        <v>1</v>
      </c>
      <c r="CP68" s="24"/>
      <c r="CQ68" s="12">
        <v>1</v>
      </c>
      <c r="CU68" s="24"/>
      <c r="CV68" s="12">
        <v>1</v>
      </c>
      <c r="CW68" s="24"/>
      <c r="CX68" s="12">
        <v>1</v>
      </c>
      <c r="DB68" s="24"/>
      <c r="DC68" s="24"/>
      <c r="DD68" s="24"/>
      <c r="DE68" s="24"/>
      <c r="DI68" s="24"/>
      <c r="DJ68" s="24"/>
      <c r="DK68" s="24"/>
      <c r="DL68" s="24"/>
    </row>
    <row r="69" spans="2:116" s="22" customFormat="1" outlineLevel="1">
      <c r="B69" s="22" t="s">
        <v>27</v>
      </c>
      <c r="C69" t="s">
        <v>146</v>
      </c>
      <c r="E69" s="23"/>
      <c r="F69" t="s">
        <v>172</v>
      </c>
      <c r="G69" s="24">
        <v>0.05</v>
      </c>
      <c r="I69" s="23">
        <f t="shared" si="5"/>
        <v>0</v>
      </c>
      <c r="J69" s="25" cm="1">
        <f t="array" ref="J69">MAX(IF($N$3:$EH$3=$J$3,N69:EH69))</f>
        <v>0</v>
      </c>
      <c r="K69" s="25" cm="1">
        <f t="array" ref="K69">MAX(IF($N$3:$EH$3=$J$3,N69:EH69))</f>
        <v>0</v>
      </c>
      <c r="L69" s="23"/>
      <c r="N69" s="14">
        <f t="shared" ref="N69:N78" si="8">+SUM(N80:N95)</f>
        <v>0</v>
      </c>
      <c r="O69" s="24"/>
      <c r="P69" s="24"/>
      <c r="Q69" s="24"/>
      <c r="R69" s="24"/>
      <c r="V69" s="24"/>
      <c r="W69" s="24"/>
      <c r="X69" s="24"/>
      <c r="Y69" s="24"/>
      <c r="AC69" s="24"/>
      <c r="AD69" s="12"/>
      <c r="AE69" s="24"/>
      <c r="AF69" s="12"/>
      <c r="AJ69" s="24"/>
      <c r="AK69" s="12">
        <v>0.5</v>
      </c>
      <c r="AL69" s="24"/>
      <c r="AM69" s="12">
        <v>0.5</v>
      </c>
      <c r="AQ69" s="24"/>
      <c r="AR69" s="12">
        <v>0.5</v>
      </c>
      <c r="AS69" s="24"/>
      <c r="AT69" s="12">
        <v>0.5</v>
      </c>
      <c r="AX69" s="24"/>
      <c r="AY69" s="12">
        <v>0.5</v>
      </c>
      <c r="AZ69" s="24"/>
      <c r="BA69" s="12">
        <v>0.5</v>
      </c>
      <c r="BE69" s="24"/>
      <c r="BF69" s="24"/>
      <c r="BG69" s="24"/>
      <c r="BH69" s="24"/>
      <c r="BL69" s="24"/>
      <c r="BM69" s="24"/>
      <c r="BN69" s="24"/>
      <c r="BO69" s="24"/>
      <c r="BS69" s="24"/>
      <c r="BT69" s="24"/>
      <c r="BU69" s="24"/>
      <c r="BV69" s="24"/>
      <c r="BZ69" s="24"/>
      <c r="CA69" s="12">
        <v>0.8</v>
      </c>
      <c r="CB69" s="24"/>
      <c r="CC69" s="12">
        <v>0.8</v>
      </c>
      <c r="CG69" s="24"/>
      <c r="CH69" s="12">
        <v>0.8</v>
      </c>
      <c r="CI69" s="24"/>
      <c r="CJ69" s="12">
        <v>0.8</v>
      </c>
      <c r="CN69" s="24"/>
      <c r="CO69" s="12">
        <v>0.8</v>
      </c>
      <c r="CP69" s="24"/>
      <c r="CQ69" s="12">
        <v>0.8</v>
      </c>
      <c r="CU69" s="24"/>
      <c r="CV69" s="12">
        <v>1</v>
      </c>
      <c r="CW69" s="24"/>
      <c r="CX69" s="12">
        <v>1</v>
      </c>
      <c r="DB69" s="24"/>
      <c r="DC69" s="24"/>
      <c r="DD69" s="24"/>
      <c r="DE69" s="24"/>
      <c r="DI69" s="24"/>
      <c r="DJ69" s="24"/>
      <c r="DK69" s="24"/>
      <c r="DL69" s="24"/>
    </row>
    <row r="70" spans="2:116" s="22" customFormat="1" outlineLevel="1">
      <c r="B70" s="22" t="s">
        <v>27</v>
      </c>
      <c r="C70" t="s">
        <v>147</v>
      </c>
      <c r="E70" s="23"/>
      <c r="F70" s="22" t="s">
        <v>173</v>
      </c>
      <c r="G70" s="24">
        <v>0.05</v>
      </c>
      <c r="I70" s="23">
        <f t="shared" si="5"/>
        <v>0</v>
      </c>
      <c r="J70" s="25" cm="1">
        <f t="array" ref="J70">MAX(IF($N$3:$EH$3=$J$3,N70:EH70))</f>
        <v>0</v>
      </c>
      <c r="K70" s="25" cm="1">
        <f t="array" ref="K70">MAX(IF($N$3:$EH$3=$J$3,N70:EH70))</f>
        <v>0</v>
      </c>
      <c r="L70" s="23"/>
      <c r="N70" s="14">
        <f t="shared" si="8"/>
        <v>0</v>
      </c>
      <c r="O70" s="24"/>
      <c r="P70" s="24"/>
      <c r="Q70" s="24"/>
      <c r="R70" s="24"/>
      <c r="V70" s="24"/>
      <c r="W70" s="24"/>
      <c r="X70" s="24"/>
      <c r="Y70" s="24"/>
      <c r="AC70" s="24"/>
      <c r="AD70" s="12"/>
      <c r="AE70" s="24"/>
      <c r="AF70" s="12"/>
      <c r="AJ70" s="24"/>
      <c r="AK70" s="12">
        <v>0.5</v>
      </c>
      <c r="AL70" s="24"/>
      <c r="AM70" s="12">
        <v>0.5</v>
      </c>
      <c r="AQ70" s="24"/>
      <c r="AR70" s="12">
        <v>0.5</v>
      </c>
      <c r="AS70" s="24"/>
      <c r="AT70" s="12">
        <v>0.5</v>
      </c>
      <c r="AX70" s="24"/>
      <c r="AY70" s="12">
        <v>0.5</v>
      </c>
      <c r="AZ70" s="24"/>
      <c r="BA70" s="12">
        <v>0.5</v>
      </c>
      <c r="BE70" s="24"/>
      <c r="BF70" s="24"/>
      <c r="BG70" s="24"/>
      <c r="BH70" s="24"/>
      <c r="BL70" s="24"/>
      <c r="BM70" s="24"/>
      <c r="BN70" s="24"/>
      <c r="BO70" s="24"/>
      <c r="BS70" s="24"/>
      <c r="BT70" s="24"/>
      <c r="BU70" s="24"/>
      <c r="BV70" s="24"/>
      <c r="BZ70" s="24"/>
      <c r="CA70" s="12">
        <v>0.8</v>
      </c>
      <c r="CB70" s="24"/>
      <c r="CC70" s="12">
        <v>0.8</v>
      </c>
      <c r="CG70" s="24"/>
      <c r="CH70" s="12">
        <v>0.8</v>
      </c>
      <c r="CI70" s="24"/>
      <c r="CJ70" s="12">
        <v>0.8</v>
      </c>
      <c r="CN70" s="24"/>
      <c r="CO70" s="12">
        <v>0.8</v>
      </c>
      <c r="CP70" s="24"/>
      <c r="CQ70" s="12">
        <v>0.8</v>
      </c>
      <c r="CU70" s="24"/>
      <c r="CV70" s="12">
        <v>1</v>
      </c>
      <c r="CW70" s="24"/>
      <c r="CX70" s="12">
        <v>1</v>
      </c>
      <c r="DB70" s="24"/>
      <c r="DC70" s="24"/>
      <c r="DD70" s="24"/>
      <c r="DE70" s="24"/>
      <c r="DI70" s="24"/>
      <c r="DJ70" s="24"/>
      <c r="DK70" s="24"/>
      <c r="DL70" s="24"/>
    </row>
    <row r="71" spans="2:116" s="22" customFormat="1" outlineLevel="1">
      <c r="B71" s="22" t="s">
        <v>27</v>
      </c>
      <c r="C71" t="s">
        <v>147</v>
      </c>
      <c r="E71" s="23"/>
      <c r="F71" s="22" t="s">
        <v>174</v>
      </c>
      <c r="G71" s="24">
        <v>0.05</v>
      </c>
      <c r="I71" s="23">
        <f t="shared" si="5"/>
        <v>0</v>
      </c>
      <c r="J71" s="25" cm="1">
        <f t="array" ref="J71">MAX(IF($N$3:$EH$3=$J$3,N71:EH71))</f>
        <v>0</v>
      </c>
      <c r="K71" s="25" cm="1">
        <f t="array" ref="K71">MAX(IF($N$3:$EH$3=$J$3,N71:EH71))</f>
        <v>0</v>
      </c>
      <c r="L71" s="23"/>
      <c r="N71" s="14">
        <f t="shared" si="8"/>
        <v>0</v>
      </c>
      <c r="O71" s="24"/>
      <c r="P71" s="24"/>
      <c r="Q71" s="24"/>
      <c r="R71" s="24"/>
      <c r="V71" s="24"/>
      <c r="W71" s="24"/>
      <c r="X71" s="24"/>
      <c r="Y71" s="24"/>
      <c r="AC71" s="24"/>
      <c r="AD71" s="12"/>
      <c r="AE71" s="24"/>
      <c r="AF71" s="12"/>
      <c r="AJ71" s="24"/>
      <c r="AK71" s="12">
        <v>0.5</v>
      </c>
      <c r="AL71" s="24"/>
      <c r="AM71" s="12">
        <v>0.5</v>
      </c>
      <c r="AQ71" s="24"/>
      <c r="AR71" s="12">
        <v>0.5</v>
      </c>
      <c r="AS71" s="24"/>
      <c r="AT71" s="12">
        <v>0.5</v>
      </c>
      <c r="AX71" s="24"/>
      <c r="AY71" s="12">
        <v>0.5</v>
      </c>
      <c r="AZ71" s="24"/>
      <c r="BA71" s="12">
        <v>0.5</v>
      </c>
      <c r="BE71" s="24"/>
      <c r="BF71" s="24"/>
      <c r="BG71" s="24"/>
      <c r="BH71" s="24"/>
      <c r="BL71" s="24"/>
      <c r="BM71" s="24"/>
      <c r="BN71" s="24"/>
      <c r="BO71" s="24"/>
      <c r="BS71" s="24"/>
      <c r="BT71" s="24"/>
      <c r="BU71" s="24"/>
      <c r="BV71" s="24"/>
      <c r="BZ71" s="24"/>
      <c r="CA71" s="12">
        <v>0.5</v>
      </c>
      <c r="CB71" s="24"/>
      <c r="CC71" s="12">
        <v>0.5</v>
      </c>
      <c r="CG71" s="24"/>
      <c r="CH71" s="12">
        <v>0.8</v>
      </c>
      <c r="CI71" s="24"/>
      <c r="CJ71" s="12">
        <v>0.8</v>
      </c>
      <c r="CN71" s="24"/>
      <c r="CO71" s="12">
        <v>0.8</v>
      </c>
      <c r="CP71" s="24"/>
      <c r="CQ71" s="12">
        <v>0.8</v>
      </c>
      <c r="CU71" s="24"/>
      <c r="CV71" s="12">
        <v>1</v>
      </c>
      <c r="CW71" s="24"/>
      <c r="CX71" s="12">
        <v>1</v>
      </c>
      <c r="DB71" s="24"/>
      <c r="DC71" s="24"/>
      <c r="DD71" s="24"/>
      <c r="DE71" s="24"/>
      <c r="DI71" s="24"/>
      <c r="DJ71" s="24"/>
      <c r="DK71" s="24"/>
      <c r="DL71" s="24"/>
    </row>
    <row r="72" spans="2:116" s="22" customFormat="1" outlineLevel="1">
      <c r="B72" s="22" t="s">
        <v>27</v>
      </c>
      <c r="C72" t="s">
        <v>147</v>
      </c>
      <c r="E72" s="23"/>
      <c r="F72" s="22" t="s">
        <v>175</v>
      </c>
      <c r="G72" s="24">
        <v>0.05</v>
      </c>
      <c r="I72" s="23">
        <f t="shared" si="5"/>
        <v>0</v>
      </c>
      <c r="J72" s="25" cm="1">
        <f t="array" ref="J72">MAX(IF($N$3:$EH$3=$J$3,N72:EH72))</f>
        <v>0</v>
      </c>
      <c r="K72" s="25" cm="1">
        <f t="array" ref="K72">MAX(IF($N$3:$EH$3=$J$3,N72:EH72))</f>
        <v>0</v>
      </c>
      <c r="L72" s="23"/>
      <c r="N72" s="14">
        <f t="shared" si="8"/>
        <v>0</v>
      </c>
      <c r="O72" s="24"/>
      <c r="P72" s="24"/>
      <c r="Q72" s="24"/>
      <c r="R72" s="24"/>
      <c r="V72" s="24"/>
      <c r="W72" s="24"/>
      <c r="X72" s="24"/>
      <c r="Y72" s="24"/>
      <c r="AC72" s="24"/>
      <c r="AD72" s="24"/>
      <c r="AE72" s="24"/>
      <c r="AF72" s="24"/>
      <c r="AJ72" s="24"/>
      <c r="AK72" s="12"/>
      <c r="AL72" s="24"/>
      <c r="AM72" s="12"/>
      <c r="AQ72" s="24"/>
      <c r="AR72" s="12">
        <v>0.5</v>
      </c>
      <c r="AS72" s="24"/>
      <c r="AT72" s="12">
        <v>0.5</v>
      </c>
      <c r="AX72" s="24"/>
      <c r="AY72" s="12">
        <v>0.5</v>
      </c>
      <c r="AZ72" s="24"/>
      <c r="BA72" s="12">
        <v>0.5</v>
      </c>
      <c r="BE72" s="24"/>
      <c r="BF72" s="24"/>
      <c r="BG72" s="24"/>
      <c r="BH72" s="24"/>
      <c r="BL72" s="24"/>
      <c r="BM72" s="24"/>
      <c r="BN72" s="24"/>
      <c r="BO72" s="24"/>
      <c r="BS72" s="24"/>
      <c r="BT72" s="24"/>
      <c r="BU72" s="24"/>
      <c r="BV72" s="24"/>
      <c r="BZ72" s="24"/>
      <c r="CA72" s="12">
        <v>0.5</v>
      </c>
      <c r="CB72" s="24"/>
      <c r="CC72" s="12">
        <v>0.5</v>
      </c>
      <c r="CG72" s="24"/>
      <c r="CH72" s="12">
        <v>0.8</v>
      </c>
      <c r="CI72" s="24"/>
      <c r="CJ72" s="12">
        <v>0.8</v>
      </c>
      <c r="CN72" s="24"/>
      <c r="CO72" s="12">
        <v>0.8</v>
      </c>
      <c r="CP72" s="24"/>
      <c r="CQ72" s="12">
        <v>0.8</v>
      </c>
      <c r="CU72" s="24"/>
      <c r="CV72" s="12">
        <v>1</v>
      </c>
      <c r="CW72" s="24"/>
      <c r="CX72" s="12">
        <v>1</v>
      </c>
      <c r="DB72" s="24"/>
      <c r="DC72" s="24"/>
      <c r="DD72" s="24"/>
      <c r="DE72" s="24"/>
      <c r="DI72" s="24"/>
      <c r="DJ72" s="24"/>
      <c r="DK72" s="24"/>
      <c r="DL72" s="24"/>
    </row>
    <row r="73" spans="2:116" s="22" customFormat="1" outlineLevel="1">
      <c r="B73" s="22" t="s">
        <v>27</v>
      </c>
      <c r="C73" t="s">
        <v>147</v>
      </c>
      <c r="E73" s="23"/>
      <c r="F73" s="22" t="s">
        <v>176</v>
      </c>
      <c r="G73" s="24">
        <v>0.05</v>
      </c>
      <c r="I73" s="23">
        <f t="shared" si="5"/>
        <v>0</v>
      </c>
      <c r="J73" s="25" cm="1">
        <f t="array" ref="J73">MAX(IF($N$3:$EH$3=$J$3,N73:EH73))</f>
        <v>0</v>
      </c>
      <c r="K73" s="25" cm="1">
        <f t="array" ref="K73">MAX(IF($N$3:$EH$3=$J$3,N73:EH73))</f>
        <v>0</v>
      </c>
      <c r="L73" s="23"/>
      <c r="N73" s="14">
        <f t="shared" si="8"/>
        <v>0</v>
      </c>
      <c r="O73" s="24"/>
      <c r="P73" s="24"/>
      <c r="Q73" s="24"/>
      <c r="R73" s="24"/>
      <c r="V73" s="24"/>
      <c r="W73" s="24"/>
      <c r="X73" s="24"/>
      <c r="Y73" s="24"/>
      <c r="AC73" s="24"/>
      <c r="AD73" s="24"/>
      <c r="AE73" s="24"/>
      <c r="AF73" s="24"/>
      <c r="AJ73" s="24"/>
      <c r="AK73" s="12"/>
      <c r="AL73" s="24"/>
      <c r="AM73" s="12"/>
      <c r="AQ73" s="24"/>
      <c r="AR73" s="12">
        <v>0.5</v>
      </c>
      <c r="AS73" s="24"/>
      <c r="AT73" s="12">
        <v>0.5</v>
      </c>
      <c r="AX73" s="24"/>
      <c r="AY73" s="12">
        <v>0.5</v>
      </c>
      <c r="AZ73" s="24"/>
      <c r="BA73" s="12">
        <v>0.5</v>
      </c>
      <c r="BE73" s="24"/>
      <c r="BF73" s="24"/>
      <c r="BG73" s="24"/>
      <c r="BH73" s="24"/>
      <c r="BL73" s="24"/>
      <c r="BM73" s="24"/>
      <c r="BN73" s="24"/>
      <c r="BO73" s="24"/>
      <c r="BS73" s="24"/>
      <c r="BT73" s="24"/>
      <c r="BU73" s="24"/>
      <c r="BV73" s="24"/>
      <c r="BZ73" s="24"/>
      <c r="CA73" s="12">
        <v>0.5</v>
      </c>
      <c r="CB73" s="24"/>
      <c r="CC73" s="12">
        <v>0.5</v>
      </c>
      <c r="CG73" s="24"/>
      <c r="CH73" s="12">
        <v>0.8</v>
      </c>
      <c r="CI73" s="24"/>
      <c r="CJ73" s="12">
        <v>0.8</v>
      </c>
      <c r="CN73" s="24"/>
      <c r="CO73" s="12">
        <v>0.8</v>
      </c>
      <c r="CP73" s="24"/>
      <c r="CQ73" s="12">
        <v>0.8</v>
      </c>
      <c r="CU73" s="24"/>
      <c r="CV73" s="12">
        <v>1</v>
      </c>
      <c r="CW73" s="24"/>
      <c r="CX73" s="12">
        <v>1</v>
      </c>
      <c r="DB73" s="24"/>
      <c r="DC73" s="24"/>
      <c r="DD73" s="24"/>
      <c r="DE73" s="24"/>
      <c r="DI73" s="24"/>
      <c r="DJ73" s="24"/>
      <c r="DK73" s="24"/>
      <c r="DL73" s="24"/>
    </row>
    <row r="74" spans="2:116" s="22" customFormat="1" outlineLevel="1">
      <c r="B74" s="22" t="s">
        <v>27</v>
      </c>
      <c r="C74" t="s">
        <v>147</v>
      </c>
      <c r="E74" s="23"/>
      <c r="F74" s="22" t="s">
        <v>177</v>
      </c>
      <c r="G74" s="24">
        <v>0.05</v>
      </c>
      <c r="I74" s="23">
        <f t="shared" si="5"/>
        <v>0</v>
      </c>
      <c r="J74" s="25" cm="1">
        <f t="array" ref="J74">MAX(IF($N$3:$EH$3=$J$3,N74:EH74))</f>
        <v>0</v>
      </c>
      <c r="K74" s="25" cm="1">
        <f t="array" ref="K74">MAX(IF($N$3:$EH$3=$J$3,N74:EH74))</f>
        <v>0</v>
      </c>
      <c r="L74" s="23"/>
      <c r="N74" s="14">
        <f t="shared" si="8"/>
        <v>0</v>
      </c>
      <c r="O74" s="24"/>
      <c r="P74" s="24"/>
      <c r="Q74" s="24"/>
      <c r="R74" s="24"/>
      <c r="V74" s="24"/>
      <c r="W74" s="24"/>
      <c r="X74" s="24"/>
      <c r="Y74" s="24"/>
      <c r="AC74" s="24"/>
      <c r="AD74" s="24"/>
      <c r="AE74" s="24"/>
      <c r="AF74" s="24"/>
      <c r="AJ74" s="24"/>
      <c r="AK74" s="12"/>
      <c r="AL74" s="24"/>
      <c r="AM74" s="12"/>
      <c r="AQ74" s="24"/>
      <c r="AR74" s="12">
        <v>0.5</v>
      </c>
      <c r="AS74" s="24"/>
      <c r="AT74" s="12">
        <v>0.5</v>
      </c>
      <c r="AX74" s="24"/>
      <c r="AY74" s="12">
        <v>0.5</v>
      </c>
      <c r="AZ74" s="24"/>
      <c r="BA74" s="12">
        <v>0.5</v>
      </c>
      <c r="BE74" s="24"/>
      <c r="BF74" s="24"/>
      <c r="BG74" s="24"/>
      <c r="BH74" s="24"/>
      <c r="BL74" s="24"/>
      <c r="BM74" s="24"/>
      <c r="BN74" s="24"/>
      <c r="BO74" s="24"/>
      <c r="BS74" s="24"/>
      <c r="BT74" s="24"/>
      <c r="BU74" s="24"/>
      <c r="BV74" s="24"/>
      <c r="BZ74" s="24"/>
      <c r="CA74" s="12">
        <v>0.5</v>
      </c>
      <c r="CB74" s="24"/>
      <c r="CC74" s="12">
        <v>0.5</v>
      </c>
      <c r="CG74" s="24"/>
      <c r="CH74" s="12">
        <v>0.8</v>
      </c>
      <c r="CI74" s="24"/>
      <c r="CJ74" s="12">
        <v>0.8</v>
      </c>
      <c r="CN74" s="24"/>
      <c r="CO74" s="12">
        <v>0.8</v>
      </c>
      <c r="CP74" s="24"/>
      <c r="CQ74" s="12">
        <v>0.8</v>
      </c>
      <c r="CU74" s="24"/>
      <c r="CV74" s="12">
        <v>1</v>
      </c>
      <c r="CW74" s="24"/>
      <c r="CX74" s="12">
        <v>1</v>
      </c>
      <c r="DB74" s="24"/>
      <c r="DC74" s="24"/>
      <c r="DD74" s="24"/>
      <c r="DE74" s="24"/>
      <c r="DI74" s="24"/>
      <c r="DJ74" s="24"/>
      <c r="DK74" s="24"/>
      <c r="DL74" s="24"/>
    </row>
    <row r="75" spans="2:116" s="22" customFormat="1" outlineLevel="1">
      <c r="B75" s="22" t="s">
        <v>27</v>
      </c>
      <c r="C75" t="s">
        <v>147</v>
      </c>
      <c r="E75" s="23"/>
      <c r="F75" s="22" t="s">
        <v>178</v>
      </c>
      <c r="G75" s="24">
        <v>0.05</v>
      </c>
      <c r="I75" s="23">
        <f t="shared" si="5"/>
        <v>0</v>
      </c>
      <c r="J75" s="25" cm="1">
        <f t="array" ref="J75">MAX(IF($N$3:$EH$3=$J$3,N75:EH75))</f>
        <v>0</v>
      </c>
      <c r="K75" s="25" cm="1">
        <f t="array" ref="K75">MAX(IF($N$3:$EH$3=$J$3,N75:EH75))</f>
        <v>0</v>
      </c>
      <c r="L75" s="23"/>
      <c r="N75" s="14">
        <f t="shared" si="8"/>
        <v>0</v>
      </c>
      <c r="O75" s="24"/>
      <c r="P75" s="24"/>
      <c r="Q75" s="24"/>
      <c r="R75" s="24"/>
      <c r="V75" s="24"/>
      <c r="W75" s="24"/>
      <c r="X75" s="24"/>
      <c r="Y75" s="24"/>
      <c r="AC75" s="24"/>
      <c r="AD75" s="24"/>
      <c r="AE75" s="24"/>
      <c r="AF75" s="24"/>
      <c r="AJ75" s="24"/>
      <c r="AK75" s="12"/>
      <c r="AL75" s="24"/>
      <c r="AM75" s="12"/>
      <c r="AQ75" s="24"/>
      <c r="AR75" s="12">
        <v>0.5</v>
      </c>
      <c r="AS75" s="24"/>
      <c r="AT75" s="12">
        <v>0.5</v>
      </c>
      <c r="AX75" s="24"/>
      <c r="AY75" s="12">
        <v>0.5</v>
      </c>
      <c r="AZ75" s="24"/>
      <c r="BA75" s="12">
        <v>0.5</v>
      </c>
      <c r="BE75" s="24"/>
      <c r="BF75" s="24"/>
      <c r="BG75" s="24"/>
      <c r="BH75" s="24"/>
      <c r="BL75" s="24"/>
      <c r="BM75" s="24"/>
      <c r="BN75" s="24"/>
      <c r="BO75" s="24"/>
      <c r="BS75" s="24"/>
      <c r="BT75" s="24"/>
      <c r="BU75" s="24"/>
      <c r="BV75" s="24"/>
      <c r="BZ75" s="24"/>
      <c r="CA75" s="12">
        <v>0.5</v>
      </c>
      <c r="CB75" s="24"/>
      <c r="CC75" s="12">
        <v>0.5</v>
      </c>
      <c r="CG75" s="24"/>
      <c r="CH75" s="12">
        <v>0.8</v>
      </c>
      <c r="CI75" s="24"/>
      <c r="CJ75" s="12">
        <v>0.8</v>
      </c>
      <c r="CN75" s="24"/>
      <c r="CO75" s="12">
        <v>0.8</v>
      </c>
      <c r="CP75" s="24"/>
      <c r="CQ75" s="12">
        <v>0.8</v>
      </c>
      <c r="CU75" s="24"/>
      <c r="CV75" s="12">
        <v>1</v>
      </c>
      <c r="CW75" s="24"/>
      <c r="CX75" s="12">
        <v>1</v>
      </c>
      <c r="DB75" s="24"/>
      <c r="DC75" s="24"/>
      <c r="DD75" s="24"/>
      <c r="DE75" s="24"/>
      <c r="DI75" s="24"/>
      <c r="DJ75" s="24"/>
      <c r="DK75" s="24"/>
      <c r="DL75" s="24"/>
    </row>
    <row r="76" spans="2:116" s="22" customFormat="1" outlineLevel="1">
      <c r="B76" s="22" t="s">
        <v>27</v>
      </c>
      <c r="C76" t="s">
        <v>145</v>
      </c>
      <c r="E76" s="23"/>
      <c r="F76" s="22" t="s">
        <v>179</v>
      </c>
      <c r="G76" s="24">
        <v>0.05</v>
      </c>
      <c r="I76" s="23">
        <f t="shared" si="5"/>
        <v>0</v>
      </c>
      <c r="J76" s="25" cm="1">
        <f t="array" ref="J76">MAX(IF($N$3:$EH$3=$J$3,N76:EH76))</f>
        <v>0</v>
      </c>
      <c r="K76" s="25" cm="1">
        <f t="array" ref="K76">MAX(IF($N$3:$EH$3=$J$3,N76:EH76))</f>
        <v>0</v>
      </c>
      <c r="L76" s="23"/>
      <c r="N76" s="14">
        <f t="shared" si="8"/>
        <v>0</v>
      </c>
      <c r="O76" s="24"/>
      <c r="P76" s="24"/>
      <c r="Q76" s="24"/>
      <c r="R76" s="24"/>
      <c r="V76" s="24"/>
      <c r="W76" s="24"/>
      <c r="X76" s="24"/>
      <c r="Y76" s="24"/>
      <c r="AC76" s="24"/>
      <c r="AD76" s="24"/>
      <c r="AE76" s="24"/>
      <c r="AF76" s="24"/>
      <c r="AJ76" s="24"/>
      <c r="AK76" s="24"/>
      <c r="AL76" s="24"/>
      <c r="AM76" s="24"/>
      <c r="AQ76" s="24"/>
      <c r="AR76" s="12"/>
      <c r="AS76" s="24"/>
      <c r="AT76" s="12"/>
      <c r="AX76" s="24"/>
      <c r="AY76" s="12">
        <v>0.5</v>
      </c>
      <c r="AZ76" s="24"/>
      <c r="BA76" s="12">
        <v>0.5</v>
      </c>
      <c r="BE76" s="24"/>
      <c r="BF76" s="24"/>
      <c r="BG76" s="24"/>
      <c r="BH76" s="24"/>
      <c r="BL76" s="24"/>
      <c r="BM76" s="24"/>
      <c r="BN76" s="24"/>
      <c r="BO76" s="24"/>
      <c r="BS76" s="24"/>
      <c r="BT76" s="24"/>
      <c r="BU76" s="24"/>
      <c r="BV76" s="24"/>
      <c r="BZ76" s="24"/>
      <c r="CA76" s="12">
        <v>0.5</v>
      </c>
      <c r="CB76" s="24"/>
      <c r="CC76" s="12">
        <v>0.5</v>
      </c>
      <c r="CG76" s="24"/>
      <c r="CH76" s="12">
        <v>0.5</v>
      </c>
      <c r="CI76" s="24"/>
      <c r="CJ76" s="12">
        <v>0.5</v>
      </c>
      <c r="CN76" s="24"/>
      <c r="CO76" s="12">
        <v>0.8</v>
      </c>
      <c r="CP76" s="24"/>
      <c r="CQ76" s="12">
        <v>0.8</v>
      </c>
      <c r="CU76" s="24"/>
      <c r="CV76" s="12">
        <v>1</v>
      </c>
      <c r="CW76" s="24"/>
      <c r="CX76" s="12">
        <v>1</v>
      </c>
      <c r="DB76" s="24"/>
      <c r="DC76" s="24"/>
      <c r="DD76" s="24"/>
      <c r="DE76" s="24"/>
      <c r="DI76" s="24"/>
      <c r="DJ76" s="24"/>
      <c r="DK76" s="24"/>
      <c r="DL76" s="24"/>
    </row>
    <row r="77" spans="2:116" s="22" customFormat="1" outlineLevel="1">
      <c r="B77" s="22" t="s">
        <v>27</v>
      </c>
      <c r="C77" t="s">
        <v>145</v>
      </c>
      <c r="E77" s="23"/>
      <c r="F77" s="22" t="s">
        <v>180</v>
      </c>
      <c r="G77" s="24">
        <v>0.05</v>
      </c>
      <c r="I77" s="23">
        <f t="shared" si="5"/>
        <v>0</v>
      </c>
      <c r="J77" s="25" cm="1">
        <f t="array" ref="J77">MAX(IF($N$3:$EH$3=$J$3,N77:EH77))</f>
        <v>0</v>
      </c>
      <c r="K77" s="25" cm="1">
        <f t="array" ref="K77">MAX(IF($N$3:$EH$3=$J$3,N77:EH77))</f>
        <v>0</v>
      </c>
      <c r="L77" s="23"/>
      <c r="N77" s="14">
        <f t="shared" si="8"/>
        <v>0</v>
      </c>
      <c r="O77" s="24"/>
      <c r="P77" s="24"/>
      <c r="Q77" s="24"/>
      <c r="R77" s="24"/>
      <c r="V77" s="24"/>
      <c r="W77" s="24"/>
      <c r="X77" s="24"/>
      <c r="Y77" s="24"/>
      <c r="AC77" s="24"/>
      <c r="AD77" s="24"/>
      <c r="AE77" s="24"/>
      <c r="AF77" s="24"/>
      <c r="AJ77" s="24"/>
      <c r="AK77" s="24"/>
      <c r="AL77" s="24"/>
      <c r="AM77" s="24"/>
      <c r="AQ77" s="24"/>
      <c r="AR77" s="12"/>
      <c r="AS77" s="24"/>
      <c r="AT77" s="12"/>
      <c r="AX77" s="24"/>
      <c r="AY77" s="12">
        <v>0.5</v>
      </c>
      <c r="AZ77" s="24"/>
      <c r="BA77" s="12">
        <v>0.5</v>
      </c>
      <c r="BE77" s="24"/>
      <c r="BF77" s="24"/>
      <c r="BG77" s="24"/>
      <c r="BH77" s="24"/>
      <c r="BL77" s="24"/>
      <c r="BM77" s="24"/>
      <c r="BN77" s="24"/>
      <c r="BO77" s="24"/>
      <c r="BS77" s="24"/>
      <c r="BT77" s="24"/>
      <c r="BU77" s="24"/>
      <c r="BV77" s="24"/>
      <c r="BZ77" s="24"/>
      <c r="CA77" s="12">
        <v>0.5</v>
      </c>
      <c r="CB77" s="24"/>
      <c r="CC77" s="12">
        <v>0.5</v>
      </c>
      <c r="CG77" s="24"/>
      <c r="CH77" s="12">
        <v>0.5</v>
      </c>
      <c r="CI77" s="24"/>
      <c r="CJ77" s="12">
        <v>0.5</v>
      </c>
      <c r="CN77" s="24"/>
      <c r="CO77" s="12">
        <v>0.8</v>
      </c>
      <c r="CP77" s="24"/>
      <c r="CQ77" s="12">
        <v>0.8</v>
      </c>
      <c r="CU77" s="24"/>
      <c r="CV77" s="12">
        <v>1</v>
      </c>
      <c r="CW77" s="24"/>
      <c r="CX77" s="12">
        <v>1</v>
      </c>
      <c r="DB77" s="24"/>
      <c r="DC77" s="24"/>
      <c r="DD77" s="24"/>
      <c r="DE77" s="24"/>
      <c r="DI77" s="24"/>
      <c r="DJ77" s="24"/>
      <c r="DK77" s="24"/>
      <c r="DL77" s="24"/>
    </row>
    <row r="78" spans="2:116" s="22" customFormat="1" outlineLevel="1">
      <c r="B78" s="22" t="s">
        <v>27</v>
      </c>
      <c r="C78" t="s">
        <v>145</v>
      </c>
      <c r="E78" s="23"/>
      <c r="F78" s="22" t="s">
        <v>181</v>
      </c>
      <c r="G78" s="24">
        <v>0.05</v>
      </c>
      <c r="I78" s="23">
        <f t="shared" si="5"/>
        <v>0</v>
      </c>
      <c r="J78" s="25" cm="1">
        <f t="array" ref="J78">MAX(IF($N$3:$EH$3=$J$3,N78:EH78))</f>
        <v>0</v>
      </c>
      <c r="K78" s="25" cm="1">
        <f t="array" ref="K78">MAX(IF($N$3:$EH$3=$J$3,N78:EH78))</f>
        <v>0</v>
      </c>
      <c r="L78" s="23"/>
      <c r="N78" s="14">
        <f t="shared" si="8"/>
        <v>0</v>
      </c>
      <c r="O78" s="24"/>
      <c r="P78" s="24"/>
      <c r="Q78" s="24"/>
      <c r="R78" s="24"/>
      <c r="V78" s="24"/>
      <c r="W78" s="24"/>
      <c r="X78" s="24"/>
      <c r="Y78" s="24"/>
      <c r="AC78" s="24"/>
      <c r="AD78" s="24"/>
      <c r="AE78" s="24"/>
      <c r="AF78" s="24"/>
      <c r="AJ78" s="24"/>
      <c r="AK78" s="24"/>
      <c r="AL78" s="24"/>
      <c r="AM78" s="24"/>
      <c r="AQ78" s="24"/>
      <c r="AR78" s="12"/>
      <c r="AS78" s="24"/>
      <c r="AT78" s="12"/>
      <c r="AX78" s="24"/>
      <c r="AY78" s="12"/>
      <c r="AZ78" s="24"/>
      <c r="BA78" s="12"/>
      <c r="BE78" s="24"/>
      <c r="BF78" s="24"/>
      <c r="BG78" s="24"/>
      <c r="BH78" s="24"/>
      <c r="BL78" s="24"/>
      <c r="BM78" s="24"/>
      <c r="BN78" s="24"/>
      <c r="BO78" s="24"/>
      <c r="BS78" s="24"/>
      <c r="BT78" s="24"/>
      <c r="BU78" s="24"/>
      <c r="BV78" s="24"/>
      <c r="BZ78" s="24"/>
      <c r="CA78" s="12">
        <v>0.5</v>
      </c>
      <c r="CB78" s="24"/>
      <c r="CC78" s="12">
        <v>0.5</v>
      </c>
      <c r="CG78" s="24"/>
      <c r="CH78" s="12">
        <v>0.5</v>
      </c>
      <c r="CI78" s="24"/>
      <c r="CJ78" s="12">
        <v>0.5</v>
      </c>
      <c r="CN78" s="24"/>
      <c r="CO78" s="12">
        <v>0.8</v>
      </c>
      <c r="CP78" s="24"/>
      <c r="CQ78" s="12">
        <v>0.8</v>
      </c>
      <c r="CU78" s="24"/>
      <c r="CV78" s="12">
        <v>1</v>
      </c>
      <c r="CW78" s="24"/>
      <c r="CX78" s="12">
        <v>1</v>
      </c>
      <c r="DB78" s="24"/>
      <c r="DC78" s="24"/>
      <c r="DD78" s="24"/>
      <c r="DE78" s="24"/>
      <c r="DI78" s="24"/>
      <c r="DJ78" s="24"/>
      <c r="DK78" s="24"/>
      <c r="DL78" s="24"/>
    </row>
    <row r="79" spans="2:116" outlineLevel="1">
      <c r="B79" t="s">
        <v>27</v>
      </c>
      <c r="C79" t="s">
        <v>145</v>
      </c>
      <c r="E79" s="11"/>
      <c r="F79" s="22" t="s">
        <v>182</v>
      </c>
      <c r="G79" s="24">
        <v>0.05</v>
      </c>
      <c r="I79" s="11">
        <f t="shared" si="5"/>
        <v>0</v>
      </c>
      <c r="J79" s="13" cm="1">
        <f t="array" ref="J79">MAX(IF($N$3:$EH$3=$J$3,N79:EH79))</f>
        <v>0</v>
      </c>
      <c r="K79" s="13" cm="1">
        <f t="array" ref="K79">MAX(IF($N$3:$EH$3=$J$3,N79:EH79))</f>
        <v>0</v>
      </c>
      <c r="L79" s="11"/>
      <c r="N79" s="14">
        <f t="shared" ref="N79" si="9">+SUM(N80:N95)</f>
        <v>0</v>
      </c>
      <c r="O79" s="12"/>
      <c r="P79" s="12"/>
      <c r="Q79" s="12"/>
      <c r="R79" s="12"/>
      <c r="V79" s="12"/>
      <c r="W79" s="12"/>
      <c r="X79" s="12"/>
      <c r="Y79" s="12"/>
      <c r="AC79" s="12"/>
      <c r="AD79" s="12"/>
      <c r="AE79" s="12"/>
      <c r="AF79" s="12"/>
      <c r="AJ79" s="12"/>
      <c r="AK79" s="12"/>
      <c r="AL79" s="12"/>
      <c r="AM79" s="12"/>
      <c r="AQ79" s="12"/>
      <c r="AR79" s="12"/>
      <c r="AS79" s="12"/>
      <c r="AT79" s="12"/>
      <c r="AX79" s="12"/>
      <c r="AY79" s="12"/>
      <c r="AZ79" s="12"/>
      <c r="BA79" s="12"/>
      <c r="BE79" s="12"/>
      <c r="BF79" s="12"/>
      <c r="BG79" s="12"/>
      <c r="BH79" s="12"/>
      <c r="BL79" s="12"/>
      <c r="BM79" s="12"/>
      <c r="BN79" s="12"/>
      <c r="BO79" s="12"/>
      <c r="BS79" s="12"/>
      <c r="BT79" s="12"/>
      <c r="BU79" s="12"/>
      <c r="BV79" s="12"/>
      <c r="BZ79" s="12"/>
      <c r="CA79" s="12">
        <v>0.5</v>
      </c>
      <c r="CB79" s="12"/>
      <c r="CC79" s="12">
        <v>0.5</v>
      </c>
      <c r="CG79" s="12"/>
      <c r="CH79" s="12">
        <v>0.5</v>
      </c>
      <c r="CI79" s="12"/>
      <c r="CJ79" s="12">
        <v>0.5</v>
      </c>
      <c r="CN79" s="12"/>
      <c r="CO79" s="12">
        <v>0.8</v>
      </c>
      <c r="CP79" s="12"/>
      <c r="CQ79" s="12">
        <v>0.8</v>
      </c>
      <c r="CU79" s="12"/>
      <c r="CV79" s="12">
        <v>1</v>
      </c>
      <c r="CW79" s="12"/>
      <c r="CX79" s="12">
        <v>1</v>
      </c>
      <c r="DB79" s="12"/>
      <c r="DC79" s="12"/>
      <c r="DD79" s="12"/>
      <c r="DE79" s="12"/>
      <c r="DI79" s="12"/>
      <c r="DJ79" s="12"/>
      <c r="DK79" s="12"/>
      <c r="DL79" s="12"/>
    </row>
    <row r="80" spans="2:116">
      <c r="N80" s="11"/>
    </row>
    <row r="81" spans="2:116">
      <c r="B81" s="3" t="s">
        <v>26</v>
      </c>
      <c r="C81" s="3" t="s">
        <v>91</v>
      </c>
      <c r="D81" s="30">
        <v>44853</v>
      </c>
      <c r="E81" s="11">
        <v>6</v>
      </c>
      <c r="G81" s="12">
        <f>+SUM(G82:G91)</f>
        <v>0.99999999999999989</v>
      </c>
      <c r="I81" s="14">
        <f>+SUM(I82:I91)</f>
        <v>0</v>
      </c>
      <c r="J81" s="28">
        <v>0</v>
      </c>
      <c r="K81" s="28">
        <v>0</v>
      </c>
      <c r="L81" s="11"/>
      <c r="N81" s="14">
        <f>+SUM(N82:N91)</f>
        <v>0</v>
      </c>
      <c r="U81" s="14"/>
      <c r="AB81" s="14"/>
      <c r="AI81" s="14"/>
      <c r="AP81" s="14"/>
    </row>
    <row r="82" spans="2:116" outlineLevel="1">
      <c r="B82" t="s">
        <v>27</v>
      </c>
      <c r="C82" t="s">
        <v>91</v>
      </c>
      <c r="E82" s="11"/>
      <c r="F82" t="s">
        <v>110</v>
      </c>
      <c r="G82" s="12">
        <v>0.1</v>
      </c>
      <c r="I82" s="11">
        <f t="shared" ref="I82:I91" si="10">+SUMIF($N$3:$ZZ$3,I$3,$N82:$ZZ82)</f>
        <v>0</v>
      </c>
      <c r="J82" s="27">
        <v>0</v>
      </c>
      <c r="K82" s="27">
        <v>0</v>
      </c>
      <c r="L82" s="11"/>
      <c r="N82" s="14">
        <f t="shared" ref="N82:N91" si="11">+SUM(N83:N92)</f>
        <v>0</v>
      </c>
      <c r="O82" s="12"/>
      <c r="P82" s="12">
        <v>0.5</v>
      </c>
      <c r="Q82" s="12"/>
      <c r="R82" s="12">
        <v>0.5</v>
      </c>
      <c r="V82" s="12"/>
      <c r="W82" s="12">
        <v>0.8</v>
      </c>
      <c r="X82" s="12"/>
      <c r="Y82" s="12">
        <v>0.8</v>
      </c>
      <c r="AC82" s="12"/>
      <c r="AD82" s="12">
        <v>0.8</v>
      </c>
      <c r="AE82" s="12"/>
      <c r="AF82" s="12">
        <v>0.8</v>
      </c>
      <c r="AJ82" s="12"/>
      <c r="AK82" s="12">
        <v>1</v>
      </c>
      <c r="AL82" s="12"/>
      <c r="AM82" s="12">
        <v>1</v>
      </c>
      <c r="AQ82" s="12"/>
      <c r="AR82" s="12">
        <v>1</v>
      </c>
      <c r="AS82" s="12"/>
      <c r="AT82" s="12">
        <v>1</v>
      </c>
      <c r="AX82" s="12"/>
      <c r="AY82" s="12">
        <v>1</v>
      </c>
      <c r="AZ82" s="12"/>
      <c r="BA82" s="12">
        <v>1</v>
      </c>
      <c r="BB82" s="12"/>
      <c r="BE82" s="12"/>
      <c r="BF82" s="12"/>
      <c r="BG82" s="12"/>
      <c r="BH82" s="12"/>
      <c r="BL82" s="12"/>
      <c r="BM82" s="12"/>
      <c r="BN82" s="12"/>
      <c r="BO82" s="12"/>
      <c r="BS82" s="12"/>
      <c r="BT82" s="12"/>
      <c r="BU82" s="12"/>
      <c r="BV82" s="12"/>
      <c r="BZ82" s="12"/>
      <c r="CA82" s="12"/>
      <c r="CB82" s="12"/>
      <c r="CC82" s="12"/>
      <c r="CG82" s="12"/>
      <c r="CH82" s="12"/>
      <c r="CI82" s="12"/>
      <c r="CJ82" s="12"/>
      <c r="CN82" s="12"/>
      <c r="CO82" s="12"/>
      <c r="CP82" s="12"/>
      <c r="CQ82" s="12"/>
      <c r="CU82" s="12"/>
      <c r="CV82" s="12"/>
      <c r="CW82" s="12"/>
      <c r="CX82" s="12"/>
      <c r="DB82" s="12"/>
      <c r="DC82" s="12"/>
      <c r="DD82" s="12"/>
      <c r="DE82" s="12"/>
      <c r="DI82" s="12"/>
      <c r="DJ82" s="12"/>
      <c r="DK82" s="12"/>
      <c r="DL82" s="12"/>
    </row>
    <row r="83" spans="2:116" outlineLevel="1">
      <c r="B83" t="s">
        <v>27</v>
      </c>
      <c r="C83" t="s">
        <v>91</v>
      </c>
      <c r="E83" s="11"/>
      <c r="F83" t="s">
        <v>125</v>
      </c>
      <c r="G83" s="12">
        <v>0.1</v>
      </c>
      <c r="I83" s="11">
        <f t="shared" si="10"/>
        <v>0</v>
      </c>
      <c r="J83" s="27">
        <v>0</v>
      </c>
      <c r="K83" s="27">
        <v>0</v>
      </c>
      <c r="L83" s="11"/>
      <c r="N83" s="14">
        <f t="shared" si="11"/>
        <v>0</v>
      </c>
      <c r="O83" s="12"/>
      <c r="P83" s="12">
        <v>0.5</v>
      </c>
      <c r="Q83" s="12"/>
      <c r="R83" s="12">
        <v>0.5</v>
      </c>
      <c r="V83" s="12"/>
      <c r="W83" s="12">
        <v>0.8</v>
      </c>
      <c r="X83" s="12"/>
      <c r="Y83" s="12">
        <v>0.8</v>
      </c>
      <c r="AC83" s="12"/>
      <c r="AD83" s="12">
        <v>0.8</v>
      </c>
      <c r="AE83" s="12"/>
      <c r="AF83" s="12">
        <v>0.8</v>
      </c>
      <c r="AJ83" s="12"/>
      <c r="AK83" s="12">
        <v>1</v>
      </c>
      <c r="AL83" s="12"/>
      <c r="AM83" s="12">
        <v>1</v>
      </c>
      <c r="AQ83" s="12"/>
      <c r="AR83" s="12">
        <v>1</v>
      </c>
      <c r="AS83" s="12"/>
      <c r="AT83" s="12">
        <v>1</v>
      </c>
      <c r="AX83" s="12"/>
      <c r="AY83" s="12">
        <v>1</v>
      </c>
      <c r="AZ83" s="12"/>
      <c r="BA83" s="12">
        <v>1</v>
      </c>
      <c r="BB83" s="12"/>
      <c r="BE83" s="12"/>
      <c r="BF83" s="12"/>
      <c r="BG83" s="12"/>
      <c r="BH83" s="12"/>
      <c r="BL83" s="12"/>
      <c r="BM83" s="12"/>
      <c r="BN83" s="12"/>
      <c r="BO83" s="12"/>
      <c r="BS83" s="12"/>
      <c r="BT83" s="12"/>
      <c r="BU83" s="12"/>
      <c r="BV83" s="12"/>
      <c r="BZ83" s="12"/>
      <c r="CA83" s="12"/>
      <c r="CB83" s="12"/>
      <c r="CC83" s="12"/>
      <c r="CG83" s="12"/>
      <c r="CH83" s="12"/>
      <c r="CI83" s="12"/>
      <c r="CJ83" s="12"/>
      <c r="CN83" s="12"/>
      <c r="CO83" s="12"/>
      <c r="CP83" s="12"/>
      <c r="CQ83" s="12"/>
      <c r="CU83" s="12"/>
      <c r="CV83" s="12"/>
      <c r="CW83" s="12"/>
      <c r="CX83" s="12"/>
      <c r="DB83" s="12"/>
      <c r="DC83" s="12"/>
      <c r="DD83" s="12"/>
      <c r="DE83" s="12"/>
      <c r="DI83" s="12"/>
      <c r="DJ83" s="12"/>
      <c r="DK83" s="12"/>
      <c r="DL83" s="12"/>
    </row>
    <row r="84" spans="2:116" outlineLevel="1">
      <c r="B84" t="s">
        <v>27</v>
      </c>
      <c r="C84" t="s">
        <v>91</v>
      </c>
      <c r="E84" s="11"/>
      <c r="F84" t="s">
        <v>126</v>
      </c>
      <c r="G84" s="12">
        <v>0.1</v>
      </c>
      <c r="I84" s="11">
        <f t="shared" si="10"/>
        <v>0</v>
      </c>
      <c r="J84" s="27">
        <v>0</v>
      </c>
      <c r="K84" s="27">
        <v>0</v>
      </c>
      <c r="L84" s="11"/>
      <c r="N84" s="14">
        <f t="shared" si="11"/>
        <v>0</v>
      </c>
      <c r="O84" s="12"/>
      <c r="P84" s="12">
        <v>0.5</v>
      </c>
      <c r="Q84" s="12"/>
      <c r="R84" s="12">
        <v>0.5</v>
      </c>
      <c r="V84" s="12"/>
      <c r="W84" s="12">
        <v>0.5</v>
      </c>
      <c r="X84" s="12"/>
      <c r="Y84" s="12">
        <v>0.5</v>
      </c>
      <c r="AC84" s="12"/>
      <c r="AD84" s="12">
        <v>0.8</v>
      </c>
      <c r="AE84" s="12"/>
      <c r="AF84" s="12">
        <v>0.8</v>
      </c>
      <c r="AJ84" s="12"/>
      <c r="AK84" s="12">
        <v>0.8</v>
      </c>
      <c r="AL84" s="12"/>
      <c r="AM84" s="12">
        <v>0.8</v>
      </c>
      <c r="AQ84" s="12"/>
      <c r="AR84" s="12">
        <v>1</v>
      </c>
      <c r="AS84" s="12"/>
      <c r="AT84" s="12">
        <v>1</v>
      </c>
      <c r="AX84" s="12"/>
      <c r="AY84" s="12">
        <v>1</v>
      </c>
      <c r="AZ84" s="12"/>
      <c r="BA84" s="12">
        <v>1</v>
      </c>
      <c r="BB84" s="12"/>
      <c r="BE84" s="12"/>
      <c r="BF84" s="12"/>
      <c r="BG84" s="12"/>
      <c r="BH84" s="12"/>
      <c r="BL84" s="12"/>
      <c r="BM84" s="12"/>
      <c r="BN84" s="12"/>
      <c r="BO84" s="12"/>
      <c r="BS84" s="12"/>
      <c r="BT84" s="12"/>
      <c r="BU84" s="12"/>
      <c r="BV84" s="12"/>
      <c r="BZ84" s="12"/>
      <c r="CA84" s="12"/>
      <c r="CB84" s="12"/>
      <c r="CC84" s="12"/>
      <c r="CG84" s="12"/>
      <c r="CH84" s="12"/>
      <c r="CI84" s="12"/>
      <c r="CJ84" s="12"/>
      <c r="CN84" s="12"/>
      <c r="CO84" s="12"/>
      <c r="CP84" s="12"/>
      <c r="CQ84" s="12"/>
      <c r="CU84" s="12"/>
      <c r="CV84" s="12"/>
      <c r="CW84" s="12"/>
      <c r="CX84" s="12"/>
      <c r="DB84" s="12"/>
      <c r="DC84" s="12"/>
      <c r="DD84" s="12"/>
      <c r="DE84" s="12"/>
      <c r="DI84" s="12"/>
      <c r="DJ84" s="12"/>
      <c r="DK84" s="12"/>
      <c r="DL84" s="12"/>
    </row>
    <row r="85" spans="2:116" outlineLevel="1">
      <c r="B85" t="s">
        <v>27</v>
      </c>
      <c r="C85" t="s">
        <v>91</v>
      </c>
      <c r="E85" s="11"/>
      <c r="F85" t="s">
        <v>127</v>
      </c>
      <c r="G85" s="12">
        <v>0.1</v>
      </c>
      <c r="I85" s="11">
        <f t="shared" si="10"/>
        <v>0</v>
      </c>
      <c r="J85" s="27">
        <v>0</v>
      </c>
      <c r="K85" s="27">
        <v>0</v>
      </c>
      <c r="L85" s="11"/>
      <c r="N85" s="14">
        <f t="shared" si="11"/>
        <v>0</v>
      </c>
      <c r="O85" s="12"/>
      <c r="P85" s="12">
        <v>0.5</v>
      </c>
      <c r="Q85" s="12"/>
      <c r="R85" s="12">
        <v>0.5</v>
      </c>
      <c r="V85" s="12"/>
      <c r="W85" s="12">
        <v>0.5</v>
      </c>
      <c r="X85" s="12"/>
      <c r="Y85" s="12">
        <v>0.5</v>
      </c>
      <c r="AC85" s="12"/>
      <c r="AD85" s="12">
        <v>0.8</v>
      </c>
      <c r="AE85" s="12"/>
      <c r="AF85" s="12">
        <v>0.8</v>
      </c>
      <c r="AJ85" s="12"/>
      <c r="AK85" s="12">
        <v>0.8</v>
      </c>
      <c r="AL85" s="12"/>
      <c r="AM85" s="12">
        <v>0.8</v>
      </c>
      <c r="AQ85" s="12"/>
      <c r="AR85" s="12">
        <v>1</v>
      </c>
      <c r="AS85" s="12"/>
      <c r="AT85" s="12">
        <v>1</v>
      </c>
      <c r="AX85" s="12"/>
      <c r="AY85" s="12">
        <v>1</v>
      </c>
      <c r="AZ85" s="12"/>
      <c r="BA85" s="12">
        <v>1</v>
      </c>
      <c r="BB85" s="12"/>
      <c r="BE85" s="12"/>
      <c r="BF85" s="12"/>
      <c r="BG85" s="12"/>
      <c r="BH85" s="12"/>
      <c r="BL85" s="12"/>
      <c r="BM85" s="12"/>
      <c r="BN85" s="12"/>
      <c r="BO85" s="12"/>
      <c r="BS85" s="12"/>
      <c r="BT85" s="12"/>
      <c r="BU85" s="12"/>
      <c r="BV85" s="12"/>
      <c r="BZ85" s="12"/>
      <c r="CA85" s="12"/>
      <c r="CB85" s="12"/>
      <c r="CC85" s="12"/>
      <c r="CG85" s="12"/>
      <c r="CH85" s="12"/>
      <c r="CI85" s="12"/>
      <c r="CJ85" s="12"/>
      <c r="CN85" s="12"/>
      <c r="CO85" s="12"/>
      <c r="CP85" s="12"/>
      <c r="CQ85" s="12"/>
      <c r="CU85" s="12"/>
      <c r="CV85" s="12"/>
      <c r="CW85" s="12"/>
      <c r="CX85" s="12"/>
      <c r="DB85" s="12"/>
      <c r="DC85" s="12"/>
      <c r="DD85" s="12"/>
      <c r="DE85" s="12"/>
      <c r="DI85" s="12"/>
      <c r="DJ85" s="12"/>
      <c r="DK85" s="12"/>
      <c r="DL85" s="12"/>
    </row>
    <row r="86" spans="2:116" outlineLevel="1">
      <c r="B86" t="s">
        <v>27</v>
      </c>
      <c r="C86" t="s">
        <v>91</v>
      </c>
      <c r="E86" s="11"/>
      <c r="F86" t="s">
        <v>128</v>
      </c>
      <c r="G86" s="12">
        <v>0.1</v>
      </c>
      <c r="I86" s="11">
        <f t="shared" si="10"/>
        <v>0</v>
      </c>
      <c r="J86" s="27">
        <v>0</v>
      </c>
      <c r="K86" s="27">
        <v>0</v>
      </c>
      <c r="L86" s="11"/>
      <c r="N86" s="14">
        <f t="shared" si="11"/>
        <v>0</v>
      </c>
      <c r="O86" s="12"/>
      <c r="P86" s="12">
        <v>0.5</v>
      </c>
      <c r="Q86" s="12"/>
      <c r="R86" s="12">
        <v>0.5</v>
      </c>
      <c r="V86" s="12"/>
      <c r="W86" s="12">
        <v>0.5</v>
      </c>
      <c r="X86" s="12"/>
      <c r="Y86" s="12">
        <v>0.5</v>
      </c>
      <c r="AC86" s="12"/>
      <c r="AD86" s="12">
        <v>0.8</v>
      </c>
      <c r="AE86" s="12"/>
      <c r="AF86" s="12">
        <v>0.8</v>
      </c>
      <c r="AJ86" s="12"/>
      <c r="AK86" s="12">
        <v>0.8</v>
      </c>
      <c r="AL86" s="12"/>
      <c r="AM86" s="12">
        <v>0.8</v>
      </c>
      <c r="AQ86" s="12"/>
      <c r="AR86" s="12">
        <v>1</v>
      </c>
      <c r="AS86" s="12"/>
      <c r="AT86" s="12">
        <v>1</v>
      </c>
      <c r="AX86" s="12"/>
      <c r="AY86" s="12">
        <v>1</v>
      </c>
      <c r="AZ86" s="12"/>
      <c r="BA86" s="12">
        <v>1</v>
      </c>
      <c r="BB86" s="12"/>
      <c r="BE86" s="12"/>
      <c r="BF86" s="12"/>
      <c r="BG86" s="12"/>
      <c r="BH86" s="12"/>
      <c r="BL86" s="12"/>
      <c r="BM86" s="12"/>
      <c r="BN86" s="12"/>
      <c r="BO86" s="12"/>
      <c r="BS86" s="12"/>
      <c r="BT86" s="12"/>
      <c r="BU86" s="12"/>
      <c r="BV86" s="12"/>
      <c r="BZ86" s="12"/>
      <c r="CA86" s="12"/>
      <c r="CB86" s="12"/>
      <c r="CC86" s="12"/>
      <c r="CG86" s="12"/>
      <c r="CH86" s="12"/>
      <c r="CI86" s="12"/>
      <c r="CJ86" s="12"/>
      <c r="CN86" s="12"/>
      <c r="CO86" s="12"/>
      <c r="CP86" s="12"/>
      <c r="CQ86" s="12"/>
      <c r="CU86" s="12"/>
      <c r="CV86" s="12"/>
      <c r="CW86" s="12"/>
      <c r="CX86" s="12"/>
      <c r="DB86" s="12"/>
      <c r="DC86" s="12"/>
      <c r="DD86" s="12"/>
      <c r="DE86" s="12"/>
      <c r="DI86" s="12"/>
      <c r="DJ86" s="12"/>
      <c r="DK86" s="12"/>
      <c r="DL86" s="12"/>
    </row>
    <row r="87" spans="2:116" outlineLevel="1">
      <c r="B87" t="s">
        <v>27</v>
      </c>
      <c r="C87" t="s">
        <v>91</v>
      </c>
      <c r="E87" s="11"/>
      <c r="F87" t="s">
        <v>129</v>
      </c>
      <c r="G87" s="12">
        <v>0.1</v>
      </c>
      <c r="I87" s="11">
        <f t="shared" si="10"/>
        <v>0</v>
      </c>
      <c r="J87" s="27">
        <v>0</v>
      </c>
      <c r="K87" s="27">
        <v>0</v>
      </c>
      <c r="L87" s="11"/>
      <c r="N87" s="14">
        <f t="shared" si="11"/>
        <v>0</v>
      </c>
      <c r="O87" s="12"/>
      <c r="P87" s="12"/>
      <c r="Q87" s="12"/>
      <c r="R87" s="12"/>
      <c r="V87" s="12"/>
      <c r="W87" s="12">
        <v>0.5</v>
      </c>
      <c r="X87" s="12"/>
      <c r="Y87" s="12">
        <v>0.5</v>
      </c>
      <c r="AC87" s="12"/>
      <c r="AD87" s="12">
        <v>0.5</v>
      </c>
      <c r="AE87" s="12"/>
      <c r="AF87" s="12">
        <v>0.5</v>
      </c>
      <c r="AJ87" s="12"/>
      <c r="AK87" s="12">
        <v>0.8</v>
      </c>
      <c r="AL87" s="12"/>
      <c r="AM87" s="12">
        <v>0.8</v>
      </c>
      <c r="AQ87" s="12"/>
      <c r="AR87" s="12">
        <v>0.8</v>
      </c>
      <c r="AS87" s="12"/>
      <c r="AT87" s="12">
        <v>0.8</v>
      </c>
      <c r="AX87" s="12"/>
      <c r="AY87" s="12">
        <v>1</v>
      </c>
      <c r="AZ87" s="12"/>
      <c r="BA87" s="12">
        <v>1</v>
      </c>
      <c r="BB87" s="12"/>
      <c r="BE87" s="12"/>
      <c r="BF87" s="12"/>
      <c r="BG87" s="12"/>
      <c r="BH87" s="12"/>
      <c r="BL87" s="12"/>
      <c r="BM87" s="12"/>
      <c r="BN87" s="12"/>
      <c r="BO87" s="12"/>
      <c r="BS87" s="12"/>
      <c r="BT87" s="12"/>
      <c r="BU87" s="12"/>
      <c r="BV87" s="12"/>
      <c r="BZ87" s="12"/>
      <c r="CA87" s="12"/>
      <c r="CB87" s="12"/>
      <c r="CC87" s="12"/>
      <c r="CG87" s="12"/>
      <c r="CH87" s="12"/>
      <c r="CI87" s="12"/>
      <c r="CJ87" s="12"/>
      <c r="CN87" s="12"/>
      <c r="CO87" s="12"/>
      <c r="CP87" s="12"/>
      <c r="CQ87" s="12"/>
      <c r="CU87" s="12"/>
      <c r="CV87" s="12"/>
      <c r="CW87" s="12"/>
      <c r="CX87" s="12"/>
      <c r="DB87" s="12"/>
      <c r="DC87" s="12"/>
      <c r="DD87" s="12"/>
      <c r="DE87" s="12"/>
      <c r="DI87" s="12"/>
      <c r="DJ87" s="12"/>
      <c r="DK87" s="12"/>
      <c r="DL87" s="12"/>
    </row>
    <row r="88" spans="2:116" outlineLevel="1">
      <c r="B88" t="s">
        <v>27</v>
      </c>
      <c r="C88" t="s">
        <v>91</v>
      </c>
      <c r="E88" s="11"/>
      <c r="F88" t="s">
        <v>131</v>
      </c>
      <c r="G88" s="12">
        <v>0.1</v>
      </c>
      <c r="I88" s="11">
        <f t="shared" si="10"/>
        <v>0</v>
      </c>
      <c r="J88" s="27">
        <v>0</v>
      </c>
      <c r="K88" s="27">
        <v>0</v>
      </c>
      <c r="L88" s="11"/>
      <c r="N88" s="14">
        <f t="shared" si="11"/>
        <v>0</v>
      </c>
      <c r="O88" s="12"/>
      <c r="P88" s="12"/>
      <c r="Q88" s="12"/>
      <c r="R88" s="12"/>
      <c r="V88" s="12"/>
      <c r="W88" s="12">
        <v>0.5</v>
      </c>
      <c r="X88" s="12"/>
      <c r="Y88" s="12">
        <v>0.5</v>
      </c>
      <c r="AC88" s="12"/>
      <c r="AD88" s="12">
        <v>0.5</v>
      </c>
      <c r="AE88" s="12"/>
      <c r="AF88" s="12">
        <v>0.5</v>
      </c>
      <c r="AJ88" s="12"/>
      <c r="AK88" s="12">
        <v>0.8</v>
      </c>
      <c r="AL88" s="12"/>
      <c r="AM88" s="12">
        <v>0.8</v>
      </c>
      <c r="AQ88" s="12"/>
      <c r="AR88" s="12">
        <v>0.8</v>
      </c>
      <c r="AS88" s="12"/>
      <c r="AT88" s="12">
        <v>0.8</v>
      </c>
      <c r="AX88" s="12"/>
      <c r="AY88" s="12">
        <v>1</v>
      </c>
      <c r="AZ88" s="12"/>
      <c r="BA88" s="12">
        <v>1</v>
      </c>
      <c r="BB88" s="12"/>
      <c r="BE88" s="12"/>
      <c r="BF88" s="12"/>
      <c r="BG88" s="12"/>
      <c r="BH88" s="12"/>
      <c r="BL88" s="12"/>
      <c r="BM88" s="12"/>
      <c r="BN88" s="12"/>
      <c r="BO88" s="12"/>
      <c r="BS88" s="12"/>
      <c r="BT88" s="12"/>
      <c r="BU88" s="12"/>
      <c r="BV88" s="12"/>
      <c r="BZ88" s="12"/>
      <c r="CA88" s="12"/>
      <c r="CB88" s="12"/>
      <c r="CC88" s="12"/>
      <c r="CG88" s="12"/>
      <c r="CH88" s="12"/>
      <c r="CI88" s="12"/>
      <c r="CJ88" s="12"/>
      <c r="CN88" s="12"/>
      <c r="CO88" s="12"/>
      <c r="CP88" s="12"/>
      <c r="CQ88" s="12"/>
      <c r="CU88" s="12"/>
      <c r="CV88" s="12"/>
      <c r="CW88" s="12"/>
      <c r="CX88" s="12"/>
      <c r="DB88" s="12"/>
      <c r="DC88" s="12"/>
      <c r="DD88" s="12"/>
      <c r="DE88" s="12"/>
      <c r="DI88" s="12"/>
      <c r="DJ88" s="12"/>
      <c r="DK88" s="12"/>
      <c r="DL88" s="12"/>
    </row>
    <row r="89" spans="2:116" outlineLevel="1">
      <c r="B89" t="s">
        <v>27</v>
      </c>
      <c r="C89" t="s">
        <v>91</v>
      </c>
      <c r="E89" s="11"/>
      <c r="F89" t="s">
        <v>130</v>
      </c>
      <c r="G89" s="12">
        <v>0.1</v>
      </c>
      <c r="I89" s="11">
        <f t="shared" si="10"/>
        <v>0</v>
      </c>
      <c r="J89" s="27">
        <v>0</v>
      </c>
      <c r="K89" s="27">
        <v>0</v>
      </c>
      <c r="L89" s="11"/>
      <c r="N89" s="14">
        <f t="shared" si="11"/>
        <v>0</v>
      </c>
      <c r="O89" s="12"/>
      <c r="P89" s="12"/>
      <c r="Q89" s="12"/>
      <c r="R89" s="12"/>
      <c r="V89" s="12"/>
      <c r="W89" s="12">
        <v>0.5</v>
      </c>
      <c r="X89" s="12"/>
      <c r="Y89" s="12">
        <v>0.5</v>
      </c>
      <c r="AC89" s="12"/>
      <c r="AD89" s="12">
        <v>0.5</v>
      </c>
      <c r="AE89" s="12"/>
      <c r="AF89" s="12">
        <v>0.5</v>
      </c>
      <c r="AJ89" s="12"/>
      <c r="AK89" s="12">
        <v>0.8</v>
      </c>
      <c r="AL89" s="12"/>
      <c r="AM89" s="12">
        <v>0.8</v>
      </c>
      <c r="AQ89" s="12"/>
      <c r="AR89" s="12">
        <v>0.8</v>
      </c>
      <c r="AS89" s="12"/>
      <c r="AT89" s="12">
        <v>0.8</v>
      </c>
      <c r="AX89" s="12"/>
      <c r="AY89" s="12">
        <v>1</v>
      </c>
      <c r="AZ89" s="12"/>
      <c r="BA89" s="12">
        <v>1</v>
      </c>
      <c r="BB89" s="12"/>
      <c r="BE89" s="12"/>
      <c r="BF89" s="12"/>
      <c r="BG89" s="12"/>
      <c r="BH89" s="12"/>
      <c r="BL89" s="12"/>
      <c r="BM89" s="12"/>
      <c r="BN89" s="12"/>
      <c r="BO89" s="12"/>
      <c r="BS89" s="12"/>
      <c r="BT89" s="12"/>
      <c r="BU89" s="12"/>
      <c r="BV89" s="12"/>
      <c r="BZ89" s="12"/>
      <c r="CA89" s="12"/>
      <c r="CB89" s="12"/>
      <c r="CC89" s="12"/>
      <c r="CG89" s="12"/>
      <c r="CH89" s="12"/>
      <c r="CI89" s="12"/>
      <c r="CJ89" s="12"/>
      <c r="CN89" s="12"/>
      <c r="CO89" s="12"/>
      <c r="CP89" s="12"/>
      <c r="CQ89" s="12"/>
      <c r="CU89" s="12"/>
      <c r="CV89" s="12"/>
      <c r="CW89" s="12"/>
      <c r="CX89" s="12"/>
      <c r="DB89" s="12"/>
      <c r="DC89" s="12"/>
      <c r="DD89" s="12"/>
      <c r="DE89" s="12"/>
      <c r="DI89" s="12"/>
      <c r="DJ89" s="12"/>
      <c r="DK89" s="12"/>
      <c r="DL89" s="12"/>
    </row>
    <row r="90" spans="2:116" outlineLevel="1">
      <c r="B90" t="s">
        <v>27</v>
      </c>
      <c r="C90" t="s">
        <v>91</v>
      </c>
      <c r="E90" s="11"/>
      <c r="F90" t="s">
        <v>124</v>
      </c>
      <c r="G90" s="12">
        <v>0.1</v>
      </c>
      <c r="I90" s="11">
        <f t="shared" si="10"/>
        <v>0</v>
      </c>
      <c r="J90" s="27">
        <v>0</v>
      </c>
      <c r="K90" s="27">
        <v>0</v>
      </c>
      <c r="L90" s="11"/>
      <c r="N90" s="14">
        <f t="shared" si="11"/>
        <v>0</v>
      </c>
      <c r="P90" s="12"/>
      <c r="Q90" s="12"/>
      <c r="R90" s="12"/>
      <c r="V90" s="12"/>
      <c r="W90" s="12"/>
      <c r="X90" s="12"/>
      <c r="Y90" s="12"/>
      <c r="AC90" s="12"/>
      <c r="AD90" s="12">
        <v>0.5</v>
      </c>
      <c r="AE90" s="12"/>
      <c r="AF90" s="12">
        <v>0.5</v>
      </c>
      <c r="AJ90" s="12"/>
      <c r="AK90" s="12">
        <v>0.5</v>
      </c>
      <c r="AL90" s="12"/>
      <c r="AM90" s="12">
        <v>0.5</v>
      </c>
      <c r="AQ90" s="12"/>
      <c r="AR90" s="12">
        <v>0.8</v>
      </c>
      <c r="AS90" s="12"/>
      <c r="AT90" s="12">
        <v>0.8</v>
      </c>
      <c r="AX90" s="12"/>
      <c r="AY90" s="12">
        <v>1</v>
      </c>
      <c r="AZ90" s="12"/>
      <c r="BA90" s="12">
        <v>1</v>
      </c>
      <c r="BB90" s="12"/>
      <c r="BE90" s="12"/>
      <c r="BF90" s="12"/>
      <c r="BG90" s="12"/>
      <c r="BH90" s="12"/>
      <c r="BL90" s="12"/>
      <c r="BM90" s="12"/>
      <c r="BN90" s="12"/>
      <c r="BO90" s="12"/>
      <c r="BS90" s="12"/>
      <c r="BT90" s="12"/>
      <c r="BU90" s="12"/>
      <c r="BV90" s="12"/>
      <c r="BZ90" s="12"/>
      <c r="CA90" s="12"/>
      <c r="CB90" s="12"/>
      <c r="CC90" s="12"/>
      <c r="CG90" s="12"/>
      <c r="CH90" s="12"/>
      <c r="CI90" s="12"/>
      <c r="CJ90" s="12"/>
      <c r="CN90" s="12"/>
      <c r="CO90" s="12"/>
      <c r="CP90" s="12"/>
      <c r="CQ90" s="12"/>
      <c r="CU90" s="12"/>
      <c r="CV90" s="12"/>
      <c r="CW90" s="12"/>
      <c r="CX90" s="12"/>
      <c r="DB90" s="12"/>
      <c r="DC90" s="12"/>
      <c r="DD90" s="12"/>
      <c r="DE90" s="12"/>
      <c r="DI90" s="12"/>
      <c r="DJ90" s="12"/>
      <c r="DK90" s="12"/>
      <c r="DL90" s="12"/>
    </row>
    <row r="91" spans="2:116" outlineLevel="1">
      <c r="B91" t="s">
        <v>27</v>
      </c>
      <c r="C91" t="s">
        <v>91</v>
      </c>
      <c r="E91" s="11"/>
      <c r="F91" t="s">
        <v>123</v>
      </c>
      <c r="G91" s="12">
        <v>0.1</v>
      </c>
      <c r="I91" s="11">
        <f t="shared" si="10"/>
        <v>0</v>
      </c>
      <c r="J91" s="27">
        <v>0</v>
      </c>
      <c r="K91" s="27">
        <v>0</v>
      </c>
      <c r="L91" s="11"/>
      <c r="N91" s="14">
        <f t="shared" si="11"/>
        <v>0</v>
      </c>
      <c r="O91" s="12"/>
      <c r="P91" s="12"/>
      <c r="Q91" s="12"/>
      <c r="R91" s="12"/>
      <c r="V91" s="12"/>
      <c r="W91" s="12"/>
      <c r="X91" s="12"/>
      <c r="Y91" s="12"/>
      <c r="AC91" s="12"/>
      <c r="AD91" s="12">
        <v>0.5</v>
      </c>
      <c r="AE91" s="12"/>
      <c r="AF91" s="12">
        <v>0.5</v>
      </c>
      <c r="AJ91" s="12"/>
      <c r="AK91" s="12">
        <v>0.5</v>
      </c>
      <c r="AL91" s="12"/>
      <c r="AM91" s="12">
        <v>0.5</v>
      </c>
      <c r="AQ91" s="12"/>
      <c r="AR91" s="12">
        <v>0.8</v>
      </c>
      <c r="AS91" s="12"/>
      <c r="AT91" s="12">
        <v>0.8</v>
      </c>
      <c r="AX91" s="12"/>
      <c r="AY91" s="12">
        <v>1</v>
      </c>
      <c r="AZ91" s="12"/>
      <c r="BA91" s="12">
        <v>1</v>
      </c>
      <c r="BB91" s="12"/>
      <c r="BE91" s="12"/>
      <c r="BF91" s="12"/>
      <c r="BG91" s="12"/>
      <c r="BH91" s="12"/>
      <c r="BL91" s="12"/>
      <c r="BM91" s="12"/>
      <c r="BN91" s="12"/>
      <c r="BO91" s="12"/>
      <c r="BS91" s="12"/>
      <c r="BT91" s="12"/>
      <c r="BU91" s="12"/>
      <c r="BV91" s="12"/>
      <c r="BZ91" s="12"/>
      <c r="CA91" s="12"/>
      <c r="CB91" s="12"/>
      <c r="CC91" s="12"/>
      <c r="CG91" s="12"/>
      <c r="CH91" s="12"/>
      <c r="CI91" s="12"/>
      <c r="CJ91" s="12"/>
      <c r="CN91" s="12"/>
      <c r="CO91" s="12"/>
      <c r="CP91" s="12"/>
      <c r="CQ91" s="12"/>
      <c r="CU91" s="12"/>
      <c r="CV91" s="12"/>
      <c r="CW91" s="12"/>
      <c r="CX91" s="12"/>
      <c r="DB91" s="12"/>
      <c r="DC91" s="12"/>
      <c r="DD91" s="12"/>
      <c r="DE91" s="12"/>
      <c r="DI91" s="12"/>
      <c r="DJ91" s="12"/>
      <c r="DK91" s="12"/>
      <c r="DL91" s="12"/>
    </row>
    <row r="92" spans="2:116">
      <c r="N92" s="11"/>
      <c r="AK92" s="12"/>
      <c r="AL92" s="12"/>
      <c r="AM92" s="12"/>
      <c r="AQ92" s="12"/>
      <c r="AR92" s="12"/>
      <c r="AS92" s="12"/>
      <c r="AT92" s="12"/>
      <c r="AX92" s="12"/>
      <c r="AY92" s="12"/>
      <c r="AZ92" s="12"/>
      <c r="BA92" s="12"/>
      <c r="BB92" s="12"/>
    </row>
    <row r="93" spans="2:116">
      <c r="AX93" s="12"/>
      <c r="AY93" s="12"/>
      <c r="AZ93" s="12"/>
      <c r="BA93" s="12"/>
      <c r="BB93" s="12"/>
    </row>
  </sheetData>
  <mergeCells count="17">
    <mergeCell ref="DH2:DM2"/>
    <mergeCell ref="DO2:DT2"/>
    <mergeCell ref="CT2:CY2"/>
    <mergeCell ref="DA2:DF2"/>
    <mergeCell ref="BK2:BP2"/>
    <mergeCell ref="BR2:BW2"/>
    <mergeCell ref="BY2:CD2"/>
    <mergeCell ref="CF2:CK2"/>
    <mergeCell ref="CM2:CR2"/>
    <mergeCell ref="I2:L2"/>
    <mergeCell ref="N2:S2"/>
    <mergeCell ref="BD2:BI2"/>
    <mergeCell ref="U2:Z2"/>
    <mergeCell ref="AB2:AG2"/>
    <mergeCell ref="AI2:AN2"/>
    <mergeCell ref="AP2:AU2"/>
    <mergeCell ref="AW2:BB2"/>
  </mergeCells>
  <conditionalFormatting sqref="BG56:BG59 BE56:BE59 BG82:BG91 BE82:BE91 BE79 AQ79 AS79 AC79 AE79 V79 X79 BG79 O79 Q79 AL79 AJ79 AJ43 AL43 Q37:Q43 O37:O43 X40:X43 V40:V43 AE42:AE43 AC42:AC43 CW42:CW43 DD33:DD43 DB33:DB43 DD12:DD14 DB12:DB14 O27:O28 Q27:Q28 BE20:BE28 BG20:BG28 BZ20:BZ28 CB20:CB28 CG20:CG28 CI20:CI28 CN20:CN28 CP20:CP28 DB20:DB28 DD20:DD28 BL20:BL28 BN20:BN28 BS20:BS28 BU20:BU28 DI20:DI28 DK20:DK28 O82:O88 O91 DD5:DD9 DB5:DB9 BN9 BL9 DK9 DI9 CU5:CX15">
    <cfRule type="expression" dxfId="805" priority="1496">
      <formula>OR(IF(O5&lt;P5,TRUE),IF(AND(P5="",O5&lt;&gt;""),TRUE))</formula>
    </cfRule>
    <cfRule type="expression" dxfId="804" priority="1497">
      <formula>IF(O5&gt;=P5,IF(O5="",FALSE,TRUE))</formula>
    </cfRule>
  </conditionalFormatting>
  <conditionalFormatting sqref="BE17 BG17">
    <cfRule type="expression" dxfId="799" priority="1331">
      <formula>OR(IF(BE17&lt;BF17,TRUE),IF(AND(BF17="",BE17&lt;&gt;""),TRUE))</formula>
    </cfRule>
    <cfRule type="expression" dxfId="798" priority="1332">
      <formula>IF(BE17&gt;=BF17,IF(BE17="",FALSE,TRUE))</formula>
    </cfRule>
  </conditionalFormatting>
  <conditionalFormatting sqref="AX17:AX30 AZ17:AZ29">
    <cfRule type="expression" dxfId="781" priority="1347">
      <formula>OR(IF(AX17&lt;AY17,TRUE),IF(AND(AY17="",AX17&lt;&gt;""),TRUE))</formula>
    </cfRule>
    <cfRule type="expression" dxfId="780" priority="1348">
      <formula>IF(AX17&gt;=AY17,IF(AX17="",FALSE,TRUE))</formula>
    </cfRule>
  </conditionalFormatting>
  <conditionalFormatting sqref="BE46:BE55">
    <cfRule type="expression" dxfId="769" priority="1176">
      <formula>OR(IF(BE46&lt;BF46,TRUE),IF(AND(BF46="",BE46&lt;&gt;""),TRUE))</formula>
    </cfRule>
    <cfRule type="expression" dxfId="768" priority="1177">
      <formula>IF(BE46&gt;=BF46,IF(BE46="",FALSE,TRUE))</formula>
    </cfRule>
  </conditionalFormatting>
  <conditionalFormatting sqref="BG46:BG55">
    <cfRule type="expression" dxfId="747" priority="1174">
      <formula>OR(IF(BG46&lt;BH46,TRUE),IF(AND(BH46="",BG46&lt;&gt;""),TRUE))</formula>
    </cfRule>
    <cfRule type="expression" dxfId="746" priority="1175">
      <formula>IF(BG46&gt;=BH46,IF(BG46="",FALSE,TRUE))</formula>
    </cfRule>
  </conditionalFormatting>
  <conditionalFormatting sqref="J55:K59 J79:K79">
    <cfRule type="colorScale" priority="1619">
      <colorScale>
        <cfvo type="percent" val="0"/>
        <cfvo type="percent" val="100"/>
        <color rgb="FFFF231B"/>
        <color rgb="FF10FF07"/>
      </colorScale>
    </cfRule>
  </conditionalFormatting>
  <conditionalFormatting sqref="J46:J59 J79">
    <cfRule type="colorScale" priority="1621">
      <colorScale>
        <cfvo type="percent" val="0"/>
        <cfvo type="percent" val="100"/>
        <color rgb="FFFF231B"/>
        <color rgb="FF10FF07"/>
      </colorScale>
    </cfRule>
  </conditionalFormatting>
  <conditionalFormatting sqref="K46:K59 K79">
    <cfRule type="colorScale" priority="1623">
      <colorScale>
        <cfvo type="percent" val="0"/>
        <cfvo type="percent" val="100"/>
        <color rgb="FFFF231B"/>
        <color rgb="FF10FF07"/>
      </colorScale>
    </cfRule>
  </conditionalFormatting>
  <conditionalFormatting sqref="CB82:CB91 BZ82:BZ91">
    <cfRule type="expression" dxfId="745" priority="1032">
      <formula>OR(IF(BZ82&lt;CA82,TRUE),IF(AND(CA82="",BZ82&lt;&gt;""),TRUE))</formula>
    </cfRule>
    <cfRule type="expression" dxfId="744" priority="1033">
      <formula>IF(BZ82&gt;=CA82,IF(BZ82="",FALSE,TRUE))</formula>
    </cfRule>
  </conditionalFormatting>
  <conditionalFormatting sqref="BZ17 CB17">
    <cfRule type="expression" dxfId="743" priority="1030">
      <formula>OR(IF(BZ17&lt;CA17,TRUE),IF(AND(CA17="",BZ17&lt;&gt;""),TRUE))</formula>
    </cfRule>
    <cfRule type="expression" dxfId="742" priority="1031">
      <formula>IF(BZ17&gt;=CA17,IF(BZ17="",FALSE,TRUE))</formula>
    </cfRule>
  </conditionalFormatting>
  <conditionalFormatting sqref="CI82:CI91 CG82:CG91">
    <cfRule type="expression" dxfId="737" priority="1012">
      <formula>OR(IF(CG82&lt;CH82,TRUE),IF(AND(CH82="",CG82&lt;&gt;""),TRUE))</formula>
    </cfRule>
    <cfRule type="expression" dxfId="736" priority="1013">
      <formula>IF(CG82&gt;=CH82,IF(CG82="",FALSE,TRUE))</formula>
    </cfRule>
  </conditionalFormatting>
  <conditionalFormatting sqref="CG17 CI17">
    <cfRule type="expression" dxfId="735" priority="1010">
      <formula>OR(IF(CG17&lt;CH17,TRUE),IF(AND(CH17="",CG17&lt;&gt;""),TRUE))</formula>
    </cfRule>
    <cfRule type="expression" dxfId="734" priority="1011">
      <formula>IF(CG17&gt;=CH17,IF(CG17="",FALSE,TRUE))</formula>
    </cfRule>
  </conditionalFormatting>
  <conditionalFormatting sqref="CP82:CP91 CN82:CN91">
    <cfRule type="expression" dxfId="729" priority="992">
      <formula>OR(IF(CN82&lt;CO82,TRUE),IF(AND(CO82="",CN82&lt;&gt;""),TRUE))</formula>
    </cfRule>
    <cfRule type="expression" dxfId="728" priority="993">
      <formula>IF(CN82&gt;=CO82,IF(CN82="",FALSE,TRUE))</formula>
    </cfRule>
  </conditionalFormatting>
  <conditionalFormatting sqref="CN17 CP17">
    <cfRule type="expression" dxfId="727" priority="990">
      <formula>OR(IF(CN17&lt;CO17,TRUE),IF(AND(CO17="",CN17&lt;&gt;""),TRUE))</formula>
    </cfRule>
    <cfRule type="expression" dxfId="726" priority="991">
      <formula>IF(CN17&gt;=CO17,IF(CN17="",FALSE,TRUE))</formula>
    </cfRule>
  </conditionalFormatting>
  <conditionalFormatting sqref="CW59 CU59 CW82:CW91 CU82:CU91 CU79 CW79">
    <cfRule type="expression" dxfId="721" priority="972">
      <formula>OR(IF(CU59&lt;CV59,TRUE),IF(AND(CV59="",CU59&lt;&gt;""),TRUE))</formula>
    </cfRule>
    <cfRule type="expression" dxfId="720" priority="973">
      <formula>IF(CU59&gt;=CV59,IF(CU59="",FALSE,TRUE))</formula>
    </cfRule>
  </conditionalFormatting>
  <conditionalFormatting sqref="DD56:DD59 DB56:DB59 DD82:DD91 DB82:DB91 DB79 DD79">
    <cfRule type="expression" dxfId="719" priority="952">
      <formula>OR(IF(DB56&lt;DC56,TRUE),IF(AND(DC56="",DB56&lt;&gt;""),TRUE))</formula>
    </cfRule>
    <cfRule type="expression" dxfId="718" priority="953">
      <formula>IF(DB56&gt;=DC56,IF(DB56="",FALSE,TRUE))</formula>
    </cfRule>
  </conditionalFormatting>
  <conditionalFormatting sqref="DB17 DD17">
    <cfRule type="expression" dxfId="717" priority="950">
      <formula>OR(IF(DB17&lt;DC17,TRUE),IF(AND(DC17="",DB17&lt;&gt;""),TRUE))</formula>
    </cfRule>
    <cfRule type="expression" dxfId="716" priority="951">
      <formula>IF(DB17&gt;=DC17,IF(DB17="",FALSE,TRUE))</formula>
    </cfRule>
  </conditionalFormatting>
  <conditionalFormatting sqref="DB31:DB32">
    <cfRule type="expression" dxfId="715" priority="948">
      <formula>OR(IF(DB31&lt;DC31,TRUE),IF(AND(DC31="",DB31&lt;&gt;""),TRUE))</formula>
    </cfRule>
    <cfRule type="expression" dxfId="714" priority="949">
      <formula>IF(DB31&gt;=DC31,IF(DB31="",FALSE,TRUE))</formula>
    </cfRule>
  </conditionalFormatting>
  <conditionalFormatting sqref="DD31:DD32">
    <cfRule type="expression" dxfId="713" priority="946">
      <formula>OR(IF(DD31&lt;DE31,TRUE),IF(AND(DE31="",DD31&lt;&gt;""),TRUE))</formula>
    </cfRule>
    <cfRule type="expression" dxfId="712" priority="947">
      <formula>IF(DD31&gt;=DE31,IF(DD31="",FALSE,TRUE))</formula>
    </cfRule>
  </conditionalFormatting>
  <conditionalFormatting sqref="DB46:DB55">
    <cfRule type="expression" dxfId="711" priority="940">
      <formula>OR(IF(DB46&lt;DC46,TRUE),IF(AND(DC46="",DB46&lt;&gt;""),TRUE))</formula>
    </cfRule>
    <cfRule type="expression" dxfId="710" priority="941">
      <formula>IF(DB46&gt;=DC46,IF(DB46="",FALSE,TRUE))</formula>
    </cfRule>
  </conditionalFormatting>
  <conditionalFormatting sqref="DD46:DD55">
    <cfRule type="expression" dxfId="709" priority="938">
      <formula>OR(IF(DD46&lt;DE46,TRUE),IF(AND(DE46="",DD46&lt;&gt;""),TRUE))</formula>
    </cfRule>
    <cfRule type="expression" dxfId="708" priority="939">
      <formula>IF(DD46&gt;=DE46,IF(DD46="",FALSE,TRUE))</formula>
    </cfRule>
  </conditionalFormatting>
  <conditionalFormatting sqref="BE18 BG18">
    <cfRule type="expression" dxfId="707" priority="918">
      <formula>OR(IF(BE18&lt;BF18,TRUE),IF(AND(BF18="",BE18&lt;&gt;""),TRUE))</formula>
    </cfRule>
    <cfRule type="expression" dxfId="706" priority="919">
      <formula>IF(BE18&gt;=BF18,IF(BE18="",FALSE,TRUE))</formula>
    </cfRule>
  </conditionalFormatting>
  <conditionalFormatting sqref="BZ18 CB18">
    <cfRule type="expression" dxfId="705" priority="909">
      <formula>OR(IF(BZ18&lt;CA18,TRUE),IF(AND(CA18="",BZ18&lt;&gt;""),TRUE))</formula>
    </cfRule>
    <cfRule type="expression" dxfId="704" priority="910">
      <formula>IF(BZ18&gt;=CA18,IF(BZ18="",FALSE,TRUE))</formula>
    </cfRule>
  </conditionalFormatting>
  <conditionalFormatting sqref="CG18 CI18">
    <cfRule type="expression" dxfId="703" priority="907">
      <formula>OR(IF(CG18&lt;CH18,TRUE),IF(AND(CH18="",CG18&lt;&gt;""),TRUE))</formula>
    </cfRule>
    <cfRule type="expression" dxfId="702" priority="908">
      <formula>IF(CG18&gt;=CH18,IF(CG18="",FALSE,TRUE))</formula>
    </cfRule>
  </conditionalFormatting>
  <conditionalFormatting sqref="CN18 CP18">
    <cfRule type="expression" dxfId="701" priority="905">
      <formula>OR(IF(CN18&lt;CO18,TRUE),IF(AND(CO18="",CN18&lt;&gt;""),TRUE))</formula>
    </cfRule>
    <cfRule type="expression" dxfId="700" priority="906">
      <formula>IF(CN18&gt;=CO18,IF(CN18="",FALSE,TRUE))</formula>
    </cfRule>
  </conditionalFormatting>
  <conditionalFormatting sqref="DB18 DD18">
    <cfRule type="expression" dxfId="699" priority="901">
      <formula>OR(IF(DB18&lt;DC18,TRUE),IF(AND(DC18="",DB18&lt;&gt;""),TRUE))</formula>
    </cfRule>
    <cfRule type="expression" dxfId="698" priority="902">
      <formula>IF(DB18&gt;=DC18,IF(DB18="",FALSE,TRUE))</formula>
    </cfRule>
  </conditionalFormatting>
  <conditionalFormatting sqref="BE19 BG19">
    <cfRule type="expression" dxfId="697" priority="887">
      <formula>OR(IF(BE19&lt;BF19,TRUE),IF(AND(BF19="",BE19&lt;&gt;""),TRUE))</formula>
    </cfRule>
    <cfRule type="expression" dxfId="696" priority="888">
      <formula>IF(BE19&gt;=BF19,IF(BE19="",FALSE,TRUE))</formula>
    </cfRule>
  </conditionalFormatting>
  <conditionalFormatting sqref="BZ19 CB19">
    <cfRule type="expression" dxfId="695" priority="878">
      <formula>OR(IF(BZ19&lt;CA19,TRUE),IF(AND(CA19="",BZ19&lt;&gt;""),TRUE))</formula>
    </cfRule>
    <cfRule type="expression" dxfId="694" priority="879">
      <formula>IF(BZ19&gt;=CA19,IF(BZ19="",FALSE,TRUE))</formula>
    </cfRule>
  </conditionalFormatting>
  <conditionalFormatting sqref="CG19 CI19">
    <cfRule type="expression" dxfId="693" priority="876">
      <formula>OR(IF(CG19&lt;CH19,TRUE),IF(AND(CH19="",CG19&lt;&gt;""),TRUE))</formula>
    </cfRule>
    <cfRule type="expression" dxfId="692" priority="877">
      <formula>IF(CG19&gt;=CH19,IF(CG19="",FALSE,TRUE))</formula>
    </cfRule>
  </conditionalFormatting>
  <conditionalFormatting sqref="CN19 CP19">
    <cfRule type="expression" dxfId="691" priority="874">
      <formula>OR(IF(CN19&lt;CO19,TRUE),IF(AND(CO19="",CN19&lt;&gt;""),TRUE))</formula>
    </cfRule>
    <cfRule type="expression" dxfId="690" priority="875">
      <formula>IF(CN19&gt;=CO19,IF(CN19="",FALSE,TRUE))</formula>
    </cfRule>
  </conditionalFormatting>
  <conditionalFormatting sqref="DB19 DD19">
    <cfRule type="expression" dxfId="689" priority="870">
      <formula>OR(IF(DB19&lt;DC19,TRUE),IF(AND(DC19="",DB19&lt;&gt;""),TRUE))</formula>
    </cfRule>
    <cfRule type="expression" dxfId="688" priority="871">
      <formula>IF(DB19&gt;=DC19,IF(DB19="",FALSE,TRUE))</formula>
    </cfRule>
  </conditionalFormatting>
  <conditionalFormatting sqref="J13:K14 J6:K8">
    <cfRule type="colorScale" priority="1756">
      <colorScale>
        <cfvo type="percent" val="0"/>
        <cfvo type="percent" val="100"/>
        <color rgb="FFFF231B"/>
        <color rgb="FF10FF07"/>
      </colorScale>
    </cfRule>
  </conditionalFormatting>
  <conditionalFormatting sqref="J13:J14 J5:J8">
    <cfRule type="colorScale" priority="1758">
      <colorScale>
        <cfvo type="percent" val="0"/>
        <cfvo type="percent" val="100"/>
        <color rgb="FFFF231B"/>
        <color rgb="FF10FF07"/>
      </colorScale>
    </cfRule>
  </conditionalFormatting>
  <conditionalFormatting sqref="K13:K14 K5:K8">
    <cfRule type="colorScale" priority="1760">
      <colorScale>
        <cfvo type="percent" val="0"/>
        <cfvo type="percent" val="100"/>
        <color rgb="FFFF231B"/>
        <color rgb="FF10FF07"/>
      </colorScale>
    </cfRule>
  </conditionalFormatting>
  <conditionalFormatting sqref="DD10 DB10">
    <cfRule type="expression" dxfId="687" priority="856">
      <formula>OR(IF(DB10&lt;DC10,TRUE),IF(AND(DC10="",DB10&lt;&gt;""),TRUE))</formula>
    </cfRule>
    <cfRule type="expression" dxfId="686" priority="857">
      <formula>IF(DB10&gt;=DC10,IF(DB10="",FALSE,TRUE))</formula>
    </cfRule>
  </conditionalFormatting>
  <conditionalFormatting sqref="J10:K10">
    <cfRule type="colorScale" priority="860">
      <colorScale>
        <cfvo type="percent" val="0"/>
        <cfvo type="percent" val="100"/>
        <color rgb="FFFF231B"/>
        <color rgb="FF10FF07"/>
      </colorScale>
    </cfRule>
  </conditionalFormatting>
  <conditionalFormatting sqref="J10">
    <cfRule type="colorScale" priority="861">
      <colorScale>
        <cfvo type="percent" val="0"/>
        <cfvo type="percent" val="100"/>
        <color rgb="FFFF231B"/>
        <color rgb="FF10FF07"/>
      </colorScale>
    </cfRule>
  </conditionalFormatting>
  <conditionalFormatting sqref="K10">
    <cfRule type="colorScale" priority="862">
      <colorScale>
        <cfvo type="percent" val="0"/>
        <cfvo type="percent" val="100"/>
        <color rgb="FFFF231B"/>
        <color rgb="FF10FF07"/>
      </colorScale>
    </cfRule>
  </conditionalFormatting>
  <conditionalFormatting sqref="DD11 DB11">
    <cfRule type="expression" dxfId="685" priority="849">
      <formula>OR(IF(DB11&lt;DC11,TRUE),IF(AND(DC11="",DB11&lt;&gt;""),TRUE))</formula>
    </cfRule>
    <cfRule type="expression" dxfId="684" priority="850">
      <formula>IF(DB11&gt;=DC11,IF(DB11="",FALSE,TRUE))</formula>
    </cfRule>
  </conditionalFormatting>
  <conditionalFormatting sqref="J11:K11">
    <cfRule type="colorScale" priority="853">
      <colorScale>
        <cfvo type="percent" val="0"/>
        <cfvo type="percent" val="100"/>
        <color rgb="FFFF231B"/>
        <color rgb="FF10FF07"/>
      </colorScale>
    </cfRule>
  </conditionalFormatting>
  <conditionalFormatting sqref="J11">
    <cfRule type="colorScale" priority="854">
      <colorScale>
        <cfvo type="percent" val="0"/>
        <cfvo type="percent" val="100"/>
        <color rgb="FFFF231B"/>
        <color rgb="FF10FF07"/>
      </colorScale>
    </cfRule>
  </conditionalFormatting>
  <conditionalFormatting sqref="K11">
    <cfRule type="colorScale" priority="855">
      <colorScale>
        <cfvo type="percent" val="0"/>
        <cfvo type="percent" val="100"/>
        <color rgb="FFFF231B"/>
        <color rgb="FF10FF07"/>
      </colorScale>
    </cfRule>
  </conditionalFormatting>
  <conditionalFormatting sqref="J12:K12">
    <cfRule type="colorScale" priority="846">
      <colorScale>
        <cfvo type="percent" val="0"/>
        <cfvo type="percent" val="100"/>
        <color rgb="FFFF231B"/>
        <color rgb="FF10FF07"/>
      </colorScale>
    </cfRule>
  </conditionalFormatting>
  <conditionalFormatting sqref="J12">
    <cfRule type="colorScale" priority="847">
      <colorScale>
        <cfvo type="percent" val="0"/>
        <cfvo type="percent" val="100"/>
        <color rgb="FFFF231B"/>
        <color rgb="FF10FF07"/>
      </colorScale>
    </cfRule>
  </conditionalFormatting>
  <conditionalFormatting sqref="K12">
    <cfRule type="colorScale" priority="848">
      <colorScale>
        <cfvo type="percent" val="0"/>
        <cfvo type="percent" val="100"/>
        <color rgb="FFFF231B"/>
        <color rgb="FF10FF07"/>
      </colorScale>
    </cfRule>
  </conditionalFormatting>
  <conditionalFormatting sqref="BE60 BG60">
    <cfRule type="expression" dxfId="679" priority="819">
      <formula>OR(IF(BE60&lt;BF60,TRUE),IF(AND(BF60="",BE60&lt;&gt;""),TRUE))</formula>
    </cfRule>
    <cfRule type="expression" dxfId="678" priority="820">
      <formula>IF(BE60&gt;=BF60,IF(BE60="",FALSE,TRUE))</formula>
    </cfRule>
  </conditionalFormatting>
  <conditionalFormatting sqref="J60:K60">
    <cfRule type="colorScale" priority="821">
      <colorScale>
        <cfvo type="percent" val="0"/>
        <cfvo type="percent" val="100"/>
        <color rgb="FFFF231B"/>
        <color rgb="FF10FF07"/>
      </colorScale>
    </cfRule>
  </conditionalFormatting>
  <conditionalFormatting sqref="J60">
    <cfRule type="colorScale" priority="822">
      <colorScale>
        <cfvo type="percent" val="0"/>
        <cfvo type="percent" val="100"/>
        <color rgb="FFFF231B"/>
        <color rgb="FF10FF07"/>
      </colorScale>
    </cfRule>
  </conditionalFormatting>
  <conditionalFormatting sqref="K60">
    <cfRule type="colorScale" priority="823">
      <colorScale>
        <cfvo type="percent" val="0"/>
        <cfvo type="percent" val="100"/>
        <color rgb="FFFF231B"/>
        <color rgb="FF10FF07"/>
      </colorScale>
    </cfRule>
  </conditionalFormatting>
  <conditionalFormatting sqref="CU60 CW60">
    <cfRule type="expression" dxfId="671" priority="809">
      <formula>OR(IF(CU60&lt;CV60,TRUE),IF(AND(CV60="",CU60&lt;&gt;""),TRUE))</formula>
    </cfRule>
    <cfRule type="expression" dxfId="670" priority="810">
      <formula>IF(CU60&gt;=CV60,IF(CU60="",FALSE,TRUE))</formula>
    </cfRule>
  </conditionalFormatting>
  <conditionalFormatting sqref="DB60 DD60">
    <cfRule type="expression" dxfId="669" priority="807">
      <formula>OR(IF(DB60&lt;DC60,TRUE),IF(AND(DC60="",DB60&lt;&gt;""),TRUE))</formula>
    </cfRule>
    <cfRule type="expression" dxfId="668" priority="808">
      <formula>IF(DB60&gt;=DC60,IF(DB60="",FALSE,TRUE))</formula>
    </cfRule>
  </conditionalFormatting>
  <conditionalFormatting sqref="BE61 BG61">
    <cfRule type="expression" dxfId="667" priority="802">
      <formula>OR(IF(BE61&lt;BF61,TRUE),IF(AND(BF61="",BE61&lt;&gt;""),TRUE))</formula>
    </cfRule>
    <cfRule type="expression" dxfId="666" priority="803">
      <formula>IF(BE61&gt;=BF61,IF(BE61="",FALSE,TRUE))</formula>
    </cfRule>
  </conditionalFormatting>
  <conditionalFormatting sqref="J61:K61">
    <cfRule type="colorScale" priority="804">
      <colorScale>
        <cfvo type="percent" val="0"/>
        <cfvo type="percent" val="100"/>
        <color rgb="FFFF231B"/>
        <color rgb="FF10FF07"/>
      </colorScale>
    </cfRule>
  </conditionalFormatting>
  <conditionalFormatting sqref="J61">
    <cfRule type="colorScale" priority="805">
      <colorScale>
        <cfvo type="percent" val="0"/>
        <cfvo type="percent" val="100"/>
        <color rgb="FFFF231B"/>
        <color rgb="FF10FF07"/>
      </colorScale>
    </cfRule>
  </conditionalFormatting>
  <conditionalFormatting sqref="K61">
    <cfRule type="colorScale" priority="806">
      <colorScale>
        <cfvo type="percent" val="0"/>
        <cfvo type="percent" val="100"/>
        <color rgb="FFFF231B"/>
        <color rgb="FF10FF07"/>
      </colorScale>
    </cfRule>
  </conditionalFormatting>
  <conditionalFormatting sqref="CU61 CW61">
    <cfRule type="expression" dxfId="659" priority="792">
      <formula>OR(IF(CU61&lt;CV61,TRUE),IF(AND(CV61="",CU61&lt;&gt;""),TRUE))</formula>
    </cfRule>
    <cfRule type="expression" dxfId="658" priority="793">
      <formula>IF(CU61&gt;=CV61,IF(CU61="",FALSE,TRUE))</formula>
    </cfRule>
  </conditionalFormatting>
  <conditionalFormatting sqref="DB61 DD61">
    <cfRule type="expression" dxfId="657" priority="790">
      <formula>OR(IF(DB61&lt;DC61,TRUE),IF(AND(DC61="",DB61&lt;&gt;""),TRUE))</formula>
    </cfRule>
    <cfRule type="expression" dxfId="656" priority="791">
      <formula>IF(DB61&gt;=DC61,IF(DB61="",FALSE,TRUE))</formula>
    </cfRule>
  </conditionalFormatting>
  <conditionalFormatting sqref="BE62 BG62 O62 Q62">
    <cfRule type="expression" dxfId="655" priority="785">
      <formula>OR(IF(O62&lt;P62,TRUE),IF(AND(P62="",O62&lt;&gt;""),TRUE))</formula>
    </cfRule>
    <cfRule type="expression" dxfId="654" priority="786">
      <formula>IF(O62&gt;=P62,IF(O62="",FALSE,TRUE))</formula>
    </cfRule>
  </conditionalFormatting>
  <conditionalFormatting sqref="J62:K62">
    <cfRule type="colorScale" priority="787">
      <colorScale>
        <cfvo type="percent" val="0"/>
        <cfvo type="percent" val="100"/>
        <color rgb="FFFF231B"/>
        <color rgb="FF10FF07"/>
      </colorScale>
    </cfRule>
  </conditionalFormatting>
  <conditionalFormatting sqref="J62">
    <cfRule type="colorScale" priority="788">
      <colorScale>
        <cfvo type="percent" val="0"/>
        <cfvo type="percent" val="100"/>
        <color rgb="FFFF231B"/>
        <color rgb="FF10FF07"/>
      </colorScale>
    </cfRule>
  </conditionalFormatting>
  <conditionalFormatting sqref="K62">
    <cfRule type="colorScale" priority="789">
      <colorScale>
        <cfvo type="percent" val="0"/>
        <cfvo type="percent" val="100"/>
        <color rgb="FFFF231B"/>
        <color rgb="FF10FF07"/>
      </colorScale>
    </cfRule>
  </conditionalFormatting>
  <conditionalFormatting sqref="CU62 CW62">
    <cfRule type="expression" dxfId="647" priority="775">
      <formula>OR(IF(CU62&lt;CV62,TRUE),IF(AND(CV62="",CU62&lt;&gt;""),TRUE))</formula>
    </cfRule>
    <cfRule type="expression" dxfId="646" priority="776">
      <formula>IF(CU62&gt;=CV62,IF(CU62="",FALSE,TRUE))</formula>
    </cfRule>
  </conditionalFormatting>
  <conditionalFormatting sqref="DB62 DD62">
    <cfRule type="expression" dxfId="645" priority="773">
      <formula>OR(IF(DB62&lt;DC62,TRUE),IF(AND(DC62="",DB62&lt;&gt;""),TRUE))</formula>
    </cfRule>
    <cfRule type="expression" dxfId="644" priority="774">
      <formula>IF(DB62&gt;=DC62,IF(DB62="",FALSE,TRUE))</formula>
    </cfRule>
  </conditionalFormatting>
  <conditionalFormatting sqref="BE63 BG63 O63 Q63">
    <cfRule type="expression" dxfId="643" priority="768">
      <formula>OR(IF(O63&lt;P63,TRUE),IF(AND(P63="",O63&lt;&gt;""),TRUE))</formula>
    </cfRule>
    <cfRule type="expression" dxfId="642" priority="769">
      <formula>IF(O63&gt;=P63,IF(O63="",FALSE,TRUE))</formula>
    </cfRule>
  </conditionalFormatting>
  <conditionalFormatting sqref="J63:K63">
    <cfRule type="colorScale" priority="770">
      <colorScale>
        <cfvo type="percent" val="0"/>
        <cfvo type="percent" val="100"/>
        <color rgb="FFFF231B"/>
        <color rgb="FF10FF07"/>
      </colorScale>
    </cfRule>
  </conditionalFormatting>
  <conditionalFormatting sqref="J63">
    <cfRule type="colorScale" priority="771">
      <colorScale>
        <cfvo type="percent" val="0"/>
        <cfvo type="percent" val="100"/>
        <color rgb="FFFF231B"/>
        <color rgb="FF10FF07"/>
      </colorScale>
    </cfRule>
  </conditionalFormatting>
  <conditionalFormatting sqref="K63">
    <cfRule type="colorScale" priority="772">
      <colorScale>
        <cfvo type="percent" val="0"/>
        <cfvo type="percent" val="100"/>
        <color rgb="FFFF231B"/>
        <color rgb="FF10FF07"/>
      </colorScale>
    </cfRule>
  </conditionalFormatting>
  <conditionalFormatting sqref="CU63 CW63">
    <cfRule type="expression" dxfId="635" priority="758">
      <formula>OR(IF(CU63&lt;CV63,TRUE),IF(AND(CV63="",CU63&lt;&gt;""),TRUE))</formula>
    </cfRule>
    <cfRule type="expression" dxfId="634" priority="759">
      <formula>IF(CU63&gt;=CV63,IF(CU63="",FALSE,TRUE))</formula>
    </cfRule>
  </conditionalFormatting>
  <conditionalFormatting sqref="DB63 DD63">
    <cfRule type="expression" dxfId="633" priority="756">
      <formula>OR(IF(DB63&lt;DC63,TRUE),IF(AND(DC63="",DB63&lt;&gt;""),TRUE))</formula>
    </cfRule>
    <cfRule type="expression" dxfId="632" priority="757">
      <formula>IF(DB63&gt;=DC63,IF(DB63="",FALSE,TRUE))</formula>
    </cfRule>
  </conditionalFormatting>
  <conditionalFormatting sqref="BE64 BG64 O64 Q64">
    <cfRule type="expression" dxfId="631" priority="751">
      <formula>OR(IF(O64&lt;P64,TRUE),IF(AND(P64="",O64&lt;&gt;""),TRUE))</formula>
    </cfRule>
    <cfRule type="expression" dxfId="630" priority="752">
      <formula>IF(O64&gt;=P64,IF(O64="",FALSE,TRUE))</formula>
    </cfRule>
  </conditionalFormatting>
  <conditionalFormatting sqref="J64:K64">
    <cfRule type="colorScale" priority="753">
      <colorScale>
        <cfvo type="percent" val="0"/>
        <cfvo type="percent" val="100"/>
        <color rgb="FFFF231B"/>
        <color rgb="FF10FF07"/>
      </colorScale>
    </cfRule>
  </conditionalFormatting>
  <conditionalFormatting sqref="J64">
    <cfRule type="colorScale" priority="754">
      <colorScale>
        <cfvo type="percent" val="0"/>
        <cfvo type="percent" val="100"/>
        <color rgb="FFFF231B"/>
        <color rgb="FF10FF07"/>
      </colorScale>
    </cfRule>
  </conditionalFormatting>
  <conditionalFormatting sqref="K64">
    <cfRule type="colorScale" priority="755">
      <colorScale>
        <cfvo type="percent" val="0"/>
        <cfvo type="percent" val="100"/>
        <color rgb="FFFF231B"/>
        <color rgb="FF10FF07"/>
      </colorScale>
    </cfRule>
  </conditionalFormatting>
  <conditionalFormatting sqref="CU64 CW64">
    <cfRule type="expression" dxfId="623" priority="741">
      <formula>OR(IF(CU64&lt;CV64,TRUE),IF(AND(CV64="",CU64&lt;&gt;""),TRUE))</formula>
    </cfRule>
    <cfRule type="expression" dxfId="622" priority="742">
      <formula>IF(CU64&gt;=CV64,IF(CU64="",FALSE,TRUE))</formula>
    </cfRule>
  </conditionalFormatting>
  <conditionalFormatting sqref="DB64 DD64">
    <cfRule type="expression" dxfId="621" priority="739">
      <formula>OR(IF(DB64&lt;DC64,TRUE),IF(AND(DC64="",DB64&lt;&gt;""),TRUE))</formula>
    </cfRule>
    <cfRule type="expression" dxfId="620" priority="740">
      <formula>IF(DB64&gt;=DC64,IF(DB64="",FALSE,TRUE))</formula>
    </cfRule>
  </conditionalFormatting>
  <conditionalFormatting sqref="BE65 BG65 O65 Q65">
    <cfRule type="expression" dxfId="619" priority="734">
      <formula>OR(IF(O65&lt;P65,TRUE),IF(AND(P65="",O65&lt;&gt;""),TRUE))</formula>
    </cfRule>
    <cfRule type="expression" dxfId="618" priority="735">
      <formula>IF(O65&gt;=P65,IF(O65="",FALSE,TRUE))</formula>
    </cfRule>
  </conditionalFormatting>
  <conditionalFormatting sqref="J65:K65">
    <cfRule type="colorScale" priority="736">
      <colorScale>
        <cfvo type="percent" val="0"/>
        <cfvo type="percent" val="100"/>
        <color rgb="FFFF231B"/>
        <color rgb="FF10FF07"/>
      </colorScale>
    </cfRule>
  </conditionalFormatting>
  <conditionalFormatting sqref="J65">
    <cfRule type="colorScale" priority="737">
      <colorScale>
        <cfvo type="percent" val="0"/>
        <cfvo type="percent" val="100"/>
        <color rgb="FFFF231B"/>
        <color rgb="FF10FF07"/>
      </colorScale>
    </cfRule>
  </conditionalFormatting>
  <conditionalFormatting sqref="K65">
    <cfRule type="colorScale" priority="738">
      <colorScale>
        <cfvo type="percent" val="0"/>
        <cfvo type="percent" val="100"/>
        <color rgb="FFFF231B"/>
        <color rgb="FF10FF07"/>
      </colorScale>
    </cfRule>
  </conditionalFormatting>
  <conditionalFormatting sqref="CU65 CW65">
    <cfRule type="expression" dxfId="611" priority="724">
      <formula>OR(IF(CU65&lt;CV65,TRUE),IF(AND(CV65="",CU65&lt;&gt;""),TRUE))</formula>
    </cfRule>
    <cfRule type="expression" dxfId="610" priority="725">
      <formula>IF(CU65&gt;=CV65,IF(CU65="",FALSE,TRUE))</formula>
    </cfRule>
  </conditionalFormatting>
  <conditionalFormatting sqref="DB65 DD65">
    <cfRule type="expression" dxfId="609" priority="722">
      <formula>OR(IF(DB65&lt;DC65,TRUE),IF(AND(DC65="",DB65&lt;&gt;""),TRUE))</formula>
    </cfRule>
    <cfRule type="expression" dxfId="608" priority="723">
      <formula>IF(DB65&gt;=DC65,IF(DB65="",FALSE,TRUE))</formula>
    </cfRule>
  </conditionalFormatting>
  <conditionalFormatting sqref="BE66 BG66 O66 Q66">
    <cfRule type="expression" dxfId="607" priority="717">
      <formula>OR(IF(O66&lt;P66,TRUE),IF(AND(P66="",O66&lt;&gt;""),TRUE))</formula>
    </cfRule>
    <cfRule type="expression" dxfId="606" priority="718">
      <formula>IF(O66&gt;=P66,IF(O66="",FALSE,TRUE))</formula>
    </cfRule>
  </conditionalFormatting>
  <conditionalFormatting sqref="J66:K66">
    <cfRule type="colorScale" priority="719">
      <colorScale>
        <cfvo type="percent" val="0"/>
        <cfvo type="percent" val="100"/>
        <color rgb="FFFF231B"/>
        <color rgb="FF10FF07"/>
      </colorScale>
    </cfRule>
  </conditionalFormatting>
  <conditionalFormatting sqref="J66">
    <cfRule type="colorScale" priority="720">
      <colorScale>
        <cfvo type="percent" val="0"/>
        <cfvo type="percent" val="100"/>
        <color rgb="FFFF231B"/>
        <color rgb="FF10FF07"/>
      </colorScale>
    </cfRule>
  </conditionalFormatting>
  <conditionalFormatting sqref="K66">
    <cfRule type="colorScale" priority="721">
      <colorScale>
        <cfvo type="percent" val="0"/>
        <cfvo type="percent" val="100"/>
        <color rgb="FFFF231B"/>
        <color rgb="FF10FF07"/>
      </colorScale>
    </cfRule>
  </conditionalFormatting>
  <conditionalFormatting sqref="CU66 CW66">
    <cfRule type="expression" dxfId="599" priority="707">
      <formula>OR(IF(CU66&lt;CV66,TRUE),IF(AND(CV66="",CU66&lt;&gt;""),TRUE))</formula>
    </cfRule>
    <cfRule type="expression" dxfId="598" priority="708">
      <formula>IF(CU66&gt;=CV66,IF(CU66="",FALSE,TRUE))</formula>
    </cfRule>
  </conditionalFormatting>
  <conditionalFormatting sqref="DB66 DD66">
    <cfRule type="expression" dxfId="597" priority="705">
      <formula>OR(IF(DB66&lt;DC66,TRUE),IF(AND(DC66="",DB66&lt;&gt;""),TRUE))</formula>
    </cfRule>
    <cfRule type="expression" dxfId="596" priority="706">
      <formula>IF(DB66&gt;=DC66,IF(DB66="",FALSE,TRUE))</formula>
    </cfRule>
  </conditionalFormatting>
  <conditionalFormatting sqref="BE67 V67 X67 BG67 O67 Q67">
    <cfRule type="expression" dxfId="595" priority="700">
      <formula>OR(IF(O67&lt;P67,TRUE),IF(AND(P67="",O67&lt;&gt;""),TRUE))</formula>
    </cfRule>
    <cfRule type="expression" dxfId="594" priority="701">
      <formula>IF(O67&gt;=P67,IF(O67="",FALSE,TRUE))</formula>
    </cfRule>
  </conditionalFormatting>
  <conditionalFormatting sqref="J67:K67">
    <cfRule type="colorScale" priority="702">
      <colorScale>
        <cfvo type="percent" val="0"/>
        <cfvo type="percent" val="100"/>
        <color rgb="FFFF231B"/>
        <color rgb="FF10FF07"/>
      </colorScale>
    </cfRule>
  </conditionalFormatting>
  <conditionalFormatting sqref="J67">
    <cfRule type="colorScale" priority="703">
      <colorScale>
        <cfvo type="percent" val="0"/>
        <cfvo type="percent" val="100"/>
        <color rgb="FFFF231B"/>
        <color rgb="FF10FF07"/>
      </colorScale>
    </cfRule>
  </conditionalFormatting>
  <conditionalFormatting sqref="K67">
    <cfRule type="colorScale" priority="704">
      <colorScale>
        <cfvo type="percent" val="0"/>
        <cfvo type="percent" val="100"/>
        <color rgb="FFFF231B"/>
        <color rgb="FF10FF07"/>
      </colorScale>
    </cfRule>
  </conditionalFormatting>
  <conditionalFormatting sqref="CU67 CW67">
    <cfRule type="expression" dxfId="587" priority="690">
      <formula>OR(IF(CU67&lt;CV67,TRUE),IF(AND(CV67="",CU67&lt;&gt;""),TRUE))</formula>
    </cfRule>
    <cfRule type="expression" dxfId="586" priority="691">
      <formula>IF(CU67&gt;=CV67,IF(CU67="",FALSE,TRUE))</formula>
    </cfRule>
  </conditionalFormatting>
  <conditionalFormatting sqref="DB67 DD67">
    <cfRule type="expression" dxfId="585" priority="688">
      <formula>OR(IF(DB67&lt;DC67,TRUE),IF(AND(DC67="",DB67&lt;&gt;""),TRUE))</formula>
    </cfRule>
    <cfRule type="expression" dxfId="584" priority="689">
      <formula>IF(DB67&gt;=DC67,IF(DB67="",FALSE,TRUE))</formula>
    </cfRule>
  </conditionalFormatting>
  <conditionalFormatting sqref="BE68:BE78 AC72:AC78 AE72:AE78 V68:V78 X68:X78 BG68:BG78 O68:O78 Q68:Q78 AL76:AL78 AJ76:AJ78">
    <cfRule type="expression" dxfId="583" priority="683">
      <formula>OR(IF(O68&lt;P68,TRUE),IF(AND(P68="",O68&lt;&gt;""),TRUE))</formula>
    </cfRule>
    <cfRule type="expression" dxfId="582" priority="684">
      <formula>IF(O68&gt;=P68,IF(O68="",FALSE,TRUE))</formula>
    </cfRule>
  </conditionalFormatting>
  <conditionalFormatting sqref="J68:K78">
    <cfRule type="colorScale" priority="685">
      <colorScale>
        <cfvo type="percent" val="0"/>
        <cfvo type="percent" val="100"/>
        <color rgb="FFFF231B"/>
        <color rgb="FF10FF07"/>
      </colorScale>
    </cfRule>
  </conditionalFormatting>
  <conditionalFormatting sqref="J68:J78">
    <cfRule type="colorScale" priority="686">
      <colorScale>
        <cfvo type="percent" val="0"/>
        <cfvo type="percent" val="100"/>
        <color rgb="FFFF231B"/>
        <color rgb="FF10FF07"/>
      </colorScale>
    </cfRule>
  </conditionalFormatting>
  <conditionalFormatting sqref="K68:K78">
    <cfRule type="colorScale" priority="687">
      <colorScale>
        <cfvo type="percent" val="0"/>
        <cfvo type="percent" val="100"/>
        <color rgb="FFFF231B"/>
        <color rgb="FF10FF07"/>
      </colorScale>
    </cfRule>
  </conditionalFormatting>
  <conditionalFormatting sqref="CU68:CU78 CW68:CW78">
    <cfRule type="expression" dxfId="579" priority="673">
      <formula>OR(IF(CU68&lt;CV68,TRUE),IF(AND(CV68="",CU68&lt;&gt;""),TRUE))</formula>
    </cfRule>
    <cfRule type="expression" dxfId="578" priority="674">
      <formula>IF(CU68&gt;=CV68,IF(CU68="",FALSE,TRUE))</formula>
    </cfRule>
  </conditionalFormatting>
  <conditionalFormatting sqref="DB68:DB78 DD68:DD78">
    <cfRule type="expression" dxfId="577" priority="671">
      <formula>OR(IF(DB68&lt;DC68,TRUE),IF(AND(DC68="",DB68&lt;&gt;""),TRUE))</formula>
    </cfRule>
    <cfRule type="expression" dxfId="576" priority="672">
      <formula>IF(DB68&gt;=DC68,IF(DB68="",FALSE,TRUE))</formula>
    </cfRule>
  </conditionalFormatting>
  <conditionalFormatting sqref="J32:K43">
    <cfRule type="colorScale" priority="1917">
      <colorScale>
        <cfvo type="percent" val="0"/>
        <cfvo type="percent" val="100"/>
        <color rgb="FFFF231B"/>
        <color rgb="FF10FF07"/>
      </colorScale>
    </cfRule>
  </conditionalFormatting>
  <conditionalFormatting sqref="J31:J43">
    <cfRule type="colorScale" priority="1918">
      <colorScale>
        <cfvo type="percent" val="0"/>
        <cfvo type="percent" val="100"/>
        <color rgb="FFFF231B"/>
        <color rgb="FF10FF07"/>
      </colorScale>
    </cfRule>
  </conditionalFormatting>
  <conditionalFormatting sqref="K31:K43">
    <cfRule type="colorScale" priority="1919">
      <colorScale>
        <cfvo type="percent" val="0"/>
        <cfvo type="percent" val="100"/>
        <color rgb="FFFF231B"/>
        <color rgb="FF10FF07"/>
      </colorScale>
    </cfRule>
  </conditionalFormatting>
  <conditionalFormatting sqref="BL5:BL8 BN5:BN8 BN33:BN43 BL33:BL43 BN12:BN14 BL12:BL14">
    <cfRule type="expression" dxfId="575" priority="669">
      <formula>OR(IF(BL5&lt;BM5,TRUE),IF(AND(BM5="",BL5&lt;&gt;""),TRUE))</formula>
    </cfRule>
    <cfRule type="expression" dxfId="574" priority="670">
      <formula>IF(BL5&gt;=BM5,IF(BL5="",FALSE,TRUE))</formula>
    </cfRule>
  </conditionalFormatting>
  <conditionalFormatting sqref="BN56:BN59 BL56:BL59 BN82:BN91 BL82:BL91 BL79 BN79">
    <cfRule type="expression" dxfId="573" priority="667">
      <formula>OR(IF(BL56&lt;BM56,TRUE),IF(AND(BM56="",BL56&lt;&gt;""),TRUE))</formula>
    </cfRule>
    <cfRule type="expression" dxfId="572" priority="668">
      <formula>IF(BL56&gt;=BM56,IF(BL56="",FALSE,TRUE))</formula>
    </cfRule>
  </conditionalFormatting>
  <conditionalFormatting sqref="BL17 BN17">
    <cfRule type="expression" dxfId="571" priority="665">
      <formula>OR(IF(BL17&lt;BM17,TRUE),IF(AND(BM17="",BL17&lt;&gt;""),TRUE))</formula>
    </cfRule>
    <cfRule type="expression" dxfId="570" priority="666">
      <formula>IF(BL17&gt;=BM17,IF(BL17="",FALSE,TRUE))</formula>
    </cfRule>
  </conditionalFormatting>
  <conditionalFormatting sqref="BL31:BL32">
    <cfRule type="expression" dxfId="569" priority="663">
      <formula>OR(IF(BL31&lt;BM31,TRUE),IF(AND(BM31="",BL31&lt;&gt;""),TRUE))</formula>
    </cfRule>
    <cfRule type="expression" dxfId="568" priority="664">
      <formula>IF(BL31&gt;=BM31,IF(BL31="",FALSE,TRUE))</formula>
    </cfRule>
  </conditionalFormatting>
  <conditionalFormatting sqref="BN31:BN32">
    <cfRule type="expression" dxfId="567" priority="661">
      <formula>OR(IF(BN31&lt;BO31,TRUE),IF(AND(BO31="",BN31&lt;&gt;""),TRUE))</formula>
    </cfRule>
    <cfRule type="expression" dxfId="566" priority="662">
      <formula>IF(BN31&gt;=BO31,IF(BN31="",FALSE,TRUE))</formula>
    </cfRule>
  </conditionalFormatting>
  <conditionalFormatting sqref="BL46:BL55">
    <cfRule type="expression" dxfId="565" priority="655">
      <formula>OR(IF(BL46&lt;BM46,TRUE),IF(AND(BM46="",BL46&lt;&gt;""),TRUE))</formula>
    </cfRule>
    <cfRule type="expression" dxfId="564" priority="656">
      <formula>IF(BL46&gt;=BM46,IF(BL46="",FALSE,TRUE))</formula>
    </cfRule>
  </conditionalFormatting>
  <conditionalFormatting sqref="BN46:BN55">
    <cfRule type="expression" dxfId="563" priority="653">
      <formula>OR(IF(BN46&lt;BO46,TRUE),IF(AND(BO46="",BN46&lt;&gt;""),TRUE))</formula>
    </cfRule>
    <cfRule type="expression" dxfId="562" priority="654">
      <formula>IF(BN46&gt;=BO46,IF(BN46="",FALSE,TRUE))</formula>
    </cfRule>
  </conditionalFormatting>
  <conditionalFormatting sqref="BL18 BN18">
    <cfRule type="expression" dxfId="561" priority="647">
      <formula>OR(IF(BL18&lt;BM18,TRUE),IF(AND(BM18="",BL18&lt;&gt;""),TRUE))</formula>
    </cfRule>
    <cfRule type="expression" dxfId="560" priority="648">
      <formula>IF(BL18&gt;=BM18,IF(BL18="",FALSE,TRUE))</formula>
    </cfRule>
  </conditionalFormatting>
  <conditionalFormatting sqref="BL19 BN19">
    <cfRule type="expression" dxfId="559" priority="645">
      <formula>OR(IF(BL19&lt;BM19,TRUE),IF(AND(BM19="",BL19&lt;&gt;""),TRUE))</formula>
    </cfRule>
    <cfRule type="expression" dxfId="558" priority="646">
      <formula>IF(BL19&gt;=BM19,IF(BL19="",FALSE,TRUE))</formula>
    </cfRule>
  </conditionalFormatting>
  <conditionalFormatting sqref="BN10 BL10">
    <cfRule type="expression" dxfId="557" priority="641">
      <formula>OR(IF(BL10&lt;BM10,TRUE),IF(AND(BM10="",BL10&lt;&gt;""),TRUE))</formula>
    </cfRule>
    <cfRule type="expression" dxfId="556" priority="642">
      <formula>IF(BL10&gt;=BM10,IF(BL10="",FALSE,TRUE))</formula>
    </cfRule>
  </conditionalFormatting>
  <conditionalFormatting sqref="BN11 BL11">
    <cfRule type="expression" dxfId="555" priority="639">
      <formula>OR(IF(BL11&lt;BM11,TRUE),IF(AND(BM11="",BL11&lt;&gt;""),TRUE))</formula>
    </cfRule>
    <cfRule type="expression" dxfId="554" priority="640">
      <formula>IF(BL11&gt;=BM11,IF(BL11="",FALSE,TRUE))</formula>
    </cfRule>
  </conditionalFormatting>
  <conditionalFormatting sqref="BL60 BN60">
    <cfRule type="expression" dxfId="553" priority="637">
      <formula>OR(IF(BL60&lt;BM60,TRUE),IF(AND(BM60="",BL60&lt;&gt;""),TRUE))</formula>
    </cfRule>
    <cfRule type="expression" dxfId="552" priority="638">
      <formula>IF(BL60&gt;=BM60,IF(BL60="",FALSE,TRUE))</formula>
    </cfRule>
  </conditionalFormatting>
  <conditionalFormatting sqref="BL61 BN61">
    <cfRule type="expression" dxfId="551" priority="635">
      <formula>OR(IF(BL61&lt;BM61,TRUE),IF(AND(BM61="",BL61&lt;&gt;""),TRUE))</formula>
    </cfRule>
    <cfRule type="expression" dxfId="550" priority="636">
      <formula>IF(BL61&gt;=BM61,IF(BL61="",FALSE,TRUE))</formula>
    </cfRule>
  </conditionalFormatting>
  <conditionalFormatting sqref="BL62 BN62">
    <cfRule type="expression" dxfId="549" priority="633">
      <formula>OR(IF(BL62&lt;BM62,TRUE),IF(AND(BM62="",BL62&lt;&gt;""),TRUE))</formula>
    </cfRule>
    <cfRule type="expression" dxfId="548" priority="634">
      <formula>IF(BL62&gt;=BM62,IF(BL62="",FALSE,TRUE))</formula>
    </cfRule>
  </conditionalFormatting>
  <conditionalFormatting sqref="BL63 BN63">
    <cfRule type="expression" dxfId="547" priority="631">
      <formula>OR(IF(BL63&lt;BM63,TRUE),IF(AND(BM63="",BL63&lt;&gt;""),TRUE))</formula>
    </cfRule>
    <cfRule type="expression" dxfId="546" priority="632">
      <formula>IF(BL63&gt;=BM63,IF(BL63="",FALSE,TRUE))</formula>
    </cfRule>
  </conditionalFormatting>
  <conditionalFormatting sqref="BL64 BN64">
    <cfRule type="expression" dxfId="545" priority="629">
      <formula>OR(IF(BL64&lt;BM64,TRUE),IF(AND(BM64="",BL64&lt;&gt;""),TRUE))</formula>
    </cfRule>
    <cfRule type="expression" dxfId="544" priority="630">
      <formula>IF(BL64&gt;=BM64,IF(BL64="",FALSE,TRUE))</formula>
    </cfRule>
  </conditionalFormatting>
  <conditionalFormatting sqref="BL65 BN65">
    <cfRule type="expression" dxfId="543" priority="627">
      <formula>OR(IF(BL65&lt;BM65,TRUE),IF(AND(BM65="",BL65&lt;&gt;""),TRUE))</formula>
    </cfRule>
    <cfRule type="expression" dxfId="542" priority="628">
      <formula>IF(BL65&gt;=BM65,IF(BL65="",FALSE,TRUE))</formula>
    </cfRule>
  </conditionalFormatting>
  <conditionalFormatting sqref="BL66 BN66">
    <cfRule type="expression" dxfId="541" priority="625">
      <formula>OR(IF(BL66&lt;BM66,TRUE),IF(AND(BM66="",BL66&lt;&gt;""),TRUE))</formula>
    </cfRule>
    <cfRule type="expression" dxfId="540" priority="626">
      <formula>IF(BL66&gt;=BM66,IF(BL66="",FALSE,TRUE))</formula>
    </cfRule>
  </conditionalFormatting>
  <conditionalFormatting sqref="BL67 BN67">
    <cfRule type="expression" dxfId="539" priority="623">
      <formula>OR(IF(BL67&lt;BM67,TRUE),IF(AND(BM67="",BL67&lt;&gt;""),TRUE))</formula>
    </cfRule>
    <cfRule type="expression" dxfId="538" priority="624">
      <formula>IF(BL67&gt;=BM67,IF(BL67="",FALSE,TRUE))</formula>
    </cfRule>
  </conditionalFormatting>
  <conditionalFormatting sqref="BL68:BL78 BN68:BN78">
    <cfRule type="expression" dxfId="537" priority="621">
      <formula>OR(IF(BL68&lt;BM68,TRUE),IF(AND(BM68="",BL68&lt;&gt;""),TRUE))</formula>
    </cfRule>
    <cfRule type="expression" dxfId="536" priority="622">
      <formula>IF(BL68&gt;=BM68,IF(BL68="",FALSE,TRUE))</formula>
    </cfRule>
  </conditionalFormatting>
  <conditionalFormatting sqref="BU33:BU43 BS33:BS43">
    <cfRule type="expression" dxfId="535" priority="559">
      <formula>OR(IF(BS33&lt;BT33,TRUE),IF(AND(BT33="",BS33&lt;&gt;""),TRUE))</formula>
    </cfRule>
    <cfRule type="expression" dxfId="534" priority="560">
      <formula>IF(BS33&gt;=BT33,IF(BS33="",FALSE,TRUE))</formula>
    </cfRule>
  </conditionalFormatting>
  <conditionalFormatting sqref="BU56:BU59 BS56:BS59 BU82:BU91 BS82:BS91 BS79 BU79">
    <cfRule type="expression" dxfId="533" priority="557">
      <formula>OR(IF(BS56&lt;BT56,TRUE),IF(AND(BT56="",BS56&lt;&gt;""),TRUE))</formula>
    </cfRule>
    <cfRule type="expression" dxfId="532" priority="558">
      <formula>IF(BS56&gt;=BT56,IF(BS56="",FALSE,TRUE))</formula>
    </cfRule>
  </conditionalFormatting>
  <conditionalFormatting sqref="BS17 BU17">
    <cfRule type="expression" dxfId="531" priority="555">
      <formula>OR(IF(BS17&lt;BT17,TRUE),IF(AND(BT17="",BS17&lt;&gt;""),TRUE))</formula>
    </cfRule>
    <cfRule type="expression" dxfId="530" priority="556">
      <formula>IF(BS17&gt;=BT17,IF(BS17="",FALSE,TRUE))</formula>
    </cfRule>
  </conditionalFormatting>
  <conditionalFormatting sqref="BS31:BS32">
    <cfRule type="expression" dxfId="529" priority="553">
      <formula>OR(IF(BS31&lt;BT31,TRUE),IF(AND(BT31="",BS31&lt;&gt;""),TRUE))</formula>
    </cfRule>
    <cfRule type="expression" dxfId="528" priority="554">
      <formula>IF(BS31&gt;=BT31,IF(BS31="",FALSE,TRUE))</formula>
    </cfRule>
  </conditionalFormatting>
  <conditionalFormatting sqref="BU31:BU32">
    <cfRule type="expression" dxfId="527" priority="551">
      <formula>OR(IF(BU31&lt;BV31,TRUE),IF(AND(BV31="",BU31&lt;&gt;""),TRUE))</formula>
    </cfRule>
    <cfRule type="expression" dxfId="526" priority="552">
      <formula>IF(BU31&gt;=BV31,IF(BU31="",FALSE,TRUE))</formula>
    </cfRule>
  </conditionalFormatting>
  <conditionalFormatting sqref="BS46:BS55">
    <cfRule type="expression" dxfId="525" priority="545">
      <formula>OR(IF(BS46&lt;BT46,TRUE),IF(AND(BT46="",BS46&lt;&gt;""),TRUE))</formula>
    </cfRule>
    <cfRule type="expression" dxfId="524" priority="546">
      <formula>IF(BS46&gt;=BT46,IF(BS46="",FALSE,TRUE))</formula>
    </cfRule>
  </conditionalFormatting>
  <conditionalFormatting sqref="BU46:BU55">
    <cfRule type="expression" dxfId="523" priority="543">
      <formula>OR(IF(BU46&lt;BV46,TRUE),IF(AND(BV46="",BU46&lt;&gt;""),TRUE))</formula>
    </cfRule>
    <cfRule type="expression" dxfId="522" priority="544">
      <formula>IF(BU46&gt;=BV46,IF(BU46="",FALSE,TRUE))</formula>
    </cfRule>
  </conditionalFormatting>
  <conditionalFormatting sqref="BS18 BU18">
    <cfRule type="expression" dxfId="521" priority="537">
      <formula>OR(IF(BS18&lt;BT18,TRUE),IF(AND(BT18="",BS18&lt;&gt;""),TRUE))</formula>
    </cfRule>
    <cfRule type="expression" dxfId="520" priority="538">
      <formula>IF(BS18&gt;=BT18,IF(BS18="",FALSE,TRUE))</formula>
    </cfRule>
  </conditionalFormatting>
  <conditionalFormatting sqref="BS19 BU19">
    <cfRule type="expression" dxfId="519" priority="535">
      <formula>OR(IF(BS19&lt;BT19,TRUE),IF(AND(BT19="",BS19&lt;&gt;""),TRUE))</formula>
    </cfRule>
    <cfRule type="expression" dxfId="518" priority="536">
      <formula>IF(BS19&gt;=BT19,IF(BS19="",FALSE,TRUE))</formula>
    </cfRule>
  </conditionalFormatting>
  <conditionalFormatting sqref="BS60 BU60">
    <cfRule type="expression" dxfId="517" priority="527">
      <formula>OR(IF(BS60&lt;BT60,TRUE),IF(AND(BT60="",BS60&lt;&gt;""),TRUE))</formula>
    </cfRule>
    <cfRule type="expression" dxfId="516" priority="528">
      <formula>IF(BS60&gt;=BT60,IF(BS60="",FALSE,TRUE))</formula>
    </cfRule>
  </conditionalFormatting>
  <conditionalFormatting sqref="BS61 BU61">
    <cfRule type="expression" dxfId="515" priority="525">
      <formula>OR(IF(BS61&lt;BT61,TRUE),IF(AND(BT61="",BS61&lt;&gt;""),TRUE))</formula>
    </cfRule>
    <cfRule type="expression" dxfId="514" priority="526">
      <formula>IF(BS61&gt;=BT61,IF(BS61="",FALSE,TRUE))</formula>
    </cfRule>
  </conditionalFormatting>
  <conditionalFormatting sqref="BS62 BU62">
    <cfRule type="expression" dxfId="513" priority="523">
      <formula>OR(IF(BS62&lt;BT62,TRUE),IF(AND(BT62="",BS62&lt;&gt;""),TRUE))</formula>
    </cfRule>
    <cfRule type="expression" dxfId="512" priority="524">
      <formula>IF(BS62&gt;=BT62,IF(BS62="",FALSE,TRUE))</formula>
    </cfRule>
  </conditionalFormatting>
  <conditionalFormatting sqref="BS63 BU63">
    <cfRule type="expression" dxfId="511" priority="521">
      <formula>OR(IF(BS63&lt;BT63,TRUE),IF(AND(BT63="",BS63&lt;&gt;""),TRUE))</formula>
    </cfRule>
    <cfRule type="expression" dxfId="510" priority="522">
      <formula>IF(BS63&gt;=BT63,IF(BS63="",FALSE,TRUE))</formula>
    </cfRule>
  </conditionalFormatting>
  <conditionalFormatting sqref="BS64 BU64">
    <cfRule type="expression" dxfId="509" priority="519">
      <formula>OR(IF(BS64&lt;BT64,TRUE),IF(AND(BT64="",BS64&lt;&gt;""),TRUE))</formula>
    </cfRule>
    <cfRule type="expression" dxfId="508" priority="520">
      <formula>IF(BS64&gt;=BT64,IF(BS64="",FALSE,TRUE))</formula>
    </cfRule>
  </conditionalFormatting>
  <conditionalFormatting sqref="BS65 BU65">
    <cfRule type="expression" dxfId="507" priority="517">
      <formula>OR(IF(BS65&lt;BT65,TRUE),IF(AND(BT65="",BS65&lt;&gt;""),TRUE))</formula>
    </cfRule>
    <cfRule type="expression" dxfId="506" priority="518">
      <formula>IF(BS65&gt;=BT65,IF(BS65="",FALSE,TRUE))</formula>
    </cfRule>
  </conditionalFormatting>
  <conditionalFormatting sqref="BS66 BU66">
    <cfRule type="expression" dxfId="505" priority="515">
      <formula>OR(IF(BS66&lt;BT66,TRUE),IF(AND(BT66="",BS66&lt;&gt;""),TRUE))</formula>
    </cfRule>
    <cfRule type="expression" dxfId="504" priority="516">
      <formula>IF(BS66&gt;=BT66,IF(BS66="",FALSE,TRUE))</formula>
    </cfRule>
  </conditionalFormatting>
  <conditionalFormatting sqref="BS67 BU67">
    <cfRule type="expression" dxfId="503" priority="513">
      <formula>OR(IF(BS67&lt;BT67,TRUE),IF(AND(BT67="",BS67&lt;&gt;""),TRUE))</formula>
    </cfRule>
    <cfRule type="expression" dxfId="502" priority="514">
      <formula>IF(BS67&gt;=BT67,IF(BS67="",FALSE,TRUE))</formula>
    </cfRule>
  </conditionalFormatting>
  <conditionalFormatting sqref="BS68:BS78 BU68:BU78">
    <cfRule type="expression" dxfId="501" priority="511">
      <formula>OR(IF(BS68&lt;BT68,TRUE),IF(AND(BT68="",BS68&lt;&gt;""),TRUE))</formula>
    </cfRule>
    <cfRule type="expression" dxfId="500" priority="512">
      <formula>IF(BS68&gt;=BT68,IF(BS68="",FALSE,TRUE))</formula>
    </cfRule>
  </conditionalFormatting>
  <conditionalFormatting sqref="DI5:DI8 DK5:DK8 DK33:DK43 DI33:DI43 DK12:DK14 DI12:DI14">
    <cfRule type="expression" dxfId="499" priority="509">
      <formula>OR(IF(DI5&lt;DJ5,TRUE),IF(AND(DJ5="",DI5&lt;&gt;""),TRUE))</formula>
    </cfRule>
    <cfRule type="expression" dxfId="498" priority="510">
      <formula>IF(DI5&gt;=DJ5,IF(DI5="",FALSE,TRUE))</formula>
    </cfRule>
  </conditionalFormatting>
  <conditionalFormatting sqref="DK56:DK59 DI56:DI59 DK82:DK91 DI82:DI91 DI79 DK79">
    <cfRule type="expression" dxfId="497" priority="507">
      <formula>OR(IF(DI56&lt;DJ56,TRUE),IF(AND(DJ56="",DI56&lt;&gt;""),TRUE))</formula>
    </cfRule>
    <cfRule type="expression" dxfId="496" priority="508">
      <formula>IF(DI56&gt;=DJ56,IF(DI56="",FALSE,TRUE))</formula>
    </cfRule>
  </conditionalFormatting>
  <conditionalFormatting sqref="DI17 DK17">
    <cfRule type="expression" dxfId="495" priority="505">
      <formula>OR(IF(DI17&lt;DJ17,TRUE),IF(AND(DJ17="",DI17&lt;&gt;""),TRUE))</formula>
    </cfRule>
    <cfRule type="expression" dxfId="494" priority="506">
      <formula>IF(DI17&gt;=DJ17,IF(DI17="",FALSE,TRUE))</formula>
    </cfRule>
  </conditionalFormatting>
  <conditionalFormatting sqref="DI31:DI32">
    <cfRule type="expression" dxfId="493" priority="503">
      <formula>OR(IF(DI31&lt;DJ31,TRUE),IF(AND(DJ31="",DI31&lt;&gt;""),TRUE))</formula>
    </cfRule>
    <cfRule type="expression" dxfId="492" priority="504">
      <formula>IF(DI31&gt;=DJ31,IF(DI31="",FALSE,TRUE))</formula>
    </cfRule>
  </conditionalFormatting>
  <conditionalFormatting sqref="DK31:DK32">
    <cfRule type="expression" dxfId="491" priority="501">
      <formula>OR(IF(DK31&lt;DL31,TRUE),IF(AND(DL31="",DK31&lt;&gt;""),TRUE))</formula>
    </cfRule>
    <cfRule type="expression" dxfId="490" priority="502">
      <formula>IF(DK31&gt;=DL31,IF(DK31="",FALSE,TRUE))</formula>
    </cfRule>
  </conditionalFormatting>
  <conditionalFormatting sqref="DI46:DI55">
    <cfRule type="expression" dxfId="489" priority="495">
      <formula>OR(IF(DI46&lt;DJ46,TRUE),IF(AND(DJ46="",DI46&lt;&gt;""),TRUE))</formula>
    </cfRule>
    <cfRule type="expression" dxfId="488" priority="496">
      <formula>IF(DI46&gt;=DJ46,IF(DI46="",FALSE,TRUE))</formula>
    </cfRule>
  </conditionalFormatting>
  <conditionalFormatting sqref="DK46:DK55">
    <cfRule type="expression" dxfId="487" priority="493">
      <formula>OR(IF(DK46&lt;DL46,TRUE),IF(AND(DL46="",DK46&lt;&gt;""),TRUE))</formula>
    </cfRule>
    <cfRule type="expression" dxfId="486" priority="494">
      <formula>IF(DK46&gt;=DL46,IF(DK46="",FALSE,TRUE))</formula>
    </cfRule>
  </conditionalFormatting>
  <conditionalFormatting sqref="DI18 DK18">
    <cfRule type="expression" dxfId="485" priority="487">
      <formula>OR(IF(DI18&lt;DJ18,TRUE),IF(AND(DJ18="",DI18&lt;&gt;""),TRUE))</formula>
    </cfRule>
    <cfRule type="expression" dxfId="484" priority="488">
      <formula>IF(DI18&gt;=DJ18,IF(DI18="",FALSE,TRUE))</formula>
    </cfRule>
  </conditionalFormatting>
  <conditionalFormatting sqref="DI19 DK19">
    <cfRule type="expression" dxfId="483" priority="485">
      <formula>OR(IF(DI19&lt;DJ19,TRUE),IF(AND(DJ19="",DI19&lt;&gt;""),TRUE))</formula>
    </cfRule>
    <cfRule type="expression" dxfId="482" priority="486">
      <formula>IF(DI19&gt;=DJ19,IF(DI19="",FALSE,TRUE))</formula>
    </cfRule>
  </conditionalFormatting>
  <conditionalFormatting sqref="DK10 DI10">
    <cfRule type="expression" dxfId="481" priority="481">
      <formula>OR(IF(DI10&lt;DJ10,TRUE),IF(AND(DJ10="",DI10&lt;&gt;""),TRUE))</formula>
    </cfRule>
    <cfRule type="expression" dxfId="480" priority="482">
      <formula>IF(DI10&gt;=DJ10,IF(DI10="",FALSE,TRUE))</formula>
    </cfRule>
  </conditionalFormatting>
  <conditionalFormatting sqref="DK11 DI11">
    <cfRule type="expression" dxfId="479" priority="479">
      <formula>OR(IF(DI11&lt;DJ11,TRUE),IF(AND(DJ11="",DI11&lt;&gt;""),TRUE))</formula>
    </cfRule>
    <cfRule type="expression" dxfId="478" priority="480">
      <formula>IF(DI11&gt;=DJ11,IF(DI11="",FALSE,TRUE))</formula>
    </cfRule>
  </conditionalFormatting>
  <conditionalFormatting sqref="DI60 DK60">
    <cfRule type="expression" dxfId="477" priority="477">
      <formula>OR(IF(DI60&lt;DJ60,TRUE),IF(AND(DJ60="",DI60&lt;&gt;""),TRUE))</formula>
    </cfRule>
    <cfRule type="expression" dxfId="476" priority="478">
      <formula>IF(DI60&gt;=DJ60,IF(DI60="",FALSE,TRUE))</formula>
    </cfRule>
  </conditionalFormatting>
  <conditionalFormatting sqref="DI61 DK61">
    <cfRule type="expression" dxfId="475" priority="475">
      <formula>OR(IF(DI61&lt;DJ61,TRUE),IF(AND(DJ61="",DI61&lt;&gt;""),TRUE))</formula>
    </cfRule>
    <cfRule type="expression" dxfId="474" priority="476">
      <formula>IF(DI61&gt;=DJ61,IF(DI61="",FALSE,TRUE))</formula>
    </cfRule>
  </conditionalFormatting>
  <conditionalFormatting sqref="DI62 DK62">
    <cfRule type="expression" dxfId="473" priority="473">
      <formula>OR(IF(DI62&lt;DJ62,TRUE),IF(AND(DJ62="",DI62&lt;&gt;""),TRUE))</formula>
    </cfRule>
    <cfRule type="expression" dxfId="472" priority="474">
      <formula>IF(DI62&gt;=DJ62,IF(DI62="",FALSE,TRUE))</formula>
    </cfRule>
  </conditionalFormatting>
  <conditionalFormatting sqref="DI63 DK63">
    <cfRule type="expression" dxfId="471" priority="471">
      <formula>OR(IF(DI63&lt;DJ63,TRUE),IF(AND(DJ63="",DI63&lt;&gt;""),TRUE))</formula>
    </cfRule>
    <cfRule type="expression" dxfId="470" priority="472">
      <formula>IF(DI63&gt;=DJ63,IF(DI63="",FALSE,TRUE))</formula>
    </cfRule>
  </conditionalFormatting>
  <conditionalFormatting sqref="DI64 DK64">
    <cfRule type="expression" dxfId="469" priority="469">
      <formula>OR(IF(DI64&lt;DJ64,TRUE),IF(AND(DJ64="",DI64&lt;&gt;""),TRUE))</formula>
    </cfRule>
    <cfRule type="expression" dxfId="468" priority="470">
      <formula>IF(DI64&gt;=DJ64,IF(DI64="",FALSE,TRUE))</formula>
    </cfRule>
  </conditionalFormatting>
  <conditionalFormatting sqref="DI65 DK65">
    <cfRule type="expression" dxfId="467" priority="467">
      <formula>OR(IF(DI65&lt;DJ65,TRUE),IF(AND(DJ65="",DI65&lt;&gt;""),TRUE))</formula>
    </cfRule>
    <cfRule type="expression" dxfId="466" priority="468">
      <formula>IF(DI65&gt;=DJ65,IF(DI65="",FALSE,TRUE))</formula>
    </cfRule>
  </conditionalFormatting>
  <conditionalFormatting sqref="DI66 DK66">
    <cfRule type="expression" dxfId="465" priority="465">
      <formula>OR(IF(DI66&lt;DJ66,TRUE),IF(AND(DJ66="",DI66&lt;&gt;""),TRUE))</formula>
    </cfRule>
    <cfRule type="expression" dxfId="464" priority="466">
      <formula>IF(DI66&gt;=DJ66,IF(DI66="",FALSE,TRUE))</formula>
    </cfRule>
  </conditionalFormatting>
  <conditionalFormatting sqref="DI67 DK67">
    <cfRule type="expression" dxfId="463" priority="463">
      <formula>OR(IF(DI67&lt;DJ67,TRUE),IF(AND(DJ67="",DI67&lt;&gt;""),TRUE))</formula>
    </cfRule>
    <cfRule type="expression" dxfId="462" priority="464">
      <formula>IF(DI67&gt;=DJ67,IF(DI67="",FALSE,TRUE))</formula>
    </cfRule>
  </conditionalFormatting>
  <conditionalFormatting sqref="DI68:DI78 DK68:DK78">
    <cfRule type="expression" dxfId="461" priority="461">
      <formula>OR(IF(DI68&lt;DJ68,TRUE),IF(AND(DJ68="",DI68&lt;&gt;""),TRUE))</formula>
    </cfRule>
    <cfRule type="expression" dxfId="460" priority="462">
      <formula>IF(DI68&gt;=DJ68,IF(DI68="",FALSE,TRUE))</formula>
    </cfRule>
  </conditionalFormatting>
  <conditionalFormatting sqref="AY17:AY29 BA17:BA29">
    <cfRule type="expression" dxfId="459" priority="457">
      <formula>OR(IF(AY17&lt;AZ17,TRUE),IF(AND(AZ17="",AY17&lt;&gt;""),TRUE))</formula>
    </cfRule>
    <cfRule type="expression" dxfId="458" priority="458">
      <formula>IF(AY17&gt;=AZ17,IF(AY17="",FALSE,TRUE))</formula>
    </cfRule>
  </conditionalFormatting>
  <conditionalFormatting sqref="AQ17:AQ29 AS17:AS29">
    <cfRule type="expression" dxfId="457" priority="455">
      <formula>OR(IF(AQ17&lt;AR17,TRUE),IF(AND(AR17="",AQ17&lt;&gt;""),TRUE))</formula>
    </cfRule>
    <cfRule type="expression" dxfId="456" priority="456">
      <formula>IF(AQ17&gt;=AR17,IF(AQ17="",FALSE,TRUE))</formula>
    </cfRule>
  </conditionalFormatting>
  <conditionalFormatting sqref="AT17:AT29 AR17:AR29">
    <cfRule type="expression" dxfId="455" priority="453">
      <formula>OR(IF(AR17&lt;AS17,TRUE),IF(AND(AS17="",AR17&lt;&gt;""),TRUE))</formula>
    </cfRule>
    <cfRule type="expression" dxfId="454" priority="454">
      <formula>IF(AR17&gt;=AS17,IF(AR17="",FALSE,TRUE))</formula>
    </cfRule>
  </conditionalFormatting>
  <conditionalFormatting sqref="AJ17:AJ29 AL17:AL29">
    <cfRule type="expression" dxfId="453" priority="451">
      <formula>OR(IF(AJ17&lt;AK17,TRUE),IF(AND(AK17="",AJ17&lt;&gt;""),TRUE))</formula>
    </cfRule>
    <cfRule type="expression" dxfId="452" priority="452">
      <formula>IF(AJ17&gt;=AK17,IF(AJ17="",FALSE,TRUE))</formula>
    </cfRule>
  </conditionalFormatting>
  <conditionalFormatting sqref="AM17:AM29 AK17:AK29">
    <cfRule type="expression" dxfId="451" priority="449">
      <formula>OR(IF(AK17&lt;AL17,TRUE),IF(AND(AL17="",AK17&lt;&gt;""),TRUE))</formula>
    </cfRule>
    <cfRule type="expression" dxfId="450" priority="450">
      <formula>IF(AK17&gt;=AL17,IF(AK17="",FALSE,TRUE))</formula>
    </cfRule>
  </conditionalFormatting>
  <conditionalFormatting sqref="AC17:AC29 AE17:AE29">
    <cfRule type="expression" dxfId="449" priority="447">
      <formula>OR(IF(AC17&lt;AD17,TRUE),IF(AND(AD17="",AC17&lt;&gt;""),TRUE))</formula>
    </cfRule>
    <cfRule type="expression" dxfId="448" priority="448">
      <formula>IF(AC17&gt;=AD17,IF(AC17="",FALSE,TRUE))</formula>
    </cfRule>
  </conditionalFormatting>
  <conditionalFormatting sqref="AF17:AF29 AD17:AD29">
    <cfRule type="expression" dxfId="447" priority="445">
      <formula>OR(IF(AD17&lt;AE17,TRUE),IF(AND(AE17="",AD17&lt;&gt;""),TRUE))</formula>
    </cfRule>
    <cfRule type="expression" dxfId="446" priority="446">
      <formula>IF(AD17&gt;=AE17,IF(AD17="",FALSE,TRUE))</formula>
    </cfRule>
  </conditionalFormatting>
  <conditionalFormatting sqref="V17:V29 X17:X29">
    <cfRule type="expression" dxfId="445" priority="443">
      <formula>OR(IF(V17&lt;W17,TRUE),IF(AND(W17="",V17&lt;&gt;""),TRUE))</formula>
    </cfRule>
    <cfRule type="expression" dxfId="444" priority="444">
      <formula>IF(V17&gt;=W17,IF(V17="",FALSE,TRUE))</formula>
    </cfRule>
  </conditionalFormatting>
  <conditionalFormatting sqref="Y17:Y29 W17:W29">
    <cfRule type="expression" dxfId="443" priority="441">
      <formula>OR(IF(W17&lt;X17,TRUE),IF(AND(X17="",W17&lt;&gt;""),TRUE))</formula>
    </cfRule>
    <cfRule type="expression" dxfId="442" priority="442">
      <formula>IF(W17&gt;=X17,IF(W17="",FALSE,TRUE))</formula>
    </cfRule>
  </conditionalFormatting>
  <conditionalFormatting sqref="O17:O26 Q17:Q26">
    <cfRule type="expression" dxfId="441" priority="439">
      <formula>OR(IF(O17&lt;P17,TRUE),IF(AND(P17="",O17&lt;&gt;""),TRUE))</formula>
    </cfRule>
    <cfRule type="expression" dxfId="440" priority="440">
      <formula>IF(O17&gt;=P17,IF(O17="",FALSE,TRUE))</formula>
    </cfRule>
  </conditionalFormatting>
  <conditionalFormatting sqref="R17:R26 P17:P26">
    <cfRule type="expression" dxfId="439" priority="437">
      <formula>OR(IF(P17&lt;Q17,TRUE),IF(AND(Q17="",P17&lt;&gt;""),TRUE))</formula>
    </cfRule>
    <cfRule type="expression" dxfId="438" priority="438">
      <formula>IF(P17&gt;=Q17,IF(P17="",FALSE,TRUE))</formula>
    </cfRule>
  </conditionalFormatting>
  <conditionalFormatting sqref="AJ82:AJ92 AL82:AL92">
    <cfRule type="expression" dxfId="437" priority="423">
      <formula>OR(IF(AJ82&lt;AK82,TRUE),IF(AND(AK82="",AJ82&lt;&gt;""),TRUE))</formula>
    </cfRule>
    <cfRule type="expression" dxfId="436" priority="424">
      <formula>IF(AJ82&gt;=AK82,IF(AJ82="",FALSE,TRUE))</formula>
    </cfRule>
  </conditionalFormatting>
  <conditionalFormatting sqref="BB82:BB93">
    <cfRule type="expression" dxfId="435" priority="433">
      <formula>OR(IF(BB82&lt;BC82,TRUE),IF(AND(BC82="",BB82&lt;&gt;""),TRUE))</formula>
    </cfRule>
    <cfRule type="expression" dxfId="434" priority="434">
      <formula>IF(BB82&gt;=BC82,IF(BB82="",FALSE,TRUE))</formula>
    </cfRule>
  </conditionalFormatting>
  <conditionalFormatting sqref="AX82:AX93 AZ82:AZ93">
    <cfRule type="expression" dxfId="433" priority="431">
      <formula>OR(IF(AX82&lt;AY82,TRUE),IF(AND(AY82="",AX82&lt;&gt;""),TRUE))</formula>
    </cfRule>
    <cfRule type="expression" dxfId="432" priority="432">
      <formula>IF(AX82&gt;=AY82,IF(AX82="",FALSE,TRUE))</formula>
    </cfRule>
  </conditionalFormatting>
  <conditionalFormatting sqref="AY82:AY93 BA82:BA93">
    <cfRule type="expression" dxfId="431" priority="429">
      <formula>OR(IF(AY82&lt;AZ82,TRUE),IF(AND(AZ82="",AY82&lt;&gt;""),TRUE))</formula>
    </cfRule>
    <cfRule type="expression" dxfId="430" priority="430">
      <formula>IF(AY82&gt;=AZ82,IF(AY82="",FALSE,TRUE))</formula>
    </cfRule>
  </conditionalFormatting>
  <conditionalFormatting sqref="AQ82:AQ92 AS82:AS92">
    <cfRule type="expression" dxfId="429" priority="427">
      <formula>OR(IF(AQ82&lt;AR82,TRUE),IF(AND(AR82="",AQ82&lt;&gt;""),TRUE))</formula>
    </cfRule>
    <cfRule type="expression" dxfId="428" priority="428">
      <formula>IF(AQ82&gt;=AR82,IF(AQ82="",FALSE,TRUE))</formula>
    </cfRule>
  </conditionalFormatting>
  <conditionalFormatting sqref="AR82:AR92 AT82:AT92">
    <cfRule type="expression" dxfId="427" priority="425">
      <formula>OR(IF(AR82&lt;AS82,TRUE),IF(AND(AS82="",AR82&lt;&gt;""),TRUE))</formula>
    </cfRule>
    <cfRule type="expression" dxfId="426" priority="426">
      <formula>IF(AR82&gt;=AS82,IF(AR82="",FALSE,TRUE))</formula>
    </cfRule>
  </conditionalFormatting>
  <conditionalFormatting sqref="Q82:Q91">
    <cfRule type="expression" dxfId="425" priority="411">
      <formula>OR(IF(Q82&lt;R82,TRUE),IF(AND(R82="",Q82&lt;&gt;""),TRUE))</formula>
    </cfRule>
    <cfRule type="expression" dxfId="424" priority="412">
      <formula>IF(Q82&gt;=R82,IF(Q82="",FALSE,TRUE))</formula>
    </cfRule>
  </conditionalFormatting>
  <conditionalFormatting sqref="AK82:AK92 AM82:AM92">
    <cfRule type="expression" dxfId="423" priority="421">
      <formula>OR(IF(AK82&lt;AL82,TRUE),IF(AND(AL82="",AK82&lt;&gt;""),TRUE))</formula>
    </cfRule>
    <cfRule type="expression" dxfId="422" priority="422">
      <formula>IF(AK82&gt;=AL82,IF(AK82="",FALSE,TRUE))</formula>
    </cfRule>
  </conditionalFormatting>
  <conditionalFormatting sqref="AC82:AC91 AE82:AE91">
    <cfRule type="expression" dxfId="421" priority="419">
      <formula>OR(IF(AC82&lt;AD82,TRUE),IF(AND(AD82="",AC82&lt;&gt;""),TRUE))</formula>
    </cfRule>
    <cfRule type="expression" dxfId="420" priority="420">
      <formula>IF(AC82&gt;=AD82,IF(AC82="",FALSE,TRUE))</formula>
    </cfRule>
  </conditionalFormatting>
  <conditionalFormatting sqref="AD82:AD91 AF82:AF91">
    <cfRule type="expression" dxfId="419" priority="417">
      <formula>OR(IF(AD82&lt;AE82,TRUE),IF(AND(AE82="",AD82&lt;&gt;""),TRUE))</formula>
    </cfRule>
    <cfRule type="expression" dxfId="418" priority="418">
      <formula>IF(AD82&gt;=AE82,IF(AD82="",FALSE,TRUE))</formula>
    </cfRule>
  </conditionalFormatting>
  <conditionalFormatting sqref="V82:V91 X82:X91">
    <cfRule type="expression" dxfId="417" priority="415">
      <formula>OR(IF(V82&lt;W82,TRUE),IF(AND(W82="",V82&lt;&gt;""),TRUE))</formula>
    </cfRule>
    <cfRule type="expression" dxfId="416" priority="416">
      <formula>IF(V82&gt;=W82,IF(V82="",FALSE,TRUE))</formula>
    </cfRule>
  </conditionalFormatting>
  <conditionalFormatting sqref="W82:W91 Y82:Y91">
    <cfRule type="expression" dxfId="415" priority="413">
      <formula>OR(IF(W82&lt;X82,TRUE),IF(AND(X82="",W82&lt;&gt;""),TRUE))</formula>
    </cfRule>
    <cfRule type="expression" dxfId="414" priority="414">
      <formula>IF(W82&gt;=X82,IF(W82="",FALSE,TRUE))</formula>
    </cfRule>
  </conditionalFormatting>
  <conditionalFormatting sqref="P82:P91 R82:R91">
    <cfRule type="expression" dxfId="413" priority="409">
      <formula>OR(IF(P82&lt;Q82,TRUE),IF(AND(Q82="",P82&lt;&gt;""),TRUE))</formula>
    </cfRule>
    <cfRule type="expression" dxfId="412" priority="410">
      <formula>IF(P82&gt;=Q82,IF(P82="",FALSE,TRUE))</formula>
    </cfRule>
  </conditionalFormatting>
  <conditionalFormatting sqref="O89">
    <cfRule type="expression" dxfId="411" priority="1922">
      <formula>OR(IF(O89&lt;P90,TRUE),IF(AND(P90="",O89&lt;&gt;""),TRUE))</formula>
    </cfRule>
    <cfRule type="expression" dxfId="410" priority="1923">
      <formula>IF(O89&gt;=P90,IF(O89="",FALSE,TRUE))</formula>
    </cfRule>
  </conditionalFormatting>
  <conditionalFormatting sqref="CU17:CU28 CW17:CW28">
    <cfRule type="expression" dxfId="409" priority="407">
      <formula>OR(IF(CU17&lt;CV17,TRUE),IF(AND(CV17="",CU17&lt;&gt;""),TRUE))</formula>
    </cfRule>
    <cfRule type="expression" dxfId="408" priority="408">
      <formula>IF(CU17&gt;=CV17,IF(CU17="",FALSE,TRUE))</formula>
    </cfRule>
  </conditionalFormatting>
  <conditionalFormatting sqref="CV17:CV28 CX17:CX28">
    <cfRule type="expression" dxfId="407" priority="405">
      <formula>OR(IF(CV17&lt;CW17,TRUE),IF(AND(CW17="",CV17&lt;&gt;""),TRUE))</formula>
    </cfRule>
    <cfRule type="expression" dxfId="406" priority="406">
      <formula>IF(CV17&gt;=CW17,IF(CV17="",FALSE,TRUE))</formula>
    </cfRule>
  </conditionalFormatting>
  <conditionalFormatting sqref="CW31:CW41 CU31:CU43">
    <cfRule type="expression" dxfId="405" priority="399">
      <formula>OR(IF(CU31&lt;CV31,TRUE),IF(AND(CV31="",CU31&lt;&gt;""),TRUE))</formula>
    </cfRule>
    <cfRule type="expression" dxfId="404" priority="400">
      <formula>IF(CU31&gt;=CV31,IF(CU31="",FALSE,TRUE))</formula>
    </cfRule>
  </conditionalFormatting>
  <conditionalFormatting sqref="CV31:CV43 CX31:CX43">
    <cfRule type="expression" dxfId="403" priority="397">
      <formula>OR(IF(CV31&lt;CW31,TRUE),IF(AND(CW31="",CV31&lt;&gt;""),TRUE))</formula>
    </cfRule>
    <cfRule type="expression" dxfId="402" priority="398">
      <formula>IF(CV31&gt;=CW31,IF(CV31="",FALSE,TRUE))</formula>
    </cfRule>
  </conditionalFormatting>
  <conditionalFormatting sqref="CW57:CW58">
    <cfRule type="expression" dxfId="401" priority="395">
      <formula>OR(IF(CW57&lt;CX57,TRUE),IF(AND(CX57="",CW57&lt;&gt;""),TRUE))</formula>
    </cfRule>
    <cfRule type="expression" dxfId="400" priority="396">
      <formula>IF(CW57&gt;=CX57,IF(CW57="",FALSE,TRUE))</formula>
    </cfRule>
  </conditionalFormatting>
  <conditionalFormatting sqref="CW46:CW56 CU46:CU58">
    <cfRule type="expression" dxfId="399" priority="393">
      <formula>OR(IF(CU46&lt;CV46,TRUE),IF(AND(CV46="",CU46&lt;&gt;""),TRUE))</formula>
    </cfRule>
    <cfRule type="expression" dxfId="398" priority="394">
      <formula>IF(CU46&gt;=CV46,IF(CU46="",FALSE,TRUE))</formula>
    </cfRule>
  </conditionalFormatting>
  <conditionalFormatting sqref="CX46:CX79 CV46:CV79">
    <cfRule type="expression" dxfId="397" priority="391">
      <formula>OR(IF(CV46&lt;CW46,TRUE),IF(AND(CW46="",CV46&lt;&gt;""),TRUE))</formula>
    </cfRule>
    <cfRule type="expression" dxfId="396" priority="392">
      <formula>IF(CV46&gt;=CW46,IF(CV46="",FALSE,TRUE))</formula>
    </cfRule>
  </conditionalFormatting>
  <conditionalFormatting sqref="J9:K9">
    <cfRule type="colorScale" priority="1974">
      <colorScale>
        <cfvo type="percent" val="0"/>
        <cfvo type="percent" val="100"/>
        <color rgb="FFFF231B"/>
        <color rgb="FF10FF07"/>
      </colorScale>
    </cfRule>
  </conditionalFormatting>
  <conditionalFormatting sqref="J9">
    <cfRule type="colorScale" priority="1975">
      <colorScale>
        <cfvo type="percent" val="0"/>
        <cfvo type="percent" val="100"/>
        <color rgb="FFFF231B"/>
        <color rgb="FF10FF07"/>
      </colorScale>
    </cfRule>
  </conditionalFormatting>
  <conditionalFormatting sqref="K9">
    <cfRule type="colorScale" priority="1976">
      <colorScale>
        <cfvo type="percent" val="0"/>
        <cfvo type="percent" val="100"/>
        <color rgb="FFFF231B"/>
        <color rgb="FF10FF07"/>
      </colorScale>
    </cfRule>
  </conditionalFormatting>
  <conditionalFormatting sqref="CN5:CQ14">
    <cfRule type="expression" dxfId="395" priority="389">
      <formula>OR(IF(CN5&lt;CO5,TRUE),IF(AND(CO5="",CN5&lt;&gt;""),TRUE))</formula>
    </cfRule>
    <cfRule type="expression" dxfId="394" priority="390">
      <formula>IF(CN5&gt;=CO5,IF(CN5="",FALSE,TRUE))</formula>
    </cfRule>
  </conditionalFormatting>
  <conditionalFormatting sqref="CG5:CJ14">
    <cfRule type="expression" dxfId="393" priority="387">
      <formula>OR(IF(CG5&lt;CH5,TRUE),IF(AND(CH5="",CG5&lt;&gt;""),TRUE))</formula>
    </cfRule>
    <cfRule type="expression" dxfId="392" priority="388">
      <formula>IF(CG5&gt;=CH5,IF(CG5="",FALSE,TRUE))</formula>
    </cfRule>
  </conditionalFormatting>
  <conditionalFormatting sqref="BZ5:CC14">
    <cfRule type="expression" dxfId="391" priority="385">
      <formula>OR(IF(BZ5&lt;CA5,TRUE),IF(AND(CA5="",BZ5&lt;&gt;""),TRUE))</formula>
    </cfRule>
    <cfRule type="expression" dxfId="390" priority="386">
      <formula>IF(BZ5&gt;=CA5,IF(BZ5="",FALSE,TRUE))</formula>
    </cfRule>
  </conditionalFormatting>
  <conditionalFormatting sqref="BS5:BV14">
    <cfRule type="expression" dxfId="389" priority="383">
      <formula>OR(IF(BS5&lt;BT5,TRUE),IF(AND(BT5="",BS5&lt;&gt;""),TRUE))</formula>
    </cfRule>
    <cfRule type="expression" dxfId="388" priority="384">
      <formula>IF(BS5&gt;=BT5,IF(BS5="",FALSE,TRUE))</formula>
    </cfRule>
  </conditionalFormatting>
  <conditionalFormatting sqref="AJ14:AM14">
    <cfRule type="expression" dxfId="387" priority="375">
      <formula>OR(IF(AJ14&lt;AK14,TRUE),IF(AND(AK14="",AJ14&lt;&gt;""),TRUE))</formula>
    </cfRule>
    <cfRule type="expression" dxfId="386" priority="376">
      <formula>IF(AJ14&gt;=AK14,IF(AJ14="",FALSE,TRUE))</formula>
    </cfRule>
  </conditionalFormatting>
  <conditionalFormatting sqref="AC13:AF14">
    <cfRule type="expression" dxfId="385" priority="373">
      <formula>OR(IF(AC13&lt;AD13,TRUE),IF(AND(AD13="",AC13&lt;&gt;""),TRUE))</formula>
    </cfRule>
    <cfRule type="expression" dxfId="384" priority="374">
      <formula>IF(AC13&gt;=AD13,IF(AC13="",FALSE,TRUE))</formula>
    </cfRule>
  </conditionalFormatting>
  <conditionalFormatting sqref="V10:Y14">
    <cfRule type="expression" dxfId="383" priority="371">
      <formula>OR(IF(V10&lt;W10,TRUE),IF(AND(W10="",V10&lt;&gt;""),TRUE))</formula>
    </cfRule>
    <cfRule type="expression" dxfId="382" priority="372">
      <formula>IF(V10&gt;=W10,IF(V10="",FALSE,TRUE))</formula>
    </cfRule>
  </conditionalFormatting>
  <conditionalFormatting sqref="O8:R14">
    <cfRule type="expression" dxfId="381" priority="369">
      <formula>OR(IF(O8&lt;P8,TRUE),IF(AND(P8="",O8&lt;&gt;""),TRUE))</formula>
    </cfRule>
    <cfRule type="expression" dxfId="380" priority="370">
      <formula>IF(O8&gt;=P8,IF(O8="",FALSE,TRUE))</formula>
    </cfRule>
  </conditionalFormatting>
  <conditionalFormatting sqref="BE5:BH14">
    <cfRule type="expression" dxfId="379" priority="367">
      <formula>OR(IF(BE5&lt;BF5,TRUE),IF(AND(BF5="",BE5&lt;&gt;""),TRUE))</formula>
    </cfRule>
    <cfRule type="expression" dxfId="378" priority="368">
      <formula>IF(BE5&gt;=BF5,IF(BE5="",FALSE,TRUE))</formula>
    </cfRule>
  </conditionalFormatting>
  <conditionalFormatting sqref="O5:R7">
    <cfRule type="expression" dxfId="377" priority="365">
      <formula>OR(IF(O5&lt;P5,TRUE),IF(AND(P5="",O5&lt;&gt;""),TRUE))</formula>
    </cfRule>
    <cfRule type="expression" dxfId="376" priority="366">
      <formula>IF(O5&gt;=P5,IF(O5="",FALSE,TRUE))</formula>
    </cfRule>
  </conditionalFormatting>
  <conditionalFormatting sqref="V5:Y9">
    <cfRule type="expression" dxfId="375" priority="363">
      <formula>OR(IF(V5&lt;W5,TRUE),IF(AND(W5="",V5&lt;&gt;""),TRUE))</formula>
    </cfRule>
    <cfRule type="expression" dxfId="374" priority="364">
      <formula>IF(V5&gt;=W5,IF(V5="",FALSE,TRUE))</formula>
    </cfRule>
  </conditionalFormatting>
  <conditionalFormatting sqref="AC5:AF12">
    <cfRule type="expression" dxfId="373" priority="361">
      <formula>OR(IF(AC5&lt;AD5,TRUE),IF(AND(AD5="",AC5&lt;&gt;""),TRUE))</formula>
    </cfRule>
    <cfRule type="expression" dxfId="372" priority="362">
      <formula>IF(AC5&gt;=AD5,IF(AC5="",FALSE,TRUE))</formula>
    </cfRule>
  </conditionalFormatting>
  <conditionalFormatting sqref="AJ5:AM13">
    <cfRule type="expression" dxfId="371" priority="359">
      <formula>OR(IF(AJ5&lt;AK5,TRUE),IF(AND(AK5="",AJ5&lt;&gt;""),TRUE))</formula>
    </cfRule>
    <cfRule type="expression" dxfId="370" priority="360">
      <formula>IF(AJ5&gt;=AK5,IF(AJ5="",FALSE,TRUE))</formula>
    </cfRule>
  </conditionalFormatting>
  <conditionalFormatting sqref="AQ5:AT14">
    <cfRule type="expression" dxfId="369" priority="357">
      <formula>OR(IF(AQ5&lt;AR5,TRUE),IF(AND(AR5="",AQ5&lt;&gt;""),TRUE))</formula>
    </cfRule>
    <cfRule type="expression" dxfId="368" priority="358">
      <formula>IF(AQ5&gt;=AR5,IF(AQ5="",FALSE,TRUE))</formula>
    </cfRule>
  </conditionalFormatting>
  <conditionalFormatting sqref="AX5:BA14">
    <cfRule type="expression" dxfId="367" priority="355">
      <formula>OR(IF(AX5&lt;AY5,TRUE),IF(AND(AY5="",AX5&lt;&gt;""),TRUE))</formula>
    </cfRule>
    <cfRule type="expression" dxfId="366" priority="356">
      <formula>IF(AX5&gt;=AY5,IF(AX5="",FALSE,TRUE))</formula>
    </cfRule>
  </conditionalFormatting>
  <conditionalFormatting sqref="CP42:CP43">
    <cfRule type="expression" dxfId="365" priority="353">
      <formula>OR(IF(CP42&lt;CQ42,TRUE),IF(AND(CQ42="",CP42&lt;&gt;""),TRUE))</formula>
    </cfRule>
    <cfRule type="expression" dxfId="364" priority="354">
      <formula>IF(CP42&gt;=CQ42,IF(CP42="",FALSE,TRUE))</formula>
    </cfRule>
  </conditionalFormatting>
  <conditionalFormatting sqref="CP31:CP41 CN31:CN43">
    <cfRule type="expression" dxfId="363" priority="351">
      <formula>OR(IF(CN31&lt;CO31,TRUE),IF(AND(CO31="",CN31&lt;&gt;""),TRUE))</formula>
    </cfRule>
    <cfRule type="expression" dxfId="362" priority="352">
      <formula>IF(CN31&gt;=CO31,IF(CN31="",FALSE,TRUE))</formula>
    </cfRule>
  </conditionalFormatting>
  <conditionalFormatting sqref="CO31:CO43 CQ31:CQ43">
    <cfRule type="expression" dxfId="361" priority="349">
      <formula>OR(IF(CO31&lt;CP31,TRUE),IF(AND(CP31="",CO31&lt;&gt;""),TRUE))</formula>
    </cfRule>
    <cfRule type="expression" dxfId="360" priority="350">
      <formula>IF(CO31&gt;=CP31,IF(CO31="",FALSE,TRUE))</formula>
    </cfRule>
  </conditionalFormatting>
  <conditionalFormatting sqref="CI42:CI43">
    <cfRule type="expression" dxfId="359" priority="347">
      <formula>OR(IF(CI42&lt;CJ42,TRUE),IF(AND(CJ42="",CI42&lt;&gt;""),TRUE))</formula>
    </cfRule>
    <cfRule type="expression" dxfId="358" priority="348">
      <formula>IF(CI42&gt;=CJ42,IF(CI42="",FALSE,TRUE))</formula>
    </cfRule>
  </conditionalFormatting>
  <conditionalFormatting sqref="CI31:CI41 CG31:CG43">
    <cfRule type="expression" dxfId="357" priority="345">
      <formula>OR(IF(CG31&lt;CH31,TRUE),IF(AND(CH31="",CG31&lt;&gt;""),TRUE))</formula>
    </cfRule>
    <cfRule type="expression" dxfId="356" priority="346">
      <formula>IF(CG31&gt;=CH31,IF(CG31="",FALSE,TRUE))</formula>
    </cfRule>
  </conditionalFormatting>
  <conditionalFormatting sqref="CH31:CH43 CJ31:CJ43">
    <cfRule type="expression" dxfId="355" priority="343">
      <formula>OR(IF(CH31&lt;CI31,TRUE),IF(AND(CI31="",CH31&lt;&gt;""),TRUE))</formula>
    </cfRule>
    <cfRule type="expression" dxfId="354" priority="344">
      <formula>IF(CH31&gt;=CI31,IF(CH31="",FALSE,TRUE))</formula>
    </cfRule>
  </conditionalFormatting>
  <conditionalFormatting sqref="CA31:CA43 CC31:CC43">
    <cfRule type="expression" dxfId="353" priority="337">
      <formula>OR(IF(CA31&lt;CB31,TRUE),IF(AND(CB31="",CA31&lt;&gt;""),TRUE))</formula>
    </cfRule>
    <cfRule type="expression" dxfId="352" priority="338">
      <formula>IF(CA31&gt;=CB31,IF(CA31="",FALSE,TRUE))</formula>
    </cfRule>
  </conditionalFormatting>
  <conditionalFormatting sqref="CB42:CB43">
    <cfRule type="expression" dxfId="351" priority="341">
      <formula>OR(IF(CB42&lt;CC42,TRUE),IF(AND(CC42="",CB42&lt;&gt;""),TRUE))</formula>
    </cfRule>
    <cfRule type="expression" dxfId="350" priority="342">
      <formula>IF(CB42&gt;=CC42,IF(CB42="",FALSE,TRUE))</formula>
    </cfRule>
  </conditionalFormatting>
  <conditionalFormatting sqref="CB31:CB41 BZ31:BZ43">
    <cfRule type="expression" dxfId="349" priority="339">
      <formula>OR(IF(BZ31&lt;CA31,TRUE),IF(AND(CA31="",BZ31&lt;&gt;""),TRUE))</formula>
    </cfRule>
    <cfRule type="expression" dxfId="348" priority="340">
      <formula>IF(BZ31&gt;=CA31,IF(BZ31="",FALSE,TRUE))</formula>
    </cfRule>
  </conditionalFormatting>
  <conditionalFormatting sqref="BF31:BF43 BH31:BH43">
    <cfRule type="expression" dxfId="347" priority="331">
      <formula>OR(IF(BF31&lt;BG31,TRUE),IF(AND(BG31="",BF31&lt;&gt;""),TRUE))</formula>
    </cfRule>
    <cfRule type="expression" dxfId="346" priority="332">
      <formula>IF(BF31&gt;=BG31,IF(BF31="",FALSE,TRUE))</formula>
    </cfRule>
  </conditionalFormatting>
  <conditionalFormatting sqref="BG42:BG43">
    <cfRule type="expression" dxfId="345" priority="335">
      <formula>OR(IF(BG42&lt;BH42,TRUE),IF(AND(BH42="",BG42&lt;&gt;""),TRUE))</formula>
    </cfRule>
    <cfRule type="expression" dxfId="344" priority="336">
      <formula>IF(BG42&gt;=BH42,IF(BG42="",FALSE,TRUE))</formula>
    </cfRule>
  </conditionalFormatting>
  <conditionalFormatting sqref="BG31:BG41 BE31:BE43">
    <cfRule type="expression" dxfId="343" priority="333">
      <formula>OR(IF(BE31&lt;BF31,TRUE),IF(AND(BF31="",BE31&lt;&gt;""),TRUE))</formula>
    </cfRule>
    <cfRule type="expression" dxfId="342" priority="334">
      <formula>IF(BE31&gt;=BF31,IF(BE31="",FALSE,TRUE))</formula>
    </cfRule>
  </conditionalFormatting>
  <conditionalFormatting sqref="AR31:AR43 AT31:AT43">
    <cfRule type="expression" dxfId="335" priority="319">
      <formula>OR(IF(AR31&lt;AS31,TRUE),IF(AND(AS31="",AR31&lt;&gt;""),TRUE))</formula>
    </cfRule>
    <cfRule type="expression" dxfId="334" priority="320">
      <formula>IF(AR31&gt;=AS31,IF(AR31="",FALSE,TRUE))</formula>
    </cfRule>
  </conditionalFormatting>
  <conditionalFormatting sqref="AS42:AS43">
    <cfRule type="expression" dxfId="333" priority="323">
      <formula>OR(IF(AS42&lt;AT42,TRUE),IF(AND(AT42="",AS42&lt;&gt;""),TRUE))</formula>
    </cfRule>
    <cfRule type="expression" dxfId="332" priority="324">
      <formula>IF(AS42&gt;=AT42,IF(AS42="",FALSE,TRUE))</formula>
    </cfRule>
  </conditionalFormatting>
  <conditionalFormatting sqref="AS31:AS41 AQ31:AQ43">
    <cfRule type="expression" dxfId="331" priority="321">
      <formula>OR(IF(AQ31&lt;AR31,TRUE),IF(AND(AR31="",AQ31&lt;&gt;""),TRUE))</formula>
    </cfRule>
    <cfRule type="expression" dxfId="330" priority="322">
      <formula>IF(AQ31&gt;=AR31,IF(AQ31="",FALSE,TRUE))</formula>
    </cfRule>
  </conditionalFormatting>
  <conditionalFormatting sqref="AY31:AY43 BA31:BA43">
    <cfRule type="expression" dxfId="329" priority="313">
      <formula>OR(IF(AY31&lt;AZ31,TRUE),IF(AND(AZ31="",AY31&lt;&gt;""),TRUE))</formula>
    </cfRule>
    <cfRule type="expression" dxfId="328" priority="314">
      <formula>IF(AY31&gt;=AZ31,IF(AY31="",FALSE,TRUE))</formula>
    </cfRule>
  </conditionalFormatting>
  <conditionalFormatting sqref="AZ42:AZ43">
    <cfRule type="expression" dxfId="327" priority="317">
      <formula>OR(IF(AZ42&lt;BA42,TRUE),IF(AND(BA42="",AZ42&lt;&gt;""),TRUE))</formula>
    </cfRule>
    <cfRule type="expression" dxfId="326" priority="318">
      <formula>IF(AZ42&gt;=BA42,IF(AZ42="",FALSE,TRUE))</formula>
    </cfRule>
  </conditionalFormatting>
  <conditionalFormatting sqref="AZ31:AZ41 AX31:AX43">
    <cfRule type="expression" dxfId="325" priority="315">
      <formula>OR(IF(AX31&lt;AY31,TRUE),IF(AND(AY31="",AX31&lt;&gt;""),TRUE))</formula>
    </cfRule>
    <cfRule type="expression" dxfId="324" priority="316">
      <formula>IF(AX31&gt;=AY31,IF(AX31="",FALSE,TRUE))</formula>
    </cfRule>
  </conditionalFormatting>
  <conditionalFormatting sqref="AM31:AM42 AK31:AK42">
    <cfRule type="expression" dxfId="323" priority="307">
      <formula>OR(IF(AK31&lt;AL31,TRUE),IF(AND(AL31="",AK31&lt;&gt;""),TRUE))</formula>
    </cfRule>
    <cfRule type="expression" dxfId="322" priority="308">
      <formula>IF(AK31&gt;=AL31,IF(AK31="",FALSE,TRUE))</formula>
    </cfRule>
  </conditionalFormatting>
  <conditionalFormatting sqref="AL42">
    <cfRule type="expression" dxfId="321" priority="311">
      <formula>OR(IF(AL42&lt;AM42,TRUE),IF(AND(AM42="",AL42&lt;&gt;""),TRUE))</formula>
    </cfRule>
    <cfRule type="expression" dxfId="320" priority="312">
      <formula>IF(AL42&gt;=AM42,IF(AL42="",FALSE,TRUE))</formula>
    </cfRule>
  </conditionalFormatting>
  <conditionalFormatting sqref="AL31:AL41 AJ31:AJ42">
    <cfRule type="expression" dxfId="319" priority="309">
      <formula>OR(IF(AJ31&lt;AK31,TRUE),IF(AND(AK31="",AJ31&lt;&gt;""),TRUE))</formula>
    </cfRule>
    <cfRule type="expression" dxfId="318" priority="310">
      <formula>IF(AJ31&gt;=AK31,IF(AJ31="",FALSE,TRUE))</formula>
    </cfRule>
  </conditionalFormatting>
  <conditionalFormatting sqref="AF31:AF41 AD31:AD41">
    <cfRule type="expression" dxfId="317" priority="303">
      <formula>OR(IF(AD31&lt;AE31,TRUE),IF(AND(AE31="",AD31&lt;&gt;""),TRUE))</formula>
    </cfRule>
    <cfRule type="expression" dxfId="316" priority="304">
      <formula>IF(AD31&gt;=AE31,IF(AD31="",FALSE,TRUE))</formula>
    </cfRule>
  </conditionalFormatting>
  <conditionalFormatting sqref="AE31:AE41 AC31:AC41">
    <cfRule type="expression" dxfId="315" priority="305">
      <formula>OR(IF(AC31&lt;AD31,TRUE),IF(AND(AD31="",AC31&lt;&gt;""),TRUE))</formula>
    </cfRule>
    <cfRule type="expression" dxfId="314" priority="306">
      <formula>IF(AC31&gt;=AD31,IF(AC31="",FALSE,TRUE))</formula>
    </cfRule>
  </conditionalFormatting>
  <conditionalFormatting sqref="Y31:Y39 W31:W39">
    <cfRule type="expression" dxfId="301" priority="299">
      <formula>OR(IF(W31&lt;X31,TRUE),IF(AND(X31="",W31&lt;&gt;""),TRUE))</formula>
    </cfRule>
    <cfRule type="expression" dxfId="300" priority="300">
      <formula>IF(W31&gt;=X31,IF(W31="",FALSE,TRUE))</formula>
    </cfRule>
  </conditionalFormatting>
  <conditionalFormatting sqref="X31:X39 V31:V39">
    <cfRule type="expression" dxfId="299" priority="301">
      <formula>OR(IF(V31&lt;W31,TRUE),IF(AND(W31="",V31&lt;&gt;""),TRUE))</formula>
    </cfRule>
    <cfRule type="expression" dxfId="298" priority="302">
      <formula>IF(V31&gt;=W31,IF(V31="",FALSE,TRUE))</formula>
    </cfRule>
  </conditionalFormatting>
  <conditionalFormatting sqref="R31:R36 P31:P36">
    <cfRule type="expression" dxfId="297" priority="295">
      <formula>OR(IF(P31&lt;Q31,TRUE),IF(AND(Q31="",P31&lt;&gt;""),TRUE))</formula>
    </cfRule>
    <cfRule type="expression" dxfId="296" priority="296">
      <formula>IF(P31&gt;=Q31,IF(P31="",FALSE,TRUE))</formula>
    </cfRule>
  </conditionalFormatting>
  <conditionalFormatting sqref="Q31:Q36 O31:O36">
    <cfRule type="expression" dxfId="295" priority="297">
      <formula>OR(IF(O31&lt;P31,TRUE),IF(AND(P31="",O31&lt;&gt;""),TRUE))</formula>
    </cfRule>
    <cfRule type="expression" dxfId="294" priority="298">
      <formula>IF(O31&gt;=P31,IF(O31="",FALSE,TRUE))</formula>
    </cfRule>
  </conditionalFormatting>
  <conditionalFormatting sqref="CP59 CN59 CN79 CP79">
    <cfRule type="expression" dxfId="293" priority="293">
      <formula>OR(IF(CN59&lt;CO59,TRUE),IF(AND(CO59="",CN59&lt;&gt;""),TRUE))</formula>
    </cfRule>
    <cfRule type="expression" dxfId="292" priority="294">
      <formula>IF(CN59&gt;=CO59,IF(CN59="",FALSE,TRUE))</formula>
    </cfRule>
  </conditionalFormatting>
  <conditionalFormatting sqref="CN60 CP60">
    <cfRule type="expression" dxfId="291" priority="291">
      <formula>OR(IF(CN60&lt;CO60,TRUE),IF(AND(CO60="",CN60&lt;&gt;""),TRUE))</formula>
    </cfRule>
    <cfRule type="expression" dxfId="290" priority="292">
      <formula>IF(CN60&gt;=CO60,IF(CN60="",FALSE,TRUE))</formula>
    </cfRule>
  </conditionalFormatting>
  <conditionalFormatting sqref="CN61 CP61">
    <cfRule type="expression" dxfId="289" priority="289">
      <formula>OR(IF(CN61&lt;CO61,TRUE),IF(AND(CO61="",CN61&lt;&gt;""),TRUE))</formula>
    </cfRule>
    <cfRule type="expression" dxfId="288" priority="290">
      <formula>IF(CN61&gt;=CO61,IF(CN61="",FALSE,TRUE))</formula>
    </cfRule>
  </conditionalFormatting>
  <conditionalFormatting sqref="CN62 CP62">
    <cfRule type="expression" dxfId="287" priority="287">
      <formula>OR(IF(CN62&lt;CO62,TRUE),IF(AND(CO62="",CN62&lt;&gt;""),TRUE))</formula>
    </cfRule>
    <cfRule type="expression" dxfId="286" priority="288">
      <formula>IF(CN62&gt;=CO62,IF(CN62="",FALSE,TRUE))</formula>
    </cfRule>
  </conditionalFormatting>
  <conditionalFormatting sqref="CN63 CP63">
    <cfRule type="expression" dxfId="285" priority="285">
      <formula>OR(IF(CN63&lt;CO63,TRUE),IF(AND(CO63="",CN63&lt;&gt;""),TRUE))</formula>
    </cfRule>
    <cfRule type="expression" dxfId="284" priority="286">
      <formula>IF(CN63&gt;=CO63,IF(CN63="",FALSE,TRUE))</formula>
    </cfRule>
  </conditionalFormatting>
  <conditionalFormatting sqref="CN64 CP64">
    <cfRule type="expression" dxfId="283" priority="283">
      <formula>OR(IF(CN64&lt;CO64,TRUE),IF(AND(CO64="",CN64&lt;&gt;""),TRUE))</formula>
    </cfRule>
    <cfRule type="expression" dxfId="282" priority="284">
      <formula>IF(CN64&gt;=CO64,IF(CN64="",FALSE,TRUE))</formula>
    </cfRule>
  </conditionalFormatting>
  <conditionalFormatting sqref="CN65 CP65">
    <cfRule type="expression" dxfId="281" priority="281">
      <formula>OR(IF(CN65&lt;CO65,TRUE),IF(AND(CO65="",CN65&lt;&gt;""),TRUE))</formula>
    </cfRule>
    <cfRule type="expression" dxfId="280" priority="282">
      <formula>IF(CN65&gt;=CO65,IF(CN65="",FALSE,TRUE))</formula>
    </cfRule>
  </conditionalFormatting>
  <conditionalFormatting sqref="CN66 CP66">
    <cfRule type="expression" dxfId="279" priority="279">
      <formula>OR(IF(CN66&lt;CO66,TRUE),IF(AND(CO66="",CN66&lt;&gt;""),TRUE))</formula>
    </cfRule>
    <cfRule type="expression" dxfId="278" priority="280">
      <formula>IF(CN66&gt;=CO66,IF(CN66="",FALSE,TRUE))</formula>
    </cfRule>
  </conditionalFormatting>
  <conditionalFormatting sqref="CN67 CP67">
    <cfRule type="expression" dxfId="277" priority="277">
      <formula>OR(IF(CN67&lt;CO67,TRUE),IF(AND(CO67="",CN67&lt;&gt;""),TRUE))</formula>
    </cfRule>
    <cfRule type="expression" dxfId="276" priority="278">
      <formula>IF(CN67&gt;=CO67,IF(CN67="",FALSE,TRUE))</formula>
    </cfRule>
  </conditionalFormatting>
  <conditionalFormatting sqref="CN68:CN78 CP68:CP78">
    <cfRule type="expression" dxfId="275" priority="275">
      <formula>OR(IF(CN68&lt;CO68,TRUE),IF(AND(CO68="",CN68&lt;&gt;""),TRUE))</formula>
    </cfRule>
    <cfRule type="expression" dxfId="274" priority="276">
      <formula>IF(CN68&gt;=CO68,IF(CN68="",FALSE,TRUE))</formula>
    </cfRule>
  </conditionalFormatting>
  <conditionalFormatting sqref="CP57:CP58">
    <cfRule type="expression" dxfId="273" priority="273">
      <formula>OR(IF(CP57&lt;CQ57,TRUE),IF(AND(CQ57="",CP57&lt;&gt;""),TRUE))</formula>
    </cfRule>
    <cfRule type="expression" dxfId="272" priority="274">
      <formula>IF(CP57&gt;=CQ57,IF(CP57="",FALSE,TRUE))</formula>
    </cfRule>
  </conditionalFormatting>
  <conditionalFormatting sqref="CP46:CP56 CN46:CN58">
    <cfRule type="expression" dxfId="271" priority="271">
      <formula>OR(IF(CN46&lt;CO46,TRUE),IF(AND(CO46="",CN46&lt;&gt;""),TRUE))</formula>
    </cfRule>
    <cfRule type="expression" dxfId="270" priority="272">
      <formula>IF(CN46&gt;=CO46,IF(CN46="",FALSE,TRUE))</formula>
    </cfRule>
  </conditionalFormatting>
  <conditionalFormatting sqref="CO46:CO79 CQ46:CQ79">
    <cfRule type="expression" dxfId="269" priority="269">
      <formula>OR(IF(CO46&lt;CP46,TRUE),IF(AND(CP46="",CO46&lt;&gt;""),TRUE))</formula>
    </cfRule>
    <cfRule type="expression" dxfId="268" priority="270">
      <formula>IF(CO46&gt;=CP46,IF(CO46="",FALSE,TRUE))</formula>
    </cfRule>
  </conditionalFormatting>
  <conditionalFormatting sqref="CI59 CG59 CG79 CI79">
    <cfRule type="expression" dxfId="267" priority="267">
      <formula>OR(IF(CG59&lt;CH59,TRUE),IF(AND(CH59="",CG59&lt;&gt;""),TRUE))</formula>
    </cfRule>
    <cfRule type="expression" dxfId="266" priority="268">
      <formula>IF(CG59&gt;=CH59,IF(CG59="",FALSE,TRUE))</formula>
    </cfRule>
  </conditionalFormatting>
  <conditionalFormatting sqref="CG60 CI60">
    <cfRule type="expression" dxfId="265" priority="265">
      <formula>OR(IF(CG60&lt;CH60,TRUE),IF(AND(CH60="",CG60&lt;&gt;""),TRUE))</formula>
    </cfRule>
    <cfRule type="expression" dxfId="264" priority="266">
      <formula>IF(CG60&gt;=CH60,IF(CG60="",FALSE,TRUE))</formula>
    </cfRule>
  </conditionalFormatting>
  <conditionalFormatting sqref="CG61 CI61">
    <cfRule type="expression" dxfId="263" priority="263">
      <formula>OR(IF(CG61&lt;CH61,TRUE),IF(AND(CH61="",CG61&lt;&gt;""),TRUE))</formula>
    </cfRule>
    <cfRule type="expression" dxfId="262" priority="264">
      <formula>IF(CG61&gt;=CH61,IF(CG61="",FALSE,TRUE))</formula>
    </cfRule>
  </conditionalFormatting>
  <conditionalFormatting sqref="CG62 CI62">
    <cfRule type="expression" dxfId="261" priority="261">
      <formula>OR(IF(CG62&lt;CH62,TRUE),IF(AND(CH62="",CG62&lt;&gt;""),TRUE))</formula>
    </cfRule>
    <cfRule type="expression" dxfId="260" priority="262">
      <formula>IF(CG62&gt;=CH62,IF(CG62="",FALSE,TRUE))</formula>
    </cfRule>
  </conditionalFormatting>
  <conditionalFormatting sqref="CG63 CI63">
    <cfRule type="expression" dxfId="259" priority="259">
      <formula>OR(IF(CG63&lt;CH63,TRUE),IF(AND(CH63="",CG63&lt;&gt;""),TRUE))</formula>
    </cfRule>
    <cfRule type="expression" dxfId="258" priority="260">
      <formula>IF(CG63&gt;=CH63,IF(CG63="",FALSE,TRUE))</formula>
    </cfRule>
  </conditionalFormatting>
  <conditionalFormatting sqref="CG64 CI64">
    <cfRule type="expression" dxfId="257" priority="257">
      <formula>OR(IF(CG64&lt;CH64,TRUE),IF(AND(CH64="",CG64&lt;&gt;""),TRUE))</formula>
    </cfRule>
    <cfRule type="expression" dxfId="256" priority="258">
      <formula>IF(CG64&gt;=CH64,IF(CG64="",FALSE,TRUE))</formula>
    </cfRule>
  </conditionalFormatting>
  <conditionalFormatting sqref="CG65 CI65">
    <cfRule type="expression" dxfId="255" priority="255">
      <formula>OR(IF(CG65&lt;CH65,TRUE),IF(AND(CH65="",CG65&lt;&gt;""),TRUE))</formula>
    </cfRule>
    <cfRule type="expression" dxfId="254" priority="256">
      <formula>IF(CG65&gt;=CH65,IF(CG65="",FALSE,TRUE))</formula>
    </cfRule>
  </conditionalFormatting>
  <conditionalFormatting sqref="CG66 CI66">
    <cfRule type="expression" dxfId="253" priority="253">
      <formula>OR(IF(CG66&lt;CH66,TRUE),IF(AND(CH66="",CG66&lt;&gt;""),TRUE))</formula>
    </cfRule>
    <cfRule type="expression" dxfId="252" priority="254">
      <formula>IF(CG66&gt;=CH66,IF(CG66="",FALSE,TRUE))</formula>
    </cfRule>
  </conditionalFormatting>
  <conditionalFormatting sqref="CG67 CI67">
    <cfRule type="expression" dxfId="251" priority="251">
      <formula>OR(IF(CG67&lt;CH67,TRUE),IF(AND(CH67="",CG67&lt;&gt;""),TRUE))</formula>
    </cfRule>
    <cfRule type="expression" dxfId="250" priority="252">
      <formula>IF(CG67&gt;=CH67,IF(CG67="",FALSE,TRUE))</formula>
    </cfRule>
  </conditionalFormatting>
  <conditionalFormatting sqref="CG68:CG78 CI68:CI78">
    <cfRule type="expression" dxfId="249" priority="249">
      <formula>OR(IF(CG68&lt;CH68,TRUE),IF(AND(CH68="",CG68&lt;&gt;""),TRUE))</formula>
    </cfRule>
    <cfRule type="expression" dxfId="248" priority="250">
      <formula>IF(CG68&gt;=CH68,IF(CG68="",FALSE,TRUE))</formula>
    </cfRule>
  </conditionalFormatting>
  <conditionalFormatting sqref="CI57:CI58">
    <cfRule type="expression" dxfId="247" priority="247">
      <formula>OR(IF(CI57&lt;CJ57,TRUE),IF(AND(CJ57="",CI57&lt;&gt;""),TRUE))</formula>
    </cfRule>
    <cfRule type="expression" dxfId="246" priority="248">
      <formula>IF(CI57&gt;=CJ57,IF(CI57="",FALSE,TRUE))</formula>
    </cfRule>
  </conditionalFormatting>
  <conditionalFormatting sqref="CI46:CI56 CG46:CG58">
    <cfRule type="expression" dxfId="245" priority="245">
      <formula>OR(IF(CG46&lt;CH46,TRUE),IF(AND(CH46="",CG46&lt;&gt;""),TRUE))</formula>
    </cfRule>
    <cfRule type="expression" dxfId="244" priority="246">
      <formula>IF(CG46&gt;=CH46,IF(CG46="",FALSE,TRUE))</formula>
    </cfRule>
  </conditionalFormatting>
  <conditionalFormatting sqref="CH46:CH79 CJ46:CJ79">
    <cfRule type="expression" dxfId="243" priority="243">
      <formula>OR(IF(CH46&lt;CI46,TRUE),IF(AND(CI46="",CH46&lt;&gt;""),TRUE))</formula>
    </cfRule>
    <cfRule type="expression" dxfId="242" priority="244">
      <formula>IF(CH46&gt;=CI46,IF(CH46="",FALSE,TRUE))</formula>
    </cfRule>
  </conditionalFormatting>
  <conditionalFormatting sqref="CB59 BZ59 BZ79 CB79">
    <cfRule type="expression" dxfId="241" priority="241">
      <formula>OR(IF(BZ59&lt;CA59,TRUE),IF(AND(CA59="",BZ59&lt;&gt;""),TRUE))</formula>
    </cfRule>
    <cfRule type="expression" dxfId="240" priority="242">
      <formula>IF(BZ59&gt;=CA59,IF(BZ59="",FALSE,TRUE))</formula>
    </cfRule>
  </conditionalFormatting>
  <conditionalFormatting sqref="BZ60 CB60">
    <cfRule type="expression" dxfId="239" priority="239">
      <formula>OR(IF(BZ60&lt;CA60,TRUE),IF(AND(CA60="",BZ60&lt;&gt;""),TRUE))</formula>
    </cfRule>
    <cfRule type="expression" dxfId="238" priority="240">
      <formula>IF(BZ60&gt;=CA60,IF(BZ60="",FALSE,TRUE))</formula>
    </cfRule>
  </conditionalFormatting>
  <conditionalFormatting sqref="BZ61 CB61">
    <cfRule type="expression" dxfId="237" priority="237">
      <formula>OR(IF(BZ61&lt;CA61,TRUE),IF(AND(CA61="",BZ61&lt;&gt;""),TRUE))</formula>
    </cfRule>
    <cfRule type="expression" dxfId="236" priority="238">
      <formula>IF(BZ61&gt;=CA61,IF(BZ61="",FALSE,TRUE))</formula>
    </cfRule>
  </conditionalFormatting>
  <conditionalFormatting sqref="BZ62 CB62">
    <cfRule type="expression" dxfId="235" priority="235">
      <formula>OR(IF(BZ62&lt;CA62,TRUE),IF(AND(CA62="",BZ62&lt;&gt;""),TRUE))</formula>
    </cfRule>
    <cfRule type="expression" dxfId="234" priority="236">
      <formula>IF(BZ62&gt;=CA62,IF(BZ62="",FALSE,TRUE))</formula>
    </cfRule>
  </conditionalFormatting>
  <conditionalFormatting sqref="BZ63 CB63">
    <cfRule type="expression" dxfId="233" priority="233">
      <formula>OR(IF(BZ63&lt;CA63,TRUE),IF(AND(CA63="",BZ63&lt;&gt;""),TRUE))</formula>
    </cfRule>
    <cfRule type="expression" dxfId="232" priority="234">
      <formula>IF(BZ63&gt;=CA63,IF(BZ63="",FALSE,TRUE))</formula>
    </cfRule>
  </conditionalFormatting>
  <conditionalFormatting sqref="BZ64 CB64">
    <cfRule type="expression" dxfId="231" priority="231">
      <formula>OR(IF(BZ64&lt;CA64,TRUE),IF(AND(CA64="",BZ64&lt;&gt;""),TRUE))</formula>
    </cfRule>
    <cfRule type="expression" dxfId="230" priority="232">
      <formula>IF(BZ64&gt;=CA64,IF(BZ64="",FALSE,TRUE))</formula>
    </cfRule>
  </conditionalFormatting>
  <conditionalFormatting sqref="BZ65 CB65">
    <cfRule type="expression" dxfId="229" priority="229">
      <formula>OR(IF(BZ65&lt;CA65,TRUE),IF(AND(CA65="",BZ65&lt;&gt;""),TRUE))</formula>
    </cfRule>
    <cfRule type="expression" dxfId="228" priority="230">
      <formula>IF(BZ65&gt;=CA65,IF(BZ65="",FALSE,TRUE))</formula>
    </cfRule>
  </conditionalFormatting>
  <conditionalFormatting sqref="BZ66 CB66">
    <cfRule type="expression" dxfId="227" priority="227">
      <formula>OR(IF(BZ66&lt;CA66,TRUE),IF(AND(CA66="",BZ66&lt;&gt;""),TRUE))</formula>
    </cfRule>
    <cfRule type="expression" dxfId="226" priority="228">
      <formula>IF(BZ66&gt;=CA66,IF(BZ66="",FALSE,TRUE))</formula>
    </cfRule>
  </conditionalFormatting>
  <conditionalFormatting sqref="BZ67 CB67">
    <cfRule type="expression" dxfId="225" priority="225">
      <formula>OR(IF(BZ67&lt;CA67,TRUE),IF(AND(CA67="",BZ67&lt;&gt;""),TRUE))</formula>
    </cfRule>
    <cfRule type="expression" dxfId="224" priority="226">
      <formula>IF(BZ67&gt;=CA67,IF(BZ67="",FALSE,TRUE))</formula>
    </cfRule>
  </conditionalFormatting>
  <conditionalFormatting sqref="BZ68:BZ78 CB68:CB78">
    <cfRule type="expression" dxfId="223" priority="223">
      <formula>OR(IF(BZ68&lt;CA68,TRUE),IF(AND(CA68="",BZ68&lt;&gt;""),TRUE))</formula>
    </cfRule>
    <cfRule type="expression" dxfId="222" priority="224">
      <formula>IF(BZ68&gt;=CA68,IF(BZ68="",FALSE,TRUE))</formula>
    </cfRule>
  </conditionalFormatting>
  <conditionalFormatting sqref="CB57:CB58">
    <cfRule type="expression" dxfId="221" priority="221">
      <formula>OR(IF(CB57&lt;CC57,TRUE),IF(AND(CC57="",CB57&lt;&gt;""),TRUE))</formula>
    </cfRule>
    <cfRule type="expression" dxfId="220" priority="222">
      <formula>IF(CB57&gt;=CC57,IF(CB57="",FALSE,TRUE))</formula>
    </cfRule>
  </conditionalFormatting>
  <conditionalFormatting sqref="CB46:CB56 BZ46:BZ58">
    <cfRule type="expression" dxfId="219" priority="219">
      <formula>OR(IF(BZ46&lt;CA46,TRUE),IF(AND(CA46="",BZ46&lt;&gt;""),TRUE))</formula>
    </cfRule>
    <cfRule type="expression" dxfId="218" priority="220">
      <formula>IF(BZ46&gt;=CA46,IF(BZ46="",FALSE,TRUE))</formula>
    </cfRule>
  </conditionalFormatting>
  <conditionalFormatting sqref="CA46:CA79 CC46:CC79">
    <cfRule type="expression" dxfId="217" priority="217">
      <formula>OR(IF(CA46&lt;CB46,TRUE),IF(AND(CB46="",CA46&lt;&gt;""),TRUE))</formula>
    </cfRule>
    <cfRule type="expression" dxfId="216" priority="218">
      <formula>IF(CA46&gt;=CB46,IF(CA46="",FALSE,TRUE))</formula>
    </cfRule>
  </conditionalFormatting>
  <conditionalFormatting sqref="AZ59 AX59 AX79 AZ79">
    <cfRule type="expression" dxfId="137" priority="137">
      <formula>OR(IF(AX59&lt;AY59,TRUE),IF(AND(AY59="",AX59&lt;&gt;""),TRUE))</formula>
    </cfRule>
    <cfRule type="expression" dxfId="136" priority="138">
      <formula>IF(AX59&gt;=AY59,IF(AX59="",FALSE,TRUE))</formula>
    </cfRule>
  </conditionalFormatting>
  <conditionalFormatting sqref="AX60 AZ60">
    <cfRule type="expression" dxfId="135" priority="135">
      <formula>OR(IF(AX60&lt;AY60,TRUE),IF(AND(AY60="",AX60&lt;&gt;""),TRUE))</formula>
    </cfRule>
    <cfRule type="expression" dxfId="134" priority="136">
      <formula>IF(AX60&gt;=AY60,IF(AX60="",FALSE,TRUE))</formula>
    </cfRule>
  </conditionalFormatting>
  <conditionalFormatting sqref="AX61 AZ61">
    <cfRule type="expression" dxfId="133" priority="133">
      <formula>OR(IF(AX61&lt;AY61,TRUE),IF(AND(AY61="",AX61&lt;&gt;""),TRUE))</formula>
    </cfRule>
    <cfRule type="expression" dxfId="132" priority="134">
      <formula>IF(AX61&gt;=AY61,IF(AX61="",FALSE,TRUE))</formula>
    </cfRule>
  </conditionalFormatting>
  <conditionalFormatting sqref="AX62 AZ62">
    <cfRule type="expression" dxfId="131" priority="131">
      <formula>OR(IF(AX62&lt;AY62,TRUE),IF(AND(AY62="",AX62&lt;&gt;""),TRUE))</formula>
    </cfRule>
    <cfRule type="expression" dxfId="130" priority="132">
      <formula>IF(AX62&gt;=AY62,IF(AX62="",FALSE,TRUE))</formula>
    </cfRule>
  </conditionalFormatting>
  <conditionalFormatting sqref="AX63 AZ63">
    <cfRule type="expression" dxfId="129" priority="129">
      <formula>OR(IF(AX63&lt;AY63,TRUE),IF(AND(AY63="",AX63&lt;&gt;""),TRUE))</formula>
    </cfRule>
    <cfRule type="expression" dxfId="128" priority="130">
      <formula>IF(AX63&gt;=AY63,IF(AX63="",FALSE,TRUE))</formula>
    </cfRule>
  </conditionalFormatting>
  <conditionalFormatting sqref="AX64 AZ64">
    <cfRule type="expression" dxfId="127" priority="127">
      <formula>OR(IF(AX64&lt;AY64,TRUE),IF(AND(AY64="",AX64&lt;&gt;""),TRUE))</formula>
    </cfRule>
    <cfRule type="expression" dxfId="126" priority="128">
      <formula>IF(AX64&gt;=AY64,IF(AX64="",FALSE,TRUE))</formula>
    </cfRule>
  </conditionalFormatting>
  <conditionalFormatting sqref="AX65 AZ65">
    <cfRule type="expression" dxfId="125" priority="125">
      <formula>OR(IF(AX65&lt;AY65,TRUE),IF(AND(AY65="",AX65&lt;&gt;""),TRUE))</formula>
    </cfRule>
    <cfRule type="expression" dxfId="124" priority="126">
      <formula>IF(AX65&gt;=AY65,IF(AX65="",FALSE,TRUE))</formula>
    </cfRule>
  </conditionalFormatting>
  <conditionalFormatting sqref="AX66 AZ66">
    <cfRule type="expression" dxfId="123" priority="123">
      <formula>OR(IF(AX66&lt;AY66,TRUE),IF(AND(AY66="",AX66&lt;&gt;""),TRUE))</formula>
    </cfRule>
    <cfRule type="expression" dxfId="122" priority="124">
      <formula>IF(AX66&gt;=AY66,IF(AX66="",FALSE,TRUE))</formula>
    </cfRule>
  </conditionalFormatting>
  <conditionalFormatting sqref="AX67 AZ67">
    <cfRule type="expression" dxfId="121" priority="121">
      <formula>OR(IF(AX67&lt;AY67,TRUE),IF(AND(AY67="",AX67&lt;&gt;""),TRUE))</formula>
    </cfRule>
    <cfRule type="expression" dxfId="120" priority="122">
      <formula>IF(AX67&gt;=AY67,IF(AX67="",FALSE,TRUE))</formula>
    </cfRule>
  </conditionalFormatting>
  <conditionalFormatting sqref="AX68:AX78 AZ68:AZ78">
    <cfRule type="expression" dxfId="119" priority="119">
      <formula>OR(IF(AX68&lt;AY68,TRUE),IF(AND(AY68="",AX68&lt;&gt;""),TRUE))</formula>
    </cfRule>
    <cfRule type="expression" dxfId="118" priority="120">
      <formula>IF(AX68&gt;=AY68,IF(AX68="",FALSE,TRUE))</formula>
    </cfRule>
  </conditionalFormatting>
  <conditionalFormatting sqref="AZ57:AZ58">
    <cfRule type="expression" dxfId="117" priority="117">
      <formula>OR(IF(AZ57&lt;BA57,TRUE),IF(AND(BA57="",AZ57&lt;&gt;""),TRUE))</formula>
    </cfRule>
    <cfRule type="expression" dxfId="116" priority="118">
      <formula>IF(AZ57&gt;=BA57,IF(AZ57="",FALSE,TRUE))</formula>
    </cfRule>
  </conditionalFormatting>
  <conditionalFormatting sqref="AZ46:AZ56 AX46:AX58">
    <cfRule type="expression" dxfId="115" priority="115">
      <formula>OR(IF(AX46&lt;AY46,TRUE),IF(AND(AY46="",AX46&lt;&gt;""),TRUE))</formula>
    </cfRule>
    <cfRule type="expression" dxfId="114" priority="116">
      <formula>IF(AX46&gt;=AY46,IF(AX46="",FALSE,TRUE))</formula>
    </cfRule>
  </conditionalFormatting>
  <conditionalFormatting sqref="AY46:AY79 BA46:BA79">
    <cfRule type="expression" dxfId="113" priority="113">
      <formula>OR(IF(AY46&lt;AZ46,TRUE),IF(AND(AZ46="",AY46&lt;&gt;""),TRUE))</formula>
    </cfRule>
    <cfRule type="expression" dxfId="112" priority="114">
      <formula>IF(AY46&gt;=AZ46,IF(AY46="",FALSE,TRUE))</formula>
    </cfRule>
  </conditionalFormatting>
  <conditionalFormatting sqref="AS59 AQ59">
    <cfRule type="expression" dxfId="111" priority="111">
      <formula>OR(IF(AQ59&lt;AR59,TRUE),IF(AND(AR59="",AQ59&lt;&gt;""),TRUE))</formula>
    </cfRule>
    <cfRule type="expression" dxfId="110" priority="112">
      <formula>IF(AQ59&gt;=AR59,IF(AQ59="",FALSE,TRUE))</formula>
    </cfRule>
  </conditionalFormatting>
  <conditionalFormatting sqref="AQ60 AS60">
    <cfRule type="expression" dxfId="109" priority="109">
      <formula>OR(IF(AQ60&lt;AR60,TRUE),IF(AND(AR60="",AQ60&lt;&gt;""),TRUE))</formula>
    </cfRule>
    <cfRule type="expression" dxfId="108" priority="110">
      <formula>IF(AQ60&gt;=AR60,IF(AQ60="",FALSE,TRUE))</formula>
    </cfRule>
  </conditionalFormatting>
  <conditionalFormatting sqref="AQ61 AS61">
    <cfRule type="expression" dxfId="107" priority="107">
      <formula>OR(IF(AQ61&lt;AR61,TRUE),IF(AND(AR61="",AQ61&lt;&gt;""),TRUE))</formula>
    </cfRule>
    <cfRule type="expression" dxfId="106" priority="108">
      <formula>IF(AQ61&gt;=AR61,IF(AQ61="",FALSE,TRUE))</formula>
    </cfRule>
  </conditionalFormatting>
  <conditionalFormatting sqref="AQ62 AS62">
    <cfRule type="expression" dxfId="105" priority="105">
      <formula>OR(IF(AQ62&lt;AR62,TRUE),IF(AND(AR62="",AQ62&lt;&gt;""),TRUE))</formula>
    </cfRule>
    <cfRule type="expression" dxfId="104" priority="106">
      <formula>IF(AQ62&gt;=AR62,IF(AQ62="",FALSE,TRUE))</formula>
    </cfRule>
  </conditionalFormatting>
  <conditionalFormatting sqref="AQ63 AS63">
    <cfRule type="expression" dxfId="103" priority="103">
      <formula>OR(IF(AQ63&lt;AR63,TRUE),IF(AND(AR63="",AQ63&lt;&gt;""),TRUE))</formula>
    </cfRule>
    <cfRule type="expression" dxfId="102" priority="104">
      <formula>IF(AQ63&gt;=AR63,IF(AQ63="",FALSE,TRUE))</formula>
    </cfRule>
  </conditionalFormatting>
  <conditionalFormatting sqref="AQ64 AS64">
    <cfRule type="expression" dxfId="101" priority="101">
      <formula>OR(IF(AQ64&lt;AR64,TRUE),IF(AND(AR64="",AQ64&lt;&gt;""),TRUE))</formula>
    </cfRule>
    <cfRule type="expression" dxfId="100" priority="102">
      <formula>IF(AQ64&gt;=AR64,IF(AQ64="",FALSE,TRUE))</formula>
    </cfRule>
  </conditionalFormatting>
  <conditionalFormatting sqref="AQ65 AS65">
    <cfRule type="expression" dxfId="99" priority="99">
      <formula>OR(IF(AQ65&lt;AR65,TRUE),IF(AND(AR65="",AQ65&lt;&gt;""),TRUE))</formula>
    </cfRule>
    <cfRule type="expression" dxfId="98" priority="100">
      <formula>IF(AQ65&gt;=AR65,IF(AQ65="",FALSE,TRUE))</formula>
    </cfRule>
  </conditionalFormatting>
  <conditionalFormatting sqref="AQ66 AS66">
    <cfRule type="expression" dxfId="97" priority="97">
      <formula>OR(IF(AQ66&lt;AR66,TRUE),IF(AND(AR66="",AQ66&lt;&gt;""),TRUE))</formula>
    </cfRule>
    <cfRule type="expression" dxfId="96" priority="98">
      <formula>IF(AQ66&gt;=AR66,IF(AQ66="",FALSE,TRUE))</formula>
    </cfRule>
  </conditionalFormatting>
  <conditionalFormatting sqref="AQ67 AS67">
    <cfRule type="expression" dxfId="95" priority="95">
      <formula>OR(IF(AQ67&lt;AR67,TRUE),IF(AND(AR67="",AQ67&lt;&gt;""),TRUE))</formula>
    </cfRule>
    <cfRule type="expression" dxfId="94" priority="96">
      <formula>IF(AQ67&gt;=AR67,IF(AQ67="",FALSE,TRUE))</formula>
    </cfRule>
  </conditionalFormatting>
  <conditionalFormatting sqref="AQ68:AQ78 AS68:AS78">
    <cfRule type="expression" dxfId="93" priority="93">
      <formula>OR(IF(AQ68&lt;AR68,TRUE),IF(AND(AR68="",AQ68&lt;&gt;""),TRUE))</formula>
    </cfRule>
    <cfRule type="expression" dxfId="92" priority="94">
      <formula>IF(AQ68&gt;=AR68,IF(AQ68="",FALSE,TRUE))</formula>
    </cfRule>
  </conditionalFormatting>
  <conditionalFormatting sqref="AS57:AS58">
    <cfRule type="expression" dxfId="91" priority="91">
      <formula>OR(IF(AS57&lt;AT57,TRUE),IF(AND(AT57="",AS57&lt;&gt;""),TRUE))</formula>
    </cfRule>
    <cfRule type="expression" dxfId="90" priority="92">
      <formula>IF(AS57&gt;=AT57,IF(AS57="",FALSE,TRUE))</formula>
    </cfRule>
  </conditionalFormatting>
  <conditionalFormatting sqref="AS46:AS56 AQ46:AQ58">
    <cfRule type="expression" dxfId="89" priority="89">
      <formula>OR(IF(AQ46&lt;AR46,TRUE),IF(AND(AR46="",AQ46&lt;&gt;""),TRUE))</formula>
    </cfRule>
    <cfRule type="expression" dxfId="88" priority="90">
      <formula>IF(AQ46&gt;=AR46,IF(AQ46="",FALSE,TRUE))</formula>
    </cfRule>
  </conditionalFormatting>
  <conditionalFormatting sqref="AR46:AR78 AT46:AT78">
    <cfRule type="expression" dxfId="87" priority="87">
      <formula>OR(IF(AR46&lt;AS46,TRUE),IF(AND(AS46="",AR46&lt;&gt;""),TRUE))</formula>
    </cfRule>
    <cfRule type="expression" dxfId="86" priority="88">
      <formula>IF(AR46&gt;=AS46,IF(AR46="",FALSE,TRUE))</formula>
    </cfRule>
  </conditionalFormatting>
  <conditionalFormatting sqref="AL59 AJ59">
    <cfRule type="expression" dxfId="85" priority="85">
      <formula>OR(IF(AJ59&lt;AK59,TRUE),IF(AND(AK59="",AJ59&lt;&gt;""),TRUE))</formula>
    </cfRule>
    <cfRule type="expression" dxfId="84" priority="86">
      <formula>IF(AJ59&gt;=AK59,IF(AJ59="",FALSE,TRUE))</formula>
    </cfRule>
  </conditionalFormatting>
  <conditionalFormatting sqref="AJ60 AL60">
    <cfRule type="expression" dxfId="83" priority="83">
      <formula>OR(IF(AJ60&lt;AK60,TRUE),IF(AND(AK60="",AJ60&lt;&gt;""),TRUE))</formula>
    </cfRule>
    <cfRule type="expression" dxfId="82" priority="84">
      <formula>IF(AJ60&gt;=AK60,IF(AJ60="",FALSE,TRUE))</formula>
    </cfRule>
  </conditionalFormatting>
  <conditionalFormatting sqref="AJ61 AL61">
    <cfRule type="expression" dxfId="81" priority="81">
      <formula>OR(IF(AJ61&lt;AK61,TRUE),IF(AND(AK61="",AJ61&lt;&gt;""),TRUE))</formula>
    </cfRule>
    <cfRule type="expression" dxfId="80" priority="82">
      <formula>IF(AJ61&gt;=AK61,IF(AJ61="",FALSE,TRUE))</formula>
    </cfRule>
  </conditionalFormatting>
  <conditionalFormatting sqref="AJ62 AL62">
    <cfRule type="expression" dxfId="79" priority="79">
      <formula>OR(IF(AJ62&lt;AK62,TRUE),IF(AND(AK62="",AJ62&lt;&gt;""),TRUE))</formula>
    </cfRule>
    <cfRule type="expression" dxfId="78" priority="80">
      <formula>IF(AJ62&gt;=AK62,IF(AJ62="",FALSE,TRUE))</formula>
    </cfRule>
  </conditionalFormatting>
  <conditionalFormatting sqref="AJ63 AL63">
    <cfRule type="expression" dxfId="77" priority="77">
      <formula>OR(IF(AJ63&lt;AK63,TRUE),IF(AND(AK63="",AJ63&lt;&gt;""),TRUE))</formula>
    </cfRule>
    <cfRule type="expression" dxfId="76" priority="78">
      <formula>IF(AJ63&gt;=AK63,IF(AJ63="",FALSE,TRUE))</formula>
    </cfRule>
  </conditionalFormatting>
  <conditionalFormatting sqref="AJ64 AL64">
    <cfRule type="expression" dxfId="75" priority="75">
      <formula>OR(IF(AJ64&lt;AK64,TRUE),IF(AND(AK64="",AJ64&lt;&gt;""),TRUE))</formula>
    </cfRule>
    <cfRule type="expression" dxfId="74" priority="76">
      <formula>IF(AJ64&gt;=AK64,IF(AJ64="",FALSE,TRUE))</formula>
    </cfRule>
  </conditionalFormatting>
  <conditionalFormatting sqref="AJ65 AL65">
    <cfRule type="expression" dxfId="73" priority="73">
      <formula>OR(IF(AJ65&lt;AK65,TRUE),IF(AND(AK65="",AJ65&lt;&gt;""),TRUE))</formula>
    </cfRule>
    <cfRule type="expression" dxfId="72" priority="74">
      <formula>IF(AJ65&gt;=AK65,IF(AJ65="",FALSE,TRUE))</formula>
    </cfRule>
  </conditionalFormatting>
  <conditionalFormatting sqref="AJ66 AL66">
    <cfRule type="expression" dxfId="71" priority="71">
      <formula>OR(IF(AJ66&lt;AK66,TRUE),IF(AND(AK66="",AJ66&lt;&gt;""),TRUE))</formula>
    </cfRule>
    <cfRule type="expression" dxfId="70" priority="72">
      <formula>IF(AJ66&gt;=AK66,IF(AJ66="",FALSE,TRUE))</formula>
    </cfRule>
  </conditionalFormatting>
  <conditionalFormatting sqref="AJ67 AL67">
    <cfRule type="expression" dxfId="69" priority="69">
      <formula>OR(IF(AJ67&lt;AK67,TRUE),IF(AND(AK67="",AJ67&lt;&gt;""),TRUE))</formula>
    </cfRule>
    <cfRule type="expression" dxfId="68" priority="70">
      <formula>IF(AJ67&gt;=AK67,IF(AJ67="",FALSE,TRUE))</formula>
    </cfRule>
  </conditionalFormatting>
  <conditionalFormatting sqref="AJ68:AJ75 AL68:AL75">
    <cfRule type="expression" dxfId="67" priority="67">
      <formula>OR(IF(AJ68&lt;AK68,TRUE),IF(AND(AK68="",AJ68&lt;&gt;""),TRUE))</formula>
    </cfRule>
    <cfRule type="expression" dxfId="66" priority="68">
      <formula>IF(AJ68&gt;=AK68,IF(AJ68="",FALSE,TRUE))</formula>
    </cfRule>
  </conditionalFormatting>
  <conditionalFormatting sqref="AL57:AL58">
    <cfRule type="expression" dxfId="65" priority="65">
      <formula>OR(IF(AL57&lt;AM57,TRUE),IF(AND(AM57="",AL57&lt;&gt;""),TRUE))</formula>
    </cfRule>
    <cfRule type="expression" dxfId="64" priority="66">
      <formula>IF(AL57&gt;=AM57,IF(AL57="",FALSE,TRUE))</formula>
    </cfRule>
  </conditionalFormatting>
  <conditionalFormatting sqref="AL46:AL56 AJ46:AJ58">
    <cfRule type="expression" dxfId="63" priority="63">
      <formula>OR(IF(AJ46&lt;AK46,TRUE),IF(AND(AK46="",AJ46&lt;&gt;""),TRUE))</formula>
    </cfRule>
    <cfRule type="expression" dxfId="62" priority="64">
      <formula>IF(AJ46&gt;=AK46,IF(AJ46="",FALSE,TRUE))</formula>
    </cfRule>
  </conditionalFormatting>
  <conditionalFormatting sqref="AK46:AK75 AM46:AM75">
    <cfRule type="expression" dxfId="61" priority="61">
      <formula>OR(IF(AK46&lt;AL46,TRUE),IF(AND(AL46="",AK46&lt;&gt;""),TRUE))</formula>
    </cfRule>
    <cfRule type="expression" dxfId="60" priority="62">
      <formula>IF(AK46&gt;=AL46,IF(AK46="",FALSE,TRUE))</formula>
    </cfRule>
  </conditionalFormatting>
  <conditionalFormatting sqref="AE59 AC59">
    <cfRule type="expression" dxfId="59" priority="59">
      <formula>OR(IF(AC59&lt;AD59,TRUE),IF(AND(AD59="",AC59&lt;&gt;""),TRUE))</formula>
    </cfRule>
    <cfRule type="expression" dxfId="58" priority="60">
      <formula>IF(AC59&gt;=AD59,IF(AC59="",FALSE,TRUE))</formula>
    </cfRule>
  </conditionalFormatting>
  <conditionalFormatting sqref="AC60 AE60">
    <cfRule type="expression" dxfId="57" priority="57">
      <formula>OR(IF(AC60&lt;AD60,TRUE),IF(AND(AD60="",AC60&lt;&gt;""),TRUE))</formula>
    </cfRule>
    <cfRule type="expression" dxfId="56" priority="58">
      <formula>IF(AC60&gt;=AD60,IF(AC60="",FALSE,TRUE))</formula>
    </cfRule>
  </conditionalFormatting>
  <conditionalFormatting sqref="AC61 AE61">
    <cfRule type="expression" dxfId="55" priority="55">
      <formula>OR(IF(AC61&lt;AD61,TRUE),IF(AND(AD61="",AC61&lt;&gt;""),TRUE))</formula>
    </cfRule>
    <cfRule type="expression" dxfId="54" priority="56">
      <formula>IF(AC61&gt;=AD61,IF(AC61="",FALSE,TRUE))</formula>
    </cfRule>
  </conditionalFormatting>
  <conditionalFormatting sqref="AC62 AE62">
    <cfRule type="expression" dxfId="53" priority="53">
      <formula>OR(IF(AC62&lt;AD62,TRUE),IF(AND(AD62="",AC62&lt;&gt;""),TRUE))</formula>
    </cfRule>
    <cfRule type="expression" dxfId="52" priority="54">
      <formula>IF(AC62&gt;=AD62,IF(AC62="",FALSE,TRUE))</formula>
    </cfRule>
  </conditionalFormatting>
  <conditionalFormatting sqref="AC63 AE63">
    <cfRule type="expression" dxfId="51" priority="51">
      <formula>OR(IF(AC63&lt;AD63,TRUE),IF(AND(AD63="",AC63&lt;&gt;""),TRUE))</formula>
    </cfRule>
    <cfRule type="expression" dxfId="50" priority="52">
      <formula>IF(AC63&gt;=AD63,IF(AC63="",FALSE,TRUE))</formula>
    </cfRule>
  </conditionalFormatting>
  <conditionalFormatting sqref="AC64 AE64">
    <cfRule type="expression" dxfId="49" priority="49">
      <formula>OR(IF(AC64&lt;AD64,TRUE),IF(AND(AD64="",AC64&lt;&gt;""),TRUE))</formula>
    </cfRule>
    <cfRule type="expression" dxfId="48" priority="50">
      <formula>IF(AC64&gt;=AD64,IF(AC64="",FALSE,TRUE))</formula>
    </cfRule>
  </conditionalFormatting>
  <conditionalFormatting sqref="AC65 AE65">
    <cfRule type="expression" dxfId="47" priority="47">
      <formula>OR(IF(AC65&lt;AD65,TRUE),IF(AND(AD65="",AC65&lt;&gt;""),TRUE))</formula>
    </cfRule>
    <cfRule type="expression" dxfId="46" priority="48">
      <formula>IF(AC65&gt;=AD65,IF(AC65="",FALSE,TRUE))</formula>
    </cfRule>
  </conditionalFormatting>
  <conditionalFormatting sqref="AC66 AE66">
    <cfRule type="expression" dxfId="45" priority="45">
      <formula>OR(IF(AC66&lt;AD66,TRUE),IF(AND(AD66="",AC66&lt;&gt;""),TRUE))</formula>
    </cfRule>
    <cfRule type="expression" dxfId="44" priority="46">
      <formula>IF(AC66&gt;=AD66,IF(AC66="",FALSE,TRUE))</formula>
    </cfRule>
  </conditionalFormatting>
  <conditionalFormatting sqref="AC67 AE67">
    <cfRule type="expression" dxfId="43" priority="43">
      <formula>OR(IF(AC67&lt;AD67,TRUE),IF(AND(AD67="",AC67&lt;&gt;""),TRUE))</formula>
    </cfRule>
    <cfRule type="expression" dxfId="42" priority="44">
      <formula>IF(AC67&gt;=AD67,IF(AC67="",FALSE,TRUE))</formula>
    </cfRule>
  </conditionalFormatting>
  <conditionalFormatting sqref="AC68:AC71 AE68:AE71">
    <cfRule type="expression" dxfId="41" priority="41">
      <formula>OR(IF(AC68&lt;AD68,TRUE),IF(AND(AD68="",AC68&lt;&gt;""),TRUE))</formula>
    </cfRule>
    <cfRule type="expression" dxfId="40" priority="42">
      <formula>IF(AC68&gt;=AD68,IF(AC68="",FALSE,TRUE))</formula>
    </cfRule>
  </conditionalFormatting>
  <conditionalFormatting sqref="AE57:AE58">
    <cfRule type="expression" dxfId="39" priority="39">
      <formula>OR(IF(AE57&lt;AF57,TRUE),IF(AND(AF57="",AE57&lt;&gt;""),TRUE))</formula>
    </cfRule>
    <cfRule type="expression" dxfId="38" priority="40">
      <formula>IF(AE57&gt;=AF57,IF(AE57="",FALSE,TRUE))</formula>
    </cfRule>
  </conditionalFormatting>
  <conditionalFormatting sqref="AE46:AE56 AC46:AC58">
    <cfRule type="expression" dxfId="37" priority="37">
      <formula>OR(IF(AC46&lt;AD46,TRUE),IF(AND(AD46="",AC46&lt;&gt;""),TRUE))</formula>
    </cfRule>
    <cfRule type="expression" dxfId="36" priority="38">
      <formula>IF(AC46&gt;=AD46,IF(AC46="",FALSE,TRUE))</formula>
    </cfRule>
  </conditionalFormatting>
  <conditionalFormatting sqref="AD46:AD71 AF46:AF71">
    <cfRule type="expression" dxfId="35" priority="35">
      <formula>OR(IF(AD46&lt;AE46,TRUE),IF(AND(AE46="",AD46&lt;&gt;""),TRUE))</formula>
    </cfRule>
    <cfRule type="expression" dxfId="34" priority="36">
      <formula>IF(AD46&gt;=AE46,IF(AD46="",FALSE,TRUE))</formula>
    </cfRule>
  </conditionalFormatting>
  <conditionalFormatting sqref="X59 V59">
    <cfRule type="expression" dxfId="33" priority="33">
      <formula>OR(IF(V59&lt;W59,TRUE),IF(AND(W59="",V59&lt;&gt;""),TRUE))</formula>
    </cfRule>
    <cfRule type="expression" dxfId="32" priority="34">
      <formula>IF(V59&gt;=W59,IF(V59="",FALSE,TRUE))</formula>
    </cfRule>
  </conditionalFormatting>
  <conditionalFormatting sqref="V60 X60">
    <cfRule type="expression" dxfId="31" priority="31">
      <formula>OR(IF(V60&lt;W60,TRUE),IF(AND(W60="",V60&lt;&gt;""),TRUE))</formula>
    </cfRule>
    <cfRule type="expression" dxfId="30" priority="32">
      <formula>IF(V60&gt;=W60,IF(V60="",FALSE,TRUE))</formula>
    </cfRule>
  </conditionalFormatting>
  <conditionalFormatting sqref="V61 X61">
    <cfRule type="expression" dxfId="29" priority="29">
      <formula>OR(IF(V61&lt;W61,TRUE),IF(AND(W61="",V61&lt;&gt;""),TRUE))</formula>
    </cfRule>
    <cfRule type="expression" dxfId="28" priority="30">
      <formula>IF(V61&gt;=W61,IF(V61="",FALSE,TRUE))</formula>
    </cfRule>
  </conditionalFormatting>
  <conditionalFormatting sqref="V62 X62">
    <cfRule type="expression" dxfId="27" priority="27">
      <formula>OR(IF(V62&lt;W62,TRUE),IF(AND(W62="",V62&lt;&gt;""),TRUE))</formula>
    </cfRule>
    <cfRule type="expression" dxfId="26" priority="28">
      <formula>IF(V62&gt;=W62,IF(V62="",FALSE,TRUE))</formula>
    </cfRule>
  </conditionalFormatting>
  <conditionalFormatting sqref="V63 X63">
    <cfRule type="expression" dxfId="25" priority="25">
      <formula>OR(IF(V63&lt;W63,TRUE),IF(AND(W63="",V63&lt;&gt;""),TRUE))</formula>
    </cfRule>
    <cfRule type="expression" dxfId="24" priority="26">
      <formula>IF(V63&gt;=W63,IF(V63="",FALSE,TRUE))</formula>
    </cfRule>
  </conditionalFormatting>
  <conditionalFormatting sqref="V64 X64">
    <cfRule type="expression" dxfId="23" priority="23">
      <formula>OR(IF(V64&lt;W64,TRUE),IF(AND(W64="",V64&lt;&gt;""),TRUE))</formula>
    </cfRule>
    <cfRule type="expression" dxfId="22" priority="24">
      <formula>IF(V64&gt;=W64,IF(V64="",FALSE,TRUE))</formula>
    </cfRule>
  </conditionalFormatting>
  <conditionalFormatting sqref="V65 X65">
    <cfRule type="expression" dxfId="21" priority="21">
      <formula>OR(IF(V65&lt;W65,TRUE),IF(AND(W65="",V65&lt;&gt;""),TRUE))</formula>
    </cfRule>
    <cfRule type="expression" dxfId="20" priority="22">
      <formula>IF(V65&gt;=W65,IF(V65="",FALSE,TRUE))</formula>
    </cfRule>
  </conditionalFormatting>
  <conditionalFormatting sqref="V66 X66">
    <cfRule type="expression" dxfId="19" priority="19">
      <formula>OR(IF(V66&lt;W66,TRUE),IF(AND(W66="",V66&lt;&gt;""),TRUE))</formula>
    </cfRule>
    <cfRule type="expression" dxfId="18" priority="20">
      <formula>IF(V66&gt;=W66,IF(V66="",FALSE,TRUE))</formula>
    </cfRule>
  </conditionalFormatting>
  <conditionalFormatting sqref="X57:X58">
    <cfRule type="expression" dxfId="17" priority="17">
      <formula>OR(IF(X57&lt;Y57,TRUE),IF(AND(Y57="",X57&lt;&gt;""),TRUE))</formula>
    </cfRule>
    <cfRule type="expression" dxfId="16" priority="18">
      <formula>IF(X57&gt;=Y57,IF(X57="",FALSE,TRUE))</formula>
    </cfRule>
  </conditionalFormatting>
  <conditionalFormatting sqref="X46:X56 V46:V58">
    <cfRule type="expression" dxfId="15" priority="15">
      <formula>OR(IF(V46&lt;W46,TRUE),IF(AND(W46="",V46&lt;&gt;""),TRUE))</formula>
    </cfRule>
    <cfRule type="expression" dxfId="14" priority="16">
      <formula>IF(V46&gt;=W46,IF(V46="",FALSE,TRUE))</formula>
    </cfRule>
  </conditionalFormatting>
  <conditionalFormatting sqref="W46:W66 Y46:Y66">
    <cfRule type="expression" dxfId="13" priority="13">
      <formula>OR(IF(W46&lt;X46,TRUE),IF(AND(X46="",W46&lt;&gt;""),TRUE))</formula>
    </cfRule>
    <cfRule type="expression" dxfId="12" priority="14">
      <formula>IF(W46&gt;=X46,IF(W46="",FALSE,TRUE))</formula>
    </cfRule>
  </conditionalFormatting>
  <conditionalFormatting sqref="Q59 O59">
    <cfRule type="expression" dxfId="11" priority="11">
      <formula>OR(IF(O59&lt;P59,TRUE),IF(AND(P59="",O59&lt;&gt;""),TRUE))</formula>
    </cfRule>
    <cfRule type="expression" dxfId="10" priority="12">
      <formula>IF(O59&gt;=P59,IF(O59="",FALSE,TRUE))</formula>
    </cfRule>
  </conditionalFormatting>
  <conditionalFormatting sqref="O60 Q60">
    <cfRule type="expression" dxfId="9" priority="9">
      <formula>OR(IF(O60&lt;P60,TRUE),IF(AND(P60="",O60&lt;&gt;""),TRUE))</formula>
    </cfRule>
    <cfRule type="expression" dxfId="8" priority="10">
      <formula>IF(O60&gt;=P60,IF(O60="",FALSE,TRUE))</formula>
    </cfRule>
  </conditionalFormatting>
  <conditionalFormatting sqref="O61 Q61">
    <cfRule type="expression" dxfId="7" priority="7">
      <formula>OR(IF(O61&lt;P61,TRUE),IF(AND(P61="",O61&lt;&gt;""),TRUE))</formula>
    </cfRule>
    <cfRule type="expression" dxfId="6" priority="8">
      <formula>IF(O61&gt;=P61,IF(O61="",FALSE,TRUE))</formula>
    </cfRule>
  </conditionalFormatting>
  <conditionalFormatting sqref="Q57:Q58">
    <cfRule type="expression" dxfId="5" priority="5">
      <formula>OR(IF(Q57&lt;R57,TRUE),IF(AND(R57="",Q57&lt;&gt;""),TRUE))</formula>
    </cfRule>
    <cfRule type="expression" dxfId="4" priority="6">
      <formula>IF(Q57&gt;=R57,IF(Q57="",FALSE,TRUE))</formula>
    </cfRule>
  </conditionalFormatting>
  <conditionalFormatting sqref="Q46:Q56 O46:O58">
    <cfRule type="expression" dxfId="3" priority="3">
      <formula>OR(IF(O46&lt;P46,TRUE),IF(AND(P46="",O46&lt;&gt;""),TRUE))</formula>
    </cfRule>
    <cfRule type="expression" dxfId="2" priority="4">
      <formula>IF(O46&gt;=P46,IF(O46="",FALSE,TRUE))</formula>
    </cfRule>
  </conditionalFormatting>
  <conditionalFormatting sqref="P46:P61 R46:R61">
    <cfRule type="expression" dxfId="1" priority="1">
      <formula>OR(IF(P46&lt;Q46,TRUE),IF(AND(Q46="",P46&lt;&gt;""),TRUE))</formula>
    </cfRule>
    <cfRule type="expression" dxfId="0" priority="2">
      <formula>IF(P46&gt;=Q46,IF(P46="",FALSE,TRUE))</formula>
    </cfRule>
  </conditionalFormatting>
  <dataValidations count="1">
    <dataValidation type="list" allowBlank="1" showInputMessage="1" showErrorMessage="1" sqref="AQ82:AT92 V31:Y43 BE31:BH43 CG82:CJ91 AQ31:AT43 AX31:BA43 AJ31:AM43 AC31:AF43 AC17:AD29 BE82:BH91 BA17:BA29 AJ82:AM92 AC82:AF91 V82:Y91 BL31:BO43 BL82:BO91 CG31:CJ43 BZ82:CC91 DB82:DE91 CN31:CQ43 AX5:BA14 CN82:CQ91 CU82:CX91 DB31:DE43 DB46:DE79 CU31:CX43 O31:R43 CN46:CQ79 CG46:CJ79 BL46:BO79 AC46:AF79 AJ46:AM79 AX46:BA79 AQ46:AT79 BE46:BH79 BZ46:CC79 V46:Y79 CU17:CX28 BS31:BV43 BS82:BV91 BS46:BV79 DI82:DL91 DI31:DL43 DI46:DL79 AY17:AY29 AL17:AL28 AJ17:AK29 AE17:AE28 AX82:BB93 AZ17:AZ28 AM17:AM29 AT17:AT29 AF17:AF29 BE17:BH28 BL17:BO28 CG17:CJ28 CN17:CQ28 P89:R90 DB17:DE28 BZ17:CC28 Y17:Y29 BS17:BV28 DI17:DL28 AX17:AX30 X17:X28 O17:R28 AS17:AS28 V17:W29 AQ17:AR29 O89 O82:R88 O91:R91 CU46:CX79 BZ5:CC14 AJ5:AM14 V5:Y14 CG5:CJ14 BL5:BO14 CN5:CQ14 BS5:BV14 DB5:DE14 AC5:AF14 AQ5:AT14 BE5:BH14 DI5:DL14 CU5:CX15 O5:R14 BZ31:CC43 O46:R79" xr:uid="{DF46768B-76BD-4AD1-BDD9-05E5E50A35C8}">
      <formula1>"10%,20%,30%,40%,50%,60%,70%,80%,90%,100%"</formula1>
    </dataValidation>
  </dataValidations>
  <pageMargins left="0.7" right="0.7" top="0.75" bottom="0.75" header="0.3" footer="0.3"/>
  <pageSetup paperSize="9" orientation="portrait" horizontalDpi="0" verticalDpi="0"/>
  <ignoredErrors>
    <ignoredError sqref="K2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640625" defaultRowHeight="16"/>
  <cols>
    <col min="2" max="2" width="161" customWidth="1"/>
    <col min="3" max="3" width="10.83203125" style="2"/>
  </cols>
  <sheetData>
    <row r="4" spans="2:2" ht="21">
      <c r="B4" s="4" t="s">
        <v>15</v>
      </c>
    </row>
    <row r="6" spans="2:2">
      <c r="B6" s="3" t="s">
        <v>12</v>
      </c>
    </row>
    <row r="7" spans="2:2" ht="51">
      <c r="B7" s="1" t="s">
        <v>13</v>
      </c>
    </row>
    <row r="9" spans="2:2">
      <c r="B9" s="3" t="s">
        <v>14</v>
      </c>
    </row>
    <row r="10" spans="2:2" ht="68">
      <c r="B10" s="1" t="s">
        <v>34</v>
      </c>
    </row>
    <row r="12" spans="2:2">
      <c r="B12" s="3" t="s">
        <v>16</v>
      </c>
    </row>
    <row r="13" spans="2:2" ht="153">
      <c r="B13" s="1" t="s">
        <v>17</v>
      </c>
    </row>
    <row r="15" spans="2:2">
      <c r="B15" s="3" t="s">
        <v>18</v>
      </c>
    </row>
    <row r="16" spans="2:2" ht="119">
      <c r="B16" s="1" t="s">
        <v>19</v>
      </c>
    </row>
    <row r="17" spans="2:2">
      <c r="B17" s="1"/>
    </row>
    <row r="18" spans="2:2">
      <c r="B18" s="3" t="s">
        <v>33</v>
      </c>
    </row>
    <row r="19" spans="2:2" ht="153">
      <c r="B19" s="1" t="s">
        <v>35</v>
      </c>
    </row>
    <row r="21" spans="2:2">
      <c r="B21" s="3" t="s">
        <v>20</v>
      </c>
    </row>
    <row r="22" spans="2:2" ht="136">
      <c r="B22" s="1" t="s">
        <v>36</v>
      </c>
    </row>
    <row r="24" spans="2:2">
      <c r="B24" s="3" t="s">
        <v>21</v>
      </c>
    </row>
    <row r="25" spans="2:2" ht="136">
      <c r="B25" s="1" t="s">
        <v>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D4" sqref="D4"/>
    </sheetView>
  </sheetViews>
  <sheetFormatPr baseColWidth="10" defaultColWidth="10.6640625" defaultRowHeight="16"/>
  <cols>
    <col min="1" max="1" width="16.83203125" style="11" customWidth="1"/>
    <col min="2" max="2" width="19.1640625" style="11" customWidth="1"/>
    <col min="3" max="3" width="18.1640625" style="11" customWidth="1"/>
    <col min="4" max="4" width="19.5" style="11" customWidth="1"/>
    <col min="8" max="8" width="15.1640625" customWidth="1"/>
    <col min="10" max="10" width="42" customWidth="1"/>
    <col min="11" max="11" width="28.5" customWidth="1"/>
  </cols>
  <sheetData>
    <row r="1" spans="1:11" ht="34">
      <c r="A1" s="11" t="s">
        <v>40</v>
      </c>
      <c r="B1" s="17" t="s">
        <v>37</v>
      </c>
      <c r="C1" s="17" t="s">
        <v>38</v>
      </c>
      <c r="D1" s="17" t="s">
        <v>39</v>
      </c>
      <c r="E1" s="1" t="s">
        <v>41</v>
      </c>
      <c r="F1" s="1" t="s">
        <v>42</v>
      </c>
      <c r="G1" s="1" t="s">
        <v>43</v>
      </c>
      <c r="H1" s="1" t="s">
        <v>44</v>
      </c>
      <c r="I1" s="1" t="s">
        <v>45</v>
      </c>
      <c r="J1" s="1" t="s">
        <v>46</v>
      </c>
      <c r="K1" s="1" t="s">
        <v>47</v>
      </c>
    </row>
    <row r="2" spans="1:11">
      <c r="A2" s="16">
        <v>44118</v>
      </c>
      <c r="D2" s="18">
        <v>1</v>
      </c>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313" priority="14" operator="equal">
      <formula>"Ja"</formula>
    </cfRule>
    <cfRule type="cellIs" dxfId="312" priority="15" operator="equal">
      <formula>"Nein"</formula>
    </cfRule>
  </conditionalFormatting>
  <conditionalFormatting sqref="D2">
    <cfRule type="cellIs" dxfId="311" priority="6" operator="equal">
      <formula>1</formula>
    </cfRule>
    <cfRule type="cellIs" dxfId="310" priority="7" operator="equal">
      <formula>0.8</formula>
    </cfRule>
    <cfRule type="cellIs" dxfId="309" priority="8" operator="equal">
      <formula>0.6</formula>
    </cfRule>
    <cfRule type="cellIs" dxfId="308" priority="9" operator="equal">
      <formula>0.4</formula>
    </cfRule>
    <cfRule type="cellIs" dxfId="307" priority="10" operator="equal">
      <formula>0.2</formula>
    </cfRule>
    <cfRule type="cellIs" dxfId="306" priority="11" operator="equal">
      <formula>0</formula>
    </cfRule>
  </conditionalFormatting>
  <conditionalFormatting sqref="B2:B46">
    <cfRule type="cellIs" dxfId="305" priority="4" operator="equal">
      <formula>"Ja"</formula>
    </cfRule>
  </conditionalFormatting>
  <conditionalFormatting sqref="C2:C46">
    <cfRule type="cellIs" dxfId="304" priority="2" operator="equal">
      <formula>"Ja"</formula>
    </cfRule>
    <cfRule type="cellIs" dxfId="303" priority="3" operator="equal">
      <formula>"Nein"</formula>
    </cfRule>
  </conditionalFormatting>
  <conditionalFormatting sqref="C2:C46">
    <cfRule type="cellIs" dxfId="302"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B9" sqref="B9"/>
    </sheetView>
  </sheetViews>
  <sheetFormatPr baseColWidth="10" defaultColWidth="10.6640625" defaultRowHeight="16"/>
  <cols>
    <col min="5" max="5" width="11" bestFit="1" customWidth="1"/>
  </cols>
  <sheetData>
    <row r="1" spans="1:8" ht="26">
      <c r="B1" s="8" t="s">
        <v>24</v>
      </c>
    </row>
    <row r="4" spans="1:8">
      <c r="B4" s="3" t="s">
        <v>3</v>
      </c>
      <c r="C4" s="3" t="s">
        <v>4</v>
      </c>
      <c r="D4" s="3" t="s">
        <v>5</v>
      </c>
      <c r="E4" s="3" t="s">
        <v>6</v>
      </c>
      <c r="F4" s="3" t="s">
        <v>9</v>
      </c>
      <c r="G4" s="3" t="s">
        <v>7</v>
      </c>
      <c r="H4" s="3" t="s">
        <v>8</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sheetData>
    <row r="1" spans="1:8" ht="26">
      <c r="B1" s="8" t="s">
        <v>24</v>
      </c>
    </row>
    <row r="4" spans="1:8">
      <c r="B4" s="3" t="s">
        <v>3</v>
      </c>
      <c r="C4" s="3" t="s">
        <v>4</v>
      </c>
      <c r="D4" s="3" t="s">
        <v>5</v>
      </c>
      <c r="E4" s="3" t="s">
        <v>6</v>
      </c>
      <c r="F4" s="3" t="s">
        <v>9</v>
      </c>
      <c r="G4" s="3" t="s">
        <v>7</v>
      </c>
      <c r="H4" s="3" t="s">
        <v>8</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35</vt:lpstr>
      <vt:lpstr>Wochenplan KW 36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2022-08-03T20:48:38Z</dcterms:modified>
</cp:coreProperties>
</file>