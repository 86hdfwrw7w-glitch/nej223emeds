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hugohoffstadt/Downloads/"/>
    </mc:Choice>
  </mc:AlternateContent>
  <xr:revisionPtr revIDLastSave="0" documentId="13_ncr:1_{E793299A-40F5-4143-9620-D00BC464A1BB}" xr6:coauthVersionLast="47" xr6:coauthVersionMax="47" xr10:uidLastSave="{00000000-0000-0000-0000-000000000000}"/>
  <bookViews>
    <workbookView xWindow="0" yWindow="500" windowWidth="28800" windowHeight="16420" activeTab="2" xr2:uid="{50F29292-BE80-0C47-A0D2-DD086CB3D310}"/>
  </bookViews>
  <sheets>
    <sheet name="Anleitung" sheetId="2" r:id="rId1"/>
    <sheet name="Wochenplan Hugo" sheetId="3" r:id="rId2"/>
    <sheet name="Semesterplan Hugo" sheetId="1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9" i="11" l="1" a="1"/>
  <c r="L39" i="11" s="1"/>
  <c r="L38" i="11" a="1"/>
  <c r="L38" i="11" s="1"/>
  <c r="L37" i="11" a="1"/>
  <c r="L37" i="11" s="1"/>
  <c r="L36" i="11" a="1"/>
  <c r="L36" i="11" s="1"/>
  <c r="L35" i="11" a="1"/>
  <c r="L35" i="11" s="1"/>
  <c r="L34" i="11" a="1"/>
  <c r="L34" i="11" s="1"/>
  <c r="L31" i="11" a="1"/>
  <c r="L31" i="11" s="1"/>
  <c r="L30" i="11" a="1"/>
  <c r="L30" i="11" s="1"/>
  <c r="L29" i="11" a="1"/>
  <c r="L29" i="11" s="1"/>
  <c r="L28" i="11" a="1"/>
  <c r="L28" i="11" s="1"/>
  <c r="L27" i="11" a="1"/>
  <c r="L27" i="11" s="1"/>
  <c r="L26" i="11" a="1"/>
  <c r="L26" i="11" s="1"/>
  <c r="L25" i="11" a="1"/>
  <c r="L25" i="11" s="1"/>
  <c r="L24" i="11" a="1"/>
  <c r="L24" i="11" s="1"/>
  <c r="L23" i="11" a="1"/>
  <c r="L23" i="11" s="1"/>
  <c r="L22" i="11" a="1"/>
  <c r="L22" i="11" s="1"/>
  <c r="L21" i="11" a="1"/>
  <c r="L21" i="11" s="1"/>
  <c r="L20" i="11" a="1"/>
  <c r="L20" i="11" s="1"/>
  <c r="L17" i="11" a="1"/>
  <c r="L17" i="11" s="1"/>
  <c r="L16" i="11" a="1"/>
  <c r="L16" i="11" s="1"/>
  <c r="L15" i="11" a="1"/>
  <c r="L15" i="11" s="1"/>
  <c r="L14" i="11" a="1"/>
  <c r="L14" i="11" s="1"/>
  <c r="L13" i="11" a="1"/>
  <c r="L13" i="11" s="1"/>
  <c r="L12" i="11" a="1"/>
  <c r="L12" i="11" s="1"/>
  <c r="L11" i="11" a="1"/>
  <c r="L11" i="11" s="1"/>
  <c r="L10" i="11" a="1"/>
  <c r="L10" i="11" s="1"/>
  <c r="L9" i="11" a="1"/>
  <c r="L9" i="11" s="1"/>
  <c r="L8" i="11" a="1"/>
  <c r="L8" i="11" s="1"/>
  <c r="L7" i="11" a="1"/>
  <c r="L7" i="11" s="1"/>
  <c r="L6" i="11" a="1"/>
  <c r="L6" i="11" s="1"/>
  <c r="J6" i="11" a="1"/>
  <c r="J6" i="11" s="1"/>
  <c r="J39" i="11" a="1"/>
  <c r="J39" i="11" s="1"/>
  <c r="J38" i="11" a="1"/>
  <c r="J38" i="11" s="1"/>
  <c r="J37" i="11" a="1"/>
  <c r="J37" i="11" s="1"/>
  <c r="J36" i="11" a="1"/>
  <c r="J36" i="11" s="1"/>
  <c r="J35" i="11" a="1"/>
  <c r="J35" i="11" s="1"/>
  <c r="J34" i="11" a="1"/>
  <c r="J34" i="11" s="1"/>
  <c r="J31" i="11" a="1"/>
  <c r="J31" i="11" s="1"/>
  <c r="J30" i="11" a="1"/>
  <c r="J30" i="11" s="1"/>
  <c r="J29" i="11" a="1"/>
  <c r="J29" i="11" s="1"/>
  <c r="J28" i="11" a="1"/>
  <c r="J28" i="11" s="1"/>
  <c r="J27" i="11" a="1"/>
  <c r="J27" i="11" s="1"/>
  <c r="J26" i="11" a="1"/>
  <c r="J26" i="11" s="1"/>
  <c r="J25" i="11" a="1"/>
  <c r="J25" i="11" s="1"/>
  <c r="J24" i="11" a="1"/>
  <c r="J24" i="11" s="1"/>
  <c r="J23" i="11" a="1"/>
  <c r="J23" i="11" s="1"/>
  <c r="J22" i="11" a="1"/>
  <c r="J22" i="11" s="1"/>
  <c r="J21" i="11" a="1"/>
  <c r="J21" i="11" s="1"/>
  <c r="J20" i="11" a="1"/>
  <c r="J20" i="11" s="1"/>
  <c r="J17" i="11" a="1"/>
  <c r="J17" i="11" s="1"/>
  <c r="J16" i="11" a="1"/>
  <c r="J16" i="11" s="1"/>
  <c r="J15" i="11" a="1"/>
  <c r="J15" i="11" s="1"/>
  <c r="J14" i="11" a="1"/>
  <c r="J14" i="11" s="1"/>
  <c r="J12" i="11" a="1"/>
  <c r="J12" i="11" s="1"/>
  <c r="J8" i="11" a="1"/>
  <c r="J8" i="11" s="1"/>
  <c r="J13" i="11" a="1"/>
  <c r="J13" i="11" s="1"/>
  <c r="J11" i="11" a="1"/>
  <c r="J11" i="11" s="1"/>
  <c r="J10" i="11" a="1"/>
  <c r="J10" i="11" s="1"/>
  <c r="J9" i="11" a="1"/>
  <c r="J9" i="11" s="1"/>
  <c r="J7" i="11" a="1"/>
  <c r="J7" i="11" s="1"/>
  <c r="J5" i="11" l="1"/>
  <c r="L33" i="11"/>
  <c r="L19" i="11"/>
  <c r="L5" i="11"/>
  <c r="J33" i="11"/>
  <c r="J19" i="11"/>
  <c r="H33" i="11"/>
  <c r="H19" i="11"/>
  <c r="H5"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<sst xmlns="http://schemas.openxmlformats.org/spreadsheetml/2006/main" count="254" uniqueCount="113">
  <si>
    <t>Semesterplan</t>
  </si>
  <si>
    <t>Fach</t>
  </si>
  <si>
    <t>Skript Niveau</t>
  </si>
  <si>
    <t>Rechnen Niveau</t>
  </si>
  <si>
    <t>Montag</t>
  </si>
  <si>
    <t>Dienstag</t>
  </si>
  <si>
    <t>Mittwoch</t>
  </si>
  <si>
    <t>Donnerstag</t>
  </si>
  <si>
    <t>Samstag</t>
  </si>
  <si>
    <t>Sonntag</t>
  </si>
  <si>
    <t>Freitag</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</si>
  <si>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</si>
  <si>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</si>
  <si>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</si>
  <si>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</si>
  <si>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</si>
  <si>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</si>
  <si>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</si>
  <si>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</si>
  <si>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</si>
  <si>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</si>
  <si>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</si>
  <si>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</si>
  <si>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1) Einführung</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</si>
  <si>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</si>
  <si>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</si>
  <si>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</si>
  <si>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</si>
  <si>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</si>
  <si>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</si>
  <si>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1. Semester</t>
  </si>
  <si>
    <t>Vorlesungszeitraum:</t>
  </si>
  <si>
    <t>18. Oktober 2021 - 18. Februar 2022</t>
  </si>
  <si>
    <t>Prüfungszeitraum:</t>
  </si>
  <si>
    <t>21. Februar 2022 - 11. März 2022</t>
  </si>
  <si>
    <t>Weg</t>
  </si>
  <si>
    <t>Horváth</t>
  </si>
  <si>
    <t>CHILLEN !!!</t>
  </si>
  <si>
    <t>Gym</t>
  </si>
  <si>
    <t>Mittag</t>
  </si>
  <si>
    <t xml:space="preserve">Mathematik Vorkurse </t>
  </si>
  <si>
    <t>1. Grundlagen</t>
  </si>
  <si>
    <t>2. Matrizen und Vektoren</t>
  </si>
  <si>
    <t>3. Lineare Gleichungssysteme</t>
  </si>
  <si>
    <t>4. Determinanten</t>
  </si>
  <si>
    <t>5. Inversen</t>
  </si>
  <si>
    <t>6. Folgen</t>
  </si>
  <si>
    <t>7. Reihen</t>
  </si>
  <si>
    <t>8. Ableitungen</t>
  </si>
  <si>
    <t>9. Definitions- und Wertebereiche</t>
  </si>
  <si>
    <t>10. Monotonie</t>
  </si>
  <si>
    <t>Das sollte nach dem Mathematik-Vorkursen sitzen:</t>
  </si>
  <si>
    <t>0/5</t>
  </si>
  <si>
    <t>1/5</t>
  </si>
  <si>
    <t>2/5</t>
  </si>
  <si>
    <t>3/5</t>
  </si>
  <si>
    <t>4/5</t>
  </si>
  <si>
    <t>5/5</t>
  </si>
  <si>
    <t>KW 42</t>
  </si>
  <si>
    <t>KW 43</t>
  </si>
  <si>
    <t>KW 44</t>
  </si>
  <si>
    <t>KW 45</t>
  </si>
  <si>
    <t>KW 46</t>
  </si>
  <si>
    <t>KW 47</t>
  </si>
  <si>
    <t>KW 48</t>
  </si>
  <si>
    <t>KW 49</t>
  </si>
  <si>
    <t>KW 50</t>
  </si>
  <si>
    <t>KW 51</t>
  </si>
  <si>
    <t>STATISTIK</t>
  </si>
  <si>
    <t>OSTA</t>
  </si>
  <si>
    <t>2) Beschreibende Methoden univariater Datenanalyse</t>
  </si>
  <si>
    <t>3) Weiterführende Methoden und Zusammenhangsanalysen</t>
  </si>
  <si>
    <t>4) Wahrscheinlichkeitsrechnung</t>
  </si>
  <si>
    <t>5) Zufallsvariablen und Verteilungen</t>
  </si>
  <si>
    <t>6) Verteilungsmodelle</t>
  </si>
  <si>
    <t>7)  Summen &amp; Mittel von Stichprobenvariablen</t>
  </si>
  <si>
    <t>8) Parameterschätzung</t>
  </si>
  <si>
    <t>9)  Konfidenzintervalle</t>
  </si>
  <si>
    <t>10) Statistische Tests</t>
  </si>
  <si>
    <t>11) Weitere spezielle Testprobleme</t>
  </si>
  <si>
    <t>12) Das lineare Regressionsmodell</t>
  </si>
  <si>
    <t>OMAT</t>
  </si>
  <si>
    <t>3) Vektoren</t>
  </si>
  <si>
    <t>4) Determinanten</t>
  </si>
  <si>
    <t>5) Inversen</t>
  </si>
  <si>
    <t>6) vollständige Induktion</t>
  </si>
  <si>
    <t>6a) Folgen</t>
  </si>
  <si>
    <t>6b) Reihen</t>
  </si>
  <si>
    <t>7) Reelle Funktionen</t>
  </si>
  <si>
    <t>8) Approximation</t>
  </si>
  <si>
    <t>9) Univariate und MultIvariate (Bivariate) Funktionen</t>
  </si>
  <si>
    <t>10) Optimierung</t>
  </si>
  <si>
    <t>OBRW</t>
  </si>
  <si>
    <t>1) Die Bedeutung der Buchführung</t>
  </si>
  <si>
    <t>2) Gesetzliche Anforderungen an die Buchführung</t>
  </si>
  <si>
    <t>3) Grundprinzipien der doppelten Buchführung</t>
  </si>
  <si>
    <t>4) Technik der doppelten Buchführung</t>
  </si>
  <si>
    <t>5) Buchungsfälle 1-8</t>
  </si>
  <si>
    <t>6) Der handelsrechtliche Jahresabschluss</t>
  </si>
  <si>
    <t>Fachgebiet / ECTS</t>
  </si>
  <si>
    <t>MATHE</t>
  </si>
  <si>
    <t>KW 1</t>
  </si>
  <si>
    <t>KW 2</t>
  </si>
  <si>
    <t>1) Matrizen</t>
  </si>
  <si>
    <t>2) Lineare Gleichungssysteme</t>
  </si>
  <si>
    <t>Zusammenfassung</t>
  </si>
  <si>
    <t>KW 3</t>
  </si>
  <si>
    <t>KW 4</t>
  </si>
  <si>
    <t>KW 5</t>
  </si>
  <si>
    <t>KW 6</t>
  </si>
  <si>
    <t>KW 7</t>
  </si>
  <si>
    <t>KW 52 (Urlaub)</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</si>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</sst>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sz val="10"/>
      <color theme="1"/>
      <name val="Arial"/>
      <family val="2"/>
    </font>
    <font>
      <sz val="12"/>
      <color theme="9"/>
      <name val="Calibri"/>
      <family val="2"/>
      <scheme val="minor"/>
    </font>
    <font>
      <sz val="12"/>
      <color theme="4"/>
      <name val="Calibri"/>
      <family val="2"/>
      <scheme val="minor"/>
    </font>
    <font>
      <sz val="12"/>
      <color theme="5"/>
      <name val="Calibri"/>
      <family val="2"/>
      <scheme val="minor"/>
    </font>
    <font>
      <sz val="12"/>
      <color theme="8"/>
      <name val="Calibri"/>
      <family val="2"/>
      <scheme val="minor"/>
    </font>
  </fonts>
  <fills count="16">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rgb="FFFCE1FF"/>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7F87"/>
        <bgColor indexed="64"/>
      </patternFill>
    </fill>
    <fill>
      <patternFill patternType="solid">
        <fgColor rgb="FFCFEBFF"/>
        <bgColor indexed="64"/>
      </patternFill>
    </fill>
    <fill>
      <patternFill patternType="solid">
        <fgColor rgb="FFFF0000"/>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FFCBB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37">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20" fontId="0" fillId="0" borderId="0" xfId="0" applyNumberFormat="1" applyFont="1"/>
    <xf numFmtId="9" fontId="0" fillId="0" borderId="0" xfId="0" applyNumberFormat="1"/>
    <xf numFmtId="9" fontId="0" fillId="0" borderId="0" xfId="0" applyNumberFormat="1" applyAlignment="1">
      <alignment horizontal="center"/>
    </xf>
    <xf numFmtId="0" fontId="4" fillId="3" borderId="0" xfId="0" applyFont="1" applyFill="1"/>
    <xf numFmtId="0" fontId="0" fillId="3"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0" xfId="0" applyAlignment="1">
      <alignment horizontal="center"/>
    </xf>
    <xf numFmtId="0" fontId="0" fillId="11" borderId="0" xfId="0" applyFill="1"/>
    <xf numFmtId="49" fontId="0" fillId="10" borderId="0" xfId="0" applyNumberFormat="1" applyFill="1"/>
    <xf numFmtId="49" fontId="0" fillId="12" borderId="0" xfId="0" applyNumberFormat="1" applyFill="1"/>
    <xf numFmtId="49" fontId="0" fillId="3" borderId="0" xfId="0" applyNumberFormat="1" applyFill="1"/>
    <xf numFmtId="49" fontId="0" fillId="13" borderId="0" xfId="0" applyNumberFormat="1" applyFill="1"/>
    <xf numFmtId="49" fontId="0" fillId="14" borderId="0" xfId="0" applyNumberFormat="1" applyFill="1"/>
    <xf numFmtId="0" fontId="0" fillId="0" borderId="0" xfId="0" applyAlignment="1">
      <alignment horizontal="center"/>
    </xf>
    <xf numFmtId="0" fontId="0" fillId="0" borderId="0" xfId="0" applyAlignment="1">
      <alignment horizontal="center"/>
    </xf>
    <xf numFmtId="0" fontId="0" fillId="0" borderId="9" xfId="0" applyFill="1" applyBorder="1" applyAlignment="1">
      <alignment vertical="center"/>
    </xf>
    <xf numFmtId="0" fontId="0" fillId="0" borderId="4" xfId="0" applyFill="1" applyBorder="1" applyAlignment="1">
      <alignment vertical="center"/>
    </xf>
    <xf numFmtId="0" fontId="0" fillId="0" borderId="5" xfId="0" applyFill="1" applyBorder="1" applyAlignment="1">
      <alignment vertical="center"/>
    </xf>
    <xf numFmtId="0" fontId="0" fillId="0" borderId="6" xfId="0" applyFill="1" applyBorder="1" applyAlignment="1">
      <alignment vertical="center"/>
    </xf>
    <xf numFmtId="0" fontId="0" fillId="0" borderId="7" xfId="0" applyFill="1" applyBorder="1" applyAlignment="1">
      <alignment vertical="center"/>
    </xf>
    <xf numFmtId="0" fontId="0" fillId="0" borderId="8" xfId="0" applyBorder="1"/>
    <xf numFmtId="9" fontId="0" fillId="0" borderId="0" xfId="0" applyNumberFormat="1" applyAlignment="1"/>
    <xf numFmtId="0" fontId="1" fillId="2" borderId="6" xfId="0" applyFont="1" applyFill="1" applyBorder="1"/>
    <xf numFmtId="0" fontId="1" fillId="2" borderId="10" xfId="0" applyFont="1" applyFill="1" applyBorder="1"/>
    <xf numFmtId="9" fontId="0" fillId="0" borderId="0" xfId="0" applyNumberFormat="1" applyBorder="1"/>
    <xf numFmtId="9" fontId="0" fillId="0" borderId="10" xfId="0" applyNumberFormat="1" applyBorder="1"/>
    <xf numFmtId="9" fontId="0" fillId="0" borderId="4" xfId="0" applyNumberFormat="1" applyBorder="1"/>
    <xf numFmtId="9" fontId="0" fillId="0" borderId="6" xfId="0" applyNumberFormat="1" applyBorder="1"/>
    <xf numFmtId="0" fontId="0" fillId="0" borderId="12" xfId="0" applyBorder="1"/>
    <xf numFmtId="0" fontId="0" fillId="0" borderId="13" xfId="0" applyBorder="1"/>
    <xf numFmtId="0" fontId="6" fillId="0" borderId="12" xfId="0" applyFont="1" applyBorder="1"/>
    <xf numFmtId="0" fontId="7" fillId="0" borderId="12" xfId="0" applyFont="1" applyBorder="1"/>
    <xf numFmtId="0" fontId="5" fillId="0" borderId="6" xfId="0" applyFont="1" applyBorder="1"/>
    <xf numFmtId="0" fontId="0" fillId="15" borderId="8" xfId="0" applyFill="1" applyBorder="1" applyAlignment="1">
      <alignment horizontal="center" vertical="center"/>
    </xf>
    <xf numFmtId="0" fontId="0" fillId="15" borderId="9" xfId="0" applyFill="1" applyBorder="1" applyAlignment="1">
      <alignment horizontal="center" vertical="center"/>
    </xf>
    <xf numFmtId="0" fontId="0" fillId="15" borderId="6" xfId="0" applyFill="1" applyBorder="1" applyAlignment="1">
      <alignment horizontal="center" vertical="center"/>
    </xf>
    <xf numFmtId="0" fontId="0" fillId="15" borderId="7" xfId="0" applyFill="1" applyBorder="1" applyAlignment="1">
      <alignment horizontal="center" vertical="center"/>
    </xf>
    <xf numFmtId="0" fontId="0" fillId="6" borderId="8" xfId="0" applyFill="1" applyBorder="1" applyAlignment="1">
      <alignment horizontal="center" vertical="center"/>
    </xf>
    <xf numFmtId="0" fontId="0" fillId="6" borderId="9" xfId="0"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6" borderId="6" xfId="0" applyFill="1" applyBorder="1" applyAlignment="1">
      <alignment horizontal="center" vertical="center"/>
    </xf>
    <xf numFmtId="0" fontId="0" fillId="6" borderId="7" xfId="0" applyFill="1" applyBorder="1" applyAlignment="1">
      <alignment horizontal="center" vertical="center"/>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8" borderId="7"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9" borderId="8" xfId="0" applyFill="1" applyBorder="1" applyAlignment="1">
      <alignment horizontal="center" vertical="center" wrapText="1"/>
    </xf>
    <xf numFmtId="0" fontId="0" fillId="9" borderId="9" xfId="0" applyFill="1" applyBorder="1" applyAlignment="1">
      <alignment horizontal="center" vertical="center" wrapText="1"/>
    </xf>
    <xf numFmtId="0" fontId="0" fillId="9" borderId="4" xfId="0" applyFill="1" applyBorder="1" applyAlignment="1">
      <alignment horizontal="center" vertical="center" wrapText="1"/>
    </xf>
    <xf numFmtId="0" fontId="0" fillId="9" borderId="5" xfId="0" applyFill="1" applyBorder="1" applyAlignment="1">
      <alignment horizontal="center"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15" borderId="2" xfId="0" applyFill="1" applyBorder="1" applyAlignment="1">
      <alignment horizontal="center" vertical="center"/>
    </xf>
    <xf numFmtId="0" fontId="0" fillId="15" borderId="10" xfId="0" applyFill="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xf>
    <xf numFmtId="0" fontId="1" fillId="0" borderId="11" xfId="0" applyFont="1" applyBorder="1" applyAlignment="1">
      <alignment horizontal="center" vertical="center"/>
    </xf>
    <xf numFmtId="0" fontId="0" fillId="9" borderId="2" xfId="0" applyFill="1" applyBorder="1" applyAlignment="1">
      <alignment horizontal="center" vertical="center"/>
    </xf>
    <xf numFmtId="0" fontId="0" fillId="9" borderId="4" xfId="0" applyFill="1" applyBorder="1" applyAlignment="1">
      <alignment horizontal="center" vertical="center"/>
    </xf>
    <xf numFmtId="0" fontId="0" fillId="9" borderId="0" xfId="0" applyFill="1" applyBorder="1" applyAlignment="1">
      <alignment horizontal="center" vertical="center"/>
    </xf>
    <xf numFmtId="0" fontId="0" fillId="9" borderId="6" xfId="0" applyFill="1" applyBorder="1" applyAlignment="1">
      <alignment horizontal="center" vertical="center"/>
    </xf>
    <xf numFmtId="0" fontId="0" fillId="9" borderId="10" xfId="0" applyFill="1" applyBorder="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0" fillId="6" borderId="2" xfId="0" applyFill="1" applyBorder="1" applyAlignment="1">
      <alignment horizontal="center" vertical="center"/>
    </xf>
    <xf numFmtId="0" fontId="0" fillId="6" borderId="0" xfId="0" applyFill="1" applyBorder="1" applyAlignment="1">
      <alignment horizontal="center" vertical="center"/>
    </xf>
    <xf numFmtId="0" fontId="0" fillId="6" borderId="10" xfId="0" applyFill="1" applyBorder="1" applyAlignment="1">
      <alignment horizontal="center" vertical="center"/>
    </xf>
    <xf numFmtId="0" fontId="0" fillId="7" borderId="2" xfId="0" applyFill="1" applyBorder="1" applyAlignment="1">
      <alignment horizontal="center" vertical="center"/>
    </xf>
    <xf numFmtId="0" fontId="0" fillId="7" borderId="0" xfId="0" applyFill="1" applyBorder="1" applyAlignment="1">
      <alignment horizontal="center" vertical="center"/>
    </xf>
    <xf numFmtId="0" fontId="0" fillId="7" borderId="10" xfId="0" applyFill="1" applyBorder="1" applyAlignment="1">
      <alignment horizontal="center" vertical="center"/>
    </xf>
    <xf numFmtId="9" fontId="0" fillId="0" borderId="10" xfId="0" applyNumberFormat="1" applyBorder="1" applyAlignment="1">
      <alignment horizontal="center"/>
    </xf>
    <xf numFmtId="9" fontId="0" fillId="0" borderId="7" xfId="0" applyNumberFormat="1" applyBorder="1" applyAlignment="1">
      <alignment horizontal="center"/>
    </xf>
    <xf numFmtId="9" fontId="0" fillId="0" borderId="0" xfId="0" applyNumberFormat="1" applyBorder="1" applyAlignment="1">
      <alignment horizontal="center"/>
    </xf>
    <xf numFmtId="9" fontId="0" fillId="0" borderId="5" xfId="0" applyNumberFormat="1" applyBorder="1" applyAlignment="1">
      <alignment horizontal="center"/>
    </xf>
    <xf numFmtId="9" fontId="0" fillId="0" borderId="6" xfId="0" applyNumberFormat="1" applyBorder="1" applyAlignment="1">
      <alignment horizontal="center"/>
    </xf>
    <xf numFmtId="9" fontId="0" fillId="0" borderId="4" xfId="0" applyNumberFormat="1" applyBorder="1" applyAlignment="1">
      <alignment horizontal="center"/>
    </xf>
    <xf numFmtId="9" fontId="0" fillId="0" borderId="13" xfId="0" applyNumberFormat="1" applyBorder="1" applyAlignment="1">
      <alignment horizontal="center"/>
    </xf>
    <xf numFmtId="9" fontId="0" fillId="0" borderId="3" xfId="0" applyNumberFormat="1" applyBorder="1" applyAlignment="1">
      <alignment horizontal="center"/>
    </xf>
    <xf numFmtId="9" fontId="0" fillId="0" borderId="12" xfId="0" applyNumberFormat="1" applyBorder="1" applyAlignment="1">
      <alignment horizontal="center"/>
    </xf>
    <xf numFmtId="9" fontId="0" fillId="0" borderId="2" xfId="0" applyNumberFormat="1" applyBorder="1" applyAlignment="1">
      <alignment horizontal="center"/>
    </xf>
    <xf numFmtId="9" fontId="0" fillId="0" borderId="9" xfId="0" applyNumberFormat="1" applyBorder="1" applyAlignment="1">
      <alignment horizontal="center"/>
    </xf>
    <xf numFmtId="9" fontId="0" fillId="0" borderId="0" xfId="0" applyNumberFormat="1" applyAlignment="1">
      <alignment horizontal="center"/>
    </xf>
    <xf numFmtId="0" fontId="1" fillId="2" borderId="8"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7" xfId="0" applyFont="1" applyFill="1" applyBorder="1" applyAlignment="1">
      <alignment horizontal="center"/>
    </xf>
    <xf numFmtId="0" fontId="0" fillId="0" borderId="0" xfId="0" applyAlignment="1">
      <alignment horizontal="left"/>
    </xf>
    <xf numFmtId="0" fontId="0" fillId="0" borderId="5" xfId="0" applyBorder="1" applyAlignment="1">
      <alignment horizontal="left"/>
    </xf>
    <xf numFmtId="0" fontId="5" fillId="0" borderId="10" xfId="0" applyFont="1" applyBorder="1" applyAlignment="1">
      <alignment horizontal="left"/>
    </xf>
    <xf numFmtId="0" fontId="5" fillId="0" borderId="7" xfId="0" applyFont="1" applyBorder="1" applyAlignment="1">
      <alignment horizontal="left"/>
    </xf>
    <xf numFmtId="0" fontId="0" fillId="0" borderId="10" xfId="0" applyBorder="1" applyAlignment="1">
      <alignment horizontal="left"/>
    </xf>
    <xf numFmtId="0" fontId="0" fillId="0" borderId="7" xfId="0" applyBorder="1" applyAlignment="1">
      <alignment horizontal="left"/>
    </xf>
    <xf numFmtId="9" fontId="0" fillId="0" borderId="6" xfId="0" applyNumberFormat="1" applyBorder="1" applyAlignment="1">
      <alignment horizontal="right"/>
    </xf>
    <xf numFmtId="9" fontId="0" fillId="0" borderId="7" xfId="0" applyNumberFormat="1" applyBorder="1" applyAlignment="1">
      <alignment horizontal="right"/>
    </xf>
    <xf numFmtId="9" fontId="0" fillId="0" borderId="4" xfId="0" applyNumberFormat="1" applyBorder="1" applyAlignment="1">
      <alignment horizontal="right"/>
    </xf>
    <xf numFmtId="9" fontId="0" fillId="0" borderId="5" xfId="0" applyNumberFormat="1" applyBorder="1" applyAlignment="1">
      <alignment horizontal="right"/>
    </xf>
    <xf numFmtId="9" fontId="0" fillId="0" borderId="12" xfId="0" applyNumberFormat="1" applyBorder="1" applyAlignment="1">
      <alignment horizontal="right"/>
    </xf>
    <xf numFmtId="9" fontId="0" fillId="0" borderId="3" xfId="0" applyNumberFormat="1" applyBorder="1" applyAlignment="1">
      <alignment horizontal="right"/>
    </xf>
    <xf numFmtId="9" fontId="0" fillId="0" borderId="10" xfId="0" applyNumberFormat="1" applyBorder="1" applyAlignment="1">
      <alignment horizontal="right"/>
    </xf>
    <xf numFmtId="9" fontId="0" fillId="0" borderId="0" xfId="0" applyNumberFormat="1" applyAlignment="1">
      <alignment horizontal="right"/>
    </xf>
    <xf numFmtId="0" fontId="7" fillId="0" borderId="13" xfId="0" applyFont="1" applyBorder="1" applyAlignment="1">
      <alignment horizontal="left"/>
    </xf>
    <xf numFmtId="0" fontId="7" fillId="0" borderId="3" xfId="0" applyFont="1" applyBorder="1" applyAlignment="1">
      <alignment horizontal="left"/>
    </xf>
    <xf numFmtId="0" fontId="3" fillId="0" borderId="0" xfId="0" applyFont="1" applyAlignment="1">
      <alignment horizontal="left"/>
    </xf>
    <xf numFmtId="9" fontId="0" fillId="0" borderId="8" xfId="0" applyNumberFormat="1" applyBorder="1" applyAlignment="1">
      <alignment horizontal="right"/>
    </xf>
    <xf numFmtId="9" fontId="0" fillId="0" borderId="9" xfId="0" applyNumberFormat="1" applyBorder="1" applyAlignment="1">
      <alignment horizontal="right"/>
    </xf>
    <xf numFmtId="0" fontId="1" fillId="2" borderId="6" xfId="0" applyFont="1" applyFill="1" applyBorder="1" applyAlignment="1">
      <alignment horizontal="center"/>
    </xf>
    <xf numFmtId="0" fontId="8" fillId="0" borderId="13" xfId="0" applyFont="1" applyBorder="1" applyAlignment="1">
      <alignment horizontal="left"/>
    </xf>
    <xf numFmtId="0" fontId="8" fillId="0" borderId="3" xfId="0" applyFont="1" applyBorder="1" applyAlignment="1">
      <alignment horizontal="left"/>
    </xf>
  </cellXfs>
  <cellStyles count="1">
    <cellStyle name="Normal" xfId="0" builtinId="0"/>
  </cellStyles>
  <dxfs count="434">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CBB6"/>
      <color rgb="FFCEB4FF"/>
      <color rgb="FFFCE1FF"/>
      <color rgb="FFFFC35A"/>
      <color rgb="FFFFA5FC"/>
      <color rgb="FFCFEBFF"/>
      <color rgb="FFFF7F87"/>
      <color rgb="FFB6FFE6"/>
      <color rgb="FF86E0CE"/>
      <color rgb="FFFFDE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34"/>
  <sheetViews>
    <sheetView workbookViewId="0">
      <selection activeCell="B44" sqref="B44"/>
    </sheetView>
  </sheetViews>
  <sheetFormatPr baseColWidth="10" defaultColWidth="10.6640625" defaultRowHeight="16" x14ac:dyDescent="0.2"/>
  <cols>
    <col min="2" max="2" width="161" customWidth="1"/>
    <col min="3" max="3" width="10.83203125" style="2"/>
  </cols>
  <sheetData>
    <row r="4" spans="2:2" ht="21" x14ac:dyDescent="0.25">
      <c r="B4" s="4" t="s">
        <v>15</v>
      </c>
    </row>
    <row r="6" spans="2:2" x14ac:dyDescent="0.2">
      <c r="B6" s="3" t="s">
        <v>12</v>
      </c>
    </row>
    <row r="7" spans="2:2" ht="51" x14ac:dyDescent="0.2">
      <c r="B7" s="1" t="s">
        <v>13</v>
      </c>
    </row>
    <row r="9" spans="2:2" x14ac:dyDescent="0.2">
      <c r="B9" s="3" t="s">
        <v>14</v>
      </c>
    </row>
    <row r="10" spans="2:2" ht="68" x14ac:dyDescent="0.2">
      <c r="B10" s="1" t="s">
        <v>27</v>
      </c>
    </row>
    <row r="12" spans="2:2" x14ac:dyDescent="0.2">
      <c r="B12" s="3" t="s">
        <v>16</v>
      </c>
    </row>
    <row r="13" spans="2:2" ht="153" x14ac:dyDescent="0.2">
      <c r="B13" s="1" t="s">
        <v>17</v>
      </c>
    </row>
    <row r="15" spans="2:2" x14ac:dyDescent="0.2">
      <c r="B15" s="3" t="s">
        <v>18</v>
      </c>
    </row>
    <row r="16" spans="2:2" ht="119" x14ac:dyDescent="0.2">
      <c r="B16" s="1" t="s">
        <v>19</v>
      </c>
    </row>
    <row r="17" spans="2:2" x14ac:dyDescent="0.2">
      <c r="B17" s="1"/>
    </row>
    <row r="18" spans="2:2" x14ac:dyDescent="0.2">
      <c r="B18" s="3" t="s">
        <v>26</v>
      </c>
    </row>
    <row r="19" spans="2:2" ht="153" x14ac:dyDescent="0.2">
      <c r="B19" s="1" t="s">
        <v>28</v>
      </c>
    </row>
    <row r="21" spans="2:2" x14ac:dyDescent="0.2">
      <c r="B21" s="3" t="s">
        <v>20</v>
      </c>
    </row>
    <row r="22" spans="2:2" ht="136" x14ac:dyDescent="0.2">
      <c r="B22" s="1" t="s">
        <v>29</v>
      </c>
    </row>
    <row r="24" spans="2:2" x14ac:dyDescent="0.2">
      <c r="B24" s="3" t="s">
        <v>21</v>
      </c>
    </row>
    <row r="25" spans="2:2" ht="136" x14ac:dyDescent="0.2">
      <c r="B25" s="1" t="s">
        <v>22</v>
      </c>
    </row>
    <row r="28" spans="2:2" x14ac:dyDescent="0.2">
      <c r="B28" s="8" t="s">
        <v>30</v>
      </c>
    </row>
    <row r="29" spans="2:2" x14ac:dyDescent="0.2">
      <c r="B29" s="9"/>
    </row>
    <row r="30" spans="2:2" x14ac:dyDescent="0.2">
      <c r="B30" s="8" t="s">
        <v>31</v>
      </c>
    </row>
    <row r="31" spans="2:2" x14ac:dyDescent="0.2">
      <c r="B31" s="8" t="s">
        <v>32</v>
      </c>
    </row>
    <row r="32" spans="2:2" x14ac:dyDescent="0.2">
      <c r="B32" s="9"/>
    </row>
    <row r="33" spans="2:2" x14ac:dyDescent="0.2">
      <c r="B33" s="8" t="s">
        <v>33</v>
      </c>
    </row>
    <row r="34" spans="2:2" x14ac:dyDescent="0.2">
      <c r="B34" s="8"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AB44"/>
  <sheetViews>
    <sheetView showGridLines="0" zoomScale="75" workbookViewId="0">
      <selection activeCell="R34" sqref="R34"/>
    </sheetView>
  </sheetViews>
  <sheetFormatPr baseColWidth="10" defaultColWidth="10.6640625" defaultRowHeight="16" x14ac:dyDescent="0.2"/>
  <sheetData>
    <row r="1" spans="2:28" x14ac:dyDescent="0.2">
      <c r="S1" s="15"/>
      <c r="T1" s="83" t="s">
        <v>40</v>
      </c>
      <c r="U1" s="83"/>
      <c r="V1" s="83"/>
      <c r="W1" s="83"/>
    </row>
    <row r="2" spans="2:28" x14ac:dyDescent="0.2">
      <c r="T2" s="15"/>
      <c r="U2" s="15" t="s">
        <v>51</v>
      </c>
      <c r="V2" s="15"/>
      <c r="W2" s="15"/>
    </row>
    <row r="3" spans="2:28" x14ac:dyDescent="0.2">
      <c r="B3" s="5"/>
      <c r="C3" s="82" t="s">
        <v>4</v>
      </c>
      <c r="D3" s="82"/>
      <c r="E3" s="82" t="s">
        <v>5</v>
      </c>
      <c r="F3" s="82"/>
      <c r="G3" s="82" t="s">
        <v>6</v>
      </c>
      <c r="H3" s="82"/>
      <c r="I3" s="82" t="s">
        <v>7</v>
      </c>
      <c r="J3" s="82"/>
      <c r="K3" s="82" t="s">
        <v>10</v>
      </c>
      <c r="L3" s="82"/>
      <c r="M3" s="82" t="s">
        <v>8</v>
      </c>
      <c r="N3" s="82"/>
      <c r="O3" s="82" t="s">
        <v>9</v>
      </c>
      <c r="P3" s="82"/>
      <c r="W3" s="16" t="s">
        <v>52</v>
      </c>
      <c r="X3" s="17" t="s">
        <v>53</v>
      </c>
      <c r="Y3" s="18" t="s">
        <v>54</v>
      </c>
      <c r="Z3" s="19" t="s">
        <v>55</v>
      </c>
      <c r="AA3" s="20" t="s">
        <v>56</v>
      </c>
      <c r="AB3" s="21" t="s">
        <v>57</v>
      </c>
    </row>
    <row r="4" spans="2:28" x14ac:dyDescent="0.2">
      <c r="B4" s="5"/>
      <c r="C4" s="82"/>
      <c r="D4" s="82"/>
      <c r="E4" s="82"/>
      <c r="F4" s="82"/>
      <c r="G4" s="82"/>
      <c r="H4" s="82"/>
      <c r="I4" s="82"/>
      <c r="J4" s="82"/>
      <c r="K4" s="82"/>
      <c r="L4" s="82"/>
      <c r="M4" s="84"/>
      <c r="N4" s="84"/>
      <c r="O4" s="82"/>
      <c r="P4" s="82"/>
      <c r="U4" s="15" t="s">
        <v>41</v>
      </c>
      <c r="V4" s="15"/>
      <c r="W4" s="16"/>
    </row>
    <row r="5" spans="2:28" x14ac:dyDescent="0.2">
      <c r="B5" s="5">
        <v>0.20833333333333301</v>
      </c>
      <c r="C5" s="10"/>
      <c r="D5" s="11"/>
      <c r="E5" s="10"/>
      <c r="F5" s="11"/>
      <c r="G5" s="10"/>
      <c r="H5" s="11"/>
      <c r="I5" s="10"/>
      <c r="J5" s="11"/>
      <c r="K5" s="10"/>
      <c r="L5" s="14"/>
      <c r="M5" s="29"/>
      <c r="N5" s="24"/>
      <c r="O5" s="14"/>
      <c r="P5" s="11"/>
      <c r="T5" s="15"/>
      <c r="U5" s="15" t="s">
        <v>42</v>
      </c>
      <c r="V5" s="15"/>
      <c r="W5" s="16"/>
    </row>
    <row r="6" spans="2:28" x14ac:dyDescent="0.2">
      <c r="B6" s="5">
        <v>0.22916666666666699</v>
      </c>
      <c r="C6" s="10"/>
      <c r="D6" s="11"/>
      <c r="E6" s="10"/>
      <c r="F6" s="11"/>
      <c r="G6" s="10"/>
      <c r="H6" s="11"/>
      <c r="I6" s="10"/>
      <c r="J6" s="11"/>
      <c r="K6" s="10"/>
      <c r="L6" s="14"/>
      <c r="M6" s="25"/>
      <c r="N6" s="26"/>
      <c r="O6" s="14"/>
      <c r="P6" s="11"/>
      <c r="T6" s="15"/>
      <c r="U6" s="15" t="s">
        <v>43</v>
      </c>
      <c r="V6" s="15"/>
      <c r="W6" s="16"/>
    </row>
    <row r="7" spans="2:28" x14ac:dyDescent="0.2">
      <c r="B7" s="5">
        <v>0.25</v>
      </c>
      <c r="C7" s="52" t="s">
        <v>38</v>
      </c>
      <c r="D7" s="53"/>
      <c r="E7" s="52" t="s">
        <v>38</v>
      </c>
      <c r="F7" s="53"/>
      <c r="G7" s="52" t="s">
        <v>38</v>
      </c>
      <c r="H7" s="53"/>
      <c r="I7" s="52" t="s">
        <v>38</v>
      </c>
      <c r="J7" s="53"/>
      <c r="K7" s="52" t="s">
        <v>38</v>
      </c>
      <c r="L7" s="53"/>
      <c r="M7" s="52" t="s">
        <v>38</v>
      </c>
      <c r="N7" s="53"/>
      <c r="O7" s="52" t="s">
        <v>38</v>
      </c>
      <c r="P7" s="53"/>
      <c r="T7" s="15"/>
      <c r="U7" s="15" t="s">
        <v>44</v>
      </c>
      <c r="V7" s="15"/>
      <c r="W7" s="16"/>
    </row>
    <row r="8" spans="2:28" x14ac:dyDescent="0.2">
      <c r="B8" s="5">
        <v>0.27083333333333398</v>
      </c>
      <c r="C8" s="54"/>
      <c r="D8" s="55"/>
      <c r="E8" s="54"/>
      <c r="F8" s="55"/>
      <c r="G8" s="54"/>
      <c r="H8" s="55"/>
      <c r="I8" s="54"/>
      <c r="J8" s="55"/>
      <c r="K8" s="54"/>
      <c r="L8" s="55"/>
      <c r="M8" s="54"/>
      <c r="N8" s="55"/>
      <c r="O8" s="54"/>
      <c r="P8" s="55"/>
      <c r="T8" s="15"/>
      <c r="U8" s="15" t="s">
        <v>45</v>
      </c>
      <c r="V8" s="15"/>
      <c r="W8" s="16"/>
    </row>
    <row r="9" spans="2:28" x14ac:dyDescent="0.2">
      <c r="B9" s="5">
        <v>0.29166666666666702</v>
      </c>
      <c r="C9" s="56"/>
      <c r="D9" s="57"/>
      <c r="E9" s="56"/>
      <c r="F9" s="57"/>
      <c r="G9" s="56"/>
      <c r="H9" s="57"/>
      <c r="I9" s="56"/>
      <c r="J9" s="57"/>
      <c r="K9" s="56"/>
      <c r="L9" s="57"/>
      <c r="M9" s="56"/>
      <c r="N9" s="57"/>
      <c r="O9" s="56"/>
      <c r="P9" s="57"/>
      <c r="U9" t="s">
        <v>46</v>
      </c>
      <c r="W9" s="16"/>
    </row>
    <row r="10" spans="2:28" x14ac:dyDescent="0.2">
      <c r="B10" s="5">
        <v>0.3125</v>
      </c>
      <c r="C10" s="10"/>
      <c r="D10" s="11"/>
      <c r="E10" s="10"/>
      <c r="F10" s="11"/>
      <c r="G10" s="10"/>
      <c r="H10" s="11"/>
      <c r="I10" s="10"/>
      <c r="J10" s="11"/>
      <c r="K10" s="10"/>
      <c r="L10" s="14"/>
      <c r="M10" s="25"/>
      <c r="N10" s="26"/>
      <c r="O10" s="14"/>
      <c r="P10" s="11"/>
      <c r="T10" s="15"/>
      <c r="U10" s="15" t="s">
        <v>47</v>
      </c>
      <c r="V10" s="15"/>
      <c r="W10" s="16"/>
    </row>
    <row r="11" spans="2:28" x14ac:dyDescent="0.2">
      <c r="B11" s="5">
        <v>0.33333333333333398</v>
      </c>
      <c r="C11" s="58" t="s">
        <v>35</v>
      </c>
      <c r="D11" s="59"/>
      <c r="E11" s="58" t="s">
        <v>35</v>
      </c>
      <c r="F11" s="59"/>
      <c r="G11" s="62" t="s">
        <v>69</v>
      </c>
      <c r="H11" s="63"/>
      <c r="I11" s="46" t="s">
        <v>81</v>
      </c>
      <c r="J11" s="47"/>
      <c r="K11" s="68" t="s">
        <v>92</v>
      </c>
      <c r="L11" s="85"/>
      <c r="M11" s="90" t="s">
        <v>37</v>
      </c>
      <c r="N11" s="91"/>
      <c r="O11" s="95" t="s">
        <v>69</v>
      </c>
      <c r="P11" s="63"/>
      <c r="T11" s="15"/>
      <c r="U11" s="15" t="s">
        <v>48</v>
      </c>
      <c r="V11" s="15"/>
      <c r="W11" s="16"/>
    </row>
    <row r="12" spans="2:28" x14ac:dyDescent="0.2">
      <c r="B12" s="5">
        <v>0.35416666666666702</v>
      </c>
      <c r="C12" s="60"/>
      <c r="D12" s="61"/>
      <c r="E12" s="60"/>
      <c r="F12" s="61"/>
      <c r="G12" s="64"/>
      <c r="H12" s="65"/>
      <c r="I12" s="48"/>
      <c r="J12" s="49"/>
      <c r="K12" s="86"/>
      <c r="L12" s="87"/>
      <c r="M12" s="90"/>
      <c r="N12" s="91"/>
      <c r="O12" s="96"/>
      <c r="P12" s="65"/>
      <c r="T12" s="15"/>
      <c r="U12" s="15" t="s">
        <v>49</v>
      </c>
      <c r="V12" s="15"/>
      <c r="W12" s="16"/>
    </row>
    <row r="13" spans="2:28" x14ac:dyDescent="0.2">
      <c r="B13" s="5">
        <v>0.375</v>
      </c>
      <c r="C13" s="74" t="s">
        <v>36</v>
      </c>
      <c r="D13" s="75"/>
      <c r="E13" s="74" t="s">
        <v>36</v>
      </c>
      <c r="F13" s="75"/>
      <c r="G13" s="64"/>
      <c r="H13" s="65"/>
      <c r="I13" s="48"/>
      <c r="J13" s="49"/>
      <c r="K13" s="86"/>
      <c r="L13" s="87"/>
      <c r="M13" s="90"/>
      <c r="N13" s="91"/>
      <c r="O13" s="96"/>
      <c r="P13" s="65"/>
      <c r="T13" s="15"/>
      <c r="U13" s="15" t="s">
        <v>50</v>
      </c>
      <c r="V13" s="15"/>
      <c r="W13" s="16"/>
    </row>
    <row r="14" spans="2:28" x14ac:dyDescent="0.2">
      <c r="B14" s="5">
        <v>0.39583333333333398</v>
      </c>
      <c r="C14" s="76"/>
      <c r="D14" s="77"/>
      <c r="E14" s="76"/>
      <c r="F14" s="77"/>
      <c r="G14" s="64"/>
      <c r="H14" s="65"/>
      <c r="I14" s="48"/>
      <c r="J14" s="49"/>
      <c r="K14" s="86"/>
      <c r="L14" s="87"/>
      <c r="M14" s="90"/>
      <c r="N14" s="91"/>
      <c r="O14" s="96"/>
      <c r="P14" s="65"/>
    </row>
    <row r="15" spans="2:28" x14ac:dyDescent="0.2">
      <c r="B15" s="5">
        <v>0.41666666666666702</v>
      </c>
      <c r="C15" s="76"/>
      <c r="D15" s="77"/>
      <c r="E15" s="76"/>
      <c r="F15" s="77"/>
      <c r="G15" s="64"/>
      <c r="H15" s="65"/>
      <c r="I15" s="48"/>
      <c r="J15" s="49"/>
      <c r="K15" s="86"/>
      <c r="L15" s="87"/>
      <c r="M15" s="90"/>
      <c r="N15" s="91"/>
      <c r="O15" s="96"/>
      <c r="P15" s="65"/>
    </row>
    <row r="16" spans="2:28" x14ac:dyDescent="0.2">
      <c r="B16" s="5">
        <v>0.4375</v>
      </c>
      <c r="C16" s="76"/>
      <c r="D16" s="77"/>
      <c r="E16" s="76"/>
      <c r="F16" s="77"/>
      <c r="G16" s="64"/>
      <c r="H16" s="65"/>
      <c r="I16" s="48"/>
      <c r="J16" s="49"/>
      <c r="K16" s="86"/>
      <c r="L16" s="87"/>
      <c r="M16" s="90"/>
      <c r="N16" s="91"/>
      <c r="O16" s="96"/>
      <c r="P16" s="65"/>
    </row>
    <row r="17" spans="2:16" x14ac:dyDescent="0.2">
      <c r="B17" s="5">
        <v>0.45833333333333398</v>
      </c>
      <c r="C17" s="76"/>
      <c r="D17" s="77"/>
      <c r="E17" s="76"/>
      <c r="F17" s="77"/>
      <c r="G17" s="64"/>
      <c r="H17" s="65"/>
      <c r="I17" s="48"/>
      <c r="J17" s="49"/>
      <c r="K17" s="86"/>
      <c r="L17" s="87"/>
      <c r="M17" s="90"/>
      <c r="N17" s="91"/>
      <c r="O17" s="96"/>
      <c r="P17" s="65"/>
    </row>
    <row r="18" spans="2:16" x14ac:dyDescent="0.2">
      <c r="B18" s="5">
        <v>0.47916666666666702</v>
      </c>
      <c r="C18" s="76"/>
      <c r="D18" s="77"/>
      <c r="E18" s="76"/>
      <c r="F18" s="77"/>
      <c r="G18" s="64"/>
      <c r="H18" s="65"/>
      <c r="I18" s="48"/>
      <c r="J18" s="49"/>
      <c r="K18" s="86"/>
      <c r="L18" s="87"/>
      <c r="M18" s="90"/>
      <c r="N18" s="91"/>
      <c r="O18" s="96"/>
      <c r="P18" s="65"/>
    </row>
    <row r="19" spans="2:16" x14ac:dyDescent="0.2">
      <c r="B19" s="5">
        <v>0.5</v>
      </c>
      <c r="C19" s="76"/>
      <c r="D19" s="77"/>
      <c r="E19" s="76"/>
      <c r="F19" s="77"/>
      <c r="G19" s="64"/>
      <c r="H19" s="65"/>
      <c r="I19" s="48"/>
      <c r="J19" s="49"/>
      <c r="K19" s="86"/>
      <c r="L19" s="87"/>
      <c r="M19" s="90"/>
      <c r="N19" s="91"/>
      <c r="O19" s="96"/>
      <c r="P19" s="65"/>
    </row>
    <row r="20" spans="2:16" x14ac:dyDescent="0.2">
      <c r="B20" s="5">
        <v>0.52083333333333404</v>
      </c>
      <c r="C20" s="76"/>
      <c r="D20" s="77"/>
      <c r="E20" s="76"/>
      <c r="F20" s="77"/>
      <c r="G20" s="66"/>
      <c r="H20" s="67"/>
      <c r="I20" s="50"/>
      <c r="J20" s="51"/>
      <c r="K20" s="88"/>
      <c r="L20" s="89"/>
      <c r="M20" s="90"/>
      <c r="N20" s="91"/>
      <c r="O20" s="97"/>
      <c r="P20" s="67"/>
    </row>
    <row r="21" spans="2:16" x14ac:dyDescent="0.2">
      <c r="B21" s="5">
        <v>0.54166666666666696</v>
      </c>
      <c r="C21" s="76"/>
      <c r="D21" s="77"/>
      <c r="E21" s="76"/>
      <c r="F21" s="77"/>
      <c r="G21" s="42" t="s">
        <v>39</v>
      </c>
      <c r="H21" s="43"/>
      <c r="I21" s="42" t="s">
        <v>39</v>
      </c>
      <c r="J21" s="43"/>
      <c r="K21" s="42" t="s">
        <v>39</v>
      </c>
      <c r="L21" s="80"/>
      <c r="M21" s="90"/>
      <c r="N21" s="91"/>
      <c r="O21" s="80" t="s">
        <v>39</v>
      </c>
      <c r="P21" s="43"/>
    </row>
    <row r="22" spans="2:16" x14ac:dyDescent="0.2">
      <c r="B22" s="5">
        <v>0.5625</v>
      </c>
      <c r="C22" s="76"/>
      <c r="D22" s="77"/>
      <c r="E22" s="76"/>
      <c r="F22" s="77"/>
      <c r="G22" s="44"/>
      <c r="H22" s="45"/>
      <c r="I22" s="44"/>
      <c r="J22" s="45"/>
      <c r="K22" s="44"/>
      <c r="L22" s="81"/>
      <c r="M22" s="90"/>
      <c r="N22" s="91"/>
      <c r="O22" s="81"/>
      <c r="P22" s="45"/>
    </row>
    <row r="23" spans="2:16" ht="16" customHeight="1" x14ac:dyDescent="0.2">
      <c r="B23" s="5">
        <v>0.58333333333333404</v>
      </c>
      <c r="C23" s="76"/>
      <c r="D23" s="77"/>
      <c r="E23" s="76"/>
      <c r="F23" s="77"/>
      <c r="G23" s="46" t="s">
        <v>81</v>
      </c>
      <c r="H23" s="47"/>
      <c r="I23" s="62" t="s">
        <v>69</v>
      </c>
      <c r="J23" s="63"/>
      <c r="K23" s="62" t="s">
        <v>69</v>
      </c>
      <c r="L23" s="63"/>
      <c r="M23" s="90"/>
      <c r="N23" s="91"/>
      <c r="O23" s="92" t="s">
        <v>81</v>
      </c>
      <c r="P23" s="47"/>
    </row>
    <row r="24" spans="2:16" x14ac:dyDescent="0.2">
      <c r="B24" s="5">
        <v>0.60416666666666696</v>
      </c>
      <c r="C24" s="76"/>
      <c r="D24" s="77"/>
      <c r="E24" s="76"/>
      <c r="F24" s="77"/>
      <c r="G24" s="48"/>
      <c r="H24" s="49"/>
      <c r="I24" s="64"/>
      <c r="J24" s="65"/>
      <c r="K24" s="64"/>
      <c r="L24" s="65"/>
      <c r="M24" s="90"/>
      <c r="N24" s="91"/>
      <c r="O24" s="93"/>
      <c r="P24" s="49"/>
    </row>
    <row r="25" spans="2:16" x14ac:dyDescent="0.2">
      <c r="B25" s="5">
        <v>0.625000000000001</v>
      </c>
      <c r="C25" s="76"/>
      <c r="D25" s="77"/>
      <c r="E25" s="76"/>
      <c r="F25" s="77"/>
      <c r="G25" s="48"/>
      <c r="H25" s="49"/>
      <c r="I25" s="64"/>
      <c r="J25" s="65"/>
      <c r="K25" s="64"/>
      <c r="L25" s="65"/>
      <c r="M25" s="90"/>
      <c r="N25" s="91"/>
      <c r="O25" s="93"/>
      <c r="P25" s="49"/>
    </row>
    <row r="26" spans="2:16" x14ac:dyDescent="0.2">
      <c r="B26" s="5">
        <v>0.64583333333333404</v>
      </c>
      <c r="C26" s="76"/>
      <c r="D26" s="77"/>
      <c r="E26" s="76"/>
      <c r="F26" s="77"/>
      <c r="G26" s="48"/>
      <c r="H26" s="49"/>
      <c r="I26" s="64"/>
      <c r="J26" s="65"/>
      <c r="K26" s="64"/>
      <c r="L26" s="65"/>
      <c r="M26" s="90"/>
      <c r="N26" s="91"/>
      <c r="O26" s="93"/>
      <c r="P26" s="49"/>
    </row>
    <row r="27" spans="2:16" x14ac:dyDescent="0.2">
      <c r="B27" s="5">
        <v>0.66666666666666696</v>
      </c>
      <c r="C27" s="76"/>
      <c r="D27" s="77"/>
      <c r="E27" s="76"/>
      <c r="F27" s="77"/>
      <c r="G27" s="48"/>
      <c r="H27" s="49"/>
      <c r="I27" s="64"/>
      <c r="J27" s="65"/>
      <c r="K27" s="64"/>
      <c r="L27" s="65"/>
      <c r="M27" s="90"/>
      <c r="N27" s="91"/>
      <c r="O27" s="93"/>
      <c r="P27" s="49"/>
    </row>
    <row r="28" spans="2:16" x14ac:dyDescent="0.2">
      <c r="B28" s="5">
        <v>0.687500000000001</v>
      </c>
      <c r="C28" s="76"/>
      <c r="D28" s="77"/>
      <c r="E28" s="76"/>
      <c r="F28" s="77"/>
      <c r="G28" s="48"/>
      <c r="H28" s="49"/>
      <c r="I28" s="64"/>
      <c r="J28" s="65"/>
      <c r="K28" s="64"/>
      <c r="L28" s="65"/>
      <c r="M28" s="90"/>
      <c r="N28" s="91"/>
      <c r="O28" s="93"/>
      <c r="P28" s="49"/>
    </row>
    <row r="29" spans="2:16" x14ac:dyDescent="0.2">
      <c r="B29" s="5">
        <v>0.70833333333333404</v>
      </c>
      <c r="C29" s="76"/>
      <c r="D29" s="77"/>
      <c r="E29" s="76"/>
      <c r="F29" s="77"/>
      <c r="G29" s="48"/>
      <c r="H29" s="49"/>
      <c r="I29" s="64"/>
      <c r="J29" s="65"/>
      <c r="K29" s="64"/>
      <c r="L29" s="65"/>
      <c r="M29" s="90"/>
      <c r="N29" s="91"/>
      <c r="O29" s="93"/>
      <c r="P29" s="49"/>
    </row>
    <row r="30" spans="2:16" x14ac:dyDescent="0.2">
      <c r="B30" s="5">
        <v>0.72916666666666696</v>
      </c>
      <c r="C30" s="76"/>
      <c r="D30" s="77"/>
      <c r="E30" s="76"/>
      <c r="F30" s="77"/>
      <c r="G30" s="48"/>
      <c r="H30" s="49"/>
      <c r="I30" s="64"/>
      <c r="J30" s="65"/>
      <c r="K30" s="64"/>
      <c r="L30" s="65"/>
      <c r="M30" s="90"/>
      <c r="N30" s="91"/>
      <c r="O30" s="93"/>
      <c r="P30" s="49"/>
    </row>
    <row r="31" spans="2:16" x14ac:dyDescent="0.2">
      <c r="B31" s="5">
        <v>0.750000000000001</v>
      </c>
      <c r="C31" s="76"/>
      <c r="D31" s="77"/>
      <c r="E31" s="76"/>
      <c r="F31" s="77"/>
      <c r="G31" s="48"/>
      <c r="H31" s="49"/>
      <c r="I31" s="64"/>
      <c r="J31" s="65"/>
      <c r="K31" s="64"/>
      <c r="L31" s="65"/>
      <c r="M31" s="90"/>
      <c r="N31" s="91"/>
      <c r="O31" s="93"/>
      <c r="P31" s="49"/>
    </row>
    <row r="32" spans="2:16" x14ac:dyDescent="0.2">
      <c r="B32" s="5">
        <v>0.77083333333333404</v>
      </c>
      <c r="C32" s="78"/>
      <c r="D32" s="79"/>
      <c r="E32" s="78"/>
      <c r="F32" s="79"/>
      <c r="G32" s="50"/>
      <c r="H32" s="51"/>
      <c r="I32" s="66"/>
      <c r="J32" s="67"/>
      <c r="K32" s="66"/>
      <c r="L32" s="67"/>
      <c r="M32" s="90"/>
      <c r="N32" s="91"/>
      <c r="O32" s="94"/>
      <c r="P32" s="51"/>
    </row>
    <row r="33" spans="1:16" x14ac:dyDescent="0.2">
      <c r="B33" s="5">
        <v>0.79166666666666696</v>
      </c>
      <c r="C33" s="58" t="s">
        <v>35</v>
      </c>
      <c r="D33" s="59"/>
      <c r="E33" s="58" t="s">
        <v>35</v>
      </c>
      <c r="F33" s="59"/>
      <c r="G33" s="10"/>
      <c r="H33" s="11"/>
      <c r="I33" s="10"/>
      <c r="J33" s="11"/>
      <c r="K33" s="10"/>
      <c r="L33" s="14"/>
      <c r="M33" s="25"/>
      <c r="N33" s="26"/>
      <c r="O33" s="14"/>
      <c r="P33" s="11"/>
    </row>
    <row r="34" spans="1:16" ht="16" customHeight="1" x14ac:dyDescent="0.2">
      <c r="B34" s="5">
        <v>0.812500000000001</v>
      </c>
      <c r="C34" s="60"/>
      <c r="D34" s="61"/>
      <c r="E34" s="60"/>
      <c r="F34" s="61"/>
      <c r="G34" s="68" t="s">
        <v>92</v>
      </c>
      <c r="H34" s="69"/>
      <c r="I34" s="68" t="s">
        <v>92</v>
      </c>
      <c r="J34" s="69"/>
      <c r="K34" s="68" t="s">
        <v>92</v>
      </c>
      <c r="L34" s="69"/>
      <c r="M34" s="25"/>
      <c r="N34" s="26"/>
      <c r="O34" s="14"/>
      <c r="P34" s="11"/>
    </row>
    <row r="35" spans="1:16" x14ac:dyDescent="0.2">
      <c r="B35" s="5">
        <v>0.83333333333333404</v>
      </c>
      <c r="C35" s="10"/>
      <c r="D35" s="11"/>
      <c r="E35" s="10"/>
      <c r="F35" s="14"/>
      <c r="G35" s="70"/>
      <c r="H35" s="71"/>
      <c r="I35" s="70"/>
      <c r="J35" s="71"/>
      <c r="K35" s="70"/>
      <c r="L35" s="71"/>
      <c r="M35" s="25"/>
      <c r="N35" s="26"/>
      <c r="O35" s="10"/>
      <c r="P35" s="11"/>
    </row>
    <row r="36" spans="1:16" x14ac:dyDescent="0.2">
      <c r="B36" s="5">
        <v>0.85416666666666696</v>
      </c>
      <c r="C36" s="10"/>
      <c r="D36" s="11"/>
      <c r="E36" s="10"/>
      <c r="F36" s="14"/>
      <c r="G36" s="72"/>
      <c r="H36" s="73"/>
      <c r="I36" s="72"/>
      <c r="J36" s="73"/>
      <c r="K36" s="72"/>
      <c r="L36" s="73"/>
      <c r="M36" s="25"/>
      <c r="N36" s="26"/>
      <c r="O36" s="10"/>
      <c r="P36" s="11"/>
    </row>
    <row r="37" spans="1:16" x14ac:dyDescent="0.2">
      <c r="B37" s="5">
        <v>0.875000000000001</v>
      </c>
      <c r="C37" s="10"/>
      <c r="D37" s="11"/>
      <c r="E37" s="10"/>
      <c r="F37" s="14"/>
      <c r="G37" s="25"/>
      <c r="H37" s="26"/>
      <c r="I37" s="14"/>
      <c r="J37" s="11"/>
      <c r="K37" s="10"/>
      <c r="L37" s="11"/>
      <c r="M37" s="25"/>
      <c r="N37" s="26"/>
      <c r="O37" s="10"/>
      <c r="P37" s="11"/>
    </row>
    <row r="38" spans="1:16" x14ac:dyDescent="0.2">
      <c r="B38" s="5">
        <v>0.89583333333333404</v>
      </c>
      <c r="C38" s="10"/>
      <c r="D38" s="11"/>
      <c r="E38" s="10"/>
      <c r="F38" s="14"/>
      <c r="G38" s="25"/>
      <c r="H38" s="26"/>
      <c r="I38" s="14"/>
      <c r="J38" s="11"/>
      <c r="K38" s="10"/>
      <c r="L38" s="14"/>
      <c r="M38" s="25"/>
      <c r="N38" s="26"/>
      <c r="O38" s="14"/>
      <c r="P38" s="11"/>
    </row>
    <row r="39" spans="1:16" x14ac:dyDescent="0.2">
      <c r="B39" s="5">
        <v>0.91666666666666696</v>
      </c>
      <c r="C39" s="10"/>
      <c r="D39" s="11"/>
      <c r="E39" s="10"/>
      <c r="F39" s="14"/>
      <c r="G39" s="25"/>
      <c r="H39" s="26"/>
      <c r="I39" s="14"/>
      <c r="J39" s="11"/>
      <c r="K39" s="10"/>
      <c r="L39" s="14"/>
      <c r="M39" s="25"/>
      <c r="N39" s="26"/>
      <c r="O39" s="14"/>
      <c r="P39" s="11"/>
    </row>
    <row r="40" spans="1:16" x14ac:dyDescent="0.2">
      <c r="B40" s="5">
        <v>0.937500000000001</v>
      </c>
      <c r="C40" s="10"/>
      <c r="D40" s="11"/>
      <c r="E40" s="10"/>
      <c r="F40" s="14"/>
      <c r="G40" s="25"/>
      <c r="H40" s="26"/>
      <c r="I40" s="14"/>
      <c r="J40" s="11"/>
      <c r="K40" s="10"/>
      <c r="L40" s="14"/>
      <c r="M40" s="25"/>
      <c r="N40" s="26"/>
      <c r="O40" s="14"/>
      <c r="P40" s="11"/>
    </row>
    <row r="41" spans="1:16" x14ac:dyDescent="0.2">
      <c r="B41" s="5">
        <v>0.95833333333333404</v>
      </c>
      <c r="C41" s="10"/>
      <c r="D41" s="11"/>
      <c r="E41" s="10"/>
      <c r="F41" s="14"/>
      <c r="G41" s="25"/>
      <c r="H41" s="26"/>
      <c r="I41" s="14"/>
      <c r="J41" s="11"/>
      <c r="K41" s="10"/>
      <c r="L41" s="14"/>
      <c r="M41" s="25"/>
      <c r="N41" s="26"/>
      <c r="O41" s="14"/>
      <c r="P41" s="11"/>
    </row>
    <row r="42" spans="1:16" x14ac:dyDescent="0.2">
      <c r="B42" s="5">
        <v>0.97916666666666696</v>
      </c>
      <c r="C42" s="10"/>
      <c r="D42" s="11"/>
      <c r="E42" s="10"/>
      <c r="F42" s="14"/>
      <c r="G42" s="25"/>
      <c r="H42" s="26"/>
      <c r="I42" s="14"/>
      <c r="J42" s="11"/>
      <c r="K42" s="10"/>
      <c r="L42" s="14"/>
      <c r="M42" s="25"/>
      <c r="N42" s="26"/>
      <c r="O42" s="14"/>
      <c r="P42" s="11"/>
    </row>
    <row r="43" spans="1:16" x14ac:dyDescent="0.2">
      <c r="B43" s="5">
        <v>1</v>
      </c>
      <c r="C43" s="10"/>
      <c r="D43" s="11"/>
      <c r="E43" s="10"/>
      <c r="F43" s="14"/>
      <c r="G43" s="25"/>
      <c r="H43" s="26"/>
      <c r="I43" s="14"/>
      <c r="J43" s="11"/>
      <c r="K43" s="10"/>
      <c r="L43" s="14"/>
      <c r="M43" s="25"/>
      <c r="N43" s="26"/>
      <c r="O43" s="14"/>
      <c r="P43" s="11"/>
    </row>
    <row r="44" spans="1:16" x14ac:dyDescent="0.2">
      <c r="A44" s="5"/>
      <c r="B44" s="5">
        <v>1.0208333333333299</v>
      </c>
      <c r="C44" s="12"/>
      <c r="D44" s="13"/>
      <c r="E44" s="12"/>
      <c r="F44" s="13"/>
      <c r="G44" s="12"/>
      <c r="H44" s="13"/>
      <c r="I44" s="12"/>
      <c r="J44" s="13"/>
      <c r="K44" s="12"/>
      <c r="L44" s="13"/>
      <c r="M44" s="27"/>
      <c r="N44" s="28"/>
      <c r="O44" s="12"/>
      <c r="P44" s="13"/>
    </row>
  </sheetData>
  <mergeCells count="37">
    <mergeCell ref="K34:L36"/>
    <mergeCell ref="T1:W1"/>
    <mergeCell ref="O3:P4"/>
    <mergeCell ref="M3:N4"/>
    <mergeCell ref="K3:L4"/>
    <mergeCell ref="K11:L20"/>
    <mergeCell ref="M7:N9"/>
    <mergeCell ref="M11:N32"/>
    <mergeCell ref="O23:P32"/>
    <mergeCell ref="K23:L32"/>
    <mergeCell ref="O11:P20"/>
    <mergeCell ref="K7:L9"/>
    <mergeCell ref="C11:D12"/>
    <mergeCell ref="E11:F12"/>
    <mergeCell ref="I3:J4"/>
    <mergeCell ref="G3:H4"/>
    <mergeCell ref="E3:F4"/>
    <mergeCell ref="C3:D4"/>
    <mergeCell ref="I7:J9"/>
    <mergeCell ref="G7:H9"/>
    <mergeCell ref="E7:F9"/>
    <mergeCell ref="G21:H22"/>
    <mergeCell ref="I11:J20"/>
    <mergeCell ref="O7:P9"/>
    <mergeCell ref="C33:D34"/>
    <mergeCell ref="E33:F34"/>
    <mergeCell ref="I21:J22"/>
    <mergeCell ref="G11:H20"/>
    <mergeCell ref="C7:D9"/>
    <mergeCell ref="G34:H36"/>
    <mergeCell ref="I34:J36"/>
    <mergeCell ref="C13:D32"/>
    <mergeCell ref="E13:F32"/>
    <mergeCell ref="K21:L22"/>
    <mergeCell ref="O21:P22"/>
    <mergeCell ref="G23:H32"/>
    <mergeCell ref="I23:J32"/>
  </mergeCell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D63F-5D34-4A4D-A868-960DBEF88A91}">
  <dimension ref="B1:FC47"/>
  <sheetViews>
    <sheetView showGridLines="0" tabSelected="1" workbookViewId="0">
      <pane xSplit="7" topLeftCell="N1" activePane="topRight" state="frozen"/>
      <selection pane="topRight" activeCell="N7" sqref="N7:O7"/>
    </sheetView>
  </sheetViews>
  <sheetFormatPr baseColWidth="10" defaultRowHeight="16" outlineLevelRow="1" x14ac:dyDescent="0.2"/>
  <sheetData>
    <row r="1" spans="2:141" ht="16" customHeight="1" x14ac:dyDescent="0.2">
      <c r="B1" s="131" t="s">
        <v>0</v>
      </c>
      <c r="C1" s="131"/>
      <c r="D1" s="131"/>
      <c r="E1" s="131"/>
      <c r="AG1">
        <v>39</v>
      </c>
    </row>
    <row r="2" spans="2:141" ht="16" customHeight="1" x14ac:dyDescent="0.2">
      <c r="B2" s="131"/>
      <c r="C2" s="131"/>
      <c r="D2" s="131"/>
      <c r="E2" s="131"/>
    </row>
    <row r="3" spans="2:141" x14ac:dyDescent="0.2">
      <c r="B3" s="110" t="s">
        <v>1</v>
      </c>
      <c r="C3" s="111" t="s">
        <v>99</v>
      </c>
      <c r="D3" s="111"/>
      <c r="E3" s="111"/>
      <c r="F3" s="111"/>
      <c r="G3" s="111"/>
      <c r="H3" s="111" t="s">
        <v>24</v>
      </c>
      <c r="I3" s="112"/>
      <c r="J3" s="111" t="s">
        <v>105</v>
      </c>
      <c r="K3" s="111"/>
      <c r="L3" s="111"/>
      <c r="M3" s="111"/>
      <c r="N3" s="111"/>
      <c r="O3" s="112"/>
      <c r="Q3" s="110" t="s">
        <v>58</v>
      </c>
      <c r="R3" s="111"/>
      <c r="S3" s="111"/>
      <c r="T3" s="111"/>
      <c r="U3" s="111"/>
      <c r="V3" s="112"/>
      <c r="X3" s="110" t="s">
        <v>59</v>
      </c>
      <c r="Y3" s="111"/>
      <c r="Z3" s="111"/>
      <c r="AA3" s="111"/>
      <c r="AB3" s="111"/>
      <c r="AC3" s="112"/>
      <c r="AE3" s="110" t="s">
        <v>60</v>
      </c>
      <c r="AF3" s="111"/>
      <c r="AG3" s="111"/>
      <c r="AH3" s="111"/>
      <c r="AI3" s="111"/>
      <c r="AJ3" s="112"/>
      <c r="AL3" s="110" t="s">
        <v>61</v>
      </c>
      <c r="AM3" s="111"/>
      <c r="AN3" s="111"/>
      <c r="AO3" s="111"/>
      <c r="AP3" s="111"/>
      <c r="AQ3" s="112"/>
      <c r="AS3" s="110" t="s">
        <v>62</v>
      </c>
      <c r="AT3" s="111"/>
      <c r="AU3" s="111"/>
      <c r="AV3" s="111"/>
      <c r="AW3" s="111"/>
      <c r="AX3" s="112"/>
      <c r="AZ3" s="110" t="s">
        <v>63</v>
      </c>
      <c r="BA3" s="111"/>
      <c r="BB3" s="111"/>
      <c r="BC3" s="111"/>
      <c r="BD3" s="111"/>
      <c r="BE3" s="112"/>
      <c r="BG3" s="110" t="s">
        <v>64</v>
      </c>
      <c r="BH3" s="111"/>
      <c r="BI3" s="111"/>
      <c r="BJ3" s="111"/>
      <c r="BK3" s="111"/>
      <c r="BL3" s="112"/>
      <c r="BN3" s="110" t="s">
        <v>65</v>
      </c>
      <c r="BO3" s="111"/>
      <c r="BP3" s="111"/>
      <c r="BQ3" s="111"/>
      <c r="BR3" s="111"/>
      <c r="BS3" s="112"/>
      <c r="BU3" s="110" t="s">
        <v>66</v>
      </c>
      <c r="BV3" s="111"/>
      <c r="BW3" s="111"/>
      <c r="BX3" s="111"/>
      <c r="BY3" s="111"/>
      <c r="BZ3" s="112"/>
      <c r="CB3" s="110" t="s">
        <v>67</v>
      </c>
      <c r="CC3" s="111"/>
      <c r="CD3" s="111"/>
      <c r="CE3" s="111"/>
      <c r="CF3" s="111"/>
      <c r="CG3" s="112"/>
      <c r="CI3" s="110" t="s">
        <v>111</v>
      </c>
      <c r="CJ3" s="111"/>
      <c r="CK3" s="111"/>
      <c r="CL3" s="111"/>
      <c r="CM3" s="111"/>
      <c r="CN3" s="112"/>
      <c r="CP3" s="110" t="s">
        <v>101</v>
      </c>
      <c r="CQ3" s="111"/>
      <c r="CR3" s="111"/>
      <c r="CS3" s="111"/>
      <c r="CT3" s="111"/>
      <c r="CU3" s="112"/>
      <c r="CW3" s="110" t="s">
        <v>102</v>
      </c>
      <c r="CX3" s="111"/>
      <c r="CY3" s="111"/>
      <c r="CZ3" s="111"/>
      <c r="DA3" s="111"/>
      <c r="DB3" s="112"/>
      <c r="DD3" s="110" t="s">
        <v>106</v>
      </c>
      <c r="DE3" s="111"/>
      <c r="DF3" s="111"/>
      <c r="DG3" s="111"/>
      <c r="DH3" s="111"/>
      <c r="DI3" s="112"/>
      <c r="DK3" s="110" t="s">
        <v>107</v>
      </c>
      <c r="DL3" s="111"/>
      <c r="DM3" s="111"/>
      <c r="DN3" s="111"/>
      <c r="DO3" s="111"/>
      <c r="DP3" s="112"/>
      <c r="DR3" s="110" t="s">
        <v>108</v>
      </c>
      <c r="DS3" s="111"/>
      <c r="DT3" s="111"/>
      <c r="DU3" s="111"/>
      <c r="DV3" s="111"/>
      <c r="DW3" s="112"/>
      <c r="DY3" s="110" t="s">
        <v>109</v>
      </c>
      <c r="DZ3" s="111"/>
      <c r="EA3" s="111"/>
      <c r="EB3" s="111"/>
      <c r="EC3" s="111"/>
      <c r="ED3" s="112"/>
      <c r="EF3" s="110" t="s">
        <v>110</v>
      </c>
      <c r="EG3" s="111"/>
      <c r="EH3" s="111"/>
      <c r="EI3" s="111"/>
      <c r="EJ3" s="111"/>
      <c r="EK3" s="112"/>
    </row>
    <row r="4" spans="2:141" x14ac:dyDescent="0.2">
      <c r="B4" s="134"/>
      <c r="C4" s="113"/>
      <c r="D4" s="113"/>
      <c r="E4" s="113"/>
      <c r="F4" s="113"/>
      <c r="G4" s="113"/>
      <c r="H4" s="113"/>
      <c r="I4" s="114"/>
      <c r="J4" s="113" t="s">
        <v>2</v>
      </c>
      <c r="K4" s="113"/>
      <c r="L4" s="113" t="s">
        <v>3</v>
      </c>
      <c r="M4" s="113"/>
      <c r="N4" s="113" t="s">
        <v>11</v>
      </c>
      <c r="O4" s="114"/>
      <c r="Q4" s="31" t="s">
        <v>2</v>
      </c>
      <c r="R4" s="32" t="s">
        <v>25</v>
      </c>
      <c r="S4" s="32" t="s">
        <v>3</v>
      </c>
      <c r="T4" s="32" t="s">
        <v>25</v>
      </c>
      <c r="U4" s="113" t="s">
        <v>11</v>
      </c>
      <c r="V4" s="114"/>
      <c r="X4" s="31" t="s">
        <v>2</v>
      </c>
      <c r="Y4" s="32" t="s">
        <v>25</v>
      </c>
      <c r="Z4" s="32" t="s">
        <v>3</v>
      </c>
      <c r="AA4" s="32" t="s">
        <v>25</v>
      </c>
      <c r="AB4" s="113" t="s">
        <v>11</v>
      </c>
      <c r="AC4" s="114"/>
      <c r="AE4" s="31" t="s">
        <v>2</v>
      </c>
      <c r="AF4" s="32" t="s">
        <v>25</v>
      </c>
      <c r="AG4" s="32" t="s">
        <v>3</v>
      </c>
      <c r="AH4" s="32" t="s">
        <v>25</v>
      </c>
      <c r="AI4" s="113" t="s">
        <v>11</v>
      </c>
      <c r="AJ4" s="114"/>
      <c r="AL4" s="31" t="s">
        <v>2</v>
      </c>
      <c r="AM4" s="32" t="s">
        <v>25</v>
      </c>
      <c r="AN4" s="32" t="s">
        <v>3</v>
      </c>
      <c r="AO4" s="32" t="s">
        <v>25</v>
      </c>
      <c r="AP4" s="113" t="s">
        <v>11</v>
      </c>
      <c r="AQ4" s="114"/>
      <c r="AS4" s="31" t="s">
        <v>2</v>
      </c>
      <c r="AT4" s="32" t="s">
        <v>25</v>
      </c>
      <c r="AU4" s="32" t="s">
        <v>3</v>
      </c>
      <c r="AV4" s="32" t="s">
        <v>25</v>
      </c>
      <c r="AW4" s="113" t="s">
        <v>11</v>
      </c>
      <c r="AX4" s="114"/>
      <c r="AZ4" s="31" t="s">
        <v>2</v>
      </c>
      <c r="BA4" s="32" t="s">
        <v>25</v>
      </c>
      <c r="BB4" s="32" t="s">
        <v>3</v>
      </c>
      <c r="BC4" s="32" t="s">
        <v>25</v>
      </c>
      <c r="BD4" s="113" t="s">
        <v>11</v>
      </c>
      <c r="BE4" s="114"/>
      <c r="BG4" s="31" t="s">
        <v>2</v>
      </c>
      <c r="BH4" s="32" t="s">
        <v>25</v>
      </c>
      <c r="BI4" s="32" t="s">
        <v>3</v>
      </c>
      <c r="BJ4" s="32" t="s">
        <v>25</v>
      </c>
      <c r="BK4" s="113" t="s">
        <v>11</v>
      </c>
      <c r="BL4" s="114"/>
      <c r="BN4" s="31" t="s">
        <v>2</v>
      </c>
      <c r="BO4" s="32" t="s">
        <v>25</v>
      </c>
      <c r="BP4" s="32" t="s">
        <v>3</v>
      </c>
      <c r="BQ4" s="32" t="s">
        <v>25</v>
      </c>
      <c r="BR4" s="113" t="s">
        <v>11</v>
      </c>
      <c r="BS4" s="114"/>
      <c r="BU4" s="31" t="s">
        <v>2</v>
      </c>
      <c r="BV4" s="32" t="s">
        <v>25</v>
      </c>
      <c r="BW4" s="32" t="s">
        <v>3</v>
      </c>
      <c r="BX4" s="32" t="s">
        <v>25</v>
      </c>
      <c r="BY4" s="113" t="s">
        <v>11</v>
      </c>
      <c r="BZ4" s="114"/>
      <c r="CB4" s="31" t="s">
        <v>2</v>
      </c>
      <c r="CC4" s="32" t="s">
        <v>25</v>
      </c>
      <c r="CD4" s="32" t="s">
        <v>3</v>
      </c>
      <c r="CE4" s="32" t="s">
        <v>25</v>
      </c>
      <c r="CF4" s="113" t="s">
        <v>11</v>
      </c>
      <c r="CG4" s="114"/>
      <c r="CI4" s="31" t="s">
        <v>2</v>
      </c>
      <c r="CJ4" s="32" t="s">
        <v>25</v>
      </c>
      <c r="CK4" s="32" t="s">
        <v>3</v>
      </c>
      <c r="CL4" s="32" t="s">
        <v>25</v>
      </c>
      <c r="CM4" s="113" t="s">
        <v>11</v>
      </c>
      <c r="CN4" s="114"/>
      <c r="CP4" s="31" t="s">
        <v>2</v>
      </c>
      <c r="CQ4" s="32" t="s">
        <v>25</v>
      </c>
      <c r="CR4" s="32" t="s">
        <v>3</v>
      </c>
      <c r="CS4" s="32" t="s">
        <v>25</v>
      </c>
      <c r="CT4" s="113" t="s">
        <v>11</v>
      </c>
      <c r="CU4" s="114"/>
      <c r="CW4" s="31" t="s">
        <v>2</v>
      </c>
      <c r="CX4" s="32" t="s">
        <v>25</v>
      </c>
      <c r="CY4" s="32" t="s">
        <v>3</v>
      </c>
      <c r="CZ4" s="32" t="s">
        <v>25</v>
      </c>
      <c r="DA4" s="113" t="s">
        <v>11</v>
      </c>
      <c r="DB4" s="114"/>
      <c r="DD4" s="31" t="s">
        <v>2</v>
      </c>
      <c r="DE4" s="32" t="s">
        <v>25</v>
      </c>
      <c r="DF4" s="32" t="s">
        <v>3</v>
      </c>
      <c r="DG4" s="32" t="s">
        <v>25</v>
      </c>
      <c r="DH4" s="113" t="s">
        <v>11</v>
      </c>
      <c r="DI4" s="114"/>
      <c r="DK4" s="31" t="s">
        <v>2</v>
      </c>
      <c r="DL4" s="32" t="s">
        <v>25</v>
      </c>
      <c r="DM4" s="32" t="s">
        <v>3</v>
      </c>
      <c r="DN4" s="32" t="s">
        <v>25</v>
      </c>
      <c r="DO4" s="113" t="s">
        <v>11</v>
      </c>
      <c r="DP4" s="114"/>
      <c r="DR4" s="31" t="s">
        <v>2</v>
      </c>
      <c r="DS4" s="32" t="s">
        <v>25</v>
      </c>
      <c r="DT4" s="32" t="s">
        <v>3</v>
      </c>
      <c r="DU4" s="32" t="s">
        <v>25</v>
      </c>
      <c r="DV4" s="113" t="s">
        <v>11</v>
      </c>
      <c r="DW4" s="114"/>
      <c r="DY4" s="31" t="s">
        <v>2</v>
      </c>
      <c r="DZ4" s="32" t="s">
        <v>25</v>
      </c>
      <c r="EA4" s="32" t="s">
        <v>3</v>
      </c>
      <c r="EB4" s="32" t="s">
        <v>25</v>
      </c>
      <c r="EC4" s="113" t="s">
        <v>11</v>
      </c>
      <c r="ED4" s="114"/>
      <c r="EF4" s="31" t="s">
        <v>2</v>
      </c>
      <c r="EG4" s="32" t="s">
        <v>25</v>
      </c>
      <c r="EH4" s="32" t="s">
        <v>3</v>
      </c>
      <c r="EI4" s="32" t="s">
        <v>25</v>
      </c>
      <c r="EJ4" s="113" t="s">
        <v>11</v>
      </c>
      <c r="EK4" s="114"/>
    </row>
    <row r="5" spans="2:141" x14ac:dyDescent="0.2">
      <c r="B5" s="41" t="s">
        <v>68</v>
      </c>
      <c r="C5" s="117">
        <v>15</v>
      </c>
      <c r="D5" s="117"/>
      <c r="E5" s="117"/>
      <c r="F5" s="117"/>
      <c r="G5" s="118"/>
      <c r="H5" s="121">
        <f>+SUM(H6:H17)</f>
        <v>0.99999999999999989</v>
      </c>
      <c r="I5" s="122"/>
      <c r="J5" s="106">
        <f>+SUMPRODUCT(H6:I17,J6:K17)</f>
        <v>0</v>
      </c>
      <c r="K5" s="104"/>
      <c r="L5" s="104">
        <f>+SUMPRODUCT(H6:I17,L6:M17)</f>
        <v>0</v>
      </c>
      <c r="M5" s="104"/>
      <c r="N5" s="104"/>
      <c r="O5" s="105"/>
      <c r="Q5" s="37"/>
      <c r="R5" s="38"/>
      <c r="S5" s="38"/>
      <c r="T5" s="38"/>
      <c r="U5" s="104"/>
      <c r="V5" s="105"/>
      <c r="X5" s="37"/>
      <c r="Y5" s="38"/>
      <c r="Z5" s="38"/>
      <c r="AA5" s="38"/>
      <c r="AB5" s="104"/>
      <c r="AC5" s="105"/>
      <c r="AE5" s="37"/>
      <c r="AF5" s="38"/>
      <c r="AG5" s="38"/>
      <c r="AH5" s="38"/>
      <c r="AI5" s="104"/>
      <c r="AJ5" s="105"/>
      <c r="AL5" s="37"/>
      <c r="AM5" s="38"/>
      <c r="AN5" s="38"/>
      <c r="AO5" s="38"/>
      <c r="AP5" s="104"/>
      <c r="AQ5" s="105"/>
      <c r="AS5" s="37"/>
      <c r="AT5" s="38"/>
      <c r="AU5" s="38"/>
      <c r="AV5" s="38"/>
      <c r="AW5" s="104"/>
      <c r="AX5" s="105"/>
      <c r="AZ5" s="37"/>
      <c r="BA5" s="38"/>
      <c r="BB5" s="38"/>
      <c r="BC5" s="38"/>
      <c r="BD5" s="104"/>
      <c r="BE5" s="105"/>
      <c r="BG5" s="37"/>
      <c r="BH5" s="38"/>
      <c r="BI5" s="38"/>
      <c r="BJ5" s="38"/>
      <c r="BK5" s="104"/>
      <c r="BL5" s="105"/>
      <c r="BN5" s="37"/>
      <c r="BO5" s="38"/>
      <c r="BP5" s="38"/>
      <c r="BQ5" s="38"/>
      <c r="BR5" s="104"/>
      <c r="BS5" s="105"/>
      <c r="BU5" s="37"/>
      <c r="BV5" s="38"/>
      <c r="BW5" s="38"/>
      <c r="BX5" s="38"/>
      <c r="BY5" s="104"/>
      <c r="BZ5" s="105"/>
      <c r="CB5" s="37"/>
      <c r="CC5" s="38"/>
      <c r="CD5" s="38"/>
      <c r="CE5" s="38"/>
      <c r="CF5" s="104"/>
      <c r="CG5" s="105"/>
      <c r="CI5" s="37"/>
      <c r="CJ5" s="38"/>
      <c r="CK5" s="38"/>
      <c r="CL5" s="38"/>
      <c r="CM5" s="104"/>
      <c r="CN5" s="105"/>
      <c r="CP5" s="37"/>
      <c r="CQ5" s="38"/>
      <c r="CR5" s="38"/>
      <c r="CS5" s="38"/>
      <c r="CT5" s="104"/>
      <c r="CU5" s="105"/>
      <c r="CW5" s="37"/>
      <c r="CX5" s="38"/>
      <c r="CY5" s="38"/>
      <c r="CZ5" s="38"/>
      <c r="DA5" s="104"/>
      <c r="DB5" s="105"/>
      <c r="DD5" s="37"/>
      <c r="DE5" s="38"/>
      <c r="DF5" s="38"/>
      <c r="DG5" s="38"/>
      <c r="DH5" s="104"/>
      <c r="DI5" s="105"/>
      <c r="DK5" s="37"/>
      <c r="DL5" s="38"/>
      <c r="DM5" s="38"/>
      <c r="DN5" s="38"/>
      <c r="DO5" s="104"/>
      <c r="DP5" s="105"/>
      <c r="DR5" s="37"/>
      <c r="DS5" s="38"/>
      <c r="DT5" s="38"/>
      <c r="DU5" s="38"/>
      <c r="DV5" s="104"/>
      <c r="DW5" s="105"/>
      <c r="DY5" s="37"/>
      <c r="DZ5" s="38"/>
      <c r="EA5" s="38"/>
      <c r="EB5" s="38"/>
      <c r="EC5" s="104"/>
      <c r="ED5" s="105"/>
      <c r="EF5" s="37"/>
      <c r="EG5" s="38"/>
      <c r="EH5" s="38"/>
      <c r="EI5" s="38"/>
      <c r="EJ5" s="104"/>
      <c r="EK5" s="105"/>
    </row>
    <row r="6" spans="2:141" outlineLevel="1" x14ac:dyDescent="0.2">
      <c r="B6" s="10" t="s">
        <v>69</v>
      </c>
      <c r="C6" s="115" t="s">
        <v>23</v>
      </c>
      <c r="D6" s="115"/>
      <c r="E6" s="115"/>
      <c r="F6" s="115"/>
      <c r="G6" s="116"/>
      <c r="H6" s="132">
        <v>0</v>
      </c>
      <c r="I6" s="133"/>
      <c r="J6" s="109" cm="1">
        <f t="array" ref="J6">MAX(IF(Q4:EK4=J4,Q6:EK6))</f>
        <v>0</v>
      </c>
      <c r="K6" s="109"/>
      <c r="L6" s="109" cm="1">
        <f t="array" ref="L6">MAX(IF(Q4:EK4=L4,Q6:EK6))</f>
        <v>0</v>
      </c>
      <c r="M6" s="109"/>
      <c r="N6" s="109"/>
      <c r="O6" s="101"/>
      <c r="Q6" s="35"/>
      <c r="R6" s="33">
        <v>1</v>
      </c>
      <c r="S6" s="33"/>
      <c r="T6" s="33">
        <v>1</v>
      </c>
      <c r="U6" s="100"/>
      <c r="V6" s="101"/>
      <c r="X6" s="35"/>
      <c r="Y6" s="33">
        <v>1</v>
      </c>
      <c r="Z6" s="33"/>
      <c r="AA6" s="33">
        <v>1</v>
      </c>
      <c r="AB6" s="100"/>
      <c r="AC6" s="101"/>
      <c r="AE6" s="35"/>
      <c r="AF6" s="33">
        <v>1</v>
      </c>
      <c r="AG6" s="33"/>
      <c r="AH6" s="33">
        <v>1</v>
      </c>
      <c r="AI6" s="100"/>
      <c r="AJ6" s="101"/>
      <c r="AL6" s="35"/>
      <c r="AM6" s="33">
        <v>1</v>
      </c>
      <c r="AN6" s="33"/>
      <c r="AO6" s="33">
        <v>1</v>
      </c>
      <c r="AP6" s="100"/>
      <c r="AQ6" s="101"/>
      <c r="AS6" s="35"/>
      <c r="AT6" s="33">
        <v>1</v>
      </c>
      <c r="AU6" s="33"/>
      <c r="AV6" s="33">
        <v>1</v>
      </c>
      <c r="AW6" s="100"/>
      <c r="AX6" s="101"/>
      <c r="AZ6" s="35"/>
      <c r="BA6" s="33">
        <v>1</v>
      </c>
      <c r="BB6" s="33"/>
      <c r="BC6" s="33">
        <v>1</v>
      </c>
      <c r="BD6" s="100"/>
      <c r="BE6" s="101"/>
      <c r="BG6" s="35"/>
      <c r="BH6" s="33">
        <v>1</v>
      </c>
      <c r="BI6" s="33"/>
      <c r="BJ6" s="33">
        <v>1</v>
      </c>
      <c r="BK6" s="100"/>
      <c r="BL6" s="101"/>
      <c r="BN6" s="35"/>
      <c r="BO6" s="33">
        <v>1</v>
      </c>
      <c r="BP6" s="33"/>
      <c r="BQ6" s="33">
        <v>1</v>
      </c>
      <c r="BR6" s="100"/>
      <c r="BS6" s="101"/>
      <c r="BU6" s="35"/>
      <c r="BV6" s="33">
        <v>1</v>
      </c>
      <c r="BW6" s="33"/>
      <c r="BX6" s="33">
        <v>1</v>
      </c>
      <c r="BY6" s="100"/>
      <c r="BZ6" s="101"/>
      <c r="CB6" s="35"/>
      <c r="CC6" s="33">
        <v>1</v>
      </c>
      <c r="CD6" s="33"/>
      <c r="CE6" s="33">
        <v>1</v>
      </c>
      <c r="CF6" s="100"/>
      <c r="CG6" s="101"/>
      <c r="CI6" s="35"/>
      <c r="CJ6" s="33">
        <v>1</v>
      </c>
      <c r="CK6" s="33"/>
      <c r="CL6" s="33">
        <v>1</v>
      </c>
      <c r="CM6" s="100"/>
      <c r="CN6" s="101"/>
      <c r="CP6" s="35"/>
      <c r="CQ6" s="33">
        <v>1</v>
      </c>
      <c r="CR6" s="33"/>
      <c r="CS6" s="33">
        <v>1</v>
      </c>
      <c r="CT6" s="100"/>
      <c r="CU6" s="101"/>
      <c r="CW6" s="35"/>
      <c r="CX6" s="33">
        <v>1</v>
      </c>
      <c r="CY6" s="33"/>
      <c r="CZ6" s="33">
        <v>1</v>
      </c>
      <c r="DA6" s="100"/>
      <c r="DB6" s="101"/>
      <c r="DD6" s="35"/>
      <c r="DE6" s="33">
        <v>1</v>
      </c>
      <c r="DF6" s="33"/>
      <c r="DG6" s="33">
        <v>1</v>
      </c>
      <c r="DH6" s="100"/>
      <c r="DI6" s="101"/>
      <c r="DK6" s="35"/>
      <c r="DL6" s="33">
        <v>1</v>
      </c>
      <c r="DM6" s="33"/>
      <c r="DN6" s="33">
        <v>1</v>
      </c>
      <c r="DO6" s="100"/>
      <c r="DP6" s="101"/>
      <c r="DR6" s="35"/>
      <c r="DS6" s="33">
        <v>1</v>
      </c>
      <c r="DT6" s="33"/>
      <c r="DU6" s="33">
        <v>1</v>
      </c>
      <c r="DV6" s="100"/>
      <c r="DW6" s="101"/>
      <c r="DY6" s="35"/>
      <c r="DZ6" s="33">
        <v>1</v>
      </c>
      <c r="EA6" s="33"/>
      <c r="EB6" s="33">
        <v>1</v>
      </c>
      <c r="EC6" s="100"/>
      <c r="ED6" s="101"/>
      <c r="EF6" s="35"/>
      <c r="EG6" s="33">
        <v>1</v>
      </c>
      <c r="EH6" s="33"/>
      <c r="EI6" s="33">
        <v>1</v>
      </c>
      <c r="EJ6" s="100"/>
      <c r="EK6" s="101"/>
    </row>
    <row r="7" spans="2:141" outlineLevel="1" x14ac:dyDescent="0.2">
      <c r="B7" s="10" t="s">
        <v>69</v>
      </c>
      <c r="C7" s="115" t="s">
        <v>70</v>
      </c>
      <c r="D7" s="115"/>
      <c r="E7" s="115"/>
      <c r="F7" s="115"/>
      <c r="G7" s="116"/>
      <c r="H7" s="123">
        <v>0.05</v>
      </c>
      <c r="I7" s="124"/>
      <c r="J7" s="109" cm="1">
        <f t="array" ref="J7">MAX(IF(Q4:EK4=J4,Q7:EK7))</f>
        <v>0</v>
      </c>
      <c r="K7" s="109"/>
      <c r="L7" s="109" cm="1">
        <f t="array" ref="L7">MAX(IF(Q4:EK4=L4,Q7:EK7))</f>
        <v>0</v>
      </c>
      <c r="M7" s="109"/>
      <c r="N7" s="109"/>
      <c r="O7" s="101"/>
      <c r="Q7" s="35"/>
      <c r="R7" s="33">
        <v>0.5</v>
      </c>
      <c r="S7" s="33"/>
      <c r="T7" s="33">
        <v>0.5</v>
      </c>
      <c r="U7" s="100"/>
      <c r="V7" s="101"/>
      <c r="X7" s="35"/>
      <c r="Y7" s="33">
        <v>0.8</v>
      </c>
      <c r="Z7" s="33"/>
      <c r="AA7" s="33">
        <v>0.8</v>
      </c>
      <c r="AB7" s="100"/>
      <c r="AC7" s="101"/>
      <c r="AE7" s="35"/>
      <c r="AF7" s="33">
        <v>0.8</v>
      </c>
      <c r="AG7" s="33"/>
      <c r="AH7" s="33">
        <v>0.8</v>
      </c>
      <c r="AI7" s="100"/>
      <c r="AJ7" s="101"/>
      <c r="AL7" s="35"/>
      <c r="AM7" s="33">
        <v>0.8</v>
      </c>
      <c r="AN7" s="33"/>
      <c r="AO7" s="33">
        <v>0.8</v>
      </c>
      <c r="AP7" s="100"/>
      <c r="AQ7" s="101"/>
      <c r="AS7" s="35"/>
      <c r="AT7" s="33">
        <v>0.8</v>
      </c>
      <c r="AU7" s="33"/>
      <c r="AV7" s="33">
        <v>0.8</v>
      </c>
      <c r="AW7" s="100"/>
      <c r="AX7" s="101"/>
      <c r="AZ7" s="35"/>
      <c r="BA7" s="33">
        <v>0.8</v>
      </c>
      <c r="BB7" s="33"/>
      <c r="BC7" s="33">
        <v>0.8</v>
      </c>
      <c r="BD7" s="100"/>
      <c r="BE7" s="101"/>
      <c r="BG7" s="35"/>
      <c r="BH7" s="33">
        <v>1</v>
      </c>
      <c r="BI7" s="33"/>
      <c r="BJ7" s="33">
        <v>1</v>
      </c>
      <c r="BK7" s="100"/>
      <c r="BL7" s="101"/>
      <c r="BN7" s="35"/>
      <c r="BO7" s="33">
        <v>1</v>
      </c>
      <c r="BP7" s="33"/>
      <c r="BQ7" s="33">
        <v>1</v>
      </c>
      <c r="BR7" s="100"/>
      <c r="BS7" s="101"/>
      <c r="BU7" s="35"/>
      <c r="BV7" s="33">
        <v>1</v>
      </c>
      <c r="BW7" s="33"/>
      <c r="BX7" s="33">
        <v>1</v>
      </c>
      <c r="BY7" s="100"/>
      <c r="BZ7" s="101"/>
      <c r="CB7" s="35"/>
      <c r="CC7" s="33">
        <v>1</v>
      </c>
      <c r="CD7" s="33"/>
      <c r="CE7" s="33">
        <v>1</v>
      </c>
      <c r="CF7" s="100"/>
      <c r="CG7" s="101"/>
      <c r="CI7" s="35"/>
      <c r="CJ7" s="33">
        <v>1</v>
      </c>
      <c r="CK7" s="33"/>
      <c r="CL7" s="33">
        <v>1</v>
      </c>
      <c r="CM7" s="100"/>
      <c r="CN7" s="101"/>
      <c r="CP7" s="35"/>
      <c r="CQ7" s="33">
        <v>1</v>
      </c>
      <c r="CR7" s="33"/>
      <c r="CS7" s="33">
        <v>1</v>
      </c>
      <c r="CT7" s="100"/>
      <c r="CU7" s="101"/>
      <c r="CW7" s="35"/>
      <c r="CX7" s="33">
        <v>1</v>
      </c>
      <c r="CY7" s="33"/>
      <c r="CZ7" s="33">
        <v>1</v>
      </c>
      <c r="DA7" s="100"/>
      <c r="DB7" s="101"/>
      <c r="DD7" s="35"/>
      <c r="DE7" s="33">
        <v>1</v>
      </c>
      <c r="DF7" s="33"/>
      <c r="DG7" s="33">
        <v>1</v>
      </c>
      <c r="DH7" s="100"/>
      <c r="DI7" s="101"/>
      <c r="DK7" s="35"/>
      <c r="DL7" s="33">
        <v>1</v>
      </c>
      <c r="DM7" s="33"/>
      <c r="DN7" s="33">
        <v>1</v>
      </c>
      <c r="DO7" s="100"/>
      <c r="DP7" s="101"/>
      <c r="DR7" s="35"/>
      <c r="DS7" s="33">
        <v>1</v>
      </c>
      <c r="DT7" s="33"/>
      <c r="DU7" s="33">
        <v>1</v>
      </c>
      <c r="DV7" s="100"/>
      <c r="DW7" s="101"/>
      <c r="DY7" s="35"/>
      <c r="DZ7" s="33">
        <v>1</v>
      </c>
      <c r="EA7" s="33"/>
      <c r="EB7" s="33">
        <v>1</v>
      </c>
      <c r="EC7" s="100"/>
      <c r="ED7" s="101"/>
      <c r="EF7" s="35"/>
      <c r="EG7" s="33">
        <v>1</v>
      </c>
      <c r="EH7" s="33"/>
      <c r="EI7" s="33">
        <v>1</v>
      </c>
      <c r="EJ7" s="100"/>
      <c r="EK7" s="101"/>
    </row>
    <row r="8" spans="2:141" outlineLevel="1" x14ac:dyDescent="0.2">
      <c r="B8" s="10" t="s">
        <v>69</v>
      </c>
      <c r="C8" s="115" t="s">
        <v>71</v>
      </c>
      <c r="D8" s="115"/>
      <c r="E8" s="115"/>
      <c r="F8" s="115"/>
      <c r="G8" s="116"/>
      <c r="H8" s="123">
        <v>0.05</v>
      </c>
      <c r="I8" s="124"/>
      <c r="J8" s="109" cm="1">
        <f t="array" ref="J8">MAX(IF(Q4:EK4=J4,Q8:EK8))</f>
        <v>0</v>
      </c>
      <c r="K8" s="109"/>
      <c r="L8" s="109" cm="1">
        <f t="array" ref="L8">MAX(IF(Q4:EK4=L4,Q8:EK8))</f>
        <v>0</v>
      </c>
      <c r="M8" s="109"/>
      <c r="N8" s="109"/>
      <c r="O8" s="101"/>
      <c r="Q8" s="35"/>
      <c r="R8" s="33">
        <v>0.5</v>
      </c>
      <c r="S8" s="33"/>
      <c r="T8" s="33">
        <v>0.5</v>
      </c>
      <c r="U8" s="100"/>
      <c r="V8" s="101"/>
      <c r="X8" s="35"/>
      <c r="Y8" s="33">
        <v>0.5</v>
      </c>
      <c r="Z8" s="33"/>
      <c r="AA8" s="33">
        <v>0.5</v>
      </c>
      <c r="AB8" s="100"/>
      <c r="AC8" s="101"/>
      <c r="AE8" s="35"/>
      <c r="AF8" s="33">
        <v>0.8</v>
      </c>
      <c r="AG8" s="33"/>
      <c r="AH8" s="33">
        <v>0.8</v>
      </c>
      <c r="AI8" s="100"/>
      <c r="AJ8" s="101"/>
      <c r="AL8" s="35"/>
      <c r="AM8" s="33">
        <v>0.8</v>
      </c>
      <c r="AN8" s="33"/>
      <c r="AO8" s="33">
        <v>0.8</v>
      </c>
      <c r="AP8" s="100"/>
      <c r="AQ8" s="101"/>
      <c r="AS8" s="35"/>
      <c r="AT8" s="33">
        <v>0.8</v>
      </c>
      <c r="AU8" s="33"/>
      <c r="AV8" s="33">
        <v>0.8</v>
      </c>
      <c r="AW8" s="100"/>
      <c r="AX8" s="101"/>
      <c r="AZ8" s="35"/>
      <c r="BA8" s="33">
        <v>0.8</v>
      </c>
      <c r="BB8" s="33"/>
      <c r="BC8" s="33">
        <v>0.8</v>
      </c>
      <c r="BD8" s="100"/>
      <c r="BE8" s="101"/>
      <c r="BG8" s="35"/>
      <c r="BH8" s="33">
        <v>0.8</v>
      </c>
      <c r="BI8" s="33"/>
      <c r="BJ8" s="33">
        <v>0.8</v>
      </c>
      <c r="BK8" s="100"/>
      <c r="BL8" s="101"/>
      <c r="BN8" s="35"/>
      <c r="BO8" s="33">
        <v>1</v>
      </c>
      <c r="BP8" s="33"/>
      <c r="BQ8" s="33">
        <v>1</v>
      </c>
      <c r="BR8" s="100"/>
      <c r="BS8" s="101"/>
      <c r="BU8" s="35"/>
      <c r="BV8" s="33">
        <v>1</v>
      </c>
      <c r="BW8" s="33"/>
      <c r="BX8" s="33">
        <v>1</v>
      </c>
      <c r="BY8" s="100"/>
      <c r="BZ8" s="101"/>
      <c r="CB8" s="35"/>
      <c r="CC8" s="33">
        <v>1</v>
      </c>
      <c r="CD8" s="33"/>
      <c r="CE8" s="33">
        <v>1</v>
      </c>
      <c r="CF8" s="100"/>
      <c r="CG8" s="101"/>
      <c r="CI8" s="35"/>
      <c r="CJ8" s="33">
        <v>1</v>
      </c>
      <c r="CK8" s="33"/>
      <c r="CL8" s="33">
        <v>1</v>
      </c>
      <c r="CM8" s="100"/>
      <c r="CN8" s="101"/>
      <c r="CP8" s="35"/>
      <c r="CQ8" s="33">
        <v>1</v>
      </c>
      <c r="CR8" s="33"/>
      <c r="CS8" s="33">
        <v>1</v>
      </c>
      <c r="CT8" s="100"/>
      <c r="CU8" s="101"/>
      <c r="CW8" s="35"/>
      <c r="CX8" s="33">
        <v>1</v>
      </c>
      <c r="CY8" s="33"/>
      <c r="CZ8" s="33">
        <v>1</v>
      </c>
      <c r="DA8" s="100"/>
      <c r="DB8" s="101"/>
      <c r="DD8" s="35"/>
      <c r="DE8" s="33">
        <v>1</v>
      </c>
      <c r="DF8" s="33"/>
      <c r="DG8" s="33">
        <v>1</v>
      </c>
      <c r="DH8" s="100"/>
      <c r="DI8" s="101"/>
      <c r="DK8" s="35"/>
      <c r="DL8" s="33">
        <v>1</v>
      </c>
      <c r="DM8" s="33"/>
      <c r="DN8" s="33">
        <v>1</v>
      </c>
      <c r="DO8" s="100"/>
      <c r="DP8" s="101"/>
      <c r="DR8" s="35"/>
      <c r="DS8" s="33">
        <v>1</v>
      </c>
      <c r="DT8" s="33"/>
      <c r="DU8" s="33">
        <v>1</v>
      </c>
      <c r="DV8" s="100"/>
      <c r="DW8" s="101"/>
      <c r="DY8" s="35"/>
      <c r="DZ8" s="33">
        <v>1</v>
      </c>
      <c r="EA8" s="33"/>
      <c r="EB8" s="33">
        <v>1</v>
      </c>
      <c r="EC8" s="100"/>
      <c r="ED8" s="101"/>
      <c r="EF8" s="35"/>
      <c r="EG8" s="33">
        <v>1</v>
      </c>
      <c r="EH8" s="33"/>
      <c r="EI8" s="33">
        <v>1</v>
      </c>
      <c r="EJ8" s="100"/>
      <c r="EK8" s="101"/>
    </row>
    <row r="9" spans="2:141" outlineLevel="1" x14ac:dyDescent="0.2">
      <c r="B9" s="10" t="s">
        <v>69</v>
      </c>
      <c r="C9" s="115" t="s">
        <v>72</v>
      </c>
      <c r="D9" s="115"/>
      <c r="E9" s="115"/>
      <c r="F9" s="115"/>
      <c r="G9" s="116"/>
      <c r="H9" s="123">
        <v>0.1</v>
      </c>
      <c r="I9" s="124"/>
      <c r="J9" s="109" cm="1">
        <f t="array" ref="J9">MAX(IF(Q4:EK4=J4,Q9:EK9))</f>
        <v>0</v>
      </c>
      <c r="K9" s="109"/>
      <c r="L9" s="109" cm="1">
        <f t="array" ref="L9">MAX(IF(Q4:EK4=L4,Q9:EK9))</f>
        <v>0</v>
      </c>
      <c r="M9" s="109"/>
      <c r="N9" s="109"/>
      <c r="O9" s="101"/>
      <c r="Q9" s="35"/>
      <c r="R9" s="33">
        <v>0.5</v>
      </c>
      <c r="S9" s="33"/>
      <c r="T9" s="33">
        <v>0.5</v>
      </c>
      <c r="U9" s="100"/>
      <c r="V9" s="101"/>
      <c r="X9" s="35"/>
      <c r="Y9" s="33">
        <v>0.5</v>
      </c>
      <c r="Z9" s="33"/>
      <c r="AA9" s="33">
        <v>0.5</v>
      </c>
      <c r="AB9" s="100"/>
      <c r="AC9" s="101"/>
      <c r="AE9" s="35"/>
      <c r="AF9" s="33">
        <v>0.5</v>
      </c>
      <c r="AG9" s="33"/>
      <c r="AH9" s="33">
        <v>0.5</v>
      </c>
      <c r="AI9" s="100"/>
      <c r="AJ9" s="101"/>
      <c r="AK9">
        <v>3</v>
      </c>
      <c r="AL9" s="35"/>
      <c r="AM9" s="33">
        <v>0.8</v>
      </c>
      <c r="AN9" s="33"/>
      <c r="AO9" s="33">
        <v>0.8</v>
      </c>
      <c r="AP9" s="100"/>
      <c r="AQ9" s="101"/>
      <c r="AS9" s="35"/>
      <c r="AT9" s="33">
        <v>0.8</v>
      </c>
      <c r="AU9" s="33"/>
      <c r="AV9" s="33">
        <v>0.8</v>
      </c>
      <c r="AW9" s="100"/>
      <c r="AX9" s="101"/>
      <c r="AZ9" s="35"/>
      <c r="BA9" s="33">
        <v>0.8</v>
      </c>
      <c r="BB9" s="33"/>
      <c r="BC9" s="33">
        <v>0.8</v>
      </c>
      <c r="BD9" s="100"/>
      <c r="BE9" s="101"/>
      <c r="BG9" s="35"/>
      <c r="BH9" s="33">
        <v>0.8</v>
      </c>
      <c r="BI9" s="33"/>
      <c r="BJ9" s="33">
        <v>0.8</v>
      </c>
      <c r="BK9" s="100"/>
      <c r="BL9" s="101"/>
      <c r="BN9" s="35"/>
      <c r="BO9" s="33">
        <v>0.8</v>
      </c>
      <c r="BP9" s="33"/>
      <c r="BQ9" s="33">
        <v>0.8</v>
      </c>
      <c r="BR9" s="100"/>
      <c r="BS9" s="101"/>
      <c r="BU9" s="35"/>
      <c r="BV9" s="33">
        <v>1</v>
      </c>
      <c r="BW9" s="33"/>
      <c r="BX9" s="33">
        <v>1</v>
      </c>
      <c r="BY9" s="100"/>
      <c r="BZ9" s="101"/>
      <c r="CB9" s="35"/>
      <c r="CC9" s="33">
        <v>1</v>
      </c>
      <c r="CD9" s="33"/>
      <c r="CE9" s="33">
        <v>1</v>
      </c>
      <c r="CF9" s="100"/>
      <c r="CG9" s="101"/>
      <c r="CI9" s="35"/>
      <c r="CJ9" s="33">
        <v>1</v>
      </c>
      <c r="CK9" s="33"/>
      <c r="CL9" s="33">
        <v>1</v>
      </c>
      <c r="CM9" s="100"/>
      <c r="CN9" s="101"/>
      <c r="CP9" s="35"/>
      <c r="CQ9" s="33">
        <v>1</v>
      </c>
      <c r="CR9" s="33"/>
      <c r="CS9" s="33">
        <v>1</v>
      </c>
      <c r="CT9" s="100"/>
      <c r="CU9" s="101"/>
      <c r="CW9" s="35"/>
      <c r="CX9" s="33">
        <v>1</v>
      </c>
      <c r="CY9" s="33"/>
      <c r="CZ9" s="33">
        <v>1</v>
      </c>
      <c r="DA9" s="100"/>
      <c r="DB9" s="101"/>
      <c r="DD9" s="35"/>
      <c r="DE9" s="33">
        <v>1</v>
      </c>
      <c r="DF9" s="33"/>
      <c r="DG9" s="33">
        <v>1</v>
      </c>
      <c r="DH9" s="100"/>
      <c r="DI9" s="101"/>
      <c r="DK9" s="35"/>
      <c r="DL9" s="33">
        <v>1</v>
      </c>
      <c r="DM9" s="33"/>
      <c r="DN9" s="33">
        <v>1</v>
      </c>
      <c r="DO9" s="100"/>
      <c r="DP9" s="101"/>
      <c r="DR9" s="35"/>
      <c r="DS9" s="33">
        <v>1</v>
      </c>
      <c r="DT9" s="33"/>
      <c r="DU9" s="33">
        <v>1</v>
      </c>
      <c r="DV9" s="100"/>
      <c r="DW9" s="101"/>
      <c r="DY9" s="35"/>
      <c r="DZ9" s="33">
        <v>1</v>
      </c>
      <c r="EA9" s="33"/>
      <c r="EB9" s="33">
        <v>1</v>
      </c>
      <c r="EC9" s="100"/>
      <c r="ED9" s="101"/>
      <c r="EF9" s="35"/>
      <c r="EG9" s="33">
        <v>1</v>
      </c>
      <c r="EH9" s="33"/>
      <c r="EI9" s="33">
        <v>1</v>
      </c>
      <c r="EJ9" s="100"/>
      <c r="EK9" s="101"/>
    </row>
    <row r="10" spans="2:141" outlineLevel="1" x14ac:dyDescent="0.2">
      <c r="B10" s="10" t="s">
        <v>69</v>
      </c>
      <c r="C10" s="115" t="s">
        <v>73</v>
      </c>
      <c r="D10" s="115"/>
      <c r="E10" s="115"/>
      <c r="F10" s="115"/>
      <c r="G10" s="116"/>
      <c r="H10" s="123">
        <v>0.1</v>
      </c>
      <c r="I10" s="124"/>
      <c r="J10" s="109" cm="1">
        <f t="array" ref="J10">MAX(IF(Q4:EK4=J4,Q10:EK10))</f>
        <v>0</v>
      </c>
      <c r="K10" s="109"/>
      <c r="L10" s="109" cm="1">
        <f t="array" ref="L10">MAX(IF(Q4:EK4=L4,Q10:EK10))</f>
        <v>0</v>
      </c>
      <c r="M10" s="109"/>
      <c r="N10" s="109"/>
      <c r="O10" s="101"/>
      <c r="Q10" s="35"/>
      <c r="R10" s="33"/>
      <c r="S10" s="33"/>
      <c r="T10" s="33"/>
      <c r="U10" s="100"/>
      <c r="V10" s="101"/>
      <c r="X10" s="35"/>
      <c r="Y10" s="33">
        <v>0.5</v>
      </c>
      <c r="Z10" s="33"/>
      <c r="AA10" s="33">
        <v>0.5</v>
      </c>
      <c r="AB10" s="100"/>
      <c r="AC10" s="101"/>
      <c r="AE10" s="35"/>
      <c r="AF10" s="33">
        <v>0.5</v>
      </c>
      <c r="AG10" s="33"/>
      <c r="AH10" s="33">
        <v>0.5</v>
      </c>
      <c r="AI10" s="100"/>
      <c r="AJ10" s="101"/>
      <c r="AL10" s="35"/>
      <c r="AM10" s="33">
        <v>0.5</v>
      </c>
      <c r="AN10" s="33"/>
      <c r="AO10" s="33">
        <v>0.5</v>
      </c>
      <c r="AP10" s="100"/>
      <c r="AQ10" s="101"/>
      <c r="AR10">
        <v>2</v>
      </c>
      <c r="AS10" s="35"/>
      <c r="AT10" s="33">
        <v>0.8</v>
      </c>
      <c r="AU10" s="33"/>
      <c r="AV10" s="33">
        <v>0.8</v>
      </c>
      <c r="AW10" s="100"/>
      <c r="AX10" s="101"/>
      <c r="AY10">
        <v>3</v>
      </c>
      <c r="AZ10" s="35"/>
      <c r="BA10" s="33">
        <v>0.8</v>
      </c>
      <c r="BB10" s="33"/>
      <c r="BC10" s="33">
        <v>0.8</v>
      </c>
      <c r="BD10" s="100"/>
      <c r="BE10" s="101"/>
      <c r="BG10" s="35"/>
      <c r="BH10" s="33">
        <v>0.8</v>
      </c>
      <c r="BI10" s="33"/>
      <c r="BJ10" s="33">
        <v>0.8</v>
      </c>
      <c r="BK10" s="100"/>
      <c r="BL10" s="101"/>
      <c r="BN10" s="35"/>
      <c r="BO10" s="33">
        <v>0.8</v>
      </c>
      <c r="BP10" s="33"/>
      <c r="BQ10" s="33">
        <v>0.8</v>
      </c>
      <c r="BR10" s="100"/>
      <c r="BS10" s="101"/>
      <c r="BU10" s="35"/>
      <c r="BV10" s="33">
        <v>0.8</v>
      </c>
      <c r="BW10" s="33"/>
      <c r="BX10" s="33">
        <v>0.8</v>
      </c>
      <c r="BY10" s="100"/>
      <c r="BZ10" s="101"/>
      <c r="CB10" s="35"/>
      <c r="CC10" s="33">
        <v>1</v>
      </c>
      <c r="CD10" s="33"/>
      <c r="CE10" s="33">
        <v>1</v>
      </c>
      <c r="CF10" s="100"/>
      <c r="CG10" s="101"/>
      <c r="CI10" s="35"/>
      <c r="CJ10" s="33">
        <v>1</v>
      </c>
      <c r="CK10" s="33"/>
      <c r="CL10" s="33">
        <v>1</v>
      </c>
      <c r="CM10" s="100"/>
      <c r="CN10" s="101"/>
      <c r="CO10">
        <v>0</v>
      </c>
      <c r="CP10" s="35"/>
      <c r="CQ10" s="33">
        <v>1</v>
      </c>
      <c r="CR10" s="33"/>
      <c r="CS10" s="33">
        <v>1</v>
      </c>
      <c r="CT10" s="100"/>
      <c r="CU10" s="101"/>
      <c r="CW10" s="35"/>
      <c r="CX10" s="33">
        <v>1</v>
      </c>
      <c r="CY10" s="33"/>
      <c r="CZ10" s="33">
        <v>1</v>
      </c>
      <c r="DA10" s="100"/>
      <c r="DB10" s="101"/>
      <c r="DD10" s="35"/>
      <c r="DE10" s="33">
        <v>1</v>
      </c>
      <c r="DF10" s="33"/>
      <c r="DG10" s="33">
        <v>1</v>
      </c>
      <c r="DH10" s="100"/>
      <c r="DI10" s="101"/>
      <c r="DK10" s="35"/>
      <c r="DL10" s="33">
        <v>1</v>
      </c>
      <c r="DM10" s="33"/>
      <c r="DN10" s="33">
        <v>1</v>
      </c>
      <c r="DO10" s="100"/>
      <c r="DP10" s="101"/>
      <c r="DR10" s="35"/>
      <c r="DS10" s="33">
        <v>1</v>
      </c>
      <c r="DT10" s="33"/>
      <c r="DU10" s="33">
        <v>1</v>
      </c>
      <c r="DV10" s="100"/>
      <c r="DW10" s="101"/>
      <c r="DY10" s="35"/>
      <c r="DZ10" s="33">
        <v>1</v>
      </c>
      <c r="EA10" s="33"/>
      <c r="EB10" s="33">
        <v>1</v>
      </c>
      <c r="EC10" s="100"/>
      <c r="ED10" s="101"/>
      <c r="EF10" s="35"/>
      <c r="EG10" s="33">
        <v>1</v>
      </c>
      <c r="EH10" s="33"/>
      <c r="EI10" s="33">
        <v>1</v>
      </c>
      <c r="EJ10" s="100"/>
      <c r="EK10" s="101"/>
    </row>
    <row r="11" spans="2:141" outlineLevel="1" x14ac:dyDescent="0.2">
      <c r="B11" s="10" t="s">
        <v>69</v>
      </c>
      <c r="C11" s="115" t="s">
        <v>74</v>
      </c>
      <c r="D11" s="115"/>
      <c r="E11" s="115"/>
      <c r="F11" s="115"/>
      <c r="G11" s="116"/>
      <c r="H11" s="123">
        <v>0.1</v>
      </c>
      <c r="I11" s="124"/>
      <c r="J11" s="109" cm="1">
        <f t="array" ref="J11">MAX(IF(Q4:EK4=J4,Q11:EK11))</f>
        <v>0</v>
      </c>
      <c r="K11" s="109"/>
      <c r="L11" s="109" cm="1">
        <f t="array" ref="L11">MAX(IF(Q4:EK4=L4,Q11:EK11))</f>
        <v>0</v>
      </c>
      <c r="M11" s="109"/>
      <c r="N11" s="109"/>
      <c r="O11" s="101"/>
      <c r="Q11" s="35"/>
      <c r="R11" s="33"/>
      <c r="S11" s="33"/>
      <c r="T11" s="33"/>
      <c r="U11" s="100"/>
      <c r="V11" s="101"/>
      <c r="X11" s="35"/>
      <c r="Y11" s="33"/>
      <c r="Z11" s="33"/>
      <c r="AA11" s="33"/>
      <c r="AB11" s="100"/>
      <c r="AC11" s="101"/>
      <c r="AE11" s="35"/>
      <c r="AF11" s="33">
        <v>0.5</v>
      </c>
      <c r="AG11" s="33"/>
      <c r="AH11" s="33">
        <v>0.5</v>
      </c>
      <c r="AI11" s="100"/>
      <c r="AJ11" s="101"/>
      <c r="AL11" s="35"/>
      <c r="AM11" s="33">
        <v>0.5</v>
      </c>
      <c r="AN11" s="33"/>
      <c r="AO11" s="33">
        <v>0.5</v>
      </c>
      <c r="AP11" s="100"/>
      <c r="AQ11" s="101"/>
      <c r="AS11" s="35"/>
      <c r="AT11" s="33">
        <v>0.5</v>
      </c>
      <c r="AU11" s="33"/>
      <c r="AV11" s="33">
        <v>0.5</v>
      </c>
      <c r="AW11" s="100"/>
      <c r="AX11" s="101"/>
      <c r="AZ11" s="35"/>
      <c r="BA11" s="33">
        <v>0.8</v>
      </c>
      <c r="BB11" s="33"/>
      <c r="BC11" s="33">
        <v>0.8</v>
      </c>
      <c r="BD11" s="100"/>
      <c r="BE11" s="101"/>
      <c r="BG11" s="35"/>
      <c r="BH11" s="33">
        <v>0.8</v>
      </c>
      <c r="BI11" s="33"/>
      <c r="BJ11" s="33">
        <v>0.8</v>
      </c>
      <c r="BK11" s="100"/>
      <c r="BL11" s="101"/>
      <c r="BN11" s="35"/>
      <c r="BO11" s="33">
        <v>0.8</v>
      </c>
      <c r="BP11" s="33"/>
      <c r="BQ11" s="33">
        <v>0.8</v>
      </c>
      <c r="BR11" s="100"/>
      <c r="BS11" s="101"/>
      <c r="BU11" s="35"/>
      <c r="BV11" s="33">
        <v>0.8</v>
      </c>
      <c r="BW11" s="33"/>
      <c r="BX11" s="33">
        <v>0.8</v>
      </c>
      <c r="BY11" s="100"/>
      <c r="BZ11" s="101"/>
      <c r="CB11" s="35"/>
      <c r="CC11" s="33">
        <v>0.8</v>
      </c>
      <c r="CD11" s="33"/>
      <c r="CE11" s="33">
        <v>0.8</v>
      </c>
      <c r="CF11" s="100"/>
      <c r="CG11" s="101"/>
      <c r="CH11">
        <v>2</v>
      </c>
      <c r="CI11" s="35"/>
      <c r="CJ11" s="33">
        <v>0.8</v>
      </c>
      <c r="CK11" s="33"/>
      <c r="CL11" s="33">
        <v>0.8</v>
      </c>
      <c r="CM11" s="100"/>
      <c r="CN11" s="101"/>
      <c r="CP11" s="35"/>
      <c r="CQ11" s="33">
        <v>1</v>
      </c>
      <c r="CR11" s="33"/>
      <c r="CS11" s="33">
        <v>1</v>
      </c>
      <c r="CT11" s="100"/>
      <c r="CU11" s="101"/>
      <c r="CV11">
        <v>2</v>
      </c>
      <c r="CW11" s="35"/>
      <c r="CX11" s="33">
        <v>1</v>
      </c>
      <c r="CY11" s="33"/>
      <c r="CZ11" s="33">
        <v>1</v>
      </c>
      <c r="DA11" s="100"/>
      <c r="DB11" s="101"/>
      <c r="DC11">
        <v>2</v>
      </c>
      <c r="DD11" s="35"/>
      <c r="DE11" s="33">
        <v>1</v>
      </c>
      <c r="DF11" s="33"/>
      <c r="DG11" s="33">
        <v>1</v>
      </c>
      <c r="DH11" s="100"/>
      <c r="DI11" s="101"/>
      <c r="DJ11">
        <v>2</v>
      </c>
      <c r="DK11" s="35"/>
      <c r="DL11" s="33">
        <v>1</v>
      </c>
      <c r="DM11" s="33"/>
      <c r="DN11" s="33">
        <v>1</v>
      </c>
      <c r="DO11" s="100"/>
      <c r="DP11" s="101"/>
      <c r="DQ11">
        <v>1</v>
      </c>
      <c r="DR11" s="35"/>
      <c r="DS11" s="33">
        <v>1</v>
      </c>
      <c r="DT11" s="33"/>
      <c r="DU11" s="33">
        <v>1</v>
      </c>
      <c r="DV11" s="100"/>
      <c r="DW11" s="101"/>
      <c r="DX11">
        <v>1</v>
      </c>
      <c r="DY11" s="35"/>
      <c r="DZ11" s="33">
        <v>1</v>
      </c>
      <c r="EA11" s="33"/>
      <c r="EB11" s="33">
        <v>1</v>
      </c>
      <c r="EC11" s="100"/>
      <c r="ED11" s="101"/>
      <c r="EF11" s="35"/>
      <c r="EG11" s="33">
        <v>1</v>
      </c>
      <c r="EH11" s="33"/>
      <c r="EI11" s="33">
        <v>1</v>
      </c>
      <c r="EJ11" s="100"/>
      <c r="EK11" s="101"/>
    </row>
    <row r="12" spans="2:141" outlineLevel="1" x14ac:dyDescent="0.2">
      <c r="B12" s="10" t="s">
        <v>69</v>
      </c>
      <c r="C12" s="115" t="s">
        <v>75</v>
      </c>
      <c r="D12" s="115"/>
      <c r="E12" s="115"/>
      <c r="F12" s="115"/>
      <c r="G12" s="116"/>
      <c r="H12" s="123">
        <v>0.1</v>
      </c>
      <c r="I12" s="124"/>
      <c r="J12" s="109" cm="1">
        <f t="array" ref="J12">MAX(IF(Q4:EK4=J4,Q12:EK12))</f>
        <v>0</v>
      </c>
      <c r="K12" s="109"/>
      <c r="L12" s="109" cm="1">
        <f t="array" ref="L12">MAX(IF(Q4:EK4=L4,Q12:EK12))</f>
        <v>0</v>
      </c>
      <c r="M12" s="109"/>
      <c r="N12" s="109"/>
      <c r="O12" s="101"/>
      <c r="Q12" s="35"/>
      <c r="R12" s="33"/>
      <c r="S12" s="33"/>
      <c r="T12" s="33"/>
      <c r="U12" s="100"/>
      <c r="V12" s="101"/>
      <c r="W12">
        <v>3</v>
      </c>
      <c r="X12" s="35"/>
      <c r="Y12" s="33"/>
      <c r="Z12" s="33"/>
      <c r="AA12" s="33"/>
      <c r="AB12" s="100"/>
      <c r="AC12" s="101"/>
      <c r="AD12">
        <v>2</v>
      </c>
      <c r="AE12" s="35"/>
      <c r="AF12" s="33">
        <v>0.5</v>
      </c>
      <c r="AG12" s="33"/>
      <c r="AH12" s="33">
        <v>0.5</v>
      </c>
      <c r="AI12" s="100"/>
      <c r="AJ12" s="101"/>
      <c r="AL12" s="35"/>
      <c r="AM12" s="33">
        <v>0.5</v>
      </c>
      <c r="AN12" s="33"/>
      <c r="AO12" s="33">
        <v>0.5</v>
      </c>
      <c r="AP12" s="100"/>
      <c r="AQ12" s="101"/>
      <c r="AS12" s="35"/>
      <c r="AT12" s="33">
        <v>0.5</v>
      </c>
      <c r="AU12" s="33"/>
      <c r="AV12" s="33">
        <v>0.5</v>
      </c>
      <c r="AW12" s="100"/>
      <c r="AX12" s="101"/>
      <c r="AZ12" s="35"/>
      <c r="BA12" s="33">
        <v>0.5</v>
      </c>
      <c r="BB12" s="33"/>
      <c r="BC12" s="33">
        <v>0.5</v>
      </c>
      <c r="BD12" s="100"/>
      <c r="BE12" s="101"/>
      <c r="BF12">
        <v>2</v>
      </c>
      <c r="BG12" s="35"/>
      <c r="BH12" s="33">
        <v>0.8</v>
      </c>
      <c r="BI12" s="33"/>
      <c r="BJ12" s="33">
        <v>0.8</v>
      </c>
      <c r="BK12" s="100"/>
      <c r="BL12" s="101"/>
      <c r="BM12">
        <v>3</v>
      </c>
      <c r="BN12" s="35"/>
      <c r="BO12" s="33">
        <v>0.8</v>
      </c>
      <c r="BP12" s="33"/>
      <c r="BQ12" s="33">
        <v>0.8</v>
      </c>
      <c r="BR12" s="100"/>
      <c r="BS12" s="101"/>
      <c r="BT12">
        <v>2</v>
      </c>
      <c r="BU12" s="35"/>
      <c r="BV12" s="33">
        <v>0.8</v>
      </c>
      <c r="BW12" s="33"/>
      <c r="BX12" s="33">
        <v>0.8</v>
      </c>
      <c r="BY12" s="100"/>
      <c r="BZ12" s="101"/>
      <c r="CA12">
        <v>3</v>
      </c>
      <c r="CB12" s="35"/>
      <c r="CC12" s="33">
        <v>0.8</v>
      </c>
      <c r="CD12" s="33"/>
      <c r="CE12" s="33">
        <v>0.8</v>
      </c>
      <c r="CF12" s="100"/>
      <c r="CG12" s="101"/>
      <c r="CI12" s="35"/>
      <c r="CJ12" s="33">
        <v>0.8</v>
      </c>
      <c r="CK12" s="33"/>
      <c r="CL12" s="33">
        <v>0.8</v>
      </c>
      <c r="CM12" s="100"/>
      <c r="CN12" s="101"/>
      <c r="CP12" s="35"/>
      <c r="CQ12" s="33">
        <v>1</v>
      </c>
      <c r="CR12" s="33"/>
      <c r="CS12" s="33">
        <v>1</v>
      </c>
      <c r="CT12" s="100"/>
      <c r="CU12" s="101"/>
      <c r="CW12" s="35"/>
      <c r="CX12" s="33">
        <v>1</v>
      </c>
      <c r="CY12" s="33"/>
      <c r="CZ12" s="33">
        <v>1</v>
      </c>
      <c r="DA12" s="100"/>
      <c r="DB12" s="101"/>
      <c r="DD12" s="35"/>
      <c r="DE12" s="33">
        <v>1</v>
      </c>
      <c r="DF12" s="33"/>
      <c r="DG12" s="33">
        <v>1</v>
      </c>
      <c r="DH12" s="100"/>
      <c r="DI12" s="101"/>
      <c r="DK12" s="35"/>
      <c r="DL12" s="33">
        <v>1</v>
      </c>
      <c r="DM12" s="33"/>
      <c r="DN12" s="33">
        <v>1</v>
      </c>
      <c r="DO12" s="100"/>
      <c r="DP12" s="101"/>
      <c r="DR12" s="35"/>
      <c r="DS12" s="33">
        <v>1</v>
      </c>
      <c r="DT12" s="33"/>
      <c r="DU12" s="33">
        <v>1</v>
      </c>
      <c r="DV12" s="100"/>
      <c r="DW12" s="101"/>
      <c r="DY12" s="35"/>
      <c r="DZ12" s="33">
        <v>1</v>
      </c>
      <c r="EA12" s="33"/>
      <c r="EB12" s="33">
        <v>1</v>
      </c>
      <c r="EC12" s="100"/>
      <c r="ED12" s="101"/>
      <c r="EF12" s="35"/>
      <c r="EG12" s="33">
        <v>1</v>
      </c>
      <c r="EH12" s="33"/>
      <c r="EI12" s="33">
        <v>1</v>
      </c>
      <c r="EJ12" s="100"/>
      <c r="EK12" s="101"/>
    </row>
    <row r="13" spans="2:141" outlineLevel="1" x14ac:dyDescent="0.2">
      <c r="B13" s="10" t="s">
        <v>69</v>
      </c>
      <c r="C13" s="115" t="s">
        <v>76</v>
      </c>
      <c r="D13" s="115"/>
      <c r="E13" s="115"/>
      <c r="F13" s="115"/>
      <c r="G13" s="116"/>
      <c r="H13" s="123">
        <v>0.1</v>
      </c>
      <c r="I13" s="124"/>
      <c r="J13" s="109" cm="1">
        <f t="array" ref="J13">MAX(IF(Q4:EK4=J4,Q13:EK13))</f>
        <v>0</v>
      </c>
      <c r="K13" s="109"/>
      <c r="L13" s="109" cm="1">
        <f t="array" ref="L13">MAX(IF(Q4:EK4=L4,Q13:EK13))</f>
        <v>0</v>
      </c>
      <c r="M13" s="109"/>
      <c r="N13" s="109"/>
      <c r="O13" s="101"/>
      <c r="Q13" s="35"/>
      <c r="R13" s="33"/>
      <c r="S13" s="33"/>
      <c r="T13" s="33"/>
      <c r="U13" s="100"/>
      <c r="V13" s="101"/>
      <c r="X13" s="35"/>
      <c r="Y13" s="33"/>
      <c r="Z13" s="33"/>
      <c r="AA13" s="33"/>
      <c r="AB13" s="100"/>
      <c r="AC13" s="101"/>
      <c r="AE13" s="35"/>
      <c r="AF13" s="33"/>
      <c r="AG13" s="33"/>
      <c r="AH13" s="33"/>
      <c r="AI13" s="100"/>
      <c r="AJ13" s="101"/>
      <c r="AL13" s="35"/>
      <c r="AM13" s="33">
        <v>0.5</v>
      </c>
      <c r="AN13" s="33"/>
      <c r="AO13" s="33">
        <v>0.5</v>
      </c>
      <c r="AP13" s="100"/>
      <c r="AQ13" s="101"/>
      <c r="AS13" s="35"/>
      <c r="AT13" s="33">
        <v>0.5</v>
      </c>
      <c r="AU13" s="33"/>
      <c r="AV13" s="33">
        <v>0.5</v>
      </c>
      <c r="AW13" s="100"/>
      <c r="AX13" s="101"/>
      <c r="AZ13" s="35"/>
      <c r="BA13" s="33">
        <v>0.5</v>
      </c>
      <c r="BB13" s="33"/>
      <c r="BC13" s="33">
        <v>0.5</v>
      </c>
      <c r="BD13" s="100"/>
      <c r="BE13" s="101"/>
      <c r="BG13" s="35"/>
      <c r="BH13" s="33">
        <v>0.5</v>
      </c>
      <c r="BI13" s="33"/>
      <c r="BJ13" s="33">
        <v>0.5</v>
      </c>
      <c r="BK13" s="100"/>
      <c r="BL13" s="101"/>
      <c r="BN13" s="35"/>
      <c r="BO13" s="33">
        <v>0.8</v>
      </c>
      <c r="BP13" s="33"/>
      <c r="BQ13" s="33">
        <v>0.8</v>
      </c>
      <c r="BR13" s="100"/>
      <c r="BS13" s="101"/>
      <c r="BU13" s="35"/>
      <c r="BV13" s="33">
        <v>0.8</v>
      </c>
      <c r="BW13" s="33"/>
      <c r="BX13" s="33">
        <v>0.8</v>
      </c>
      <c r="BY13" s="100"/>
      <c r="BZ13" s="101"/>
      <c r="CB13" s="35"/>
      <c r="CC13" s="33">
        <v>0.8</v>
      </c>
      <c r="CD13" s="33"/>
      <c r="CE13" s="33">
        <v>0.8</v>
      </c>
      <c r="CF13" s="100"/>
      <c r="CG13" s="101"/>
      <c r="CI13" s="35"/>
      <c r="CJ13" s="33">
        <v>0.8</v>
      </c>
      <c r="CK13" s="33"/>
      <c r="CL13" s="33">
        <v>0.8</v>
      </c>
      <c r="CM13" s="100"/>
      <c r="CN13" s="101"/>
      <c r="CP13" s="35"/>
      <c r="CQ13" s="33">
        <v>0.8</v>
      </c>
      <c r="CR13" s="33"/>
      <c r="CS13" s="33">
        <v>0.8</v>
      </c>
      <c r="CT13" s="100"/>
      <c r="CU13" s="101"/>
      <c r="CW13" s="35"/>
      <c r="CX13" s="33">
        <v>1</v>
      </c>
      <c r="CY13" s="33"/>
      <c r="CZ13" s="33">
        <v>1</v>
      </c>
      <c r="DA13" s="100"/>
      <c r="DB13" s="101"/>
      <c r="DD13" s="35"/>
      <c r="DE13" s="33">
        <v>1</v>
      </c>
      <c r="DF13" s="33"/>
      <c r="DG13" s="33">
        <v>1</v>
      </c>
      <c r="DH13" s="100"/>
      <c r="DI13" s="101"/>
      <c r="DK13" s="35"/>
      <c r="DL13" s="33">
        <v>1</v>
      </c>
      <c r="DM13" s="33"/>
      <c r="DN13" s="33">
        <v>1</v>
      </c>
      <c r="DO13" s="100"/>
      <c r="DP13" s="101"/>
      <c r="DR13" s="35"/>
      <c r="DS13" s="33">
        <v>1</v>
      </c>
      <c r="DT13" s="33"/>
      <c r="DU13" s="33">
        <v>1</v>
      </c>
      <c r="DV13" s="100"/>
      <c r="DW13" s="101"/>
      <c r="DY13" s="35"/>
      <c r="DZ13" s="33">
        <v>1</v>
      </c>
      <c r="EA13" s="33"/>
      <c r="EB13" s="33">
        <v>1</v>
      </c>
      <c r="EC13" s="100"/>
      <c r="ED13" s="101"/>
      <c r="EF13" s="35"/>
      <c r="EG13" s="33">
        <v>1</v>
      </c>
      <c r="EH13" s="33"/>
      <c r="EI13" s="33">
        <v>1</v>
      </c>
      <c r="EJ13" s="100"/>
      <c r="EK13" s="101"/>
    </row>
    <row r="14" spans="2:141" outlineLevel="1" x14ac:dyDescent="0.2">
      <c r="B14" s="10" t="s">
        <v>69</v>
      </c>
      <c r="C14" s="115" t="s">
        <v>77</v>
      </c>
      <c r="D14" s="115"/>
      <c r="E14" s="115"/>
      <c r="F14" s="115"/>
      <c r="G14" s="116"/>
      <c r="H14" s="123">
        <v>0.1</v>
      </c>
      <c r="I14" s="124"/>
      <c r="J14" s="109" cm="1">
        <f t="array" ref="J14">MAX(IF(Q4:EK4=J4,Q14:EK14))</f>
        <v>0</v>
      </c>
      <c r="K14" s="109"/>
      <c r="L14" s="109" cm="1">
        <f t="array" ref="L14">MAX(IF(Q4:EK4=L4,Q14:EK14))</f>
        <v>0</v>
      </c>
      <c r="M14" s="109"/>
      <c r="N14" s="109"/>
      <c r="O14" s="101"/>
      <c r="Q14" s="35"/>
      <c r="R14" s="33"/>
      <c r="S14" s="33"/>
      <c r="T14" s="33"/>
      <c r="U14" s="100"/>
      <c r="V14" s="101"/>
      <c r="X14" s="35"/>
      <c r="Y14" s="33"/>
      <c r="Z14" s="33"/>
      <c r="AA14" s="33"/>
      <c r="AB14" s="100"/>
      <c r="AC14" s="101"/>
      <c r="AE14" s="35"/>
      <c r="AF14" s="33"/>
      <c r="AG14" s="33"/>
      <c r="AH14" s="33"/>
      <c r="AI14" s="100"/>
      <c r="AJ14" s="101"/>
      <c r="AL14" s="35"/>
      <c r="AM14" s="33"/>
      <c r="AN14" s="33"/>
      <c r="AO14" s="33"/>
      <c r="AP14" s="100"/>
      <c r="AQ14" s="101"/>
      <c r="AS14" s="35"/>
      <c r="AT14" s="33">
        <v>0.5</v>
      </c>
      <c r="AU14" s="33"/>
      <c r="AV14" s="33">
        <v>0.5</v>
      </c>
      <c r="AW14" s="100"/>
      <c r="AX14" s="101"/>
      <c r="AZ14" s="35"/>
      <c r="BA14" s="33">
        <v>0.5</v>
      </c>
      <c r="BB14" s="33"/>
      <c r="BC14" s="33">
        <v>0.5</v>
      </c>
      <c r="BD14" s="100"/>
      <c r="BE14" s="101"/>
      <c r="BG14" s="35"/>
      <c r="BH14" s="33">
        <v>0.5</v>
      </c>
      <c r="BI14" s="33"/>
      <c r="BJ14" s="33">
        <v>0.5</v>
      </c>
      <c r="BK14" s="100"/>
      <c r="BL14" s="101"/>
      <c r="BN14" s="35"/>
      <c r="BO14" s="33">
        <v>0.5</v>
      </c>
      <c r="BP14" s="33"/>
      <c r="BQ14" s="33">
        <v>0.5</v>
      </c>
      <c r="BR14" s="100"/>
      <c r="BS14" s="101"/>
      <c r="BU14" s="35"/>
      <c r="BV14" s="33">
        <v>0.8</v>
      </c>
      <c r="BW14" s="33"/>
      <c r="BX14" s="33">
        <v>0.8</v>
      </c>
      <c r="BY14" s="100"/>
      <c r="BZ14" s="101"/>
      <c r="CB14" s="35"/>
      <c r="CC14" s="33">
        <v>0.8</v>
      </c>
      <c r="CD14" s="33"/>
      <c r="CE14" s="33">
        <v>0.8</v>
      </c>
      <c r="CF14" s="100"/>
      <c r="CG14" s="101"/>
      <c r="CI14" s="35"/>
      <c r="CJ14" s="33">
        <v>0.8</v>
      </c>
      <c r="CK14" s="33"/>
      <c r="CL14" s="33">
        <v>0.8</v>
      </c>
      <c r="CM14" s="100"/>
      <c r="CN14" s="101"/>
      <c r="CP14" s="35"/>
      <c r="CQ14" s="33">
        <v>0.8</v>
      </c>
      <c r="CR14" s="33"/>
      <c r="CS14" s="33">
        <v>0.8</v>
      </c>
      <c r="CT14" s="100"/>
      <c r="CU14" s="101"/>
      <c r="CW14" s="35"/>
      <c r="CX14" s="33">
        <v>1</v>
      </c>
      <c r="CY14" s="33"/>
      <c r="CZ14" s="33">
        <v>1</v>
      </c>
      <c r="DA14" s="100"/>
      <c r="DB14" s="101"/>
      <c r="DD14" s="35"/>
      <c r="DE14" s="33">
        <v>1</v>
      </c>
      <c r="DF14" s="33"/>
      <c r="DG14" s="33">
        <v>1</v>
      </c>
      <c r="DH14" s="100"/>
      <c r="DI14" s="101"/>
      <c r="DK14" s="35"/>
      <c r="DL14" s="33">
        <v>1</v>
      </c>
      <c r="DM14" s="33"/>
      <c r="DN14" s="33">
        <v>1</v>
      </c>
      <c r="DO14" s="100"/>
      <c r="DP14" s="101"/>
      <c r="DR14" s="35"/>
      <c r="DS14" s="33">
        <v>1</v>
      </c>
      <c r="DT14" s="33"/>
      <c r="DU14" s="33">
        <v>1</v>
      </c>
      <c r="DV14" s="100"/>
      <c r="DW14" s="101"/>
      <c r="DY14" s="35"/>
      <c r="DZ14" s="33">
        <v>1</v>
      </c>
      <c r="EA14" s="33"/>
      <c r="EB14" s="33">
        <v>1</v>
      </c>
      <c r="EC14" s="100"/>
      <c r="ED14" s="101"/>
      <c r="EF14" s="35"/>
      <c r="EG14" s="33">
        <v>1</v>
      </c>
      <c r="EH14" s="33"/>
      <c r="EI14" s="33">
        <v>1</v>
      </c>
      <c r="EJ14" s="100"/>
      <c r="EK14" s="101"/>
    </row>
    <row r="15" spans="2:141" outlineLevel="1" x14ac:dyDescent="0.2">
      <c r="B15" s="10" t="s">
        <v>69</v>
      </c>
      <c r="C15" s="115" t="s">
        <v>78</v>
      </c>
      <c r="D15" s="115"/>
      <c r="E15" s="115"/>
      <c r="F15" s="115"/>
      <c r="G15" s="116"/>
      <c r="H15" s="123">
        <v>0.1</v>
      </c>
      <c r="I15" s="124"/>
      <c r="J15" s="109" cm="1">
        <f t="array" ref="J15">MAX(IF(Q4:EK4=J4,Q15:EK15))</f>
        <v>0</v>
      </c>
      <c r="K15" s="109"/>
      <c r="L15" s="109" cm="1">
        <f t="array" ref="L15">MAX(IF(Q4:EK4=L4,Q15:EK15))</f>
        <v>0</v>
      </c>
      <c r="M15" s="109"/>
      <c r="N15" s="109"/>
      <c r="O15" s="101"/>
      <c r="Q15" s="35"/>
      <c r="R15" s="33"/>
      <c r="S15" s="33"/>
      <c r="T15" s="33"/>
      <c r="U15" s="100"/>
      <c r="V15" s="101"/>
      <c r="X15" s="35"/>
      <c r="Y15" s="33"/>
      <c r="Z15" s="33"/>
      <c r="AA15" s="33"/>
      <c r="AB15" s="100"/>
      <c r="AC15" s="101"/>
      <c r="AE15" s="35"/>
      <c r="AF15" s="33"/>
      <c r="AG15" s="33"/>
      <c r="AH15" s="33"/>
      <c r="AI15" s="100"/>
      <c r="AJ15" s="101"/>
      <c r="AL15" s="35"/>
      <c r="AM15" s="33"/>
      <c r="AN15" s="33"/>
      <c r="AO15" s="33"/>
      <c r="AP15" s="100"/>
      <c r="AQ15" s="101"/>
      <c r="AS15" s="35"/>
      <c r="AT15" s="33">
        <v>0.5</v>
      </c>
      <c r="AU15" s="33"/>
      <c r="AV15" s="33">
        <v>0.5</v>
      </c>
      <c r="AW15" s="100"/>
      <c r="AX15" s="101"/>
      <c r="AZ15" s="35"/>
      <c r="BA15" s="33">
        <v>0.5</v>
      </c>
      <c r="BB15" s="33"/>
      <c r="BC15" s="33">
        <v>0.5</v>
      </c>
      <c r="BD15" s="100"/>
      <c r="BE15" s="101"/>
      <c r="BG15" s="35"/>
      <c r="BH15" s="33">
        <v>0.5</v>
      </c>
      <c r="BI15" s="33"/>
      <c r="BJ15" s="33">
        <v>0.5</v>
      </c>
      <c r="BK15" s="100"/>
      <c r="BL15" s="101"/>
      <c r="BN15" s="35"/>
      <c r="BO15" s="33">
        <v>0.5</v>
      </c>
      <c r="BP15" s="33"/>
      <c r="BQ15" s="33">
        <v>0.5</v>
      </c>
      <c r="BR15" s="100"/>
      <c r="BS15" s="101"/>
      <c r="BU15" s="35"/>
      <c r="BV15" s="33">
        <v>0.8</v>
      </c>
      <c r="BW15" s="33"/>
      <c r="BX15" s="33">
        <v>0.8</v>
      </c>
      <c r="BY15" s="100"/>
      <c r="BZ15" s="101"/>
      <c r="CB15" s="35"/>
      <c r="CC15" s="33">
        <v>0.8</v>
      </c>
      <c r="CD15" s="33"/>
      <c r="CE15" s="33">
        <v>0.8</v>
      </c>
      <c r="CF15" s="100"/>
      <c r="CG15" s="101"/>
      <c r="CI15" s="35"/>
      <c r="CJ15" s="33">
        <v>0.8</v>
      </c>
      <c r="CK15" s="33"/>
      <c r="CL15" s="33">
        <v>0.8</v>
      </c>
      <c r="CM15" s="100"/>
      <c r="CN15" s="101"/>
      <c r="CP15" s="35"/>
      <c r="CQ15" s="33">
        <v>0.8</v>
      </c>
      <c r="CR15" s="33"/>
      <c r="CS15" s="33">
        <v>0.8</v>
      </c>
      <c r="CT15" s="100"/>
      <c r="CU15" s="101"/>
      <c r="CW15" s="35"/>
      <c r="CX15" s="33">
        <v>0.8</v>
      </c>
      <c r="CY15" s="33"/>
      <c r="CZ15" s="33">
        <v>0.8</v>
      </c>
      <c r="DA15" s="100"/>
      <c r="DB15" s="101"/>
      <c r="DD15" s="35"/>
      <c r="DE15" s="33">
        <v>1</v>
      </c>
      <c r="DF15" s="33"/>
      <c r="DG15" s="33">
        <v>1</v>
      </c>
      <c r="DH15" s="100"/>
      <c r="DI15" s="101"/>
      <c r="DK15" s="35"/>
      <c r="DL15" s="33">
        <v>1</v>
      </c>
      <c r="DM15" s="33"/>
      <c r="DN15" s="33">
        <v>1</v>
      </c>
      <c r="DO15" s="100"/>
      <c r="DP15" s="101"/>
      <c r="DR15" s="35"/>
      <c r="DS15" s="33">
        <v>1</v>
      </c>
      <c r="DT15" s="33"/>
      <c r="DU15" s="33">
        <v>1</v>
      </c>
      <c r="DV15" s="100"/>
      <c r="DW15" s="101"/>
      <c r="DY15" s="35"/>
      <c r="DZ15" s="33">
        <v>1</v>
      </c>
      <c r="EA15" s="33"/>
      <c r="EB15" s="33">
        <v>1</v>
      </c>
      <c r="EC15" s="100"/>
      <c r="ED15" s="101"/>
      <c r="EF15" s="35"/>
      <c r="EG15" s="33">
        <v>1</v>
      </c>
      <c r="EH15" s="33"/>
      <c r="EI15" s="33">
        <v>1</v>
      </c>
      <c r="EJ15" s="100"/>
      <c r="EK15" s="101"/>
    </row>
    <row r="16" spans="2:141" outlineLevel="1" x14ac:dyDescent="0.2">
      <c r="B16" s="10" t="s">
        <v>69</v>
      </c>
      <c r="C16" s="115" t="s">
        <v>79</v>
      </c>
      <c r="D16" s="115"/>
      <c r="E16" s="115"/>
      <c r="F16" s="115"/>
      <c r="G16" s="116"/>
      <c r="H16" s="123">
        <v>0.1</v>
      </c>
      <c r="I16" s="124"/>
      <c r="J16" s="109" cm="1">
        <f t="array" ref="J16">MAX(IF(Q4:EK4=J4,Q16:EK16))</f>
        <v>0</v>
      </c>
      <c r="K16" s="109"/>
      <c r="L16" s="109" cm="1">
        <f t="array" ref="L16">MAX(IF(Q4:EK4=L4,Q16:EK16))</f>
        <v>0</v>
      </c>
      <c r="M16" s="109"/>
      <c r="N16" s="109"/>
      <c r="O16" s="101"/>
      <c r="Q16" s="35"/>
      <c r="R16" s="33"/>
      <c r="S16" s="33"/>
      <c r="T16" s="33"/>
      <c r="U16" s="100"/>
      <c r="V16" s="101"/>
      <c r="X16" s="35"/>
      <c r="Y16" s="33"/>
      <c r="Z16" s="33"/>
      <c r="AA16" s="33"/>
      <c r="AB16" s="100"/>
      <c r="AC16" s="101"/>
      <c r="AE16" s="35"/>
      <c r="AF16" s="33"/>
      <c r="AG16" s="33"/>
      <c r="AH16" s="33"/>
      <c r="AI16" s="100"/>
      <c r="AJ16" s="101"/>
      <c r="AL16" s="35"/>
      <c r="AM16" s="33"/>
      <c r="AN16" s="33"/>
      <c r="AO16" s="33"/>
      <c r="AP16" s="100"/>
      <c r="AQ16" s="101"/>
      <c r="AS16" s="35"/>
      <c r="AT16" s="33"/>
      <c r="AU16" s="33"/>
      <c r="AV16" s="33"/>
      <c r="AW16" s="100"/>
      <c r="AX16" s="101"/>
      <c r="AZ16" s="35"/>
      <c r="BA16" s="33">
        <v>0.5</v>
      </c>
      <c r="BB16" s="33"/>
      <c r="BC16" s="33">
        <v>0.5</v>
      </c>
      <c r="BD16" s="100"/>
      <c r="BE16" s="101"/>
      <c r="BG16" s="35"/>
      <c r="BH16" s="33">
        <v>0.5</v>
      </c>
      <c r="BI16" s="33"/>
      <c r="BJ16" s="33">
        <v>0.5</v>
      </c>
      <c r="BK16" s="100"/>
      <c r="BL16" s="101"/>
      <c r="BN16" s="35"/>
      <c r="BO16" s="33">
        <v>0.5</v>
      </c>
      <c r="BP16" s="33"/>
      <c r="BQ16" s="33">
        <v>0.5</v>
      </c>
      <c r="BR16" s="100"/>
      <c r="BS16" s="101"/>
      <c r="BU16" s="35"/>
      <c r="BV16" s="33">
        <v>0.5</v>
      </c>
      <c r="BW16" s="33"/>
      <c r="BX16" s="33">
        <v>0.5</v>
      </c>
      <c r="BY16" s="100"/>
      <c r="BZ16" s="101"/>
      <c r="CB16" s="35"/>
      <c r="CC16" s="33">
        <v>0.8</v>
      </c>
      <c r="CD16" s="33"/>
      <c r="CE16" s="33">
        <v>0.8</v>
      </c>
      <c r="CF16" s="100"/>
      <c r="CG16" s="101"/>
      <c r="CI16" s="35"/>
      <c r="CJ16" s="33">
        <v>0.8</v>
      </c>
      <c r="CK16" s="33"/>
      <c r="CL16" s="33">
        <v>0.8</v>
      </c>
      <c r="CM16" s="100"/>
      <c r="CN16" s="101"/>
      <c r="CP16" s="35"/>
      <c r="CQ16" s="33">
        <v>0.8</v>
      </c>
      <c r="CR16" s="33"/>
      <c r="CS16" s="33">
        <v>0.8</v>
      </c>
      <c r="CT16" s="100"/>
      <c r="CU16" s="101"/>
      <c r="CW16" s="35"/>
      <c r="CX16" s="33">
        <v>0.8</v>
      </c>
      <c r="CY16" s="33"/>
      <c r="CZ16" s="33">
        <v>0.8</v>
      </c>
      <c r="DA16" s="100"/>
      <c r="DB16" s="101"/>
      <c r="DD16" s="35"/>
      <c r="DE16" s="33">
        <v>0.8</v>
      </c>
      <c r="DF16" s="33"/>
      <c r="DG16" s="33">
        <v>0.8</v>
      </c>
      <c r="DH16" s="100"/>
      <c r="DI16" s="101"/>
      <c r="DK16" s="35"/>
      <c r="DL16" s="33">
        <v>1</v>
      </c>
      <c r="DM16" s="33"/>
      <c r="DN16" s="33">
        <v>1</v>
      </c>
      <c r="DO16" s="100"/>
      <c r="DP16" s="101"/>
      <c r="DR16" s="35"/>
      <c r="DS16" s="33">
        <v>1</v>
      </c>
      <c r="DT16" s="33"/>
      <c r="DU16" s="33">
        <v>1</v>
      </c>
      <c r="DV16" s="100"/>
      <c r="DW16" s="101"/>
      <c r="DY16" s="35"/>
      <c r="DZ16" s="33">
        <v>1</v>
      </c>
      <c r="EA16" s="33"/>
      <c r="EB16" s="33">
        <v>1</v>
      </c>
      <c r="EC16" s="100"/>
      <c r="ED16" s="101"/>
      <c r="EF16" s="35"/>
      <c r="EG16" s="33">
        <v>1</v>
      </c>
      <c r="EH16" s="33"/>
      <c r="EI16" s="33">
        <v>1</v>
      </c>
      <c r="EJ16" s="100"/>
      <c r="EK16" s="101"/>
    </row>
    <row r="17" spans="2:141" outlineLevel="1" x14ac:dyDescent="0.2">
      <c r="B17" s="12" t="s">
        <v>69</v>
      </c>
      <c r="C17" s="119" t="s">
        <v>80</v>
      </c>
      <c r="D17" s="119"/>
      <c r="E17" s="119"/>
      <c r="F17" s="119"/>
      <c r="G17" s="120"/>
      <c r="H17" s="121">
        <v>0.1</v>
      </c>
      <c r="I17" s="122"/>
      <c r="J17" s="98" cm="1">
        <f t="array" ref="J17">MAX(IF(Q4:EK4=J4,Q17:EK17))</f>
        <v>0</v>
      </c>
      <c r="K17" s="98"/>
      <c r="L17" s="98" cm="1">
        <f t="array" ref="L17">MAX(IF(Q4:EK4=L4,Q17:EK17))</f>
        <v>0</v>
      </c>
      <c r="M17" s="98"/>
      <c r="N17" s="98"/>
      <c r="O17" s="99"/>
      <c r="Q17" s="36"/>
      <c r="R17" s="34"/>
      <c r="S17" s="34"/>
      <c r="T17" s="34"/>
      <c r="U17" s="98"/>
      <c r="V17" s="99"/>
      <c r="X17" s="36"/>
      <c r="Y17" s="34"/>
      <c r="Z17" s="34"/>
      <c r="AA17" s="34"/>
      <c r="AB17" s="98"/>
      <c r="AC17" s="99"/>
      <c r="AE17" s="36"/>
      <c r="AF17" s="34"/>
      <c r="AG17" s="34"/>
      <c r="AH17" s="34"/>
      <c r="AI17" s="98"/>
      <c r="AJ17" s="99"/>
      <c r="AL17" s="36"/>
      <c r="AM17" s="34"/>
      <c r="AN17" s="34"/>
      <c r="AO17" s="34"/>
      <c r="AP17" s="98"/>
      <c r="AQ17" s="99"/>
      <c r="AS17" s="36"/>
      <c r="AT17" s="34"/>
      <c r="AU17" s="34"/>
      <c r="AV17" s="34"/>
      <c r="AW17" s="98"/>
      <c r="AX17" s="99"/>
      <c r="AZ17" s="36"/>
      <c r="BA17" s="34"/>
      <c r="BB17" s="34"/>
      <c r="BC17" s="34"/>
      <c r="BD17" s="98"/>
      <c r="BE17" s="99"/>
      <c r="BG17" s="36"/>
      <c r="BH17" s="34">
        <v>0.5</v>
      </c>
      <c r="BI17" s="34"/>
      <c r="BJ17" s="34">
        <v>0.5</v>
      </c>
      <c r="BK17" s="98"/>
      <c r="BL17" s="99"/>
      <c r="BN17" s="36"/>
      <c r="BO17" s="34">
        <v>0.5</v>
      </c>
      <c r="BP17" s="34"/>
      <c r="BQ17" s="34">
        <v>0.5</v>
      </c>
      <c r="BR17" s="98"/>
      <c r="BS17" s="99"/>
      <c r="BU17" s="36"/>
      <c r="BV17" s="34">
        <v>0.5</v>
      </c>
      <c r="BW17" s="34"/>
      <c r="BX17" s="34">
        <v>0.5</v>
      </c>
      <c r="BY17" s="98"/>
      <c r="BZ17" s="99"/>
      <c r="CB17" s="36"/>
      <c r="CC17" s="34">
        <v>0.5</v>
      </c>
      <c r="CD17" s="34"/>
      <c r="CE17" s="34">
        <v>0.5</v>
      </c>
      <c r="CF17" s="98"/>
      <c r="CG17" s="99"/>
      <c r="CI17" s="36"/>
      <c r="CJ17" s="34">
        <v>0.5</v>
      </c>
      <c r="CK17" s="34"/>
      <c r="CL17" s="34">
        <v>0.5</v>
      </c>
      <c r="CM17" s="98"/>
      <c r="CN17" s="99"/>
      <c r="CP17" s="36"/>
      <c r="CQ17" s="34">
        <v>0.5</v>
      </c>
      <c r="CR17" s="34"/>
      <c r="CS17" s="34">
        <v>0.5</v>
      </c>
      <c r="CT17" s="98"/>
      <c r="CU17" s="99"/>
      <c r="CW17" s="36"/>
      <c r="CX17" s="34">
        <v>0.5</v>
      </c>
      <c r="CY17" s="34"/>
      <c r="CZ17" s="34">
        <v>0.5</v>
      </c>
      <c r="DA17" s="98"/>
      <c r="DB17" s="99"/>
      <c r="DD17" s="36"/>
      <c r="DE17" s="34">
        <v>0.8</v>
      </c>
      <c r="DF17" s="34"/>
      <c r="DG17" s="34">
        <v>0.8</v>
      </c>
      <c r="DH17" s="98"/>
      <c r="DI17" s="99"/>
      <c r="DK17" s="36"/>
      <c r="DL17" s="34">
        <v>0.8</v>
      </c>
      <c r="DM17" s="34"/>
      <c r="DN17" s="34">
        <v>0.8</v>
      </c>
      <c r="DO17" s="98"/>
      <c r="DP17" s="99"/>
      <c r="DR17" s="36"/>
      <c r="DS17" s="34">
        <v>1</v>
      </c>
      <c r="DT17" s="34"/>
      <c r="DU17" s="34">
        <v>1</v>
      </c>
      <c r="DV17" s="98"/>
      <c r="DW17" s="99"/>
      <c r="DY17" s="36"/>
      <c r="DZ17" s="34">
        <v>1</v>
      </c>
      <c r="EA17" s="34"/>
      <c r="EB17" s="34">
        <v>1</v>
      </c>
      <c r="EC17" s="98"/>
      <c r="ED17" s="99"/>
      <c r="EF17" s="36"/>
      <c r="EG17" s="34">
        <v>1</v>
      </c>
      <c r="EH17" s="34"/>
      <c r="EI17" s="34">
        <v>1</v>
      </c>
      <c r="EJ17" s="98"/>
      <c r="EK17" s="99"/>
    </row>
    <row r="19" spans="2:141" x14ac:dyDescent="0.2">
      <c r="B19" s="39" t="s">
        <v>100</v>
      </c>
      <c r="C19" s="135">
        <v>10</v>
      </c>
      <c r="D19" s="135"/>
      <c r="E19" s="135"/>
      <c r="F19" s="135"/>
      <c r="G19" s="136"/>
      <c r="H19" s="125">
        <f>+SUM(H20:H31)</f>
        <v>1</v>
      </c>
      <c r="I19" s="126"/>
      <c r="J19" s="106">
        <f>+SUMPRODUCT(H20:I31,J20:K31)</f>
        <v>0</v>
      </c>
      <c r="K19" s="104"/>
      <c r="L19" s="104">
        <f>+SUMPRODUCT(H20:I31,L20:M31)</f>
        <v>0</v>
      </c>
      <c r="M19" s="104"/>
      <c r="N19" s="104"/>
      <c r="O19" s="105"/>
      <c r="Q19" s="37"/>
      <c r="R19" s="38"/>
      <c r="S19" s="38"/>
      <c r="T19" s="38"/>
      <c r="U19" s="104"/>
      <c r="V19" s="105"/>
      <c r="X19" s="37"/>
      <c r="Y19" s="38"/>
      <c r="Z19" s="38"/>
      <c r="AA19" s="38"/>
      <c r="AB19" s="104"/>
      <c r="AC19" s="105"/>
      <c r="AE19" s="37"/>
      <c r="AF19" s="38"/>
      <c r="AG19" s="38"/>
      <c r="AH19" s="38"/>
      <c r="AI19" s="104"/>
      <c r="AJ19" s="105"/>
      <c r="AL19" s="37"/>
      <c r="AM19" s="38"/>
      <c r="AN19" s="38"/>
      <c r="AO19" s="38"/>
      <c r="AP19" s="104"/>
      <c r="AQ19" s="105"/>
      <c r="AS19" s="37"/>
      <c r="AT19" s="38"/>
      <c r="AU19" s="38"/>
      <c r="AV19" s="38"/>
      <c r="AW19" s="104"/>
      <c r="AX19" s="105"/>
      <c r="AZ19" s="37"/>
      <c r="BA19" s="38"/>
      <c r="BB19" s="38"/>
      <c r="BC19" s="38"/>
      <c r="BD19" s="104"/>
      <c r="BE19" s="105"/>
      <c r="BG19" s="37"/>
      <c r="BH19" s="38"/>
      <c r="BI19" s="38"/>
      <c r="BJ19" s="38"/>
      <c r="BK19" s="104"/>
      <c r="BL19" s="105"/>
      <c r="BN19" s="37"/>
      <c r="BO19" s="38"/>
      <c r="BP19" s="38"/>
      <c r="BQ19" s="38"/>
      <c r="BR19" s="104"/>
      <c r="BS19" s="105"/>
      <c r="BU19" s="37"/>
      <c r="BV19" s="38"/>
      <c r="BW19" s="38"/>
      <c r="BX19" s="38"/>
      <c r="BY19" s="104"/>
      <c r="BZ19" s="105"/>
      <c r="CB19" s="37"/>
      <c r="CC19" s="38"/>
      <c r="CD19" s="38"/>
      <c r="CE19" s="38"/>
      <c r="CF19" s="104"/>
      <c r="CG19" s="105"/>
      <c r="CI19" s="37"/>
      <c r="CJ19" s="38"/>
      <c r="CK19" s="38"/>
      <c r="CL19" s="38"/>
      <c r="CM19" s="104"/>
      <c r="CN19" s="105"/>
      <c r="CP19" s="37"/>
      <c r="CQ19" s="38"/>
      <c r="CR19" s="38"/>
      <c r="CS19" s="38"/>
      <c r="CT19" s="104"/>
      <c r="CU19" s="105"/>
      <c r="CW19" s="37"/>
      <c r="CX19" s="38"/>
      <c r="CY19" s="38"/>
      <c r="CZ19" s="38"/>
      <c r="DA19" s="104"/>
      <c r="DB19" s="105"/>
      <c r="DD19" s="37"/>
      <c r="DE19" s="38"/>
      <c r="DF19" s="38"/>
      <c r="DG19" s="38"/>
      <c r="DH19" s="104"/>
      <c r="DI19" s="105"/>
      <c r="DK19" s="37"/>
      <c r="DL19" s="38"/>
      <c r="DM19" s="38"/>
      <c r="DN19" s="38"/>
      <c r="DO19" s="104"/>
      <c r="DP19" s="105"/>
      <c r="DR19" s="37"/>
      <c r="DS19" s="38"/>
      <c r="DT19" s="38"/>
      <c r="DU19" s="38"/>
      <c r="DV19" s="104"/>
      <c r="DW19" s="105"/>
      <c r="DY19" s="37"/>
      <c r="DZ19" s="38"/>
      <c r="EA19" s="38"/>
      <c r="EB19" s="38"/>
      <c r="EC19" s="104"/>
      <c r="ED19" s="105"/>
      <c r="EF19" s="37"/>
      <c r="EG19" s="38"/>
      <c r="EH19" s="38"/>
      <c r="EI19" s="38"/>
      <c r="EJ19" s="104"/>
      <c r="EK19" s="105"/>
    </row>
    <row r="20" spans="2:141" outlineLevel="1" x14ac:dyDescent="0.2">
      <c r="B20" s="10" t="s">
        <v>81</v>
      </c>
      <c r="C20" s="115" t="s">
        <v>103</v>
      </c>
      <c r="D20" s="115"/>
      <c r="E20" s="115"/>
      <c r="F20" s="115"/>
      <c r="G20" s="116"/>
      <c r="H20" s="123">
        <v>0.1</v>
      </c>
      <c r="I20" s="128"/>
      <c r="J20" s="103" cm="1">
        <f t="array" ref="J20">MAX(IF(Q4:EK4=J4,Q20:EK20))</f>
        <v>0</v>
      </c>
      <c r="K20" s="100"/>
      <c r="L20" s="100" cm="1">
        <f t="array" ref="L20">MAX(IF(Q4:EK4=L4,Q20:EK20))</f>
        <v>0</v>
      </c>
      <c r="M20" s="100"/>
      <c r="N20" s="100"/>
      <c r="O20" s="101"/>
      <c r="Q20" s="35"/>
      <c r="R20" s="33">
        <v>0.5</v>
      </c>
      <c r="S20" s="33"/>
      <c r="T20" s="33">
        <v>0.5</v>
      </c>
      <c r="U20" s="100"/>
      <c r="V20" s="101"/>
      <c r="X20" s="35"/>
      <c r="Y20" s="33">
        <v>0.8</v>
      </c>
      <c r="Z20" s="33"/>
      <c r="AA20" s="33">
        <v>0.8</v>
      </c>
      <c r="AB20" s="100"/>
      <c r="AC20" s="101"/>
      <c r="AE20" s="35"/>
      <c r="AF20" s="33">
        <v>0.8</v>
      </c>
      <c r="AG20" s="33"/>
      <c r="AH20" s="33">
        <v>0.8</v>
      </c>
      <c r="AI20" s="100"/>
      <c r="AJ20" s="101"/>
      <c r="AL20" s="35"/>
      <c r="AM20" s="33">
        <v>0.8</v>
      </c>
      <c r="AN20" s="33"/>
      <c r="AO20" s="33">
        <v>0.8</v>
      </c>
      <c r="AP20" s="100"/>
      <c r="AQ20" s="101"/>
      <c r="AS20" s="35"/>
      <c r="AT20" s="33">
        <v>0.8</v>
      </c>
      <c r="AU20" s="33"/>
      <c r="AV20" s="33">
        <v>0.8</v>
      </c>
      <c r="AW20" s="100"/>
      <c r="AX20" s="101"/>
      <c r="AZ20" s="35"/>
      <c r="BA20" s="33">
        <v>0.8</v>
      </c>
      <c r="BB20" s="33"/>
      <c r="BC20" s="33">
        <v>0.8</v>
      </c>
      <c r="BD20" s="100"/>
      <c r="BE20" s="101"/>
      <c r="BG20" s="35"/>
      <c r="BH20" s="33">
        <v>1</v>
      </c>
      <c r="BI20" s="33"/>
      <c r="BJ20" s="33">
        <v>1</v>
      </c>
      <c r="BK20" s="100"/>
      <c r="BL20" s="101"/>
      <c r="BN20" s="35"/>
      <c r="BO20" s="33">
        <v>1</v>
      </c>
      <c r="BP20" s="33"/>
      <c r="BQ20" s="33">
        <v>1</v>
      </c>
      <c r="BR20" s="100"/>
      <c r="BS20" s="101"/>
      <c r="BU20" s="35"/>
      <c r="BV20" s="33">
        <v>1</v>
      </c>
      <c r="BW20" s="33"/>
      <c r="BX20" s="33">
        <v>1</v>
      </c>
      <c r="BY20" s="100"/>
      <c r="BZ20" s="101"/>
      <c r="CB20" s="35"/>
      <c r="CC20" s="33">
        <v>1</v>
      </c>
      <c r="CD20" s="33"/>
      <c r="CE20" s="33">
        <v>1</v>
      </c>
      <c r="CF20" s="107"/>
      <c r="CG20" s="108"/>
      <c r="CI20" s="35"/>
      <c r="CJ20" s="33">
        <v>1</v>
      </c>
      <c r="CK20" s="33"/>
      <c r="CL20" s="33">
        <v>1</v>
      </c>
      <c r="CM20" s="107"/>
      <c r="CN20" s="108"/>
      <c r="CP20" s="35"/>
      <c r="CQ20" s="33">
        <v>1</v>
      </c>
      <c r="CR20" s="33"/>
      <c r="CS20" s="33">
        <v>1</v>
      </c>
      <c r="CT20" s="100"/>
      <c r="CU20" s="101"/>
      <c r="CW20" s="35"/>
      <c r="CX20" s="33">
        <v>1</v>
      </c>
      <c r="CY20" s="33"/>
      <c r="CZ20" s="33">
        <v>1</v>
      </c>
      <c r="DA20" s="100"/>
      <c r="DB20" s="101"/>
      <c r="DD20" s="35"/>
      <c r="DE20" s="33">
        <v>1</v>
      </c>
      <c r="DF20" s="33"/>
      <c r="DG20" s="33">
        <v>1</v>
      </c>
      <c r="DH20" s="100"/>
      <c r="DI20" s="101"/>
      <c r="DK20" s="35"/>
      <c r="DL20" s="33">
        <v>1</v>
      </c>
      <c r="DM20" s="33"/>
      <c r="DN20" s="33">
        <v>1</v>
      </c>
      <c r="DO20" s="100"/>
      <c r="DP20" s="101"/>
      <c r="DR20" s="35"/>
      <c r="DS20" s="33">
        <v>1</v>
      </c>
      <c r="DT20" s="33"/>
      <c r="DU20" s="33">
        <v>1</v>
      </c>
      <c r="DV20" s="100"/>
      <c r="DW20" s="101"/>
      <c r="DY20" s="35"/>
      <c r="DZ20" s="33">
        <v>1</v>
      </c>
      <c r="EA20" s="33"/>
      <c r="EB20" s="33">
        <v>1</v>
      </c>
      <c r="EC20" s="100"/>
      <c r="ED20" s="101"/>
      <c r="EF20" s="35"/>
      <c r="EG20" s="33">
        <v>1</v>
      </c>
      <c r="EH20" s="33"/>
      <c r="EI20" s="33">
        <v>1</v>
      </c>
      <c r="EJ20" s="100"/>
      <c r="EK20" s="101"/>
    </row>
    <row r="21" spans="2:141" outlineLevel="1" x14ac:dyDescent="0.2">
      <c r="B21" s="10" t="s">
        <v>81</v>
      </c>
      <c r="C21" s="115" t="s">
        <v>104</v>
      </c>
      <c r="D21" s="115"/>
      <c r="E21" s="115"/>
      <c r="F21" s="115"/>
      <c r="G21" s="116"/>
      <c r="H21" s="123">
        <v>0.1</v>
      </c>
      <c r="I21" s="128"/>
      <c r="J21" s="103" cm="1">
        <f t="array" ref="J21">MAX(IF(Q4:EK4=J4,Q21:EK21))</f>
        <v>0</v>
      </c>
      <c r="K21" s="100"/>
      <c r="L21" s="100" cm="1">
        <f t="array" ref="L21">MAX(IF(Q4:EK4=L4,Q21:EK21))</f>
        <v>0</v>
      </c>
      <c r="M21" s="100"/>
      <c r="N21" s="100"/>
      <c r="O21" s="101"/>
      <c r="Q21" s="35"/>
      <c r="R21" s="33">
        <v>0.5</v>
      </c>
      <c r="S21" s="33"/>
      <c r="T21" s="33">
        <v>0.5</v>
      </c>
      <c r="U21" s="100"/>
      <c r="V21" s="101"/>
      <c r="X21" s="35"/>
      <c r="Y21" s="33">
        <v>0.5</v>
      </c>
      <c r="Z21" s="33"/>
      <c r="AA21" s="33">
        <v>0.5</v>
      </c>
      <c r="AB21" s="100"/>
      <c r="AC21" s="101"/>
      <c r="AE21" s="35"/>
      <c r="AF21" s="33">
        <v>0.8</v>
      </c>
      <c r="AG21" s="33"/>
      <c r="AH21" s="33">
        <v>0.8</v>
      </c>
      <c r="AI21" s="100"/>
      <c r="AJ21" s="101"/>
      <c r="AL21" s="35"/>
      <c r="AM21" s="33">
        <v>0.8</v>
      </c>
      <c r="AN21" s="33"/>
      <c r="AO21" s="33">
        <v>0.8</v>
      </c>
      <c r="AP21" s="100"/>
      <c r="AQ21" s="101"/>
      <c r="AS21" s="35"/>
      <c r="AT21" s="33">
        <v>0.8</v>
      </c>
      <c r="AU21" s="33"/>
      <c r="AV21" s="33">
        <v>0.8</v>
      </c>
      <c r="AW21" s="100"/>
      <c r="AX21" s="101"/>
      <c r="AZ21" s="35"/>
      <c r="BA21" s="33">
        <v>0.8</v>
      </c>
      <c r="BB21" s="33"/>
      <c r="BC21" s="33">
        <v>0.8</v>
      </c>
      <c r="BD21" s="100"/>
      <c r="BE21" s="101"/>
      <c r="BG21" s="35"/>
      <c r="BH21" s="33">
        <v>0.8</v>
      </c>
      <c r="BI21" s="33"/>
      <c r="BJ21" s="33">
        <v>0.8</v>
      </c>
      <c r="BK21" s="100"/>
      <c r="BL21" s="101"/>
      <c r="BN21" s="35"/>
      <c r="BO21" s="33">
        <v>1</v>
      </c>
      <c r="BP21" s="33"/>
      <c r="BQ21" s="33">
        <v>1</v>
      </c>
      <c r="BR21" s="100"/>
      <c r="BS21" s="101"/>
      <c r="BU21" s="35"/>
      <c r="BV21" s="33">
        <v>1</v>
      </c>
      <c r="BW21" s="33"/>
      <c r="BX21" s="33">
        <v>1</v>
      </c>
      <c r="BY21" s="100"/>
      <c r="BZ21" s="101"/>
      <c r="CB21" s="35"/>
      <c r="CC21" s="33">
        <v>1</v>
      </c>
      <c r="CD21" s="33"/>
      <c r="CE21" s="33">
        <v>1</v>
      </c>
      <c r="CF21" s="100"/>
      <c r="CG21" s="101"/>
      <c r="CI21" s="35"/>
      <c r="CJ21" s="33">
        <v>1</v>
      </c>
      <c r="CK21" s="33"/>
      <c r="CL21" s="33">
        <v>1</v>
      </c>
      <c r="CM21" s="100"/>
      <c r="CN21" s="101"/>
      <c r="CP21" s="35"/>
      <c r="CQ21" s="33">
        <v>1</v>
      </c>
      <c r="CR21" s="33"/>
      <c r="CS21" s="33">
        <v>1</v>
      </c>
      <c r="CT21" s="100"/>
      <c r="CU21" s="101"/>
      <c r="CW21" s="35"/>
      <c r="CX21" s="33">
        <v>1</v>
      </c>
      <c r="CY21" s="33"/>
      <c r="CZ21" s="33">
        <v>1</v>
      </c>
      <c r="DA21" s="100"/>
      <c r="DB21" s="101"/>
      <c r="DD21" s="35"/>
      <c r="DE21" s="33">
        <v>1</v>
      </c>
      <c r="DF21" s="33"/>
      <c r="DG21" s="33">
        <v>1</v>
      </c>
      <c r="DH21" s="100"/>
      <c r="DI21" s="101"/>
      <c r="DK21" s="35"/>
      <c r="DL21" s="33">
        <v>1</v>
      </c>
      <c r="DM21" s="33"/>
      <c r="DN21" s="33">
        <v>1</v>
      </c>
      <c r="DO21" s="100"/>
      <c r="DP21" s="101"/>
      <c r="DR21" s="35"/>
      <c r="DS21" s="33">
        <v>1</v>
      </c>
      <c r="DT21" s="33"/>
      <c r="DU21" s="33">
        <v>1</v>
      </c>
      <c r="DV21" s="100"/>
      <c r="DW21" s="101"/>
      <c r="DY21" s="35"/>
      <c r="DZ21" s="33">
        <v>1</v>
      </c>
      <c r="EA21" s="33"/>
      <c r="EB21" s="33">
        <v>1</v>
      </c>
      <c r="EC21" s="100"/>
      <c r="ED21" s="101"/>
      <c r="EF21" s="35"/>
      <c r="EG21" s="33">
        <v>1</v>
      </c>
      <c r="EH21" s="33"/>
      <c r="EI21" s="33">
        <v>1</v>
      </c>
      <c r="EJ21" s="100"/>
      <c r="EK21" s="101"/>
    </row>
    <row r="22" spans="2:141" outlineLevel="1" x14ac:dyDescent="0.2">
      <c r="B22" s="10" t="s">
        <v>81</v>
      </c>
      <c r="C22" s="115" t="s">
        <v>82</v>
      </c>
      <c r="D22" s="115"/>
      <c r="E22" s="115"/>
      <c r="F22" s="115"/>
      <c r="G22" s="116"/>
      <c r="H22" s="123">
        <v>0.1</v>
      </c>
      <c r="I22" s="128"/>
      <c r="J22" s="103" cm="1">
        <f t="array" ref="J22">MAX(IF(Q4:EK4=J4,Q22:EK22))</f>
        <v>0</v>
      </c>
      <c r="K22" s="100"/>
      <c r="L22" s="100" cm="1">
        <f t="array" ref="L22">MAX(IF(Q4:EK4=L4,Q22:EK22))</f>
        <v>0</v>
      </c>
      <c r="M22" s="100"/>
      <c r="N22" s="100"/>
      <c r="O22" s="101"/>
      <c r="Q22" s="35"/>
      <c r="R22" s="33"/>
      <c r="S22" s="33"/>
      <c r="T22" s="33"/>
      <c r="U22" s="100"/>
      <c r="V22" s="101"/>
      <c r="W22">
        <v>2</v>
      </c>
      <c r="X22" s="35"/>
      <c r="Y22" s="33">
        <v>0.5</v>
      </c>
      <c r="Z22" s="33"/>
      <c r="AA22" s="33">
        <v>0.5</v>
      </c>
      <c r="AB22" s="100"/>
      <c r="AC22" s="101"/>
      <c r="AE22" s="35"/>
      <c r="AF22" s="33">
        <v>0.5</v>
      </c>
      <c r="AG22" s="33"/>
      <c r="AH22" s="33">
        <v>0.5</v>
      </c>
      <c r="AI22" s="100"/>
      <c r="AJ22" s="101"/>
      <c r="AL22" s="35"/>
      <c r="AM22" s="33">
        <v>0.8</v>
      </c>
      <c r="AN22" s="33"/>
      <c r="AO22" s="33">
        <v>0.8</v>
      </c>
      <c r="AP22" s="100"/>
      <c r="AQ22" s="101"/>
      <c r="AS22" s="35"/>
      <c r="AT22" s="33">
        <v>0.8</v>
      </c>
      <c r="AU22" s="33"/>
      <c r="AV22" s="33">
        <v>0.8</v>
      </c>
      <c r="AW22" s="100"/>
      <c r="AX22" s="101"/>
      <c r="AZ22" s="35"/>
      <c r="BA22" s="33">
        <v>0.8</v>
      </c>
      <c r="BB22" s="33"/>
      <c r="BC22" s="33">
        <v>0.8</v>
      </c>
      <c r="BD22" s="100"/>
      <c r="BE22" s="101"/>
      <c r="BG22" s="35"/>
      <c r="BH22" s="33">
        <v>0.8</v>
      </c>
      <c r="BI22" s="33"/>
      <c r="BJ22" s="33">
        <v>0.8</v>
      </c>
      <c r="BK22" s="100"/>
      <c r="BL22" s="101"/>
      <c r="BN22" s="35"/>
      <c r="BO22" s="33">
        <v>0.8</v>
      </c>
      <c r="BP22" s="33"/>
      <c r="BQ22" s="33">
        <v>0.8</v>
      </c>
      <c r="BR22" s="100"/>
      <c r="BS22" s="101"/>
      <c r="BU22" s="35"/>
      <c r="BV22" s="33">
        <v>0.8</v>
      </c>
      <c r="BW22" s="33"/>
      <c r="BX22" s="33">
        <v>0.8</v>
      </c>
      <c r="BY22" s="100"/>
      <c r="BZ22" s="101"/>
      <c r="CB22" s="35"/>
      <c r="CC22" s="33">
        <v>1</v>
      </c>
      <c r="CD22" s="33"/>
      <c r="CE22" s="33">
        <v>1</v>
      </c>
      <c r="CF22" s="100"/>
      <c r="CG22" s="101"/>
      <c r="CI22" s="35"/>
      <c r="CJ22" s="33">
        <v>1</v>
      </c>
      <c r="CK22" s="33"/>
      <c r="CL22" s="33">
        <v>1</v>
      </c>
      <c r="CM22" s="100"/>
      <c r="CN22" s="101"/>
      <c r="CP22" s="35"/>
      <c r="CQ22" s="33">
        <v>1</v>
      </c>
      <c r="CR22" s="33"/>
      <c r="CS22" s="33">
        <v>1</v>
      </c>
      <c r="CT22" s="100"/>
      <c r="CU22" s="101"/>
      <c r="CW22" s="35"/>
      <c r="CX22" s="33">
        <v>1</v>
      </c>
      <c r="CY22" s="33"/>
      <c r="CZ22" s="33">
        <v>1</v>
      </c>
      <c r="DA22" s="100"/>
      <c r="DB22" s="101"/>
      <c r="DD22" s="35"/>
      <c r="DE22" s="33">
        <v>1</v>
      </c>
      <c r="DF22" s="33"/>
      <c r="DG22" s="33">
        <v>1</v>
      </c>
      <c r="DH22" s="100"/>
      <c r="DI22" s="101"/>
      <c r="DK22" s="35"/>
      <c r="DL22" s="33">
        <v>1</v>
      </c>
      <c r="DM22" s="33"/>
      <c r="DN22" s="33">
        <v>1</v>
      </c>
      <c r="DO22" s="100"/>
      <c r="DP22" s="101"/>
      <c r="DR22" s="35"/>
      <c r="DS22" s="33">
        <v>1</v>
      </c>
      <c r="DT22" s="33"/>
      <c r="DU22" s="33">
        <v>1</v>
      </c>
      <c r="DV22" s="100"/>
      <c r="DW22" s="101"/>
      <c r="DY22" s="35"/>
      <c r="DZ22" s="33">
        <v>1</v>
      </c>
      <c r="EA22" s="33"/>
      <c r="EB22" s="33">
        <v>1</v>
      </c>
      <c r="EC22" s="100"/>
      <c r="ED22" s="101"/>
      <c r="EF22" s="35"/>
      <c r="EG22" s="33">
        <v>1</v>
      </c>
      <c r="EH22" s="33"/>
      <c r="EI22" s="33">
        <v>1</v>
      </c>
      <c r="EJ22" s="100"/>
      <c r="EK22" s="101"/>
    </row>
    <row r="23" spans="2:141" outlineLevel="1" x14ac:dyDescent="0.2">
      <c r="B23" s="10" t="s">
        <v>81</v>
      </c>
      <c r="C23" s="115" t="s">
        <v>83</v>
      </c>
      <c r="D23" s="115"/>
      <c r="E23" s="115"/>
      <c r="F23" s="115"/>
      <c r="G23" s="116"/>
      <c r="H23" s="123">
        <v>0.1</v>
      </c>
      <c r="I23" s="128"/>
      <c r="J23" s="103" cm="1">
        <f t="array" ref="J23">MAX(IF(Q4:EK4=J4,Q23:EK23))</f>
        <v>0</v>
      </c>
      <c r="K23" s="100"/>
      <c r="L23" s="100" cm="1">
        <f t="array" ref="L23">MAX(IF(Q4:EK4=L4,Q23:EK23))</f>
        <v>0</v>
      </c>
      <c r="M23" s="100"/>
      <c r="N23" s="100"/>
      <c r="O23" s="101"/>
      <c r="Q23" s="35"/>
      <c r="R23" s="33"/>
      <c r="S23" s="33"/>
      <c r="T23" s="33"/>
      <c r="U23" s="100"/>
      <c r="V23" s="101"/>
      <c r="X23" s="35"/>
      <c r="Y23" s="33">
        <v>0.5</v>
      </c>
      <c r="Z23" s="33"/>
      <c r="AA23" s="33">
        <v>0.5</v>
      </c>
      <c r="AB23" s="100"/>
      <c r="AC23" s="101"/>
      <c r="AE23" s="35"/>
      <c r="AF23" s="33">
        <v>0.5</v>
      </c>
      <c r="AG23" s="33"/>
      <c r="AH23" s="33">
        <v>0.5</v>
      </c>
      <c r="AI23" s="100"/>
      <c r="AJ23" s="101"/>
      <c r="AL23" s="35"/>
      <c r="AM23" s="33">
        <v>0.5</v>
      </c>
      <c r="AN23" s="33"/>
      <c r="AO23" s="33">
        <v>0.5</v>
      </c>
      <c r="AP23" s="100"/>
      <c r="AQ23" s="101"/>
      <c r="AS23" s="35"/>
      <c r="AT23" s="33">
        <v>0.8</v>
      </c>
      <c r="AU23" s="33"/>
      <c r="AV23" s="33">
        <v>0.8</v>
      </c>
      <c r="AW23" s="100"/>
      <c r="AX23" s="101"/>
      <c r="AZ23" s="35"/>
      <c r="BA23" s="33">
        <v>0.8</v>
      </c>
      <c r="BB23" s="33"/>
      <c r="BC23" s="33">
        <v>0.8</v>
      </c>
      <c r="BD23" s="100"/>
      <c r="BE23" s="101"/>
      <c r="BG23" s="35"/>
      <c r="BH23" s="33">
        <v>0.8</v>
      </c>
      <c r="BI23" s="33"/>
      <c r="BJ23" s="33">
        <v>0.8</v>
      </c>
      <c r="BK23" s="100"/>
      <c r="BL23" s="101"/>
      <c r="BN23" s="35"/>
      <c r="BO23" s="33">
        <v>0.8</v>
      </c>
      <c r="BP23" s="33"/>
      <c r="BQ23" s="33">
        <v>0.8</v>
      </c>
      <c r="BR23" s="100"/>
      <c r="BS23" s="101"/>
      <c r="BU23" s="35"/>
      <c r="BV23" s="33">
        <v>0.8</v>
      </c>
      <c r="BW23" s="33"/>
      <c r="BX23" s="33">
        <v>0.8</v>
      </c>
      <c r="BY23" s="100"/>
      <c r="BZ23" s="101"/>
      <c r="CB23" s="35"/>
      <c r="CC23" s="33">
        <v>0.8</v>
      </c>
      <c r="CD23" s="33"/>
      <c r="CE23" s="33">
        <v>0.8</v>
      </c>
      <c r="CF23" s="100"/>
      <c r="CG23" s="101"/>
      <c r="CI23" s="35"/>
      <c r="CJ23" s="33">
        <v>0.8</v>
      </c>
      <c r="CK23" s="33"/>
      <c r="CL23" s="33">
        <v>0.8</v>
      </c>
      <c r="CM23" s="100"/>
      <c r="CN23" s="101"/>
      <c r="CP23" s="35"/>
      <c r="CQ23" s="33">
        <v>1</v>
      </c>
      <c r="CR23" s="33"/>
      <c r="CS23" s="33">
        <v>1</v>
      </c>
      <c r="CT23" s="100"/>
      <c r="CU23" s="101"/>
      <c r="CV23">
        <v>2</v>
      </c>
      <c r="CW23" s="35"/>
      <c r="CX23" s="33">
        <v>1</v>
      </c>
      <c r="CY23" s="33"/>
      <c r="CZ23" s="33">
        <v>1</v>
      </c>
      <c r="DA23" s="100"/>
      <c r="DB23" s="101"/>
      <c r="DD23" s="35"/>
      <c r="DE23" s="33">
        <v>1</v>
      </c>
      <c r="DF23" s="33"/>
      <c r="DG23" s="33">
        <v>1</v>
      </c>
      <c r="DH23" s="100"/>
      <c r="DI23" s="101"/>
      <c r="DK23" s="35"/>
      <c r="DL23" s="33">
        <v>1</v>
      </c>
      <c r="DM23" s="33"/>
      <c r="DN23" s="33">
        <v>1</v>
      </c>
      <c r="DO23" s="100"/>
      <c r="DP23" s="101"/>
      <c r="DR23" s="35"/>
      <c r="DS23" s="33">
        <v>1</v>
      </c>
      <c r="DT23" s="33"/>
      <c r="DU23" s="33">
        <v>1</v>
      </c>
      <c r="DV23" s="100"/>
      <c r="DW23" s="101"/>
      <c r="DY23" s="35"/>
      <c r="DZ23" s="33">
        <v>1</v>
      </c>
      <c r="EA23" s="33"/>
      <c r="EB23" s="33">
        <v>1</v>
      </c>
      <c r="EC23" s="100"/>
      <c r="ED23" s="101"/>
      <c r="EF23" s="35"/>
      <c r="EG23" s="33">
        <v>1</v>
      </c>
      <c r="EH23" s="33"/>
      <c r="EI23" s="33">
        <v>1</v>
      </c>
      <c r="EJ23" s="100"/>
      <c r="EK23" s="101"/>
    </row>
    <row r="24" spans="2:141" outlineLevel="1" x14ac:dyDescent="0.2">
      <c r="B24" s="10" t="s">
        <v>81</v>
      </c>
      <c r="C24" s="115" t="s">
        <v>84</v>
      </c>
      <c r="D24" s="115"/>
      <c r="E24" s="115"/>
      <c r="F24" s="115"/>
      <c r="G24" s="116"/>
      <c r="H24" s="123">
        <v>0.05</v>
      </c>
      <c r="I24" s="128"/>
      <c r="J24" s="103" cm="1">
        <f t="array" ref="J24">MAX(IF(Q4:EK4=J4,Q24:EK24))</f>
        <v>0</v>
      </c>
      <c r="K24" s="100"/>
      <c r="L24" s="100" cm="1">
        <f t="array" ref="L24">MAX(IF(Q4:EK4=L4,Q24:EK24))</f>
        <v>0</v>
      </c>
      <c r="M24" s="100"/>
      <c r="N24" s="100"/>
      <c r="O24" s="101"/>
      <c r="Q24" s="35"/>
      <c r="R24" s="33"/>
      <c r="S24" s="33"/>
      <c r="T24" s="33"/>
      <c r="U24" s="100"/>
      <c r="V24" s="101"/>
      <c r="X24" s="35"/>
      <c r="Y24" s="33"/>
      <c r="Z24" s="33"/>
      <c r="AA24" s="33"/>
      <c r="AB24" s="100"/>
      <c r="AC24" s="101"/>
      <c r="AE24" s="35"/>
      <c r="AF24" s="33">
        <v>0.5</v>
      </c>
      <c r="AG24" s="33"/>
      <c r="AH24" s="33">
        <v>0.5</v>
      </c>
      <c r="AI24" s="100"/>
      <c r="AJ24" s="101"/>
      <c r="AL24" s="35"/>
      <c r="AM24" s="33">
        <v>0.5</v>
      </c>
      <c r="AN24" s="33"/>
      <c r="AO24" s="33">
        <v>0.5</v>
      </c>
      <c r="AP24" s="100"/>
      <c r="AQ24" s="101"/>
      <c r="AS24" s="35"/>
      <c r="AT24" s="33">
        <v>0.5</v>
      </c>
      <c r="AU24" s="33"/>
      <c r="AV24" s="33">
        <v>0.5</v>
      </c>
      <c r="AW24" s="100"/>
      <c r="AX24" s="101"/>
      <c r="AZ24" s="35"/>
      <c r="BA24" s="33">
        <v>0.8</v>
      </c>
      <c r="BB24" s="33"/>
      <c r="BC24" s="33">
        <v>0.8</v>
      </c>
      <c r="BD24" s="100"/>
      <c r="BE24" s="101"/>
      <c r="BG24" s="35"/>
      <c r="BH24" s="33">
        <v>0.8</v>
      </c>
      <c r="BI24" s="33"/>
      <c r="BJ24" s="33">
        <v>0.8</v>
      </c>
      <c r="BK24" s="100"/>
      <c r="BL24" s="101"/>
      <c r="BN24" s="35"/>
      <c r="BO24" s="33">
        <v>0.8</v>
      </c>
      <c r="BP24" s="33"/>
      <c r="BQ24" s="33">
        <v>0.8</v>
      </c>
      <c r="BR24" s="100"/>
      <c r="BS24" s="101"/>
      <c r="BU24" s="35"/>
      <c r="BV24" s="33">
        <v>0.8</v>
      </c>
      <c r="BW24" s="33"/>
      <c r="BX24" s="33">
        <v>0.8</v>
      </c>
      <c r="BY24" s="100"/>
      <c r="BZ24" s="101"/>
      <c r="CB24" s="35"/>
      <c r="CC24" s="33">
        <v>0.8</v>
      </c>
      <c r="CD24" s="33"/>
      <c r="CE24" s="33">
        <v>0.8</v>
      </c>
      <c r="CF24" s="100"/>
      <c r="CG24" s="101"/>
      <c r="CI24" s="35"/>
      <c r="CJ24" s="33">
        <v>0.8</v>
      </c>
      <c r="CK24" s="33"/>
      <c r="CL24" s="33">
        <v>0.8</v>
      </c>
      <c r="CM24" s="100"/>
      <c r="CN24" s="101"/>
      <c r="CP24" s="35"/>
      <c r="CQ24" s="33">
        <v>0.8</v>
      </c>
      <c r="CR24" s="33"/>
      <c r="CS24" s="33">
        <v>0.8</v>
      </c>
      <c r="CT24" s="100"/>
      <c r="CU24" s="101"/>
      <c r="CW24" s="35"/>
      <c r="CX24" s="33">
        <v>1</v>
      </c>
      <c r="CY24" s="33"/>
      <c r="CZ24" s="33">
        <v>1</v>
      </c>
      <c r="DA24" s="100"/>
      <c r="DB24" s="101"/>
      <c r="DC24">
        <v>2</v>
      </c>
      <c r="DD24" s="35"/>
      <c r="DE24" s="33">
        <v>1</v>
      </c>
      <c r="DF24" s="33"/>
      <c r="DG24" s="33">
        <v>1</v>
      </c>
      <c r="DH24" s="100"/>
      <c r="DI24" s="101"/>
      <c r="DK24" s="35"/>
      <c r="DL24" s="33">
        <v>1</v>
      </c>
      <c r="DM24" s="33"/>
      <c r="DN24" s="33">
        <v>1</v>
      </c>
      <c r="DO24" s="100"/>
      <c r="DP24" s="101"/>
      <c r="DR24" s="35"/>
      <c r="DS24" s="33">
        <v>1</v>
      </c>
      <c r="DT24" s="33"/>
      <c r="DU24" s="33">
        <v>1</v>
      </c>
      <c r="DV24" s="100"/>
      <c r="DW24" s="101"/>
      <c r="DY24" s="35"/>
      <c r="DZ24" s="33">
        <v>1</v>
      </c>
      <c r="EA24" s="33"/>
      <c r="EB24" s="33">
        <v>1</v>
      </c>
      <c r="EC24" s="100"/>
      <c r="ED24" s="101"/>
      <c r="EF24" s="35"/>
      <c r="EG24" s="33">
        <v>1</v>
      </c>
      <c r="EH24" s="33"/>
      <c r="EI24" s="33">
        <v>1</v>
      </c>
      <c r="EJ24" s="100"/>
      <c r="EK24" s="101"/>
    </row>
    <row r="25" spans="2:141" outlineLevel="1" x14ac:dyDescent="0.2">
      <c r="B25" s="10" t="s">
        <v>81</v>
      </c>
      <c r="C25" s="115" t="s">
        <v>85</v>
      </c>
      <c r="D25" s="115"/>
      <c r="E25" s="115"/>
      <c r="F25" s="115"/>
      <c r="G25" s="116"/>
      <c r="H25" s="123">
        <v>0.05</v>
      </c>
      <c r="I25" s="128"/>
      <c r="J25" s="103" cm="1">
        <f t="array" ref="J25">MAX(IF(Q4:EK4=J4,Q25:EK25))</f>
        <v>0</v>
      </c>
      <c r="K25" s="100"/>
      <c r="L25" s="100" cm="1">
        <f t="array" ref="L25">MAX(IF(Q4:EK4=L4,Q25:EK25))</f>
        <v>0</v>
      </c>
      <c r="M25" s="100"/>
      <c r="N25" s="100"/>
      <c r="O25" s="101"/>
      <c r="Q25" s="35"/>
      <c r="R25" s="33"/>
      <c r="S25" s="33"/>
      <c r="T25" s="33"/>
      <c r="U25" s="100"/>
      <c r="V25" s="101"/>
      <c r="X25" s="35"/>
      <c r="Y25" s="33"/>
      <c r="Z25" s="33"/>
      <c r="AA25" s="33"/>
      <c r="AB25" s="100"/>
      <c r="AC25" s="101"/>
      <c r="AD25">
        <v>3</v>
      </c>
      <c r="AE25" s="35"/>
      <c r="AF25" s="33"/>
      <c r="AG25" s="33"/>
      <c r="AH25" s="33"/>
      <c r="AI25" s="100"/>
      <c r="AJ25" s="101"/>
      <c r="AK25">
        <v>2</v>
      </c>
      <c r="AL25" s="35"/>
      <c r="AM25" s="33">
        <v>0.5</v>
      </c>
      <c r="AN25" s="33"/>
      <c r="AO25" s="33">
        <v>0.5</v>
      </c>
      <c r="AP25" s="100"/>
      <c r="AQ25" s="101"/>
      <c r="AR25">
        <v>3</v>
      </c>
      <c r="AS25" s="35"/>
      <c r="AT25" s="33">
        <v>0.5</v>
      </c>
      <c r="AU25" s="33"/>
      <c r="AV25" s="33">
        <v>0.5</v>
      </c>
      <c r="AW25" s="100"/>
      <c r="AX25" s="101"/>
      <c r="AZ25" s="35"/>
      <c r="BA25" s="33">
        <v>0.5</v>
      </c>
      <c r="BB25" s="33"/>
      <c r="BC25" s="33">
        <v>0.5</v>
      </c>
      <c r="BD25" s="100"/>
      <c r="BE25" s="101"/>
      <c r="BG25" s="35"/>
      <c r="BH25" s="33">
        <v>0.5</v>
      </c>
      <c r="BI25" s="33"/>
      <c r="BJ25" s="33">
        <v>0.5</v>
      </c>
      <c r="BK25" s="100"/>
      <c r="BL25" s="101"/>
      <c r="BN25" s="35"/>
      <c r="BO25" s="33">
        <v>0.8</v>
      </c>
      <c r="BP25" s="33"/>
      <c r="BQ25" s="33">
        <v>0.8</v>
      </c>
      <c r="BR25" s="100"/>
      <c r="BS25" s="101"/>
      <c r="BU25" s="35"/>
      <c r="BV25" s="33">
        <v>0.8</v>
      </c>
      <c r="BW25" s="33"/>
      <c r="BX25" s="33">
        <v>0.8</v>
      </c>
      <c r="BY25" s="100"/>
      <c r="BZ25" s="101"/>
      <c r="CB25" s="35"/>
      <c r="CC25" s="33">
        <v>0.8</v>
      </c>
      <c r="CD25" s="33"/>
      <c r="CE25" s="33">
        <v>0.8</v>
      </c>
      <c r="CF25" s="100"/>
      <c r="CG25" s="101"/>
      <c r="CH25">
        <v>3</v>
      </c>
      <c r="CI25" s="35"/>
      <c r="CJ25" s="33">
        <v>0.8</v>
      </c>
      <c r="CK25" s="33"/>
      <c r="CL25" s="33">
        <v>0.8</v>
      </c>
      <c r="CM25" s="100"/>
      <c r="CN25" s="101"/>
      <c r="CP25" s="35"/>
      <c r="CQ25" s="33">
        <v>0.8</v>
      </c>
      <c r="CR25" s="33"/>
      <c r="CS25" s="33">
        <v>0.8</v>
      </c>
      <c r="CT25" s="100"/>
      <c r="CU25" s="101"/>
      <c r="CW25" s="35"/>
      <c r="CX25" s="33">
        <v>1</v>
      </c>
      <c r="CY25" s="33"/>
      <c r="CZ25" s="33">
        <v>1</v>
      </c>
      <c r="DA25" s="100"/>
      <c r="DB25" s="101"/>
      <c r="DD25" s="35"/>
      <c r="DE25" s="33">
        <v>1</v>
      </c>
      <c r="DF25" s="33"/>
      <c r="DG25" s="33">
        <v>1</v>
      </c>
      <c r="DH25" s="100"/>
      <c r="DI25" s="101"/>
      <c r="DJ25">
        <v>3</v>
      </c>
      <c r="DK25" s="35"/>
      <c r="DL25" s="33">
        <v>1</v>
      </c>
      <c r="DM25" s="33"/>
      <c r="DN25" s="33">
        <v>1</v>
      </c>
      <c r="DO25" s="100"/>
      <c r="DP25" s="101"/>
      <c r="DR25" s="35"/>
      <c r="DS25" s="33">
        <v>1</v>
      </c>
      <c r="DT25" s="33"/>
      <c r="DU25" s="33">
        <v>1</v>
      </c>
      <c r="DV25" s="100"/>
      <c r="DW25" s="101"/>
      <c r="DX25">
        <v>2</v>
      </c>
      <c r="DY25" s="35"/>
      <c r="DZ25" s="33">
        <v>1</v>
      </c>
      <c r="EA25" s="33"/>
      <c r="EB25" s="33">
        <v>1</v>
      </c>
      <c r="EC25" s="100"/>
      <c r="ED25" s="101"/>
      <c r="EF25" s="35"/>
      <c r="EG25" s="33">
        <v>1</v>
      </c>
      <c r="EH25" s="33"/>
      <c r="EI25" s="33">
        <v>1</v>
      </c>
      <c r="EJ25" s="100"/>
      <c r="EK25" s="101"/>
    </row>
    <row r="26" spans="2:141" outlineLevel="1" x14ac:dyDescent="0.2">
      <c r="B26" s="10" t="s">
        <v>81</v>
      </c>
      <c r="C26" s="115" t="s">
        <v>86</v>
      </c>
      <c r="D26" s="115"/>
      <c r="E26" s="115"/>
      <c r="F26" s="115"/>
      <c r="G26" s="116"/>
      <c r="H26" s="123">
        <v>0.05</v>
      </c>
      <c r="I26" s="128"/>
      <c r="J26" s="103" cm="1">
        <f t="array" ref="J26">MAX(IF(Q4:EK4=J4,Q26:EK26))</f>
        <v>0</v>
      </c>
      <c r="K26" s="100"/>
      <c r="L26" s="100" cm="1">
        <f t="array" ref="L26">MAX(IF(Q4:EK4=L4,Q26:EK26))</f>
        <v>0</v>
      </c>
      <c r="M26" s="100"/>
      <c r="N26" s="100"/>
      <c r="O26" s="101"/>
      <c r="Q26" s="35"/>
      <c r="R26" s="33"/>
      <c r="S26" s="33"/>
      <c r="T26" s="33"/>
      <c r="U26" s="100"/>
      <c r="V26" s="101"/>
      <c r="X26" s="35"/>
      <c r="Y26" s="33"/>
      <c r="Z26" s="33"/>
      <c r="AA26" s="33"/>
      <c r="AB26" s="100"/>
      <c r="AC26" s="101"/>
      <c r="AE26" s="35"/>
      <c r="AF26" s="33"/>
      <c r="AG26" s="33"/>
      <c r="AH26" s="33"/>
      <c r="AI26" s="100"/>
      <c r="AJ26" s="101"/>
      <c r="AL26" s="35"/>
      <c r="AM26" s="33">
        <v>0.5</v>
      </c>
      <c r="AN26" s="33"/>
      <c r="AO26" s="33">
        <v>0.5</v>
      </c>
      <c r="AP26" s="100"/>
      <c r="AQ26" s="101"/>
      <c r="AS26" s="35"/>
      <c r="AT26" s="33">
        <v>0.5</v>
      </c>
      <c r="AU26" s="33"/>
      <c r="AV26" s="33">
        <v>0.5</v>
      </c>
      <c r="AW26" s="100"/>
      <c r="AX26" s="101"/>
      <c r="AY26">
        <v>2</v>
      </c>
      <c r="AZ26" s="35"/>
      <c r="BA26" s="33">
        <v>0.5</v>
      </c>
      <c r="BB26" s="33"/>
      <c r="BC26" s="33">
        <v>0.5</v>
      </c>
      <c r="BD26" s="100"/>
      <c r="BE26" s="101"/>
      <c r="BF26">
        <v>3</v>
      </c>
      <c r="BG26" s="35"/>
      <c r="BH26" s="33">
        <v>0.5</v>
      </c>
      <c r="BI26" s="33"/>
      <c r="BJ26" s="33">
        <v>0.5</v>
      </c>
      <c r="BK26" s="100"/>
      <c r="BL26" s="101"/>
      <c r="BM26">
        <v>2</v>
      </c>
      <c r="BN26" s="35"/>
      <c r="BO26" s="33">
        <v>0.5</v>
      </c>
      <c r="BP26" s="33"/>
      <c r="BQ26" s="33">
        <v>0.5</v>
      </c>
      <c r="BR26" s="100"/>
      <c r="BS26" s="101"/>
      <c r="BU26" s="35"/>
      <c r="BV26" s="33">
        <v>0.8</v>
      </c>
      <c r="BW26" s="33"/>
      <c r="BX26" s="33">
        <v>0.8</v>
      </c>
      <c r="BY26" s="100"/>
      <c r="BZ26" s="101"/>
      <c r="CB26" s="35"/>
      <c r="CC26" s="33">
        <v>0.8</v>
      </c>
      <c r="CD26" s="33"/>
      <c r="CE26" s="33">
        <v>0.8</v>
      </c>
      <c r="CF26" s="100"/>
      <c r="CG26" s="101"/>
      <c r="CI26" s="35"/>
      <c r="CJ26" s="33">
        <v>0.8</v>
      </c>
      <c r="CK26" s="33"/>
      <c r="CL26" s="33">
        <v>0.8</v>
      </c>
      <c r="CM26" s="100"/>
      <c r="CN26" s="101"/>
      <c r="CO26">
        <v>0</v>
      </c>
      <c r="CP26" s="35"/>
      <c r="CQ26" s="33">
        <v>0.8</v>
      </c>
      <c r="CR26" s="33"/>
      <c r="CS26" s="33">
        <v>0.8</v>
      </c>
      <c r="CT26" s="100"/>
      <c r="CU26" s="101"/>
      <c r="CW26" s="35"/>
      <c r="CX26" s="33">
        <v>0.8</v>
      </c>
      <c r="CY26" s="33"/>
      <c r="CZ26" s="33">
        <v>0.8</v>
      </c>
      <c r="DA26" s="100"/>
      <c r="DB26" s="101"/>
      <c r="DD26" s="35"/>
      <c r="DE26" s="33">
        <v>1</v>
      </c>
      <c r="DF26" s="33"/>
      <c r="DG26" s="33">
        <v>1</v>
      </c>
      <c r="DH26" s="100"/>
      <c r="DI26" s="101"/>
      <c r="DK26" s="35"/>
      <c r="DL26" s="33">
        <v>1</v>
      </c>
      <c r="DM26" s="33"/>
      <c r="DN26" s="33">
        <v>1</v>
      </c>
      <c r="DO26" s="100"/>
      <c r="DP26" s="101"/>
      <c r="DQ26">
        <v>2</v>
      </c>
      <c r="DR26" s="35"/>
      <c r="DS26" s="33">
        <v>1</v>
      </c>
      <c r="DT26" s="33"/>
      <c r="DU26" s="33">
        <v>1</v>
      </c>
      <c r="DV26" s="100"/>
      <c r="DW26" s="101"/>
      <c r="DY26" s="35"/>
      <c r="DZ26" s="33">
        <v>1</v>
      </c>
      <c r="EA26" s="33"/>
      <c r="EB26" s="33">
        <v>1</v>
      </c>
      <c r="EC26" s="100"/>
      <c r="ED26" s="101"/>
      <c r="EF26" s="35"/>
      <c r="EG26" s="33">
        <v>1</v>
      </c>
      <c r="EH26" s="33"/>
      <c r="EI26" s="33">
        <v>1</v>
      </c>
      <c r="EJ26" s="100"/>
      <c r="EK26" s="101"/>
    </row>
    <row r="27" spans="2:141" outlineLevel="1" x14ac:dyDescent="0.2">
      <c r="B27" s="10" t="s">
        <v>81</v>
      </c>
      <c r="C27" s="115" t="s">
        <v>87</v>
      </c>
      <c r="D27" s="115"/>
      <c r="E27" s="115"/>
      <c r="F27" s="115"/>
      <c r="G27" s="116"/>
      <c r="H27" s="123">
        <v>0.05</v>
      </c>
      <c r="I27" s="128"/>
      <c r="J27" s="103" cm="1">
        <f t="array" ref="J27">MAX(IF(Q4:EK4=J4,Q27:EK27))</f>
        <v>0</v>
      </c>
      <c r="K27" s="100"/>
      <c r="L27" s="100" cm="1">
        <f t="array" ref="L27">MAX(IF(Q4:EK4=L4,Q27:EK27))</f>
        <v>0</v>
      </c>
      <c r="M27" s="100"/>
      <c r="N27" s="100"/>
      <c r="O27" s="101"/>
      <c r="Q27" s="35"/>
      <c r="R27" s="33"/>
      <c r="S27" s="33"/>
      <c r="T27" s="33"/>
      <c r="U27" s="100"/>
      <c r="V27" s="101"/>
      <c r="X27" s="35"/>
      <c r="Y27" s="33"/>
      <c r="Z27" s="33"/>
      <c r="AA27" s="33"/>
      <c r="AB27" s="100"/>
      <c r="AC27" s="101"/>
      <c r="AE27" s="35"/>
      <c r="AF27" s="33"/>
      <c r="AG27" s="33"/>
      <c r="AH27" s="33"/>
      <c r="AI27" s="100"/>
      <c r="AJ27" s="101"/>
      <c r="AL27" s="35"/>
      <c r="AM27" s="33"/>
      <c r="AN27" s="33"/>
      <c r="AO27" s="33"/>
      <c r="AP27" s="100"/>
      <c r="AQ27" s="101"/>
      <c r="AS27" s="35"/>
      <c r="AT27" s="33">
        <v>0.5</v>
      </c>
      <c r="AU27" s="33"/>
      <c r="AV27" s="33">
        <v>0.5</v>
      </c>
      <c r="AW27" s="100"/>
      <c r="AX27" s="101"/>
      <c r="AZ27" s="35"/>
      <c r="BA27" s="33">
        <v>0.5</v>
      </c>
      <c r="BB27" s="33"/>
      <c r="BC27" s="33">
        <v>0.5</v>
      </c>
      <c r="BD27" s="100"/>
      <c r="BE27" s="101"/>
      <c r="BG27" s="35"/>
      <c r="BH27" s="33">
        <v>0.5</v>
      </c>
      <c r="BI27" s="33"/>
      <c r="BJ27" s="33">
        <v>0.5</v>
      </c>
      <c r="BK27" s="100"/>
      <c r="BL27" s="101"/>
      <c r="BN27" s="35"/>
      <c r="BO27" s="33">
        <v>0.5</v>
      </c>
      <c r="BP27" s="33"/>
      <c r="BQ27" s="33">
        <v>0.5</v>
      </c>
      <c r="BR27" s="100"/>
      <c r="BS27" s="101"/>
      <c r="BT27">
        <v>3</v>
      </c>
      <c r="BU27" s="35"/>
      <c r="BV27" s="33">
        <v>0.8</v>
      </c>
      <c r="BW27" s="33"/>
      <c r="BX27" s="33">
        <v>0.8</v>
      </c>
      <c r="BY27" s="100"/>
      <c r="BZ27" s="101"/>
      <c r="CA27">
        <v>2</v>
      </c>
      <c r="CB27" s="35"/>
      <c r="CC27" s="33">
        <v>0.8</v>
      </c>
      <c r="CD27" s="33"/>
      <c r="CE27" s="33">
        <v>0.8</v>
      </c>
      <c r="CF27" s="100"/>
      <c r="CG27" s="101"/>
      <c r="CI27" s="35"/>
      <c r="CJ27" s="33">
        <v>0.8</v>
      </c>
      <c r="CK27" s="33"/>
      <c r="CL27" s="33">
        <v>0.8</v>
      </c>
      <c r="CM27" s="100"/>
      <c r="CN27" s="101"/>
      <c r="CP27" s="35"/>
      <c r="CQ27" s="33">
        <v>0.8</v>
      </c>
      <c r="CR27" s="33"/>
      <c r="CS27" s="33">
        <v>0.8</v>
      </c>
      <c r="CT27" s="100"/>
      <c r="CU27" s="101"/>
      <c r="CW27" s="35"/>
      <c r="CX27" s="33">
        <v>0.8</v>
      </c>
      <c r="CY27" s="33"/>
      <c r="CZ27" s="33">
        <v>0.8</v>
      </c>
      <c r="DA27" s="100"/>
      <c r="DB27" s="101"/>
      <c r="DD27" s="35"/>
      <c r="DE27" s="33">
        <v>1</v>
      </c>
      <c r="DF27" s="33"/>
      <c r="DG27" s="33">
        <v>1</v>
      </c>
      <c r="DH27" s="100"/>
      <c r="DI27" s="101"/>
      <c r="DK27" s="35"/>
      <c r="DL27" s="33">
        <v>1</v>
      </c>
      <c r="DM27" s="33"/>
      <c r="DN27" s="33">
        <v>1</v>
      </c>
      <c r="DO27" s="100"/>
      <c r="DP27" s="101"/>
      <c r="DR27" s="35"/>
      <c r="DS27" s="33">
        <v>1</v>
      </c>
      <c r="DT27" s="33"/>
      <c r="DU27" s="33">
        <v>1</v>
      </c>
      <c r="DV27" s="100"/>
      <c r="DW27" s="101"/>
      <c r="DY27" s="35"/>
      <c r="DZ27" s="33">
        <v>1</v>
      </c>
      <c r="EA27" s="33"/>
      <c r="EB27" s="33">
        <v>1</v>
      </c>
      <c r="EC27" s="100"/>
      <c r="ED27" s="101"/>
      <c r="EF27" s="35"/>
      <c r="EG27" s="33">
        <v>1</v>
      </c>
      <c r="EH27" s="33"/>
      <c r="EI27" s="33">
        <v>1</v>
      </c>
      <c r="EJ27" s="100"/>
      <c r="EK27" s="101"/>
    </row>
    <row r="28" spans="2:141" outlineLevel="1" x14ac:dyDescent="0.2">
      <c r="B28" s="10" t="s">
        <v>81</v>
      </c>
      <c r="C28" s="115" t="s">
        <v>88</v>
      </c>
      <c r="D28" s="115"/>
      <c r="E28" s="115"/>
      <c r="F28" s="115"/>
      <c r="G28" s="116"/>
      <c r="H28" s="123">
        <v>0.1</v>
      </c>
      <c r="I28" s="128"/>
      <c r="J28" s="103" cm="1">
        <f t="array" ref="J28">MAX(IF(Q4:EK4=J4,Q28:EK28))</f>
        <v>0</v>
      </c>
      <c r="K28" s="100"/>
      <c r="L28" s="100" cm="1">
        <f t="array" ref="L28">MAX(IF(Q4:EK4=L4,Q28:EK28))</f>
        <v>0</v>
      </c>
      <c r="M28" s="100"/>
      <c r="N28" s="100"/>
      <c r="O28" s="101"/>
      <c r="Q28" s="35"/>
      <c r="R28" s="33"/>
      <c r="S28" s="33"/>
      <c r="T28" s="33"/>
      <c r="U28" s="100"/>
      <c r="V28" s="101"/>
      <c r="X28" s="35"/>
      <c r="Y28" s="33"/>
      <c r="Z28" s="33"/>
      <c r="AA28" s="33"/>
      <c r="AB28" s="100"/>
      <c r="AC28" s="101"/>
      <c r="AE28" s="35"/>
      <c r="AF28" s="33"/>
      <c r="AG28" s="33"/>
      <c r="AH28" s="33"/>
      <c r="AI28" s="100"/>
      <c r="AJ28" s="101"/>
      <c r="AL28" s="35"/>
      <c r="AM28" s="33"/>
      <c r="AN28" s="33"/>
      <c r="AO28" s="33"/>
      <c r="AP28" s="100"/>
      <c r="AQ28" s="101"/>
      <c r="AS28" s="35"/>
      <c r="AT28" s="33"/>
      <c r="AU28" s="33"/>
      <c r="AV28" s="33"/>
      <c r="AW28" s="100"/>
      <c r="AX28" s="101"/>
      <c r="AZ28" s="35"/>
      <c r="BA28" s="33">
        <v>0.5</v>
      </c>
      <c r="BB28" s="33"/>
      <c r="BC28" s="33">
        <v>0.5</v>
      </c>
      <c r="BD28" s="100"/>
      <c r="BE28" s="101"/>
      <c r="BG28" s="35"/>
      <c r="BH28" s="33">
        <v>0.5</v>
      </c>
      <c r="BI28" s="33"/>
      <c r="BJ28" s="33">
        <v>0.5</v>
      </c>
      <c r="BK28" s="100"/>
      <c r="BL28" s="101"/>
      <c r="BN28" s="35"/>
      <c r="BO28" s="33">
        <v>0.5</v>
      </c>
      <c r="BP28" s="33"/>
      <c r="BQ28" s="33">
        <v>0.5</v>
      </c>
      <c r="BR28" s="100"/>
      <c r="BS28" s="101"/>
      <c r="BU28" s="35"/>
      <c r="BV28" s="33">
        <v>0.5</v>
      </c>
      <c r="BW28" s="33"/>
      <c r="BX28" s="33">
        <v>0.5</v>
      </c>
      <c r="BY28" s="100"/>
      <c r="BZ28" s="101"/>
      <c r="CB28" s="35"/>
      <c r="CC28" s="33">
        <v>0.8</v>
      </c>
      <c r="CD28" s="33"/>
      <c r="CE28" s="33">
        <v>0.8</v>
      </c>
      <c r="CF28" s="100"/>
      <c r="CG28" s="101"/>
      <c r="CI28" s="35"/>
      <c r="CJ28" s="33">
        <v>0.8</v>
      </c>
      <c r="CK28" s="33"/>
      <c r="CL28" s="33">
        <v>0.8</v>
      </c>
      <c r="CM28" s="100"/>
      <c r="CN28" s="101"/>
      <c r="CP28" s="35"/>
      <c r="CQ28" s="33">
        <v>0.8</v>
      </c>
      <c r="CR28" s="33"/>
      <c r="CS28" s="33">
        <v>0.8</v>
      </c>
      <c r="CT28" s="100"/>
      <c r="CU28" s="101"/>
      <c r="CW28" s="35"/>
      <c r="CX28" s="33">
        <v>0.8</v>
      </c>
      <c r="CY28" s="33"/>
      <c r="CZ28" s="33">
        <v>0.8</v>
      </c>
      <c r="DA28" s="100"/>
      <c r="DB28" s="101"/>
      <c r="DD28" s="35"/>
      <c r="DE28" s="33">
        <v>0.8</v>
      </c>
      <c r="DF28" s="33"/>
      <c r="DG28" s="33">
        <v>0.8</v>
      </c>
      <c r="DH28" s="100"/>
      <c r="DI28" s="101"/>
      <c r="DK28" s="35"/>
      <c r="DL28" s="33">
        <v>1</v>
      </c>
      <c r="DM28" s="33"/>
      <c r="DN28" s="33">
        <v>1</v>
      </c>
      <c r="DO28" s="100"/>
      <c r="DP28" s="101"/>
      <c r="DR28" s="35"/>
      <c r="DS28" s="33">
        <v>1</v>
      </c>
      <c r="DT28" s="33"/>
      <c r="DU28" s="33">
        <v>1</v>
      </c>
      <c r="DV28" s="100"/>
      <c r="DW28" s="101"/>
      <c r="DY28" s="35"/>
      <c r="DZ28" s="33">
        <v>1</v>
      </c>
      <c r="EA28" s="33"/>
      <c r="EB28" s="33">
        <v>1</v>
      </c>
      <c r="EC28" s="100"/>
      <c r="ED28" s="101"/>
      <c r="EF28" s="35"/>
      <c r="EG28" s="33">
        <v>1</v>
      </c>
      <c r="EH28" s="33"/>
      <c r="EI28" s="33">
        <v>1</v>
      </c>
      <c r="EJ28" s="100"/>
      <c r="EK28" s="101"/>
    </row>
    <row r="29" spans="2:141" outlineLevel="1" x14ac:dyDescent="0.2">
      <c r="B29" s="10" t="s">
        <v>81</v>
      </c>
      <c r="C29" s="115" t="s">
        <v>89</v>
      </c>
      <c r="D29" s="115"/>
      <c r="E29" s="115"/>
      <c r="F29" s="115"/>
      <c r="G29" s="116"/>
      <c r="H29" s="123">
        <v>0.1</v>
      </c>
      <c r="I29" s="128"/>
      <c r="J29" s="103" cm="1">
        <f t="array" ref="J29">MAX(IF(Q4:EK4=J4,Q29:EK29))</f>
        <v>0</v>
      </c>
      <c r="K29" s="100"/>
      <c r="L29" s="100" cm="1">
        <f t="array" ref="L29">MAX(IF(Q4:EK4=L4,Q29:EK29))</f>
        <v>0</v>
      </c>
      <c r="M29" s="100"/>
      <c r="N29" s="100"/>
      <c r="O29" s="101"/>
      <c r="Q29" s="35"/>
      <c r="R29" s="33"/>
      <c r="S29" s="33"/>
      <c r="T29" s="33"/>
      <c r="U29" s="100"/>
      <c r="V29" s="101"/>
      <c r="X29" s="35"/>
      <c r="Y29" s="33"/>
      <c r="Z29" s="33"/>
      <c r="AA29" s="33"/>
      <c r="AB29" s="100"/>
      <c r="AC29" s="101"/>
      <c r="AE29" s="35"/>
      <c r="AF29" s="33"/>
      <c r="AG29" s="33"/>
      <c r="AH29" s="33"/>
      <c r="AI29" s="100"/>
      <c r="AJ29" s="101"/>
      <c r="AL29" s="35"/>
      <c r="AM29" s="33"/>
      <c r="AN29" s="33"/>
      <c r="AO29" s="33"/>
      <c r="AP29" s="100"/>
      <c r="AQ29" s="101"/>
      <c r="AS29" s="35"/>
      <c r="AT29" s="33"/>
      <c r="AU29" s="33"/>
      <c r="AV29" s="33"/>
      <c r="AW29" s="100"/>
      <c r="AX29" s="101"/>
      <c r="AZ29" s="35"/>
      <c r="BA29" s="33">
        <v>0.5</v>
      </c>
      <c r="BB29" s="33"/>
      <c r="BC29" s="33">
        <v>0.5</v>
      </c>
      <c r="BD29" s="100"/>
      <c r="BE29" s="101"/>
      <c r="BG29" s="35"/>
      <c r="BH29" s="33">
        <v>0.5</v>
      </c>
      <c r="BI29" s="33"/>
      <c r="BJ29" s="33">
        <v>0.5</v>
      </c>
      <c r="BK29" s="100"/>
      <c r="BL29" s="101"/>
      <c r="BN29" s="35"/>
      <c r="BO29" s="33">
        <v>0.5</v>
      </c>
      <c r="BP29" s="33"/>
      <c r="BQ29" s="33">
        <v>0.5</v>
      </c>
      <c r="BR29" s="100"/>
      <c r="BS29" s="101"/>
      <c r="BU29" s="35"/>
      <c r="BV29" s="33">
        <v>0.5</v>
      </c>
      <c r="BW29" s="33"/>
      <c r="BX29" s="33">
        <v>0.5</v>
      </c>
      <c r="BY29" s="100"/>
      <c r="BZ29" s="101"/>
      <c r="CB29" s="35"/>
      <c r="CC29" s="33">
        <v>0.8</v>
      </c>
      <c r="CD29" s="33"/>
      <c r="CE29" s="33">
        <v>0.8</v>
      </c>
      <c r="CF29" s="100"/>
      <c r="CG29" s="101"/>
      <c r="CI29" s="35"/>
      <c r="CJ29" s="33">
        <v>0.8</v>
      </c>
      <c r="CK29" s="33"/>
      <c r="CL29" s="33">
        <v>0.8</v>
      </c>
      <c r="CM29" s="100"/>
      <c r="CN29" s="101"/>
      <c r="CP29" s="35"/>
      <c r="CQ29" s="33">
        <v>0.8</v>
      </c>
      <c r="CR29" s="33"/>
      <c r="CS29" s="33">
        <v>0.8</v>
      </c>
      <c r="CT29" s="100"/>
      <c r="CU29" s="101"/>
      <c r="CW29" s="35"/>
      <c r="CX29" s="33">
        <v>0.8</v>
      </c>
      <c r="CY29" s="33"/>
      <c r="CZ29" s="33">
        <v>0.8</v>
      </c>
      <c r="DA29" s="100"/>
      <c r="DB29" s="101"/>
      <c r="DD29" s="35"/>
      <c r="DE29" s="33">
        <v>0.8</v>
      </c>
      <c r="DF29" s="33"/>
      <c r="DG29" s="33">
        <v>0.8</v>
      </c>
      <c r="DH29" s="100"/>
      <c r="DI29" s="101"/>
      <c r="DK29" s="35"/>
      <c r="DL29" s="33">
        <v>1</v>
      </c>
      <c r="DM29" s="33"/>
      <c r="DN29" s="33">
        <v>1</v>
      </c>
      <c r="DO29" s="100"/>
      <c r="DP29" s="101"/>
      <c r="DR29" s="35"/>
      <c r="DS29" s="33">
        <v>1</v>
      </c>
      <c r="DT29" s="33"/>
      <c r="DU29" s="33">
        <v>1</v>
      </c>
      <c r="DV29" s="100"/>
      <c r="DW29" s="101"/>
      <c r="DY29" s="35"/>
      <c r="DZ29" s="33">
        <v>1</v>
      </c>
      <c r="EA29" s="33"/>
      <c r="EB29" s="33">
        <v>1</v>
      </c>
      <c r="EC29" s="100"/>
      <c r="ED29" s="101"/>
      <c r="EF29" s="35"/>
      <c r="EG29" s="33">
        <v>1</v>
      </c>
      <c r="EH29" s="33"/>
      <c r="EI29" s="33">
        <v>1</v>
      </c>
      <c r="EJ29" s="100"/>
      <c r="EK29" s="101"/>
    </row>
    <row r="30" spans="2:141" outlineLevel="1" x14ac:dyDescent="0.2">
      <c r="B30" s="10" t="s">
        <v>81</v>
      </c>
      <c r="C30" s="115" t="s">
        <v>90</v>
      </c>
      <c r="D30" s="115"/>
      <c r="E30" s="115"/>
      <c r="F30" s="115"/>
      <c r="G30" s="116"/>
      <c r="H30" s="123">
        <v>0.1</v>
      </c>
      <c r="I30" s="128"/>
      <c r="J30" s="103" cm="1">
        <f t="array" ref="J30">MAX(IF(Q4:EK4=J4,Q30:EK30))</f>
        <v>0</v>
      </c>
      <c r="K30" s="100"/>
      <c r="L30" s="100" cm="1">
        <f t="array" ref="L30">MAX(IF(Q4:EK4=L4,Q30:EK30))</f>
        <v>0</v>
      </c>
      <c r="M30" s="100"/>
      <c r="N30" s="100"/>
      <c r="O30" s="101"/>
      <c r="Q30" s="35"/>
      <c r="R30" s="33"/>
      <c r="S30" s="33"/>
      <c r="T30" s="33"/>
      <c r="U30" s="100"/>
      <c r="V30" s="101"/>
      <c r="X30" s="35"/>
      <c r="Y30" s="33"/>
      <c r="Z30" s="33"/>
      <c r="AA30" s="33"/>
      <c r="AB30" s="100"/>
      <c r="AC30" s="101"/>
      <c r="AE30" s="35"/>
      <c r="AF30" s="33"/>
      <c r="AG30" s="33"/>
      <c r="AH30" s="33"/>
      <c r="AI30" s="100"/>
      <c r="AJ30" s="101"/>
      <c r="AL30" s="35"/>
      <c r="AM30" s="33"/>
      <c r="AN30" s="33"/>
      <c r="AO30" s="33"/>
      <c r="AP30" s="100"/>
      <c r="AQ30" s="101"/>
      <c r="AS30" s="35"/>
      <c r="AT30" s="33"/>
      <c r="AU30" s="33"/>
      <c r="AV30" s="33"/>
      <c r="AW30" s="100"/>
      <c r="AX30" s="101"/>
      <c r="AZ30" s="35"/>
      <c r="BA30" s="33"/>
      <c r="BB30" s="33"/>
      <c r="BC30" s="33"/>
      <c r="BD30" s="100"/>
      <c r="BE30" s="101"/>
      <c r="BG30" s="35"/>
      <c r="BH30" s="33">
        <v>0.5</v>
      </c>
      <c r="BI30" s="33"/>
      <c r="BJ30" s="33">
        <v>0.5</v>
      </c>
      <c r="BK30" s="100"/>
      <c r="BL30" s="101"/>
      <c r="BN30" s="35"/>
      <c r="BO30" s="33">
        <v>0.5</v>
      </c>
      <c r="BP30" s="33"/>
      <c r="BQ30" s="33">
        <v>0.5</v>
      </c>
      <c r="BR30" s="100"/>
      <c r="BS30" s="101"/>
      <c r="BU30" s="35"/>
      <c r="BV30" s="33">
        <v>0.5</v>
      </c>
      <c r="BW30" s="33"/>
      <c r="BX30" s="33">
        <v>0.5</v>
      </c>
      <c r="BY30" s="100"/>
      <c r="BZ30" s="101"/>
      <c r="CB30" s="35"/>
      <c r="CC30" s="33">
        <v>0.5</v>
      </c>
      <c r="CD30" s="33"/>
      <c r="CE30" s="33">
        <v>0.5</v>
      </c>
      <c r="CF30" s="100"/>
      <c r="CG30" s="101"/>
      <c r="CI30" s="35"/>
      <c r="CJ30" s="33">
        <v>0.5</v>
      </c>
      <c r="CK30" s="33"/>
      <c r="CL30" s="33">
        <v>0.5</v>
      </c>
      <c r="CM30" s="100"/>
      <c r="CN30" s="101"/>
      <c r="CP30" s="35"/>
      <c r="CQ30" s="33">
        <v>0.8</v>
      </c>
      <c r="CR30" s="33"/>
      <c r="CS30" s="33">
        <v>0.8</v>
      </c>
      <c r="CT30" s="100"/>
      <c r="CU30" s="101"/>
      <c r="CW30" s="35"/>
      <c r="CX30" s="33">
        <v>0.8</v>
      </c>
      <c r="CY30" s="33"/>
      <c r="CZ30" s="33">
        <v>0.8</v>
      </c>
      <c r="DA30" s="100"/>
      <c r="DB30" s="101"/>
      <c r="DD30" s="35"/>
      <c r="DE30" s="33">
        <v>0.8</v>
      </c>
      <c r="DF30" s="33"/>
      <c r="DG30" s="33">
        <v>0.8</v>
      </c>
      <c r="DH30" s="100"/>
      <c r="DI30" s="101"/>
      <c r="DK30" s="35"/>
      <c r="DL30" s="33">
        <v>0.8</v>
      </c>
      <c r="DM30" s="33"/>
      <c r="DN30" s="33">
        <v>0.8</v>
      </c>
      <c r="DO30" s="100"/>
      <c r="DP30" s="101"/>
      <c r="DR30" s="35"/>
      <c r="DS30" s="33">
        <v>1</v>
      </c>
      <c r="DT30" s="33"/>
      <c r="DU30" s="33">
        <v>1</v>
      </c>
      <c r="DV30" s="100"/>
      <c r="DW30" s="101"/>
      <c r="DY30" s="35"/>
      <c r="DZ30" s="33">
        <v>1</v>
      </c>
      <c r="EA30" s="33"/>
      <c r="EB30" s="33">
        <v>1</v>
      </c>
      <c r="EC30" s="100"/>
      <c r="ED30" s="101"/>
      <c r="EF30" s="35"/>
      <c r="EG30" s="33">
        <v>1</v>
      </c>
      <c r="EH30" s="33"/>
      <c r="EI30" s="33">
        <v>1</v>
      </c>
      <c r="EJ30" s="100"/>
      <c r="EK30" s="101"/>
    </row>
    <row r="31" spans="2:141" outlineLevel="1" x14ac:dyDescent="0.2">
      <c r="B31" s="12" t="s">
        <v>81</v>
      </c>
      <c r="C31" s="119" t="s">
        <v>91</v>
      </c>
      <c r="D31" s="119"/>
      <c r="E31" s="119"/>
      <c r="F31" s="119"/>
      <c r="G31" s="120"/>
      <c r="H31" s="121">
        <v>0.1</v>
      </c>
      <c r="I31" s="127"/>
      <c r="J31" s="102" cm="1">
        <f t="array" ref="J31">MAX(IF(Q4:EK4=J4,Q31:EK31))</f>
        <v>0</v>
      </c>
      <c r="K31" s="98"/>
      <c r="L31" s="98" cm="1">
        <f t="array" ref="L31">MAX(IF(Q4:EK4=L4,Q31:EK31))</f>
        <v>0</v>
      </c>
      <c r="M31" s="98"/>
      <c r="N31" s="98"/>
      <c r="O31" s="99"/>
      <c r="Q31" s="36"/>
      <c r="R31" s="34"/>
      <c r="S31" s="34"/>
      <c r="T31" s="34"/>
      <c r="U31" s="98"/>
      <c r="V31" s="99"/>
      <c r="X31" s="36"/>
      <c r="Y31" s="34"/>
      <c r="Z31" s="34"/>
      <c r="AA31" s="34"/>
      <c r="AB31" s="98"/>
      <c r="AC31" s="99"/>
      <c r="AE31" s="36"/>
      <c r="AF31" s="34"/>
      <c r="AG31" s="34"/>
      <c r="AH31" s="34"/>
      <c r="AI31" s="98"/>
      <c r="AJ31" s="99"/>
      <c r="AL31" s="36"/>
      <c r="AM31" s="34"/>
      <c r="AN31" s="34"/>
      <c r="AO31" s="34"/>
      <c r="AP31" s="98"/>
      <c r="AQ31" s="99"/>
      <c r="AS31" s="36"/>
      <c r="AT31" s="34"/>
      <c r="AU31" s="34"/>
      <c r="AV31" s="34"/>
      <c r="AW31" s="98"/>
      <c r="AX31" s="99"/>
      <c r="AZ31" s="36"/>
      <c r="BA31" s="34"/>
      <c r="BB31" s="34"/>
      <c r="BC31" s="34"/>
      <c r="BD31" s="98"/>
      <c r="BE31" s="99"/>
      <c r="BG31" s="36"/>
      <c r="BH31" s="34"/>
      <c r="BI31" s="34"/>
      <c r="BJ31" s="34"/>
      <c r="BK31" s="98"/>
      <c r="BL31" s="99"/>
      <c r="BN31" s="36"/>
      <c r="BO31" s="34">
        <v>0.5</v>
      </c>
      <c r="BP31" s="34"/>
      <c r="BQ31" s="34">
        <v>0.5</v>
      </c>
      <c r="BR31" s="98"/>
      <c r="BS31" s="99"/>
      <c r="BU31" s="36"/>
      <c r="BV31" s="34">
        <v>0.5</v>
      </c>
      <c r="BW31" s="34"/>
      <c r="BX31" s="34">
        <v>0.5</v>
      </c>
      <c r="BY31" s="98"/>
      <c r="BZ31" s="99"/>
      <c r="CB31" s="36"/>
      <c r="CC31" s="34">
        <v>0.5</v>
      </c>
      <c r="CD31" s="34"/>
      <c r="CE31" s="34">
        <v>0.5</v>
      </c>
      <c r="CF31" s="98"/>
      <c r="CG31" s="99"/>
      <c r="CI31" s="36"/>
      <c r="CJ31" s="34">
        <v>0.5</v>
      </c>
      <c r="CK31" s="34"/>
      <c r="CL31" s="34">
        <v>0.5</v>
      </c>
      <c r="CM31" s="98"/>
      <c r="CN31" s="99"/>
      <c r="CP31" s="36"/>
      <c r="CQ31" s="34">
        <v>0.5</v>
      </c>
      <c r="CR31" s="34"/>
      <c r="CS31" s="34">
        <v>0.5</v>
      </c>
      <c r="CT31" s="98"/>
      <c r="CU31" s="99"/>
      <c r="CW31" s="36"/>
      <c r="CX31" s="34">
        <v>0.5</v>
      </c>
      <c r="CY31" s="34"/>
      <c r="CZ31" s="34">
        <v>0.5</v>
      </c>
      <c r="DA31" s="98"/>
      <c r="DB31" s="99"/>
      <c r="DD31" s="36"/>
      <c r="DE31" s="34">
        <v>0.8</v>
      </c>
      <c r="DF31" s="34"/>
      <c r="DG31" s="34">
        <v>0.8</v>
      </c>
      <c r="DH31" s="98"/>
      <c r="DI31" s="99"/>
      <c r="DK31" s="36"/>
      <c r="DL31" s="34">
        <v>0.8</v>
      </c>
      <c r="DM31" s="34"/>
      <c r="DN31" s="34">
        <v>0.8</v>
      </c>
      <c r="DO31" s="98"/>
      <c r="DP31" s="99"/>
      <c r="DR31" s="36"/>
      <c r="DS31" s="34">
        <v>1</v>
      </c>
      <c r="DT31" s="34"/>
      <c r="DU31" s="34">
        <v>1</v>
      </c>
      <c r="DV31" s="98"/>
      <c r="DW31" s="99"/>
      <c r="DY31" s="36"/>
      <c r="DZ31" s="34">
        <v>1</v>
      </c>
      <c r="EA31" s="34"/>
      <c r="EB31" s="34">
        <v>1</v>
      </c>
      <c r="EC31" s="98"/>
      <c r="ED31" s="99"/>
      <c r="EF31" s="36"/>
      <c r="EG31" s="34">
        <v>1</v>
      </c>
      <c r="EH31" s="34"/>
      <c r="EI31" s="34">
        <v>1</v>
      </c>
      <c r="EJ31" s="98"/>
      <c r="EK31" s="99"/>
    </row>
    <row r="33" spans="2:159" x14ac:dyDescent="0.2">
      <c r="B33" s="40" t="s">
        <v>92</v>
      </c>
      <c r="C33" s="129">
        <v>5</v>
      </c>
      <c r="D33" s="129"/>
      <c r="E33" s="129"/>
      <c r="F33" s="129"/>
      <c r="G33" s="130"/>
      <c r="H33" s="125">
        <f>+SUM(H34:H46)</f>
        <v>1</v>
      </c>
      <c r="I33" s="126"/>
      <c r="J33" s="106">
        <f>+SUMPRODUCT(H34:I39,J34:K39)</f>
        <v>0</v>
      </c>
      <c r="K33" s="104"/>
      <c r="L33" s="104">
        <f>+SUMPRODUCT(H34:I39,L34:M39)</f>
        <v>0</v>
      </c>
      <c r="M33" s="104"/>
      <c r="N33" s="104"/>
      <c r="O33" s="105"/>
      <c r="Q33" s="37"/>
      <c r="R33" s="38"/>
      <c r="S33" s="38"/>
      <c r="T33" s="38"/>
      <c r="U33" s="104"/>
      <c r="V33" s="105"/>
      <c r="X33" s="37"/>
      <c r="Y33" s="38"/>
      <c r="Z33" s="38"/>
      <c r="AA33" s="38"/>
      <c r="AB33" s="104"/>
      <c r="AC33" s="105"/>
      <c r="AE33" s="37"/>
      <c r="AF33" s="38"/>
      <c r="AG33" s="38"/>
      <c r="AH33" s="38"/>
      <c r="AI33" s="104"/>
      <c r="AJ33" s="105"/>
      <c r="AL33" s="37"/>
      <c r="AM33" s="38"/>
      <c r="AN33" s="38"/>
      <c r="AO33" s="38"/>
      <c r="AP33" s="104"/>
      <c r="AQ33" s="105"/>
      <c r="AS33" s="37"/>
      <c r="AT33" s="38"/>
      <c r="AU33" s="38"/>
      <c r="AV33" s="38"/>
      <c r="AW33" s="104"/>
      <c r="AX33" s="105"/>
      <c r="AZ33" s="37"/>
      <c r="BA33" s="38"/>
      <c r="BB33" s="38"/>
      <c r="BC33" s="38"/>
      <c r="BD33" s="104"/>
      <c r="BE33" s="105"/>
      <c r="BG33" s="37"/>
      <c r="BH33" s="38"/>
      <c r="BI33" s="38"/>
      <c r="BJ33" s="38"/>
      <c r="BK33" s="104"/>
      <c r="BL33" s="105"/>
      <c r="BN33" s="37"/>
      <c r="BO33" s="38"/>
      <c r="BP33" s="38"/>
      <c r="BQ33" s="38"/>
      <c r="BR33" s="104"/>
      <c r="BS33" s="105"/>
      <c r="BU33" s="37"/>
      <c r="BV33" s="38"/>
      <c r="BW33" s="38"/>
      <c r="BX33" s="38"/>
      <c r="BY33" s="104"/>
      <c r="BZ33" s="105"/>
      <c r="CB33" s="37"/>
      <c r="CC33" s="38"/>
      <c r="CD33" s="38"/>
      <c r="CE33" s="38"/>
      <c r="CF33" s="104"/>
      <c r="CG33" s="105"/>
      <c r="CI33" s="37"/>
      <c r="CJ33" s="38"/>
      <c r="CK33" s="38"/>
      <c r="CL33" s="38"/>
      <c r="CM33" s="104"/>
      <c r="CN33" s="105"/>
      <c r="CP33" s="37"/>
      <c r="CQ33" s="38"/>
      <c r="CR33" s="38"/>
      <c r="CS33" s="38"/>
      <c r="CT33" s="104"/>
      <c r="CU33" s="105"/>
      <c r="CW33" s="37"/>
      <c r="CX33" s="38"/>
      <c r="CY33" s="38"/>
      <c r="CZ33" s="38"/>
      <c r="DA33" s="104"/>
      <c r="DB33" s="105"/>
      <c r="DD33" s="37"/>
      <c r="DE33" s="38"/>
      <c r="DF33" s="38"/>
      <c r="DG33" s="38"/>
      <c r="DH33" s="104"/>
      <c r="DI33" s="105"/>
      <c r="DK33" s="37"/>
      <c r="DL33" s="38"/>
      <c r="DM33" s="38"/>
      <c r="DN33" s="38"/>
      <c r="DO33" s="104"/>
      <c r="DP33" s="105"/>
      <c r="DR33" s="37"/>
      <c r="DS33" s="38"/>
      <c r="DT33" s="38"/>
      <c r="DU33" s="38"/>
      <c r="DV33" s="104"/>
      <c r="DW33" s="105"/>
      <c r="DY33" s="37"/>
      <c r="DZ33" s="38"/>
      <c r="EA33" s="38"/>
      <c r="EB33" s="38"/>
      <c r="EC33" s="104"/>
      <c r="ED33" s="105"/>
      <c r="EF33" s="37"/>
      <c r="EG33" s="38"/>
      <c r="EH33" s="38"/>
      <c r="EI33" s="38"/>
      <c r="EJ33" s="104"/>
      <c r="EK33" s="105"/>
    </row>
    <row r="34" spans="2:159" outlineLevel="1" x14ac:dyDescent="0.2">
      <c r="B34" s="10" t="s">
        <v>92</v>
      </c>
      <c r="C34" s="115" t="s">
        <v>93</v>
      </c>
      <c r="D34" s="115"/>
      <c r="E34" s="115"/>
      <c r="F34" s="115"/>
      <c r="G34" s="116"/>
      <c r="H34" s="123">
        <v>0.1</v>
      </c>
      <c r="I34" s="124"/>
      <c r="J34" s="103" cm="1">
        <f t="array" ref="J34">MAX(IF(Q4:EK4=J4,Q34:EK34))</f>
        <v>0</v>
      </c>
      <c r="K34" s="100"/>
      <c r="L34" s="100" cm="1">
        <f t="array" ref="L34">MAX(IF(Q4:EK4=L4,Q34:EK34))</f>
        <v>0</v>
      </c>
      <c r="M34" s="100"/>
      <c r="N34" s="100"/>
      <c r="O34" s="101"/>
      <c r="Q34" s="35"/>
      <c r="R34" s="33">
        <v>0.5</v>
      </c>
      <c r="S34" s="33"/>
      <c r="T34" s="33">
        <v>0.5</v>
      </c>
      <c r="U34" s="100"/>
      <c r="V34" s="101"/>
      <c r="X34" s="35"/>
      <c r="Y34" s="33">
        <v>0.5</v>
      </c>
      <c r="Z34" s="33"/>
      <c r="AA34" s="33">
        <v>0.5</v>
      </c>
      <c r="AB34" s="100"/>
      <c r="AC34" s="101"/>
      <c r="AE34" s="35"/>
      <c r="AF34" s="33">
        <v>0.8</v>
      </c>
      <c r="AG34" s="33"/>
      <c r="AH34" s="33">
        <v>0.8</v>
      </c>
      <c r="AI34" s="100"/>
      <c r="AJ34" s="101"/>
      <c r="AL34" s="35"/>
      <c r="AM34" s="33">
        <v>0.8</v>
      </c>
      <c r="AN34" s="33"/>
      <c r="AO34" s="33">
        <v>0.8</v>
      </c>
      <c r="AP34" s="100"/>
      <c r="AQ34" s="101"/>
      <c r="AS34" s="35"/>
      <c r="AT34" s="33">
        <v>0.8</v>
      </c>
      <c r="AU34" s="33"/>
      <c r="AV34" s="33">
        <v>0.8</v>
      </c>
      <c r="AW34" s="100"/>
      <c r="AX34" s="101"/>
      <c r="AZ34" s="35"/>
      <c r="BA34" s="33">
        <v>0.8</v>
      </c>
      <c r="BB34" s="33"/>
      <c r="BC34" s="33">
        <v>0.8</v>
      </c>
      <c r="BD34" s="100"/>
      <c r="BE34" s="101"/>
      <c r="BG34" s="35"/>
      <c r="BH34" s="33">
        <v>0.8</v>
      </c>
      <c r="BI34" s="33"/>
      <c r="BJ34" s="33">
        <v>0.8</v>
      </c>
      <c r="BK34" s="100"/>
      <c r="BL34" s="101"/>
      <c r="BN34" s="35"/>
      <c r="BO34" s="33">
        <v>0.8</v>
      </c>
      <c r="BP34" s="33"/>
      <c r="BQ34" s="33">
        <v>0.8</v>
      </c>
      <c r="BR34" s="100"/>
      <c r="BS34" s="101"/>
      <c r="BU34" s="35"/>
      <c r="BV34" s="33">
        <v>1</v>
      </c>
      <c r="BW34" s="33"/>
      <c r="BX34" s="33">
        <v>1</v>
      </c>
      <c r="BY34" s="100"/>
      <c r="BZ34" s="101"/>
      <c r="CB34" s="35"/>
      <c r="CC34" s="33">
        <v>1</v>
      </c>
      <c r="CD34" s="33"/>
      <c r="CE34" s="33">
        <v>1</v>
      </c>
      <c r="CF34" s="100"/>
      <c r="CG34" s="101"/>
      <c r="CI34" s="35"/>
      <c r="CJ34" s="33">
        <v>1</v>
      </c>
      <c r="CK34" s="33"/>
      <c r="CL34" s="33">
        <v>1</v>
      </c>
      <c r="CM34" s="100"/>
      <c r="CN34" s="101"/>
      <c r="CP34" s="35"/>
      <c r="CQ34" s="33">
        <v>1</v>
      </c>
      <c r="CR34" s="33"/>
      <c r="CS34" s="33">
        <v>1</v>
      </c>
      <c r="CT34" s="100"/>
      <c r="CU34" s="101"/>
      <c r="CW34" s="35"/>
      <c r="CX34" s="33">
        <v>1</v>
      </c>
      <c r="CY34" s="33"/>
      <c r="CZ34" s="33">
        <v>1</v>
      </c>
      <c r="DA34" s="100"/>
      <c r="DB34" s="101"/>
      <c r="DD34" s="35"/>
      <c r="DE34" s="33">
        <v>1</v>
      </c>
      <c r="DF34" s="33"/>
      <c r="DG34" s="33">
        <v>1</v>
      </c>
      <c r="DH34" s="100"/>
      <c r="DI34" s="101"/>
      <c r="DK34" s="35"/>
      <c r="DL34" s="33">
        <v>1</v>
      </c>
      <c r="DM34" s="33"/>
      <c r="DN34" s="33">
        <v>1</v>
      </c>
      <c r="DO34" s="100"/>
      <c r="DP34" s="101"/>
      <c r="DR34" s="35"/>
      <c r="DS34" s="33">
        <v>1</v>
      </c>
      <c r="DT34" s="33"/>
      <c r="DU34" s="33">
        <v>1</v>
      </c>
      <c r="DV34" s="100"/>
      <c r="DW34" s="101"/>
      <c r="DY34" s="35"/>
      <c r="DZ34" s="33">
        <v>1</v>
      </c>
      <c r="EA34" s="33"/>
      <c r="EB34" s="33">
        <v>1</v>
      </c>
      <c r="EC34" s="100"/>
      <c r="ED34" s="101"/>
      <c r="EF34" s="35"/>
      <c r="EG34" s="33">
        <v>1</v>
      </c>
      <c r="EH34" s="33"/>
      <c r="EI34" s="33">
        <v>1</v>
      </c>
      <c r="EJ34" s="100"/>
      <c r="EK34" s="101"/>
    </row>
    <row r="35" spans="2:159" outlineLevel="1" x14ac:dyDescent="0.2">
      <c r="B35" s="10" t="s">
        <v>92</v>
      </c>
      <c r="C35" s="115" t="s">
        <v>94</v>
      </c>
      <c r="D35" s="115"/>
      <c r="E35" s="115"/>
      <c r="F35" s="115"/>
      <c r="G35" s="116"/>
      <c r="H35" s="123">
        <v>0.2</v>
      </c>
      <c r="I35" s="124"/>
      <c r="J35" s="103" cm="1">
        <f t="array" ref="J35">MAX(IF(Q4:EK4=J4,Q35:EK35))</f>
        <v>0</v>
      </c>
      <c r="K35" s="100"/>
      <c r="L35" s="100" cm="1">
        <f t="array" ref="L35">MAX(IF(Q4:EK4=L4,Q35:EK35))</f>
        <v>0</v>
      </c>
      <c r="M35" s="100"/>
      <c r="N35" s="100"/>
      <c r="O35" s="101"/>
      <c r="Q35" s="35"/>
      <c r="R35" s="33">
        <v>0.5</v>
      </c>
      <c r="S35" s="33"/>
      <c r="T35" s="33">
        <v>0.5</v>
      </c>
      <c r="U35" s="100"/>
      <c r="V35" s="101"/>
      <c r="X35" s="35"/>
      <c r="Y35" s="33">
        <v>0.5</v>
      </c>
      <c r="Z35" s="33"/>
      <c r="AA35" s="33">
        <v>0.5</v>
      </c>
      <c r="AB35" s="100"/>
      <c r="AC35" s="101"/>
      <c r="AE35" s="35"/>
      <c r="AF35" s="33">
        <v>0.5</v>
      </c>
      <c r="AG35" s="33"/>
      <c r="AH35" s="33">
        <v>0.5</v>
      </c>
      <c r="AI35" s="100"/>
      <c r="AJ35" s="101"/>
      <c r="AL35" s="35"/>
      <c r="AM35" s="33">
        <v>0.5</v>
      </c>
      <c r="AN35" s="33"/>
      <c r="AO35" s="33">
        <v>0.5</v>
      </c>
      <c r="AP35" s="100"/>
      <c r="AQ35" s="101"/>
      <c r="AS35" s="35"/>
      <c r="AT35" s="33">
        <v>0.8</v>
      </c>
      <c r="AU35" s="33"/>
      <c r="AV35" s="33">
        <v>0.8</v>
      </c>
      <c r="AW35" s="100"/>
      <c r="AX35" s="101"/>
      <c r="AZ35" s="35"/>
      <c r="BA35" s="33">
        <v>0.8</v>
      </c>
      <c r="BB35" s="33"/>
      <c r="BC35" s="33">
        <v>0.8</v>
      </c>
      <c r="BD35" s="100"/>
      <c r="BE35" s="101"/>
      <c r="BG35" s="35"/>
      <c r="BH35" s="33">
        <v>0.8</v>
      </c>
      <c r="BI35" s="33"/>
      <c r="BJ35" s="33">
        <v>0.8</v>
      </c>
      <c r="BK35" s="100"/>
      <c r="BL35" s="101"/>
      <c r="BN35" s="35"/>
      <c r="BO35" s="33">
        <v>0.8</v>
      </c>
      <c r="BP35" s="33"/>
      <c r="BQ35" s="33">
        <v>0.8</v>
      </c>
      <c r="BR35" s="100"/>
      <c r="BS35" s="101"/>
      <c r="BU35" s="35"/>
      <c r="BV35" s="33">
        <v>0.8</v>
      </c>
      <c r="BW35" s="33"/>
      <c r="BX35" s="33">
        <v>0.8</v>
      </c>
      <c r="BY35" s="100"/>
      <c r="BZ35" s="101"/>
      <c r="CB35" s="35"/>
      <c r="CC35" s="33">
        <v>0.8</v>
      </c>
      <c r="CD35" s="33"/>
      <c r="CE35" s="33">
        <v>0.8</v>
      </c>
      <c r="CF35" s="100"/>
      <c r="CG35" s="101"/>
      <c r="CI35" s="35"/>
      <c r="CJ35" s="33">
        <v>0.8</v>
      </c>
      <c r="CK35" s="33"/>
      <c r="CL35" s="33">
        <v>0.8</v>
      </c>
      <c r="CM35" s="100"/>
      <c r="CN35" s="101"/>
      <c r="CP35" s="35"/>
      <c r="CQ35" s="33">
        <v>1</v>
      </c>
      <c r="CR35" s="33"/>
      <c r="CS35" s="33">
        <v>1</v>
      </c>
      <c r="CT35" s="100"/>
      <c r="CU35" s="101"/>
      <c r="CW35" s="35"/>
      <c r="CX35" s="33">
        <v>1</v>
      </c>
      <c r="CY35" s="33"/>
      <c r="CZ35" s="33">
        <v>1</v>
      </c>
      <c r="DA35" s="100"/>
      <c r="DB35" s="101"/>
      <c r="DD35" s="35"/>
      <c r="DE35" s="33">
        <v>1</v>
      </c>
      <c r="DF35" s="33"/>
      <c r="DG35" s="33">
        <v>1</v>
      </c>
      <c r="DH35" s="100"/>
      <c r="DI35" s="101"/>
      <c r="DK35" s="35"/>
      <c r="DL35" s="33">
        <v>1</v>
      </c>
      <c r="DM35" s="33"/>
      <c r="DN35" s="33">
        <v>1</v>
      </c>
      <c r="DO35" s="100"/>
      <c r="DP35" s="101"/>
      <c r="DR35" s="35"/>
      <c r="DS35" s="33">
        <v>1</v>
      </c>
      <c r="DT35" s="33"/>
      <c r="DU35" s="33">
        <v>1</v>
      </c>
      <c r="DV35" s="100"/>
      <c r="DW35" s="101"/>
      <c r="DY35" s="35"/>
      <c r="DZ35" s="33">
        <v>1</v>
      </c>
      <c r="EA35" s="33"/>
      <c r="EB35" s="33">
        <v>1</v>
      </c>
      <c r="EC35" s="100"/>
      <c r="ED35" s="101"/>
      <c r="EF35" s="35"/>
      <c r="EG35" s="33">
        <v>1</v>
      </c>
      <c r="EH35" s="33"/>
      <c r="EI35" s="33">
        <v>1</v>
      </c>
      <c r="EJ35" s="100"/>
      <c r="EK35" s="101"/>
    </row>
    <row r="36" spans="2:159" outlineLevel="1" x14ac:dyDescent="0.2">
      <c r="B36" s="10" t="s">
        <v>92</v>
      </c>
      <c r="C36" s="115" t="s">
        <v>95</v>
      </c>
      <c r="D36" s="115"/>
      <c r="E36" s="115"/>
      <c r="F36" s="115"/>
      <c r="G36" s="116"/>
      <c r="H36" s="123">
        <v>0.2</v>
      </c>
      <c r="I36" s="124"/>
      <c r="J36" s="103" cm="1">
        <f t="array" ref="J36">MAX(IF(Q4:EK4=J4,Q36:EK36))</f>
        <v>0</v>
      </c>
      <c r="K36" s="100"/>
      <c r="L36" s="100" cm="1">
        <f t="array" ref="L36">MAX(IF(Q4:EK4=L4,Q36:EK36))</f>
        <v>0</v>
      </c>
      <c r="M36" s="100"/>
      <c r="N36" s="100"/>
      <c r="O36" s="101"/>
      <c r="Q36" s="35"/>
      <c r="R36" s="33"/>
      <c r="S36" s="33"/>
      <c r="T36" s="33"/>
      <c r="U36" s="100"/>
      <c r="V36" s="101"/>
      <c r="W36">
        <v>2</v>
      </c>
      <c r="X36" s="35"/>
      <c r="Y36" s="33">
        <v>0.5</v>
      </c>
      <c r="Z36" s="33"/>
      <c r="AA36" s="33">
        <v>0.5</v>
      </c>
      <c r="AB36" s="100"/>
      <c r="AC36" s="101"/>
      <c r="AD36">
        <v>2</v>
      </c>
      <c r="AE36" s="35"/>
      <c r="AF36" s="33">
        <v>0.5</v>
      </c>
      <c r="AG36" s="33"/>
      <c r="AH36" s="33">
        <v>0.5</v>
      </c>
      <c r="AI36" s="100"/>
      <c r="AJ36" s="101"/>
      <c r="AK36">
        <v>1</v>
      </c>
      <c r="AL36" s="35"/>
      <c r="AM36" s="33">
        <v>0.5</v>
      </c>
      <c r="AN36" s="33"/>
      <c r="AO36" s="33">
        <v>0.5</v>
      </c>
      <c r="AP36" s="100"/>
      <c r="AQ36" s="101"/>
      <c r="AR36">
        <v>1</v>
      </c>
      <c r="AS36" s="35"/>
      <c r="AT36" s="33">
        <v>0.5</v>
      </c>
      <c r="AU36" s="33"/>
      <c r="AV36" s="33">
        <v>0.5</v>
      </c>
      <c r="AW36" s="100"/>
      <c r="AX36" s="101"/>
      <c r="AY36">
        <v>1</v>
      </c>
      <c r="AZ36" s="35"/>
      <c r="BA36" s="33">
        <v>0.5</v>
      </c>
      <c r="BB36" s="33"/>
      <c r="BC36" s="33">
        <v>0.5</v>
      </c>
      <c r="BD36" s="100"/>
      <c r="BE36" s="101"/>
      <c r="BG36" s="35"/>
      <c r="BH36" s="33">
        <v>0.8</v>
      </c>
      <c r="BI36" s="33"/>
      <c r="BJ36" s="33">
        <v>0.8</v>
      </c>
      <c r="BK36" s="100"/>
      <c r="BL36" s="101"/>
      <c r="BN36" s="35"/>
      <c r="BO36" s="33">
        <v>0.8</v>
      </c>
      <c r="BP36" s="33"/>
      <c r="BQ36" s="33">
        <v>0.8</v>
      </c>
      <c r="BR36" s="100"/>
      <c r="BS36" s="101"/>
      <c r="BU36" s="35"/>
      <c r="BV36" s="33">
        <v>0.8</v>
      </c>
      <c r="BW36" s="33"/>
      <c r="BX36" s="33">
        <v>0.8</v>
      </c>
      <c r="BY36" s="100"/>
      <c r="BZ36" s="101"/>
      <c r="CB36" s="35"/>
      <c r="CC36" s="33">
        <v>0.8</v>
      </c>
      <c r="CD36" s="33"/>
      <c r="CE36" s="33">
        <v>0.8</v>
      </c>
      <c r="CF36" s="100"/>
      <c r="CG36" s="101"/>
      <c r="CH36">
        <v>1</v>
      </c>
      <c r="CI36" s="35"/>
      <c r="CJ36" s="33">
        <v>0.8</v>
      </c>
      <c r="CK36" s="33"/>
      <c r="CL36" s="33">
        <v>0.8</v>
      </c>
      <c r="CM36" s="100"/>
      <c r="CN36" s="101"/>
      <c r="CO36">
        <v>0</v>
      </c>
      <c r="CP36" s="35"/>
      <c r="CQ36" s="33">
        <v>0.8</v>
      </c>
      <c r="CR36" s="33"/>
      <c r="CS36" s="33">
        <v>0.8</v>
      </c>
      <c r="CT36" s="100"/>
      <c r="CU36" s="101"/>
      <c r="CV36">
        <v>1</v>
      </c>
      <c r="CW36" s="35"/>
      <c r="CX36" s="33">
        <v>1</v>
      </c>
      <c r="CY36" s="33"/>
      <c r="CZ36" s="33">
        <v>1</v>
      </c>
      <c r="DA36" s="100"/>
      <c r="DB36" s="101"/>
      <c r="DC36">
        <v>2</v>
      </c>
      <c r="DD36" s="35"/>
      <c r="DE36" s="33">
        <v>1</v>
      </c>
      <c r="DF36" s="33"/>
      <c r="DG36" s="33">
        <v>1</v>
      </c>
      <c r="DH36" s="100"/>
      <c r="DI36" s="101"/>
      <c r="DK36" s="35"/>
      <c r="DL36" s="33">
        <v>1</v>
      </c>
      <c r="DM36" s="33"/>
      <c r="DN36" s="33">
        <v>1</v>
      </c>
      <c r="DO36" s="100"/>
      <c r="DP36" s="101"/>
      <c r="DQ36">
        <v>1</v>
      </c>
      <c r="DR36" s="35"/>
      <c r="DS36" s="33">
        <v>1</v>
      </c>
      <c r="DT36" s="33"/>
      <c r="DU36" s="33">
        <v>1</v>
      </c>
      <c r="DV36" s="100"/>
      <c r="DW36" s="101"/>
      <c r="DX36">
        <v>1</v>
      </c>
      <c r="DY36" s="35"/>
      <c r="DZ36" s="33">
        <v>1</v>
      </c>
      <c r="EA36" s="33"/>
      <c r="EB36" s="33">
        <v>1</v>
      </c>
      <c r="EC36" s="100"/>
      <c r="ED36" s="101"/>
      <c r="EF36" s="35"/>
      <c r="EG36" s="33">
        <v>1</v>
      </c>
      <c r="EH36" s="33"/>
      <c r="EI36" s="33">
        <v>1</v>
      </c>
      <c r="EJ36" s="100"/>
      <c r="EK36" s="101"/>
    </row>
    <row r="37" spans="2:159" outlineLevel="1" x14ac:dyDescent="0.2">
      <c r="B37" s="10" t="s">
        <v>92</v>
      </c>
      <c r="C37" s="115" t="s">
        <v>96</v>
      </c>
      <c r="D37" s="115"/>
      <c r="E37" s="115"/>
      <c r="F37" s="115"/>
      <c r="G37" s="116"/>
      <c r="H37" s="123">
        <v>0.2</v>
      </c>
      <c r="I37" s="124"/>
      <c r="J37" s="103" cm="1">
        <f t="array" ref="J37">MAX(IF(Q4:EK4=J4,Q37:EK37))</f>
        <v>0</v>
      </c>
      <c r="K37" s="100"/>
      <c r="L37" s="100" cm="1">
        <f t="array" ref="L37">MAX(IF(Q4:EK4=L4,Q37:EK37))</f>
        <v>0</v>
      </c>
      <c r="M37" s="100"/>
      <c r="N37" s="100"/>
      <c r="O37" s="101"/>
      <c r="Q37" s="35"/>
      <c r="R37" s="33"/>
      <c r="S37" s="33"/>
      <c r="T37" s="33"/>
      <c r="U37" s="100"/>
      <c r="V37" s="101"/>
      <c r="X37" s="35"/>
      <c r="Y37" s="33">
        <v>0.5</v>
      </c>
      <c r="Z37" s="33"/>
      <c r="AA37" s="33">
        <v>0.5</v>
      </c>
      <c r="AB37" s="100"/>
      <c r="AC37" s="101"/>
      <c r="AE37" s="35"/>
      <c r="AF37" s="33">
        <v>0.5</v>
      </c>
      <c r="AG37" s="33"/>
      <c r="AH37" s="33">
        <v>0.5</v>
      </c>
      <c r="AI37" s="100"/>
      <c r="AJ37" s="101"/>
      <c r="AL37" s="35"/>
      <c r="AM37" s="33">
        <v>0.5</v>
      </c>
      <c r="AN37" s="33"/>
      <c r="AO37" s="33">
        <v>0.5</v>
      </c>
      <c r="AP37" s="100"/>
      <c r="AQ37" s="101"/>
      <c r="AS37" s="35"/>
      <c r="AT37" s="33">
        <v>0.5</v>
      </c>
      <c r="AU37" s="33"/>
      <c r="AV37" s="33">
        <v>0.5</v>
      </c>
      <c r="AW37" s="100"/>
      <c r="AX37" s="101"/>
      <c r="AZ37" s="35"/>
      <c r="BA37" s="33">
        <v>0.5</v>
      </c>
      <c r="BB37" s="33"/>
      <c r="BC37" s="33">
        <v>0.5</v>
      </c>
      <c r="BD37" s="100"/>
      <c r="BE37" s="101"/>
      <c r="BF37">
        <v>1</v>
      </c>
      <c r="BG37" s="35"/>
      <c r="BH37" s="33">
        <v>0.5</v>
      </c>
      <c r="BI37" s="33"/>
      <c r="BJ37" s="33">
        <v>0.5</v>
      </c>
      <c r="BK37" s="100"/>
      <c r="BL37" s="101"/>
      <c r="BN37" s="35"/>
      <c r="BO37" s="33">
        <v>0.8</v>
      </c>
      <c r="BP37" s="33"/>
      <c r="BQ37" s="33">
        <v>0.8</v>
      </c>
      <c r="BR37" s="100"/>
      <c r="BS37" s="101"/>
      <c r="BU37" s="35"/>
      <c r="BV37" s="33">
        <v>0.8</v>
      </c>
      <c r="BW37" s="33"/>
      <c r="BX37" s="33">
        <v>0.8</v>
      </c>
      <c r="BY37" s="100"/>
      <c r="BZ37" s="101"/>
      <c r="CB37" s="35"/>
      <c r="CC37" s="33">
        <v>0.8</v>
      </c>
      <c r="CD37" s="33"/>
      <c r="CE37" s="33">
        <v>0.8</v>
      </c>
      <c r="CF37" s="100"/>
      <c r="CG37" s="101"/>
      <c r="CI37" s="35"/>
      <c r="CJ37" s="33">
        <v>0.8</v>
      </c>
      <c r="CK37" s="33"/>
      <c r="CL37" s="33">
        <v>0.8</v>
      </c>
      <c r="CM37" s="100"/>
      <c r="CN37" s="101"/>
      <c r="CP37" s="35"/>
      <c r="CQ37" s="33">
        <v>0.8</v>
      </c>
      <c r="CR37" s="33"/>
      <c r="CS37" s="33">
        <v>0.8</v>
      </c>
      <c r="CT37" s="100"/>
      <c r="CU37" s="101"/>
      <c r="CW37" s="35"/>
      <c r="CX37" s="33">
        <v>0.8</v>
      </c>
      <c r="CY37" s="33"/>
      <c r="CZ37" s="33">
        <v>0.8</v>
      </c>
      <c r="DA37" s="100"/>
      <c r="DB37" s="101"/>
      <c r="DD37" s="35"/>
      <c r="DE37" s="33">
        <v>1</v>
      </c>
      <c r="DF37" s="33"/>
      <c r="DG37" s="33">
        <v>1</v>
      </c>
      <c r="DH37" s="100"/>
      <c r="DI37" s="101"/>
      <c r="DJ37">
        <v>1</v>
      </c>
      <c r="DK37" s="35"/>
      <c r="DL37" s="33">
        <v>1</v>
      </c>
      <c r="DM37" s="33"/>
      <c r="DN37" s="33">
        <v>1</v>
      </c>
      <c r="DO37" s="100"/>
      <c r="DP37" s="101"/>
      <c r="DR37" s="35"/>
      <c r="DS37" s="33">
        <v>1</v>
      </c>
      <c r="DT37" s="33"/>
      <c r="DU37" s="33">
        <v>1</v>
      </c>
      <c r="DV37" s="100"/>
      <c r="DW37" s="101"/>
      <c r="DY37" s="35"/>
      <c r="DZ37" s="33">
        <v>1</v>
      </c>
      <c r="EA37" s="33"/>
      <c r="EB37" s="33">
        <v>1</v>
      </c>
      <c r="EC37" s="100"/>
      <c r="ED37" s="101"/>
      <c r="EF37" s="35"/>
      <c r="EG37" s="33">
        <v>1</v>
      </c>
      <c r="EH37" s="33"/>
      <c r="EI37" s="33">
        <v>1</v>
      </c>
      <c r="EJ37" s="100"/>
      <c r="EK37" s="101"/>
    </row>
    <row r="38" spans="2:159" outlineLevel="1" x14ac:dyDescent="0.2">
      <c r="B38" s="10" t="s">
        <v>92</v>
      </c>
      <c r="C38" s="115" t="s">
        <v>97</v>
      </c>
      <c r="D38" s="115"/>
      <c r="E38" s="115"/>
      <c r="F38" s="115"/>
      <c r="G38" s="116"/>
      <c r="H38" s="123">
        <v>0.1</v>
      </c>
      <c r="I38" s="124"/>
      <c r="J38" s="103" cm="1">
        <f t="array" ref="J38">MAX(IF(Q4:EK4=J4,Q38:EK38))</f>
        <v>0</v>
      </c>
      <c r="K38" s="100"/>
      <c r="L38" s="100" cm="1">
        <f t="array" ref="L38">MAX(IF(Q4:EK4=L4,Q38:EK38))</f>
        <v>0</v>
      </c>
      <c r="M38" s="100"/>
      <c r="N38" s="100"/>
      <c r="O38" s="101"/>
      <c r="Q38" s="35"/>
      <c r="R38" s="33"/>
      <c r="S38" s="33"/>
      <c r="T38" s="33"/>
      <c r="U38" s="100"/>
      <c r="V38" s="101"/>
      <c r="X38" s="35"/>
      <c r="Y38" s="33"/>
      <c r="Z38" s="33"/>
      <c r="AA38" s="33"/>
      <c r="AB38" s="100"/>
      <c r="AC38" s="101"/>
      <c r="AE38" s="35"/>
      <c r="AF38" s="33"/>
      <c r="AG38" s="33"/>
      <c r="AH38" s="33"/>
      <c r="AI38" s="100"/>
      <c r="AJ38" s="101"/>
      <c r="AL38" s="35"/>
      <c r="AM38" s="33">
        <v>0.5</v>
      </c>
      <c r="AN38" s="33"/>
      <c r="AO38" s="33">
        <v>0.5</v>
      </c>
      <c r="AP38" s="100"/>
      <c r="AQ38" s="101"/>
      <c r="AS38" s="35"/>
      <c r="AT38" s="33">
        <v>0.5</v>
      </c>
      <c r="AU38" s="33"/>
      <c r="AV38" s="33">
        <v>0.5</v>
      </c>
      <c r="AW38" s="100"/>
      <c r="AX38" s="101"/>
      <c r="AZ38" s="35"/>
      <c r="BA38" s="33">
        <v>0.5</v>
      </c>
      <c r="BB38" s="33"/>
      <c r="BC38" s="33">
        <v>0.5</v>
      </c>
      <c r="BD38" s="100"/>
      <c r="BE38" s="101"/>
      <c r="BG38" s="35"/>
      <c r="BH38" s="33">
        <v>0.5</v>
      </c>
      <c r="BI38" s="33"/>
      <c r="BJ38" s="33">
        <v>0.5</v>
      </c>
      <c r="BK38" s="100"/>
      <c r="BL38" s="101"/>
      <c r="BM38">
        <v>1</v>
      </c>
      <c r="BN38" s="35"/>
      <c r="BO38" s="33">
        <v>0.5</v>
      </c>
      <c r="BP38" s="33"/>
      <c r="BQ38" s="33">
        <v>0.5</v>
      </c>
      <c r="BR38" s="100"/>
      <c r="BS38" s="101"/>
      <c r="BT38">
        <v>1</v>
      </c>
      <c r="BU38" s="35"/>
      <c r="BV38" s="33">
        <v>0.5</v>
      </c>
      <c r="BW38" s="33"/>
      <c r="BX38" s="33">
        <v>0.5</v>
      </c>
      <c r="BY38" s="100"/>
      <c r="BZ38" s="101"/>
      <c r="CA38">
        <v>1</v>
      </c>
      <c r="CB38" s="35"/>
      <c r="CC38" s="33">
        <v>0.8</v>
      </c>
      <c r="CD38" s="33"/>
      <c r="CE38" s="33">
        <v>0.8</v>
      </c>
      <c r="CF38" s="100"/>
      <c r="CG38" s="101"/>
      <c r="CI38" s="35"/>
      <c r="CJ38" s="33">
        <v>0.8</v>
      </c>
      <c r="CK38" s="33"/>
      <c r="CL38" s="33">
        <v>0.8</v>
      </c>
      <c r="CM38" s="100"/>
      <c r="CN38" s="101"/>
      <c r="CP38" s="35"/>
      <c r="CQ38" s="33">
        <v>0.8</v>
      </c>
      <c r="CR38" s="33"/>
      <c r="CS38" s="33">
        <v>0.8</v>
      </c>
      <c r="CT38" s="100"/>
      <c r="CU38" s="101"/>
      <c r="CW38" s="35"/>
      <c r="CX38" s="33">
        <v>0.8</v>
      </c>
      <c r="CY38" s="33"/>
      <c r="CZ38" s="33">
        <v>0.8</v>
      </c>
      <c r="DA38" s="100"/>
      <c r="DB38" s="101"/>
      <c r="DD38" s="35"/>
      <c r="DE38" s="33">
        <v>0.8</v>
      </c>
      <c r="DF38" s="33"/>
      <c r="DG38" s="33">
        <v>0.8</v>
      </c>
      <c r="DH38" s="100"/>
      <c r="DI38" s="101"/>
      <c r="DK38" s="35"/>
      <c r="DL38" s="33">
        <v>1</v>
      </c>
      <c r="DM38" s="33"/>
      <c r="DN38" s="33">
        <v>1</v>
      </c>
      <c r="DO38" s="100"/>
      <c r="DP38" s="101"/>
      <c r="DR38" s="35"/>
      <c r="DS38" s="33">
        <v>1</v>
      </c>
      <c r="DT38" s="33"/>
      <c r="DU38" s="33">
        <v>1</v>
      </c>
      <c r="DV38" s="100"/>
      <c r="DW38" s="101"/>
      <c r="DY38" s="35"/>
      <c r="DZ38" s="33">
        <v>1</v>
      </c>
      <c r="EA38" s="33"/>
      <c r="EB38" s="33">
        <v>1</v>
      </c>
      <c r="EC38" s="100"/>
      <c r="ED38" s="101"/>
      <c r="EF38" s="35"/>
      <c r="EG38" s="33">
        <v>1</v>
      </c>
      <c r="EH38" s="33"/>
      <c r="EI38" s="33">
        <v>1</v>
      </c>
      <c r="EJ38" s="100"/>
      <c r="EK38" s="101"/>
    </row>
    <row r="39" spans="2:159" outlineLevel="1" x14ac:dyDescent="0.2">
      <c r="B39" s="12" t="s">
        <v>92</v>
      </c>
      <c r="C39" s="119" t="s">
        <v>98</v>
      </c>
      <c r="D39" s="119"/>
      <c r="E39" s="119"/>
      <c r="F39" s="119"/>
      <c r="G39" s="120"/>
      <c r="H39" s="121">
        <v>0.2</v>
      </c>
      <c r="I39" s="122"/>
      <c r="J39" s="102" cm="1">
        <f t="array" ref="J39">MAX(IF(Q4:EK4=J4,Q39:EK39))</f>
        <v>0</v>
      </c>
      <c r="K39" s="98"/>
      <c r="L39" s="98" cm="1">
        <f t="array" ref="L39">MAX(IF(Q4:EK4=L4,Q39:EK39))</f>
        <v>0</v>
      </c>
      <c r="M39" s="98"/>
      <c r="N39" s="98"/>
      <c r="O39" s="99"/>
      <c r="Q39" s="36"/>
      <c r="R39" s="34"/>
      <c r="S39" s="34"/>
      <c r="T39" s="34"/>
      <c r="U39" s="98"/>
      <c r="V39" s="99"/>
      <c r="X39" s="36"/>
      <c r="Y39" s="34"/>
      <c r="Z39" s="34"/>
      <c r="AA39" s="34"/>
      <c r="AB39" s="98"/>
      <c r="AC39" s="99"/>
      <c r="AE39" s="36"/>
      <c r="AF39" s="34"/>
      <c r="AG39" s="34"/>
      <c r="AH39" s="34"/>
      <c r="AI39" s="98"/>
      <c r="AJ39" s="99"/>
      <c r="AL39" s="36"/>
      <c r="AM39" s="34"/>
      <c r="AN39" s="34"/>
      <c r="AO39" s="34"/>
      <c r="AP39" s="98"/>
      <c r="AQ39" s="99"/>
      <c r="AS39" s="36"/>
      <c r="AT39" s="34"/>
      <c r="AU39" s="34"/>
      <c r="AV39" s="34"/>
      <c r="AW39" s="98"/>
      <c r="AX39" s="99"/>
      <c r="AZ39" s="36"/>
      <c r="BA39" s="34">
        <v>0.5</v>
      </c>
      <c r="BB39" s="34"/>
      <c r="BC39" s="34">
        <v>0.5</v>
      </c>
      <c r="BD39" s="98"/>
      <c r="BE39" s="99"/>
      <c r="BG39" s="36"/>
      <c r="BH39" s="34">
        <v>0.5</v>
      </c>
      <c r="BI39" s="34"/>
      <c r="BJ39" s="34">
        <v>0.5</v>
      </c>
      <c r="BK39" s="98"/>
      <c r="BL39" s="99"/>
      <c r="BN39" s="36"/>
      <c r="BO39" s="34">
        <v>0.5</v>
      </c>
      <c r="BP39" s="34"/>
      <c r="BQ39" s="34">
        <v>0.5</v>
      </c>
      <c r="BR39" s="98"/>
      <c r="BS39" s="99"/>
      <c r="BU39" s="36"/>
      <c r="BV39" s="34">
        <v>0.5</v>
      </c>
      <c r="BW39" s="34"/>
      <c r="BX39" s="34">
        <v>0.5</v>
      </c>
      <c r="BY39" s="98"/>
      <c r="BZ39" s="99"/>
      <c r="CB39" s="36"/>
      <c r="CC39" s="34">
        <v>0.5</v>
      </c>
      <c r="CD39" s="34"/>
      <c r="CE39" s="34">
        <v>0.5</v>
      </c>
      <c r="CF39" s="98"/>
      <c r="CG39" s="99"/>
      <c r="CI39" s="36"/>
      <c r="CJ39" s="34">
        <v>0.5</v>
      </c>
      <c r="CK39" s="34"/>
      <c r="CL39" s="34">
        <v>0.5</v>
      </c>
      <c r="CM39" s="98"/>
      <c r="CN39" s="99"/>
      <c r="CP39" s="36"/>
      <c r="CQ39" s="34">
        <v>0.5</v>
      </c>
      <c r="CR39" s="34"/>
      <c r="CS39" s="34">
        <v>0.5</v>
      </c>
      <c r="CT39" s="98"/>
      <c r="CU39" s="99"/>
      <c r="CW39" s="36"/>
      <c r="CX39" s="34">
        <v>0.8</v>
      </c>
      <c r="CY39" s="34"/>
      <c r="CZ39" s="34">
        <v>0.8</v>
      </c>
      <c r="DA39" s="98"/>
      <c r="DB39" s="99"/>
      <c r="DD39" s="36"/>
      <c r="DE39" s="34">
        <v>0.8</v>
      </c>
      <c r="DF39" s="34"/>
      <c r="DG39" s="34">
        <v>0.8</v>
      </c>
      <c r="DH39" s="98"/>
      <c r="DI39" s="99"/>
      <c r="DK39" s="36"/>
      <c r="DL39" s="34">
        <v>0.8</v>
      </c>
      <c r="DM39" s="34"/>
      <c r="DN39" s="34">
        <v>0.8</v>
      </c>
      <c r="DO39" s="98"/>
      <c r="DP39" s="99"/>
      <c r="DR39" s="36"/>
      <c r="DS39" s="34">
        <v>1</v>
      </c>
      <c r="DT39" s="34"/>
      <c r="DU39" s="34">
        <v>1</v>
      </c>
      <c r="DV39" s="98"/>
      <c r="DW39" s="99"/>
      <c r="DY39" s="36"/>
      <c r="DZ39" s="34">
        <v>1</v>
      </c>
      <c r="EA39" s="34"/>
      <c r="EB39" s="34">
        <v>1</v>
      </c>
      <c r="EC39" s="98"/>
      <c r="ED39" s="99"/>
      <c r="EF39" s="36"/>
      <c r="EG39" s="34">
        <v>1</v>
      </c>
      <c r="EH39" s="34"/>
      <c r="EI39" s="34">
        <v>1</v>
      </c>
      <c r="EJ39" s="98"/>
      <c r="EK39" s="99"/>
    </row>
    <row r="40" spans="2:159" x14ac:dyDescent="0.2">
      <c r="C40" s="23"/>
      <c r="D40" s="23"/>
      <c r="E40" s="23"/>
      <c r="F40" s="23"/>
      <c r="H40" s="6"/>
      <c r="N40" s="6"/>
      <c r="O40" s="6"/>
      <c r="Q40" s="6"/>
      <c r="R40" s="6"/>
      <c r="S40" s="6"/>
      <c r="T40" s="6"/>
      <c r="U40" s="6"/>
      <c r="X40" s="6"/>
      <c r="Y40" s="6"/>
      <c r="Z40" s="6"/>
      <c r="AA40" s="6"/>
      <c r="AB40" s="6"/>
      <c r="AE40" s="6"/>
      <c r="AF40" s="6"/>
      <c r="AG40" s="6"/>
      <c r="AH40" s="6"/>
      <c r="AI40" s="6"/>
      <c r="AL40" s="6"/>
      <c r="AM40" s="6"/>
      <c r="AN40" s="6"/>
      <c r="AO40" s="6"/>
      <c r="AP40" s="6"/>
      <c r="AS40" s="6"/>
      <c r="AT40" s="6"/>
      <c r="AU40" s="6"/>
      <c r="AV40" s="6"/>
      <c r="AW40" s="6"/>
      <c r="AZ40" s="6"/>
      <c r="BA40" s="6"/>
      <c r="BB40" s="6"/>
      <c r="BC40" s="6"/>
      <c r="BD40" s="6"/>
      <c r="BG40" s="6"/>
      <c r="BH40" s="6"/>
      <c r="BI40" s="6"/>
      <c r="BJ40" s="6"/>
      <c r="BK40" s="6"/>
      <c r="BN40" s="6"/>
      <c r="BO40" s="6"/>
      <c r="BP40" s="6"/>
      <c r="BQ40" s="6"/>
      <c r="BR40" s="6"/>
      <c r="BU40" s="6"/>
      <c r="BV40" s="6"/>
      <c r="BW40" s="6"/>
      <c r="BX40" s="6"/>
      <c r="BY40" s="6"/>
      <c r="CB40" s="6"/>
      <c r="CC40" s="6"/>
      <c r="CD40" s="6"/>
      <c r="CE40" s="6"/>
      <c r="CF40" s="6"/>
      <c r="CI40" s="6"/>
      <c r="CJ40" s="6"/>
      <c r="CK40" s="6"/>
      <c r="CL40" s="6"/>
      <c r="CM40" s="6"/>
      <c r="CP40" s="6"/>
      <c r="CQ40" s="6"/>
      <c r="CR40" s="6"/>
      <c r="CS40" s="6"/>
      <c r="CT40" s="6"/>
      <c r="CW40" s="6"/>
      <c r="CX40" s="6"/>
      <c r="CY40" s="6"/>
      <c r="CZ40" s="6"/>
      <c r="DA40" s="6"/>
      <c r="DD40" s="6"/>
      <c r="DE40" s="6"/>
      <c r="DF40" s="6"/>
      <c r="DG40" s="6"/>
      <c r="DH40" s="6"/>
      <c r="DK40" s="6"/>
      <c r="DL40" s="6"/>
      <c r="DM40" s="6"/>
      <c r="DN40" s="6"/>
      <c r="DO40" s="6"/>
      <c r="DR40" s="6"/>
      <c r="DS40" s="6"/>
      <c r="DT40" s="6"/>
      <c r="DU40" s="6"/>
      <c r="DV40" s="6"/>
      <c r="DY40" s="6"/>
      <c r="DZ40" s="6"/>
      <c r="EA40" s="6"/>
      <c r="EB40" s="6"/>
      <c r="EC40" s="6"/>
      <c r="EF40" s="6"/>
      <c r="EG40" s="6"/>
      <c r="EH40" s="6"/>
      <c r="EI40" s="6"/>
      <c r="EJ40" s="6"/>
    </row>
    <row r="41" spans="2:159" x14ac:dyDescent="0.2">
      <c r="C41" s="23"/>
      <c r="D41" s="23"/>
      <c r="E41" s="23"/>
      <c r="F41" s="23"/>
      <c r="H41" s="6"/>
      <c r="N41" s="6"/>
      <c r="O41" s="6"/>
      <c r="Q41" s="6"/>
      <c r="R41" s="6"/>
      <c r="S41" s="6"/>
      <c r="T41" s="6"/>
      <c r="U41" s="6"/>
      <c r="X41" s="6"/>
      <c r="Y41" s="6"/>
      <c r="Z41" s="6"/>
      <c r="AA41" s="6"/>
      <c r="AB41" s="6"/>
      <c r="AE41" s="6"/>
      <c r="AF41" s="6"/>
      <c r="AG41" s="6"/>
      <c r="AH41" s="6"/>
      <c r="AI41" s="6"/>
      <c r="AL41" s="6"/>
      <c r="AM41" s="6"/>
      <c r="AN41" s="6"/>
      <c r="AO41" s="6"/>
      <c r="AP41" s="6"/>
      <c r="AS41" s="6"/>
      <c r="AT41" s="6"/>
      <c r="AU41" s="6"/>
      <c r="AV41" s="6"/>
      <c r="AW41" s="6"/>
      <c r="AZ41" s="6"/>
      <c r="BA41" s="6"/>
      <c r="BB41" s="6"/>
      <c r="BC41" s="6"/>
      <c r="BD41" s="6"/>
      <c r="BG41" s="6"/>
      <c r="BH41" s="6"/>
      <c r="BI41" s="6"/>
      <c r="BJ41" s="6"/>
      <c r="BK41" s="6"/>
      <c r="BN41" s="6"/>
      <c r="BO41" s="6"/>
      <c r="BP41" s="6"/>
      <c r="BQ41" s="6"/>
      <c r="BR41" s="6"/>
      <c r="BU41" s="6"/>
      <c r="BV41" s="6"/>
      <c r="BW41" s="6"/>
      <c r="BX41" s="6"/>
      <c r="BY41" s="6"/>
      <c r="CB41" s="6"/>
      <c r="CC41" s="6"/>
      <c r="CD41" s="6"/>
      <c r="CE41" s="6"/>
      <c r="CF41" s="6"/>
      <c r="CI41" s="6"/>
      <c r="CJ41" s="6"/>
      <c r="CK41" s="6"/>
      <c r="CL41" s="6"/>
      <c r="CM41" s="6"/>
      <c r="CP41" s="6"/>
      <c r="CQ41" s="6"/>
      <c r="CR41" s="6"/>
      <c r="CS41" s="6"/>
      <c r="CT41" s="6"/>
      <c r="CW41" s="6"/>
      <c r="CX41" s="6"/>
      <c r="CY41" s="6"/>
      <c r="CZ41" s="6"/>
      <c r="DA41" s="6"/>
      <c r="DB41" t="s">
        <v>112</v>
      </c>
      <c r="DD41" s="6"/>
      <c r="DE41" s="6"/>
      <c r="DF41" s="6"/>
      <c r="DG41" s="6"/>
      <c r="DH41" s="6"/>
      <c r="DK41" s="6"/>
      <c r="DL41" s="6"/>
      <c r="DM41" s="6"/>
      <c r="DN41" s="6"/>
      <c r="DO41" s="6"/>
      <c r="DR41" s="6"/>
      <c r="DS41" s="6"/>
      <c r="DT41" s="6"/>
      <c r="DU41" s="6"/>
      <c r="DV41" s="6"/>
      <c r="DY41" s="6"/>
      <c r="DZ41" s="6"/>
      <c r="EA41" s="6"/>
      <c r="EB41" s="6"/>
      <c r="EC41" s="6"/>
      <c r="EF41" s="6"/>
      <c r="EG41" s="6"/>
      <c r="EH41" s="6"/>
      <c r="EI41" s="6"/>
      <c r="EJ41" s="6"/>
    </row>
    <row r="42" spans="2:159" x14ac:dyDescent="0.2">
      <c r="C42" s="23"/>
      <c r="D42" s="23"/>
      <c r="E42" s="23"/>
      <c r="F42" s="23"/>
      <c r="H42" s="6"/>
      <c r="N42" s="6"/>
      <c r="O42" s="6"/>
      <c r="Q42" s="6"/>
      <c r="R42" s="6"/>
      <c r="S42" s="6"/>
      <c r="T42" s="6"/>
      <c r="U42" s="6"/>
      <c r="X42" s="6"/>
      <c r="Y42" s="6"/>
      <c r="Z42" s="6"/>
      <c r="AA42" s="6"/>
      <c r="AB42" s="6"/>
      <c r="AE42" s="6"/>
      <c r="AF42" s="6"/>
      <c r="AG42" s="6"/>
      <c r="AH42" s="6"/>
      <c r="AI42" s="6"/>
      <c r="AL42" s="6"/>
      <c r="AM42" s="6"/>
      <c r="AN42" s="6"/>
      <c r="AO42" s="6"/>
      <c r="AP42" s="6"/>
      <c r="AS42" s="6"/>
      <c r="AT42" s="6"/>
      <c r="AU42" s="6"/>
      <c r="AV42" s="6"/>
      <c r="AW42" s="6"/>
      <c r="AZ42" s="6"/>
      <c r="BA42" s="6"/>
      <c r="BB42" s="6"/>
      <c r="BC42" s="6"/>
      <c r="BD42" s="6"/>
      <c r="BG42" s="6"/>
      <c r="BH42" s="6"/>
      <c r="BI42" s="6"/>
      <c r="BJ42" s="6"/>
      <c r="BK42" s="6"/>
      <c r="BN42" s="6"/>
      <c r="BO42" s="6"/>
      <c r="BP42" s="6"/>
      <c r="BQ42" s="6"/>
      <c r="BR42" s="6"/>
      <c r="BU42" s="6"/>
      <c r="BV42" s="6"/>
      <c r="BW42" s="6"/>
      <c r="BX42" s="6"/>
      <c r="BY42" s="6"/>
      <c r="CB42" s="6"/>
      <c r="CC42" s="6"/>
      <c r="CD42" s="6"/>
      <c r="CE42" s="6"/>
      <c r="CF42" s="6"/>
      <c r="CI42" s="6"/>
      <c r="CJ42" s="6"/>
      <c r="CK42" s="6"/>
      <c r="CL42" s="6"/>
      <c r="CM42" s="6"/>
      <c r="CP42" s="6"/>
      <c r="CQ42" s="6"/>
      <c r="CR42" s="6"/>
      <c r="CS42" s="6"/>
      <c r="CT42" s="6"/>
      <c r="CW42" s="6"/>
      <c r="CX42" s="6"/>
      <c r="CY42" s="6"/>
      <c r="CZ42" s="6"/>
      <c r="DA42" s="6"/>
      <c r="DD42" s="6"/>
      <c r="DE42" s="6"/>
      <c r="DF42" s="6"/>
      <c r="DG42" s="6"/>
      <c r="DH42" s="6"/>
      <c r="DK42" s="6"/>
      <c r="DL42" s="6"/>
      <c r="DM42" s="6"/>
      <c r="DN42" s="6"/>
      <c r="DO42" s="6"/>
      <c r="DR42" s="6"/>
      <c r="DS42" s="6"/>
      <c r="DT42" s="6"/>
      <c r="DU42" s="6"/>
      <c r="DV42" s="6"/>
      <c r="DY42" s="6"/>
      <c r="DZ42" s="6"/>
      <c r="EA42" s="6"/>
      <c r="EB42" s="6"/>
      <c r="EC42" s="6"/>
      <c r="EF42" s="6"/>
      <c r="EG42" s="6"/>
      <c r="EH42" s="6"/>
      <c r="EI42" s="6"/>
      <c r="EJ42" s="6"/>
    </row>
    <row r="43" spans="2:159" x14ac:dyDescent="0.2">
      <c r="C43" s="23"/>
      <c r="D43" s="23"/>
      <c r="E43" s="23"/>
      <c r="F43" s="23"/>
      <c r="H43" s="6"/>
      <c r="N43" s="6"/>
      <c r="O43" s="6"/>
      <c r="Q43" s="6"/>
      <c r="R43" s="6"/>
      <c r="S43" s="6"/>
      <c r="T43" s="6"/>
      <c r="U43" s="6"/>
      <c r="X43" s="6"/>
      <c r="Y43" s="6"/>
      <c r="Z43" s="6"/>
      <c r="AA43" s="6"/>
      <c r="AB43" s="6"/>
      <c r="AE43" s="6"/>
      <c r="AF43" s="6"/>
      <c r="AG43" s="6"/>
      <c r="AH43" s="6"/>
      <c r="AI43" s="6"/>
      <c r="AL43" s="6"/>
      <c r="AM43" s="6"/>
      <c r="AN43" s="6"/>
      <c r="AO43" s="6"/>
      <c r="AP43" s="6"/>
      <c r="AS43" s="6"/>
      <c r="AT43" s="6"/>
      <c r="AU43" s="6"/>
      <c r="AV43" s="6"/>
      <c r="AW43" s="6"/>
      <c r="AZ43" s="6"/>
      <c r="BA43" s="6"/>
      <c r="BB43" s="6"/>
      <c r="BC43" s="6"/>
      <c r="BD43" s="6"/>
      <c r="BG43" s="6"/>
      <c r="BH43" s="6"/>
      <c r="BI43" s="6"/>
      <c r="BJ43" s="6"/>
      <c r="BK43" s="6"/>
      <c r="BN43" s="6"/>
      <c r="BO43" s="6"/>
      <c r="BP43" s="6"/>
      <c r="BQ43" s="6"/>
      <c r="BR43" s="6"/>
      <c r="BU43" s="6"/>
      <c r="BV43" s="6"/>
      <c r="BW43" s="6"/>
      <c r="BX43" s="6"/>
      <c r="BY43" s="6"/>
      <c r="CB43" s="6"/>
      <c r="CC43" s="6"/>
      <c r="CD43" s="6"/>
      <c r="CE43" s="6"/>
      <c r="CF43" s="6"/>
      <c r="CI43" s="6"/>
      <c r="CJ43" s="6"/>
      <c r="CK43" s="6"/>
      <c r="CL43" s="6"/>
      <c r="CM43" s="6"/>
      <c r="CP43" s="6"/>
      <c r="CQ43" s="6"/>
      <c r="CR43" s="6"/>
      <c r="CS43" s="6"/>
      <c r="CT43" s="6"/>
      <c r="CW43" s="6"/>
      <c r="CX43" s="6"/>
      <c r="CY43" s="6"/>
      <c r="CZ43" s="6"/>
      <c r="DA43" s="6"/>
      <c r="DD43" s="6"/>
      <c r="DE43" s="6"/>
      <c r="DF43" s="6"/>
      <c r="DG43" s="6"/>
      <c r="DH43" s="6"/>
      <c r="DK43" s="6"/>
      <c r="DL43" s="6"/>
      <c r="DM43" s="6"/>
      <c r="DN43" s="6"/>
      <c r="DO43" s="6"/>
      <c r="DR43" s="6"/>
      <c r="DS43" s="6"/>
      <c r="DT43" s="6"/>
      <c r="DU43" s="6"/>
      <c r="DV43" s="6"/>
      <c r="DY43" s="6"/>
      <c r="DZ43" s="6"/>
      <c r="EA43" s="6"/>
      <c r="EB43" s="6"/>
      <c r="EC43" s="6"/>
      <c r="EF43" s="6"/>
      <c r="EG43" s="6"/>
      <c r="EH43" s="6"/>
      <c r="EI43" s="6"/>
      <c r="EJ43" s="6"/>
    </row>
    <row r="44" spans="2:159" x14ac:dyDescent="0.2">
      <c r="C44" s="22"/>
      <c r="D44" s="22"/>
      <c r="E44" s="22"/>
      <c r="F44" s="22"/>
      <c r="H44" s="6"/>
      <c r="J44" s="22"/>
      <c r="O44" s="30"/>
      <c r="P44" s="30"/>
      <c r="S44" s="6"/>
      <c r="T44" s="6"/>
      <c r="U44" s="6"/>
      <c r="V44" s="6"/>
      <c r="W44" s="6"/>
      <c r="AA44" s="6"/>
      <c r="AB44" s="6"/>
      <c r="AC44" s="6"/>
      <c r="AD44" s="6"/>
      <c r="AE44" s="6"/>
      <c r="AI44" s="6"/>
      <c r="AJ44" s="6"/>
      <c r="AK44" s="6"/>
      <c r="AL44" s="6"/>
      <c r="AM44" s="6"/>
      <c r="AQ44" s="6"/>
      <c r="AR44" s="6"/>
      <c r="AS44" s="6"/>
      <c r="AT44" s="6"/>
      <c r="AU44" s="6"/>
      <c r="AY44" s="6"/>
      <c r="AZ44" s="6"/>
      <c r="BA44" s="6"/>
      <c r="BB44" s="6"/>
      <c r="BC44" s="6"/>
      <c r="BG44" s="6"/>
      <c r="BH44" s="6"/>
      <c r="BI44" s="6"/>
      <c r="BJ44" s="6"/>
      <c r="BK44" s="6"/>
      <c r="BO44" s="6"/>
      <c r="BP44" s="6"/>
      <c r="BQ44" s="6"/>
      <c r="BR44" s="6"/>
      <c r="BS44" s="6"/>
      <c r="BW44" s="6"/>
      <c r="BX44" s="6"/>
      <c r="BY44" s="6"/>
      <c r="BZ44" s="6"/>
      <c r="CA44" s="6"/>
      <c r="CE44" s="6"/>
      <c r="CF44" s="6"/>
      <c r="CG44" s="6"/>
      <c r="CH44" s="6"/>
      <c r="CI44" s="6"/>
      <c r="CM44" s="6"/>
      <c r="CN44" s="6"/>
      <c r="CO44" s="6"/>
      <c r="CP44" s="6"/>
      <c r="CQ44" s="6"/>
      <c r="CU44" s="6"/>
      <c r="CV44" s="6"/>
      <c r="CW44" s="6"/>
      <c r="CX44" s="6"/>
      <c r="CY44" s="6"/>
      <c r="DC44" s="6"/>
      <c r="DD44" s="6"/>
      <c r="DE44" s="6"/>
      <c r="DF44" s="6"/>
      <c r="DG44" s="6"/>
      <c r="DK44" s="6"/>
      <c r="DL44" s="6"/>
      <c r="DM44" s="6"/>
      <c r="DN44" s="6"/>
      <c r="DO44" s="6"/>
      <c r="DS44" s="6"/>
      <c r="DT44" s="6"/>
      <c r="DU44" s="6"/>
      <c r="DV44" s="6"/>
      <c r="DW44" s="6"/>
      <c r="EA44" s="6"/>
      <c r="EB44" s="6"/>
      <c r="EC44" s="6"/>
      <c r="ED44" s="6"/>
      <c r="EE44" s="6"/>
      <c r="EI44" s="6"/>
      <c r="EJ44" s="6"/>
      <c r="EK44" s="6"/>
      <c r="EL44" s="6"/>
      <c r="EM44" s="6"/>
      <c r="EQ44" s="6"/>
      <c r="ER44" s="6"/>
      <c r="ES44" s="6"/>
      <c r="ET44" s="6"/>
      <c r="EU44" s="6"/>
      <c r="EY44" s="6"/>
      <c r="EZ44" s="6"/>
      <c r="FA44" s="6"/>
      <c r="FB44" s="6"/>
      <c r="FC44" s="6"/>
    </row>
    <row r="45" spans="2:159" x14ac:dyDescent="0.2">
      <c r="C45" s="22"/>
      <c r="D45" s="22"/>
      <c r="E45" s="22"/>
      <c r="F45" s="22"/>
      <c r="H45" s="6"/>
      <c r="J45" s="22"/>
      <c r="O45" s="30"/>
      <c r="P45" s="30"/>
      <c r="S45" s="6"/>
      <c r="T45" s="6"/>
      <c r="U45" s="6"/>
      <c r="V45" s="6"/>
      <c r="W45" s="6"/>
      <c r="AA45" s="6"/>
      <c r="AB45" s="6"/>
      <c r="AC45" s="6"/>
      <c r="AD45" s="6"/>
      <c r="AE45" s="6"/>
      <c r="AI45" s="6"/>
      <c r="AJ45" s="6"/>
      <c r="AK45" s="6"/>
      <c r="AL45" s="6"/>
      <c r="AM45" s="6"/>
      <c r="AQ45" s="6"/>
      <c r="AR45" s="6"/>
      <c r="AS45" s="6"/>
      <c r="AT45" s="6"/>
      <c r="AU45" s="6"/>
      <c r="AY45" s="6"/>
      <c r="AZ45" s="6"/>
      <c r="BA45" s="6"/>
      <c r="BB45" s="6"/>
      <c r="BC45" s="6"/>
      <c r="BG45" s="6"/>
      <c r="BH45" s="6"/>
      <c r="BI45" s="6"/>
      <c r="BJ45" s="6"/>
      <c r="BK45" s="6"/>
      <c r="BO45" s="6"/>
      <c r="BP45" s="6"/>
      <c r="BQ45" s="6"/>
      <c r="BR45" s="6"/>
      <c r="BS45" s="6"/>
      <c r="BW45" s="6"/>
      <c r="BX45" s="6"/>
      <c r="BY45" s="6"/>
      <c r="BZ45" s="6"/>
      <c r="CA45" s="6"/>
      <c r="CE45" s="6"/>
      <c r="CF45" s="6"/>
      <c r="CG45" s="6"/>
      <c r="CH45" s="6"/>
      <c r="CI45" s="6"/>
      <c r="CM45" s="6"/>
      <c r="CN45" s="6"/>
      <c r="CO45" s="6"/>
      <c r="CP45" s="6"/>
      <c r="CQ45" s="6"/>
      <c r="CU45" s="6"/>
      <c r="CV45" s="6"/>
      <c r="CW45" s="6"/>
      <c r="CX45" s="6"/>
      <c r="CY45" s="6"/>
      <c r="DC45" s="6"/>
      <c r="DD45" s="6"/>
      <c r="DE45" s="6"/>
      <c r="DF45" s="6"/>
      <c r="DG45" s="6"/>
      <c r="DK45" s="6"/>
      <c r="DL45" s="6"/>
      <c r="DM45" s="6"/>
      <c r="DN45" s="6"/>
      <c r="DO45" s="6"/>
      <c r="DS45" s="6"/>
      <c r="DT45" s="6"/>
      <c r="DU45" s="6"/>
      <c r="DV45" s="6"/>
      <c r="DW45" s="6"/>
      <c r="EA45" s="6"/>
      <c r="EB45" s="6"/>
      <c r="EC45" s="6"/>
      <c r="ED45" s="6"/>
      <c r="EE45" s="6"/>
      <c r="EI45" s="6"/>
      <c r="EJ45" s="6"/>
      <c r="EK45" s="6"/>
      <c r="EL45" s="6"/>
      <c r="EM45" s="6"/>
      <c r="EQ45" s="6"/>
      <c r="ER45" s="6"/>
      <c r="ES45" s="6"/>
      <c r="ET45" s="6"/>
      <c r="EU45" s="6"/>
      <c r="EY45" s="6"/>
      <c r="EZ45" s="6"/>
      <c r="FA45" s="6"/>
      <c r="FB45" s="6"/>
      <c r="FC45" s="6"/>
    </row>
    <row r="46" spans="2:159" x14ac:dyDescent="0.2">
      <c r="E46" s="22"/>
      <c r="F46" s="22"/>
      <c r="H46" s="6"/>
      <c r="J46" s="22"/>
      <c r="K46" s="22"/>
      <c r="N46" s="7"/>
      <c r="O46" s="7"/>
      <c r="P46" s="22"/>
      <c r="S46" s="6"/>
      <c r="T46" s="6"/>
      <c r="U46" s="6"/>
      <c r="V46" s="6"/>
      <c r="W46" s="6"/>
      <c r="AA46" s="6"/>
      <c r="AB46" s="6"/>
      <c r="AC46" s="6"/>
      <c r="AD46" s="6"/>
      <c r="AE46" s="6"/>
      <c r="AI46" s="6"/>
      <c r="AJ46" s="6"/>
      <c r="AK46" s="6"/>
      <c r="AL46" s="6"/>
      <c r="AM46" s="6"/>
      <c r="AQ46" s="6"/>
      <c r="AR46" s="6"/>
      <c r="AS46" s="6"/>
      <c r="AT46" s="6"/>
      <c r="AU46" s="6"/>
      <c r="AY46" s="6"/>
      <c r="AZ46" s="6"/>
      <c r="BA46" s="6"/>
      <c r="BB46" s="6"/>
      <c r="BC46" s="6"/>
      <c r="BG46" s="6"/>
      <c r="BH46" s="6"/>
      <c r="BI46" s="6"/>
      <c r="BJ46" s="6"/>
      <c r="BK46" s="6"/>
      <c r="BO46" s="6"/>
      <c r="BP46" s="6"/>
      <c r="BQ46" s="6"/>
      <c r="BR46" s="6"/>
      <c r="BS46" s="6"/>
      <c r="BW46" s="6"/>
      <c r="BX46" s="6"/>
      <c r="BY46" s="6"/>
      <c r="BZ46" s="6"/>
      <c r="CA46" s="6"/>
      <c r="CE46" s="6"/>
      <c r="CF46" s="6"/>
      <c r="CG46" s="6"/>
      <c r="CH46" s="6"/>
      <c r="CI46" s="6"/>
      <c r="CM46" s="6"/>
      <c r="CN46" s="6"/>
      <c r="CO46" s="6"/>
      <c r="CP46" s="6"/>
      <c r="CQ46" s="6"/>
      <c r="CU46" s="6"/>
      <c r="CV46" s="6"/>
      <c r="CW46" s="6"/>
      <c r="CX46" s="6"/>
      <c r="CY46" s="6"/>
      <c r="DC46" s="6"/>
      <c r="DD46" s="6"/>
      <c r="DE46" s="6"/>
      <c r="DF46" s="6"/>
      <c r="DG46" s="6"/>
      <c r="DK46" s="6"/>
      <c r="DL46" s="6"/>
      <c r="DM46" s="6"/>
      <c r="DN46" s="6"/>
      <c r="DO46" s="6"/>
      <c r="DS46" s="6"/>
      <c r="DT46" s="6"/>
      <c r="DU46" s="6"/>
      <c r="DV46" s="6"/>
      <c r="DW46" s="6"/>
      <c r="EA46" s="6"/>
      <c r="EB46" s="6"/>
      <c r="EC46" s="6"/>
      <c r="ED46" s="6"/>
      <c r="EE46" s="6"/>
      <c r="EI46" s="6"/>
      <c r="EJ46" s="6"/>
      <c r="EK46" s="6"/>
      <c r="EL46" s="6"/>
      <c r="EM46" s="6"/>
      <c r="EQ46" s="6"/>
      <c r="ER46" s="6"/>
      <c r="ES46" s="6"/>
      <c r="ET46" s="6"/>
      <c r="EU46" s="6"/>
      <c r="EY46" s="6"/>
      <c r="EZ46" s="6"/>
      <c r="FA46" s="6"/>
      <c r="FB46" s="6"/>
      <c r="FC46" s="6"/>
    </row>
    <row r="47" spans="2:159" x14ac:dyDescent="0.2">
      <c r="L47" s="7"/>
      <c r="M47" s="7"/>
    </row>
  </sheetData>
  <dataConsolidate/>
  <mergeCells count="803">
    <mergeCell ref="DO35:DP35"/>
    <mergeCell ref="DO36:DP36"/>
    <mergeCell ref="DO37:DP37"/>
    <mergeCell ref="DO25:DP25"/>
    <mergeCell ref="DO26:DP26"/>
    <mergeCell ref="DO27:DP27"/>
    <mergeCell ref="DO28:DP28"/>
    <mergeCell ref="DO29:DP29"/>
    <mergeCell ref="DO30:DP30"/>
    <mergeCell ref="DO13:DP13"/>
    <mergeCell ref="DO14:DP14"/>
    <mergeCell ref="DO15:DP15"/>
    <mergeCell ref="DO16:DP16"/>
    <mergeCell ref="DO17:DP17"/>
    <mergeCell ref="DO19:DP19"/>
    <mergeCell ref="DO20:DP20"/>
    <mergeCell ref="DO31:DP31"/>
    <mergeCell ref="DO33:DP33"/>
    <mergeCell ref="BR13:BS13"/>
    <mergeCell ref="BR14:BS14"/>
    <mergeCell ref="BR15:BS15"/>
    <mergeCell ref="BR16:BS16"/>
    <mergeCell ref="BR17:BS17"/>
    <mergeCell ref="DO4:DP4"/>
    <mergeCell ref="DO5:DP5"/>
    <mergeCell ref="DO6:DP6"/>
    <mergeCell ref="DO7:DP7"/>
    <mergeCell ref="DO8:DP8"/>
    <mergeCell ref="DO9:DP9"/>
    <mergeCell ref="DO10:DP10"/>
    <mergeCell ref="DO11:DP11"/>
    <mergeCell ref="CT11:CU11"/>
    <mergeCell ref="DA11:DB11"/>
    <mergeCell ref="DH11:DI11"/>
    <mergeCell ref="BY13:BZ13"/>
    <mergeCell ref="CF13:CG13"/>
    <mergeCell ref="CM13:CN13"/>
    <mergeCell ref="CT13:CU13"/>
    <mergeCell ref="DA13:DB13"/>
    <mergeCell ref="DH13:DI13"/>
    <mergeCell ref="BY15:BZ15"/>
    <mergeCell ref="CF15:CG15"/>
    <mergeCell ref="U19:V19"/>
    <mergeCell ref="U22:V22"/>
    <mergeCell ref="BK4:BL4"/>
    <mergeCell ref="BK5:BL5"/>
    <mergeCell ref="BK6:BL6"/>
    <mergeCell ref="BK7:BL7"/>
    <mergeCell ref="BK8:BL8"/>
    <mergeCell ref="BK9:BL9"/>
    <mergeCell ref="BK10:BL10"/>
    <mergeCell ref="BK11:BL11"/>
    <mergeCell ref="BK21:BL21"/>
    <mergeCell ref="BK22:BL22"/>
    <mergeCell ref="BK12:BL12"/>
    <mergeCell ref="BK13:BL13"/>
    <mergeCell ref="BK14:BL14"/>
    <mergeCell ref="BK15:BL15"/>
    <mergeCell ref="BK16:BL16"/>
    <mergeCell ref="BK17:BL17"/>
    <mergeCell ref="BK19:BL19"/>
    <mergeCell ref="BK20:BL20"/>
    <mergeCell ref="AB19:AC19"/>
    <mergeCell ref="AI19:AJ19"/>
    <mergeCell ref="AP19:AQ19"/>
    <mergeCell ref="AW19:AX19"/>
    <mergeCell ref="J31:K31"/>
    <mergeCell ref="L31:M31"/>
    <mergeCell ref="N31:O31"/>
    <mergeCell ref="J35:K35"/>
    <mergeCell ref="L35:M35"/>
    <mergeCell ref="N35:O35"/>
    <mergeCell ref="J38:K38"/>
    <mergeCell ref="L38:M38"/>
    <mergeCell ref="N38:O38"/>
    <mergeCell ref="J19:K19"/>
    <mergeCell ref="L19:M19"/>
    <mergeCell ref="N19:O19"/>
    <mergeCell ref="J22:K22"/>
    <mergeCell ref="L22:M22"/>
    <mergeCell ref="N22:O22"/>
    <mergeCell ref="J25:K25"/>
    <mergeCell ref="L25:M25"/>
    <mergeCell ref="J28:K28"/>
    <mergeCell ref="L28:M28"/>
    <mergeCell ref="N28:O28"/>
    <mergeCell ref="N25:O25"/>
    <mergeCell ref="J21:K21"/>
    <mergeCell ref="L21:M21"/>
    <mergeCell ref="N21:O21"/>
    <mergeCell ref="J23:K23"/>
    <mergeCell ref="L23:M23"/>
    <mergeCell ref="N23:O23"/>
    <mergeCell ref="J26:K26"/>
    <mergeCell ref="L26:M26"/>
    <mergeCell ref="N26:O26"/>
    <mergeCell ref="C33:G33"/>
    <mergeCell ref="B1:E2"/>
    <mergeCell ref="H11:I11"/>
    <mergeCell ref="H10:I10"/>
    <mergeCell ref="H9:I9"/>
    <mergeCell ref="H8:I8"/>
    <mergeCell ref="H7:I7"/>
    <mergeCell ref="H6:I6"/>
    <mergeCell ref="H17:I17"/>
    <mergeCell ref="H16:I16"/>
    <mergeCell ref="H15:I15"/>
    <mergeCell ref="H14:I14"/>
    <mergeCell ref="H3:I4"/>
    <mergeCell ref="B3:B4"/>
    <mergeCell ref="C3:G4"/>
    <mergeCell ref="H12:I12"/>
    <mergeCell ref="H5:I5"/>
    <mergeCell ref="C10:G10"/>
    <mergeCell ref="C9:G9"/>
    <mergeCell ref="C8:G8"/>
    <mergeCell ref="C20:G20"/>
    <mergeCell ref="C19:G19"/>
    <mergeCell ref="C17:G17"/>
    <mergeCell ref="C16:G16"/>
    <mergeCell ref="H39:I39"/>
    <mergeCell ref="H38:I38"/>
    <mergeCell ref="H37:I37"/>
    <mergeCell ref="H36:I36"/>
    <mergeCell ref="H35:I35"/>
    <mergeCell ref="H34:I34"/>
    <mergeCell ref="H33:I33"/>
    <mergeCell ref="H31:I31"/>
    <mergeCell ref="H13:I13"/>
    <mergeCell ref="H24:I24"/>
    <mergeCell ref="H23:I23"/>
    <mergeCell ref="H22:I22"/>
    <mergeCell ref="H21:I21"/>
    <mergeCell ref="H20:I20"/>
    <mergeCell ref="H19:I19"/>
    <mergeCell ref="H30:I30"/>
    <mergeCell ref="H29:I29"/>
    <mergeCell ref="H28:I28"/>
    <mergeCell ref="H27:I27"/>
    <mergeCell ref="H26:I26"/>
    <mergeCell ref="H25:I25"/>
    <mergeCell ref="C15:G15"/>
    <mergeCell ref="C14:G14"/>
    <mergeCell ref="C7:G7"/>
    <mergeCell ref="C6:G6"/>
    <mergeCell ref="C5:G5"/>
    <mergeCell ref="C39:G39"/>
    <mergeCell ref="C38:G38"/>
    <mergeCell ref="C37:G37"/>
    <mergeCell ref="C36:G36"/>
    <mergeCell ref="C35:G35"/>
    <mergeCell ref="C26:G26"/>
    <mergeCell ref="C25:G25"/>
    <mergeCell ref="C24:G24"/>
    <mergeCell ref="C23:G23"/>
    <mergeCell ref="C22:G22"/>
    <mergeCell ref="C21:G21"/>
    <mergeCell ref="C34:G34"/>
    <mergeCell ref="C31:G31"/>
    <mergeCell ref="C30:G30"/>
    <mergeCell ref="C29:G29"/>
    <mergeCell ref="C28:G28"/>
    <mergeCell ref="C27:G27"/>
    <mergeCell ref="C13:G13"/>
    <mergeCell ref="C12:G12"/>
    <mergeCell ref="C11:G11"/>
    <mergeCell ref="BU3:BZ3"/>
    <mergeCell ref="CB3:CG3"/>
    <mergeCell ref="CI3:CN3"/>
    <mergeCell ref="CP3:CU3"/>
    <mergeCell ref="CW3:DB3"/>
    <mergeCell ref="DD3:DI3"/>
    <mergeCell ref="DK3:DP3"/>
    <mergeCell ref="J3:O3"/>
    <mergeCell ref="Q3:V3"/>
    <mergeCell ref="X3:AC3"/>
    <mergeCell ref="AE3:AJ3"/>
    <mergeCell ref="AL3:AQ3"/>
    <mergeCell ref="AS3:AX3"/>
    <mergeCell ref="AZ3:BE3"/>
    <mergeCell ref="CT5:CU5"/>
    <mergeCell ref="DA5:DB5"/>
    <mergeCell ref="DH5:DI5"/>
    <mergeCell ref="CT7:CU7"/>
    <mergeCell ref="DA7:DB7"/>
    <mergeCell ref="DH7:DI7"/>
    <mergeCell ref="CT9:CU9"/>
    <mergeCell ref="DA9:DB9"/>
    <mergeCell ref="DH9:DI9"/>
    <mergeCell ref="DR3:DW3"/>
    <mergeCell ref="DY3:ED3"/>
    <mergeCell ref="EF3:EK3"/>
    <mergeCell ref="J4:K4"/>
    <mergeCell ref="L4:M4"/>
    <mergeCell ref="N4:O4"/>
    <mergeCell ref="U4:V4"/>
    <mergeCell ref="AB4:AC4"/>
    <mergeCell ref="AI4:AJ4"/>
    <mergeCell ref="AP4:AQ4"/>
    <mergeCell ref="AW4:AX4"/>
    <mergeCell ref="BD4:BE4"/>
    <mergeCell ref="BR4:BS4"/>
    <mergeCell ref="BY4:BZ4"/>
    <mergeCell ref="CF4:CG4"/>
    <mergeCell ref="CM4:CN4"/>
    <mergeCell ref="CT4:CU4"/>
    <mergeCell ref="DA4:DB4"/>
    <mergeCell ref="DH4:DI4"/>
    <mergeCell ref="DV4:DW4"/>
    <mergeCell ref="EC4:ED4"/>
    <mergeCell ref="EJ4:EK4"/>
    <mergeCell ref="BG3:BL3"/>
    <mergeCell ref="BN3:BS3"/>
    <mergeCell ref="DV5:DW5"/>
    <mergeCell ref="EC5:ED5"/>
    <mergeCell ref="J5:K5"/>
    <mergeCell ref="L5:M5"/>
    <mergeCell ref="N5:O5"/>
    <mergeCell ref="U5:V5"/>
    <mergeCell ref="AB5:AC5"/>
    <mergeCell ref="AI5:AJ5"/>
    <mergeCell ref="AP5:AQ5"/>
    <mergeCell ref="AW5:AX5"/>
    <mergeCell ref="BD5:BE5"/>
    <mergeCell ref="EJ5:EK5"/>
    <mergeCell ref="J6:K6"/>
    <mergeCell ref="L6:M6"/>
    <mergeCell ref="N6:O6"/>
    <mergeCell ref="U6:V6"/>
    <mergeCell ref="AB6:AC6"/>
    <mergeCell ref="AI6:AJ6"/>
    <mergeCell ref="AP6:AQ6"/>
    <mergeCell ref="AW6:AX6"/>
    <mergeCell ref="BD6:BE6"/>
    <mergeCell ref="BR6:BS6"/>
    <mergeCell ref="BY6:BZ6"/>
    <mergeCell ref="CF6:CG6"/>
    <mergeCell ref="CM6:CN6"/>
    <mergeCell ref="CT6:CU6"/>
    <mergeCell ref="DA6:DB6"/>
    <mergeCell ref="DH6:DI6"/>
    <mergeCell ref="DV6:DW6"/>
    <mergeCell ref="EC6:ED6"/>
    <mergeCell ref="EJ6:EK6"/>
    <mergeCell ref="BR5:BS5"/>
    <mergeCell ref="BY5:BZ5"/>
    <mergeCell ref="CF5:CG5"/>
    <mergeCell ref="CM5:CN5"/>
    <mergeCell ref="DV7:DW7"/>
    <mergeCell ref="EC7:ED7"/>
    <mergeCell ref="J7:K7"/>
    <mergeCell ref="L7:M7"/>
    <mergeCell ref="N7:O7"/>
    <mergeCell ref="U7:V7"/>
    <mergeCell ref="AB7:AC7"/>
    <mergeCell ref="AI7:AJ7"/>
    <mergeCell ref="AP7:AQ7"/>
    <mergeCell ref="AW7:AX7"/>
    <mergeCell ref="BD7:BE7"/>
    <mergeCell ref="EJ7:EK7"/>
    <mergeCell ref="J8:K8"/>
    <mergeCell ref="L8:M8"/>
    <mergeCell ref="N8:O8"/>
    <mergeCell ref="U8:V8"/>
    <mergeCell ref="AB8:AC8"/>
    <mergeCell ref="AI8:AJ8"/>
    <mergeCell ref="AP8:AQ8"/>
    <mergeCell ref="AW8:AX8"/>
    <mergeCell ref="BD8:BE8"/>
    <mergeCell ref="BR8:BS8"/>
    <mergeCell ref="BY8:BZ8"/>
    <mergeCell ref="CF8:CG8"/>
    <mergeCell ref="CM8:CN8"/>
    <mergeCell ref="CT8:CU8"/>
    <mergeCell ref="DA8:DB8"/>
    <mergeCell ref="DH8:DI8"/>
    <mergeCell ref="DV8:DW8"/>
    <mergeCell ref="EC8:ED8"/>
    <mergeCell ref="EJ8:EK8"/>
    <mergeCell ref="BR7:BS7"/>
    <mergeCell ref="BY7:BZ7"/>
    <mergeCell ref="CF7:CG7"/>
    <mergeCell ref="CM7:CN7"/>
    <mergeCell ref="DV9:DW9"/>
    <mergeCell ref="EC9:ED9"/>
    <mergeCell ref="J9:K9"/>
    <mergeCell ref="L9:M9"/>
    <mergeCell ref="N9:O9"/>
    <mergeCell ref="U9:V9"/>
    <mergeCell ref="AB9:AC9"/>
    <mergeCell ref="AI9:AJ9"/>
    <mergeCell ref="AP9:AQ9"/>
    <mergeCell ref="AW9:AX9"/>
    <mergeCell ref="BD9:BE9"/>
    <mergeCell ref="EJ9:EK9"/>
    <mergeCell ref="J10:K10"/>
    <mergeCell ref="L10:M10"/>
    <mergeCell ref="N10:O10"/>
    <mergeCell ref="U10:V10"/>
    <mergeCell ref="AB10:AC10"/>
    <mergeCell ref="AI10:AJ10"/>
    <mergeCell ref="AP10:AQ10"/>
    <mergeCell ref="AW10:AX10"/>
    <mergeCell ref="BD10:BE10"/>
    <mergeCell ref="BR10:BS10"/>
    <mergeCell ref="BY10:BZ10"/>
    <mergeCell ref="CF10:CG10"/>
    <mergeCell ref="CM10:CN10"/>
    <mergeCell ref="CT10:CU10"/>
    <mergeCell ref="DA10:DB10"/>
    <mergeCell ref="DH10:DI10"/>
    <mergeCell ref="DV10:DW10"/>
    <mergeCell ref="EC10:ED10"/>
    <mergeCell ref="EJ10:EK10"/>
    <mergeCell ref="BR9:BS9"/>
    <mergeCell ref="BY9:BZ9"/>
    <mergeCell ref="CF9:CG9"/>
    <mergeCell ref="CM9:CN9"/>
    <mergeCell ref="EC12:ED12"/>
    <mergeCell ref="EJ12:EK12"/>
    <mergeCell ref="BR11:BS11"/>
    <mergeCell ref="BY11:BZ11"/>
    <mergeCell ref="CF11:CG11"/>
    <mergeCell ref="CM11:CN11"/>
    <mergeCell ref="DV11:DW11"/>
    <mergeCell ref="EC11:ED11"/>
    <mergeCell ref="J11:K11"/>
    <mergeCell ref="L11:M11"/>
    <mergeCell ref="N11:O11"/>
    <mergeCell ref="U11:V11"/>
    <mergeCell ref="AB11:AC11"/>
    <mergeCell ref="AI11:AJ11"/>
    <mergeCell ref="AP11:AQ11"/>
    <mergeCell ref="AW11:AX11"/>
    <mergeCell ref="BD11:BE11"/>
    <mergeCell ref="DO12:DP12"/>
    <mergeCell ref="U13:V13"/>
    <mergeCell ref="AB13:AC13"/>
    <mergeCell ref="AI13:AJ13"/>
    <mergeCell ref="AP13:AQ13"/>
    <mergeCell ref="AW13:AX13"/>
    <mergeCell ref="BD13:BE13"/>
    <mergeCell ref="EJ11:EK11"/>
    <mergeCell ref="J12:K12"/>
    <mergeCell ref="L12:M12"/>
    <mergeCell ref="N12:O12"/>
    <mergeCell ref="U12:V12"/>
    <mergeCell ref="AB12:AC12"/>
    <mergeCell ref="AI12:AJ12"/>
    <mergeCell ref="AP12:AQ12"/>
    <mergeCell ref="AW12:AX12"/>
    <mergeCell ref="BD12:BE12"/>
    <mergeCell ref="BR12:BS12"/>
    <mergeCell ref="BY12:BZ12"/>
    <mergeCell ref="CF12:CG12"/>
    <mergeCell ref="CM12:CN12"/>
    <mergeCell ref="CT12:CU12"/>
    <mergeCell ref="DA12:DB12"/>
    <mergeCell ref="DH12:DI12"/>
    <mergeCell ref="DV12:DW12"/>
    <mergeCell ref="DV13:DW13"/>
    <mergeCell ref="EC13:ED13"/>
    <mergeCell ref="EJ13:EK13"/>
    <mergeCell ref="J14:K14"/>
    <mergeCell ref="L14:M14"/>
    <mergeCell ref="N14:O14"/>
    <mergeCell ref="U14:V14"/>
    <mergeCell ref="AB14:AC14"/>
    <mergeCell ref="AI14:AJ14"/>
    <mergeCell ref="AP14:AQ14"/>
    <mergeCell ref="AW14:AX14"/>
    <mergeCell ref="BD14:BE14"/>
    <mergeCell ref="BY14:BZ14"/>
    <mergeCell ref="CF14:CG14"/>
    <mergeCell ref="CM14:CN14"/>
    <mergeCell ref="CT14:CU14"/>
    <mergeCell ref="DA14:DB14"/>
    <mergeCell ref="DH14:DI14"/>
    <mergeCell ref="DV14:DW14"/>
    <mergeCell ref="EC14:ED14"/>
    <mergeCell ref="EJ14:EK14"/>
    <mergeCell ref="J13:K13"/>
    <mergeCell ref="L13:M13"/>
    <mergeCell ref="N13:O13"/>
    <mergeCell ref="EC16:ED16"/>
    <mergeCell ref="J15:K15"/>
    <mergeCell ref="L15:M15"/>
    <mergeCell ref="N15:O15"/>
    <mergeCell ref="U15:V15"/>
    <mergeCell ref="AB15:AC15"/>
    <mergeCell ref="AI15:AJ15"/>
    <mergeCell ref="AP15:AQ15"/>
    <mergeCell ref="AW15:AX15"/>
    <mergeCell ref="BD15:BE15"/>
    <mergeCell ref="EJ17:EK17"/>
    <mergeCell ref="CM15:CN15"/>
    <mergeCell ref="CT15:CU15"/>
    <mergeCell ref="DA15:DB15"/>
    <mergeCell ref="DH15:DI15"/>
    <mergeCell ref="DV15:DW15"/>
    <mergeCell ref="EC15:ED15"/>
    <mergeCell ref="EJ15:EK15"/>
    <mergeCell ref="J16:K16"/>
    <mergeCell ref="L16:M16"/>
    <mergeCell ref="N16:O16"/>
    <mergeCell ref="U16:V16"/>
    <mergeCell ref="AB16:AC16"/>
    <mergeCell ref="AI16:AJ16"/>
    <mergeCell ref="AP16:AQ16"/>
    <mergeCell ref="AW16:AX16"/>
    <mergeCell ref="BD16:BE16"/>
    <mergeCell ref="BY16:BZ16"/>
    <mergeCell ref="CF16:CG16"/>
    <mergeCell ref="CM16:CN16"/>
    <mergeCell ref="CT16:CU16"/>
    <mergeCell ref="DA16:DB16"/>
    <mergeCell ref="DH16:DI16"/>
    <mergeCell ref="DV16:DW16"/>
    <mergeCell ref="CF19:CG19"/>
    <mergeCell ref="CM19:CN19"/>
    <mergeCell ref="CT19:CU19"/>
    <mergeCell ref="DA19:DB19"/>
    <mergeCell ref="DH19:DI19"/>
    <mergeCell ref="DV19:DW19"/>
    <mergeCell ref="EJ16:EK16"/>
    <mergeCell ref="J17:K17"/>
    <mergeCell ref="L17:M17"/>
    <mergeCell ref="N17:O17"/>
    <mergeCell ref="U17:V17"/>
    <mergeCell ref="AB17:AC17"/>
    <mergeCell ref="AI17:AJ17"/>
    <mergeCell ref="AP17:AQ17"/>
    <mergeCell ref="AW17:AX17"/>
    <mergeCell ref="BD17:BE17"/>
    <mergeCell ref="BY17:BZ17"/>
    <mergeCell ref="CF17:CG17"/>
    <mergeCell ref="CM17:CN17"/>
    <mergeCell ref="CT17:CU17"/>
    <mergeCell ref="DA17:DB17"/>
    <mergeCell ref="DH17:DI17"/>
    <mergeCell ref="DV17:DW17"/>
    <mergeCell ref="EC17:ED17"/>
    <mergeCell ref="EC19:ED19"/>
    <mergeCell ref="EJ19:EK19"/>
    <mergeCell ref="J20:K20"/>
    <mergeCell ref="L20:M20"/>
    <mergeCell ref="N20:O20"/>
    <mergeCell ref="U20:V20"/>
    <mergeCell ref="AB20:AC20"/>
    <mergeCell ref="AI20:AJ20"/>
    <mergeCell ref="AP20:AQ20"/>
    <mergeCell ref="AW20:AX20"/>
    <mergeCell ref="BD20:BE20"/>
    <mergeCell ref="BR20:BS20"/>
    <mergeCell ref="BY20:BZ20"/>
    <mergeCell ref="CF20:CG20"/>
    <mergeCell ref="CM20:CN20"/>
    <mergeCell ref="CT20:CU20"/>
    <mergeCell ref="DA20:DB20"/>
    <mergeCell ref="DH20:DI20"/>
    <mergeCell ref="DV20:DW20"/>
    <mergeCell ref="EC20:ED20"/>
    <mergeCell ref="EJ20:EK20"/>
    <mergeCell ref="BD19:BE19"/>
    <mergeCell ref="BR19:BS19"/>
    <mergeCell ref="BY19:BZ19"/>
    <mergeCell ref="U21:V21"/>
    <mergeCell ref="AB21:AC21"/>
    <mergeCell ref="AI21:AJ21"/>
    <mergeCell ref="AP21:AQ21"/>
    <mergeCell ref="AW21:AX21"/>
    <mergeCell ref="BD21:BE21"/>
    <mergeCell ref="BR21:BS21"/>
    <mergeCell ref="BY21:BZ21"/>
    <mergeCell ref="CF21:CG21"/>
    <mergeCell ref="CM21:CN21"/>
    <mergeCell ref="CT21:CU21"/>
    <mergeCell ref="DA21:DB21"/>
    <mergeCell ref="DH21:DI21"/>
    <mergeCell ref="DV21:DW21"/>
    <mergeCell ref="EC21:ED21"/>
    <mergeCell ref="EJ21:EK21"/>
    <mergeCell ref="DO21:DP21"/>
    <mergeCell ref="AB22:AC22"/>
    <mergeCell ref="AI22:AJ22"/>
    <mergeCell ref="AP22:AQ22"/>
    <mergeCell ref="AW22:AX22"/>
    <mergeCell ref="BD22:BE22"/>
    <mergeCell ref="BR22:BS22"/>
    <mergeCell ref="BY22:BZ22"/>
    <mergeCell ref="CF22:CG22"/>
    <mergeCell ref="CM22:CN22"/>
    <mergeCell ref="CT22:CU22"/>
    <mergeCell ref="DA22:DB22"/>
    <mergeCell ref="DH22:DI22"/>
    <mergeCell ref="DV22:DW22"/>
    <mergeCell ref="EC22:ED22"/>
    <mergeCell ref="EJ22:EK22"/>
    <mergeCell ref="DO22:DP22"/>
    <mergeCell ref="BR24:BS24"/>
    <mergeCell ref="BY24:BZ24"/>
    <mergeCell ref="CF24:CG24"/>
    <mergeCell ref="CM24:CN24"/>
    <mergeCell ref="CT24:CU24"/>
    <mergeCell ref="DA24:DB24"/>
    <mergeCell ref="DH24:DI24"/>
    <mergeCell ref="DV24:DW24"/>
    <mergeCell ref="U23:V23"/>
    <mergeCell ref="AB23:AC23"/>
    <mergeCell ref="AI23:AJ23"/>
    <mergeCell ref="AP23:AQ23"/>
    <mergeCell ref="AW23:AX23"/>
    <mergeCell ref="BD23:BE23"/>
    <mergeCell ref="BR23:BS23"/>
    <mergeCell ref="BY23:BZ23"/>
    <mergeCell ref="CF23:CG23"/>
    <mergeCell ref="DO23:DP23"/>
    <mergeCell ref="DO24:DP24"/>
    <mergeCell ref="J24:K24"/>
    <mergeCell ref="L24:M24"/>
    <mergeCell ref="N24:O24"/>
    <mergeCell ref="U24:V24"/>
    <mergeCell ref="AB24:AC24"/>
    <mergeCell ref="AI24:AJ24"/>
    <mergeCell ref="AP24:AQ24"/>
    <mergeCell ref="AW24:AX24"/>
    <mergeCell ref="BD24:BE24"/>
    <mergeCell ref="U25:V25"/>
    <mergeCell ref="AB25:AC25"/>
    <mergeCell ref="AI25:AJ25"/>
    <mergeCell ref="AP25:AQ25"/>
    <mergeCell ref="AW25:AX25"/>
    <mergeCell ref="BD25:BE25"/>
    <mergeCell ref="BR25:BS25"/>
    <mergeCell ref="BY25:BZ25"/>
    <mergeCell ref="CF25:CG25"/>
    <mergeCell ref="BK25:BL25"/>
    <mergeCell ref="AP26:AQ26"/>
    <mergeCell ref="AW26:AX26"/>
    <mergeCell ref="BD26:BE26"/>
    <mergeCell ref="BR26:BS26"/>
    <mergeCell ref="BY26:BZ26"/>
    <mergeCell ref="CF26:CG26"/>
    <mergeCell ref="EC24:ED24"/>
    <mergeCell ref="EJ24:EK24"/>
    <mergeCell ref="BK23:BL23"/>
    <mergeCell ref="BK24:BL24"/>
    <mergeCell ref="CM25:CN25"/>
    <mergeCell ref="CT25:CU25"/>
    <mergeCell ref="DA25:DB25"/>
    <mergeCell ref="DH25:DI25"/>
    <mergeCell ref="DV25:DW25"/>
    <mergeCell ref="EC25:ED25"/>
    <mergeCell ref="EJ25:EK25"/>
    <mergeCell ref="CM23:CN23"/>
    <mergeCell ref="CT23:CU23"/>
    <mergeCell ref="DA23:DB23"/>
    <mergeCell ref="DH23:DI23"/>
    <mergeCell ref="DV23:DW23"/>
    <mergeCell ref="EC23:ED23"/>
    <mergeCell ref="EJ23:EK23"/>
    <mergeCell ref="DH26:DI26"/>
    <mergeCell ref="DV26:DW26"/>
    <mergeCell ref="EC26:ED26"/>
    <mergeCell ref="EJ26:EK26"/>
    <mergeCell ref="J27:K27"/>
    <mergeCell ref="L27:M27"/>
    <mergeCell ref="N27:O27"/>
    <mergeCell ref="U27:V27"/>
    <mergeCell ref="AB27:AC27"/>
    <mergeCell ref="AI27:AJ27"/>
    <mergeCell ref="AP27:AQ27"/>
    <mergeCell ref="AW27:AX27"/>
    <mergeCell ref="BD27:BE27"/>
    <mergeCell ref="BR27:BS27"/>
    <mergeCell ref="BY27:BZ27"/>
    <mergeCell ref="CF27:CG27"/>
    <mergeCell ref="CM27:CN27"/>
    <mergeCell ref="CT27:CU27"/>
    <mergeCell ref="DA27:DB27"/>
    <mergeCell ref="DH27:DI27"/>
    <mergeCell ref="DV27:DW27"/>
    <mergeCell ref="U26:V26"/>
    <mergeCell ref="AB26:AC26"/>
    <mergeCell ref="AI26:AJ26"/>
    <mergeCell ref="EC27:ED27"/>
    <mergeCell ref="EJ27:EK27"/>
    <mergeCell ref="BK26:BL26"/>
    <mergeCell ref="BK27:BL27"/>
    <mergeCell ref="U28:V28"/>
    <mergeCell ref="AB28:AC28"/>
    <mergeCell ref="AI28:AJ28"/>
    <mergeCell ref="AP28:AQ28"/>
    <mergeCell ref="AW28:AX28"/>
    <mergeCell ref="BD28:BE28"/>
    <mergeCell ref="BR28:BS28"/>
    <mergeCell ref="BY28:BZ28"/>
    <mergeCell ref="CF28:CG28"/>
    <mergeCell ref="BK28:BL28"/>
    <mergeCell ref="CM28:CN28"/>
    <mergeCell ref="CT28:CU28"/>
    <mergeCell ref="DA28:DB28"/>
    <mergeCell ref="DH28:DI28"/>
    <mergeCell ref="DV28:DW28"/>
    <mergeCell ref="EC28:ED28"/>
    <mergeCell ref="EJ28:EK28"/>
    <mergeCell ref="CM26:CN26"/>
    <mergeCell ref="CT26:CU26"/>
    <mergeCell ref="DA26:DB26"/>
    <mergeCell ref="CF29:CG29"/>
    <mergeCell ref="CM29:CN29"/>
    <mergeCell ref="CT29:CU29"/>
    <mergeCell ref="DA29:DB29"/>
    <mergeCell ref="DH29:DI29"/>
    <mergeCell ref="DV29:DW29"/>
    <mergeCell ref="EC29:ED29"/>
    <mergeCell ref="J29:K29"/>
    <mergeCell ref="L29:M29"/>
    <mergeCell ref="N29:O29"/>
    <mergeCell ref="U29:V29"/>
    <mergeCell ref="AB29:AC29"/>
    <mergeCell ref="AI29:AJ29"/>
    <mergeCell ref="AP29:AQ29"/>
    <mergeCell ref="AW29:AX29"/>
    <mergeCell ref="BD29:BE29"/>
    <mergeCell ref="EJ29:EK29"/>
    <mergeCell ref="J30:K30"/>
    <mergeCell ref="L30:M30"/>
    <mergeCell ref="N30:O30"/>
    <mergeCell ref="U30:V30"/>
    <mergeCell ref="AB30:AC30"/>
    <mergeCell ref="AI30:AJ30"/>
    <mergeCell ref="AP30:AQ30"/>
    <mergeCell ref="AW30:AX30"/>
    <mergeCell ref="BD30:BE30"/>
    <mergeCell ref="BR30:BS30"/>
    <mergeCell ref="BY30:BZ30"/>
    <mergeCell ref="CF30:CG30"/>
    <mergeCell ref="CM30:CN30"/>
    <mergeCell ref="CT30:CU30"/>
    <mergeCell ref="DA30:DB30"/>
    <mergeCell ref="DH30:DI30"/>
    <mergeCell ref="DV30:DW30"/>
    <mergeCell ref="EC30:ED30"/>
    <mergeCell ref="EJ30:EK30"/>
    <mergeCell ref="BK29:BL29"/>
    <mergeCell ref="BK30:BL30"/>
    <mergeCell ref="BR29:BS29"/>
    <mergeCell ref="BY29:BZ29"/>
    <mergeCell ref="U31:V31"/>
    <mergeCell ref="AB31:AC31"/>
    <mergeCell ref="AI31:AJ31"/>
    <mergeCell ref="AP31:AQ31"/>
    <mergeCell ref="AW31:AX31"/>
    <mergeCell ref="BD31:BE31"/>
    <mergeCell ref="BR31:BS31"/>
    <mergeCell ref="BY31:BZ31"/>
    <mergeCell ref="CF31:CG31"/>
    <mergeCell ref="BK31:BL31"/>
    <mergeCell ref="CM31:CN31"/>
    <mergeCell ref="CT31:CU31"/>
    <mergeCell ref="DA31:DB31"/>
    <mergeCell ref="DH31:DI31"/>
    <mergeCell ref="DV31:DW31"/>
    <mergeCell ref="EC31:ED31"/>
    <mergeCell ref="EJ31:EK31"/>
    <mergeCell ref="J33:K33"/>
    <mergeCell ref="L33:M33"/>
    <mergeCell ref="N33:O33"/>
    <mergeCell ref="U33:V33"/>
    <mergeCell ref="AB33:AC33"/>
    <mergeCell ref="AI33:AJ33"/>
    <mergeCell ref="AP33:AQ33"/>
    <mergeCell ref="AW33:AX33"/>
    <mergeCell ref="BD33:BE33"/>
    <mergeCell ref="BR33:BS33"/>
    <mergeCell ref="BY33:BZ33"/>
    <mergeCell ref="CF33:CG33"/>
    <mergeCell ref="CM33:CN33"/>
    <mergeCell ref="CT33:CU33"/>
    <mergeCell ref="DA33:DB33"/>
    <mergeCell ref="DH33:DI33"/>
    <mergeCell ref="DV33:DW33"/>
    <mergeCell ref="EC33:ED33"/>
    <mergeCell ref="EJ33:EK33"/>
    <mergeCell ref="J34:K34"/>
    <mergeCell ref="L34:M34"/>
    <mergeCell ref="N34:O34"/>
    <mergeCell ref="U34:V34"/>
    <mergeCell ref="AB34:AC34"/>
    <mergeCell ref="AI34:AJ34"/>
    <mergeCell ref="AP34:AQ34"/>
    <mergeCell ref="AW34:AX34"/>
    <mergeCell ref="BD34:BE34"/>
    <mergeCell ref="BR34:BS34"/>
    <mergeCell ref="BY34:BZ34"/>
    <mergeCell ref="CF34:CG34"/>
    <mergeCell ref="CM34:CN34"/>
    <mergeCell ref="CT34:CU34"/>
    <mergeCell ref="DA34:DB34"/>
    <mergeCell ref="DH34:DI34"/>
    <mergeCell ref="DV34:DW34"/>
    <mergeCell ref="EC34:ED34"/>
    <mergeCell ref="EJ34:EK34"/>
    <mergeCell ref="BK33:BL33"/>
    <mergeCell ref="BK34:BL34"/>
    <mergeCell ref="DO34:DP34"/>
    <mergeCell ref="U35:V35"/>
    <mergeCell ref="AB35:AC35"/>
    <mergeCell ref="AI35:AJ35"/>
    <mergeCell ref="AP35:AQ35"/>
    <mergeCell ref="AW35:AX35"/>
    <mergeCell ref="BD35:BE35"/>
    <mergeCell ref="BR35:BS35"/>
    <mergeCell ref="BY35:BZ35"/>
    <mergeCell ref="CF35:CG35"/>
    <mergeCell ref="BK35:BL35"/>
    <mergeCell ref="CM35:CN35"/>
    <mergeCell ref="CT35:CU35"/>
    <mergeCell ref="DA35:DB35"/>
    <mergeCell ref="DH35:DI35"/>
    <mergeCell ref="DV35:DW35"/>
    <mergeCell ref="EC35:ED35"/>
    <mergeCell ref="EJ35:EK35"/>
    <mergeCell ref="J36:K36"/>
    <mergeCell ref="L36:M36"/>
    <mergeCell ref="N36:O36"/>
    <mergeCell ref="U36:V36"/>
    <mergeCell ref="AB36:AC36"/>
    <mergeCell ref="AI36:AJ36"/>
    <mergeCell ref="AP36:AQ36"/>
    <mergeCell ref="AW36:AX36"/>
    <mergeCell ref="BD36:BE36"/>
    <mergeCell ref="BR36:BS36"/>
    <mergeCell ref="BY36:BZ36"/>
    <mergeCell ref="CF36:CG36"/>
    <mergeCell ref="CM36:CN36"/>
    <mergeCell ref="CT36:CU36"/>
    <mergeCell ref="DA36:DB36"/>
    <mergeCell ref="DH36:DI36"/>
    <mergeCell ref="DV36:DW36"/>
    <mergeCell ref="EC36:ED36"/>
    <mergeCell ref="EJ36:EK36"/>
    <mergeCell ref="J37:K37"/>
    <mergeCell ref="L37:M37"/>
    <mergeCell ref="N37:O37"/>
    <mergeCell ref="U37:V37"/>
    <mergeCell ref="AB37:AC37"/>
    <mergeCell ref="AI37:AJ37"/>
    <mergeCell ref="AP37:AQ37"/>
    <mergeCell ref="AW37:AX37"/>
    <mergeCell ref="BD37:BE37"/>
    <mergeCell ref="BR37:BS37"/>
    <mergeCell ref="BY37:BZ37"/>
    <mergeCell ref="CF37:CG37"/>
    <mergeCell ref="CM37:CN37"/>
    <mergeCell ref="CT37:CU37"/>
    <mergeCell ref="DA37:DB37"/>
    <mergeCell ref="DH37:DI37"/>
    <mergeCell ref="DV37:DW37"/>
    <mergeCell ref="EC37:ED37"/>
    <mergeCell ref="EJ37:EK37"/>
    <mergeCell ref="BK36:BL36"/>
    <mergeCell ref="BK37:BL37"/>
    <mergeCell ref="BR39:BS39"/>
    <mergeCell ref="BY39:BZ39"/>
    <mergeCell ref="CF39:CG39"/>
    <mergeCell ref="CM39:CN39"/>
    <mergeCell ref="CT39:CU39"/>
    <mergeCell ref="DA39:DB39"/>
    <mergeCell ref="DH39:DI39"/>
    <mergeCell ref="DV39:DW39"/>
    <mergeCell ref="U38:V38"/>
    <mergeCell ref="AB38:AC38"/>
    <mergeCell ref="AI38:AJ38"/>
    <mergeCell ref="AP38:AQ38"/>
    <mergeCell ref="AW38:AX38"/>
    <mergeCell ref="BD38:BE38"/>
    <mergeCell ref="BR38:BS38"/>
    <mergeCell ref="BY38:BZ38"/>
    <mergeCell ref="CF38:CG38"/>
    <mergeCell ref="BK38:BL38"/>
    <mergeCell ref="BK39:BL39"/>
    <mergeCell ref="DO38:DP38"/>
    <mergeCell ref="DO39:DP39"/>
    <mergeCell ref="J39:K39"/>
    <mergeCell ref="L39:M39"/>
    <mergeCell ref="N39:O39"/>
    <mergeCell ref="U39:V39"/>
    <mergeCell ref="AB39:AC39"/>
    <mergeCell ref="AI39:AJ39"/>
    <mergeCell ref="AP39:AQ39"/>
    <mergeCell ref="AW39:AX39"/>
    <mergeCell ref="BD39:BE39"/>
    <mergeCell ref="EC39:ED39"/>
    <mergeCell ref="EJ39:EK39"/>
    <mergeCell ref="CM38:CN38"/>
    <mergeCell ref="CT38:CU38"/>
    <mergeCell ref="DA38:DB38"/>
    <mergeCell ref="DH38:DI38"/>
    <mergeCell ref="DV38:DW38"/>
    <mergeCell ref="EC38:ED38"/>
    <mergeCell ref="EJ38:EK38"/>
  </mergeCells>
  <conditionalFormatting sqref="AQ44:AQ46">
    <cfRule type="expression" dxfId="433" priority="1586">
      <formula>OR(IF(AQ44&lt;AR44,TRUE),IF(AND(AR44="",AQ44&lt;&gt;""),TRUE))</formula>
    </cfRule>
    <cfRule type="expression" dxfId="432" priority="1587">
      <formula>IF(AQ44&gt;=AR44,IF(AQ44="",FALSE,TRUE))</formula>
    </cfRule>
  </conditionalFormatting>
  <conditionalFormatting sqref="AS44:AS46">
    <cfRule type="expression" dxfId="431" priority="1584">
      <formula>OR(IF(AS44&lt;AT44,TRUE),IF(AND(AT44="",AS44&lt;&gt;""),TRUE))</formula>
    </cfRule>
    <cfRule type="expression" dxfId="430" priority="1585">
      <formula>IF(AS44&gt;=AT44,IF(AS44="",FALSE,TRUE))</formula>
    </cfRule>
  </conditionalFormatting>
  <conditionalFormatting sqref="BG44:BG46">
    <cfRule type="expression" dxfId="429" priority="1558">
      <formula>OR(IF(BG44&lt;BH44,TRUE),IF(AND(BH44="",BG44&lt;&gt;""),TRUE))</formula>
    </cfRule>
    <cfRule type="expression" dxfId="428" priority="1559">
      <formula>IF(BG44&gt;=BH44,IF(BG44="",FALSE,TRUE))</formula>
    </cfRule>
  </conditionalFormatting>
  <conditionalFormatting sqref="BI44:BI46">
    <cfRule type="expression" dxfId="427" priority="1556">
      <formula>OR(IF(BI44&lt;BJ44,TRUE),IF(AND(BJ44="",BI44&lt;&gt;""),TRUE))</formula>
    </cfRule>
    <cfRule type="expression" dxfId="426" priority="1557">
      <formula>IF(BI44&gt;=BJ44,IF(BI44="",FALSE,TRUE))</formula>
    </cfRule>
  </conditionalFormatting>
  <conditionalFormatting sqref="U44:U46">
    <cfRule type="expression" dxfId="425" priority="1628">
      <formula>OR(IF(U44&lt;V44,TRUE),IF(AND(V44="",U44&lt;&gt;""),TRUE))</formula>
    </cfRule>
    <cfRule type="expression" dxfId="424" priority="1629">
      <formula>IF(U44&gt;=V44,IF(U44="",FALSE,TRUE))</formula>
    </cfRule>
  </conditionalFormatting>
  <conditionalFormatting sqref="S44:S46">
    <cfRule type="expression" dxfId="423" priority="1630">
      <formula>OR(IF(S44&lt;T44,TRUE),IF(AND(T44="",S44&lt;&gt;""),TRUE))</formula>
    </cfRule>
    <cfRule type="expression" dxfId="422" priority="1631">
      <formula>IF(S44&gt;=T44,IF(S44="",FALSE,TRUE))</formula>
    </cfRule>
  </conditionalFormatting>
  <conditionalFormatting sqref="BQ44:BQ46">
    <cfRule type="expression" dxfId="421" priority="1540">
      <formula>OR(IF(BQ44&lt;BR44,TRUE),IF(AND(BR44="",BQ44&lt;&gt;""),TRUE))</formula>
    </cfRule>
    <cfRule type="expression" dxfId="420" priority="1541">
      <formula>IF(BQ44&gt;=BR44,IF(BQ44="",FALSE,TRUE))</formula>
    </cfRule>
  </conditionalFormatting>
  <conditionalFormatting sqref="AC44:AC46">
    <cfRule type="expression" dxfId="419" priority="1616">
      <formula>OR(IF(AC44&lt;AD44,TRUE),IF(AND(AD44="",AC44&lt;&gt;""),TRUE))</formula>
    </cfRule>
    <cfRule type="expression" dxfId="418" priority="1617">
      <formula>IF(AC44&gt;=AD44,IF(AC44="",FALSE,TRUE))</formula>
    </cfRule>
  </conditionalFormatting>
  <conditionalFormatting sqref="AA44:AA46">
    <cfRule type="expression" dxfId="417" priority="1618">
      <formula>OR(IF(AA44&lt;AB44,TRUE),IF(AND(AB44="",AA44&lt;&gt;""),TRUE))</formula>
    </cfRule>
    <cfRule type="expression" dxfId="416" priority="1619">
      <formula>IF(AA44&gt;=AB44,IF(AA44="",FALSE,TRUE))</formula>
    </cfRule>
  </conditionalFormatting>
  <conditionalFormatting sqref="AK44:AK46">
    <cfRule type="expression" dxfId="415" priority="1600">
      <formula>OR(IF(AK44&lt;AL44,TRUE),IF(AND(AL44="",AK44&lt;&gt;""),TRUE))</formula>
    </cfRule>
    <cfRule type="expression" dxfId="414" priority="1601">
      <formula>IF(AK44&gt;=AL44,IF(AK44="",FALSE,TRUE))</formula>
    </cfRule>
  </conditionalFormatting>
  <conditionalFormatting sqref="AI44:AI46">
    <cfRule type="expression" dxfId="413" priority="1602">
      <formula>OR(IF(AI44&lt;AJ44,TRUE),IF(AND(AJ44="",AI44&lt;&gt;""),TRUE))</formula>
    </cfRule>
    <cfRule type="expression" dxfId="412" priority="1603">
      <formula>IF(AI44&gt;=AJ44,IF(AI44="",FALSE,TRUE))</formula>
    </cfRule>
  </conditionalFormatting>
  <conditionalFormatting sqref="BA44:BA46">
    <cfRule type="expression" dxfId="411" priority="1572">
      <formula>OR(IF(BA44&lt;BB44,TRUE),IF(AND(BB44="",BA44&lt;&gt;""),TRUE))</formula>
    </cfRule>
    <cfRule type="expression" dxfId="410" priority="1573">
      <formula>IF(BA44&gt;=BB44,IF(BA44="",FALSE,TRUE))</formula>
    </cfRule>
  </conditionalFormatting>
  <conditionalFormatting sqref="AY44:AY46">
    <cfRule type="expression" dxfId="409" priority="1574">
      <formula>OR(IF(AY44&lt;AZ44,TRUE),IF(AND(AZ44="",AY44&lt;&gt;""),TRUE))</formula>
    </cfRule>
    <cfRule type="expression" dxfId="408" priority="1575">
      <formula>IF(AY44&gt;=AZ44,IF(AY44="",FALSE,TRUE))</formula>
    </cfRule>
  </conditionalFormatting>
  <conditionalFormatting sqref="BO44:BO46">
    <cfRule type="expression" dxfId="407" priority="1542">
      <formula>OR(IF(BO44&lt;BP44,TRUE),IF(AND(BP44="",BO44&lt;&gt;""),TRUE))</formula>
    </cfRule>
    <cfRule type="expression" dxfId="406" priority="1543">
      <formula>IF(BO44&gt;=BP44,IF(BO44="",FALSE,TRUE))</formula>
    </cfRule>
  </conditionalFormatting>
  <conditionalFormatting sqref="N46:O46 L47:M47">
    <cfRule type="colorScale" priority="1537">
      <colorScale>
        <cfvo type="percent" val="0"/>
        <cfvo type="percent" val="100"/>
        <color rgb="FFFF231B"/>
        <color rgb="FF10FF07"/>
      </colorScale>
    </cfRule>
  </conditionalFormatting>
  <conditionalFormatting sqref="N46:O46">
    <cfRule type="colorScale" priority="1536">
      <colorScale>
        <cfvo type="percent" val="0"/>
        <cfvo type="percent" val="100"/>
        <color rgb="FFFF231B"/>
        <color rgb="FF10FF07"/>
      </colorScale>
    </cfRule>
  </conditionalFormatting>
  <conditionalFormatting sqref="L47:M47">
    <cfRule type="colorScale" priority="1645">
      <colorScale>
        <cfvo type="percent" val="0"/>
        <cfvo type="percent" val="100"/>
        <color rgb="FFFF231B"/>
        <color rgb="FF10FF07"/>
      </colorScale>
    </cfRule>
  </conditionalFormatting>
  <conditionalFormatting sqref="BY44:BY46">
    <cfRule type="expression" dxfId="405" priority="1517">
      <formula>OR(IF(BY44&lt;BZ44,TRUE),IF(AND(BZ44="",BY44&lt;&gt;""),TRUE))</formula>
    </cfRule>
    <cfRule type="expression" dxfId="404" priority="1518">
      <formula>IF(BY44&gt;=BZ44,IF(BY44="",FALSE,TRUE))</formula>
    </cfRule>
  </conditionalFormatting>
  <conditionalFormatting sqref="BW44:BW46">
    <cfRule type="expression" dxfId="403" priority="1519">
      <formula>OR(IF(BW44&lt;BX44,TRUE),IF(AND(BX44="",BW44&lt;&gt;""),TRUE))</formula>
    </cfRule>
    <cfRule type="expression" dxfId="402" priority="1520">
      <formula>IF(BW44&gt;=BX44,IF(BW44="",FALSE,TRUE))</formula>
    </cfRule>
  </conditionalFormatting>
  <conditionalFormatting sqref="CG44:CG46">
    <cfRule type="expression" dxfId="401" priority="1505">
      <formula>OR(IF(CG44&lt;CH44,TRUE),IF(AND(CH44="",CG44&lt;&gt;""),TRUE))</formula>
    </cfRule>
    <cfRule type="expression" dxfId="400" priority="1506">
      <formula>IF(CG44&gt;=CH44,IF(CG44="",FALSE,TRUE))</formula>
    </cfRule>
  </conditionalFormatting>
  <conditionalFormatting sqref="CE44:CE46">
    <cfRule type="expression" dxfId="399" priority="1507">
      <formula>OR(IF(CE44&lt;CF44,TRUE),IF(AND(CF44="",CE44&lt;&gt;""),TRUE))</formula>
    </cfRule>
    <cfRule type="expression" dxfId="398" priority="1508">
      <formula>IF(CE44&gt;=CF44,IF(CE44="",FALSE,TRUE))</formula>
    </cfRule>
  </conditionalFormatting>
  <conditionalFormatting sqref="CO44:CO46">
    <cfRule type="expression" dxfId="397" priority="1493">
      <formula>OR(IF(CO44&lt;CP44,TRUE),IF(AND(CP44="",CO44&lt;&gt;""),TRUE))</formula>
    </cfRule>
    <cfRule type="expression" dxfId="396" priority="1494">
      <formula>IF(CO44&gt;=CP44,IF(CO44="",FALSE,TRUE))</formula>
    </cfRule>
  </conditionalFormatting>
  <conditionalFormatting sqref="CM44:CM46">
    <cfRule type="expression" dxfId="395" priority="1495">
      <formula>OR(IF(CM44&lt;CN44,TRUE),IF(AND(CN44="",CM44&lt;&gt;""),TRUE))</formula>
    </cfRule>
    <cfRule type="expression" dxfId="394" priority="1496">
      <formula>IF(CM44&gt;=CN44,IF(CM44="",FALSE,TRUE))</formula>
    </cfRule>
  </conditionalFormatting>
  <conditionalFormatting sqref="CW44:CW46">
    <cfRule type="expression" dxfId="393" priority="1481">
      <formula>OR(IF(CW44&lt;CX44,TRUE),IF(AND(CX44="",CW44&lt;&gt;""),TRUE))</formula>
    </cfRule>
    <cfRule type="expression" dxfId="392" priority="1482">
      <formula>IF(CW44&gt;=CX44,IF(CW44="",FALSE,TRUE))</formula>
    </cfRule>
  </conditionalFormatting>
  <conditionalFormatting sqref="CU44:CU46">
    <cfRule type="expression" dxfId="391" priority="1483">
      <formula>OR(IF(CU44&lt;CV44,TRUE),IF(AND(CV44="",CU44&lt;&gt;""),TRUE))</formula>
    </cfRule>
    <cfRule type="expression" dxfId="390" priority="1484">
      <formula>IF(CU44&gt;=CV44,IF(CU44="",FALSE,TRUE))</formula>
    </cfRule>
  </conditionalFormatting>
  <conditionalFormatting sqref="DE44:DE46">
    <cfRule type="expression" dxfId="389" priority="1469">
      <formula>OR(IF(DE44&lt;DF44,TRUE),IF(AND(DF44="",DE44&lt;&gt;""),TRUE))</formula>
    </cfRule>
    <cfRule type="expression" dxfId="388" priority="1470">
      <formula>IF(DE44&gt;=DF44,IF(DE44="",FALSE,TRUE))</formula>
    </cfRule>
  </conditionalFormatting>
  <conditionalFormatting sqref="DC44:DC46">
    <cfRule type="expression" dxfId="387" priority="1471">
      <formula>OR(IF(DC44&lt;DD44,TRUE),IF(AND(DD44="",DC44&lt;&gt;""),TRUE))</formula>
    </cfRule>
    <cfRule type="expression" dxfId="386" priority="1472">
      <formula>IF(DC44&gt;=DD44,IF(DC44="",FALSE,TRUE))</formula>
    </cfRule>
  </conditionalFormatting>
  <conditionalFormatting sqref="DM44:DM46">
    <cfRule type="expression" dxfId="385" priority="1457">
      <formula>OR(IF(DM44&lt;DN44,TRUE),IF(AND(DN44="",DM44&lt;&gt;""),TRUE))</formula>
    </cfRule>
    <cfRule type="expression" dxfId="384" priority="1458">
      <formula>IF(DM44&gt;=DN44,IF(DM44="",FALSE,TRUE))</formula>
    </cfRule>
  </conditionalFormatting>
  <conditionalFormatting sqref="DK44:DK46">
    <cfRule type="expression" dxfId="383" priority="1459">
      <formula>OR(IF(DK44&lt;DL44,TRUE),IF(AND(DL44="",DK44&lt;&gt;""),TRUE))</formula>
    </cfRule>
    <cfRule type="expression" dxfId="382" priority="1460">
      <formula>IF(DK44&gt;=DL44,IF(DK44="",FALSE,TRUE))</formula>
    </cfRule>
  </conditionalFormatting>
  <conditionalFormatting sqref="DU44:DU46">
    <cfRule type="expression" dxfId="381" priority="1445">
      <formula>OR(IF(DU44&lt;DV44,TRUE),IF(AND(DV44="",DU44&lt;&gt;""),TRUE))</formula>
    </cfRule>
    <cfRule type="expression" dxfId="380" priority="1446">
      <formula>IF(DU44&gt;=DV44,IF(DU44="",FALSE,TRUE))</formula>
    </cfRule>
  </conditionalFormatting>
  <conditionalFormatting sqref="DS44:DS46">
    <cfRule type="expression" dxfId="379" priority="1447">
      <formula>OR(IF(DS44&lt;DT44,TRUE),IF(AND(DT44="",DS44&lt;&gt;""),TRUE))</formula>
    </cfRule>
    <cfRule type="expression" dxfId="378" priority="1448">
      <formula>IF(DS44&gt;=DT44,IF(DS44="",FALSE,TRUE))</formula>
    </cfRule>
  </conditionalFormatting>
  <conditionalFormatting sqref="EC44:EC46">
    <cfRule type="expression" dxfId="377" priority="1429">
      <formula>OR(IF(EC44&lt;ED44,TRUE),IF(AND(ED44="",EC44&lt;&gt;""),TRUE))</formula>
    </cfRule>
    <cfRule type="expression" dxfId="376" priority="1430">
      <formula>IF(EC44&gt;=ED44,IF(EC44="",FALSE,TRUE))</formula>
    </cfRule>
  </conditionalFormatting>
  <conditionalFormatting sqref="EA44:EA46">
    <cfRule type="expression" dxfId="375" priority="1431">
      <formula>OR(IF(EA44&lt;EB44,TRUE),IF(AND(EB44="",EA44&lt;&gt;""),TRUE))</formula>
    </cfRule>
    <cfRule type="expression" dxfId="374" priority="1432">
      <formula>IF(EA44&gt;=EB44,IF(EA44="",FALSE,TRUE))</formula>
    </cfRule>
  </conditionalFormatting>
  <conditionalFormatting sqref="EK44:EK46">
    <cfRule type="expression" dxfId="373" priority="1417">
      <formula>OR(IF(EK44&lt;EL44,TRUE),IF(AND(EL44="",EK44&lt;&gt;""),TRUE))</formula>
    </cfRule>
    <cfRule type="expression" dxfId="372" priority="1418">
      <formula>IF(EK44&gt;=EL44,IF(EK44="",FALSE,TRUE))</formula>
    </cfRule>
  </conditionalFormatting>
  <conditionalFormatting sqref="EI44:EI46">
    <cfRule type="expression" dxfId="371" priority="1419">
      <formula>OR(IF(EI44&lt;EJ44,TRUE),IF(AND(EJ44="",EI44&lt;&gt;""),TRUE))</formula>
    </cfRule>
    <cfRule type="expression" dxfId="370" priority="1420">
      <formula>IF(EI44&gt;=EJ44,IF(EI44="",FALSE,TRUE))</formula>
    </cfRule>
  </conditionalFormatting>
  <conditionalFormatting sqref="ES44:ES46">
    <cfRule type="expression" dxfId="369" priority="1405">
      <formula>OR(IF(ES44&lt;ET44,TRUE),IF(AND(ET44="",ES44&lt;&gt;""),TRUE))</formula>
    </cfRule>
    <cfRule type="expression" dxfId="368" priority="1406">
      <formula>IF(ES44&gt;=ET44,IF(ES44="",FALSE,TRUE))</formula>
    </cfRule>
  </conditionalFormatting>
  <conditionalFormatting sqref="EQ44:EQ46">
    <cfRule type="expression" dxfId="367" priority="1407">
      <formula>OR(IF(EQ44&lt;ER44,TRUE),IF(AND(ER44="",EQ44&lt;&gt;""),TRUE))</formula>
    </cfRule>
    <cfRule type="expression" dxfId="366" priority="1408">
      <formula>IF(EQ44&gt;=ER44,IF(EQ44="",FALSE,TRUE))</formula>
    </cfRule>
  </conditionalFormatting>
  <conditionalFormatting sqref="FA44:FA46">
    <cfRule type="expression" dxfId="365" priority="1389">
      <formula>OR(IF(FA44&lt;FB44,TRUE),IF(AND(FB44="",FA44&lt;&gt;""),TRUE))</formula>
    </cfRule>
    <cfRule type="expression" dxfId="364" priority="1390">
      <formula>IF(FA44&gt;=FB44,IF(FA44="",FALSE,TRUE))</formula>
    </cfRule>
  </conditionalFormatting>
  <conditionalFormatting sqref="EY44:EY46">
    <cfRule type="expression" dxfId="363" priority="1391">
      <formula>OR(IF(EY44&lt;EZ44,TRUE),IF(AND(EZ44="",EY44&lt;&gt;""),TRUE))</formula>
    </cfRule>
    <cfRule type="expression" dxfId="362" priority="1392">
      <formula>IF(EY44&gt;=EZ44,IF(EY44="",FALSE,TRUE))</formula>
    </cfRule>
  </conditionalFormatting>
  <conditionalFormatting sqref="O44:O45">
    <cfRule type="colorScale" priority="1269">
      <colorScale>
        <cfvo type="percent" val="0"/>
        <cfvo type="percent" val="100"/>
        <color rgb="FFFF231B"/>
        <color rgb="FF10FF07"/>
      </colorScale>
    </cfRule>
  </conditionalFormatting>
  <conditionalFormatting sqref="O44:O45">
    <cfRule type="colorScale" priority="1268">
      <colorScale>
        <cfvo type="percent" val="0"/>
        <cfvo type="percent" val="100"/>
        <color rgb="FFFF231B"/>
        <color rgb="FF10FF07"/>
      </colorScale>
    </cfRule>
  </conditionalFormatting>
  <conditionalFormatting sqref="Q20:Q24 S20:S24 Q6:Q17">
    <cfRule type="expression" dxfId="361" priority="1156">
      <formula>OR(IF(Q6&lt;R6,TRUE),IF(AND(R6="",Q6&lt;&gt;""),TRUE))</formula>
    </cfRule>
    <cfRule type="expression" dxfId="360" priority="1157">
      <formula>IF(Q6&gt;=R6,IF(Q6="",FALSE,TRUE))</formula>
    </cfRule>
  </conditionalFormatting>
  <conditionalFormatting sqref="S6:S17">
    <cfRule type="expression" dxfId="359" priority="1154">
      <formula>OR(IF(S6&lt;T6,TRUE),IF(AND(T6="",S6&lt;&gt;""),TRUE))</formula>
    </cfRule>
    <cfRule type="expression" dxfId="358" priority="1155">
      <formula>IF(S6&gt;=T6,IF(S6="",FALSE,TRUE))</formula>
    </cfRule>
  </conditionalFormatting>
  <conditionalFormatting sqref="AL40:AL43">
    <cfRule type="expression" dxfId="357" priority="1100">
      <formula>OR(IF(AL40&lt;AM40,TRUE),IF(AND(AM40="",AL40&lt;&gt;""),TRUE))</formula>
    </cfRule>
    <cfRule type="expression" dxfId="356" priority="1101">
      <formula>IF(AL40&gt;=AM40,IF(AL40="",FALSE,TRUE))</formula>
    </cfRule>
  </conditionalFormatting>
  <conditionalFormatting sqref="AN40:AN43">
    <cfRule type="expression" dxfId="355" priority="1098">
      <formula>OR(IF(AN40&lt;AO40,TRUE),IF(AND(AO40="",AN40&lt;&gt;""),TRUE))</formula>
    </cfRule>
    <cfRule type="expression" dxfId="354" priority="1099">
      <formula>IF(AN40&gt;=AO40,IF(AN40="",FALSE,TRUE))</formula>
    </cfRule>
  </conditionalFormatting>
  <conditionalFormatting sqref="Q34:Q35">
    <cfRule type="expression" dxfId="353" priority="1152">
      <formula>OR(IF(Q34&lt;R34,TRUE),IF(AND(R34="",Q34&lt;&gt;""),TRUE))</formula>
    </cfRule>
    <cfRule type="expression" dxfId="352" priority="1153">
      <formula>IF(Q34&gt;=R34,IF(Q34="",FALSE,TRUE))</formula>
    </cfRule>
  </conditionalFormatting>
  <conditionalFormatting sqref="S34:S35">
    <cfRule type="expression" dxfId="351" priority="1150">
      <formula>OR(IF(S34&lt;T34,TRUE),IF(AND(T34="",S34&lt;&gt;""),TRUE))</formula>
    </cfRule>
    <cfRule type="expression" dxfId="350" priority="1151">
      <formula>IF(S34&gt;=T34,IF(S34="",FALSE,TRUE))</formula>
    </cfRule>
  </conditionalFormatting>
  <conditionalFormatting sqref="AZ40:AZ43">
    <cfRule type="expression" dxfId="349" priority="1072">
      <formula>OR(IF(AZ40&lt;BA40,TRUE),IF(AND(BA40="",AZ40&lt;&gt;""),TRUE))</formula>
    </cfRule>
    <cfRule type="expression" dxfId="348" priority="1073">
      <formula>IF(AZ40&gt;=BA40,IF(AZ40="",FALSE,TRUE))</formula>
    </cfRule>
  </conditionalFormatting>
  <conditionalFormatting sqref="BB40:BB43">
    <cfRule type="expression" dxfId="347" priority="1070">
      <formula>OR(IF(BB40&lt;BC40,TRUE),IF(AND(BC40="",BB40&lt;&gt;""),TRUE))</formula>
    </cfRule>
    <cfRule type="expression" dxfId="346" priority="1071">
      <formula>IF(BB40&gt;=BC40,IF(BB40="",FALSE,TRUE))</formula>
    </cfRule>
  </conditionalFormatting>
  <conditionalFormatting sqref="S36:S43">
    <cfRule type="expression" dxfId="345" priority="1142">
      <formula>OR(IF(S36&lt;T36,TRUE),IF(AND(T36="",S36&lt;&gt;""),TRUE))</formula>
    </cfRule>
    <cfRule type="expression" dxfId="344" priority="1143">
      <formula>IF(S36&gt;=T36,IF(S36="",FALSE,TRUE))</formula>
    </cfRule>
  </conditionalFormatting>
  <conditionalFormatting sqref="Q25:Q31">
    <cfRule type="expression" dxfId="343" priority="1148">
      <formula>OR(IF(Q25&lt;R25,TRUE),IF(AND(R25="",Q25&lt;&gt;""),TRUE))</formula>
    </cfRule>
    <cfRule type="expression" dxfId="342" priority="1149">
      <formula>IF(Q25&gt;=R25,IF(Q25="",FALSE,TRUE))</formula>
    </cfRule>
  </conditionalFormatting>
  <conditionalFormatting sqref="S25:S31">
    <cfRule type="expression" dxfId="341" priority="1146">
      <formula>OR(IF(S25&lt;T25,TRUE),IF(AND(T25="",S25&lt;&gt;""),TRUE))</formula>
    </cfRule>
    <cfRule type="expression" dxfId="340" priority="1147">
      <formula>IF(S25&gt;=T25,IF(S25="",FALSE,TRUE))</formula>
    </cfRule>
  </conditionalFormatting>
  <conditionalFormatting sqref="Q36:Q43">
    <cfRule type="expression" dxfId="339" priority="1144">
      <formula>OR(IF(Q36&lt;R36,TRUE),IF(AND(R36="",Q36&lt;&gt;""),TRUE))</formula>
    </cfRule>
    <cfRule type="expression" dxfId="338" priority="1145">
      <formula>IF(Q36&gt;=R36,IF(Q36="",FALSE,TRUE))</formula>
    </cfRule>
  </conditionalFormatting>
  <conditionalFormatting sqref="BI40:BI43">
    <cfRule type="expression" dxfId="337" priority="1054">
      <formula>OR(IF(BI40&lt;BJ40,TRUE),IF(AND(BJ40="",BI40&lt;&gt;""),TRUE))</formula>
    </cfRule>
    <cfRule type="expression" dxfId="336" priority="1055">
      <formula>IF(BI40&gt;=BJ40,IF(BI40="",FALSE,TRUE))</formula>
    </cfRule>
  </conditionalFormatting>
  <conditionalFormatting sqref="Z40:Z43">
    <cfRule type="expression" dxfId="335" priority="1130">
      <formula>OR(IF(Z40&lt;AA40,TRUE),IF(AND(AA40="",Z40&lt;&gt;""),TRUE))</formula>
    </cfRule>
    <cfRule type="expression" dxfId="334" priority="1131">
      <formula>IF(Z40&gt;=AA40,IF(Z40="",FALSE,TRUE))</formula>
    </cfRule>
  </conditionalFormatting>
  <conditionalFormatting sqref="X40:X43">
    <cfRule type="expression" dxfId="333" priority="1132">
      <formula>OR(IF(X40&lt;Y40,TRUE),IF(AND(Y40="",X40&lt;&gt;""),TRUE))</formula>
    </cfRule>
    <cfRule type="expression" dxfId="332" priority="1133">
      <formula>IF(X40&gt;=Y40,IF(X40="",FALSE,TRUE))</formula>
    </cfRule>
  </conditionalFormatting>
  <conditionalFormatting sqref="AG40:AG43">
    <cfRule type="expression" dxfId="331" priority="1114">
      <formula>OR(IF(AG40&lt;AH40,TRUE),IF(AND(AH40="",AG40&lt;&gt;""),TRUE))</formula>
    </cfRule>
    <cfRule type="expression" dxfId="330" priority="1115">
      <formula>IF(AG40&gt;=AH40,IF(AG40="",FALSE,TRUE))</formula>
    </cfRule>
  </conditionalFormatting>
  <conditionalFormatting sqref="AE40:AE43">
    <cfRule type="expression" dxfId="329" priority="1116">
      <formula>OR(IF(AE40&lt;AF40,TRUE),IF(AND(AF40="",AE40&lt;&gt;""),TRUE))</formula>
    </cfRule>
    <cfRule type="expression" dxfId="328" priority="1117">
      <formula>IF(AE40&gt;=AF40,IF(AE40="",FALSE,TRUE))</formula>
    </cfRule>
  </conditionalFormatting>
  <conditionalFormatting sqref="AU40:AU43">
    <cfRule type="expression" dxfId="327" priority="1086">
      <formula>OR(IF(AU40&lt;AV40,TRUE),IF(AND(AV40="",AU40&lt;&gt;""),TRUE))</formula>
    </cfRule>
    <cfRule type="expression" dxfId="326" priority="1087">
      <formula>IF(AU40&gt;=AV40,IF(AU40="",FALSE,TRUE))</formula>
    </cfRule>
  </conditionalFormatting>
  <conditionalFormatting sqref="AS40:AS43">
    <cfRule type="expression" dxfId="325" priority="1088">
      <formula>OR(IF(AS40&lt;AT40,TRUE),IF(AND(AT40="",AS40&lt;&gt;""),TRUE))</formula>
    </cfRule>
    <cfRule type="expression" dxfId="324" priority="1089">
      <formula>IF(AS40&gt;=AT40,IF(AS40="",FALSE,TRUE))</formula>
    </cfRule>
  </conditionalFormatting>
  <conditionalFormatting sqref="BG40:BG43">
    <cfRule type="expression" dxfId="323" priority="1056">
      <formula>OR(IF(BG40&lt;BH40,TRUE),IF(AND(BH40="",BG40&lt;&gt;""),TRUE))</formula>
    </cfRule>
    <cfRule type="expression" dxfId="322" priority="1057">
      <formula>IF(BG40&gt;=BH40,IF(BG40="",FALSE,TRUE))</formula>
    </cfRule>
  </conditionalFormatting>
  <conditionalFormatting sqref="N6:N17">
    <cfRule type="colorScale" priority="1053">
      <colorScale>
        <cfvo type="percent" val="0"/>
        <cfvo type="percent" val="100"/>
        <color rgb="FFFF231B"/>
        <color rgb="FF10FF07"/>
      </colorScale>
    </cfRule>
  </conditionalFormatting>
  <conditionalFormatting sqref="BP40:BP43">
    <cfRule type="expression" dxfId="321" priority="1037">
      <formula>OR(IF(BP40&lt;BQ40,TRUE),IF(AND(BQ40="",BP40&lt;&gt;""),TRUE))</formula>
    </cfRule>
    <cfRule type="expression" dxfId="320" priority="1038">
      <formula>IF(BP40&gt;=BQ40,IF(BP40="",FALSE,TRUE))</formula>
    </cfRule>
  </conditionalFormatting>
  <conditionalFormatting sqref="BN40:BN43">
    <cfRule type="expression" dxfId="319" priority="1039">
      <formula>OR(IF(BN40&lt;BO40,TRUE),IF(AND(BO40="",BN40&lt;&gt;""),TRUE))</formula>
    </cfRule>
    <cfRule type="expression" dxfId="318" priority="1040">
      <formula>IF(BN40&gt;=BO40,IF(BN40="",FALSE,TRUE))</formula>
    </cfRule>
  </conditionalFormatting>
  <conditionalFormatting sqref="BW40:BW43">
    <cfRule type="expression" dxfId="317" priority="1025">
      <formula>OR(IF(BW40&lt;BX40,TRUE),IF(AND(BX40="",BW40&lt;&gt;""),TRUE))</formula>
    </cfRule>
    <cfRule type="expression" dxfId="316" priority="1026">
      <formula>IF(BW40&gt;=BX40,IF(BW40="",FALSE,TRUE))</formula>
    </cfRule>
  </conditionalFormatting>
  <conditionalFormatting sqref="BU40:BU43">
    <cfRule type="expression" dxfId="315" priority="1027">
      <formula>OR(IF(BU40&lt;BV40,TRUE),IF(AND(BV40="",BU40&lt;&gt;""),TRUE))</formula>
    </cfRule>
    <cfRule type="expression" dxfId="314" priority="1028">
      <formula>IF(BU40&gt;=BV40,IF(BU40="",FALSE,TRUE))</formula>
    </cfRule>
  </conditionalFormatting>
  <conditionalFormatting sqref="CD40:CD43">
    <cfRule type="expression" dxfId="313" priority="1013">
      <formula>OR(IF(CD40&lt;CE40,TRUE),IF(AND(CE40="",CD40&lt;&gt;""),TRUE))</formula>
    </cfRule>
    <cfRule type="expression" dxfId="312" priority="1014">
      <formula>IF(CD40&gt;=CE40,IF(CD40="",FALSE,TRUE))</formula>
    </cfRule>
  </conditionalFormatting>
  <conditionalFormatting sqref="CB40:CB43">
    <cfRule type="expression" dxfId="311" priority="1015">
      <formula>OR(IF(CB40&lt;CC40,TRUE),IF(AND(CC40="",CB40&lt;&gt;""),TRUE))</formula>
    </cfRule>
    <cfRule type="expression" dxfId="310" priority="1016">
      <formula>IF(CB40&gt;=CC40,IF(CB40="",FALSE,TRUE))</formula>
    </cfRule>
  </conditionalFormatting>
  <conditionalFormatting sqref="CK40:CK43">
    <cfRule type="expression" dxfId="309" priority="1001">
      <formula>OR(IF(CK40&lt;CL40,TRUE),IF(AND(CL40="",CK40&lt;&gt;""),TRUE))</formula>
    </cfRule>
    <cfRule type="expression" dxfId="308" priority="1002">
      <formula>IF(CK40&gt;=CL40,IF(CK40="",FALSE,TRUE))</formula>
    </cfRule>
  </conditionalFormatting>
  <conditionalFormatting sqref="CI40:CI43">
    <cfRule type="expression" dxfId="307" priority="1003">
      <formula>OR(IF(CI40&lt;CJ40,TRUE),IF(AND(CJ40="",CI40&lt;&gt;""),TRUE))</formula>
    </cfRule>
    <cfRule type="expression" dxfId="306" priority="1004">
      <formula>IF(CI40&gt;=CJ40,IF(CI40="",FALSE,TRUE))</formula>
    </cfRule>
  </conditionalFormatting>
  <conditionalFormatting sqref="CR40:CR43">
    <cfRule type="expression" dxfId="305" priority="989">
      <formula>OR(IF(CR40&lt;CS40,TRUE),IF(AND(CS40="",CR40&lt;&gt;""),TRUE))</formula>
    </cfRule>
    <cfRule type="expression" dxfId="304" priority="990">
      <formula>IF(CR40&gt;=CS40,IF(CR40="",FALSE,TRUE))</formula>
    </cfRule>
  </conditionalFormatting>
  <conditionalFormatting sqref="CP40:CP43">
    <cfRule type="expression" dxfId="303" priority="991">
      <formula>OR(IF(CP40&lt;CQ40,TRUE),IF(AND(CQ40="",CP40&lt;&gt;""),TRUE))</formula>
    </cfRule>
    <cfRule type="expression" dxfId="302" priority="992">
      <formula>IF(CP40&gt;=CQ40,IF(CP40="",FALSE,TRUE))</formula>
    </cfRule>
  </conditionalFormatting>
  <conditionalFormatting sqref="CY40:CY43">
    <cfRule type="expression" dxfId="301" priority="977">
      <formula>OR(IF(CY40&lt;CZ40,TRUE),IF(AND(CZ40="",CY40&lt;&gt;""),TRUE))</formula>
    </cfRule>
    <cfRule type="expression" dxfId="300" priority="978">
      <formula>IF(CY40&gt;=CZ40,IF(CY40="",FALSE,TRUE))</formula>
    </cfRule>
  </conditionalFormatting>
  <conditionalFormatting sqref="CW40:CW43">
    <cfRule type="expression" dxfId="299" priority="979">
      <formula>OR(IF(CW40&lt;CX40,TRUE),IF(AND(CX40="",CW40&lt;&gt;""),TRUE))</formula>
    </cfRule>
    <cfRule type="expression" dxfId="298" priority="980">
      <formula>IF(CW40&gt;=CX40,IF(CW40="",FALSE,TRUE))</formula>
    </cfRule>
  </conditionalFormatting>
  <conditionalFormatting sqref="DF40:DF43">
    <cfRule type="expression" dxfId="297" priority="965">
      <formula>OR(IF(DF40&lt;DG40,TRUE),IF(AND(DG40="",DF40&lt;&gt;""),TRUE))</formula>
    </cfRule>
    <cfRule type="expression" dxfId="296" priority="966">
      <formula>IF(DF40&gt;=DG40,IF(DF40="",FALSE,TRUE))</formula>
    </cfRule>
  </conditionalFormatting>
  <conditionalFormatting sqref="DD40:DD43">
    <cfRule type="expression" dxfId="295" priority="967">
      <formula>OR(IF(DD40&lt;DE40,TRUE),IF(AND(DE40="",DD40&lt;&gt;""),TRUE))</formula>
    </cfRule>
    <cfRule type="expression" dxfId="294" priority="968">
      <formula>IF(DD40&gt;=DE40,IF(DD40="",FALSE,TRUE))</formula>
    </cfRule>
  </conditionalFormatting>
  <conditionalFormatting sqref="DM40:DM43">
    <cfRule type="expression" dxfId="293" priority="949">
      <formula>OR(IF(DM40&lt;DN40,TRUE),IF(AND(DN40="",DM40&lt;&gt;""),TRUE))</formula>
    </cfRule>
    <cfRule type="expression" dxfId="292" priority="950">
      <formula>IF(DM40&gt;=DN40,IF(DM40="",FALSE,TRUE))</formula>
    </cfRule>
  </conditionalFormatting>
  <conditionalFormatting sqref="DK40:DK43">
    <cfRule type="expression" dxfId="291" priority="951">
      <formula>OR(IF(DK40&lt;DL40,TRUE),IF(AND(DL40="",DK40&lt;&gt;""),TRUE))</formula>
    </cfRule>
    <cfRule type="expression" dxfId="290" priority="952">
      <formula>IF(DK40&gt;=DL40,IF(DK40="",FALSE,TRUE))</formula>
    </cfRule>
  </conditionalFormatting>
  <conditionalFormatting sqref="DT40:DT43">
    <cfRule type="expression" dxfId="289" priority="937">
      <formula>OR(IF(DT40&lt;DU40,TRUE),IF(AND(DU40="",DT40&lt;&gt;""),TRUE))</formula>
    </cfRule>
    <cfRule type="expression" dxfId="288" priority="938">
      <formula>IF(DT40&gt;=DU40,IF(DT40="",FALSE,TRUE))</formula>
    </cfRule>
  </conditionalFormatting>
  <conditionalFormatting sqref="DR40:DR43">
    <cfRule type="expression" dxfId="287" priority="939">
      <formula>OR(IF(DR40&lt;DS40,TRUE),IF(AND(DS40="",DR40&lt;&gt;""),TRUE))</formula>
    </cfRule>
    <cfRule type="expression" dxfId="286" priority="940">
      <formula>IF(DR40&gt;=DS40,IF(DR40="",FALSE,TRUE))</formula>
    </cfRule>
  </conditionalFormatting>
  <conditionalFormatting sqref="DY6:DY7 DY16:DY17">
    <cfRule type="expression" dxfId="285" priority="935">
      <formula>OR(IF(DY6&lt;DZ6,TRUE),IF(AND(DZ6="",DY6&lt;&gt;""),TRUE))</formula>
    </cfRule>
    <cfRule type="expression" dxfId="284" priority="936">
      <formula>IF(DY6&gt;=DZ6,IF(DY6="",FALSE,TRUE))</formula>
    </cfRule>
  </conditionalFormatting>
  <conditionalFormatting sqref="EA6:EA7 EA16:EA17">
    <cfRule type="expression" dxfId="283" priority="933">
      <formula>OR(IF(EA6&lt;EB6,TRUE),IF(AND(EB6="",EA6&lt;&gt;""),TRUE))</formula>
    </cfRule>
    <cfRule type="expression" dxfId="282" priority="934">
      <formula>IF(EA6&gt;=EB6,IF(EA6="",FALSE,TRUE))</formula>
    </cfRule>
  </conditionalFormatting>
  <conditionalFormatting sqref="EA39:EA43">
    <cfRule type="expression" dxfId="281" priority="925">
      <formula>OR(IF(EA39&lt;EB39,TRUE),IF(AND(EB39="",EA39&lt;&gt;""),TRUE))</formula>
    </cfRule>
    <cfRule type="expression" dxfId="280" priority="926">
      <formula>IF(EA39&gt;=EB39,IF(EA39="",FALSE,TRUE))</formula>
    </cfRule>
  </conditionalFormatting>
  <conditionalFormatting sqref="DY30:DY31">
    <cfRule type="expression" dxfId="279" priority="931">
      <formula>OR(IF(DY30&lt;DZ30,TRUE),IF(AND(DZ30="",DY30&lt;&gt;""),TRUE))</formula>
    </cfRule>
    <cfRule type="expression" dxfId="278" priority="932">
      <formula>IF(DY30&gt;=DZ30,IF(DY30="",FALSE,TRUE))</formula>
    </cfRule>
  </conditionalFormatting>
  <conditionalFormatting sqref="EA30:EA31">
    <cfRule type="expression" dxfId="277" priority="929">
      <formula>OR(IF(EA30&lt;EB30,TRUE),IF(AND(EB30="",EA30&lt;&gt;""),TRUE))</formula>
    </cfRule>
    <cfRule type="expression" dxfId="276" priority="930">
      <formula>IF(EA30&gt;=EB30,IF(EA30="",FALSE,TRUE))</formula>
    </cfRule>
  </conditionalFormatting>
  <conditionalFormatting sqref="DY39:DY43">
    <cfRule type="expression" dxfId="275" priority="927">
      <formula>OR(IF(DY39&lt;DZ39,TRUE),IF(AND(DZ39="",DY39&lt;&gt;""),TRUE))</formula>
    </cfRule>
    <cfRule type="expression" dxfId="274" priority="928">
      <formula>IF(DY39&gt;=DZ39,IF(DY39="",FALSE,TRUE))</formula>
    </cfRule>
  </conditionalFormatting>
  <conditionalFormatting sqref="EF6:EF17 EF20:EF31 EH20:EH31">
    <cfRule type="expression" dxfId="273" priority="923">
      <formula>OR(IF(EF6&lt;EG6,TRUE),IF(AND(EG6="",EF6&lt;&gt;""),TRUE))</formula>
    </cfRule>
    <cfRule type="expression" dxfId="272" priority="924">
      <formula>IF(EF6&gt;=EG6,IF(EF6="",FALSE,TRUE))</formula>
    </cfRule>
  </conditionalFormatting>
  <conditionalFormatting sqref="EH6:EH17">
    <cfRule type="expression" dxfId="271" priority="921">
      <formula>OR(IF(EH6&lt;EI6,TRUE),IF(AND(EI6="",EH6&lt;&gt;""),TRUE))</formula>
    </cfRule>
    <cfRule type="expression" dxfId="270" priority="922">
      <formula>IF(EH6&gt;=EI6,IF(EH6="",FALSE,TRUE))</formula>
    </cfRule>
  </conditionalFormatting>
  <conditionalFormatting sqref="EF34:EF35">
    <cfRule type="expression" dxfId="269" priority="919">
      <formula>OR(IF(EF34&lt;EG34,TRUE),IF(AND(EG34="",EF34&lt;&gt;""),TRUE))</formula>
    </cfRule>
    <cfRule type="expression" dxfId="268" priority="920">
      <formula>IF(EF34&gt;=EG34,IF(EF34="",FALSE,TRUE))</formula>
    </cfRule>
  </conditionalFormatting>
  <conditionalFormatting sqref="EH34:EH35">
    <cfRule type="expression" dxfId="267" priority="917">
      <formula>OR(IF(EH34&lt;EI34,TRUE),IF(AND(EI34="",EH34&lt;&gt;""),TRUE))</formula>
    </cfRule>
    <cfRule type="expression" dxfId="266" priority="918">
      <formula>IF(EH34&gt;=EI34,IF(EH34="",FALSE,TRUE))</formula>
    </cfRule>
  </conditionalFormatting>
  <conditionalFormatting sqref="EH36:EH43">
    <cfRule type="expression" dxfId="265" priority="909">
      <formula>OR(IF(EH36&lt;EI36,TRUE),IF(AND(EI36="",EH36&lt;&gt;""),TRUE))</formula>
    </cfRule>
    <cfRule type="expression" dxfId="264" priority="910">
      <formula>IF(EH36&gt;=EI36,IF(EH36="",FALSE,TRUE))</formula>
    </cfRule>
  </conditionalFormatting>
  <conditionalFormatting sqref="EF25:EF31">
    <cfRule type="expression" dxfId="263" priority="915">
      <formula>OR(IF(EF25&lt;EG25,TRUE),IF(AND(EG25="",EF25&lt;&gt;""),TRUE))</formula>
    </cfRule>
    <cfRule type="expression" dxfId="262" priority="916">
      <formula>IF(EF25&gt;=EG25,IF(EF25="",FALSE,TRUE))</formula>
    </cfRule>
  </conditionalFormatting>
  <conditionalFormatting sqref="EH25:EH31">
    <cfRule type="expression" dxfId="261" priority="913">
      <formula>OR(IF(EH25&lt;EI25,TRUE),IF(AND(EI25="",EH25&lt;&gt;""),TRUE))</formula>
    </cfRule>
    <cfRule type="expression" dxfId="260" priority="914">
      <formula>IF(EH25&gt;=EI25,IF(EH25="",FALSE,TRUE))</formula>
    </cfRule>
  </conditionalFormatting>
  <conditionalFormatting sqref="EF36:EF43">
    <cfRule type="expression" dxfId="259" priority="911">
      <formula>OR(IF(EF36&lt;EG36,TRUE),IF(AND(EG36="",EF36&lt;&gt;""),TRUE))</formula>
    </cfRule>
    <cfRule type="expression" dxfId="258" priority="912">
      <formula>IF(EF36&gt;=EG36,IF(EF36="",FALSE,TRUE))</formula>
    </cfRule>
  </conditionalFormatting>
  <conditionalFormatting sqref="DY8:DY15 EA8:EA15">
    <cfRule type="expression" dxfId="257" priority="907">
      <formula>OR(IF(DY8&lt;DZ8,TRUE),IF(AND(DZ8="",DY8&lt;&gt;""),TRUE))</formula>
    </cfRule>
    <cfRule type="expression" dxfId="256" priority="908">
      <formula>IF(DY8&gt;=DZ8,IF(DY8="",FALSE,TRUE))</formula>
    </cfRule>
  </conditionalFormatting>
  <conditionalFormatting sqref="DY20:DY29 EA20:EA29">
    <cfRule type="expression" dxfId="255" priority="845">
      <formula>OR(IF(DY20&lt;DZ20,TRUE),IF(AND(DZ20="",DY20&lt;&gt;""),TRUE))</formula>
    </cfRule>
    <cfRule type="expression" dxfId="254" priority="846">
      <formula>IF(DY20&gt;=DZ20,IF(DY20="",FALSE,TRUE))</formula>
    </cfRule>
  </conditionalFormatting>
  <conditionalFormatting sqref="DY34:DY38 EA34:EA38">
    <cfRule type="expression" dxfId="253" priority="807">
      <formula>OR(IF(DY34&lt;DZ34,TRUE),IF(AND(DZ34="",DY34&lt;&gt;""),TRUE))</formula>
    </cfRule>
    <cfRule type="expression" dxfId="252" priority="808">
      <formula>IF(DY34&gt;=DZ34,IF(DY34="",FALSE,TRUE))</formula>
    </cfRule>
  </conditionalFormatting>
  <conditionalFormatting sqref="EA34:EA38">
    <cfRule type="expression" dxfId="251" priority="805">
      <formula>OR(IF(EA34&lt;EB34,TRUE),IF(AND(EB34="",EA34&lt;&gt;""),TRUE))</formula>
    </cfRule>
    <cfRule type="expression" dxfId="250" priority="806">
      <formula>IF(EA34&gt;=EB34,IF(EA34="",FALSE,TRUE))</formula>
    </cfRule>
  </conditionalFormatting>
  <conditionalFormatting sqref="N7:N17">
    <cfRule type="colorScale" priority="1158">
      <colorScale>
        <cfvo type="percent" val="0"/>
        <cfvo type="percent" val="100"/>
        <color rgb="FFFF231B"/>
        <color rgb="FF10FF07"/>
      </colorScale>
    </cfRule>
  </conditionalFormatting>
  <conditionalFormatting sqref="N20:N31">
    <cfRule type="colorScale" priority="794">
      <colorScale>
        <cfvo type="percent" val="0"/>
        <cfvo type="percent" val="100"/>
        <color rgb="FFFF231B"/>
        <color rgb="FF10FF07"/>
      </colorScale>
    </cfRule>
  </conditionalFormatting>
  <conditionalFormatting sqref="N21:N31">
    <cfRule type="colorScale" priority="793">
      <colorScale>
        <cfvo type="percent" val="0"/>
        <cfvo type="percent" val="100"/>
        <color rgb="FFFF231B"/>
        <color rgb="FF10FF07"/>
      </colorScale>
    </cfRule>
  </conditionalFormatting>
  <conditionalFormatting sqref="N34:N43">
    <cfRule type="colorScale" priority="792">
      <colorScale>
        <cfvo type="percent" val="0"/>
        <cfvo type="percent" val="100"/>
        <color rgb="FFFF231B"/>
        <color rgb="FF10FF07"/>
      </colorScale>
    </cfRule>
  </conditionalFormatting>
  <conditionalFormatting sqref="N35:N43">
    <cfRule type="colorScale" priority="791">
      <colorScale>
        <cfvo type="percent" val="0"/>
        <cfvo type="percent" val="100"/>
        <color rgb="FFFF231B"/>
        <color rgb="FF10FF07"/>
      </colorScale>
    </cfRule>
  </conditionalFormatting>
  <conditionalFormatting sqref="U6:U17">
    <cfRule type="colorScale" priority="789">
      <colorScale>
        <cfvo type="percent" val="0"/>
        <cfvo type="percent" val="100"/>
        <color rgb="FFFF231B"/>
        <color rgb="FF10FF07"/>
      </colorScale>
    </cfRule>
  </conditionalFormatting>
  <conditionalFormatting sqref="U7:U17">
    <cfRule type="colorScale" priority="790">
      <colorScale>
        <cfvo type="percent" val="0"/>
        <cfvo type="percent" val="100"/>
        <color rgb="FFFF231B"/>
        <color rgb="FF10FF07"/>
      </colorScale>
    </cfRule>
  </conditionalFormatting>
  <conditionalFormatting sqref="U20:U31">
    <cfRule type="colorScale" priority="788">
      <colorScale>
        <cfvo type="percent" val="0"/>
        <cfvo type="percent" val="100"/>
        <color rgb="FFFF231B"/>
        <color rgb="FF10FF07"/>
      </colorScale>
    </cfRule>
  </conditionalFormatting>
  <conditionalFormatting sqref="U21:U31">
    <cfRule type="colorScale" priority="787">
      <colorScale>
        <cfvo type="percent" val="0"/>
        <cfvo type="percent" val="100"/>
        <color rgb="FFFF231B"/>
        <color rgb="FF10FF07"/>
      </colorScale>
    </cfRule>
  </conditionalFormatting>
  <conditionalFormatting sqref="U34:U39">
    <cfRule type="colorScale" priority="786">
      <colorScale>
        <cfvo type="percent" val="0"/>
        <cfvo type="percent" val="100"/>
        <color rgb="FFFF231B"/>
        <color rgb="FF10FF07"/>
      </colorScale>
    </cfRule>
  </conditionalFormatting>
  <conditionalFormatting sqref="U35:U39">
    <cfRule type="colorScale" priority="785">
      <colorScale>
        <cfvo type="percent" val="0"/>
        <cfvo type="percent" val="100"/>
        <color rgb="FFFF231B"/>
        <color rgb="FF10FF07"/>
      </colorScale>
    </cfRule>
  </conditionalFormatting>
  <conditionalFormatting sqref="EC6:EC17">
    <cfRule type="colorScale" priority="693">
      <colorScale>
        <cfvo type="percent" val="0"/>
        <cfvo type="percent" val="100"/>
        <color rgb="FFFF231B"/>
        <color rgb="FF10FF07"/>
      </colorScale>
    </cfRule>
  </conditionalFormatting>
  <conditionalFormatting sqref="EC7:EC17">
    <cfRule type="colorScale" priority="694">
      <colorScale>
        <cfvo type="percent" val="0"/>
        <cfvo type="percent" val="100"/>
        <color rgb="FFFF231B"/>
        <color rgb="FF10FF07"/>
      </colorScale>
    </cfRule>
  </conditionalFormatting>
  <conditionalFormatting sqref="EC20:EC31">
    <cfRule type="colorScale" priority="692">
      <colorScale>
        <cfvo type="percent" val="0"/>
        <cfvo type="percent" val="100"/>
        <color rgb="FFFF231B"/>
        <color rgb="FF10FF07"/>
      </colorScale>
    </cfRule>
  </conditionalFormatting>
  <conditionalFormatting sqref="EC21:EC31">
    <cfRule type="colorScale" priority="691">
      <colorScale>
        <cfvo type="percent" val="0"/>
        <cfvo type="percent" val="100"/>
        <color rgb="FFFF231B"/>
        <color rgb="FF10FF07"/>
      </colorScale>
    </cfRule>
  </conditionalFormatting>
  <conditionalFormatting sqref="EC34:EC39">
    <cfRule type="colorScale" priority="690">
      <colorScale>
        <cfvo type="percent" val="0"/>
        <cfvo type="percent" val="100"/>
        <color rgb="FFFF231B"/>
        <color rgb="FF10FF07"/>
      </colorScale>
    </cfRule>
  </conditionalFormatting>
  <conditionalFormatting sqref="EC35:EC39">
    <cfRule type="colorScale" priority="689">
      <colorScale>
        <cfvo type="percent" val="0"/>
        <cfvo type="percent" val="100"/>
        <color rgb="FFFF231B"/>
        <color rgb="FF10FF07"/>
      </colorScale>
    </cfRule>
  </conditionalFormatting>
  <conditionalFormatting sqref="EJ6:EJ17">
    <cfRule type="colorScale" priority="687">
      <colorScale>
        <cfvo type="percent" val="0"/>
        <cfvo type="percent" val="100"/>
        <color rgb="FFFF231B"/>
        <color rgb="FF10FF07"/>
      </colorScale>
    </cfRule>
  </conditionalFormatting>
  <conditionalFormatting sqref="EJ7:EJ17">
    <cfRule type="colorScale" priority="688">
      <colorScale>
        <cfvo type="percent" val="0"/>
        <cfvo type="percent" val="100"/>
        <color rgb="FFFF231B"/>
        <color rgb="FF10FF07"/>
      </colorScale>
    </cfRule>
  </conditionalFormatting>
  <conditionalFormatting sqref="EJ20:EJ31">
    <cfRule type="colorScale" priority="686">
      <colorScale>
        <cfvo type="percent" val="0"/>
        <cfvo type="percent" val="100"/>
        <color rgb="FFFF231B"/>
        <color rgb="FF10FF07"/>
      </colorScale>
    </cfRule>
  </conditionalFormatting>
  <conditionalFormatting sqref="EJ21:EJ31">
    <cfRule type="colorScale" priority="685">
      <colorScale>
        <cfvo type="percent" val="0"/>
        <cfvo type="percent" val="100"/>
        <color rgb="FFFF231B"/>
        <color rgb="FF10FF07"/>
      </colorScale>
    </cfRule>
  </conditionalFormatting>
  <conditionalFormatting sqref="EJ34:EJ39">
    <cfRule type="colorScale" priority="684">
      <colorScale>
        <cfvo type="percent" val="0"/>
        <cfvo type="percent" val="100"/>
        <color rgb="FFFF231B"/>
        <color rgb="FF10FF07"/>
      </colorScale>
    </cfRule>
  </conditionalFormatting>
  <conditionalFormatting sqref="EJ35:EJ39">
    <cfRule type="colorScale" priority="683">
      <colorScale>
        <cfvo type="percent" val="0"/>
        <cfvo type="percent" val="100"/>
        <color rgb="FFFF231B"/>
        <color rgb="FF10FF07"/>
      </colorScale>
    </cfRule>
  </conditionalFormatting>
  <conditionalFormatting sqref="J7:J17">
    <cfRule type="colorScale" priority="681">
      <colorScale>
        <cfvo type="percent" val="0"/>
        <cfvo type="percent" val="100"/>
        <color rgb="FFFF231B"/>
        <color rgb="FF10FF07"/>
      </colorScale>
    </cfRule>
  </conditionalFormatting>
  <conditionalFormatting sqref="J6:J17">
    <cfRule type="colorScale" priority="680">
      <colorScale>
        <cfvo type="percent" val="0"/>
        <cfvo type="percent" val="100"/>
        <color rgb="FFFF231B"/>
        <color rgb="FF10FF07"/>
      </colorScale>
    </cfRule>
  </conditionalFormatting>
  <conditionalFormatting sqref="J35:J39">
    <cfRule type="colorScale" priority="679">
      <colorScale>
        <cfvo type="percent" val="0"/>
        <cfvo type="percent" val="100"/>
        <color rgb="FFFF231B"/>
        <color rgb="FF10FF07"/>
      </colorScale>
    </cfRule>
  </conditionalFormatting>
  <conditionalFormatting sqref="J21:J25">
    <cfRule type="colorScale" priority="678">
      <colorScale>
        <cfvo type="percent" val="0"/>
        <cfvo type="percent" val="100"/>
        <color rgb="FFFF231B"/>
        <color rgb="FF10FF07"/>
      </colorScale>
    </cfRule>
  </conditionalFormatting>
  <conditionalFormatting sqref="J20:J25">
    <cfRule type="colorScale" priority="677">
      <colorScale>
        <cfvo type="percent" val="0"/>
        <cfvo type="percent" val="100"/>
        <color rgb="FFFF231B"/>
        <color rgb="FF10FF07"/>
      </colorScale>
    </cfRule>
  </conditionalFormatting>
  <conditionalFormatting sqref="J34:J39">
    <cfRule type="colorScale" priority="682">
      <colorScale>
        <cfvo type="percent" val="0"/>
        <cfvo type="percent" val="100"/>
        <color rgb="FFFF231B"/>
        <color rgb="FF10FF07"/>
      </colorScale>
    </cfRule>
  </conditionalFormatting>
  <conditionalFormatting sqref="J27:J31">
    <cfRule type="colorScale" priority="676">
      <colorScale>
        <cfvo type="percent" val="0"/>
        <cfvo type="percent" val="100"/>
        <color rgb="FFFF231B"/>
        <color rgb="FF10FF07"/>
      </colorScale>
    </cfRule>
  </conditionalFormatting>
  <conditionalFormatting sqref="J26:J31">
    <cfRule type="colorScale" priority="675">
      <colorScale>
        <cfvo type="percent" val="0"/>
        <cfvo type="percent" val="100"/>
        <color rgb="FFFF231B"/>
        <color rgb="FF10FF07"/>
      </colorScale>
    </cfRule>
  </conditionalFormatting>
  <conditionalFormatting sqref="L7:L17">
    <cfRule type="colorScale" priority="674">
      <colorScale>
        <cfvo type="percent" val="0"/>
        <cfvo type="percent" val="100"/>
        <color rgb="FFFF231B"/>
        <color rgb="FF10FF07"/>
      </colorScale>
    </cfRule>
  </conditionalFormatting>
  <conditionalFormatting sqref="L6:L17">
    <cfRule type="colorScale" priority="673">
      <colorScale>
        <cfvo type="percent" val="0"/>
        <cfvo type="percent" val="100"/>
        <color rgb="FFFF231B"/>
        <color rgb="FF10FF07"/>
      </colorScale>
    </cfRule>
  </conditionalFormatting>
  <conditionalFormatting sqref="L35:L39">
    <cfRule type="colorScale" priority="672">
      <colorScale>
        <cfvo type="percent" val="0"/>
        <cfvo type="percent" val="100"/>
        <color rgb="FFFF231B"/>
        <color rgb="FF10FF07"/>
      </colorScale>
    </cfRule>
  </conditionalFormatting>
  <conditionalFormatting sqref="L34:L39">
    <cfRule type="colorScale" priority="671">
      <colorScale>
        <cfvo type="percent" val="0"/>
        <cfvo type="percent" val="100"/>
        <color rgb="FFFF231B"/>
        <color rgb="FF10FF07"/>
      </colorScale>
    </cfRule>
  </conditionalFormatting>
  <conditionalFormatting sqref="L21:L25">
    <cfRule type="colorScale" priority="670">
      <colorScale>
        <cfvo type="percent" val="0"/>
        <cfvo type="percent" val="100"/>
        <color rgb="FFFF231B"/>
        <color rgb="FF10FF07"/>
      </colorScale>
    </cfRule>
  </conditionalFormatting>
  <conditionalFormatting sqref="L20:L25">
    <cfRule type="colorScale" priority="669">
      <colorScale>
        <cfvo type="percent" val="0"/>
        <cfvo type="percent" val="100"/>
        <color rgb="FFFF231B"/>
        <color rgb="FF10FF07"/>
      </colorScale>
    </cfRule>
  </conditionalFormatting>
  <conditionalFormatting sqref="L27:L31">
    <cfRule type="colorScale" priority="668">
      <colorScale>
        <cfvo type="percent" val="0"/>
        <cfvo type="percent" val="100"/>
        <color rgb="FFFF231B"/>
        <color rgb="FF10FF07"/>
      </colorScale>
    </cfRule>
  </conditionalFormatting>
  <conditionalFormatting sqref="L26:L31">
    <cfRule type="colorScale" priority="667">
      <colorScale>
        <cfvo type="percent" val="0"/>
        <cfvo type="percent" val="100"/>
        <color rgb="FFFF231B"/>
        <color rgb="FF10FF07"/>
      </colorScale>
    </cfRule>
  </conditionalFormatting>
  <conditionalFormatting sqref="X20:X24 Z20:Z24 X6:X17">
    <cfRule type="expression" dxfId="249" priority="561">
      <formula>OR(IF(X6&lt;Y6,TRUE),IF(AND(Y6="",X6&lt;&gt;""),TRUE))</formula>
    </cfRule>
    <cfRule type="expression" dxfId="248" priority="562">
      <formula>IF(X6&gt;=Y6,IF(X6="",FALSE,TRUE))</formula>
    </cfRule>
  </conditionalFormatting>
  <conditionalFormatting sqref="Z6:Z17">
    <cfRule type="expression" dxfId="247" priority="559">
      <formula>OR(IF(Z6&lt;AA6,TRUE),IF(AND(AA6="",Z6&lt;&gt;""),TRUE))</formula>
    </cfRule>
    <cfRule type="expression" dxfId="246" priority="560">
      <formula>IF(Z6&gt;=AA6,IF(Z6="",FALSE,TRUE))</formula>
    </cfRule>
  </conditionalFormatting>
  <conditionalFormatting sqref="X34:X35">
    <cfRule type="expression" dxfId="245" priority="557">
      <formula>OR(IF(X34&lt;Y34,TRUE),IF(AND(Y34="",X34&lt;&gt;""),TRUE))</formula>
    </cfRule>
    <cfRule type="expression" dxfId="244" priority="558">
      <formula>IF(X34&gt;=Y34,IF(X34="",FALSE,TRUE))</formula>
    </cfRule>
  </conditionalFormatting>
  <conditionalFormatting sqref="Z34:Z35">
    <cfRule type="expression" dxfId="243" priority="555">
      <formula>OR(IF(Z34&lt;AA34,TRUE),IF(AND(AA34="",Z34&lt;&gt;""),TRUE))</formula>
    </cfRule>
    <cfRule type="expression" dxfId="242" priority="556">
      <formula>IF(Z34&gt;=AA34,IF(Z34="",FALSE,TRUE))</formula>
    </cfRule>
  </conditionalFormatting>
  <conditionalFormatting sqref="Z36:Z39">
    <cfRule type="expression" dxfId="241" priority="547">
      <formula>OR(IF(Z36&lt;AA36,TRUE),IF(AND(AA36="",Z36&lt;&gt;""),TRUE))</formula>
    </cfRule>
    <cfRule type="expression" dxfId="240" priority="548">
      <formula>IF(Z36&gt;=AA36,IF(Z36="",FALSE,TRUE))</formula>
    </cfRule>
  </conditionalFormatting>
  <conditionalFormatting sqref="X25:X31">
    <cfRule type="expression" dxfId="239" priority="553">
      <formula>OR(IF(X25&lt;Y25,TRUE),IF(AND(Y25="",X25&lt;&gt;""),TRUE))</formula>
    </cfRule>
    <cfRule type="expression" dxfId="238" priority="554">
      <formula>IF(X25&gt;=Y25,IF(X25="",FALSE,TRUE))</formula>
    </cfRule>
  </conditionalFormatting>
  <conditionalFormatting sqref="Z25:Z31">
    <cfRule type="expression" dxfId="237" priority="551">
      <formula>OR(IF(Z25&lt;AA25,TRUE),IF(AND(AA25="",Z25&lt;&gt;""),TRUE))</formula>
    </cfRule>
    <cfRule type="expression" dxfId="236" priority="552">
      <formula>IF(Z25&gt;=AA25,IF(Z25="",FALSE,TRUE))</formula>
    </cfRule>
  </conditionalFormatting>
  <conditionalFormatting sqref="X36:X39">
    <cfRule type="expression" dxfId="235" priority="549">
      <formula>OR(IF(X36&lt;Y36,TRUE),IF(AND(Y36="",X36&lt;&gt;""),TRUE))</formula>
    </cfRule>
    <cfRule type="expression" dxfId="234" priority="550">
      <formula>IF(X36&gt;=Y36,IF(X36="",FALSE,TRUE))</formula>
    </cfRule>
  </conditionalFormatting>
  <conditionalFormatting sqref="AB6:AB17">
    <cfRule type="colorScale" priority="545">
      <colorScale>
        <cfvo type="percent" val="0"/>
        <cfvo type="percent" val="100"/>
        <color rgb="FFFF231B"/>
        <color rgb="FF10FF07"/>
      </colorScale>
    </cfRule>
  </conditionalFormatting>
  <conditionalFormatting sqref="AB7:AB17">
    <cfRule type="colorScale" priority="546">
      <colorScale>
        <cfvo type="percent" val="0"/>
        <cfvo type="percent" val="100"/>
        <color rgb="FFFF231B"/>
        <color rgb="FF10FF07"/>
      </colorScale>
    </cfRule>
  </conditionalFormatting>
  <conditionalFormatting sqref="AB20:AB31">
    <cfRule type="colorScale" priority="544">
      <colorScale>
        <cfvo type="percent" val="0"/>
        <cfvo type="percent" val="100"/>
        <color rgb="FFFF231B"/>
        <color rgb="FF10FF07"/>
      </colorScale>
    </cfRule>
  </conditionalFormatting>
  <conditionalFormatting sqref="AB21:AB31">
    <cfRule type="colorScale" priority="543">
      <colorScale>
        <cfvo type="percent" val="0"/>
        <cfvo type="percent" val="100"/>
        <color rgb="FFFF231B"/>
        <color rgb="FF10FF07"/>
      </colorScale>
    </cfRule>
  </conditionalFormatting>
  <conditionalFormatting sqref="AB34:AB39">
    <cfRule type="colorScale" priority="542">
      <colorScale>
        <cfvo type="percent" val="0"/>
        <cfvo type="percent" val="100"/>
        <color rgb="FFFF231B"/>
        <color rgb="FF10FF07"/>
      </colorScale>
    </cfRule>
  </conditionalFormatting>
  <conditionalFormatting sqref="AB35:AB39">
    <cfRule type="colorScale" priority="541">
      <colorScale>
        <cfvo type="percent" val="0"/>
        <cfvo type="percent" val="100"/>
        <color rgb="FFFF231B"/>
        <color rgb="FF10FF07"/>
      </colorScale>
    </cfRule>
  </conditionalFormatting>
  <conditionalFormatting sqref="AE20:AE24 AG20:AG24 AE6:AE17">
    <cfRule type="expression" dxfId="233" priority="539">
      <formula>OR(IF(AE6&lt;AF6,TRUE),IF(AND(AF6="",AE6&lt;&gt;""),TRUE))</formula>
    </cfRule>
    <cfRule type="expression" dxfId="232" priority="540">
      <formula>IF(AE6&gt;=AF6,IF(AE6="",FALSE,TRUE))</formula>
    </cfRule>
  </conditionalFormatting>
  <conditionalFormatting sqref="AG6:AG17">
    <cfRule type="expression" dxfId="231" priority="537">
      <formula>OR(IF(AG6&lt;AH6,TRUE),IF(AND(AH6="",AG6&lt;&gt;""),TRUE))</formula>
    </cfRule>
    <cfRule type="expression" dxfId="230" priority="538">
      <formula>IF(AG6&gt;=AH6,IF(AG6="",FALSE,TRUE))</formula>
    </cfRule>
  </conditionalFormatting>
  <conditionalFormatting sqref="AE25:AE31">
    <cfRule type="expression" dxfId="229" priority="531">
      <formula>OR(IF(AE25&lt;AF25,TRUE),IF(AND(AF25="",AE25&lt;&gt;""),TRUE))</formula>
    </cfRule>
    <cfRule type="expression" dxfId="228" priority="532">
      <formula>IF(AE25&gt;=AF25,IF(AE25="",FALSE,TRUE))</formula>
    </cfRule>
  </conditionalFormatting>
  <conditionalFormatting sqref="AG25:AG31">
    <cfRule type="expression" dxfId="227" priority="529">
      <formula>OR(IF(AG25&lt;AH25,TRUE),IF(AND(AH25="",AG25&lt;&gt;""),TRUE))</formula>
    </cfRule>
    <cfRule type="expression" dxfId="226" priority="530">
      <formula>IF(AG25&gt;=AH25,IF(AG25="",FALSE,TRUE))</formula>
    </cfRule>
  </conditionalFormatting>
  <conditionalFormatting sqref="AI6:AI17">
    <cfRule type="colorScale" priority="523">
      <colorScale>
        <cfvo type="percent" val="0"/>
        <cfvo type="percent" val="100"/>
        <color rgb="FFFF231B"/>
        <color rgb="FF10FF07"/>
      </colorScale>
    </cfRule>
  </conditionalFormatting>
  <conditionalFormatting sqref="AI7:AI17">
    <cfRule type="colorScale" priority="524">
      <colorScale>
        <cfvo type="percent" val="0"/>
        <cfvo type="percent" val="100"/>
        <color rgb="FFFF231B"/>
        <color rgb="FF10FF07"/>
      </colorScale>
    </cfRule>
  </conditionalFormatting>
  <conditionalFormatting sqref="AI20:AI31">
    <cfRule type="colorScale" priority="522">
      <colorScale>
        <cfvo type="percent" val="0"/>
        <cfvo type="percent" val="100"/>
        <color rgb="FFFF231B"/>
        <color rgb="FF10FF07"/>
      </colorScale>
    </cfRule>
  </conditionalFormatting>
  <conditionalFormatting sqref="AI21:AI31">
    <cfRule type="colorScale" priority="521">
      <colorScale>
        <cfvo type="percent" val="0"/>
        <cfvo type="percent" val="100"/>
        <color rgb="FFFF231B"/>
        <color rgb="FF10FF07"/>
      </colorScale>
    </cfRule>
  </conditionalFormatting>
  <conditionalFormatting sqref="AL20:AL24 AN20:AN24 AL6:AL17">
    <cfRule type="expression" dxfId="225" priority="517">
      <formula>OR(IF(AL6&lt;AM6,TRUE),IF(AND(AM6="",AL6&lt;&gt;""),TRUE))</formula>
    </cfRule>
    <cfRule type="expression" dxfId="224" priority="518">
      <formula>IF(AL6&gt;=AM6,IF(AL6="",FALSE,TRUE))</formula>
    </cfRule>
  </conditionalFormatting>
  <conditionalFormatting sqref="AN6:AN17">
    <cfRule type="expression" dxfId="223" priority="515">
      <formula>OR(IF(AN6&lt;AO6,TRUE),IF(AND(AO6="",AN6&lt;&gt;""),TRUE))</formula>
    </cfRule>
    <cfRule type="expression" dxfId="222" priority="516">
      <formula>IF(AN6&gt;=AO6,IF(AN6="",FALSE,TRUE))</formula>
    </cfRule>
  </conditionalFormatting>
  <conditionalFormatting sqref="AL25:AL31">
    <cfRule type="expression" dxfId="221" priority="509">
      <formula>OR(IF(AL25&lt;AM25,TRUE),IF(AND(AM25="",AL25&lt;&gt;""),TRUE))</formula>
    </cfRule>
    <cfRule type="expression" dxfId="220" priority="510">
      <formula>IF(AL25&gt;=AM25,IF(AL25="",FALSE,TRUE))</formula>
    </cfRule>
  </conditionalFormatting>
  <conditionalFormatting sqref="AN25:AN31">
    <cfRule type="expression" dxfId="219" priority="507">
      <formula>OR(IF(AN25&lt;AO25,TRUE),IF(AND(AO25="",AN25&lt;&gt;""),TRUE))</formula>
    </cfRule>
    <cfRule type="expression" dxfId="218" priority="508">
      <formula>IF(AN25&gt;=AO25,IF(AN25="",FALSE,TRUE))</formula>
    </cfRule>
  </conditionalFormatting>
  <conditionalFormatting sqref="AP6:AP17">
    <cfRule type="colorScale" priority="501">
      <colorScale>
        <cfvo type="percent" val="0"/>
        <cfvo type="percent" val="100"/>
        <color rgb="FFFF231B"/>
        <color rgb="FF10FF07"/>
      </colorScale>
    </cfRule>
  </conditionalFormatting>
  <conditionalFormatting sqref="AP7:AP17">
    <cfRule type="colorScale" priority="502">
      <colorScale>
        <cfvo type="percent" val="0"/>
        <cfvo type="percent" val="100"/>
        <color rgb="FFFF231B"/>
        <color rgb="FF10FF07"/>
      </colorScale>
    </cfRule>
  </conditionalFormatting>
  <conditionalFormatting sqref="AP20:AP31">
    <cfRule type="colorScale" priority="500">
      <colorScale>
        <cfvo type="percent" val="0"/>
        <cfvo type="percent" val="100"/>
        <color rgb="FFFF231B"/>
        <color rgb="FF10FF07"/>
      </colorScale>
    </cfRule>
  </conditionalFormatting>
  <conditionalFormatting sqref="AP21:AP31">
    <cfRule type="colorScale" priority="499">
      <colorScale>
        <cfvo type="percent" val="0"/>
        <cfvo type="percent" val="100"/>
        <color rgb="FFFF231B"/>
        <color rgb="FF10FF07"/>
      </colorScale>
    </cfRule>
  </conditionalFormatting>
  <conditionalFormatting sqref="AS20:AS24 AU20:AU24 AS6:AS17">
    <cfRule type="expression" dxfId="217" priority="495">
      <formula>OR(IF(AS6&lt;AT6,TRUE),IF(AND(AT6="",AS6&lt;&gt;""),TRUE))</formula>
    </cfRule>
    <cfRule type="expression" dxfId="216" priority="496">
      <formula>IF(AS6&gt;=AT6,IF(AS6="",FALSE,TRUE))</formula>
    </cfRule>
  </conditionalFormatting>
  <conditionalFormatting sqref="AU6:AU17">
    <cfRule type="expression" dxfId="215" priority="493">
      <formula>OR(IF(AU6&lt;AV6,TRUE),IF(AND(AV6="",AU6&lt;&gt;""),TRUE))</formula>
    </cfRule>
    <cfRule type="expression" dxfId="214" priority="494">
      <formula>IF(AU6&gt;=AV6,IF(AU6="",FALSE,TRUE))</formula>
    </cfRule>
  </conditionalFormatting>
  <conditionalFormatting sqref="AS25:AS31">
    <cfRule type="expression" dxfId="213" priority="487">
      <formula>OR(IF(AS25&lt;AT25,TRUE),IF(AND(AT25="",AS25&lt;&gt;""),TRUE))</formula>
    </cfRule>
    <cfRule type="expression" dxfId="212" priority="488">
      <formula>IF(AS25&gt;=AT25,IF(AS25="",FALSE,TRUE))</formula>
    </cfRule>
  </conditionalFormatting>
  <conditionalFormatting sqref="AU25:AU31">
    <cfRule type="expression" dxfId="211" priority="485">
      <formula>OR(IF(AU25&lt;AV25,TRUE),IF(AND(AV25="",AU25&lt;&gt;""),TRUE))</formula>
    </cfRule>
    <cfRule type="expression" dxfId="210" priority="486">
      <formula>IF(AU25&gt;=AV25,IF(AU25="",FALSE,TRUE))</formula>
    </cfRule>
  </conditionalFormatting>
  <conditionalFormatting sqref="AW6:AW17">
    <cfRule type="colorScale" priority="479">
      <colorScale>
        <cfvo type="percent" val="0"/>
        <cfvo type="percent" val="100"/>
        <color rgb="FFFF231B"/>
        <color rgb="FF10FF07"/>
      </colorScale>
    </cfRule>
  </conditionalFormatting>
  <conditionalFormatting sqref="AW7:AW17">
    <cfRule type="colorScale" priority="480">
      <colorScale>
        <cfvo type="percent" val="0"/>
        <cfvo type="percent" val="100"/>
        <color rgb="FFFF231B"/>
        <color rgb="FF10FF07"/>
      </colorScale>
    </cfRule>
  </conditionalFormatting>
  <conditionalFormatting sqref="AW20:AW31">
    <cfRule type="colorScale" priority="478">
      <colorScale>
        <cfvo type="percent" val="0"/>
        <cfvo type="percent" val="100"/>
        <color rgb="FFFF231B"/>
        <color rgb="FF10FF07"/>
      </colorScale>
    </cfRule>
  </conditionalFormatting>
  <conditionalFormatting sqref="AW21:AW31">
    <cfRule type="colorScale" priority="477">
      <colorScale>
        <cfvo type="percent" val="0"/>
        <cfvo type="percent" val="100"/>
        <color rgb="FFFF231B"/>
        <color rgb="FF10FF07"/>
      </colorScale>
    </cfRule>
  </conditionalFormatting>
  <conditionalFormatting sqref="AZ20:AZ24 BB20:BB24 AZ6:AZ17">
    <cfRule type="expression" dxfId="209" priority="473">
      <formula>OR(IF(AZ6&lt;BA6,TRUE),IF(AND(BA6="",AZ6&lt;&gt;""),TRUE))</formula>
    </cfRule>
    <cfRule type="expression" dxfId="208" priority="474">
      <formula>IF(AZ6&gt;=BA6,IF(AZ6="",FALSE,TRUE))</formula>
    </cfRule>
  </conditionalFormatting>
  <conditionalFormatting sqref="BB6:BB17">
    <cfRule type="expression" dxfId="207" priority="471">
      <formula>OR(IF(BB6&lt;BC6,TRUE),IF(AND(BC6="",BB6&lt;&gt;""),TRUE))</formula>
    </cfRule>
    <cfRule type="expression" dxfId="206" priority="472">
      <formula>IF(BB6&gt;=BC6,IF(BB6="",FALSE,TRUE))</formula>
    </cfRule>
  </conditionalFormatting>
  <conditionalFormatting sqref="AZ25:AZ31">
    <cfRule type="expression" dxfId="205" priority="465">
      <formula>OR(IF(AZ25&lt;BA25,TRUE),IF(AND(BA25="",AZ25&lt;&gt;""),TRUE))</formula>
    </cfRule>
    <cfRule type="expression" dxfId="204" priority="466">
      <formula>IF(AZ25&gt;=BA25,IF(AZ25="",FALSE,TRUE))</formula>
    </cfRule>
  </conditionalFormatting>
  <conditionalFormatting sqref="BB25:BB31">
    <cfRule type="expression" dxfId="203" priority="463">
      <formula>OR(IF(BB25&lt;BC25,TRUE),IF(AND(BC25="",BB25&lt;&gt;""),TRUE))</formula>
    </cfRule>
    <cfRule type="expression" dxfId="202" priority="464">
      <formula>IF(BB25&gt;=BC25,IF(BB25="",FALSE,TRUE))</formula>
    </cfRule>
  </conditionalFormatting>
  <conditionalFormatting sqref="BD6:BD17">
    <cfRule type="colorScale" priority="457">
      <colorScale>
        <cfvo type="percent" val="0"/>
        <cfvo type="percent" val="100"/>
        <color rgb="FFFF231B"/>
        <color rgb="FF10FF07"/>
      </colorScale>
    </cfRule>
  </conditionalFormatting>
  <conditionalFormatting sqref="BD7:BD17">
    <cfRule type="colorScale" priority="458">
      <colorScale>
        <cfvo type="percent" val="0"/>
        <cfvo type="percent" val="100"/>
        <color rgb="FFFF231B"/>
        <color rgb="FF10FF07"/>
      </colorScale>
    </cfRule>
  </conditionalFormatting>
  <conditionalFormatting sqref="BD20:BD31">
    <cfRule type="colorScale" priority="456">
      <colorScale>
        <cfvo type="percent" val="0"/>
        <cfvo type="percent" val="100"/>
        <color rgb="FFFF231B"/>
        <color rgb="FF10FF07"/>
      </colorScale>
    </cfRule>
  </conditionalFormatting>
  <conditionalFormatting sqref="BD21:BD31">
    <cfRule type="colorScale" priority="455">
      <colorScale>
        <cfvo type="percent" val="0"/>
        <cfvo type="percent" val="100"/>
        <color rgb="FFFF231B"/>
        <color rgb="FF10FF07"/>
      </colorScale>
    </cfRule>
  </conditionalFormatting>
  <conditionalFormatting sqref="BG20:BG24 BI20:BI24 BG6:BG17">
    <cfRule type="expression" dxfId="201" priority="451">
      <formula>OR(IF(BG6&lt;BH6,TRUE),IF(AND(BH6="",BG6&lt;&gt;""),TRUE))</formula>
    </cfRule>
    <cfRule type="expression" dxfId="200" priority="452">
      <formula>IF(BG6&gt;=BH6,IF(BG6="",FALSE,TRUE))</formula>
    </cfRule>
  </conditionalFormatting>
  <conditionalFormatting sqref="BI6:BI17">
    <cfRule type="expression" dxfId="199" priority="449">
      <formula>OR(IF(BI6&lt;BJ6,TRUE),IF(AND(BJ6="",BI6&lt;&gt;""),TRUE))</formula>
    </cfRule>
    <cfRule type="expression" dxfId="198" priority="450">
      <formula>IF(BI6&gt;=BJ6,IF(BI6="",FALSE,TRUE))</formula>
    </cfRule>
  </conditionalFormatting>
  <conditionalFormatting sqref="BG25:BG31">
    <cfRule type="expression" dxfId="197" priority="443">
      <formula>OR(IF(BG25&lt;BH25,TRUE),IF(AND(BH25="",BG25&lt;&gt;""),TRUE))</formula>
    </cfRule>
    <cfRule type="expression" dxfId="196" priority="444">
      <formula>IF(BG25&gt;=BH25,IF(BG25="",FALSE,TRUE))</formula>
    </cfRule>
  </conditionalFormatting>
  <conditionalFormatting sqref="BI25:BI31">
    <cfRule type="expression" dxfId="195" priority="441">
      <formula>OR(IF(BI25&lt;BJ25,TRUE),IF(AND(BJ25="",BI25&lt;&gt;""),TRUE))</formula>
    </cfRule>
    <cfRule type="expression" dxfId="194" priority="442">
      <formula>IF(BI25&gt;=BJ25,IF(BI25="",FALSE,TRUE))</formula>
    </cfRule>
  </conditionalFormatting>
  <conditionalFormatting sqref="BK6:BK17">
    <cfRule type="colorScale" priority="435">
      <colorScale>
        <cfvo type="percent" val="0"/>
        <cfvo type="percent" val="100"/>
        <color rgb="FFFF231B"/>
        <color rgb="FF10FF07"/>
      </colorScale>
    </cfRule>
  </conditionalFormatting>
  <conditionalFormatting sqref="BK7:BK17">
    <cfRule type="colorScale" priority="436">
      <colorScale>
        <cfvo type="percent" val="0"/>
        <cfvo type="percent" val="100"/>
        <color rgb="FFFF231B"/>
        <color rgb="FF10FF07"/>
      </colorScale>
    </cfRule>
  </conditionalFormatting>
  <conditionalFormatting sqref="BK20:BK31">
    <cfRule type="colorScale" priority="434">
      <colorScale>
        <cfvo type="percent" val="0"/>
        <cfvo type="percent" val="100"/>
        <color rgb="FFFF231B"/>
        <color rgb="FF10FF07"/>
      </colorScale>
    </cfRule>
  </conditionalFormatting>
  <conditionalFormatting sqref="BK21:BK31">
    <cfRule type="colorScale" priority="433">
      <colorScale>
        <cfvo type="percent" val="0"/>
        <cfvo type="percent" val="100"/>
        <color rgb="FFFF231B"/>
        <color rgb="FF10FF07"/>
      </colorScale>
    </cfRule>
  </conditionalFormatting>
  <conditionalFormatting sqref="BN20:BN24 BP20:BP24 BN6:BN17">
    <cfRule type="expression" dxfId="193" priority="429">
      <formula>OR(IF(BN6&lt;BO6,TRUE),IF(AND(BO6="",BN6&lt;&gt;""),TRUE))</formula>
    </cfRule>
    <cfRule type="expression" dxfId="192" priority="430">
      <formula>IF(BN6&gt;=BO6,IF(BN6="",FALSE,TRUE))</formula>
    </cfRule>
  </conditionalFormatting>
  <conditionalFormatting sqref="BP6:BP17">
    <cfRule type="expression" dxfId="191" priority="427">
      <formula>OR(IF(BP6&lt;BQ6,TRUE),IF(AND(BQ6="",BP6&lt;&gt;""),TRUE))</formula>
    </cfRule>
    <cfRule type="expression" dxfId="190" priority="428">
      <formula>IF(BP6&gt;=BQ6,IF(BP6="",FALSE,TRUE))</formula>
    </cfRule>
  </conditionalFormatting>
  <conditionalFormatting sqref="BN25:BN31">
    <cfRule type="expression" dxfId="189" priority="421">
      <formula>OR(IF(BN25&lt;BO25,TRUE),IF(AND(BO25="",BN25&lt;&gt;""),TRUE))</formula>
    </cfRule>
    <cfRule type="expression" dxfId="188" priority="422">
      <formula>IF(BN25&gt;=BO25,IF(BN25="",FALSE,TRUE))</formula>
    </cfRule>
  </conditionalFormatting>
  <conditionalFormatting sqref="BP25:BP31">
    <cfRule type="expression" dxfId="187" priority="419">
      <formula>OR(IF(BP25&lt;BQ25,TRUE),IF(AND(BQ25="",BP25&lt;&gt;""),TRUE))</formula>
    </cfRule>
    <cfRule type="expression" dxfId="186" priority="420">
      <formula>IF(BP25&gt;=BQ25,IF(BP25="",FALSE,TRUE))</formula>
    </cfRule>
  </conditionalFormatting>
  <conditionalFormatting sqref="BR6:BR17">
    <cfRule type="colorScale" priority="413">
      <colorScale>
        <cfvo type="percent" val="0"/>
        <cfvo type="percent" val="100"/>
        <color rgb="FFFF231B"/>
        <color rgb="FF10FF07"/>
      </colorScale>
    </cfRule>
  </conditionalFormatting>
  <conditionalFormatting sqref="BR7:BR17">
    <cfRule type="colorScale" priority="414">
      <colorScale>
        <cfvo type="percent" val="0"/>
        <cfvo type="percent" val="100"/>
        <color rgb="FFFF231B"/>
        <color rgb="FF10FF07"/>
      </colorScale>
    </cfRule>
  </conditionalFormatting>
  <conditionalFormatting sqref="BR20:BR31">
    <cfRule type="colorScale" priority="412">
      <colorScale>
        <cfvo type="percent" val="0"/>
        <cfvo type="percent" val="100"/>
        <color rgb="FFFF231B"/>
        <color rgb="FF10FF07"/>
      </colorScale>
    </cfRule>
  </conditionalFormatting>
  <conditionalFormatting sqref="BR21:BR31">
    <cfRule type="colorScale" priority="411">
      <colorScale>
        <cfvo type="percent" val="0"/>
        <cfvo type="percent" val="100"/>
        <color rgb="FFFF231B"/>
        <color rgb="FF10FF07"/>
      </colorScale>
    </cfRule>
  </conditionalFormatting>
  <conditionalFormatting sqref="BU20:BU24 BW20:BW24 BU6:BU17">
    <cfRule type="expression" dxfId="185" priority="407">
      <formula>OR(IF(BU6&lt;BV6,TRUE),IF(AND(BV6="",BU6&lt;&gt;""),TRUE))</formula>
    </cfRule>
    <cfRule type="expression" dxfId="184" priority="408">
      <formula>IF(BU6&gt;=BV6,IF(BU6="",FALSE,TRUE))</formula>
    </cfRule>
  </conditionalFormatting>
  <conditionalFormatting sqref="BW6:BW17">
    <cfRule type="expression" dxfId="183" priority="405">
      <formula>OR(IF(BW6&lt;BX6,TRUE),IF(AND(BX6="",BW6&lt;&gt;""),TRUE))</formula>
    </cfRule>
    <cfRule type="expression" dxfId="182" priority="406">
      <formula>IF(BW6&gt;=BX6,IF(BW6="",FALSE,TRUE))</formula>
    </cfRule>
  </conditionalFormatting>
  <conditionalFormatting sqref="BU25:BU31">
    <cfRule type="expression" dxfId="181" priority="399">
      <formula>OR(IF(BU25&lt;BV25,TRUE),IF(AND(BV25="",BU25&lt;&gt;""),TRUE))</formula>
    </cfRule>
    <cfRule type="expression" dxfId="180" priority="400">
      <formula>IF(BU25&gt;=BV25,IF(BU25="",FALSE,TRUE))</formula>
    </cfRule>
  </conditionalFormatting>
  <conditionalFormatting sqref="BW25:BW31">
    <cfRule type="expression" dxfId="179" priority="397">
      <formula>OR(IF(BW25&lt;BX25,TRUE),IF(AND(BX25="",BW25&lt;&gt;""),TRUE))</formula>
    </cfRule>
    <cfRule type="expression" dxfId="178" priority="398">
      <formula>IF(BW25&gt;=BX25,IF(BW25="",FALSE,TRUE))</formula>
    </cfRule>
  </conditionalFormatting>
  <conditionalFormatting sqref="BY6:BY17">
    <cfRule type="colorScale" priority="391">
      <colorScale>
        <cfvo type="percent" val="0"/>
        <cfvo type="percent" val="100"/>
        <color rgb="FFFF231B"/>
        <color rgb="FF10FF07"/>
      </colorScale>
    </cfRule>
  </conditionalFormatting>
  <conditionalFormatting sqref="BY7:BY17">
    <cfRule type="colorScale" priority="392">
      <colorScale>
        <cfvo type="percent" val="0"/>
        <cfvo type="percent" val="100"/>
        <color rgb="FFFF231B"/>
        <color rgb="FF10FF07"/>
      </colorScale>
    </cfRule>
  </conditionalFormatting>
  <conditionalFormatting sqref="BY20:BY31">
    <cfRule type="colorScale" priority="390">
      <colorScale>
        <cfvo type="percent" val="0"/>
        <cfvo type="percent" val="100"/>
        <color rgb="FFFF231B"/>
        <color rgb="FF10FF07"/>
      </colorScale>
    </cfRule>
  </conditionalFormatting>
  <conditionalFormatting sqref="BY21:BY31">
    <cfRule type="colorScale" priority="389">
      <colorScale>
        <cfvo type="percent" val="0"/>
        <cfvo type="percent" val="100"/>
        <color rgb="FFFF231B"/>
        <color rgb="FF10FF07"/>
      </colorScale>
    </cfRule>
  </conditionalFormatting>
  <conditionalFormatting sqref="CB20:CB24 CD20:CD24">
    <cfRule type="expression" dxfId="177" priority="385">
      <formula>OR(IF(CB20&lt;CC20,TRUE),IF(AND(CC20="",CB20&lt;&gt;""),TRUE))</formula>
    </cfRule>
    <cfRule type="expression" dxfId="176" priority="386">
      <formula>IF(CB20&gt;=CC20,IF(CB20="",FALSE,TRUE))</formula>
    </cfRule>
  </conditionalFormatting>
  <conditionalFormatting sqref="CB25:CB31">
    <cfRule type="expression" dxfId="175" priority="377">
      <formula>OR(IF(CB25&lt;CC25,TRUE),IF(AND(CC25="",CB25&lt;&gt;""),TRUE))</formula>
    </cfRule>
    <cfRule type="expression" dxfId="174" priority="378">
      <formula>IF(CB25&gt;=CC25,IF(CB25="",FALSE,TRUE))</formula>
    </cfRule>
  </conditionalFormatting>
  <conditionalFormatting sqref="CD25:CD31">
    <cfRule type="expression" dxfId="173" priority="375">
      <formula>OR(IF(CD25&lt;CE25,TRUE),IF(AND(CE25="",CD25&lt;&gt;""),TRUE))</formula>
    </cfRule>
    <cfRule type="expression" dxfId="172" priority="376">
      <formula>IF(CD25&gt;=CE25,IF(CD25="",FALSE,TRUE))</formula>
    </cfRule>
  </conditionalFormatting>
  <conditionalFormatting sqref="CF20:CF31">
    <cfRule type="colorScale" priority="368">
      <colorScale>
        <cfvo type="percent" val="0"/>
        <cfvo type="percent" val="100"/>
        <color rgb="FFFF231B"/>
        <color rgb="FF10FF07"/>
      </colorScale>
    </cfRule>
  </conditionalFormatting>
  <conditionalFormatting sqref="CF21:CF31">
    <cfRule type="colorScale" priority="367">
      <colorScale>
        <cfvo type="percent" val="0"/>
        <cfvo type="percent" val="100"/>
        <color rgb="FFFF231B"/>
        <color rgb="FF10FF07"/>
      </colorScale>
    </cfRule>
  </conditionalFormatting>
  <conditionalFormatting sqref="CP20:CP24 CR20:CR24 CP6:CP17">
    <cfRule type="expression" dxfId="171" priority="341">
      <formula>OR(IF(CP6&lt;CQ6,TRUE),IF(AND(CQ6="",CP6&lt;&gt;""),TRUE))</formula>
    </cfRule>
    <cfRule type="expression" dxfId="170" priority="342">
      <formula>IF(CP6&gt;=CQ6,IF(CP6="",FALSE,TRUE))</formula>
    </cfRule>
  </conditionalFormatting>
  <conditionalFormatting sqref="CR6:CR17">
    <cfRule type="expression" dxfId="169" priority="339">
      <formula>OR(IF(CR6&lt;CS6,TRUE),IF(AND(CS6="",CR6&lt;&gt;""),TRUE))</formula>
    </cfRule>
    <cfRule type="expression" dxfId="168" priority="340">
      <formula>IF(CR6&gt;=CS6,IF(CR6="",FALSE,TRUE))</formula>
    </cfRule>
  </conditionalFormatting>
  <conditionalFormatting sqref="CP25:CP31">
    <cfRule type="expression" dxfId="167" priority="333">
      <formula>OR(IF(CP25&lt;CQ25,TRUE),IF(AND(CQ25="",CP25&lt;&gt;""),TRUE))</formula>
    </cfRule>
    <cfRule type="expression" dxfId="166" priority="334">
      <formula>IF(CP25&gt;=CQ25,IF(CP25="",FALSE,TRUE))</formula>
    </cfRule>
  </conditionalFormatting>
  <conditionalFormatting sqref="CR25:CR31">
    <cfRule type="expression" dxfId="165" priority="331">
      <formula>OR(IF(CR25&lt;CS25,TRUE),IF(AND(CS25="",CR25&lt;&gt;""),TRUE))</formula>
    </cfRule>
    <cfRule type="expression" dxfId="164" priority="332">
      <formula>IF(CR25&gt;=CS25,IF(CR25="",FALSE,TRUE))</formula>
    </cfRule>
  </conditionalFormatting>
  <conditionalFormatting sqref="CT6:CT17">
    <cfRule type="colorScale" priority="325">
      <colorScale>
        <cfvo type="percent" val="0"/>
        <cfvo type="percent" val="100"/>
        <color rgb="FFFF231B"/>
        <color rgb="FF10FF07"/>
      </colorScale>
    </cfRule>
  </conditionalFormatting>
  <conditionalFormatting sqref="CT7:CT17">
    <cfRule type="colorScale" priority="326">
      <colorScale>
        <cfvo type="percent" val="0"/>
        <cfvo type="percent" val="100"/>
        <color rgb="FFFF231B"/>
        <color rgb="FF10FF07"/>
      </colorScale>
    </cfRule>
  </conditionalFormatting>
  <conditionalFormatting sqref="CT20:CT31">
    <cfRule type="colorScale" priority="324">
      <colorScale>
        <cfvo type="percent" val="0"/>
        <cfvo type="percent" val="100"/>
        <color rgb="FFFF231B"/>
        <color rgb="FF10FF07"/>
      </colorScale>
    </cfRule>
  </conditionalFormatting>
  <conditionalFormatting sqref="CT21:CT31">
    <cfRule type="colorScale" priority="323">
      <colorScale>
        <cfvo type="percent" val="0"/>
        <cfvo type="percent" val="100"/>
        <color rgb="FFFF231B"/>
        <color rgb="FF10FF07"/>
      </colorScale>
    </cfRule>
  </conditionalFormatting>
  <conditionalFormatting sqref="AE34:AE35">
    <cfRule type="expression" dxfId="163" priority="231">
      <formula>OR(IF(AE34&lt;AF34,TRUE),IF(AND(AF34="",AE34&lt;&gt;""),TRUE))</formula>
    </cfRule>
    <cfRule type="expression" dxfId="162" priority="232">
      <formula>IF(AE34&gt;=AF34,IF(AE34="",FALSE,TRUE))</formula>
    </cfRule>
  </conditionalFormatting>
  <conditionalFormatting sqref="AG34:AG35">
    <cfRule type="expression" dxfId="161" priority="229">
      <formula>OR(IF(AG34&lt;AH34,TRUE),IF(AND(AH34="",AG34&lt;&gt;""),TRUE))</formula>
    </cfRule>
    <cfRule type="expression" dxfId="160" priority="230">
      <formula>IF(AG34&gt;=AH34,IF(AG34="",FALSE,TRUE))</formula>
    </cfRule>
  </conditionalFormatting>
  <conditionalFormatting sqref="AG36:AG39">
    <cfRule type="expression" dxfId="159" priority="225">
      <formula>OR(IF(AG36&lt;AH36,TRUE),IF(AND(AH36="",AG36&lt;&gt;""),TRUE))</formula>
    </cfRule>
    <cfRule type="expression" dxfId="158" priority="226">
      <formula>IF(AG36&gt;=AH36,IF(AG36="",FALSE,TRUE))</formula>
    </cfRule>
  </conditionalFormatting>
  <conditionalFormatting sqref="AE36:AE39">
    <cfRule type="expression" dxfId="157" priority="227">
      <formula>OR(IF(AE36&lt;AF36,TRUE),IF(AND(AF36="",AE36&lt;&gt;""),TRUE))</formula>
    </cfRule>
    <cfRule type="expression" dxfId="156" priority="228">
      <formula>IF(AE36&gt;=AF36,IF(AE36="",FALSE,TRUE))</formula>
    </cfRule>
  </conditionalFormatting>
  <conditionalFormatting sqref="AI34:AI39">
    <cfRule type="colorScale" priority="224">
      <colorScale>
        <cfvo type="percent" val="0"/>
        <cfvo type="percent" val="100"/>
        <color rgb="FFFF231B"/>
        <color rgb="FF10FF07"/>
      </colorScale>
    </cfRule>
  </conditionalFormatting>
  <conditionalFormatting sqref="AI35:AI39">
    <cfRule type="colorScale" priority="223">
      <colorScale>
        <cfvo type="percent" val="0"/>
        <cfvo type="percent" val="100"/>
        <color rgb="FFFF231B"/>
        <color rgb="FF10FF07"/>
      </colorScale>
    </cfRule>
  </conditionalFormatting>
  <conditionalFormatting sqref="AL34:AL35">
    <cfRule type="expression" dxfId="155" priority="221">
      <formula>OR(IF(AL34&lt;AM34,TRUE),IF(AND(AM34="",AL34&lt;&gt;""),TRUE))</formula>
    </cfRule>
    <cfRule type="expression" dxfId="154" priority="222">
      <formula>IF(AL34&gt;=AM34,IF(AL34="",FALSE,TRUE))</formula>
    </cfRule>
  </conditionalFormatting>
  <conditionalFormatting sqref="AN34:AN35">
    <cfRule type="expression" dxfId="153" priority="219">
      <formula>OR(IF(AN34&lt;AO34,TRUE),IF(AND(AO34="",AN34&lt;&gt;""),TRUE))</formula>
    </cfRule>
    <cfRule type="expression" dxfId="152" priority="220">
      <formula>IF(AN34&gt;=AO34,IF(AN34="",FALSE,TRUE))</formula>
    </cfRule>
  </conditionalFormatting>
  <conditionalFormatting sqref="AN36:AN39">
    <cfRule type="expression" dxfId="151" priority="215">
      <formula>OR(IF(AN36&lt;AO36,TRUE),IF(AND(AO36="",AN36&lt;&gt;""),TRUE))</formula>
    </cfRule>
    <cfRule type="expression" dxfId="150" priority="216">
      <formula>IF(AN36&gt;=AO36,IF(AN36="",FALSE,TRUE))</formula>
    </cfRule>
  </conditionalFormatting>
  <conditionalFormatting sqref="AL36:AL39">
    <cfRule type="expression" dxfId="149" priority="217">
      <formula>OR(IF(AL36&lt;AM36,TRUE),IF(AND(AM36="",AL36&lt;&gt;""),TRUE))</formula>
    </cfRule>
    <cfRule type="expression" dxfId="148" priority="218">
      <formula>IF(AL36&gt;=AM36,IF(AL36="",FALSE,TRUE))</formula>
    </cfRule>
  </conditionalFormatting>
  <conditionalFormatting sqref="AP34:AP39">
    <cfRule type="colorScale" priority="214">
      <colorScale>
        <cfvo type="percent" val="0"/>
        <cfvo type="percent" val="100"/>
        <color rgb="FFFF231B"/>
        <color rgb="FF10FF07"/>
      </colorScale>
    </cfRule>
  </conditionalFormatting>
  <conditionalFormatting sqref="AP35:AP39">
    <cfRule type="colorScale" priority="213">
      <colorScale>
        <cfvo type="percent" val="0"/>
        <cfvo type="percent" val="100"/>
        <color rgb="FFFF231B"/>
        <color rgb="FF10FF07"/>
      </colorScale>
    </cfRule>
  </conditionalFormatting>
  <conditionalFormatting sqref="AS34:AS35">
    <cfRule type="expression" dxfId="147" priority="211">
      <formula>OR(IF(AS34&lt;AT34,TRUE),IF(AND(AT34="",AS34&lt;&gt;""),TRUE))</formula>
    </cfRule>
    <cfRule type="expression" dxfId="146" priority="212">
      <formula>IF(AS34&gt;=AT34,IF(AS34="",FALSE,TRUE))</formula>
    </cfRule>
  </conditionalFormatting>
  <conditionalFormatting sqref="AU34:AU35">
    <cfRule type="expression" dxfId="145" priority="209">
      <formula>OR(IF(AU34&lt;AV34,TRUE),IF(AND(AV34="",AU34&lt;&gt;""),TRUE))</formula>
    </cfRule>
    <cfRule type="expression" dxfId="144" priority="210">
      <formula>IF(AU34&gt;=AV34,IF(AU34="",FALSE,TRUE))</formula>
    </cfRule>
  </conditionalFormatting>
  <conditionalFormatting sqref="AU36:AU39">
    <cfRule type="expression" dxfId="143" priority="205">
      <formula>OR(IF(AU36&lt;AV36,TRUE),IF(AND(AV36="",AU36&lt;&gt;""),TRUE))</formula>
    </cfRule>
    <cfRule type="expression" dxfId="142" priority="206">
      <formula>IF(AU36&gt;=AV36,IF(AU36="",FALSE,TRUE))</formula>
    </cfRule>
  </conditionalFormatting>
  <conditionalFormatting sqref="AS36:AS39">
    <cfRule type="expression" dxfId="141" priority="207">
      <formula>OR(IF(AS36&lt;AT36,TRUE),IF(AND(AT36="",AS36&lt;&gt;""),TRUE))</formula>
    </cfRule>
    <cfRule type="expression" dxfId="140" priority="208">
      <formula>IF(AS36&gt;=AT36,IF(AS36="",FALSE,TRUE))</formula>
    </cfRule>
  </conditionalFormatting>
  <conditionalFormatting sqref="AW34:AW39">
    <cfRule type="colorScale" priority="204">
      <colorScale>
        <cfvo type="percent" val="0"/>
        <cfvo type="percent" val="100"/>
        <color rgb="FFFF231B"/>
        <color rgb="FF10FF07"/>
      </colorScale>
    </cfRule>
  </conditionalFormatting>
  <conditionalFormatting sqref="AW35:AW39">
    <cfRule type="colorScale" priority="203">
      <colorScale>
        <cfvo type="percent" val="0"/>
        <cfvo type="percent" val="100"/>
        <color rgb="FFFF231B"/>
        <color rgb="FF10FF07"/>
      </colorScale>
    </cfRule>
  </conditionalFormatting>
  <conditionalFormatting sqref="AZ34:AZ35">
    <cfRule type="expression" dxfId="139" priority="201">
      <formula>OR(IF(AZ34&lt;BA34,TRUE),IF(AND(BA34="",AZ34&lt;&gt;""),TRUE))</formula>
    </cfRule>
    <cfRule type="expression" dxfId="138" priority="202">
      <formula>IF(AZ34&gt;=BA34,IF(AZ34="",FALSE,TRUE))</formula>
    </cfRule>
  </conditionalFormatting>
  <conditionalFormatting sqref="BB34:BB35">
    <cfRule type="expression" dxfId="137" priority="199">
      <formula>OR(IF(BB34&lt;BC34,TRUE),IF(AND(BC34="",BB34&lt;&gt;""),TRUE))</formula>
    </cfRule>
    <cfRule type="expression" dxfId="136" priority="200">
      <formula>IF(BB34&gt;=BC34,IF(BB34="",FALSE,TRUE))</formula>
    </cfRule>
  </conditionalFormatting>
  <conditionalFormatting sqref="BB36:BB39">
    <cfRule type="expression" dxfId="135" priority="195">
      <formula>OR(IF(BB36&lt;BC36,TRUE),IF(AND(BC36="",BB36&lt;&gt;""),TRUE))</formula>
    </cfRule>
    <cfRule type="expression" dxfId="134" priority="196">
      <formula>IF(BB36&gt;=BC36,IF(BB36="",FALSE,TRUE))</formula>
    </cfRule>
  </conditionalFormatting>
  <conditionalFormatting sqref="AZ36:AZ39">
    <cfRule type="expression" dxfId="133" priority="197">
      <formula>OR(IF(AZ36&lt;BA36,TRUE),IF(AND(BA36="",AZ36&lt;&gt;""),TRUE))</formula>
    </cfRule>
    <cfRule type="expression" dxfId="132" priority="198">
      <formula>IF(AZ36&gt;=BA36,IF(AZ36="",FALSE,TRUE))</formula>
    </cfRule>
  </conditionalFormatting>
  <conditionalFormatting sqref="BD34:BD39">
    <cfRule type="colorScale" priority="194">
      <colorScale>
        <cfvo type="percent" val="0"/>
        <cfvo type="percent" val="100"/>
        <color rgb="FFFF231B"/>
        <color rgb="FF10FF07"/>
      </colorScale>
    </cfRule>
  </conditionalFormatting>
  <conditionalFormatting sqref="BD35:BD39">
    <cfRule type="colorScale" priority="193">
      <colorScale>
        <cfvo type="percent" val="0"/>
        <cfvo type="percent" val="100"/>
        <color rgb="FFFF231B"/>
        <color rgb="FF10FF07"/>
      </colorScale>
    </cfRule>
  </conditionalFormatting>
  <conditionalFormatting sqref="BG34:BG35">
    <cfRule type="expression" dxfId="131" priority="191">
      <formula>OR(IF(BG34&lt;BH34,TRUE),IF(AND(BH34="",BG34&lt;&gt;""),TRUE))</formula>
    </cfRule>
    <cfRule type="expression" dxfId="130" priority="192">
      <formula>IF(BG34&gt;=BH34,IF(BG34="",FALSE,TRUE))</formula>
    </cfRule>
  </conditionalFormatting>
  <conditionalFormatting sqref="BI34:BI35">
    <cfRule type="expression" dxfId="129" priority="189">
      <formula>OR(IF(BI34&lt;BJ34,TRUE),IF(AND(BJ34="",BI34&lt;&gt;""),TRUE))</formula>
    </cfRule>
    <cfRule type="expression" dxfId="128" priority="190">
      <formula>IF(BI34&gt;=BJ34,IF(BI34="",FALSE,TRUE))</formula>
    </cfRule>
  </conditionalFormatting>
  <conditionalFormatting sqref="BI36:BI39">
    <cfRule type="expression" dxfId="127" priority="185">
      <formula>OR(IF(BI36&lt;BJ36,TRUE),IF(AND(BJ36="",BI36&lt;&gt;""),TRUE))</formula>
    </cfRule>
    <cfRule type="expression" dxfId="126" priority="186">
      <formula>IF(BI36&gt;=BJ36,IF(BI36="",FALSE,TRUE))</formula>
    </cfRule>
  </conditionalFormatting>
  <conditionalFormatting sqref="BG36:BG39">
    <cfRule type="expression" dxfId="125" priority="187">
      <formula>OR(IF(BG36&lt;BH36,TRUE),IF(AND(BH36="",BG36&lt;&gt;""),TRUE))</formula>
    </cfRule>
    <cfRule type="expression" dxfId="124" priority="188">
      <formula>IF(BG36&gt;=BH36,IF(BG36="",FALSE,TRUE))</formula>
    </cfRule>
  </conditionalFormatting>
  <conditionalFormatting sqref="BK34:BK39">
    <cfRule type="colorScale" priority="184">
      <colorScale>
        <cfvo type="percent" val="0"/>
        <cfvo type="percent" val="100"/>
        <color rgb="FFFF231B"/>
        <color rgb="FF10FF07"/>
      </colorScale>
    </cfRule>
  </conditionalFormatting>
  <conditionalFormatting sqref="BK35:BK39">
    <cfRule type="colorScale" priority="183">
      <colorScale>
        <cfvo type="percent" val="0"/>
        <cfvo type="percent" val="100"/>
        <color rgb="FFFF231B"/>
        <color rgb="FF10FF07"/>
      </colorScale>
    </cfRule>
  </conditionalFormatting>
  <conditionalFormatting sqref="BN34:BN35">
    <cfRule type="expression" dxfId="123" priority="181">
      <formula>OR(IF(BN34&lt;BO34,TRUE),IF(AND(BO34="",BN34&lt;&gt;""),TRUE))</formula>
    </cfRule>
    <cfRule type="expression" dxfId="122" priority="182">
      <formula>IF(BN34&gt;=BO34,IF(BN34="",FALSE,TRUE))</formula>
    </cfRule>
  </conditionalFormatting>
  <conditionalFormatting sqref="BP34:BP35">
    <cfRule type="expression" dxfId="121" priority="179">
      <formula>OR(IF(BP34&lt;BQ34,TRUE),IF(AND(BQ34="",BP34&lt;&gt;""),TRUE))</formula>
    </cfRule>
    <cfRule type="expression" dxfId="120" priority="180">
      <formula>IF(BP34&gt;=BQ34,IF(BP34="",FALSE,TRUE))</formula>
    </cfRule>
  </conditionalFormatting>
  <conditionalFormatting sqref="BP36:BP39">
    <cfRule type="expression" dxfId="119" priority="175">
      <formula>OR(IF(BP36&lt;BQ36,TRUE),IF(AND(BQ36="",BP36&lt;&gt;""),TRUE))</formula>
    </cfRule>
    <cfRule type="expression" dxfId="118" priority="176">
      <formula>IF(BP36&gt;=BQ36,IF(BP36="",FALSE,TRUE))</formula>
    </cfRule>
  </conditionalFormatting>
  <conditionalFormatting sqref="BN36:BN39">
    <cfRule type="expression" dxfId="117" priority="177">
      <formula>OR(IF(BN36&lt;BO36,TRUE),IF(AND(BO36="",BN36&lt;&gt;""),TRUE))</formula>
    </cfRule>
    <cfRule type="expression" dxfId="116" priority="178">
      <formula>IF(BN36&gt;=BO36,IF(BN36="",FALSE,TRUE))</formula>
    </cfRule>
  </conditionalFormatting>
  <conditionalFormatting sqref="BR34:BR39">
    <cfRule type="colorScale" priority="174">
      <colorScale>
        <cfvo type="percent" val="0"/>
        <cfvo type="percent" val="100"/>
        <color rgb="FFFF231B"/>
        <color rgb="FF10FF07"/>
      </colorScale>
    </cfRule>
  </conditionalFormatting>
  <conditionalFormatting sqref="BR35:BR39">
    <cfRule type="colorScale" priority="173">
      <colorScale>
        <cfvo type="percent" val="0"/>
        <cfvo type="percent" val="100"/>
        <color rgb="FFFF231B"/>
        <color rgb="FF10FF07"/>
      </colorScale>
    </cfRule>
  </conditionalFormatting>
  <conditionalFormatting sqref="BU34:BU35">
    <cfRule type="expression" dxfId="115" priority="171">
      <formula>OR(IF(BU34&lt;BV34,TRUE),IF(AND(BV34="",BU34&lt;&gt;""),TRUE))</formula>
    </cfRule>
    <cfRule type="expression" dxfId="114" priority="172">
      <formula>IF(BU34&gt;=BV34,IF(BU34="",FALSE,TRUE))</formula>
    </cfRule>
  </conditionalFormatting>
  <conditionalFormatting sqref="BW34:BW35">
    <cfRule type="expression" dxfId="113" priority="169">
      <formula>OR(IF(BW34&lt;BX34,TRUE),IF(AND(BX34="",BW34&lt;&gt;""),TRUE))</formula>
    </cfRule>
    <cfRule type="expression" dxfId="112" priority="170">
      <formula>IF(BW34&gt;=BX34,IF(BW34="",FALSE,TRUE))</formula>
    </cfRule>
  </conditionalFormatting>
  <conditionalFormatting sqref="BW36:BW39">
    <cfRule type="expression" dxfId="111" priority="165">
      <formula>OR(IF(BW36&lt;BX36,TRUE),IF(AND(BX36="",BW36&lt;&gt;""),TRUE))</formula>
    </cfRule>
    <cfRule type="expression" dxfId="110" priority="166">
      <formula>IF(BW36&gt;=BX36,IF(BW36="",FALSE,TRUE))</formula>
    </cfRule>
  </conditionalFormatting>
  <conditionalFormatting sqref="BU36:BU39">
    <cfRule type="expression" dxfId="109" priority="167">
      <formula>OR(IF(BU36&lt;BV36,TRUE),IF(AND(BV36="",BU36&lt;&gt;""),TRUE))</formula>
    </cfRule>
    <cfRule type="expression" dxfId="108" priority="168">
      <formula>IF(BU36&gt;=BV36,IF(BU36="",FALSE,TRUE))</formula>
    </cfRule>
  </conditionalFormatting>
  <conditionalFormatting sqref="BY34:BY39">
    <cfRule type="colorScale" priority="164">
      <colorScale>
        <cfvo type="percent" val="0"/>
        <cfvo type="percent" val="100"/>
        <color rgb="FFFF231B"/>
        <color rgb="FF10FF07"/>
      </colorScale>
    </cfRule>
  </conditionalFormatting>
  <conditionalFormatting sqref="BY35:BY39">
    <cfRule type="colorScale" priority="163">
      <colorScale>
        <cfvo type="percent" val="0"/>
        <cfvo type="percent" val="100"/>
        <color rgb="FFFF231B"/>
        <color rgb="FF10FF07"/>
      </colorScale>
    </cfRule>
  </conditionalFormatting>
  <conditionalFormatting sqref="CB34:CB35">
    <cfRule type="expression" dxfId="107" priority="161">
      <formula>OR(IF(CB34&lt;CC34,TRUE),IF(AND(CC34="",CB34&lt;&gt;""),TRUE))</formula>
    </cfRule>
    <cfRule type="expression" dxfId="106" priority="162">
      <formula>IF(CB34&gt;=CC34,IF(CB34="",FALSE,TRUE))</formula>
    </cfRule>
  </conditionalFormatting>
  <conditionalFormatting sqref="CD34:CD35">
    <cfRule type="expression" dxfId="105" priority="159">
      <formula>OR(IF(CD34&lt;CE34,TRUE),IF(AND(CE34="",CD34&lt;&gt;""),TRUE))</formula>
    </cfRule>
    <cfRule type="expression" dxfId="104" priority="160">
      <formula>IF(CD34&gt;=CE34,IF(CD34="",FALSE,TRUE))</formula>
    </cfRule>
  </conditionalFormatting>
  <conditionalFormatting sqref="CD36:CD39">
    <cfRule type="expression" dxfId="103" priority="155">
      <formula>OR(IF(CD36&lt;CE36,TRUE),IF(AND(CE36="",CD36&lt;&gt;""),TRUE))</formula>
    </cfRule>
    <cfRule type="expression" dxfId="102" priority="156">
      <formula>IF(CD36&gt;=CE36,IF(CD36="",FALSE,TRUE))</formula>
    </cfRule>
  </conditionalFormatting>
  <conditionalFormatting sqref="CB36:CB39">
    <cfRule type="expression" dxfId="101" priority="157">
      <formula>OR(IF(CB36&lt;CC36,TRUE),IF(AND(CC36="",CB36&lt;&gt;""),TRUE))</formula>
    </cfRule>
    <cfRule type="expression" dxfId="100" priority="158">
      <formula>IF(CB36&gt;=CC36,IF(CB36="",FALSE,TRUE))</formula>
    </cfRule>
  </conditionalFormatting>
  <conditionalFormatting sqref="CF34:CF39">
    <cfRule type="colorScale" priority="154">
      <colorScale>
        <cfvo type="percent" val="0"/>
        <cfvo type="percent" val="100"/>
        <color rgb="FFFF231B"/>
        <color rgb="FF10FF07"/>
      </colorScale>
    </cfRule>
  </conditionalFormatting>
  <conditionalFormatting sqref="CF35:CF39">
    <cfRule type="colorScale" priority="153">
      <colorScale>
        <cfvo type="percent" val="0"/>
        <cfvo type="percent" val="100"/>
        <color rgb="FFFF231B"/>
        <color rgb="FF10FF07"/>
      </colorScale>
    </cfRule>
  </conditionalFormatting>
  <conditionalFormatting sqref="CB6:CB17">
    <cfRule type="expression" dxfId="99" priority="151">
      <formula>OR(IF(CB6&lt;CC6,TRUE),IF(AND(CC6="",CB6&lt;&gt;""),TRUE))</formula>
    </cfRule>
    <cfRule type="expression" dxfId="98" priority="152">
      <formula>IF(CB6&gt;=CC6,IF(CB6="",FALSE,TRUE))</formula>
    </cfRule>
  </conditionalFormatting>
  <conditionalFormatting sqref="CD6:CD17">
    <cfRule type="expression" dxfId="97" priority="149">
      <formula>OR(IF(CD6&lt;CE6,TRUE),IF(AND(CE6="",CD6&lt;&gt;""),TRUE))</formula>
    </cfRule>
    <cfRule type="expression" dxfId="96" priority="150">
      <formula>IF(CD6&gt;=CE6,IF(CD6="",FALSE,TRUE))</formula>
    </cfRule>
  </conditionalFormatting>
  <conditionalFormatting sqref="CF6:CF17">
    <cfRule type="colorScale" priority="147">
      <colorScale>
        <cfvo type="percent" val="0"/>
        <cfvo type="percent" val="100"/>
        <color rgb="FFFF231B"/>
        <color rgb="FF10FF07"/>
      </colorScale>
    </cfRule>
  </conditionalFormatting>
  <conditionalFormatting sqref="CF7:CF17">
    <cfRule type="colorScale" priority="148">
      <colorScale>
        <cfvo type="percent" val="0"/>
        <cfvo type="percent" val="100"/>
        <color rgb="FFFF231B"/>
        <color rgb="FF10FF07"/>
      </colorScale>
    </cfRule>
  </conditionalFormatting>
  <conditionalFormatting sqref="CI20:CI24 CK20:CK24">
    <cfRule type="expression" dxfId="95" priority="145">
      <formula>OR(IF(CI20&lt;CJ20,TRUE),IF(AND(CJ20="",CI20&lt;&gt;""),TRUE))</formula>
    </cfRule>
    <cfRule type="expression" dxfId="94" priority="146">
      <formula>IF(CI20&gt;=CJ20,IF(CI20="",FALSE,TRUE))</formula>
    </cfRule>
  </conditionalFormatting>
  <conditionalFormatting sqref="CI25:CI31">
    <cfRule type="expression" dxfId="93" priority="143">
      <formula>OR(IF(CI25&lt;CJ25,TRUE),IF(AND(CJ25="",CI25&lt;&gt;""),TRUE))</formula>
    </cfRule>
    <cfRule type="expression" dxfId="92" priority="144">
      <formula>IF(CI25&gt;=CJ25,IF(CI25="",FALSE,TRUE))</formula>
    </cfRule>
  </conditionalFormatting>
  <conditionalFormatting sqref="CK25:CK31">
    <cfRule type="expression" dxfId="91" priority="141">
      <formula>OR(IF(CK25&lt;CL25,TRUE),IF(AND(CL25="",CK25&lt;&gt;""),TRUE))</formula>
    </cfRule>
    <cfRule type="expression" dxfId="90" priority="142">
      <formula>IF(CK25&gt;=CL25,IF(CK25="",FALSE,TRUE))</formula>
    </cfRule>
  </conditionalFormatting>
  <conditionalFormatting sqref="CM20:CM31">
    <cfRule type="colorScale" priority="140">
      <colorScale>
        <cfvo type="percent" val="0"/>
        <cfvo type="percent" val="100"/>
        <color rgb="FFFF231B"/>
        <color rgb="FF10FF07"/>
      </colorScale>
    </cfRule>
  </conditionalFormatting>
  <conditionalFormatting sqref="CM21:CM31">
    <cfRule type="colorScale" priority="139">
      <colorScale>
        <cfvo type="percent" val="0"/>
        <cfvo type="percent" val="100"/>
        <color rgb="FFFF231B"/>
        <color rgb="FF10FF07"/>
      </colorScale>
    </cfRule>
  </conditionalFormatting>
  <conditionalFormatting sqref="CI34:CI35">
    <cfRule type="expression" dxfId="89" priority="137">
      <formula>OR(IF(CI34&lt;CJ34,TRUE),IF(AND(CJ34="",CI34&lt;&gt;""),TRUE))</formula>
    </cfRule>
    <cfRule type="expression" dxfId="88" priority="138">
      <formula>IF(CI34&gt;=CJ34,IF(CI34="",FALSE,TRUE))</formula>
    </cfRule>
  </conditionalFormatting>
  <conditionalFormatting sqref="CK34:CK35">
    <cfRule type="expression" dxfId="87" priority="135">
      <formula>OR(IF(CK34&lt;CL34,TRUE),IF(AND(CL34="",CK34&lt;&gt;""),TRUE))</formula>
    </cfRule>
    <cfRule type="expression" dxfId="86" priority="136">
      <formula>IF(CK34&gt;=CL34,IF(CK34="",FALSE,TRUE))</formula>
    </cfRule>
  </conditionalFormatting>
  <conditionalFormatting sqref="CK36:CK39">
    <cfRule type="expression" dxfId="85" priority="131">
      <formula>OR(IF(CK36&lt;CL36,TRUE),IF(AND(CL36="",CK36&lt;&gt;""),TRUE))</formula>
    </cfRule>
    <cfRule type="expression" dxfId="84" priority="132">
      <formula>IF(CK36&gt;=CL36,IF(CK36="",FALSE,TRUE))</formula>
    </cfRule>
  </conditionalFormatting>
  <conditionalFormatting sqref="CI36:CI39">
    <cfRule type="expression" dxfId="83" priority="133">
      <formula>OR(IF(CI36&lt;CJ36,TRUE),IF(AND(CJ36="",CI36&lt;&gt;""),TRUE))</formula>
    </cfRule>
    <cfRule type="expression" dxfId="82" priority="134">
      <formula>IF(CI36&gt;=CJ36,IF(CI36="",FALSE,TRUE))</formula>
    </cfRule>
  </conditionalFormatting>
  <conditionalFormatting sqref="CM34:CM39">
    <cfRule type="colorScale" priority="130">
      <colorScale>
        <cfvo type="percent" val="0"/>
        <cfvo type="percent" val="100"/>
        <color rgb="FFFF231B"/>
        <color rgb="FF10FF07"/>
      </colorScale>
    </cfRule>
  </conditionalFormatting>
  <conditionalFormatting sqref="CM35:CM39">
    <cfRule type="colorScale" priority="129">
      <colorScale>
        <cfvo type="percent" val="0"/>
        <cfvo type="percent" val="100"/>
        <color rgb="FFFF231B"/>
        <color rgb="FF10FF07"/>
      </colorScale>
    </cfRule>
  </conditionalFormatting>
  <conditionalFormatting sqref="CI6:CI17">
    <cfRule type="expression" dxfId="81" priority="127">
      <formula>OR(IF(CI6&lt;CJ6,TRUE),IF(AND(CJ6="",CI6&lt;&gt;""),TRUE))</formula>
    </cfRule>
    <cfRule type="expression" dxfId="80" priority="128">
      <formula>IF(CI6&gt;=CJ6,IF(CI6="",FALSE,TRUE))</formula>
    </cfRule>
  </conditionalFormatting>
  <conditionalFormatting sqref="CK6:CK17">
    <cfRule type="expression" dxfId="79" priority="125">
      <formula>OR(IF(CK6&lt;CL6,TRUE),IF(AND(CL6="",CK6&lt;&gt;""),TRUE))</formula>
    </cfRule>
    <cfRule type="expression" dxfId="78" priority="126">
      <formula>IF(CK6&gt;=CL6,IF(CK6="",FALSE,TRUE))</formula>
    </cfRule>
  </conditionalFormatting>
  <conditionalFormatting sqref="CM6:CM17">
    <cfRule type="colorScale" priority="123">
      <colorScale>
        <cfvo type="percent" val="0"/>
        <cfvo type="percent" val="100"/>
        <color rgb="FFFF231B"/>
        <color rgb="FF10FF07"/>
      </colorScale>
    </cfRule>
  </conditionalFormatting>
  <conditionalFormatting sqref="CM7:CM17">
    <cfRule type="colorScale" priority="124">
      <colorScale>
        <cfvo type="percent" val="0"/>
        <cfvo type="percent" val="100"/>
        <color rgb="FFFF231B"/>
        <color rgb="FF10FF07"/>
      </colorScale>
    </cfRule>
  </conditionalFormatting>
  <conditionalFormatting sqref="CP34:CP35">
    <cfRule type="expression" dxfId="77" priority="121">
      <formula>OR(IF(CP34&lt;CQ34,TRUE),IF(AND(CQ34="",CP34&lt;&gt;""),TRUE))</formula>
    </cfRule>
    <cfRule type="expression" dxfId="76" priority="122">
      <formula>IF(CP34&gt;=CQ34,IF(CP34="",FALSE,TRUE))</formula>
    </cfRule>
  </conditionalFormatting>
  <conditionalFormatting sqref="CR34:CR35">
    <cfRule type="expression" dxfId="75" priority="119">
      <formula>OR(IF(CR34&lt;CS34,TRUE),IF(AND(CS34="",CR34&lt;&gt;""),TRUE))</formula>
    </cfRule>
    <cfRule type="expression" dxfId="74" priority="120">
      <formula>IF(CR34&gt;=CS34,IF(CR34="",FALSE,TRUE))</formula>
    </cfRule>
  </conditionalFormatting>
  <conditionalFormatting sqref="CR36:CR39">
    <cfRule type="expression" dxfId="73" priority="115">
      <formula>OR(IF(CR36&lt;CS36,TRUE),IF(AND(CS36="",CR36&lt;&gt;""),TRUE))</formula>
    </cfRule>
    <cfRule type="expression" dxfId="72" priority="116">
      <formula>IF(CR36&gt;=CS36,IF(CR36="",FALSE,TRUE))</formula>
    </cfRule>
  </conditionalFormatting>
  <conditionalFormatting sqref="CP36:CP39">
    <cfRule type="expression" dxfId="71" priority="117">
      <formula>OR(IF(CP36&lt;CQ36,TRUE),IF(AND(CQ36="",CP36&lt;&gt;""),TRUE))</formula>
    </cfRule>
    <cfRule type="expression" dxfId="70" priority="118">
      <formula>IF(CP36&gt;=CQ36,IF(CP36="",FALSE,TRUE))</formula>
    </cfRule>
  </conditionalFormatting>
  <conditionalFormatting sqref="CT34:CT39">
    <cfRule type="colorScale" priority="114">
      <colorScale>
        <cfvo type="percent" val="0"/>
        <cfvo type="percent" val="100"/>
        <color rgb="FFFF231B"/>
        <color rgb="FF10FF07"/>
      </colorScale>
    </cfRule>
  </conditionalFormatting>
  <conditionalFormatting sqref="CT35:CT39">
    <cfRule type="colorScale" priority="113">
      <colorScale>
        <cfvo type="percent" val="0"/>
        <cfvo type="percent" val="100"/>
        <color rgb="FFFF231B"/>
        <color rgb="FF10FF07"/>
      </colorScale>
    </cfRule>
  </conditionalFormatting>
  <conditionalFormatting sqref="CW20:CW24 CY20:CY24 CW6:CW17">
    <cfRule type="expression" dxfId="69" priority="111">
      <formula>OR(IF(CW6&lt;CX6,TRUE),IF(AND(CX6="",CW6&lt;&gt;""),TRUE))</formula>
    </cfRule>
    <cfRule type="expression" dxfId="68" priority="112">
      <formula>IF(CW6&gt;=CX6,IF(CW6="",FALSE,TRUE))</formula>
    </cfRule>
  </conditionalFormatting>
  <conditionalFormatting sqref="CY6:CY17">
    <cfRule type="expression" dxfId="67" priority="109">
      <formula>OR(IF(CY6&lt;CZ6,TRUE),IF(AND(CZ6="",CY6&lt;&gt;""),TRUE))</formula>
    </cfRule>
    <cfRule type="expression" dxfId="66" priority="110">
      <formula>IF(CY6&gt;=CZ6,IF(CY6="",FALSE,TRUE))</formula>
    </cfRule>
  </conditionalFormatting>
  <conditionalFormatting sqref="CW25:CW31">
    <cfRule type="expression" dxfId="65" priority="107">
      <formula>OR(IF(CW25&lt;CX25,TRUE),IF(AND(CX25="",CW25&lt;&gt;""),TRUE))</formula>
    </cfRule>
    <cfRule type="expression" dxfId="64" priority="108">
      <formula>IF(CW25&gt;=CX25,IF(CW25="",FALSE,TRUE))</formula>
    </cfRule>
  </conditionalFormatting>
  <conditionalFormatting sqref="CY25:CY31">
    <cfRule type="expression" dxfId="63" priority="105">
      <formula>OR(IF(CY25&lt;CZ25,TRUE),IF(AND(CZ25="",CY25&lt;&gt;""),TRUE))</formula>
    </cfRule>
    <cfRule type="expression" dxfId="62" priority="106">
      <formula>IF(CY25&gt;=CZ25,IF(CY25="",FALSE,TRUE))</formula>
    </cfRule>
  </conditionalFormatting>
  <conditionalFormatting sqref="DA6:DA17">
    <cfRule type="colorScale" priority="103">
      <colorScale>
        <cfvo type="percent" val="0"/>
        <cfvo type="percent" val="100"/>
        <color rgb="FFFF231B"/>
        <color rgb="FF10FF07"/>
      </colorScale>
    </cfRule>
  </conditionalFormatting>
  <conditionalFormatting sqref="DA7:DA17">
    <cfRule type="colorScale" priority="104">
      <colorScale>
        <cfvo type="percent" val="0"/>
        <cfvo type="percent" val="100"/>
        <color rgb="FFFF231B"/>
        <color rgb="FF10FF07"/>
      </colorScale>
    </cfRule>
  </conditionalFormatting>
  <conditionalFormatting sqref="DA20:DA31">
    <cfRule type="colorScale" priority="102">
      <colorScale>
        <cfvo type="percent" val="0"/>
        <cfvo type="percent" val="100"/>
        <color rgb="FFFF231B"/>
        <color rgb="FF10FF07"/>
      </colorScale>
    </cfRule>
  </conditionalFormatting>
  <conditionalFormatting sqref="DA21:DA31">
    <cfRule type="colorScale" priority="101">
      <colorScale>
        <cfvo type="percent" val="0"/>
        <cfvo type="percent" val="100"/>
        <color rgb="FFFF231B"/>
        <color rgb="FF10FF07"/>
      </colorScale>
    </cfRule>
  </conditionalFormatting>
  <conditionalFormatting sqref="CW34:CW35">
    <cfRule type="expression" dxfId="61" priority="99">
      <formula>OR(IF(CW34&lt;CX34,TRUE),IF(AND(CX34="",CW34&lt;&gt;""),TRUE))</formula>
    </cfRule>
    <cfRule type="expression" dxfId="60" priority="100">
      <formula>IF(CW34&gt;=CX34,IF(CW34="",FALSE,TRUE))</formula>
    </cfRule>
  </conditionalFormatting>
  <conditionalFormatting sqref="CY34:CY35">
    <cfRule type="expression" dxfId="59" priority="97">
      <formula>OR(IF(CY34&lt;CZ34,TRUE),IF(AND(CZ34="",CY34&lt;&gt;""),TRUE))</formula>
    </cfRule>
    <cfRule type="expression" dxfId="58" priority="98">
      <formula>IF(CY34&gt;=CZ34,IF(CY34="",FALSE,TRUE))</formula>
    </cfRule>
  </conditionalFormatting>
  <conditionalFormatting sqref="CY36:CY39">
    <cfRule type="expression" dxfId="57" priority="93">
      <formula>OR(IF(CY36&lt;CZ36,TRUE),IF(AND(CZ36="",CY36&lt;&gt;""),TRUE))</formula>
    </cfRule>
    <cfRule type="expression" dxfId="56" priority="94">
      <formula>IF(CY36&gt;=CZ36,IF(CY36="",FALSE,TRUE))</formula>
    </cfRule>
  </conditionalFormatting>
  <conditionalFormatting sqref="CW36:CW39">
    <cfRule type="expression" dxfId="55" priority="95">
      <formula>OR(IF(CW36&lt;CX36,TRUE),IF(AND(CX36="",CW36&lt;&gt;""),TRUE))</formula>
    </cfRule>
    <cfRule type="expression" dxfId="54" priority="96">
      <formula>IF(CW36&gt;=CX36,IF(CW36="",FALSE,TRUE))</formula>
    </cfRule>
  </conditionalFormatting>
  <conditionalFormatting sqref="DA34:DA39">
    <cfRule type="colorScale" priority="92">
      <colorScale>
        <cfvo type="percent" val="0"/>
        <cfvo type="percent" val="100"/>
        <color rgb="FFFF231B"/>
        <color rgb="FF10FF07"/>
      </colorScale>
    </cfRule>
  </conditionalFormatting>
  <conditionalFormatting sqref="DA35:DA39">
    <cfRule type="colorScale" priority="91">
      <colorScale>
        <cfvo type="percent" val="0"/>
        <cfvo type="percent" val="100"/>
        <color rgb="FFFF231B"/>
        <color rgb="FF10FF07"/>
      </colorScale>
    </cfRule>
  </conditionalFormatting>
  <conditionalFormatting sqref="DD6:DD17">
    <cfRule type="expression" dxfId="53" priority="89">
      <formula>OR(IF(DD6&lt;DE6,TRUE),IF(AND(DE6="",DD6&lt;&gt;""),TRUE))</formula>
    </cfRule>
    <cfRule type="expression" dxfId="52" priority="90">
      <formula>IF(DD6&gt;=DE6,IF(DD6="",FALSE,TRUE))</formula>
    </cfRule>
  </conditionalFormatting>
  <conditionalFormatting sqref="DF6:DF17">
    <cfRule type="expression" dxfId="51" priority="87">
      <formula>OR(IF(DF6&lt;DG6,TRUE),IF(AND(DG6="",DF6&lt;&gt;""),TRUE))</formula>
    </cfRule>
    <cfRule type="expression" dxfId="50" priority="88">
      <formula>IF(DF6&gt;=DG6,IF(DF6="",FALSE,TRUE))</formula>
    </cfRule>
  </conditionalFormatting>
  <conditionalFormatting sqref="DH6:DH17">
    <cfRule type="colorScale" priority="81">
      <colorScale>
        <cfvo type="percent" val="0"/>
        <cfvo type="percent" val="100"/>
        <color rgb="FFFF231B"/>
        <color rgb="FF10FF07"/>
      </colorScale>
    </cfRule>
  </conditionalFormatting>
  <conditionalFormatting sqref="DH7:DH17">
    <cfRule type="colorScale" priority="82">
      <colorScale>
        <cfvo type="percent" val="0"/>
        <cfvo type="percent" val="100"/>
        <color rgb="FFFF231B"/>
        <color rgb="FF10FF07"/>
      </colorScale>
    </cfRule>
  </conditionalFormatting>
  <conditionalFormatting sqref="DD34:DD35">
    <cfRule type="expression" dxfId="49" priority="77">
      <formula>OR(IF(DD34&lt;DE34,TRUE),IF(AND(DE34="",DD34&lt;&gt;""),TRUE))</formula>
    </cfRule>
    <cfRule type="expression" dxfId="48" priority="78">
      <formula>IF(DD34&gt;=DE34,IF(DD34="",FALSE,TRUE))</formula>
    </cfRule>
  </conditionalFormatting>
  <conditionalFormatting sqref="DF34:DF35">
    <cfRule type="expression" dxfId="47" priority="75">
      <formula>OR(IF(DF34&lt;DG34,TRUE),IF(AND(DG34="",DF34&lt;&gt;""),TRUE))</formula>
    </cfRule>
    <cfRule type="expression" dxfId="46" priority="76">
      <formula>IF(DF34&gt;=DG34,IF(DF34="",FALSE,TRUE))</formula>
    </cfRule>
  </conditionalFormatting>
  <conditionalFormatting sqref="DF36:DF39">
    <cfRule type="expression" dxfId="45" priority="71">
      <formula>OR(IF(DF36&lt;DG36,TRUE),IF(AND(DG36="",DF36&lt;&gt;""),TRUE))</formula>
    </cfRule>
    <cfRule type="expression" dxfId="44" priority="72">
      <formula>IF(DF36&gt;=DG36,IF(DF36="",FALSE,TRUE))</formula>
    </cfRule>
  </conditionalFormatting>
  <conditionalFormatting sqref="DD36:DD39">
    <cfRule type="expression" dxfId="43" priority="73">
      <formula>OR(IF(DD36&lt;DE36,TRUE),IF(AND(DE36="",DD36&lt;&gt;""),TRUE))</formula>
    </cfRule>
    <cfRule type="expression" dxfId="42" priority="74">
      <formula>IF(DD36&gt;=DE36,IF(DD36="",FALSE,TRUE))</formula>
    </cfRule>
  </conditionalFormatting>
  <conditionalFormatting sqref="DH34:DH39">
    <cfRule type="colorScale" priority="70">
      <colorScale>
        <cfvo type="percent" val="0"/>
        <cfvo type="percent" val="100"/>
        <color rgb="FFFF231B"/>
        <color rgb="FF10FF07"/>
      </colorScale>
    </cfRule>
  </conditionalFormatting>
  <conditionalFormatting sqref="DH35:DH39">
    <cfRule type="colorScale" priority="69">
      <colorScale>
        <cfvo type="percent" val="0"/>
        <cfvo type="percent" val="100"/>
        <color rgb="FFFF231B"/>
        <color rgb="FF10FF07"/>
      </colorScale>
    </cfRule>
  </conditionalFormatting>
  <conditionalFormatting sqref="DK6:DK17">
    <cfRule type="expression" dxfId="41" priority="67">
      <formula>OR(IF(DK6&lt;DL6,TRUE),IF(AND(DL6="",DK6&lt;&gt;""),TRUE))</formula>
    </cfRule>
    <cfRule type="expression" dxfId="40" priority="68">
      <formula>IF(DK6&gt;=DL6,IF(DK6="",FALSE,TRUE))</formula>
    </cfRule>
  </conditionalFormatting>
  <conditionalFormatting sqref="DM6:DM17">
    <cfRule type="expression" dxfId="39" priority="65">
      <formula>OR(IF(DM6&lt;DN6,TRUE),IF(AND(DN6="",DM6&lt;&gt;""),TRUE))</formula>
    </cfRule>
    <cfRule type="expression" dxfId="38" priority="66">
      <formula>IF(DM6&gt;=DN6,IF(DM6="",FALSE,TRUE))</formula>
    </cfRule>
  </conditionalFormatting>
  <conditionalFormatting sqref="DO6:DO17">
    <cfRule type="colorScale" priority="59">
      <colorScale>
        <cfvo type="percent" val="0"/>
        <cfvo type="percent" val="100"/>
        <color rgb="FFFF231B"/>
        <color rgb="FF10FF07"/>
      </colorScale>
    </cfRule>
  </conditionalFormatting>
  <conditionalFormatting sqref="DO7:DO17">
    <cfRule type="colorScale" priority="60">
      <colorScale>
        <cfvo type="percent" val="0"/>
        <cfvo type="percent" val="100"/>
        <color rgb="FFFF231B"/>
        <color rgb="FF10FF07"/>
      </colorScale>
    </cfRule>
  </conditionalFormatting>
  <conditionalFormatting sqref="DK34:DK35">
    <cfRule type="expression" dxfId="37" priority="55">
      <formula>OR(IF(DK34&lt;DL34,TRUE),IF(AND(DL34="",DK34&lt;&gt;""),TRUE))</formula>
    </cfRule>
    <cfRule type="expression" dxfId="36" priority="56">
      <formula>IF(DK34&gt;=DL34,IF(DK34="",FALSE,TRUE))</formula>
    </cfRule>
  </conditionalFormatting>
  <conditionalFormatting sqref="DM34:DM35">
    <cfRule type="expression" dxfId="35" priority="53">
      <formula>OR(IF(DM34&lt;DN34,TRUE),IF(AND(DN34="",DM34&lt;&gt;""),TRUE))</formula>
    </cfRule>
    <cfRule type="expression" dxfId="34" priority="54">
      <formula>IF(DM34&gt;=DN34,IF(DM34="",FALSE,TRUE))</formula>
    </cfRule>
  </conditionalFormatting>
  <conditionalFormatting sqref="DM36:DM39">
    <cfRule type="expression" dxfId="33" priority="49">
      <formula>OR(IF(DM36&lt;DN36,TRUE),IF(AND(DN36="",DM36&lt;&gt;""),TRUE))</formula>
    </cfRule>
    <cfRule type="expression" dxfId="32" priority="50">
      <formula>IF(DM36&gt;=DN36,IF(DM36="",FALSE,TRUE))</formula>
    </cfRule>
  </conditionalFormatting>
  <conditionalFormatting sqref="DK36:DK39">
    <cfRule type="expression" dxfId="31" priority="51">
      <formula>OR(IF(DK36&lt;DL36,TRUE),IF(AND(DL36="",DK36&lt;&gt;""),TRUE))</formula>
    </cfRule>
    <cfRule type="expression" dxfId="30" priority="52">
      <formula>IF(DK36&gt;=DL36,IF(DK36="",FALSE,TRUE))</formula>
    </cfRule>
  </conditionalFormatting>
  <conditionalFormatting sqref="DO34:DO39">
    <cfRule type="colorScale" priority="48">
      <colorScale>
        <cfvo type="percent" val="0"/>
        <cfvo type="percent" val="100"/>
        <color rgb="FFFF231B"/>
        <color rgb="FF10FF07"/>
      </colorScale>
    </cfRule>
  </conditionalFormatting>
  <conditionalFormatting sqref="DO35:DO39">
    <cfRule type="colorScale" priority="47">
      <colorScale>
        <cfvo type="percent" val="0"/>
        <cfvo type="percent" val="100"/>
        <color rgb="FFFF231B"/>
        <color rgb="FF10FF07"/>
      </colorScale>
    </cfRule>
  </conditionalFormatting>
  <conditionalFormatting sqref="DR6:DR17">
    <cfRule type="expression" dxfId="29" priority="45">
      <formula>OR(IF(DR6&lt;DS6,TRUE),IF(AND(DS6="",DR6&lt;&gt;""),TRUE))</formula>
    </cfRule>
    <cfRule type="expression" dxfId="28" priority="46">
      <formula>IF(DR6&gt;=DS6,IF(DR6="",FALSE,TRUE))</formula>
    </cfRule>
  </conditionalFormatting>
  <conditionalFormatting sqref="DT6:DT17">
    <cfRule type="expression" dxfId="27" priority="43">
      <formula>OR(IF(DT6&lt;DU6,TRUE),IF(AND(DU6="",DT6&lt;&gt;""),TRUE))</formula>
    </cfRule>
    <cfRule type="expression" dxfId="26" priority="44">
      <formula>IF(DT6&gt;=DU6,IF(DT6="",FALSE,TRUE))</formula>
    </cfRule>
  </conditionalFormatting>
  <conditionalFormatting sqref="DV6:DV17">
    <cfRule type="colorScale" priority="37">
      <colorScale>
        <cfvo type="percent" val="0"/>
        <cfvo type="percent" val="100"/>
        <color rgb="FFFF231B"/>
        <color rgb="FF10FF07"/>
      </colorScale>
    </cfRule>
  </conditionalFormatting>
  <conditionalFormatting sqref="DV7:DV17">
    <cfRule type="colorScale" priority="38">
      <colorScale>
        <cfvo type="percent" val="0"/>
        <cfvo type="percent" val="100"/>
        <color rgb="FFFF231B"/>
        <color rgb="FF10FF07"/>
      </colorScale>
    </cfRule>
  </conditionalFormatting>
  <conditionalFormatting sqref="DR34:DR35">
    <cfRule type="expression" dxfId="25" priority="33">
      <formula>OR(IF(DR34&lt;DS34,TRUE),IF(AND(DS34="",DR34&lt;&gt;""),TRUE))</formula>
    </cfRule>
    <cfRule type="expression" dxfId="24" priority="34">
      <formula>IF(DR34&gt;=DS34,IF(DR34="",FALSE,TRUE))</formula>
    </cfRule>
  </conditionalFormatting>
  <conditionalFormatting sqref="DT34:DT35">
    <cfRule type="expression" dxfId="23" priority="31">
      <formula>OR(IF(DT34&lt;DU34,TRUE),IF(AND(DU34="",DT34&lt;&gt;""),TRUE))</formula>
    </cfRule>
    <cfRule type="expression" dxfId="22" priority="32">
      <formula>IF(DT34&gt;=DU34,IF(DT34="",FALSE,TRUE))</formula>
    </cfRule>
  </conditionalFormatting>
  <conditionalFormatting sqref="DT36:DT39">
    <cfRule type="expression" dxfId="21" priority="27">
      <formula>OR(IF(DT36&lt;DU36,TRUE),IF(AND(DU36="",DT36&lt;&gt;""),TRUE))</formula>
    </cfRule>
    <cfRule type="expression" dxfId="20" priority="28">
      <formula>IF(DT36&gt;=DU36,IF(DT36="",FALSE,TRUE))</formula>
    </cfRule>
  </conditionalFormatting>
  <conditionalFormatting sqref="DR36:DR39">
    <cfRule type="expression" dxfId="19" priority="29">
      <formula>OR(IF(DR36&lt;DS36,TRUE),IF(AND(DS36="",DR36&lt;&gt;""),TRUE))</formula>
    </cfRule>
    <cfRule type="expression" dxfId="18" priority="30">
      <formula>IF(DR36&gt;=DS36,IF(DR36="",FALSE,TRUE))</formula>
    </cfRule>
  </conditionalFormatting>
  <conditionalFormatting sqref="DV34:DV39">
    <cfRule type="colorScale" priority="26">
      <colorScale>
        <cfvo type="percent" val="0"/>
        <cfvo type="percent" val="100"/>
        <color rgb="FFFF231B"/>
        <color rgb="FF10FF07"/>
      </colorScale>
    </cfRule>
  </conditionalFormatting>
  <conditionalFormatting sqref="DV35:DV39">
    <cfRule type="colorScale" priority="25">
      <colorScale>
        <cfvo type="percent" val="0"/>
        <cfvo type="percent" val="100"/>
        <color rgb="FFFF231B"/>
        <color rgb="FF10FF07"/>
      </colorScale>
    </cfRule>
  </conditionalFormatting>
  <conditionalFormatting sqref="DD20:DD24 DF20:DF24">
    <cfRule type="expression" dxfId="17" priority="23">
      <formula>OR(IF(DD20&lt;DE20,TRUE),IF(AND(DE20="",DD20&lt;&gt;""),TRUE))</formula>
    </cfRule>
    <cfRule type="expression" dxfId="16" priority="24">
      <formula>IF(DD20&gt;=DE20,IF(DD20="",FALSE,TRUE))</formula>
    </cfRule>
  </conditionalFormatting>
  <conditionalFormatting sqref="DD25:DD31">
    <cfRule type="expression" dxfId="15" priority="21">
      <formula>OR(IF(DD25&lt;DE25,TRUE),IF(AND(DE25="",DD25&lt;&gt;""),TRUE))</formula>
    </cfRule>
    <cfRule type="expression" dxfId="14" priority="22">
      <formula>IF(DD25&gt;=DE25,IF(DD25="",FALSE,TRUE))</formula>
    </cfRule>
  </conditionalFormatting>
  <conditionalFormatting sqref="DF25:DF31">
    <cfRule type="expression" dxfId="13" priority="19">
      <formula>OR(IF(DF25&lt;DG25,TRUE),IF(AND(DG25="",DF25&lt;&gt;""),TRUE))</formula>
    </cfRule>
    <cfRule type="expression" dxfId="12" priority="20">
      <formula>IF(DF25&gt;=DG25,IF(DF25="",FALSE,TRUE))</formula>
    </cfRule>
  </conditionalFormatting>
  <conditionalFormatting sqref="DH20:DH31">
    <cfRule type="colorScale" priority="18">
      <colorScale>
        <cfvo type="percent" val="0"/>
        <cfvo type="percent" val="100"/>
        <color rgb="FFFF231B"/>
        <color rgb="FF10FF07"/>
      </colorScale>
    </cfRule>
  </conditionalFormatting>
  <conditionalFormatting sqref="DH21:DH31">
    <cfRule type="colorScale" priority="17">
      <colorScale>
        <cfvo type="percent" val="0"/>
        <cfvo type="percent" val="100"/>
        <color rgb="FFFF231B"/>
        <color rgb="FF10FF07"/>
      </colorScale>
    </cfRule>
  </conditionalFormatting>
  <conditionalFormatting sqref="DK20:DK24 DM20:DM24">
    <cfRule type="expression" dxfId="11" priority="15">
      <formula>OR(IF(DK20&lt;DL20,TRUE),IF(AND(DL20="",DK20&lt;&gt;""),TRUE))</formula>
    </cfRule>
    <cfRule type="expression" dxfId="10" priority="16">
      <formula>IF(DK20&gt;=DL20,IF(DK20="",FALSE,TRUE))</formula>
    </cfRule>
  </conditionalFormatting>
  <conditionalFormatting sqref="DK25:DK31">
    <cfRule type="expression" dxfId="9" priority="13">
      <formula>OR(IF(DK25&lt;DL25,TRUE),IF(AND(DL25="",DK25&lt;&gt;""),TRUE))</formula>
    </cfRule>
    <cfRule type="expression" dxfId="8" priority="14">
      <formula>IF(DK25&gt;=DL25,IF(DK25="",FALSE,TRUE))</formula>
    </cfRule>
  </conditionalFormatting>
  <conditionalFormatting sqref="DM25:DM31">
    <cfRule type="expression" dxfId="7" priority="11">
      <formula>OR(IF(DM25&lt;DN25,TRUE),IF(AND(DN25="",DM25&lt;&gt;""),TRUE))</formula>
    </cfRule>
    <cfRule type="expression" dxfId="6" priority="12">
      <formula>IF(DM25&gt;=DN25,IF(DM25="",FALSE,TRUE))</formula>
    </cfRule>
  </conditionalFormatting>
  <conditionalFormatting sqref="DO20:DO31">
    <cfRule type="colorScale" priority="10">
      <colorScale>
        <cfvo type="percent" val="0"/>
        <cfvo type="percent" val="100"/>
        <color rgb="FFFF231B"/>
        <color rgb="FF10FF07"/>
      </colorScale>
    </cfRule>
  </conditionalFormatting>
  <conditionalFormatting sqref="DO21:DO31">
    <cfRule type="colorScale" priority="9">
      <colorScale>
        <cfvo type="percent" val="0"/>
        <cfvo type="percent" val="100"/>
        <color rgb="FFFF231B"/>
        <color rgb="FF10FF07"/>
      </colorScale>
    </cfRule>
  </conditionalFormatting>
  <conditionalFormatting sqref="DR20:DR24 DT20:DT24">
    <cfRule type="expression" dxfId="5" priority="7">
      <formula>OR(IF(DR20&lt;DS20,TRUE),IF(AND(DS20="",DR20&lt;&gt;""),TRUE))</formula>
    </cfRule>
    <cfRule type="expression" dxfId="4" priority="8">
      <formula>IF(DR20&gt;=DS20,IF(DR20="",FALSE,TRUE))</formula>
    </cfRule>
  </conditionalFormatting>
  <conditionalFormatting sqref="DR25:DR31">
    <cfRule type="expression" dxfId="3" priority="5">
      <formula>OR(IF(DR25&lt;DS25,TRUE),IF(AND(DS25="",DR25&lt;&gt;""),TRUE))</formula>
    </cfRule>
    <cfRule type="expression" dxfId="2" priority="6">
      <formula>IF(DR25&gt;=DS25,IF(DR25="",FALSE,TRUE))</formula>
    </cfRule>
  </conditionalFormatting>
  <conditionalFormatting sqref="DT25:DT31">
    <cfRule type="expression" dxfId="1" priority="3">
      <formula>OR(IF(DT25&lt;DU25,TRUE),IF(AND(DU25="",DT25&lt;&gt;""),TRUE))</formula>
    </cfRule>
    <cfRule type="expression" dxfId="0" priority="4">
      <formula>IF(DT25&gt;=DU25,IF(DT25="",FALSE,TRUE))</formula>
    </cfRule>
  </conditionalFormatting>
  <conditionalFormatting sqref="DV20:DV31">
    <cfRule type="colorScale" priority="2">
      <colorScale>
        <cfvo type="percent" val="0"/>
        <cfvo type="percent" val="100"/>
        <color rgb="FFFF231B"/>
        <color rgb="FF10FF07"/>
      </colorScale>
    </cfRule>
  </conditionalFormatting>
  <conditionalFormatting sqref="DV21:DV31">
    <cfRule type="colorScale" priority="1">
      <colorScale>
        <cfvo type="percent" val="0"/>
        <cfvo type="percent" val="100"/>
        <color rgb="FFFF231B"/>
        <color rgb="FF10FF07"/>
      </colorScale>
    </cfRule>
  </conditionalFormatting>
  <dataValidations count="1">
    <dataValidation type="list" allowBlank="1" showInputMessage="1" showErrorMessage="1" sqref="DC44:DG46 DK44:DO46 DS44:DW46 EA44:EE46 EI44:EM46 EY44:FC46 EQ44:EU46 S44:W46 AA44:AE46 CE44:CI46 BW44:CA46 AI44:AM46 AQ44:AU46 AY44:BC46 BG44:BK46 CM44:CQ46 BO44:BS46 CU44:CY46 Q6:T17 U40:U43 EJ40:EJ43 DO40:DO43 AB40:AB43 DY34:EB43 Q20:T31 DH40:DH43 X6:AA17 DK6:DN17 X34:AA43 AE6:AH17 AE34:AH43 AS6:AV17 AI40:AI43 AL6:AO17 AW40:AW43 AP40:AP43 AS34:AV43 AL34:AO43 DY6:EB17 AZ6:BC17 AZ34:BC43 BD40:BD43 BG6:BJ17 BG34:BJ43 BK40:BK43 BU6:BX17 BN6:BQ17 BY40:BY43 BR40:BR43 BU34:BX43 BN34:BQ43 CI6:CL17 CB34:CE43 CF40:CF43 CI34:CL43 DR34:DU43 CM40:CM43 CW34:CZ43 CP6:CS17 CT40:CT43 EF34:EI43 DA40:DA43 DV40:DV43 CW6:CZ17 CI20:CL31 DY20:EB31 DK34:DN43 DD6:DG17 DD20:DG31 EF6:EI17 EC40:EC43 Q34:T43 CB20:CE31 X20:AA31 AE20:AH31 AL20:AO31 AS20:AV31 AZ20:BC31 BG20:BJ31 BN20:BQ31 BU20:BX31 CB6:CE17 CP20:CS31 CP34:CS43 EF20:EI31 CW20:CZ31 DK20:DN31 DD34:DG43 DR6:DU17 DR20:DU31" xr:uid="{AEDBF33E-0D93-5447-8EA1-3F3606E37914}">
      <formula1>"10%,20%,30%,40%,50%,60%,70%,80%,90%,100%"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Anleitung</vt:lpstr>
      <vt:lpstr>Wochenplan Hugo</vt:lpstr>
      <vt:lpstr>Semesterplan Hugo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Hugo Hoffstadt</cp:lastModifiedBy>
  <dcterms:created xsi:type="dcterms:W3CDTF">2020-04-19T13:33:28Z</dcterms:created>
  <dcterms:modified xsi:type="dcterms:W3CDTF">2021-09-26T21:33:43Z</dcterms:modified>
</cp:coreProperties>
</file>